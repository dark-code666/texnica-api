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oywei/Downloads/"/>
    </mc:Choice>
  </mc:AlternateContent>
  <xr:revisionPtr revIDLastSave="0" documentId="8_{451A5918-8521-B944-8B41-049EC0793861}" xr6:coauthVersionLast="47" xr6:coauthVersionMax="47" xr10:uidLastSave="{00000000-0000-0000-0000-000000000000}"/>
  <bookViews>
    <workbookView xWindow="0" yWindow="680" windowWidth="30240" windowHeight="17800" activeTab="3" xr2:uid="{00000000-000D-0000-FFFF-FFFF00000000}"/>
  </bookViews>
  <sheets>
    <sheet name="Instructions" sheetId="1" r:id="rId1"/>
    <sheet name="Dashboard" sheetId="2" r:id="rId2"/>
    <sheet name="Fabric Dashboard" sheetId="3" r:id="rId3"/>
    <sheet name="FGPO Master" sheetId="4" r:id="rId4"/>
    <sheet name="Fabric Requirement" sheetId="5" r:id="rId5"/>
    <sheet name="Fabric PO" sheetId="6" r:id="rId6"/>
    <sheet name="Mill Production" sheetId="7" r:id="rId7"/>
    <sheet name="Mill Test" sheetId="8" r:id="rId8"/>
    <sheet name="Fabric Shipment" sheetId="9" r:id="rId9"/>
    <sheet name="Fabric Receiving" sheetId="10" r:id="rId10"/>
    <sheet name="Roll Receiving" sheetId="11" r:id="rId11"/>
    <sheet name="Four-Point" sheetId="12" r:id="rId12"/>
    <sheet name="Internal Test" sheetId="13" r:id="rId13"/>
    <sheet name="Shade Match" sheetId="14" r:id="rId14"/>
    <sheet name="Fabric Approval" sheetId="15" r:id="rId15"/>
    <sheet name="Fabric Inventory" sheetId="16" r:id="rId16"/>
    <sheet name="Fabric Reservation" sheetId="17" r:id="rId17"/>
    <sheet name="Issue to Cutting" sheetId="18" r:id="rId18"/>
    <sheet name="Trims Control" sheetId="19" r:id="rId19"/>
    <sheet name="PP Sample" sheetId="20" r:id="rId20"/>
    <sheet name="Production Readiness" sheetId="21" r:id="rId21"/>
    <sheet name="Cutting Release" sheetId="22" r:id="rId22"/>
    <sheet name="Cutting Control" sheetId="23" r:id="rId23"/>
    <sheet name="Cutting Panel QC" sheetId="24" r:id="rId24"/>
    <sheet name="TOP Sample" sheetId="25" r:id="rId25"/>
    <sheet name="Sewing Production" sheetId="26" r:id="rId26"/>
    <sheet name="Inline Quality" sheetId="27" r:id="rId27"/>
    <sheet name="Endline Inspection" sheetId="28" r:id="rId28"/>
    <sheet name="Pre-Final Inspection" sheetId="29" r:id="rId29"/>
    <sheet name="Final Inspection" sheetId="30" r:id="rId30"/>
    <sheet name="Packing Control" sheetId="31" r:id="rId31"/>
    <sheet name="Finished Goods" sheetId="32" r:id="rId32"/>
    <sheet name="Shipment Control" sheetId="33" r:id="rId33"/>
    <sheet name="Open Issues" sheetId="34" r:id="rId34"/>
    <sheet name="Lists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4" i="33" l="1"/>
  <c r="M304" i="33"/>
  <c r="L304" i="33"/>
  <c r="K304" i="33"/>
  <c r="N303" i="33"/>
  <c r="M303" i="33"/>
  <c r="L303" i="33"/>
  <c r="K303" i="33"/>
  <c r="N302" i="33"/>
  <c r="M302" i="33"/>
  <c r="L302" i="33"/>
  <c r="K302" i="33"/>
  <c r="N301" i="33"/>
  <c r="M301" i="33"/>
  <c r="L301" i="33"/>
  <c r="K301" i="33"/>
  <c r="N300" i="33"/>
  <c r="M300" i="33"/>
  <c r="L300" i="33"/>
  <c r="K300" i="33"/>
  <c r="N299" i="33"/>
  <c r="M299" i="33"/>
  <c r="L299" i="33"/>
  <c r="K299" i="33"/>
  <c r="N298" i="33"/>
  <c r="M298" i="33"/>
  <c r="L298" i="33"/>
  <c r="K298" i="33"/>
  <c r="N297" i="33"/>
  <c r="M297" i="33"/>
  <c r="L297" i="33"/>
  <c r="K297" i="33"/>
  <c r="N296" i="33"/>
  <c r="M296" i="33"/>
  <c r="L296" i="33"/>
  <c r="K296" i="33"/>
  <c r="N295" i="33"/>
  <c r="M295" i="33"/>
  <c r="L295" i="33"/>
  <c r="K295" i="33"/>
  <c r="N294" i="33"/>
  <c r="M294" i="33"/>
  <c r="L294" i="33"/>
  <c r="K294" i="33"/>
  <c r="N293" i="33"/>
  <c r="M293" i="33"/>
  <c r="L293" i="33"/>
  <c r="K293" i="33"/>
  <c r="N292" i="33"/>
  <c r="M292" i="33"/>
  <c r="L292" i="33"/>
  <c r="K292" i="33"/>
  <c r="N291" i="33"/>
  <c r="M291" i="33"/>
  <c r="L291" i="33"/>
  <c r="K291" i="33"/>
  <c r="N290" i="33"/>
  <c r="M290" i="33"/>
  <c r="L290" i="33"/>
  <c r="K290" i="33"/>
  <c r="N289" i="33"/>
  <c r="M289" i="33"/>
  <c r="L289" i="33"/>
  <c r="K289" i="33"/>
  <c r="N288" i="33"/>
  <c r="M288" i="33"/>
  <c r="L288" i="33"/>
  <c r="K288" i="33"/>
  <c r="N287" i="33"/>
  <c r="M287" i="33"/>
  <c r="L287" i="33"/>
  <c r="K287" i="33"/>
  <c r="N286" i="33"/>
  <c r="M286" i="33"/>
  <c r="L286" i="33"/>
  <c r="K286" i="33"/>
  <c r="N285" i="33"/>
  <c r="M285" i="33"/>
  <c r="L285" i="33"/>
  <c r="K285" i="33"/>
  <c r="N284" i="33"/>
  <c r="M284" i="33"/>
  <c r="L284" i="33"/>
  <c r="K284" i="33"/>
  <c r="N283" i="33"/>
  <c r="M283" i="33"/>
  <c r="L283" i="33"/>
  <c r="K283" i="33"/>
  <c r="N282" i="33"/>
  <c r="M282" i="33"/>
  <c r="L282" i="33"/>
  <c r="K282" i="33"/>
  <c r="N281" i="33"/>
  <c r="M281" i="33"/>
  <c r="L281" i="33"/>
  <c r="K281" i="33"/>
  <c r="N280" i="33"/>
  <c r="M280" i="33"/>
  <c r="L280" i="33"/>
  <c r="K280" i="33"/>
  <c r="N279" i="33"/>
  <c r="M279" i="33"/>
  <c r="L279" i="33"/>
  <c r="K279" i="33"/>
  <c r="N278" i="33"/>
  <c r="M278" i="33"/>
  <c r="L278" i="33"/>
  <c r="K278" i="33"/>
  <c r="N277" i="33"/>
  <c r="M277" i="33"/>
  <c r="L277" i="33"/>
  <c r="K277" i="33"/>
  <c r="N276" i="33"/>
  <c r="M276" i="33"/>
  <c r="L276" i="33"/>
  <c r="K276" i="33"/>
  <c r="N275" i="33"/>
  <c r="M275" i="33"/>
  <c r="L275" i="33"/>
  <c r="K275" i="33"/>
  <c r="N274" i="33"/>
  <c r="M274" i="33"/>
  <c r="L274" i="33"/>
  <c r="K274" i="33"/>
  <c r="N273" i="33"/>
  <c r="M273" i="33"/>
  <c r="L273" i="33"/>
  <c r="K273" i="33"/>
  <c r="N272" i="33"/>
  <c r="M272" i="33"/>
  <c r="L272" i="33"/>
  <c r="K272" i="33"/>
  <c r="N271" i="33"/>
  <c r="M271" i="33"/>
  <c r="L271" i="33"/>
  <c r="K271" i="33"/>
  <c r="N270" i="33"/>
  <c r="M270" i="33"/>
  <c r="L270" i="33"/>
  <c r="K270" i="33"/>
  <c r="N269" i="33"/>
  <c r="M269" i="33"/>
  <c r="L269" i="33"/>
  <c r="K269" i="33"/>
  <c r="N268" i="33"/>
  <c r="M268" i="33"/>
  <c r="L268" i="33"/>
  <c r="K268" i="33"/>
  <c r="N267" i="33"/>
  <c r="M267" i="33"/>
  <c r="L267" i="33"/>
  <c r="K267" i="33"/>
  <c r="N266" i="33"/>
  <c r="M266" i="33"/>
  <c r="L266" i="33"/>
  <c r="K266" i="33"/>
  <c r="N265" i="33"/>
  <c r="M265" i="33"/>
  <c r="L265" i="33"/>
  <c r="K265" i="33"/>
  <c r="N264" i="33"/>
  <c r="M264" i="33"/>
  <c r="L264" i="33"/>
  <c r="K264" i="33"/>
  <c r="N263" i="33"/>
  <c r="M263" i="33"/>
  <c r="L263" i="33"/>
  <c r="K263" i="33"/>
  <c r="N262" i="33"/>
  <c r="M262" i="33"/>
  <c r="L262" i="33"/>
  <c r="K262" i="33"/>
  <c r="N261" i="33"/>
  <c r="M261" i="33"/>
  <c r="L261" i="33"/>
  <c r="K261" i="33"/>
  <c r="N260" i="33"/>
  <c r="M260" i="33"/>
  <c r="L260" i="33"/>
  <c r="K260" i="33"/>
  <c r="N259" i="33"/>
  <c r="M259" i="33"/>
  <c r="L259" i="33"/>
  <c r="K259" i="33"/>
  <c r="N258" i="33"/>
  <c r="M258" i="33"/>
  <c r="L258" i="33"/>
  <c r="K258" i="33"/>
  <c r="N257" i="33"/>
  <c r="M257" i="33"/>
  <c r="L257" i="33"/>
  <c r="K257" i="33"/>
  <c r="N256" i="33"/>
  <c r="M256" i="33"/>
  <c r="L256" i="33"/>
  <c r="K256" i="33"/>
  <c r="N255" i="33"/>
  <c r="M255" i="33"/>
  <c r="L255" i="33"/>
  <c r="K255" i="33"/>
  <c r="N254" i="33"/>
  <c r="M254" i="33"/>
  <c r="L254" i="33"/>
  <c r="K254" i="33"/>
  <c r="N253" i="33"/>
  <c r="M253" i="33"/>
  <c r="L253" i="33"/>
  <c r="K253" i="33"/>
  <c r="N252" i="33"/>
  <c r="M252" i="33"/>
  <c r="L252" i="33"/>
  <c r="K252" i="33"/>
  <c r="N251" i="33"/>
  <c r="M251" i="33"/>
  <c r="L251" i="33"/>
  <c r="K251" i="33"/>
  <c r="N250" i="33"/>
  <c r="M250" i="33"/>
  <c r="L250" i="33"/>
  <c r="K250" i="33"/>
  <c r="N249" i="33"/>
  <c r="M249" i="33"/>
  <c r="L249" i="33"/>
  <c r="K249" i="33"/>
  <c r="N248" i="33"/>
  <c r="M248" i="33"/>
  <c r="L248" i="33"/>
  <c r="K248" i="33"/>
  <c r="N247" i="33"/>
  <c r="M247" i="33"/>
  <c r="L247" i="33"/>
  <c r="K247" i="33"/>
  <c r="N246" i="33"/>
  <c r="M246" i="33"/>
  <c r="L246" i="33"/>
  <c r="K246" i="33"/>
  <c r="N245" i="33"/>
  <c r="M245" i="33"/>
  <c r="L245" i="33"/>
  <c r="K245" i="33"/>
  <c r="N244" i="33"/>
  <c r="M244" i="33"/>
  <c r="L244" i="33"/>
  <c r="K244" i="33"/>
  <c r="N243" i="33"/>
  <c r="M243" i="33"/>
  <c r="L243" i="33"/>
  <c r="K243" i="33"/>
  <c r="N242" i="33"/>
  <c r="M242" i="33"/>
  <c r="L242" i="33"/>
  <c r="K242" i="33"/>
  <c r="N241" i="33"/>
  <c r="M241" i="33"/>
  <c r="L241" i="33"/>
  <c r="K241" i="33"/>
  <c r="N240" i="33"/>
  <c r="M240" i="33"/>
  <c r="L240" i="33"/>
  <c r="K240" i="33"/>
  <c r="N239" i="33"/>
  <c r="M239" i="33"/>
  <c r="L239" i="33"/>
  <c r="K239" i="33"/>
  <c r="N238" i="33"/>
  <c r="M238" i="33"/>
  <c r="L238" i="33"/>
  <c r="K238" i="33"/>
  <c r="N237" i="33"/>
  <c r="M237" i="33"/>
  <c r="L237" i="33"/>
  <c r="K237" i="33"/>
  <c r="N236" i="33"/>
  <c r="M236" i="33"/>
  <c r="L236" i="33"/>
  <c r="K236" i="33"/>
  <c r="N235" i="33"/>
  <c r="M235" i="33"/>
  <c r="L235" i="33"/>
  <c r="K235" i="33"/>
  <c r="N234" i="33"/>
  <c r="M234" i="33"/>
  <c r="L234" i="33"/>
  <c r="K234" i="33"/>
  <c r="N233" i="33"/>
  <c r="M233" i="33"/>
  <c r="L233" i="33"/>
  <c r="K233" i="33"/>
  <c r="N232" i="33"/>
  <c r="M232" i="33"/>
  <c r="L232" i="33"/>
  <c r="K232" i="33"/>
  <c r="N231" i="33"/>
  <c r="M231" i="33"/>
  <c r="L231" i="33"/>
  <c r="K231" i="33"/>
  <c r="N230" i="33"/>
  <c r="M230" i="33"/>
  <c r="L230" i="33"/>
  <c r="K230" i="33"/>
  <c r="N229" i="33"/>
  <c r="M229" i="33"/>
  <c r="L229" i="33"/>
  <c r="K229" i="33"/>
  <c r="N228" i="33"/>
  <c r="M228" i="33"/>
  <c r="L228" i="33"/>
  <c r="K228" i="33"/>
  <c r="N227" i="33"/>
  <c r="M227" i="33"/>
  <c r="L227" i="33"/>
  <c r="K227" i="33"/>
  <c r="N226" i="33"/>
  <c r="M226" i="33"/>
  <c r="L226" i="33"/>
  <c r="K226" i="33"/>
  <c r="N225" i="33"/>
  <c r="M225" i="33"/>
  <c r="L225" i="33"/>
  <c r="K225" i="33"/>
  <c r="N224" i="33"/>
  <c r="M224" i="33"/>
  <c r="L224" i="33"/>
  <c r="K224" i="33"/>
  <c r="N223" i="33"/>
  <c r="M223" i="33"/>
  <c r="L223" i="33"/>
  <c r="K223" i="33"/>
  <c r="N222" i="33"/>
  <c r="M222" i="33"/>
  <c r="L222" i="33"/>
  <c r="K222" i="33"/>
  <c r="N221" i="33"/>
  <c r="M221" i="33"/>
  <c r="L221" i="33"/>
  <c r="K221" i="33"/>
  <c r="N220" i="33"/>
  <c r="M220" i="33"/>
  <c r="L220" i="33"/>
  <c r="K220" i="33"/>
  <c r="N219" i="33"/>
  <c r="M219" i="33"/>
  <c r="L219" i="33"/>
  <c r="K219" i="33"/>
  <c r="N218" i="33"/>
  <c r="M218" i="33"/>
  <c r="L218" i="33"/>
  <c r="K218" i="33"/>
  <c r="N217" i="33"/>
  <c r="M217" i="33"/>
  <c r="L217" i="33"/>
  <c r="K217" i="33"/>
  <c r="N216" i="33"/>
  <c r="M216" i="33"/>
  <c r="L216" i="33"/>
  <c r="K216" i="33"/>
  <c r="N215" i="33"/>
  <c r="M215" i="33"/>
  <c r="L215" i="33"/>
  <c r="K215" i="33"/>
  <c r="N214" i="33"/>
  <c r="M214" i="33"/>
  <c r="L214" i="33"/>
  <c r="K214" i="33"/>
  <c r="N213" i="33"/>
  <c r="M213" i="33"/>
  <c r="L213" i="33"/>
  <c r="K213" i="33"/>
  <c r="N212" i="33"/>
  <c r="M212" i="33"/>
  <c r="L212" i="33"/>
  <c r="K212" i="33"/>
  <c r="N211" i="33"/>
  <c r="M211" i="33"/>
  <c r="L211" i="33"/>
  <c r="K211" i="33"/>
  <c r="N210" i="33"/>
  <c r="M210" i="33"/>
  <c r="L210" i="33"/>
  <c r="K210" i="33"/>
  <c r="N209" i="33"/>
  <c r="M209" i="33"/>
  <c r="L209" i="33"/>
  <c r="K209" i="33"/>
  <c r="N208" i="33"/>
  <c r="M208" i="33"/>
  <c r="L208" i="33"/>
  <c r="K208" i="33"/>
  <c r="N207" i="33"/>
  <c r="M207" i="33"/>
  <c r="L207" i="33"/>
  <c r="K207" i="33"/>
  <c r="N206" i="33"/>
  <c r="M206" i="33"/>
  <c r="L206" i="33"/>
  <c r="K206" i="33"/>
  <c r="N205" i="33"/>
  <c r="M205" i="33"/>
  <c r="L205" i="33"/>
  <c r="K205" i="33"/>
  <c r="N204" i="33"/>
  <c r="M204" i="33"/>
  <c r="L204" i="33"/>
  <c r="K204" i="33"/>
  <c r="N203" i="33"/>
  <c r="M203" i="33"/>
  <c r="L203" i="33"/>
  <c r="K203" i="33"/>
  <c r="N202" i="33"/>
  <c r="M202" i="33"/>
  <c r="L202" i="33"/>
  <c r="K202" i="33"/>
  <c r="N201" i="33"/>
  <c r="M201" i="33"/>
  <c r="L201" i="33"/>
  <c r="K201" i="33"/>
  <c r="N200" i="33"/>
  <c r="M200" i="33"/>
  <c r="L200" i="33"/>
  <c r="K200" i="33"/>
  <c r="N199" i="33"/>
  <c r="M199" i="33"/>
  <c r="L199" i="33"/>
  <c r="K199" i="33"/>
  <c r="N198" i="33"/>
  <c r="M198" i="33"/>
  <c r="L198" i="33"/>
  <c r="K198" i="33"/>
  <c r="N197" i="33"/>
  <c r="M197" i="33"/>
  <c r="L197" i="33"/>
  <c r="K197" i="33"/>
  <c r="N196" i="33"/>
  <c r="M196" i="33"/>
  <c r="L196" i="33"/>
  <c r="K196" i="33"/>
  <c r="N195" i="33"/>
  <c r="M195" i="33"/>
  <c r="L195" i="33"/>
  <c r="K195" i="33"/>
  <c r="N194" i="33"/>
  <c r="M194" i="33"/>
  <c r="L194" i="33"/>
  <c r="K194" i="33"/>
  <c r="N193" i="33"/>
  <c r="M193" i="33"/>
  <c r="L193" i="33"/>
  <c r="K193" i="33"/>
  <c r="N192" i="33"/>
  <c r="M192" i="33"/>
  <c r="L192" i="33"/>
  <c r="K192" i="33"/>
  <c r="N191" i="33"/>
  <c r="M191" i="33"/>
  <c r="L191" i="33"/>
  <c r="K191" i="33"/>
  <c r="N190" i="33"/>
  <c r="M190" i="33"/>
  <c r="L190" i="33"/>
  <c r="K190" i="33"/>
  <c r="N189" i="33"/>
  <c r="M189" i="33"/>
  <c r="L189" i="33"/>
  <c r="K189" i="33"/>
  <c r="N188" i="33"/>
  <c r="M188" i="33"/>
  <c r="L188" i="33"/>
  <c r="K188" i="33"/>
  <c r="N187" i="33"/>
  <c r="M187" i="33"/>
  <c r="L187" i="33"/>
  <c r="K187" i="33"/>
  <c r="N186" i="33"/>
  <c r="M186" i="33"/>
  <c r="L186" i="33"/>
  <c r="K186" i="33"/>
  <c r="N185" i="33"/>
  <c r="M185" i="33"/>
  <c r="L185" i="33"/>
  <c r="K185" i="33"/>
  <c r="N184" i="33"/>
  <c r="M184" i="33"/>
  <c r="L184" i="33"/>
  <c r="K184" i="33"/>
  <c r="N183" i="33"/>
  <c r="M183" i="33"/>
  <c r="L183" i="33"/>
  <c r="K183" i="33"/>
  <c r="N182" i="33"/>
  <c r="M182" i="33"/>
  <c r="L182" i="33"/>
  <c r="K182" i="33"/>
  <c r="N181" i="33"/>
  <c r="M181" i="33"/>
  <c r="L181" i="33"/>
  <c r="K181" i="33"/>
  <c r="N180" i="33"/>
  <c r="M180" i="33"/>
  <c r="L180" i="33"/>
  <c r="K180" i="33"/>
  <c r="N179" i="33"/>
  <c r="M179" i="33"/>
  <c r="L179" i="33"/>
  <c r="K179" i="33"/>
  <c r="N178" i="33"/>
  <c r="M178" i="33"/>
  <c r="L178" i="33"/>
  <c r="K178" i="33"/>
  <c r="N177" i="33"/>
  <c r="M177" i="33"/>
  <c r="L177" i="33"/>
  <c r="K177" i="33"/>
  <c r="N176" i="33"/>
  <c r="M176" i="33"/>
  <c r="L176" i="33"/>
  <c r="K176" i="33"/>
  <c r="N175" i="33"/>
  <c r="M175" i="33"/>
  <c r="L175" i="33"/>
  <c r="K175" i="33"/>
  <c r="N174" i="33"/>
  <c r="M174" i="33"/>
  <c r="L174" i="33"/>
  <c r="K174" i="33"/>
  <c r="N173" i="33"/>
  <c r="M173" i="33"/>
  <c r="L173" i="33"/>
  <c r="K173" i="33"/>
  <c r="N172" i="33"/>
  <c r="M172" i="33"/>
  <c r="L172" i="33"/>
  <c r="K172" i="33"/>
  <c r="N171" i="33"/>
  <c r="M171" i="33"/>
  <c r="L171" i="33"/>
  <c r="K171" i="33"/>
  <c r="N170" i="33"/>
  <c r="M170" i="33"/>
  <c r="L170" i="33"/>
  <c r="K170" i="33"/>
  <c r="N169" i="33"/>
  <c r="M169" i="33"/>
  <c r="L169" i="33"/>
  <c r="K169" i="33"/>
  <c r="N168" i="33"/>
  <c r="M168" i="33"/>
  <c r="L168" i="33"/>
  <c r="K168" i="33"/>
  <c r="N167" i="33"/>
  <c r="M167" i="33"/>
  <c r="L167" i="33"/>
  <c r="K167" i="33"/>
  <c r="N166" i="33"/>
  <c r="M166" i="33"/>
  <c r="L166" i="33"/>
  <c r="K166" i="33"/>
  <c r="N165" i="33"/>
  <c r="M165" i="33"/>
  <c r="L165" i="33"/>
  <c r="K165" i="33"/>
  <c r="N164" i="33"/>
  <c r="M164" i="33"/>
  <c r="L164" i="33"/>
  <c r="K164" i="33"/>
  <c r="N163" i="33"/>
  <c r="M163" i="33"/>
  <c r="L163" i="33"/>
  <c r="K163" i="33"/>
  <c r="N162" i="33"/>
  <c r="M162" i="33"/>
  <c r="L162" i="33"/>
  <c r="K162" i="33"/>
  <c r="N161" i="33"/>
  <c r="M161" i="33"/>
  <c r="L161" i="33"/>
  <c r="K161" i="33"/>
  <c r="N160" i="33"/>
  <c r="M160" i="33"/>
  <c r="L160" i="33"/>
  <c r="K160" i="33"/>
  <c r="N159" i="33"/>
  <c r="M159" i="33"/>
  <c r="L159" i="33"/>
  <c r="K159" i="33"/>
  <c r="N158" i="33"/>
  <c r="M158" i="33"/>
  <c r="L158" i="33"/>
  <c r="K158" i="33"/>
  <c r="N157" i="33"/>
  <c r="M157" i="33"/>
  <c r="L157" i="33"/>
  <c r="K157" i="33"/>
  <c r="N156" i="33"/>
  <c r="M156" i="33"/>
  <c r="L156" i="33"/>
  <c r="K156" i="33"/>
  <c r="N155" i="33"/>
  <c r="M155" i="33"/>
  <c r="L155" i="33"/>
  <c r="K155" i="33"/>
  <c r="N154" i="33"/>
  <c r="M154" i="33"/>
  <c r="L154" i="33"/>
  <c r="K154" i="33"/>
  <c r="N153" i="33"/>
  <c r="M153" i="33"/>
  <c r="L153" i="33"/>
  <c r="K153" i="33"/>
  <c r="N152" i="33"/>
  <c r="M152" i="33"/>
  <c r="L152" i="33"/>
  <c r="K152" i="33"/>
  <c r="N151" i="33"/>
  <c r="M151" i="33"/>
  <c r="L151" i="33"/>
  <c r="K151" i="33"/>
  <c r="N150" i="33"/>
  <c r="M150" i="33"/>
  <c r="L150" i="33"/>
  <c r="K150" i="33"/>
  <c r="N149" i="33"/>
  <c r="M149" i="33"/>
  <c r="L149" i="33"/>
  <c r="K149" i="33"/>
  <c r="N148" i="33"/>
  <c r="M148" i="33"/>
  <c r="L148" i="33"/>
  <c r="K148" i="33"/>
  <c r="N147" i="33"/>
  <c r="M147" i="33"/>
  <c r="L147" i="33"/>
  <c r="K147" i="33"/>
  <c r="N146" i="33"/>
  <c r="M146" i="33"/>
  <c r="L146" i="33"/>
  <c r="K146" i="33"/>
  <c r="N145" i="33"/>
  <c r="M145" i="33"/>
  <c r="L145" i="33"/>
  <c r="K145" i="33"/>
  <c r="N144" i="33"/>
  <c r="M144" i="33"/>
  <c r="L144" i="33"/>
  <c r="K144" i="33"/>
  <c r="N143" i="33"/>
  <c r="M143" i="33"/>
  <c r="L143" i="33"/>
  <c r="K143" i="33"/>
  <c r="N142" i="33"/>
  <c r="M142" i="33"/>
  <c r="L142" i="33"/>
  <c r="K142" i="33"/>
  <c r="N141" i="33"/>
  <c r="M141" i="33"/>
  <c r="L141" i="33"/>
  <c r="K141" i="33"/>
  <c r="N140" i="33"/>
  <c r="M140" i="33"/>
  <c r="L140" i="33"/>
  <c r="K140" i="33"/>
  <c r="N139" i="33"/>
  <c r="M139" i="33"/>
  <c r="L139" i="33"/>
  <c r="K139" i="33"/>
  <c r="N138" i="33"/>
  <c r="M138" i="33"/>
  <c r="L138" i="33"/>
  <c r="K138" i="33"/>
  <c r="N137" i="33"/>
  <c r="M137" i="33"/>
  <c r="L137" i="33"/>
  <c r="K137" i="33"/>
  <c r="N136" i="33"/>
  <c r="M136" i="33"/>
  <c r="L136" i="33"/>
  <c r="K136" i="33"/>
  <c r="N135" i="33"/>
  <c r="M135" i="33"/>
  <c r="L135" i="33"/>
  <c r="K135" i="33"/>
  <c r="N134" i="33"/>
  <c r="M134" i="33"/>
  <c r="L134" i="33"/>
  <c r="K134" i="33"/>
  <c r="N133" i="33"/>
  <c r="M133" i="33"/>
  <c r="L133" i="33"/>
  <c r="K133" i="33"/>
  <c r="N132" i="33"/>
  <c r="M132" i="33"/>
  <c r="L132" i="33"/>
  <c r="K132" i="33"/>
  <c r="N131" i="33"/>
  <c r="M131" i="33"/>
  <c r="L131" i="33"/>
  <c r="K131" i="33"/>
  <c r="N130" i="33"/>
  <c r="M130" i="33"/>
  <c r="L130" i="33"/>
  <c r="K130" i="33"/>
  <c r="N129" i="33"/>
  <c r="M129" i="33"/>
  <c r="L129" i="33"/>
  <c r="K129" i="33"/>
  <c r="N128" i="33"/>
  <c r="M128" i="33"/>
  <c r="L128" i="33"/>
  <c r="K128" i="33"/>
  <c r="N127" i="33"/>
  <c r="M127" i="33"/>
  <c r="L127" i="33"/>
  <c r="K127" i="33"/>
  <c r="N126" i="33"/>
  <c r="M126" i="33"/>
  <c r="L126" i="33"/>
  <c r="K126" i="33"/>
  <c r="N125" i="33"/>
  <c r="M125" i="33"/>
  <c r="L125" i="33"/>
  <c r="K125" i="33"/>
  <c r="N124" i="33"/>
  <c r="M124" i="33"/>
  <c r="L124" i="33"/>
  <c r="K124" i="33"/>
  <c r="N123" i="33"/>
  <c r="M123" i="33"/>
  <c r="L123" i="33"/>
  <c r="K123" i="33"/>
  <c r="N122" i="33"/>
  <c r="M122" i="33"/>
  <c r="L122" i="33"/>
  <c r="K122" i="33"/>
  <c r="N121" i="33"/>
  <c r="M121" i="33"/>
  <c r="L121" i="33"/>
  <c r="K121" i="33"/>
  <c r="N120" i="33"/>
  <c r="M120" i="33"/>
  <c r="L120" i="33"/>
  <c r="K120" i="33"/>
  <c r="N119" i="33"/>
  <c r="M119" i="33"/>
  <c r="L119" i="33"/>
  <c r="K119" i="33"/>
  <c r="N118" i="33"/>
  <c r="M118" i="33"/>
  <c r="L118" i="33"/>
  <c r="K118" i="33"/>
  <c r="N117" i="33"/>
  <c r="M117" i="33"/>
  <c r="L117" i="33"/>
  <c r="K117" i="33"/>
  <c r="N116" i="33"/>
  <c r="M116" i="33"/>
  <c r="L116" i="33"/>
  <c r="K116" i="33"/>
  <c r="N115" i="33"/>
  <c r="M115" i="33"/>
  <c r="L115" i="33"/>
  <c r="K115" i="33"/>
  <c r="N114" i="33"/>
  <c r="M114" i="33"/>
  <c r="L114" i="33"/>
  <c r="K114" i="33"/>
  <c r="N113" i="33"/>
  <c r="M113" i="33"/>
  <c r="L113" i="33"/>
  <c r="K113" i="33"/>
  <c r="N112" i="33"/>
  <c r="M112" i="33"/>
  <c r="L112" i="33"/>
  <c r="K112" i="33"/>
  <c r="N111" i="33"/>
  <c r="M111" i="33"/>
  <c r="L111" i="33"/>
  <c r="K111" i="33"/>
  <c r="N110" i="33"/>
  <c r="M110" i="33"/>
  <c r="L110" i="33"/>
  <c r="K110" i="33"/>
  <c r="N109" i="33"/>
  <c r="M109" i="33"/>
  <c r="L109" i="33"/>
  <c r="K109" i="33"/>
  <c r="N108" i="33"/>
  <c r="M108" i="33"/>
  <c r="L108" i="33"/>
  <c r="K108" i="33"/>
  <c r="N107" i="33"/>
  <c r="M107" i="33"/>
  <c r="L107" i="33"/>
  <c r="K107" i="33"/>
  <c r="N106" i="33"/>
  <c r="M106" i="33"/>
  <c r="L106" i="33"/>
  <c r="K106" i="33"/>
  <c r="N105" i="33"/>
  <c r="M105" i="33"/>
  <c r="L105" i="33"/>
  <c r="K105" i="33"/>
  <c r="N104" i="33"/>
  <c r="M104" i="33"/>
  <c r="L104" i="33"/>
  <c r="K104" i="33"/>
  <c r="N103" i="33"/>
  <c r="M103" i="33"/>
  <c r="L103" i="33"/>
  <c r="K103" i="33"/>
  <c r="N102" i="33"/>
  <c r="M102" i="33"/>
  <c r="L102" i="33"/>
  <c r="K102" i="33"/>
  <c r="N101" i="33"/>
  <c r="M101" i="33"/>
  <c r="L101" i="33"/>
  <c r="K101" i="33"/>
  <c r="N100" i="33"/>
  <c r="M100" i="33"/>
  <c r="L100" i="33"/>
  <c r="K100" i="33"/>
  <c r="N99" i="33"/>
  <c r="M99" i="33"/>
  <c r="L99" i="33"/>
  <c r="K99" i="33"/>
  <c r="N98" i="33"/>
  <c r="M98" i="33"/>
  <c r="L98" i="33"/>
  <c r="K98" i="33"/>
  <c r="N97" i="33"/>
  <c r="M97" i="33"/>
  <c r="L97" i="33"/>
  <c r="K97" i="33"/>
  <c r="N96" i="33"/>
  <c r="M96" i="33"/>
  <c r="L96" i="33"/>
  <c r="K96" i="33"/>
  <c r="N95" i="33"/>
  <c r="M95" i="33"/>
  <c r="L95" i="33"/>
  <c r="K95" i="33"/>
  <c r="N94" i="33"/>
  <c r="M94" i="33"/>
  <c r="L94" i="33"/>
  <c r="K94" i="33"/>
  <c r="N93" i="33"/>
  <c r="M93" i="33"/>
  <c r="L93" i="33"/>
  <c r="K93" i="33"/>
  <c r="N92" i="33"/>
  <c r="M92" i="33"/>
  <c r="L92" i="33"/>
  <c r="K92" i="33"/>
  <c r="N91" i="33"/>
  <c r="M91" i="33"/>
  <c r="L91" i="33"/>
  <c r="K91" i="33"/>
  <c r="N90" i="33"/>
  <c r="M90" i="33"/>
  <c r="L90" i="33"/>
  <c r="K90" i="33"/>
  <c r="N89" i="33"/>
  <c r="M89" i="33"/>
  <c r="L89" i="33"/>
  <c r="K89" i="33"/>
  <c r="N88" i="33"/>
  <c r="M88" i="33"/>
  <c r="L88" i="33"/>
  <c r="K88" i="33"/>
  <c r="N87" i="33"/>
  <c r="M87" i="33"/>
  <c r="L87" i="33"/>
  <c r="K87" i="33"/>
  <c r="N86" i="33"/>
  <c r="M86" i="33"/>
  <c r="L86" i="33"/>
  <c r="K86" i="33"/>
  <c r="N85" i="33"/>
  <c r="M85" i="33"/>
  <c r="L85" i="33"/>
  <c r="K85" i="33"/>
  <c r="N84" i="33"/>
  <c r="M84" i="33"/>
  <c r="L84" i="33"/>
  <c r="K84" i="33"/>
  <c r="N83" i="33"/>
  <c r="M83" i="33"/>
  <c r="L83" i="33"/>
  <c r="K83" i="33"/>
  <c r="N82" i="33"/>
  <c r="M82" i="33"/>
  <c r="L82" i="33"/>
  <c r="K82" i="33"/>
  <c r="N81" i="33"/>
  <c r="M81" i="33"/>
  <c r="L81" i="33"/>
  <c r="K81" i="33"/>
  <c r="N80" i="33"/>
  <c r="M80" i="33"/>
  <c r="L80" i="33"/>
  <c r="K80" i="33"/>
  <c r="N79" i="33"/>
  <c r="M79" i="33"/>
  <c r="L79" i="33"/>
  <c r="K79" i="33"/>
  <c r="N78" i="33"/>
  <c r="M78" i="33"/>
  <c r="L78" i="33"/>
  <c r="K78" i="33"/>
  <c r="N77" i="33"/>
  <c r="M77" i="33"/>
  <c r="L77" i="33"/>
  <c r="K77" i="33"/>
  <c r="N76" i="33"/>
  <c r="M76" i="33"/>
  <c r="L76" i="33"/>
  <c r="K76" i="33"/>
  <c r="N75" i="33"/>
  <c r="M75" i="33"/>
  <c r="L75" i="33"/>
  <c r="K75" i="33"/>
  <c r="N74" i="33"/>
  <c r="M74" i="33"/>
  <c r="L74" i="33"/>
  <c r="K74" i="33"/>
  <c r="N73" i="33"/>
  <c r="M73" i="33"/>
  <c r="L73" i="33"/>
  <c r="K73" i="33"/>
  <c r="N72" i="33"/>
  <c r="M72" i="33"/>
  <c r="L72" i="33"/>
  <c r="K72" i="33"/>
  <c r="N71" i="33"/>
  <c r="M71" i="33"/>
  <c r="L71" i="33"/>
  <c r="K71" i="33"/>
  <c r="N70" i="33"/>
  <c r="M70" i="33"/>
  <c r="L70" i="33"/>
  <c r="K70" i="33"/>
  <c r="N69" i="33"/>
  <c r="M69" i="33"/>
  <c r="L69" i="33"/>
  <c r="K69" i="33"/>
  <c r="N68" i="33"/>
  <c r="M68" i="33"/>
  <c r="L68" i="33"/>
  <c r="K68" i="33"/>
  <c r="N67" i="33"/>
  <c r="M67" i="33"/>
  <c r="L67" i="33"/>
  <c r="K67" i="33"/>
  <c r="N66" i="33"/>
  <c r="M66" i="33"/>
  <c r="L66" i="33"/>
  <c r="K66" i="33"/>
  <c r="N65" i="33"/>
  <c r="M65" i="33"/>
  <c r="L65" i="33"/>
  <c r="K65" i="33"/>
  <c r="N64" i="33"/>
  <c r="M64" i="33"/>
  <c r="L64" i="33"/>
  <c r="K64" i="33"/>
  <c r="N63" i="33"/>
  <c r="M63" i="33"/>
  <c r="L63" i="33"/>
  <c r="K63" i="33"/>
  <c r="N62" i="33"/>
  <c r="M62" i="33"/>
  <c r="L62" i="33"/>
  <c r="K62" i="33"/>
  <c r="N61" i="33"/>
  <c r="M61" i="33"/>
  <c r="L61" i="33"/>
  <c r="K61" i="33"/>
  <c r="N60" i="33"/>
  <c r="M60" i="33"/>
  <c r="L60" i="33"/>
  <c r="K60" i="33"/>
  <c r="N59" i="33"/>
  <c r="M59" i="33"/>
  <c r="L59" i="33"/>
  <c r="K59" i="33"/>
  <c r="N58" i="33"/>
  <c r="M58" i="33"/>
  <c r="L58" i="33"/>
  <c r="K58" i="33"/>
  <c r="N57" i="33"/>
  <c r="M57" i="33"/>
  <c r="L57" i="33"/>
  <c r="K57" i="33"/>
  <c r="N56" i="33"/>
  <c r="M56" i="33"/>
  <c r="L56" i="33"/>
  <c r="K56" i="33"/>
  <c r="N55" i="33"/>
  <c r="M55" i="33"/>
  <c r="L55" i="33"/>
  <c r="K55" i="33"/>
  <c r="N54" i="33"/>
  <c r="M54" i="33"/>
  <c r="L54" i="33"/>
  <c r="K54" i="33"/>
  <c r="N53" i="33"/>
  <c r="M53" i="33"/>
  <c r="L53" i="33"/>
  <c r="K53" i="33"/>
  <c r="N52" i="33"/>
  <c r="M52" i="33"/>
  <c r="L52" i="33"/>
  <c r="K52" i="33"/>
  <c r="N51" i="33"/>
  <c r="M51" i="33"/>
  <c r="L51" i="33"/>
  <c r="K51" i="33"/>
  <c r="N50" i="33"/>
  <c r="M50" i="33"/>
  <c r="L50" i="33"/>
  <c r="K50" i="33"/>
  <c r="N49" i="33"/>
  <c r="M49" i="33"/>
  <c r="L49" i="33"/>
  <c r="K49" i="33"/>
  <c r="N48" i="33"/>
  <c r="M48" i="33"/>
  <c r="L48" i="33"/>
  <c r="K48" i="33"/>
  <c r="N47" i="33"/>
  <c r="M47" i="33"/>
  <c r="L47" i="33"/>
  <c r="K47" i="33"/>
  <c r="N46" i="33"/>
  <c r="M46" i="33"/>
  <c r="L46" i="33"/>
  <c r="K46" i="33"/>
  <c r="N45" i="33"/>
  <c r="M45" i="33"/>
  <c r="L45" i="33"/>
  <c r="K45" i="33"/>
  <c r="N44" i="33"/>
  <c r="M44" i="33"/>
  <c r="L44" i="33"/>
  <c r="K44" i="33"/>
  <c r="N43" i="33"/>
  <c r="M43" i="33"/>
  <c r="L43" i="33"/>
  <c r="K43" i="33"/>
  <c r="N42" i="33"/>
  <c r="M42" i="33"/>
  <c r="L42" i="33"/>
  <c r="K42" i="33"/>
  <c r="N41" i="33"/>
  <c r="M41" i="33"/>
  <c r="L41" i="33"/>
  <c r="K41" i="33"/>
  <c r="N40" i="33"/>
  <c r="M40" i="33"/>
  <c r="L40" i="33"/>
  <c r="K40" i="33"/>
  <c r="N39" i="33"/>
  <c r="M39" i="33"/>
  <c r="L39" i="33"/>
  <c r="K39" i="33"/>
  <c r="N38" i="33"/>
  <c r="M38" i="33"/>
  <c r="L38" i="33"/>
  <c r="K38" i="33"/>
  <c r="N37" i="33"/>
  <c r="M37" i="33"/>
  <c r="L37" i="33"/>
  <c r="K37" i="33"/>
  <c r="N36" i="33"/>
  <c r="M36" i="33"/>
  <c r="L36" i="33"/>
  <c r="K36" i="33"/>
  <c r="N35" i="33"/>
  <c r="M35" i="33"/>
  <c r="L35" i="33"/>
  <c r="K35" i="33"/>
  <c r="N34" i="33"/>
  <c r="M34" i="33"/>
  <c r="L34" i="33"/>
  <c r="K34" i="33"/>
  <c r="N33" i="33"/>
  <c r="M33" i="33"/>
  <c r="L33" i="33"/>
  <c r="K33" i="33"/>
  <c r="N32" i="33"/>
  <c r="M32" i="33"/>
  <c r="L32" i="33"/>
  <c r="K32" i="33"/>
  <c r="N31" i="33"/>
  <c r="M31" i="33"/>
  <c r="L31" i="33"/>
  <c r="K31" i="33"/>
  <c r="N30" i="33"/>
  <c r="M30" i="33"/>
  <c r="L30" i="33"/>
  <c r="K30" i="33"/>
  <c r="N29" i="33"/>
  <c r="M29" i="33"/>
  <c r="L29" i="33"/>
  <c r="K29" i="33"/>
  <c r="N28" i="33"/>
  <c r="M28" i="33"/>
  <c r="L28" i="33"/>
  <c r="K28" i="33"/>
  <c r="N27" i="33"/>
  <c r="M27" i="33"/>
  <c r="L27" i="33"/>
  <c r="K27" i="33"/>
  <c r="N26" i="33"/>
  <c r="M26" i="33"/>
  <c r="L26" i="33"/>
  <c r="K26" i="33"/>
  <c r="N25" i="33"/>
  <c r="M25" i="33"/>
  <c r="L25" i="33"/>
  <c r="K25" i="33"/>
  <c r="N24" i="33"/>
  <c r="M24" i="33"/>
  <c r="L24" i="33"/>
  <c r="K24" i="33"/>
  <c r="N23" i="33"/>
  <c r="M23" i="33"/>
  <c r="L23" i="33"/>
  <c r="K23" i="33"/>
  <c r="N22" i="33"/>
  <c r="M22" i="33"/>
  <c r="L22" i="33"/>
  <c r="K22" i="33"/>
  <c r="N21" i="33"/>
  <c r="M21" i="33"/>
  <c r="L21" i="33"/>
  <c r="K21" i="33"/>
  <c r="N20" i="33"/>
  <c r="M20" i="33"/>
  <c r="L20" i="33"/>
  <c r="K20" i="33"/>
  <c r="N19" i="33"/>
  <c r="M19" i="33"/>
  <c r="L19" i="33"/>
  <c r="K19" i="33"/>
  <c r="N18" i="33"/>
  <c r="M18" i="33"/>
  <c r="L18" i="33"/>
  <c r="K18" i="33"/>
  <c r="N17" i="33"/>
  <c r="M17" i="33"/>
  <c r="L17" i="33"/>
  <c r="K17" i="33"/>
  <c r="N16" i="33"/>
  <c r="M16" i="33"/>
  <c r="L16" i="33"/>
  <c r="K16" i="33"/>
  <c r="N15" i="33"/>
  <c r="M15" i="33"/>
  <c r="L15" i="33"/>
  <c r="K15" i="33"/>
  <c r="N14" i="33"/>
  <c r="M14" i="33"/>
  <c r="L14" i="33"/>
  <c r="K14" i="33"/>
  <c r="N13" i="33"/>
  <c r="M13" i="33"/>
  <c r="L13" i="33"/>
  <c r="K13" i="33"/>
  <c r="N12" i="33"/>
  <c r="M12" i="33"/>
  <c r="L12" i="33"/>
  <c r="K12" i="33"/>
  <c r="N11" i="33"/>
  <c r="M11" i="33"/>
  <c r="L11" i="33"/>
  <c r="K11" i="33"/>
  <c r="N10" i="33"/>
  <c r="M10" i="33"/>
  <c r="L10" i="33"/>
  <c r="K10" i="33"/>
  <c r="N9" i="33"/>
  <c r="M9" i="33"/>
  <c r="L9" i="33"/>
  <c r="K9" i="33"/>
  <c r="N8" i="33"/>
  <c r="M8" i="33"/>
  <c r="L8" i="33"/>
  <c r="K8" i="33"/>
  <c r="N7" i="33"/>
  <c r="M7" i="33"/>
  <c r="L7" i="33"/>
  <c r="K7" i="33"/>
  <c r="N6" i="33"/>
  <c r="M6" i="33"/>
  <c r="L6" i="33"/>
  <c r="K6" i="33"/>
  <c r="N5" i="33"/>
  <c r="M5" i="33"/>
  <c r="L5" i="33"/>
  <c r="K5" i="33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R304" i="31"/>
  <c r="Q304" i="31"/>
  <c r="P304" i="31"/>
  <c r="R303" i="31"/>
  <c r="Q303" i="31"/>
  <c r="P303" i="31"/>
  <c r="R302" i="31"/>
  <c r="Q302" i="31"/>
  <c r="P302" i="31"/>
  <c r="R301" i="31"/>
  <c r="Q301" i="31"/>
  <c r="P301" i="31"/>
  <c r="R300" i="31"/>
  <c r="Q300" i="31"/>
  <c r="P300" i="31"/>
  <c r="R299" i="31"/>
  <c r="Q299" i="31"/>
  <c r="P299" i="31"/>
  <c r="R298" i="31"/>
  <c r="Q298" i="31"/>
  <c r="P298" i="31"/>
  <c r="R297" i="31"/>
  <c r="Q297" i="31"/>
  <c r="P297" i="31"/>
  <c r="R296" i="31"/>
  <c r="Q296" i="31"/>
  <c r="P296" i="31"/>
  <c r="R295" i="31"/>
  <c r="Q295" i="31"/>
  <c r="P295" i="31"/>
  <c r="R294" i="31"/>
  <c r="Q294" i="31"/>
  <c r="P294" i="31"/>
  <c r="R293" i="31"/>
  <c r="Q293" i="31"/>
  <c r="P293" i="31"/>
  <c r="R292" i="31"/>
  <c r="Q292" i="31"/>
  <c r="P292" i="31"/>
  <c r="R291" i="31"/>
  <c r="Q291" i="31"/>
  <c r="P291" i="31"/>
  <c r="R290" i="31"/>
  <c r="Q290" i="31"/>
  <c r="P290" i="31"/>
  <c r="R289" i="31"/>
  <c r="Q289" i="31"/>
  <c r="P289" i="31"/>
  <c r="R288" i="31"/>
  <c r="Q288" i="31"/>
  <c r="P288" i="31"/>
  <c r="R287" i="31"/>
  <c r="Q287" i="31"/>
  <c r="P287" i="31"/>
  <c r="R286" i="31"/>
  <c r="Q286" i="31"/>
  <c r="P286" i="31"/>
  <c r="R285" i="31"/>
  <c r="Q285" i="31"/>
  <c r="P285" i="31"/>
  <c r="R284" i="31"/>
  <c r="Q284" i="31"/>
  <c r="P284" i="31"/>
  <c r="R283" i="31"/>
  <c r="Q283" i="31"/>
  <c r="P283" i="31"/>
  <c r="R282" i="31"/>
  <c r="Q282" i="31"/>
  <c r="P282" i="31"/>
  <c r="R281" i="31"/>
  <c r="Q281" i="31"/>
  <c r="P281" i="31"/>
  <c r="R280" i="31"/>
  <c r="Q280" i="31"/>
  <c r="P280" i="31"/>
  <c r="R279" i="31"/>
  <c r="Q279" i="31"/>
  <c r="P279" i="31"/>
  <c r="R278" i="31"/>
  <c r="Q278" i="31"/>
  <c r="P278" i="31"/>
  <c r="R277" i="31"/>
  <c r="Q277" i="31"/>
  <c r="P277" i="31"/>
  <c r="R276" i="31"/>
  <c r="Q276" i="31"/>
  <c r="P276" i="31"/>
  <c r="R275" i="31"/>
  <c r="Q275" i="31"/>
  <c r="P275" i="31"/>
  <c r="R274" i="31"/>
  <c r="Q274" i="31"/>
  <c r="P274" i="31"/>
  <c r="R273" i="31"/>
  <c r="Q273" i="31"/>
  <c r="P273" i="31"/>
  <c r="R272" i="31"/>
  <c r="Q272" i="31"/>
  <c r="P272" i="31"/>
  <c r="R271" i="31"/>
  <c r="Q271" i="31"/>
  <c r="P271" i="31"/>
  <c r="R270" i="31"/>
  <c r="Q270" i="31"/>
  <c r="P270" i="31"/>
  <c r="R269" i="31"/>
  <c r="Q269" i="31"/>
  <c r="P269" i="31"/>
  <c r="R268" i="31"/>
  <c r="Q268" i="31"/>
  <c r="P268" i="31"/>
  <c r="R267" i="31"/>
  <c r="Q267" i="31"/>
  <c r="P267" i="31"/>
  <c r="R266" i="31"/>
  <c r="Q266" i="31"/>
  <c r="P266" i="31"/>
  <c r="R265" i="31"/>
  <c r="Q265" i="31"/>
  <c r="P265" i="31"/>
  <c r="R264" i="31"/>
  <c r="Q264" i="31"/>
  <c r="P264" i="31"/>
  <c r="R263" i="31"/>
  <c r="Q263" i="31"/>
  <c r="P263" i="31"/>
  <c r="R262" i="31"/>
  <c r="Q262" i="31"/>
  <c r="P262" i="31"/>
  <c r="R261" i="31"/>
  <c r="Q261" i="31"/>
  <c r="P261" i="31"/>
  <c r="R260" i="31"/>
  <c r="Q260" i="31"/>
  <c r="P260" i="31"/>
  <c r="R259" i="31"/>
  <c r="Q259" i="31"/>
  <c r="P259" i="31"/>
  <c r="R258" i="31"/>
  <c r="Q258" i="31"/>
  <c r="P258" i="31"/>
  <c r="R257" i="31"/>
  <c r="Q257" i="31"/>
  <c r="P257" i="31"/>
  <c r="R256" i="31"/>
  <c r="Q256" i="31"/>
  <c r="P256" i="31"/>
  <c r="R255" i="31"/>
  <c r="Q255" i="31"/>
  <c r="P255" i="31"/>
  <c r="R254" i="31"/>
  <c r="Q254" i="31"/>
  <c r="P254" i="31"/>
  <c r="R253" i="31"/>
  <c r="Q253" i="31"/>
  <c r="P253" i="31"/>
  <c r="R252" i="31"/>
  <c r="Q252" i="31"/>
  <c r="P252" i="31"/>
  <c r="R251" i="31"/>
  <c r="Q251" i="31"/>
  <c r="P251" i="31"/>
  <c r="R250" i="31"/>
  <c r="Q250" i="31"/>
  <c r="P250" i="31"/>
  <c r="R249" i="31"/>
  <c r="Q249" i="31"/>
  <c r="P249" i="31"/>
  <c r="R248" i="31"/>
  <c r="Q248" i="31"/>
  <c r="P248" i="31"/>
  <c r="R247" i="31"/>
  <c r="Q247" i="31"/>
  <c r="P247" i="31"/>
  <c r="R246" i="31"/>
  <c r="Q246" i="31"/>
  <c r="P246" i="31"/>
  <c r="R245" i="31"/>
  <c r="Q245" i="31"/>
  <c r="P245" i="31"/>
  <c r="R244" i="31"/>
  <c r="Q244" i="31"/>
  <c r="P244" i="31"/>
  <c r="R243" i="31"/>
  <c r="Q243" i="31"/>
  <c r="P243" i="31"/>
  <c r="R242" i="31"/>
  <c r="Q242" i="31"/>
  <c r="P242" i="31"/>
  <c r="R241" i="31"/>
  <c r="Q241" i="31"/>
  <c r="P241" i="31"/>
  <c r="R240" i="31"/>
  <c r="Q240" i="31"/>
  <c r="P240" i="31"/>
  <c r="R239" i="31"/>
  <c r="Q239" i="31"/>
  <c r="P239" i="31"/>
  <c r="R238" i="31"/>
  <c r="Q238" i="31"/>
  <c r="P238" i="31"/>
  <c r="R237" i="31"/>
  <c r="Q237" i="31"/>
  <c r="P237" i="31"/>
  <c r="R236" i="31"/>
  <c r="Q236" i="31"/>
  <c r="P236" i="31"/>
  <c r="R235" i="31"/>
  <c r="Q235" i="31"/>
  <c r="P235" i="31"/>
  <c r="R234" i="31"/>
  <c r="Q234" i="31"/>
  <c r="P234" i="31"/>
  <c r="R233" i="31"/>
  <c r="Q233" i="31"/>
  <c r="P233" i="31"/>
  <c r="R232" i="31"/>
  <c r="Q232" i="31"/>
  <c r="P232" i="31"/>
  <c r="R231" i="31"/>
  <c r="Q231" i="31"/>
  <c r="P231" i="31"/>
  <c r="R230" i="31"/>
  <c r="Q230" i="31"/>
  <c r="P230" i="31"/>
  <c r="R229" i="31"/>
  <c r="Q229" i="31"/>
  <c r="P229" i="31"/>
  <c r="R228" i="31"/>
  <c r="Q228" i="31"/>
  <c r="P228" i="31"/>
  <c r="R227" i="31"/>
  <c r="Q227" i="31"/>
  <c r="P227" i="31"/>
  <c r="R226" i="31"/>
  <c r="Q226" i="31"/>
  <c r="P226" i="31"/>
  <c r="R225" i="31"/>
  <c r="Q225" i="31"/>
  <c r="P225" i="31"/>
  <c r="R224" i="31"/>
  <c r="Q224" i="31"/>
  <c r="P224" i="31"/>
  <c r="R223" i="31"/>
  <c r="Q223" i="31"/>
  <c r="P223" i="31"/>
  <c r="R222" i="31"/>
  <c r="Q222" i="31"/>
  <c r="P222" i="31"/>
  <c r="R221" i="31"/>
  <c r="Q221" i="31"/>
  <c r="P221" i="31"/>
  <c r="R220" i="31"/>
  <c r="Q220" i="31"/>
  <c r="P220" i="31"/>
  <c r="R219" i="31"/>
  <c r="Q219" i="31"/>
  <c r="P219" i="31"/>
  <c r="R218" i="31"/>
  <c r="Q218" i="31"/>
  <c r="P218" i="31"/>
  <c r="R217" i="31"/>
  <c r="Q217" i="31"/>
  <c r="P217" i="31"/>
  <c r="R216" i="31"/>
  <c r="Q216" i="31"/>
  <c r="P216" i="31"/>
  <c r="R215" i="31"/>
  <c r="Q215" i="31"/>
  <c r="P215" i="31"/>
  <c r="R214" i="31"/>
  <c r="Q214" i="31"/>
  <c r="P214" i="31"/>
  <c r="R213" i="31"/>
  <c r="Q213" i="31"/>
  <c r="P213" i="31"/>
  <c r="R212" i="31"/>
  <c r="Q212" i="31"/>
  <c r="P212" i="31"/>
  <c r="R211" i="31"/>
  <c r="Q211" i="31"/>
  <c r="P211" i="31"/>
  <c r="R210" i="31"/>
  <c r="Q210" i="31"/>
  <c r="P210" i="31"/>
  <c r="R209" i="31"/>
  <c r="Q209" i="31"/>
  <c r="P209" i="31"/>
  <c r="R208" i="31"/>
  <c r="Q208" i="31"/>
  <c r="P208" i="31"/>
  <c r="R207" i="31"/>
  <c r="Q207" i="31"/>
  <c r="P207" i="31"/>
  <c r="R206" i="31"/>
  <c r="Q206" i="31"/>
  <c r="P206" i="31"/>
  <c r="R205" i="31"/>
  <c r="Q205" i="31"/>
  <c r="P205" i="31"/>
  <c r="R204" i="31"/>
  <c r="Q204" i="31"/>
  <c r="P204" i="31"/>
  <c r="R203" i="31"/>
  <c r="Q203" i="31"/>
  <c r="P203" i="31"/>
  <c r="R202" i="31"/>
  <c r="Q202" i="31"/>
  <c r="P202" i="31"/>
  <c r="R201" i="31"/>
  <c r="Q201" i="31"/>
  <c r="P201" i="31"/>
  <c r="R200" i="31"/>
  <c r="Q200" i="31"/>
  <c r="P200" i="31"/>
  <c r="R199" i="31"/>
  <c r="Q199" i="31"/>
  <c r="P199" i="31"/>
  <c r="R198" i="31"/>
  <c r="Q198" i="31"/>
  <c r="P198" i="31"/>
  <c r="R197" i="31"/>
  <c r="Q197" i="31"/>
  <c r="P197" i="31"/>
  <c r="R196" i="31"/>
  <c r="Q196" i="31"/>
  <c r="P196" i="31"/>
  <c r="R195" i="31"/>
  <c r="Q195" i="31"/>
  <c r="P195" i="31"/>
  <c r="R194" i="31"/>
  <c r="Q194" i="31"/>
  <c r="P194" i="31"/>
  <c r="R193" i="31"/>
  <c r="Q193" i="31"/>
  <c r="P193" i="31"/>
  <c r="R192" i="31"/>
  <c r="Q192" i="31"/>
  <c r="P192" i="31"/>
  <c r="R191" i="31"/>
  <c r="Q191" i="31"/>
  <c r="P191" i="31"/>
  <c r="R190" i="31"/>
  <c r="Q190" i="31"/>
  <c r="P190" i="31"/>
  <c r="R189" i="31"/>
  <c r="Q189" i="31"/>
  <c r="P189" i="31"/>
  <c r="R188" i="31"/>
  <c r="Q188" i="31"/>
  <c r="P188" i="31"/>
  <c r="R187" i="31"/>
  <c r="Q187" i="31"/>
  <c r="P187" i="31"/>
  <c r="R186" i="31"/>
  <c r="Q186" i="31"/>
  <c r="P186" i="31"/>
  <c r="R185" i="31"/>
  <c r="Q185" i="31"/>
  <c r="P185" i="31"/>
  <c r="R184" i="31"/>
  <c r="Q184" i="31"/>
  <c r="P184" i="31"/>
  <c r="R183" i="31"/>
  <c r="Q183" i="31"/>
  <c r="P183" i="31"/>
  <c r="R182" i="31"/>
  <c r="Q182" i="31"/>
  <c r="P182" i="31"/>
  <c r="R181" i="31"/>
  <c r="Q181" i="31"/>
  <c r="P181" i="31"/>
  <c r="R180" i="31"/>
  <c r="Q180" i="31"/>
  <c r="P180" i="31"/>
  <c r="R179" i="31"/>
  <c r="Q179" i="31"/>
  <c r="P179" i="31"/>
  <c r="R178" i="31"/>
  <c r="Q178" i="31"/>
  <c r="P178" i="31"/>
  <c r="R177" i="31"/>
  <c r="Q177" i="31"/>
  <c r="P177" i="31"/>
  <c r="R176" i="31"/>
  <c r="Q176" i="31"/>
  <c r="P176" i="31"/>
  <c r="R175" i="31"/>
  <c r="Q175" i="31"/>
  <c r="P175" i="31"/>
  <c r="R174" i="31"/>
  <c r="Q174" i="31"/>
  <c r="P174" i="31"/>
  <c r="R173" i="31"/>
  <c r="Q173" i="31"/>
  <c r="P173" i="31"/>
  <c r="R172" i="31"/>
  <c r="Q172" i="31"/>
  <c r="P172" i="31"/>
  <c r="R171" i="31"/>
  <c r="Q171" i="31"/>
  <c r="P171" i="31"/>
  <c r="R170" i="31"/>
  <c r="Q170" i="31"/>
  <c r="P170" i="31"/>
  <c r="R169" i="31"/>
  <c r="Q169" i="31"/>
  <c r="P169" i="31"/>
  <c r="R168" i="31"/>
  <c r="Q168" i="31"/>
  <c r="P168" i="31"/>
  <c r="R167" i="31"/>
  <c r="Q167" i="31"/>
  <c r="P167" i="31"/>
  <c r="R166" i="31"/>
  <c r="Q166" i="31"/>
  <c r="P166" i="31"/>
  <c r="R165" i="31"/>
  <c r="Q165" i="31"/>
  <c r="P165" i="31"/>
  <c r="R164" i="31"/>
  <c r="Q164" i="31"/>
  <c r="P164" i="31"/>
  <c r="R163" i="31"/>
  <c r="Q163" i="31"/>
  <c r="P163" i="31"/>
  <c r="R162" i="31"/>
  <c r="Q162" i="31"/>
  <c r="P162" i="31"/>
  <c r="R161" i="31"/>
  <c r="Q161" i="31"/>
  <c r="P161" i="31"/>
  <c r="R160" i="31"/>
  <c r="Q160" i="31"/>
  <c r="P160" i="31"/>
  <c r="R159" i="31"/>
  <c r="Q159" i="31"/>
  <c r="P159" i="31"/>
  <c r="R158" i="31"/>
  <c r="Q158" i="31"/>
  <c r="P158" i="31"/>
  <c r="R157" i="31"/>
  <c r="Q157" i="31"/>
  <c r="P157" i="31"/>
  <c r="R156" i="31"/>
  <c r="Q156" i="31"/>
  <c r="P156" i="31"/>
  <c r="R155" i="31"/>
  <c r="Q155" i="31"/>
  <c r="P155" i="31"/>
  <c r="R154" i="31"/>
  <c r="Q154" i="31"/>
  <c r="P154" i="31"/>
  <c r="R153" i="31"/>
  <c r="Q153" i="31"/>
  <c r="P153" i="31"/>
  <c r="R152" i="31"/>
  <c r="Q152" i="31"/>
  <c r="P152" i="31"/>
  <c r="R151" i="31"/>
  <c r="Q151" i="31"/>
  <c r="P151" i="31"/>
  <c r="R150" i="31"/>
  <c r="Q150" i="31"/>
  <c r="P150" i="31"/>
  <c r="R149" i="31"/>
  <c r="Q149" i="31"/>
  <c r="P149" i="31"/>
  <c r="R148" i="31"/>
  <c r="Q148" i="31"/>
  <c r="P148" i="31"/>
  <c r="R147" i="31"/>
  <c r="Q147" i="31"/>
  <c r="P147" i="31"/>
  <c r="R146" i="31"/>
  <c r="Q146" i="31"/>
  <c r="P146" i="31"/>
  <c r="R145" i="31"/>
  <c r="Q145" i="31"/>
  <c r="P145" i="31"/>
  <c r="R144" i="31"/>
  <c r="Q144" i="31"/>
  <c r="P144" i="31"/>
  <c r="R143" i="31"/>
  <c r="Q143" i="31"/>
  <c r="P143" i="31"/>
  <c r="R142" i="31"/>
  <c r="Q142" i="31"/>
  <c r="P142" i="31"/>
  <c r="R141" i="31"/>
  <c r="Q141" i="31"/>
  <c r="P141" i="31"/>
  <c r="R140" i="31"/>
  <c r="Q140" i="31"/>
  <c r="P140" i="31"/>
  <c r="R139" i="31"/>
  <c r="Q139" i="31"/>
  <c r="P139" i="31"/>
  <c r="R138" i="31"/>
  <c r="Q138" i="31"/>
  <c r="P138" i="31"/>
  <c r="R137" i="31"/>
  <c r="Q137" i="31"/>
  <c r="P137" i="31"/>
  <c r="R136" i="31"/>
  <c r="Q136" i="31"/>
  <c r="P136" i="31"/>
  <c r="R135" i="31"/>
  <c r="Q135" i="31"/>
  <c r="P135" i="31"/>
  <c r="R134" i="31"/>
  <c r="Q134" i="31"/>
  <c r="P134" i="31"/>
  <c r="R133" i="31"/>
  <c r="Q133" i="31"/>
  <c r="P133" i="31"/>
  <c r="R132" i="31"/>
  <c r="Q132" i="31"/>
  <c r="P132" i="31"/>
  <c r="R131" i="31"/>
  <c r="Q131" i="31"/>
  <c r="P131" i="31"/>
  <c r="R130" i="31"/>
  <c r="Q130" i="31"/>
  <c r="P130" i="31"/>
  <c r="R129" i="31"/>
  <c r="Q129" i="31"/>
  <c r="P129" i="31"/>
  <c r="R128" i="31"/>
  <c r="Q128" i="31"/>
  <c r="P128" i="31"/>
  <c r="R127" i="31"/>
  <c r="Q127" i="31"/>
  <c r="P127" i="31"/>
  <c r="R126" i="31"/>
  <c r="Q126" i="31"/>
  <c r="P126" i="31"/>
  <c r="R125" i="31"/>
  <c r="Q125" i="31"/>
  <c r="P125" i="31"/>
  <c r="R124" i="31"/>
  <c r="Q124" i="31"/>
  <c r="P124" i="31"/>
  <c r="R123" i="31"/>
  <c r="Q123" i="31"/>
  <c r="P123" i="31"/>
  <c r="R122" i="31"/>
  <c r="Q122" i="31"/>
  <c r="P122" i="31"/>
  <c r="R121" i="31"/>
  <c r="Q121" i="31"/>
  <c r="P121" i="31"/>
  <c r="R120" i="31"/>
  <c r="Q120" i="31"/>
  <c r="P120" i="31"/>
  <c r="R119" i="31"/>
  <c r="Q119" i="31"/>
  <c r="P119" i="31"/>
  <c r="R118" i="31"/>
  <c r="Q118" i="31"/>
  <c r="P118" i="31"/>
  <c r="R117" i="31"/>
  <c r="Q117" i="31"/>
  <c r="P117" i="31"/>
  <c r="R116" i="31"/>
  <c r="Q116" i="31"/>
  <c r="P116" i="31"/>
  <c r="R115" i="31"/>
  <c r="Q115" i="31"/>
  <c r="P115" i="31"/>
  <c r="R114" i="31"/>
  <c r="Q114" i="31"/>
  <c r="P114" i="31"/>
  <c r="R113" i="31"/>
  <c r="Q113" i="31"/>
  <c r="P113" i="31"/>
  <c r="R112" i="31"/>
  <c r="Q112" i="31"/>
  <c r="P112" i="31"/>
  <c r="R111" i="31"/>
  <c r="Q111" i="31"/>
  <c r="P111" i="31"/>
  <c r="R110" i="31"/>
  <c r="Q110" i="31"/>
  <c r="P110" i="31"/>
  <c r="R109" i="31"/>
  <c r="Q109" i="31"/>
  <c r="P109" i="31"/>
  <c r="R108" i="31"/>
  <c r="Q108" i="31"/>
  <c r="P108" i="31"/>
  <c r="R107" i="31"/>
  <c r="Q107" i="31"/>
  <c r="P107" i="31"/>
  <c r="R106" i="31"/>
  <c r="Q106" i="31"/>
  <c r="P106" i="31"/>
  <c r="R105" i="31"/>
  <c r="Q105" i="31"/>
  <c r="P105" i="31"/>
  <c r="R104" i="31"/>
  <c r="Q104" i="31"/>
  <c r="P104" i="31"/>
  <c r="R103" i="31"/>
  <c r="Q103" i="31"/>
  <c r="P103" i="31"/>
  <c r="R102" i="31"/>
  <c r="Q102" i="31"/>
  <c r="P102" i="31"/>
  <c r="R101" i="31"/>
  <c r="Q101" i="31"/>
  <c r="P101" i="31"/>
  <c r="R100" i="31"/>
  <c r="Q100" i="31"/>
  <c r="P100" i="31"/>
  <c r="R99" i="31"/>
  <c r="Q99" i="31"/>
  <c r="P99" i="31"/>
  <c r="R98" i="31"/>
  <c r="Q98" i="31"/>
  <c r="P98" i="31"/>
  <c r="R97" i="31"/>
  <c r="Q97" i="31"/>
  <c r="P97" i="31"/>
  <c r="R96" i="31"/>
  <c r="Q96" i="31"/>
  <c r="P96" i="31"/>
  <c r="R95" i="31"/>
  <c r="Q95" i="31"/>
  <c r="P95" i="31"/>
  <c r="R94" i="31"/>
  <c r="Q94" i="31"/>
  <c r="P94" i="31"/>
  <c r="R93" i="31"/>
  <c r="Q93" i="31"/>
  <c r="P93" i="31"/>
  <c r="R92" i="31"/>
  <c r="Q92" i="31"/>
  <c r="P92" i="31"/>
  <c r="R91" i="31"/>
  <c r="Q91" i="31"/>
  <c r="P91" i="31"/>
  <c r="R90" i="31"/>
  <c r="Q90" i="31"/>
  <c r="P90" i="31"/>
  <c r="R89" i="31"/>
  <c r="Q89" i="31"/>
  <c r="P89" i="31"/>
  <c r="R88" i="31"/>
  <c r="Q88" i="31"/>
  <c r="P88" i="31"/>
  <c r="R87" i="31"/>
  <c r="Q87" i="31"/>
  <c r="P87" i="31"/>
  <c r="R86" i="31"/>
  <c r="Q86" i="31"/>
  <c r="P86" i="31"/>
  <c r="R85" i="31"/>
  <c r="Q85" i="31"/>
  <c r="P85" i="31"/>
  <c r="R84" i="31"/>
  <c r="Q84" i="31"/>
  <c r="P84" i="31"/>
  <c r="R83" i="31"/>
  <c r="Q83" i="31"/>
  <c r="P83" i="31"/>
  <c r="R82" i="31"/>
  <c r="Q82" i="31"/>
  <c r="P82" i="31"/>
  <c r="R81" i="31"/>
  <c r="Q81" i="31"/>
  <c r="P81" i="31"/>
  <c r="R80" i="31"/>
  <c r="Q80" i="31"/>
  <c r="P80" i="31"/>
  <c r="R79" i="31"/>
  <c r="Q79" i="31"/>
  <c r="P79" i="31"/>
  <c r="R78" i="31"/>
  <c r="Q78" i="31"/>
  <c r="P78" i="31"/>
  <c r="R77" i="31"/>
  <c r="Q77" i="31"/>
  <c r="P77" i="31"/>
  <c r="R76" i="31"/>
  <c r="Q76" i="31"/>
  <c r="P76" i="31"/>
  <c r="R75" i="31"/>
  <c r="Q75" i="31"/>
  <c r="P75" i="31"/>
  <c r="R74" i="31"/>
  <c r="Q74" i="31"/>
  <c r="P74" i="31"/>
  <c r="R73" i="31"/>
  <c r="Q73" i="31"/>
  <c r="P73" i="31"/>
  <c r="R72" i="31"/>
  <c r="Q72" i="31"/>
  <c r="P72" i="31"/>
  <c r="R71" i="31"/>
  <c r="Q71" i="31"/>
  <c r="P71" i="31"/>
  <c r="R70" i="31"/>
  <c r="Q70" i="31"/>
  <c r="P70" i="31"/>
  <c r="R69" i="31"/>
  <c r="Q69" i="31"/>
  <c r="P69" i="31"/>
  <c r="R68" i="31"/>
  <c r="Q68" i="31"/>
  <c r="P68" i="31"/>
  <c r="R67" i="31"/>
  <c r="Q67" i="31"/>
  <c r="P67" i="31"/>
  <c r="R66" i="31"/>
  <c r="Q66" i="31"/>
  <c r="P66" i="31"/>
  <c r="R65" i="31"/>
  <c r="Q65" i="31"/>
  <c r="P65" i="31"/>
  <c r="R64" i="31"/>
  <c r="Q64" i="31"/>
  <c r="P64" i="31"/>
  <c r="R63" i="31"/>
  <c r="Q63" i="31"/>
  <c r="P63" i="31"/>
  <c r="R62" i="31"/>
  <c r="Q62" i="31"/>
  <c r="P62" i="31"/>
  <c r="R61" i="31"/>
  <c r="Q61" i="31"/>
  <c r="P61" i="31"/>
  <c r="R60" i="31"/>
  <c r="Q60" i="31"/>
  <c r="P60" i="31"/>
  <c r="R59" i="31"/>
  <c r="Q59" i="31"/>
  <c r="P59" i="31"/>
  <c r="R58" i="31"/>
  <c r="Q58" i="31"/>
  <c r="P58" i="31"/>
  <c r="R57" i="31"/>
  <c r="Q57" i="31"/>
  <c r="P57" i="31"/>
  <c r="R56" i="31"/>
  <c r="Q56" i="31"/>
  <c r="P56" i="31"/>
  <c r="R55" i="31"/>
  <c r="Q55" i="31"/>
  <c r="P55" i="31"/>
  <c r="R54" i="31"/>
  <c r="Q54" i="31"/>
  <c r="P54" i="31"/>
  <c r="R53" i="31"/>
  <c r="Q53" i="31"/>
  <c r="P53" i="31"/>
  <c r="R52" i="31"/>
  <c r="Q52" i="31"/>
  <c r="P52" i="31"/>
  <c r="R51" i="31"/>
  <c r="Q51" i="31"/>
  <c r="P51" i="31"/>
  <c r="R50" i="31"/>
  <c r="Q50" i="31"/>
  <c r="P50" i="31"/>
  <c r="R49" i="31"/>
  <c r="Q49" i="31"/>
  <c r="P49" i="31"/>
  <c r="R48" i="31"/>
  <c r="Q48" i="31"/>
  <c r="P48" i="31"/>
  <c r="R47" i="31"/>
  <c r="Q47" i="31"/>
  <c r="P47" i="31"/>
  <c r="R46" i="31"/>
  <c r="Q46" i="31"/>
  <c r="P46" i="31"/>
  <c r="R45" i="31"/>
  <c r="Q45" i="31"/>
  <c r="P45" i="31"/>
  <c r="R44" i="31"/>
  <c r="Q44" i="31"/>
  <c r="P44" i="31"/>
  <c r="R43" i="31"/>
  <c r="Q43" i="31"/>
  <c r="P43" i="31"/>
  <c r="R42" i="31"/>
  <c r="Q42" i="31"/>
  <c r="P42" i="31"/>
  <c r="R41" i="31"/>
  <c r="Q41" i="31"/>
  <c r="P41" i="31"/>
  <c r="R40" i="31"/>
  <c r="Q40" i="31"/>
  <c r="P40" i="31"/>
  <c r="R39" i="31"/>
  <c r="Q39" i="31"/>
  <c r="P39" i="31"/>
  <c r="R38" i="31"/>
  <c r="Q38" i="31"/>
  <c r="P38" i="31"/>
  <c r="R37" i="31"/>
  <c r="Q37" i="31"/>
  <c r="P37" i="31"/>
  <c r="R36" i="31"/>
  <c r="Q36" i="31"/>
  <c r="P36" i="31"/>
  <c r="R35" i="31"/>
  <c r="Q35" i="31"/>
  <c r="P35" i="31"/>
  <c r="R34" i="31"/>
  <c r="Q34" i="31"/>
  <c r="P34" i="31"/>
  <c r="R33" i="31"/>
  <c r="Q33" i="31"/>
  <c r="P33" i="31"/>
  <c r="R32" i="31"/>
  <c r="Q32" i="31"/>
  <c r="P32" i="31"/>
  <c r="R31" i="31"/>
  <c r="Q31" i="31"/>
  <c r="P31" i="31"/>
  <c r="R30" i="31"/>
  <c r="Q30" i="31"/>
  <c r="P30" i="31"/>
  <c r="R29" i="31"/>
  <c r="Q29" i="31"/>
  <c r="P29" i="31"/>
  <c r="R28" i="31"/>
  <c r="Q28" i="31"/>
  <c r="P28" i="31"/>
  <c r="R27" i="31"/>
  <c r="Q27" i="31"/>
  <c r="P27" i="31"/>
  <c r="R26" i="31"/>
  <c r="Q26" i="31"/>
  <c r="P26" i="31"/>
  <c r="R25" i="31"/>
  <c r="Q25" i="31"/>
  <c r="P25" i="31"/>
  <c r="R24" i="31"/>
  <c r="Q24" i="31"/>
  <c r="P24" i="31"/>
  <c r="R23" i="31"/>
  <c r="Q23" i="31"/>
  <c r="P23" i="31"/>
  <c r="R22" i="31"/>
  <c r="Q22" i="31"/>
  <c r="P22" i="31"/>
  <c r="R21" i="31"/>
  <c r="Q21" i="31"/>
  <c r="P21" i="31"/>
  <c r="R20" i="31"/>
  <c r="Q20" i="31"/>
  <c r="P20" i="31"/>
  <c r="R19" i="31"/>
  <c r="Q19" i="31"/>
  <c r="P19" i="31"/>
  <c r="R18" i="31"/>
  <c r="Q18" i="31"/>
  <c r="P18" i="31"/>
  <c r="R17" i="31"/>
  <c r="Q17" i="31"/>
  <c r="P17" i="31"/>
  <c r="R16" i="31"/>
  <c r="Q16" i="31"/>
  <c r="P16" i="31"/>
  <c r="R15" i="31"/>
  <c r="Q15" i="31"/>
  <c r="P15" i="31"/>
  <c r="R14" i="31"/>
  <c r="Q14" i="31"/>
  <c r="P14" i="31"/>
  <c r="R13" i="31"/>
  <c r="Q13" i="31"/>
  <c r="P13" i="31"/>
  <c r="R12" i="31"/>
  <c r="Q12" i="31"/>
  <c r="P12" i="31"/>
  <c r="R11" i="31"/>
  <c r="Q11" i="31"/>
  <c r="P11" i="31"/>
  <c r="R10" i="31"/>
  <c r="Q10" i="31"/>
  <c r="P10" i="31"/>
  <c r="R9" i="31"/>
  <c r="Q9" i="31"/>
  <c r="P9" i="31"/>
  <c r="R8" i="31"/>
  <c r="Q8" i="31"/>
  <c r="P8" i="31"/>
  <c r="R7" i="31"/>
  <c r="Q7" i="31"/>
  <c r="P7" i="31"/>
  <c r="R6" i="31"/>
  <c r="Q6" i="31"/>
  <c r="P6" i="31"/>
  <c r="R5" i="31"/>
  <c r="Q5" i="31"/>
  <c r="P5" i="31"/>
  <c r="U304" i="30"/>
  <c r="U303" i="30"/>
  <c r="U302" i="30"/>
  <c r="U301" i="30"/>
  <c r="U300" i="30"/>
  <c r="U299" i="30"/>
  <c r="U298" i="30"/>
  <c r="U297" i="30"/>
  <c r="U296" i="30"/>
  <c r="U295" i="30"/>
  <c r="U294" i="30"/>
  <c r="U293" i="30"/>
  <c r="U292" i="30"/>
  <c r="U291" i="30"/>
  <c r="U290" i="30"/>
  <c r="U289" i="30"/>
  <c r="U288" i="30"/>
  <c r="U287" i="30"/>
  <c r="U286" i="30"/>
  <c r="U285" i="30"/>
  <c r="U284" i="30"/>
  <c r="U283" i="30"/>
  <c r="U282" i="30"/>
  <c r="U281" i="30"/>
  <c r="U280" i="30"/>
  <c r="U279" i="30"/>
  <c r="U278" i="30"/>
  <c r="U277" i="30"/>
  <c r="U276" i="30"/>
  <c r="U275" i="30"/>
  <c r="U274" i="30"/>
  <c r="U273" i="30"/>
  <c r="U272" i="30"/>
  <c r="U271" i="30"/>
  <c r="U270" i="30"/>
  <c r="U269" i="30"/>
  <c r="U268" i="30"/>
  <c r="U267" i="30"/>
  <c r="U266" i="30"/>
  <c r="U265" i="30"/>
  <c r="U264" i="30"/>
  <c r="U263" i="30"/>
  <c r="U262" i="30"/>
  <c r="U261" i="30"/>
  <c r="U260" i="30"/>
  <c r="U259" i="30"/>
  <c r="U258" i="30"/>
  <c r="U257" i="30"/>
  <c r="U256" i="30"/>
  <c r="U255" i="30"/>
  <c r="U254" i="30"/>
  <c r="U253" i="30"/>
  <c r="U252" i="30"/>
  <c r="U251" i="30"/>
  <c r="U250" i="30"/>
  <c r="U249" i="30"/>
  <c r="U248" i="30"/>
  <c r="U247" i="30"/>
  <c r="U246" i="30"/>
  <c r="U245" i="30"/>
  <c r="U244" i="30"/>
  <c r="U243" i="30"/>
  <c r="U242" i="30"/>
  <c r="U241" i="30"/>
  <c r="U240" i="30"/>
  <c r="U239" i="30"/>
  <c r="U238" i="30"/>
  <c r="U237" i="30"/>
  <c r="U236" i="30"/>
  <c r="U235" i="30"/>
  <c r="U234" i="30"/>
  <c r="U233" i="30"/>
  <c r="U232" i="30"/>
  <c r="U231" i="30"/>
  <c r="U230" i="30"/>
  <c r="U229" i="30"/>
  <c r="U228" i="30"/>
  <c r="U227" i="30"/>
  <c r="U226" i="30"/>
  <c r="U225" i="30"/>
  <c r="U224" i="30"/>
  <c r="U223" i="30"/>
  <c r="U222" i="30"/>
  <c r="U221" i="30"/>
  <c r="U220" i="30"/>
  <c r="U219" i="30"/>
  <c r="U218" i="30"/>
  <c r="U217" i="30"/>
  <c r="U216" i="30"/>
  <c r="U215" i="30"/>
  <c r="U214" i="30"/>
  <c r="U213" i="30"/>
  <c r="U212" i="30"/>
  <c r="U211" i="30"/>
  <c r="U210" i="30"/>
  <c r="U209" i="30"/>
  <c r="U208" i="30"/>
  <c r="U207" i="30"/>
  <c r="U206" i="30"/>
  <c r="U205" i="30"/>
  <c r="U204" i="30"/>
  <c r="U203" i="30"/>
  <c r="U202" i="30"/>
  <c r="U201" i="30"/>
  <c r="U200" i="30"/>
  <c r="U199" i="30"/>
  <c r="U198" i="30"/>
  <c r="U197" i="30"/>
  <c r="U196" i="30"/>
  <c r="U195" i="30"/>
  <c r="U194" i="30"/>
  <c r="U193" i="30"/>
  <c r="U192" i="30"/>
  <c r="U191" i="30"/>
  <c r="U190" i="30"/>
  <c r="U189" i="30"/>
  <c r="U188" i="30"/>
  <c r="U187" i="30"/>
  <c r="U186" i="30"/>
  <c r="U185" i="30"/>
  <c r="U184" i="30"/>
  <c r="U183" i="30"/>
  <c r="U182" i="30"/>
  <c r="U181" i="30"/>
  <c r="U180" i="30"/>
  <c r="U179" i="30"/>
  <c r="U178" i="30"/>
  <c r="U177" i="30"/>
  <c r="U176" i="30"/>
  <c r="U175" i="30"/>
  <c r="U174" i="30"/>
  <c r="U173" i="30"/>
  <c r="U172" i="30"/>
  <c r="U171" i="30"/>
  <c r="U170" i="30"/>
  <c r="U169" i="30"/>
  <c r="U168" i="30"/>
  <c r="U167" i="30"/>
  <c r="U166" i="30"/>
  <c r="U165" i="30"/>
  <c r="U164" i="30"/>
  <c r="U163" i="30"/>
  <c r="U162" i="30"/>
  <c r="U161" i="30"/>
  <c r="U160" i="30"/>
  <c r="U159" i="30"/>
  <c r="U158" i="30"/>
  <c r="U157" i="30"/>
  <c r="U156" i="30"/>
  <c r="U155" i="30"/>
  <c r="U154" i="30"/>
  <c r="U153" i="30"/>
  <c r="U152" i="30"/>
  <c r="U151" i="30"/>
  <c r="U150" i="30"/>
  <c r="U149" i="30"/>
  <c r="U148" i="30"/>
  <c r="U147" i="30"/>
  <c r="U146" i="30"/>
  <c r="U145" i="30"/>
  <c r="U144" i="30"/>
  <c r="U143" i="30"/>
  <c r="U142" i="30"/>
  <c r="U141" i="30"/>
  <c r="U140" i="30"/>
  <c r="U139" i="30"/>
  <c r="U138" i="30"/>
  <c r="U137" i="30"/>
  <c r="U136" i="30"/>
  <c r="U135" i="30"/>
  <c r="U134" i="30"/>
  <c r="U133" i="30"/>
  <c r="U132" i="30"/>
  <c r="U131" i="30"/>
  <c r="U130" i="30"/>
  <c r="U129" i="30"/>
  <c r="U128" i="30"/>
  <c r="U127" i="30"/>
  <c r="U126" i="30"/>
  <c r="U125" i="30"/>
  <c r="U124" i="30"/>
  <c r="U123" i="30"/>
  <c r="U122" i="30"/>
  <c r="U121" i="30"/>
  <c r="U120" i="30"/>
  <c r="U119" i="30"/>
  <c r="U118" i="30"/>
  <c r="U117" i="30"/>
  <c r="U116" i="30"/>
  <c r="U115" i="30"/>
  <c r="U114" i="30"/>
  <c r="U113" i="30"/>
  <c r="U112" i="30"/>
  <c r="U111" i="30"/>
  <c r="U110" i="30"/>
  <c r="U109" i="30"/>
  <c r="U108" i="30"/>
  <c r="U107" i="30"/>
  <c r="U106" i="30"/>
  <c r="U105" i="30"/>
  <c r="U104" i="30"/>
  <c r="U103" i="30"/>
  <c r="U102" i="30"/>
  <c r="U101" i="30"/>
  <c r="U100" i="30"/>
  <c r="U99" i="30"/>
  <c r="U98" i="30"/>
  <c r="U97" i="30"/>
  <c r="U96" i="30"/>
  <c r="U95" i="30"/>
  <c r="U94" i="30"/>
  <c r="U93" i="30"/>
  <c r="U92" i="30"/>
  <c r="U91" i="30"/>
  <c r="U90" i="30"/>
  <c r="U89" i="30"/>
  <c r="U88" i="30"/>
  <c r="U87" i="30"/>
  <c r="U86" i="30"/>
  <c r="U85" i="30"/>
  <c r="U84" i="30"/>
  <c r="U83" i="30"/>
  <c r="U82" i="30"/>
  <c r="U81" i="30"/>
  <c r="U80" i="30"/>
  <c r="U79" i="30"/>
  <c r="U78" i="30"/>
  <c r="U77" i="30"/>
  <c r="U76" i="30"/>
  <c r="U75" i="30"/>
  <c r="U74" i="30"/>
  <c r="U73" i="30"/>
  <c r="U72" i="30"/>
  <c r="U71" i="30"/>
  <c r="U70" i="30"/>
  <c r="U69" i="30"/>
  <c r="U68" i="30"/>
  <c r="U67" i="30"/>
  <c r="U66" i="30"/>
  <c r="U65" i="30"/>
  <c r="U64" i="30"/>
  <c r="U63" i="30"/>
  <c r="U62" i="30"/>
  <c r="U61" i="30"/>
  <c r="U60" i="30"/>
  <c r="U59" i="30"/>
  <c r="U58" i="30"/>
  <c r="U57" i="30"/>
  <c r="U56" i="30"/>
  <c r="U55" i="30"/>
  <c r="U54" i="30"/>
  <c r="U53" i="30"/>
  <c r="U52" i="30"/>
  <c r="U51" i="30"/>
  <c r="U50" i="30"/>
  <c r="U49" i="30"/>
  <c r="U48" i="30"/>
  <c r="U47" i="30"/>
  <c r="U46" i="30"/>
  <c r="U45" i="30"/>
  <c r="U44" i="30"/>
  <c r="U43" i="30"/>
  <c r="U42" i="30"/>
  <c r="U41" i="30"/>
  <c r="U40" i="30"/>
  <c r="U39" i="30"/>
  <c r="U38" i="30"/>
  <c r="U37" i="30"/>
  <c r="U36" i="30"/>
  <c r="U35" i="30"/>
  <c r="U34" i="30"/>
  <c r="U33" i="30"/>
  <c r="U32" i="30"/>
  <c r="U31" i="30"/>
  <c r="U30" i="30"/>
  <c r="U29" i="30"/>
  <c r="U28" i="30"/>
  <c r="U27" i="30"/>
  <c r="U26" i="30"/>
  <c r="U25" i="30"/>
  <c r="U24" i="30"/>
  <c r="U23" i="30"/>
  <c r="U22" i="30"/>
  <c r="U21" i="30"/>
  <c r="U20" i="30"/>
  <c r="U19" i="30"/>
  <c r="U18" i="30"/>
  <c r="U17" i="30"/>
  <c r="U16" i="30"/>
  <c r="U15" i="30"/>
  <c r="U14" i="30"/>
  <c r="U13" i="30"/>
  <c r="U12" i="30"/>
  <c r="U11" i="30"/>
  <c r="U10" i="30"/>
  <c r="U9" i="30"/>
  <c r="U8" i="30"/>
  <c r="U7" i="30"/>
  <c r="U6" i="30"/>
  <c r="U5" i="30"/>
  <c r="U304" i="29"/>
  <c r="U303" i="29"/>
  <c r="U302" i="29"/>
  <c r="U301" i="29"/>
  <c r="U300" i="29"/>
  <c r="U299" i="29"/>
  <c r="U298" i="29"/>
  <c r="U297" i="29"/>
  <c r="U296" i="29"/>
  <c r="U295" i="29"/>
  <c r="U294" i="29"/>
  <c r="U293" i="29"/>
  <c r="U292" i="29"/>
  <c r="U291" i="29"/>
  <c r="U290" i="29"/>
  <c r="U289" i="29"/>
  <c r="U288" i="29"/>
  <c r="U287" i="29"/>
  <c r="U286" i="29"/>
  <c r="U285" i="29"/>
  <c r="U284" i="29"/>
  <c r="U283" i="29"/>
  <c r="U282" i="29"/>
  <c r="U281" i="29"/>
  <c r="U280" i="29"/>
  <c r="U279" i="29"/>
  <c r="U278" i="29"/>
  <c r="U277" i="29"/>
  <c r="U276" i="29"/>
  <c r="U275" i="29"/>
  <c r="U274" i="29"/>
  <c r="U273" i="29"/>
  <c r="U272" i="29"/>
  <c r="U271" i="29"/>
  <c r="U270" i="29"/>
  <c r="U269" i="29"/>
  <c r="U268" i="29"/>
  <c r="U267" i="29"/>
  <c r="U266" i="29"/>
  <c r="U265" i="29"/>
  <c r="U264" i="29"/>
  <c r="U263" i="29"/>
  <c r="U262" i="29"/>
  <c r="U261" i="29"/>
  <c r="U260" i="29"/>
  <c r="U259" i="29"/>
  <c r="U258" i="29"/>
  <c r="U257" i="29"/>
  <c r="U256" i="29"/>
  <c r="U255" i="29"/>
  <c r="U254" i="29"/>
  <c r="U253" i="29"/>
  <c r="U252" i="29"/>
  <c r="U251" i="29"/>
  <c r="U250" i="29"/>
  <c r="U249" i="29"/>
  <c r="U248" i="29"/>
  <c r="U247" i="29"/>
  <c r="U246" i="29"/>
  <c r="U245" i="29"/>
  <c r="U244" i="29"/>
  <c r="U243" i="29"/>
  <c r="U242" i="29"/>
  <c r="U241" i="29"/>
  <c r="U240" i="29"/>
  <c r="U239" i="29"/>
  <c r="U238" i="29"/>
  <c r="U237" i="29"/>
  <c r="U236" i="29"/>
  <c r="U235" i="29"/>
  <c r="U234" i="29"/>
  <c r="U233" i="29"/>
  <c r="U232" i="29"/>
  <c r="U231" i="29"/>
  <c r="U230" i="29"/>
  <c r="U229" i="29"/>
  <c r="U228" i="29"/>
  <c r="U227" i="29"/>
  <c r="U226" i="29"/>
  <c r="U225" i="29"/>
  <c r="U224" i="29"/>
  <c r="U223" i="29"/>
  <c r="U222" i="29"/>
  <c r="U221" i="29"/>
  <c r="U220" i="29"/>
  <c r="U219" i="29"/>
  <c r="U218" i="29"/>
  <c r="U217" i="29"/>
  <c r="U216" i="29"/>
  <c r="U215" i="29"/>
  <c r="U214" i="29"/>
  <c r="U213" i="29"/>
  <c r="U212" i="29"/>
  <c r="U211" i="29"/>
  <c r="U210" i="29"/>
  <c r="U209" i="29"/>
  <c r="U208" i="29"/>
  <c r="U207" i="29"/>
  <c r="U206" i="29"/>
  <c r="U205" i="29"/>
  <c r="U204" i="29"/>
  <c r="U203" i="29"/>
  <c r="U202" i="29"/>
  <c r="U201" i="29"/>
  <c r="U200" i="29"/>
  <c r="U199" i="29"/>
  <c r="U198" i="29"/>
  <c r="U197" i="29"/>
  <c r="U196" i="29"/>
  <c r="U195" i="29"/>
  <c r="U194" i="29"/>
  <c r="U193" i="29"/>
  <c r="U192" i="29"/>
  <c r="U191" i="29"/>
  <c r="U190" i="29"/>
  <c r="U189" i="29"/>
  <c r="U188" i="29"/>
  <c r="U187" i="29"/>
  <c r="U186" i="29"/>
  <c r="U185" i="29"/>
  <c r="U184" i="29"/>
  <c r="U183" i="29"/>
  <c r="U182" i="29"/>
  <c r="U181" i="29"/>
  <c r="U180" i="29"/>
  <c r="U179" i="29"/>
  <c r="U178" i="29"/>
  <c r="U177" i="29"/>
  <c r="U176" i="29"/>
  <c r="U175" i="29"/>
  <c r="U174" i="29"/>
  <c r="U173" i="29"/>
  <c r="U172" i="29"/>
  <c r="U171" i="29"/>
  <c r="U170" i="29"/>
  <c r="U169" i="29"/>
  <c r="U168" i="29"/>
  <c r="U167" i="29"/>
  <c r="U166" i="29"/>
  <c r="U165" i="29"/>
  <c r="U164" i="29"/>
  <c r="U163" i="29"/>
  <c r="U162" i="29"/>
  <c r="U161" i="29"/>
  <c r="U160" i="29"/>
  <c r="U159" i="29"/>
  <c r="U158" i="29"/>
  <c r="U157" i="29"/>
  <c r="U156" i="29"/>
  <c r="U155" i="29"/>
  <c r="U154" i="29"/>
  <c r="U153" i="29"/>
  <c r="U152" i="29"/>
  <c r="U151" i="29"/>
  <c r="U150" i="29"/>
  <c r="U149" i="29"/>
  <c r="U148" i="29"/>
  <c r="U147" i="29"/>
  <c r="U146" i="29"/>
  <c r="U145" i="29"/>
  <c r="U144" i="29"/>
  <c r="U143" i="29"/>
  <c r="U142" i="29"/>
  <c r="U141" i="29"/>
  <c r="U140" i="29"/>
  <c r="U139" i="29"/>
  <c r="U138" i="29"/>
  <c r="U137" i="29"/>
  <c r="U136" i="29"/>
  <c r="U135" i="29"/>
  <c r="U134" i="29"/>
  <c r="U133" i="29"/>
  <c r="U132" i="29"/>
  <c r="U131" i="29"/>
  <c r="U130" i="29"/>
  <c r="U129" i="29"/>
  <c r="U128" i="29"/>
  <c r="U127" i="29"/>
  <c r="U126" i="29"/>
  <c r="U125" i="29"/>
  <c r="U124" i="29"/>
  <c r="U123" i="29"/>
  <c r="U122" i="29"/>
  <c r="U121" i="29"/>
  <c r="U120" i="29"/>
  <c r="U119" i="29"/>
  <c r="U118" i="29"/>
  <c r="U117" i="29"/>
  <c r="U116" i="29"/>
  <c r="U115" i="29"/>
  <c r="U114" i="29"/>
  <c r="U113" i="29"/>
  <c r="U112" i="29"/>
  <c r="U111" i="29"/>
  <c r="U110" i="29"/>
  <c r="U109" i="29"/>
  <c r="U108" i="29"/>
  <c r="U107" i="29"/>
  <c r="U106" i="29"/>
  <c r="U105" i="29"/>
  <c r="U104" i="29"/>
  <c r="U103" i="29"/>
  <c r="U102" i="29"/>
  <c r="U101" i="29"/>
  <c r="U100" i="29"/>
  <c r="U99" i="29"/>
  <c r="U98" i="29"/>
  <c r="U97" i="29"/>
  <c r="U96" i="29"/>
  <c r="U95" i="29"/>
  <c r="U94" i="29"/>
  <c r="U93" i="29"/>
  <c r="U92" i="29"/>
  <c r="U91" i="29"/>
  <c r="U90" i="29"/>
  <c r="U89" i="29"/>
  <c r="U88" i="29"/>
  <c r="U87" i="29"/>
  <c r="U86" i="29"/>
  <c r="U85" i="29"/>
  <c r="U84" i="29"/>
  <c r="U83" i="29"/>
  <c r="U82" i="29"/>
  <c r="U81" i="29"/>
  <c r="U80" i="29"/>
  <c r="U79" i="29"/>
  <c r="U78" i="29"/>
  <c r="U77" i="29"/>
  <c r="U76" i="29"/>
  <c r="U75" i="29"/>
  <c r="U74" i="29"/>
  <c r="U73" i="29"/>
  <c r="U72" i="29"/>
  <c r="U71" i="29"/>
  <c r="U70" i="29"/>
  <c r="U69" i="29"/>
  <c r="U68" i="29"/>
  <c r="U67" i="29"/>
  <c r="U66" i="29"/>
  <c r="U65" i="29"/>
  <c r="U64" i="29"/>
  <c r="U63" i="29"/>
  <c r="U62" i="29"/>
  <c r="U61" i="29"/>
  <c r="U60" i="29"/>
  <c r="U59" i="29"/>
  <c r="U58" i="29"/>
  <c r="U57" i="29"/>
  <c r="U56" i="29"/>
  <c r="U55" i="29"/>
  <c r="U54" i="29"/>
  <c r="U53" i="29"/>
  <c r="U52" i="29"/>
  <c r="U51" i="29"/>
  <c r="U50" i="29"/>
  <c r="U49" i="29"/>
  <c r="U48" i="29"/>
  <c r="U47" i="29"/>
  <c r="U46" i="29"/>
  <c r="U45" i="29"/>
  <c r="U44" i="29"/>
  <c r="U43" i="29"/>
  <c r="U42" i="29"/>
  <c r="U41" i="29"/>
  <c r="U40" i="29"/>
  <c r="U39" i="29"/>
  <c r="U38" i="29"/>
  <c r="U37" i="29"/>
  <c r="U36" i="29"/>
  <c r="U35" i="29"/>
  <c r="U34" i="29"/>
  <c r="U33" i="29"/>
  <c r="U32" i="29"/>
  <c r="U31" i="29"/>
  <c r="U30" i="29"/>
  <c r="U29" i="29"/>
  <c r="U28" i="29"/>
  <c r="U27" i="29"/>
  <c r="U26" i="29"/>
  <c r="U25" i="29"/>
  <c r="U24" i="29"/>
  <c r="U23" i="29"/>
  <c r="U22" i="29"/>
  <c r="U21" i="29"/>
  <c r="U20" i="29"/>
  <c r="U19" i="29"/>
  <c r="U18" i="29"/>
  <c r="U17" i="29"/>
  <c r="U16" i="29"/>
  <c r="U15" i="29"/>
  <c r="U14" i="29"/>
  <c r="U13" i="29"/>
  <c r="U12" i="29"/>
  <c r="U11" i="29"/>
  <c r="U10" i="29"/>
  <c r="U9" i="29"/>
  <c r="U8" i="29"/>
  <c r="U7" i="29"/>
  <c r="U6" i="29"/>
  <c r="U5" i="29"/>
  <c r="U304" i="28"/>
  <c r="U303" i="28"/>
  <c r="U302" i="28"/>
  <c r="U301" i="28"/>
  <c r="U300" i="28"/>
  <c r="U299" i="28"/>
  <c r="U298" i="28"/>
  <c r="U297" i="28"/>
  <c r="U296" i="28"/>
  <c r="U295" i="28"/>
  <c r="U294" i="28"/>
  <c r="U293" i="28"/>
  <c r="U292" i="28"/>
  <c r="U291" i="28"/>
  <c r="U290" i="28"/>
  <c r="U289" i="28"/>
  <c r="U288" i="28"/>
  <c r="U287" i="28"/>
  <c r="U286" i="28"/>
  <c r="U285" i="28"/>
  <c r="U284" i="28"/>
  <c r="U283" i="28"/>
  <c r="U282" i="28"/>
  <c r="U281" i="28"/>
  <c r="U280" i="28"/>
  <c r="U279" i="28"/>
  <c r="U278" i="28"/>
  <c r="U277" i="28"/>
  <c r="U276" i="28"/>
  <c r="U275" i="28"/>
  <c r="U274" i="28"/>
  <c r="U273" i="28"/>
  <c r="U272" i="28"/>
  <c r="U271" i="28"/>
  <c r="U270" i="28"/>
  <c r="U269" i="28"/>
  <c r="U268" i="28"/>
  <c r="U267" i="28"/>
  <c r="U266" i="28"/>
  <c r="U265" i="28"/>
  <c r="U264" i="28"/>
  <c r="U263" i="28"/>
  <c r="U262" i="28"/>
  <c r="U261" i="28"/>
  <c r="U260" i="28"/>
  <c r="U259" i="28"/>
  <c r="U258" i="28"/>
  <c r="U257" i="28"/>
  <c r="U256" i="28"/>
  <c r="U255" i="28"/>
  <c r="U254" i="28"/>
  <c r="U253" i="28"/>
  <c r="U252" i="28"/>
  <c r="U251" i="28"/>
  <c r="U250" i="28"/>
  <c r="U249" i="28"/>
  <c r="U248" i="28"/>
  <c r="U247" i="28"/>
  <c r="U246" i="28"/>
  <c r="U245" i="28"/>
  <c r="U244" i="28"/>
  <c r="U243" i="28"/>
  <c r="U242" i="28"/>
  <c r="U241" i="28"/>
  <c r="U240" i="28"/>
  <c r="U239" i="28"/>
  <c r="U238" i="28"/>
  <c r="U237" i="28"/>
  <c r="U236" i="28"/>
  <c r="U235" i="28"/>
  <c r="U234" i="28"/>
  <c r="U233" i="28"/>
  <c r="U232" i="28"/>
  <c r="U231" i="28"/>
  <c r="U230" i="28"/>
  <c r="U229" i="28"/>
  <c r="U228" i="28"/>
  <c r="U227" i="28"/>
  <c r="U226" i="28"/>
  <c r="U225" i="28"/>
  <c r="U224" i="28"/>
  <c r="U223" i="28"/>
  <c r="U222" i="28"/>
  <c r="U221" i="28"/>
  <c r="U220" i="28"/>
  <c r="U219" i="28"/>
  <c r="U218" i="28"/>
  <c r="U217" i="28"/>
  <c r="U216" i="28"/>
  <c r="U215" i="28"/>
  <c r="U214" i="28"/>
  <c r="U213" i="28"/>
  <c r="U212" i="28"/>
  <c r="U211" i="28"/>
  <c r="U210" i="28"/>
  <c r="U209" i="28"/>
  <c r="U208" i="28"/>
  <c r="U207" i="28"/>
  <c r="U206" i="28"/>
  <c r="U205" i="28"/>
  <c r="U204" i="28"/>
  <c r="U203" i="28"/>
  <c r="U202" i="28"/>
  <c r="U201" i="28"/>
  <c r="U200" i="28"/>
  <c r="U199" i="28"/>
  <c r="U198" i="28"/>
  <c r="U197" i="28"/>
  <c r="U196" i="28"/>
  <c r="U195" i="28"/>
  <c r="U194" i="28"/>
  <c r="U193" i="28"/>
  <c r="U192" i="28"/>
  <c r="U191" i="28"/>
  <c r="U190" i="28"/>
  <c r="U189" i="28"/>
  <c r="U188" i="28"/>
  <c r="U187" i="28"/>
  <c r="U186" i="28"/>
  <c r="U185" i="28"/>
  <c r="U184" i="28"/>
  <c r="U183" i="28"/>
  <c r="U182" i="28"/>
  <c r="U181" i="28"/>
  <c r="U180" i="28"/>
  <c r="U179" i="28"/>
  <c r="U178" i="28"/>
  <c r="U177" i="28"/>
  <c r="U176" i="28"/>
  <c r="U175" i="28"/>
  <c r="U174" i="28"/>
  <c r="U173" i="28"/>
  <c r="U172" i="28"/>
  <c r="U171" i="28"/>
  <c r="U170" i="28"/>
  <c r="U169" i="28"/>
  <c r="U168" i="28"/>
  <c r="U167" i="28"/>
  <c r="U166" i="28"/>
  <c r="U165" i="28"/>
  <c r="U164" i="28"/>
  <c r="U163" i="28"/>
  <c r="U162" i="28"/>
  <c r="U161" i="28"/>
  <c r="U160" i="28"/>
  <c r="U159" i="28"/>
  <c r="U158" i="28"/>
  <c r="U157" i="28"/>
  <c r="U156" i="28"/>
  <c r="U155" i="28"/>
  <c r="U154" i="28"/>
  <c r="U153" i="28"/>
  <c r="U152" i="28"/>
  <c r="U151" i="28"/>
  <c r="U150" i="28"/>
  <c r="U149" i="28"/>
  <c r="U148" i="28"/>
  <c r="U147" i="28"/>
  <c r="U146" i="28"/>
  <c r="U145" i="28"/>
  <c r="U144" i="28"/>
  <c r="U143" i="28"/>
  <c r="U142" i="28"/>
  <c r="U141" i="28"/>
  <c r="U140" i="28"/>
  <c r="U139" i="28"/>
  <c r="U138" i="28"/>
  <c r="U137" i="28"/>
  <c r="U136" i="28"/>
  <c r="U135" i="28"/>
  <c r="U134" i="28"/>
  <c r="U133" i="28"/>
  <c r="U132" i="28"/>
  <c r="U131" i="28"/>
  <c r="U130" i="28"/>
  <c r="U129" i="28"/>
  <c r="U128" i="28"/>
  <c r="U127" i="28"/>
  <c r="U126" i="28"/>
  <c r="U125" i="28"/>
  <c r="U124" i="28"/>
  <c r="U123" i="28"/>
  <c r="U122" i="28"/>
  <c r="U121" i="28"/>
  <c r="U120" i="28"/>
  <c r="U119" i="28"/>
  <c r="U118" i="28"/>
  <c r="U117" i="28"/>
  <c r="U116" i="28"/>
  <c r="U115" i="28"/>
  <c r="U114" i="28"/>
  <c r="U113" i="28"/>
  <c r="U112" i="28"/>
  <c r="U111" i="28"/>
  <c r="U110" i="28"/>
  <c r="U109" i="28"/>
  <c r="U108" i="28"/>
  <c r="U107" i="28"/>
  <c r="U106" i="28"/>
  <c r="U105" i="28"/>
  <c r="U104" i="28"/>
  <c r="U103" i="28"/>
  <c r="U102" i="28"/>
  <c r="U101" i="28"/>
  <c r="U100" i="28"/>
  <c r="U99" i="28"/>
  <c r="U98" i="28"/>
  <c r="U97" i="28"/>
  <c r="U96" i="28"/>
  <c r="U95" i="28"/>
  <c r="U94" i="28"/>
  <c r="U93" i="28"/>
  <c r="U92" i="28"/>
  <c r="U91" i="28"/>
  <c r="U90" i="28"/>
  <c r="U89" i="28"/>
  <c r="U88" i="28"/>
  <c r="U87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7" i="28"/>
  <c r="U16" i="28"/>
  <c r="U15" i="28"/>
  <c r="U14" i="28"/>
  <c r="U13" i="28"/>
  <c r="U12" i="28"/>
  <c r="U11" i="28"/>
  <c r="U10" i="28"/>
  <c r="U9" i="28"/>
  <c r="U8" i="28"/>
  <c r="U7" i="28"/>
  <c r="U6" i="28"/>
  <c r="U5" i="28"/>
  <c r="S304" i="27"/>
  <c r="R304" i="27"/>
  <c r="Q304" i="27"/>
  <c r="O304" i="27"/>
  <c r="N304" i="27"/>
  <c r="S303" i="27"/>
  <c r="R303" i="27"/>
  <c r="Q303" i="27"/>
  <c r="O303" i="27"/>
  <c r="N303" i="27"/>
  <c r="S302" i="27"/>
  <c r="R302" i="27"/>
  <c r="Q302" i="27"/>
  <c r="O302" i="27"/>
  <c r="N302" i="27"/>
  <c r="S301" i="27"/>
  <c r="R301" i="27"/>
  <c r="Q301" i="27"/>
  <c r="O301" i="27"/>
  <c r="N301" i="27"/>
  <c r="S300" i="27"/>
  <c r="R300" i="27"/>
  <c r="Q300" i="27"/>
  <c r="O300" i="27"/>
  <c r="N300" i="27"/>
  <c r="S299" i="27"/>
  <c r="R299" i="27"/>
  <c r="Q299" i="27"/>
  <c r="O299" i="27"/>
  <c r="N299" i="27"/>
  <c r="S298" i="27"/>
  <c r="R298" i="27"/>
  <c r="Q298" i="27"/>
  <c r="O298" i="27"/>
  <c r="N298" i="27"/>
  <c r="S297" i="27"/>
  <c r="R297" i="27"/>
  <c r="Q297" i="27"/>
  <c r="O297" i="27"/>
  <c r="N297" i="27"/>
  <c r="S296" i="27"/>
  <c r="R296" i="27"/>
  <c r="Q296" i="27"/>
  <c r="O296" i="27"/>
  <c r="N296" i="27"/>
  <c r="S295" i="27"/>
  <c r="R295" i="27"/>
  <c r="Q295" i="27"/>
  <c r="O295" i="27"/>
  <c r="N295" i="27"/>
  <c r="S294" i="27"/>
  <c r="R294" i="27"/>
  <c r="Q294" i="27"/>
  <c r="O294" i="27"/>
  <c r="N294" i="27"/>
  <c r="S293" i="27"/>
  <c r="R293" i="27"/>
  <c r="Q293" i="27"/>
  <c r="O293" i="27"/>
  <c r="N293" i="27"/>
  <c r="S292" i="27"/>
  <c r="R292" i="27"/>
  <c r="Q292" i="27"/>
  <c r="O292" i="27"/>
  <c r="N292" i="27"/>
  <c r="S291" i="27"/>
  <c r="R291" i="27"/>
  <c r="Q291" i="27"/>
  <c r="O291" i="27"/>
  <c r="N291" i="27"/>
  <c r="S290" i="27"/>
  <c r="R290" i="27"/>
  <c r="Q290" i="27"/>
  <c r="O290" i="27"/>
  <c r="N290" i="27"/>
  <c r="S289" i="27"/>
  <c r="R289" i="27"/>
  <c r="Q289" i="27"/>
  <c r="O289" i="27"/>
  <c r="N289" i="27"/>
  <c r="S288" i="27"/>
  <c r="R288" i="27"/>
  <c r="Q288" i="27"/>
  <c r="O288" i="27"/>
  <c r="N288" i="27"/>
  <c r="S287" i="27"/>
  <c r="R287" i="27"/>
  <c r="Q287" i="27"/>
  <c r="O287" i="27"/>
  <c r="N287" i="27"/>
  <c r="S286" i="27"/>
  <c r="R286" i="27"/>
  <c r="Q286" i="27"/>
  <c r="O286" i="27"/>
  <c r="N286" i="27"/>
  <c r="S285" i="27"/>
  <c r="R285" i="27"/>
  <c r="Q285" i="27"/>
  <c r="O285" i="27"/>
  <c r="N285" i="27"/>
  <c r="S284" i="27"/>
  <c r="R284" i="27"/>
  <c r="Q284" i="27"/>
  <c r="O284" i="27"/>
  <c r="N284" i="27"/>
  <c r="S283" i="27"/>
  <c r="R283" i="27"/>
  <c r="Q283" i="27"/>
  <c r="O283" i="27"/>
  <c r="N283" i="27"/>
  <c r="S282" i="27"/>
  <c r="R282" i="27"/>
  <c r="Q282" i="27"/>
  <c r="O282" i="27"/>
  <c r="N282" i="27"/>
  <c r="S281" i="27"/>
  <c r="R281" i="27"/>
  <c r="Q281" i="27"/>
  <c r="O281" i="27"/>
  <c r="N281" i="27"/>
  <c r="S280" i="27"/>
  <c r="R280" i="27"/>
  <c r="Q280" i="27"/>
  <c r="O280" i="27"/>
  <c r="N280" i="27"/>
  <c r="S279" i="27"/>
  <c r="R279" i="27"/>
  <c r="Q279" i="27"/>
  <c r="O279" i="27"/>
  <c r="N279" i="27"/>
  <c r="S278" i="27"/>
  <c r="R278" i="27"/>
  <c r="Q278" i="27"/>
  <c r="O278" i="27"/>
  <c r="N278" i="27"/>
  <c r="S277" i="27"/>
  <c r="R277" i="27"/>
  <c r="Q277" i="27"/>
  <c r="O277" i="27"/>
  <c r="N277" i="27"/>
  <c r="S276" i="27"/>
  <c r="R276" i="27"/>
  <c r="Q276" i="27"/>
  <c r="O276" i="27"/>
  <c r="N276" i="27"/>
  <c r="S275" i="27"/>
  <c r="R275" i="27"/>
  <c r="Q275" i="27"/>
  <c r="O275" i="27"/>
  <c r="N275" i="27"/>
  <c r="S274" i="27"/>
  <c r="R274" i="27"/>
  <c r="Q274" i="27"/>
  <c r="O274" i="27"/>
  <c r="N274" i="27"/>
  <c r="S273" i="27"/>
  <c r="R273" i="27"/>
  <c r="Q273" i="27"/>
  <c r="O273" i="27"/>
  <c r="N273" i="27"/>
  <c r="S272" i="27"/>
  <c r="R272" i="27"/>
  <c r="Q272" i="27"/>
  <c r="O272" i="27"/>
  <c r="N272" i="27"/>
  <c r="S271" i="27"/>
  <c r="R271" i="27"/>
  <c r="Q271" i="27"/>
  <c r="O271" i="27"/>
  <c r="N271" i="27"/>
  <c r="S270" i="27"/>
  <c r="R270" i="27"/>
  <c r="Q270" i="27"/>
  <c r="O270" i="27"/>
  <c r="N270" i="27"/>
  <c r="S269" i="27"/>
  <c r="R269" i="27"/>
  <c r="Q269" i="27"/>
  <c r="O269" i="27"/>
  <c r="N269" i="27"/>
  <c r="S268" i="27"/>
  <c r="R268" i="27"/>
  <c r="Q268" i="27"/>
  <c r="O268" i="27"/>
  <c r="N268" i="27"/>
  <c r="S267" i="27"/>
  <c r="R267" i="27"/>
  <c r="Q267" i="27"/>
  <c r="O267" i="27"/>
  <c r="N267" i="27"/>
  <c r="S266" i="27"/>
  <c r="R266" i="27"/>
  <c r="Q266" i="27"/>
  <c r="O266" i="27"/>
  <c r="N266" i="27"/>
  <c r="S265" i="27"/>
  <c r="R265" i="27"/>
  <c r="Q265" i="27"/>
  <c r="O265" i="27"/>
  <c r="N265" i="27"/>
  <c r="S264" i="27"/>
  <c r="R264" i="27"/>
  <c r="Q264" i="27"/>
  <c r="O264" i="27"/>
  <c r="N264" i="27"/>
  <c r="S263" i="27"/>
  <c r="R263" i="27"/>
  <c r="Q263" i="27"/>
  <c r="O263" i="27"/>
  <c r="N263" i="27"/>
  <c r="S262" i="27"/>
  <c r="R262" i="27"/>
  <c r="Q262" i="27"/>
  <c r="O262" i="27"/>
  <c r="N262" i="27"/>
  <c r="S261" i="27"/>
  <c r="R261" i="27"/>
  <c r="Q261" i="27"/>
  <c r="O261" i="27"/>
  <c r="N261" i="27"/>
  <c r="S260" i="27"/>
  <c r="R260" i="27"/>
  <c r="Q260" i="27"/>
  <c r="O260" i="27"/>
  <c r="N260" i="27"/>
  <c r="S259" i="27"/>
  <c r="R259" i="27"/>
  <c r="Q259" i="27"/>
  <c r="O259" i="27"/>
  <c r="N259" i="27"/>
  <c r="S258" i="27"/>
  <c r="R258" i="27"/>
  <c r="Q258" i="27"/>
  <c r="O258" i="27"/>
  <c r="N258" i="27"/>
  <c r="S257" i="27"/>
  <c r="R257" i="27"/>
  <c r="Q257" i="27"/>
  <c r="O257" i="27"/>
  <c r="N257" i="27"/>
  <c r="S256" i="27"/>
  <c r="R256" i="27"/>
  <c r="Q256" i="27"/>
  <c r="O256" i="27"/>
  <c r="N256" i="27"/>
  <c r="S255" i="27"/>
  <c r="R255" i="27"/>
  <c r="Q255" i="27"/>
  <c r="O255" i="27"/>
  <c r="N255" i="27"/>
  <c r="S254" i="27"/>
  <c r="R254" i="27"/>
  <c r="Q254" i="27"/>
  <c r="O254" i="27"/>
  <c r="N254" i="27"/>
  <c r="S253" i="27"/>
  <c r="R253" i="27"/>
  <c r="Q253" i="27"/>
  <c r="O253" i="27"/>
  <c r="N253" i="27"/>
  <c r="S252" i="27"/>
  <c r="R252" i="27"/>
  <c r="Q252" i="27"/>
  <c r="O252" i="27"/>
  <c r="N252" i="27"/>
  <c r="S251" i="27"/>
  <c r="R251" i="27"/>
  <c r="Q251" i="27"/>
  <c r="O251" i="27"/>
  <c r="N251" i="27"/>
  <c r="S250" i="27"/>
  <c r="R250" i="27"/>
  <c r="Q250" i="27"/>
  <c r="O250" i="27"/>
  <c r="N250" i="27"/>
  <c r="S249" i="27"/>
  <c r="R249" i="27"/>
  <c r="Q249" i="27"/>
  <c r="O249" i="27"/>
  <c r="N249" i="27"/>
  <c r="S248" i="27"/>
  <c r="R248" i="27"/>
  <c r="Q248" i="27"/>
  <c r="O248" i="27"/>
  <c r="N248" i="27"/>
  <c r="S247" i="27"/>
  <c r="R247" i="27"/>
  <c r="Q247" i="27"/>
  <c r="O247" i="27"/>
  <c r="N247" i="27"/>
  <c r="S246" i="27"/>
  <c r="R246" i="27"/>
  <c r="Q246" i="27"/>
  <c r="O246" i="27"/>
  <c r="N246" i="27"/>
  <c r="S245" i="27"/>
  <c r="R245" i="27"/>
  <c r="Q245" i="27"/>
  <c r="O245" i="27"/>
  <c r="N245" i="27"/>
  <c r="S244" i="27"/>
  <c r="R244" i="27"/>
  <c r="Q244" i="27"/>
  <c r="O244" i="27"/>
  <c r="N244" i="27"/>
  <c r="S243" i="27"/>
  <c r="R243" i="27"/>
  <c r="Q243" i="27"/>
  <c r="O243" i="27"/>
  <c r="N243" i="27"/>
  <c r="S242" i="27"/>
  <c r="R242" i="27"/>
  <c r="Q242" i="27"/>
  <c r="O242" i="27"/>
  <c r="N242" i="27"/>
  <c r="S241" i="27"/>
  <c r="R241" i="27"/>
  <c r="Q241" i="27"/>
  <c r="O241" i="27"/>
  <c r="N241" i="27"/>
  <c r="S240" i="27"/>
  <c r="R240" i="27"/>
  <c r="Q240" i="27"/>
  <c r="O240" i="27"/>
  <c r="N240" i="27"/>
  <c r="S239" i="27"/>
  <c r="R239" i="27"/>
  <c r="Q239" i="27"/>
  <c r="O239" i="27"/>
  <c r="N239" i="27"/>
  <c r="S238" i="27"/>
  <c r="R238" i="27"/>
  <c r="Q238" i="27"/>
  <c r="O238" i="27"/>
  <c r="N238" i="27"/>
  <c r="S237" i="27"/>
  <c r="R237" i="27"/>
  <c r="Q237" i="27"/>
  <c r="O237" i="27"/>
  <c r="N237" i="27"/>
  <c r="S236" i="27"/>
  <c r="R236" i="27"/>
  <c r="Q236" i="27"/>
  <c r="O236" i="27"/>
  <c r="N236" i="27"/>
  <c r="S235" i="27"/>
  <c r="R235" i="27"/>
  <c r="Q235" i="27"/>
  <c r="O235" i="27"/>
  <c r="N235" i="27"/>
  <c r="S234" i="27"/>
  <c r="R234" i="27"/>
  <c r="Q234" i="27"/>
  <c r="O234" i="27"/>
  <c r="N234" i="27"/>
  <c r="S233" i="27"/>
  <c r="R233" i="27"/>
  <c r="Q233" i="27"/>
  <c r="O233" i="27"/>
  <c r="N233" i="27"/>
  <c r="S232" i="27"/>
  <c r="R232" i="27"/>
  <c r="Q232" i="27"/>
  <c r="O232" i="27"/>
  <c r="N232" i="27"/>
  <c r="S231" i="27"/>
  <c r="R231" i="27"/>
  <c r="Q231" i="27"/>
  <c r="O231" i="27"/>
  <c r="N231" i="27"/>
  <c r="S230" i="27"/>
  <c r="R230" i="27"/>
  <c r="Q230" i="27"/>
  <c r="O230" i="27"/>
  <c r="N230" i="27"/>
  <c r="S229" i="27"/>
  <c r="R229" i="27"/>
  <c r="Q229" i="27"/>
  <c r="O229" i="27"/>
  <c r="N229" i="27"/>
  <c r="S228" i="27"/>
  <c r="R228" i="27"/>
  <c r="Q228" i="27"/>
  <c r="O228" i="27"/>
  <c r="N228" i="27"/>
  <c r="S227" i="27"/>
  <c r="R227" i="27"/>
  <c r="Q227" i="27"/>
  <c r="O227" i="27"/>
  <c r="N227" i="27"/>
  <c r="S226" i="27"/>
  <c r="R226" i="27"/>
  <c r="Q226" i="27"/>
  <c r="O226" i="27"/>
  <c r="N226" i="27"/>
  <c r="S225" i="27"/>
  <c r="R225" i="27"/>
  <c r="Q225" i="27"/>
  <c r="O225" i="27"/>
  <c r="N225" i="27"/>
  <c r="S224" i="27"/>
  <c r="R224" i="27"/>
  <c r="Q224" i="27"/>
  <c r="O224" i="27"/>
  <c r="N224" i="27"/>
  <c r="S223" i="27"/>
  <c r="R223" i="27"/>
  <c r="Q223" i="27"/>
  <c r="O223" i="27"/>
  <c r="N223" i="27"/>
  <c r="S222" i="27"/>
  <c r="R222" i="27"/>
  <c r="Q222" i="27"/>
  <c r="O222" i="27"/>
  <c r="N222" i="27"/>
  <c r="S221" i="27"/>
  <c r="R221" i="27"/>
  <c r="Q221" i="27"/>
  <c r="O221" i="27"/>
  <c r="N221" i="27"/>
  <c r="S220" i="27"/>
  <c r="R220" i="27"/>
  <c r="Q220" i="27"/>
  <c r="O220" i="27"/>
  <c r="N220" i="27"/>
  <c r="S219" i="27"/>
  <c r="R219" i="27"/>
  <c r="Q219" i="27"/>
  <c r="O219" i="27"/>
  <c r="N219" i="27"/>
  <c r="S218" i="27"/>
  <c r="R218" i="27"/>
  <c r="Q218" i="27"/>
  <c r="O218" i="27"/>
  <c r="N218" i="27"/>
  <c r="S217" i="27"/>
  <c r="R217" i="27"/>
  <c r="Q217" i="27"/>
  <c r="O217" i="27"/>
  <c r="N217" i="27"/>
  <c r="S216" i="27"/>
  <c r="R216" i="27"/>
  <c r="Q216" i="27"/>
  <c r="O216" i="27"/>
  <c r="N216" i="27"/>
  <c r="S215" i="27"/>
  <c r="R215" i="27"/>
  <c r="Q215" i="27"/>
  <c r="O215" i="27"/>
  <c r="N215" i="27"/>
  <c r="S214" i="27"/>
  <c r="R214" i="27"/>
  <c r="Q214" i="27"/>
  <c r="O214" i="27"/>
  <c r="N214" i="27"/>
  <c r="S213" i="27"/>
  <c r="R213" i="27"/>
  <c r="Q213" i="27"/>
  <c r="O213" i="27"/>
  <c r="N213" i="27"/>
  <c r="S212" i="27"/>
  <c r="R212" i="27"/>
  <c r="Q212" i="27"/>
  <c r="O212" i="27"/>
  <c r="N212" i="27"/>
  <c r="S211" i="27"/>
  <c r="R211" i="27"/>
  <c r="Q211" i="27"/>
  <c r="O211" i="27"/>
  <c r="N211" i="27"/>
  <c r="S210" i="27"/>
  <c r="R210" i="27"/>
  <c r="Q210" i="27"/>
  <c r="O210" i="27"/>
  <c r="N210" i="27"/>
  <c r="S209" i="27"/>
  <c r="R209" i="27"/>
  <c r="Q209" i="27"/>
  <c r="O209" i="27"/>
  <c r="N209" i="27"/>
  <c r="S208" i="27"/>
  <c r="R208" i="27"/>
  <c r="Q208" i="27"/>
  <c r="O208" i="27"/>
  <c r="N208" i="27"/>
  <c r="S207" i="27"/>
  <c r="R207" i="27"/>
  <c r="Q207" i="27"/>
  <c r="O207" i="27"/>
  <c r="N207" i="27"/>
  <c r="S206" i="27"/>
  <c r="R206" i="27"/>
  <c r="Q206" i="27"/>
  <c r="O206" i="27"/>
  <c r="N206" i="27"/>
  <c r="S205" i="27"/>
  <c r="R205" i="27"/>
  <c r="Q205" i="27"/>
  <c r="O205" i="27"/>
  <c r="N205" i="27"/>
  <c r="S204" i="27"/>
  <c r="R204" i="27"/>
  <c r="Q204" i="27"/>
  <c r="O204" i="27"/>
  <c r="N204" i="27"/>
  <c r="S203" i="27"/>
  <c r="R203" i="27"/>
  <c r="Q203" i="27"/>
  <c r="O203" i="27"/>
  <c r="N203" i="27"/>
  <c r="S202" i="27"/>
  <c r="R202" i="27"/>
  <c r="Q202" i="27"/>
  <c r="O202" i="27"/>
  <c r="N202" i="27"/>
  <c r="S201" i="27"/>
  <c r="R201" i="27"/>
  <c r="Q201" i="27"/>
  <c r="O201" i="27"/>
  <c r="N201" i="27"/>
  <c r="S200" i="27"/>
  <c r="R200" i="27"/>
  <c r="Q200" i="27"/>
  <c r="O200" i="27"/>
  <c r="N200" i="27"/>
  <c r="S199" i="27"/>
  <c r="R199" i="27"/>
  <c r="Q199" i="27"/>
  <c r="O199" i="27"/>
  <c r="N199" i="27"/>
  <c r="S198" i="27"/>
  <c r="R198" i="27"/>
  <c r="Q198" i="27"/>
  <c r="O198" i="27"/>
  <c r="N198" i="27"/>
  <c r="S197" i="27"/>
  <c r="R197" i="27"/>
  <c r="Q197" i="27"/>
  <c r="O197" i="27"/>
  <c r="N197" i="27"/>
  <c r="S196" i="27"/>
  <c r="R196" i="27"/>
  <c r="Q196" i="27"/>
  <c r="O196" i="27"/>
  <c r="N196" i="27"/>
  <c r="S195" i="27"/>
  <c r="R195" i="27"/>
  <c r="Q195" i="27"/>
  <c r="O195" i="27"/>
  <c r="N195" i="27"/>
  <c r="S194" i="27"/>
  <c r="R194" i="27"/>
  <c r="Q194" i="27"/>
  <c r="O194" i="27"/>
  <c r="N194" i="27"/>
  <c r="S193" i="27"/>
  <c r="R193" i="27"/>
  <c r="Q193" i="27"/>
  <c r="O193" i="27"/>
  <c r="N193" i="27"/>
  <c r="S192" i="27"/>
  <c r="R192" i="27"/>
  <c r="Q192" i="27"/>
  <c r="O192" i="27"/>
  <c r="N192" i="27"/>
  <c r="S191" i="27"/>
  <c r="R191" i="27"/>
  <c r="Q191" i="27"/>
  <c r="O191" i="27"/>
  <c r="N191" i="27"/>
  <c r="S190" i="27"/>
  <c r="R190" i="27"/>
  <c r="Q190" i="27"/>
  <c r="O190" i="27"/>
  <c r="N190" i="27"/>
  <c r="S189" i="27"/>
  <c r="R189" i="27"/>
  <c r="Q189" i="27"/>
  <c r="O189" i="27"/>
  <c r="N189" i="27"/>
  <c r="S188" i="27"/>
  <c r="R188" i="27"/>
  <c r="Q188" i="27"/>
  <c r="O188" i="27"/>
  <c r="N188" i="27"/>
  <c r="S187" i="27"/>
  <c r="R187" i="27"/>
  <c r="Q187" i="27"/>
  <c r="O187" i="27"/>
  <c r="N187" i="27"/>
  <c r="S186" i="27"/>
  <c r="R186" i="27"/>
  <c r="Q186" i="27"/>
  <c r="O186" i="27"/>
  <c r="N186" i="27"/>
  <c r="S185" i="27"/>
  <c r="R185" i="27"/>
  <c r="Q185" i="27"/>
  <c r="O185" i="27"/>
  <c r="N185" i="27"/>
  <c r="S184" i="27"/>
  <c r="R184" i="27"/>
  <c r="Q184" i="27"/>
  <c r="O184" i="27"/>
  <c r="N184" i="27"/>
  <c r="S183" i="27"/>
  <c r="R183" i="27"/>
  <c r="Q183" i="27"/>
  <c r="O183" i="27"/>
  <c r="N183" i="27"/>
  <c r="S182" i="27"/>
  <c r="R182" i="27"/>
  <c r="Q182" i="27"/>
  <c r="O182" i="27"/>
  <c r="N182" i="27"/>
  <c r="S181" i="27"/>
  <c r="R181" i="27"/>
  <c r="Q181" i="27"/>
  <c r="O181" i="27"/>
  <c r="N181" i="27"/>
  <c r="S180" i="27"/>
  <c r="R180" i="27"/>
  <c r="Q180" i="27"/>
  <c r="O180" i="27"/>
  <c r="N180" i="27"/>
  <c r="S179" i="27"/>
  <c r="R179" i="27"/>
  <c r="Q179" i="27"/>
  <c r="O179" i="27"/>
  <c r="N179" i="27"/>
  <c r="S178" i="27"/>
  <c r="R178" i="27"/>
  <c r="Q178" i="27"/>
  <c r="O178" i="27"/>
  <c r="N178" i="27"/>
  <c r="S177" i="27"/>
  <c r="R177" i="27"/>
  <c r="Q177" i="27"/>
  <c r="O177" i="27"/>
  <c r="N177" i="27"/>
  <c r="S176" i="27"/>
  <c r="R176" i="27"/>
  <c r="Q176" i="27"/>
  <c r="O176" i="27"/>
  <c r="N176" i="27"/>
  <c r="S175" i="27"/>
  <c r="R175" i="27"/>
  <c r="Q175" i="27"/>
  <c r="O175" i="27"/>
  <c r="N175" i="27"/>
  <c r="S174" i="27"/>
  <c r="R174" i="27"/>
  <c r="Q174" i="27"/>
  <c r="O174" i="27"/>
  <c r="N174" i="27"/>
  <c r="S173" i="27"/>
  <c r="R173" i="27"/>
  <c r="Q173" i="27"/>
  <c r="O173" i="27"/>
  <c r="N173" i="27"/>
  <c r="S172" i="27"/>
  <c r="R172" i="27"/>
  <c r="Q172" i="27"/>
  <c r="O172" i="27"/>
  <c r="N172" i="27"/>
  <c r="S171" i="27"/>
  <c r="R171" i="27"/>
  <c r="Q171" i="27"/>
  <c r="O171" i="27"/>
  <c r="N171" i="27"/>
  <c r="S170" i="27"/>
  <c r="R170" i="27"/>
  <c r="Q170" i="27"/>
  <c r="O170" i="27"/>
  <c r="N170" i="27"/>
  <c r="S169" i="27"/>
  <c r="R169" i="27"/>
  <c r="Q169" i="27"/>
  <c r="O169" i="27"/>
  <c r="N169" i="27"/>
  <c r="S168" i="27"/>
  <c r="R168" i="27"/>
  <c r="Q168" i="27"/>
  <c r="O168" i="27"/>
  <c r="N168" i="27"/>
  <c r="S167" i="27"/>
  <c r="R167" i="27"/>
  <c r="Q167" i="27"/>
  <c r="O167" i="27"/>
  <c r="N167" i="27"/>
  <c r="S166" i="27"/>
  <c r="R166" i="27"/>
  <c r="Q166" i="27"/>
  <c r="O166" i="27"/>
  <c r="N166" i="27"/>
  <c r="S165" i="27"/>
  <c r="R165" i="27"/>
  <c r="Q165" i="27"/>
  <c r="O165" i="27"/>
  <c r="N165" i="27"/>
  <c r="S164" i="27"/>
  <c r="R164" i="27"/>
  <c r="Q164" i="27"/>
  <c r="O164" i="27"/>
  <c r="N164" i="27"/>
  <c r="S163" i="27"/>
  <c r="R163" i="27"/>
  <c r="Q163" i="27"/>
  <c r="O163" i="27"/>
  <c r="N163" i="27"/>
  <c r="S162" i="27"/>
  <c r="R162" i="27"/>
  <c r="Q162" i="27"/>
  <c r="O162" i="27"/>
  <c r="N162" i="27"/>
  <c r="S161" i="27"/>
  <c r="R161" i="27"/>
  <c r="Q161" i="27"/>
  <c r="O161" i="27"/>
  <c r="N161" i="27"/>
  <c r="S160" i="27"/>
  <c r="R160" i="27"/>
  <c r="Q160" i="27"/>
  <c r="O160" i="27"/>
  <c r="N160" i="27"/>
  <c r="S159" i="27"/>
  <c r="R159" i="27"/>
  <c r="Q159" i="27"/>
  <c r="O159" i="27"/>
  <c r="N159" i="27"/>
  <c r="S158" i="27"/>
  <c r="R158" i="27"/>
  <c r="Q158" i="27"/>
  <c r="O158" i="27"/>
  <c r="N158" i="27"/>
  <c r="S157" i="27"/>
  <c r="R157" i="27"/>
  <c r="Q157" i="27"/>
  <c r="O157" i="27"/>
  <c r="N157" i="27"/>
  <c r="S156" i="27"/>
  <c r="R156" i="27"/>
  <c r="Q156" i="27"/>
  <c r="O156" i="27"/>
  <c r="N156" i="27"/>
  <c r="S155" i="27"/>
  <c r="R155" i="27"/>
  <c r="Q155" i="27"/>
  <c r="O155" i="27"/>
  <c r="N155" i="27"/>
  <c r="S154" i="27"/>
  <c r="R154" i="27"/>
  <c r="Q154" i="27"/>
  <c r="O154" i="27"/>
  <c r="N154" i="27"/>
  <c r="S153" i="27"/>
  <c r="R153" i="27"/>
  <c r="Q153" i="27"/>
  <c r="O153" i="27"/>
  <c r="N153" i="27"/>
  <c r="S152" i="27"/>
  <c r="R152" i="27"/>
  <c r="Q152" i="27"/>
  <c r="O152" i="27"/>
  <c r="N152" i="27"/>
  <c r="S151" i="27"/>
  <c r="R151" i="27"/>
  <c r="Q151" i="27"/>
  <c r="O151" i="27"/>
  <c r="N151" i="27"/>
  <c r="S150" i="27"/>
  <c r="R150" i="27"/>
  <c r="Q150" i="27"/>
  <c r="O150" i="27"/>
  <c r="N150" i="27"/>
  <c r="S149" i="27"/>
  <c r="R149" i="27"/>
  <c r="Q149" i="27"/>
  <c r="O149" i="27"/>
  <c r="N149" i="27"/>
  <c r="S148" i="27"/>
  <c r="R148" i="27"/>
  <c r="Q148" i="27"/>
  <c r="O148" i="27"/>
  <c r="N148" i="27"/>
  <c r="S147" i="27"/>
  <c r="R147" i="27"/>
  <c r="Q147" i="27"/>
  <c r="O147" i="27"/>
  <c r="N147" i="27"/>
  <c r="S146" i="27"/>
  <c r="R146" i="27"/>
  <c r="Q146" i="27"/>
  <c r="O146" i="27"/>
  <c r="N146" i="27"/>
  <c r="S145" i="27"/>
  <c r="R145" i="27"/>
  <c r="Q145" i="27"/>
  <c r="O145" i="27"/>
  <c r="N145" i="27"/>
  <c r="S144" i="27"/>
  <c r="R144" i="27"/>
  <c r="Q144" i="27"/>
  <c r="O144" i="27"/>
  <c r="N144" i="27"/>
  <c r="S143" i="27"/>
  <c r="R143" i="27"/>
  <c r="Q143" i="27"/>
  <c r="O143" i="27"/>
  <c r="N143" i="27"/>
  <c r="S142" i="27"/>
  <c r="R142" i="27"/>
  <c r="Q142" i="27"/>
  <c r="O142" i="27"/>
  <c r="N142" i="27"/>
  <c r="S141" i="27"/>
  <c r="R141" i="27"/>
  <c r="Q141" i="27"/>
  <c r="O141" i="27"/>
  <c r="N141" i="27"/>
  <c r="S140" i="27"/>
  <c r="R140" i="27"/>
  <c r="Q140" i="27"/>
  <c r="O140" i="27"/>
  <c r="N140" i="27"/>
  <c r="S139" i="27"/>
  <c r="R139" i="27"/>
  <c r="Q139" i="27"/>
  <c r="O139" i="27"/>
  <c r="N139" i="27"/>
  <c r="S138" i="27"/>
  <c r="R138" i="27"/>
  <c r="Q138" i="27"/>
  <c r="O138" i="27"/>
  <c r="N138" i="27"/>
  <c r="S137" i="27"/>
  <c r="R137" i="27"/>
  <c r="Q137" i="27"/>
  <c r="O137" i="27"/>
  <c r="N137" i="27"/>
  <c r="S136" i="27"/>
  <c r="R136" i="27"/>
  <c r="Q136" i="27"/>
  <c r="O136" i="27"/>
  <c r="N136" i="27"/>
  <c r="S135" i="27"/>
  <c r="R135" i="27"/>
  <c r="Q135" i="27"/>
  <c r="O135" i="27"/>
  <c r="N135" i="27"/>
  <c r="S134" i="27"/>
  <c r="R134" i="27"/>
  <c r="Q134" i="27"/>
  <c r="O134" i="27"/>
  <c r="N134" i="27"/>
  <c r="S133" i="27"/>
  <c r="R133" i="27"/>
  <c r="Q133" i="27"/>
  <c r="O133" i="27"/>
  <c r="N133" i="27"/>
  <c r="S132" i="27"/>
  <c r="R132" i="27"/>
  <c r="Q132" i="27"/>
  <c r="O132" i="27"/>
  <c r="N132" i="27"/>
  <c r="S131" i="27"/>
  <c r="R131" i="27"/>
  <c r="Q131" i="27"/>
  <c r="O131" i="27"/>
  <c r="N131" i="27"/>
  <c r="S130" i="27"/>
  <c r="R130" i="27"/>
  <c r="Q130" i="27"/>
  <c r="O130" i="27"/>
  <c r="N130" i="27"/>
  <c r="S129" i="27"/>
  <c r="R129" i="27"/>
  <c r="Q129" i="27"/>
  <c r="O129" i="27"/>
  <c r="N129" i="27"/>
  <c r="S128" i="27"/>
  <c r="R128" i="27"/>
  <c r="Q128" i="27"/>
  <c r="O128" i="27"/>
  <c r="N128" i="27"/>
  <c r="S127" i="27"/>
  <c r="R127" i="27"/>
  <c r="Q127" i="27"/>
  <c r="O127" i="27"/>
  <c r="N127" i="27"/>
  <c r="S126" i="27"/>
  <c r="R126" i="27"/>
  <c r="Q126" i="27"/>
  <c r="O126" i="27"/>
  <c r="N126" i="27"/>
  <c r="S125" i="27"/>
  <c r="R125" i="27"/>
  <c r="Q125" i="27"/>
  <c r="O125" i="27"/>
  <c r="N125" i="27"/>
  <c r="S124" i="27"/>
  <c r="R124" i="27"/>
  <c r="Q124" i="27"/>
  <c r="O124" i="27"/>
  <c r="N124" i="27"/>
  <c r="S123" i="27"/>
  <c r="R123" i="27"/>
  <c r="Q123" i="27"/>
  <c r="O123" i="27"/>
  <c r="N123" i="27"/>
  <c r="S122" i="27"/>
  <c r="R122" i="27"/>
  <c r="Q122" i="27"/>
  <c r="O122" i="27"/>
  <c r="N122" i="27"/>
  <c r="S121" i="27"/>
  <c r="R121" i="27"/>
  <c r="Q121" i="27"/>
  <c r="O121" i="27"/>
  <c r="N121" i="27"/>
  <c r="S120" i="27"/>
  <c r="R120" i="27"/>
  <c r="Q120" i="27"/>
  <c r="O120" i="27"/>
  <c r="N120" i="27"/>
  <c r="S119" i="27"/>
  <c r="R119" i="27"/>
  <c r="Q119" i="27"/>
  <c r="O119" i="27"/>
  <c r="N119" i="27"/>
  <c r="S118" i="27"/>
  <c r="R118" i="27"/>
  <c r="Q118" i="27"/>
  <c r="O118" i="27"/>
  <c r="N118" i="27"/>
  <c r="S117" i="27"/>
  <c r="R117" i="27"/>
  <c r="Q117" i="27"/>
  <c r="O117" i="27"/>
  <c r="N117" i="27"/>
  <c r="S116" i="27"/>
  <c r="R116" i="27"/>
  <c r="Q116" i="27"/>
  <c r="O116" i="27"/>
  <c r="N116" i="27"/>
  <c r="S115" i="27"/>
  <c r="R115" i="27"/>
  <c r="Q115" i="27"/>
  <c r="O115" i="27"/>
  <c r="N115" i="27"/>
  <c r="S114" i="27"/>
  <c r="R114" i="27"/>
  <c r="Q114" i="27"/>
  <c r="O114" i="27"/>
  <c r="N114" i="27"/>
  <c r="S113" i="27"/>
  <c r="R113" i="27"/>
  <c r="Q113" i="27"/>
  <c r="O113" i="27"/>
  <c r="N113" i="27"/>
  <c r="S112" i="27"/>
  <c r="R112" i="27"/>
  <c r="Q112" i="27"/>
  <c r="O112" i="27"/>
  <c r="N112" i="27"/>
  <c r="S111" i="27"/>
  <c r="R111" i="27"/>
  <c r="Q111" i="27"/>
  <c r="O111" i="27"/>
  <c r="N111" i="27"/>
  <c r="S110" i="27"/>
  <c r="R110" i="27"/>
  <c r="Q110" i="27"/>
  <c r="O110" i="27"/>
  <c r="N110" i="27"/>
  <c r="S109" i="27"/>
  <c r="R109" i="27"/>
  <c r="Q109" i="27"/>
  <c r="O109" i="27"/>
  <c r="N109" i="27"/>
  <c r="S108" i="27"/>
  <c r="R108" i="27"/>
  <c r="Q108" i="27"/>
  <c r="O108" i="27"/>
  <c r="N108" i="27"/>
  <c r="S107" i="27"/>
  <c r="R107" i="27"/>
  <c r="Q107" i="27"/>
  <c r="O107" i="27"/>
  <c r="N107" i="27"/>
  <c r="S106" i="27"/>
  <c r="R106" i="27"/>
  <c r="Q106" i="27"/>
  <c r="O106" i="27"/>
  <c r="N106" i="27"/>
  <c r="S105" i="27"/>
  <c r="R105" i="27"/>
  <c r="Q105" i="27"/>
  <c r="O105" i="27"/>
  <c r="N105" i="27"/>
  <c r="S104" i="27"/>
  <c r="R104" i="27"/>
  <c r="Q104" i="27"/>
  <c r="O104" i="27"/>
  <c r="N104" i="27"/>
  <c r="S103" i="27"/>
  <c r="R103" i="27"/>
  <c r="Q103" i="27"/>
  <c r="O103" i="27"/>
  <c r="N103" i="27"/>
  <c r="S102" i="27"/>
  <c r="R102" i="27"/>
  <c r="Q102" i="27"/>
  <c r="O102" i="27"/>
  <c r="N102" i="27"/>
  <c r="S101" i="27"/>
  <c r="R101" i="27"/>
  <c r="Q101" i="27"/>
  <c r="O101" i="27"/>
  <c r="N101" i="27"/>
  <c r="S100" i="27"/>
  <c r="R100" i="27"/>
  <c r="Q100" i="27"/>
  <c r="O100" i="27"/>
  <c r="N100" i="27"/>
  <c r="S99" i="27"/>
  <c r="R99" i="27"/>
  <c r="Q99" i="27"/>
  <c r="O99" i="27"/>
  <c r="N99" i="27"/>
  <c r="S98" i="27"/>
  <c r="R98" i="27"/>
  <c r="Q98" i="27"/>
  <c r="O98" i="27"/>
  <c r="N98" i="27"/>
  <c r="S97" i="27"/>
  <c r="R97" i="27"/>
  <c r="Q97" i="27"/>
  <c r="O97" i="27"/>
  <c r="N97" i="27"/>
  <c r="S96" i="27"/>
  <c r="R96" i="27"/>
  <c r="Q96" i="27"/>
  <c r="O96" i="27"/>
  <c r="N96" i="27"/>
  <c r="S95" i="27"/>
  <c r="R95" i="27"/>
  <c r="Q95" i="27"/>
  <c r="O95" i="27"/>
  <c r="N95" i="27"/>
  <c r="S94" i="27"/>
  <c r="R94" i="27"/>
  <c r="Q94" i="27"/>
  <c r="O94" i="27"/>
  <c r="N94" i="27"/>
  <c r="S93" i="27"/>
  <c r="R93" i="27"/>
  <c r="Q93" i="27"/>
  <c r="O93" i="27"/>
  <c r="N93" i="27"/>
  <c r="S92" i="27"/>
  <c r="R92" i="27"/>
  <c r="Q92" i="27"/>
  <c r="O92" i="27"/>
  <c r="N92" i="27"/>
  <c r="S91" i="27"/>
  <c r="R91" i="27"/>
  <c r="Q91" i="27"/>
  <c r="O91" i="27"/>
  <c r="N91" i="27"/>
  <c r="S90" i="27"/>
  <c r="R90" i="27"/>
  <c r="Q90" i="27"/>
  <c r="O90" i="27"/>
  <c r="N90" i="27"/>
  <c r="S89" i="27"/>
  <c r="R89" i="27"/>
  <c r="Q89" i="27"/>
  <c r="O89" i="27"/>
  <c r="N89" i="27"/>
  <c r="S88" i="27"/>
  <c r="R88" i="27"/>
  <c r="Q88" i="27"/>
  <c r="O88" i="27"/>
  <c r="N88" i="27"/>
  <c r="S87" i="27"/>
  <c r="R87" i="27"/>
  <c r="Q87" i="27"/>
  <c r="O87" i="27"/>
  <c r="N87" i="27"/>
  <c r="S86" i="27"/>
  <c r="R86" i="27"/>
  <c r="Q86" i="27"/>
  <c r="O86" i="27"/>
  <c r="N86" i="27"/>
  <c r="S85" i="27"/>
  <c r="R85" i="27"/>
  <c r="Q85" i="27"/>
  <c r="O85" i="27"/>
  <c r="N85" i="27"/>
  <c r="S84" i="27"/>
  <c r="R84" i="27"/>
  <c r="Q84" i="27"/>
  <c r="O84" i="27"/>
  <c r="N84" i="27"/>
  <c r="S83" i="27"/>
  <c r="R83" i="27"/>
  <c r="Q83" i="27"/>
  <c r="O83" i="27"/>
  <c r="N83" i="27"/>
  <c r="S82" i="27"/>
  <c r="R82" i="27"/>
  <c r="Q82" i="27"/>
  <c r="O82" i="27"/>
  <c r="N82" i="27"/>
  <c r="S81" i="27"/>
  <c r="R81" i="27"/>
  <c r="Q81" i="27"/>
  <c r="O81" i="27"/>
  <c r="N81" i="27"/>
  <c r="S80" i="27"/>
  <c r="R80" i="27"/>
  <c r="Q80" i="27"/>
  <c r="O80" i="27"/>
  <c r="N80" i="27"/>
  <c r="S79" i="27"/>
  <c r="R79" i="27"/>
  <c r="Q79" i="27"/>
  <c r="O79" i="27"/>
  <c r="N79" i="27"/>
  <c r="S78" i="27"/>
  <c r="R78" i="27"/>
  <c r="Q78" i="27"/>
  <c r="O78" i="27"/>
  <c r="N78" i="27"/>
  <c r="S77" i="27"/>
  <c r="R77" i="27"/>
  <c r="Q77" i="27"/>
  <c r="O77" i="27"/>
  <c r="N77" i="27"/>
  <c r="S76" i="27"/>
  <c r="R76" i="27"/>
  <c r="Q76" i="27"/>
  <c r="O76" i="27"/>
  <c r="N76" i="27"/>
  <c r="S75" i="27"/>
  <c r="R75" i="27"/>
  <c r="Q75" i="27"/>
  <c r="O75" i="27"/>
  <c r="N75" i="27"/>
  <c r="S74" i="27"/>
  <c r="R74" i="27"/>
  <c r="Q74" i="27"/>
  <c r="O74" i="27"/>
  <c r="N74" i="27"/>
  <c r="S73" i="27"/>
  <c r="R73" i="27"/>
  <c r="Q73" i="27"/>
  <c r="O73" i="27"/>
  <c r="N73" i="27"/>
  <c r="S72" i="27"/>
  <c r="R72" i="27"/>
  <c r="Q72" i="27"/>
  <c r="O72" i="27"/>
  <c r="N72" i="27"/>
  <c r="S71" i="27"/>
  <c r="R71" i="27"/>
  <c r="Q71" i="27"/>
  <c r="O71" i="27"/>
  <c r="N71" i="27"/>
  <c r="S70" i="27"/>
  <c r="R70" i="27"/>
  <c r="Q70" i="27"/>
  <c r="O70" i="27"/>
  <c r="N70" i="27"/>
  <c r="S69" i="27"/>
  <c r="R69" i="27"/>
  <c r="Q69" i="27"/>
  <c r="O69" i="27"/>
  <c r="N69" i="27"/>
  <c r="S68" i="27"/>
  <c r="R68" i="27"/>
  <c r="Q68" i="27"/>
  <c r="O68" i="27"/>
  <c r="N68" i="27"/>
  <c r="S67" i="27"/>
  <c r="R67" i="27"/>
  <c r="Q67" i="27"/>
  <c r="O67" i="27"/>
  <c r="N67" i="27"/>
  <c r="S66" i="27"/>
  <c r="R66" i="27"/>
  <c r="Q66" i="27"/>
  <c r="O66" i="27"/>
  <c r="N66" i="27"/>
  <c r="S65" i="27"/>
  <c r="R65" i="27"/>
  <c r="Q65" i="27"/>
  <c r="O65" i="27"/>
  <c r="N65" i="27"/>
  <c r="S64" i="27"/>
  <c r="R64" i="27"/>
  <c r="Q64" i="27"/>
  <c r="O64" i="27"/>
  <c r="N64" i="27"/>
  <c r="S63" i="27"/>
  <c r="R63" i="27"/>
  <c r="Q63" i="27"/>
  <c r="O63" i="27"/>
  <c r="N63" i="27"/>
  <c r="S62" i="27"/>
  <c r="R62" i="27"/>
  <c r="Q62" i="27"/>
  <c r="O62" i="27"/>
  <c r="N62" i="27"/>
  <c r="S61" i="27"/>
  <c r="R61" i="27"/>
  <c r="Q61" i="27"/>
  <c r="O61" i="27"/>
  <c r="N61" i="27"/>
  <c r="S60" i="27"/>
  <c r="R60" i="27"/>
  <c r="Q60" i="27"/>
  <c r="O60" i="27"/>
  <c r="N60" i="27"/>
  <c r="S59" i="27"/>
  <c r="R59" i="27"/>
  <c r="Q59" i="27"/>
  <c r="O59" i="27"/>
  <c r="N59" i="27"/>
  <c r="S58" i="27"/>
  <c r="R58" i="27"/>
  <c r="Q58" i="27"/>
  <c r="O58" i="27"/>
  <c r="N58" i="27"/>
  <c r="S57" i="27"/>
  <c r="R57" i="27"/>
  <c r="Q57" i="27"/>
  <c r="O57" i="27"/>
  <c r="N57" i="27"/>
  <c r="S56" i="27"/>
  <c r="R56" i="27"/>
  <c r="Q56" i="27"/>
  <c r="O56" i="27"/>
  <c r="N56" i="27"/>
  <c r="S55" i="27"/>
  <c r="R55" i="27"/>
  <c r="Q55" i="27"/>
  <c r="O55" i="27"/>
  <c r="N55" i="27"/>
  <c r="S54" i="27"/>
  <c r="R54" i="27"/>
  <c r="Q54" i="27"/>
  <c r="O54" i="27"/>
  <c r="N54" i="27"/>
  <c r="S53" i="27"/>
  <c r="R53" i="27"/>
  <c r="Q53" i="27"/>
  <c r="O53" i="27"/>
  <c r="N53" i="27"/>
  <c r="S52" i="27"/>
  <c r="R52" i="27"/>
  <c r="Q52" i="27"/>
  <c r="O52" i="27"/>
  <c r="N52" i="27"/>
  <c r="S51" i="27"/>
  <c r="R51" i="27"/>
  <c r="Q51" i="27"/>
  <c r="O51" i="27"/>
  <c r="N51" i="27"/>
  <c r="S50" i="27"/>
  <c r="R50" i="27"/>
  <c r="Q50" i="27"/>
  <c r="O50" i="27"/>
  <c r="N50" i="27"/>
  <c r="S49" i="27"/>
  <c r="R49" i="27"/>
  <c r="Q49" i="27"/>
  <c r="O49" i="27"/>
  <c r="N49" i="27"/>
  <c r="S48" i="27"/>
  <c r="R48" i="27"/>
  <c r="Q48" i="27"/>
  <c r="O48" i="27"/>
  <c r="N48" i="27"/>
  <c r="S47" i="27"/>
  <c r="R47" i="27"/>
  <c r="Q47" i="27"/>
  <c r="O47" i="27"/>
  <c r="N47" i="27"/>
  <c r="S46" i="27"/>
  <c r="R46" i="27"/>
  <c r="Q46" i="27"/>
  <c r="O46" i="27"/>
  <c r="N46" i="27"/>
  <c r="S45" i="27"/>
  <c r="R45" i="27"/>
  <c r="Q45" i="27"/>
  <c r="O45" i="27"/>
  <c r="N45" i="27"/>
  <c r="S44" i="27"/>
  <c r="R44" i="27"/>
  <c r="Q44" i="27"/>
  <c r="O44" i="27"/>
  <c r="N44" i="27"/>
  <c r="S43" i="27"/>
  <c r="R43" i="27"/>
  <c r="Q43" i="27"/>
  <c r="O43" i="27"/>
  <c r="N43" i="27"/>
  <c r="S42" i="27"/>
  <c r="R42" i="27"/>
  <c r="Q42" i="27"/>
  <c r="O42" i="27"/>
  <c r="N42" i="27"/>
  <c r="S41" i="27"/>
  <c r="R41" i="27"/>
  <c r="Q41" i="27"/>
  <c r="O41" i="27"/>
  <c r="N41" i="27"/>
  <c r="S40" i="27"/>
  <c r="R40" i="27"/>
  <c r="Q40" i="27"/>
  <c r="O40" i="27"/>
  <c r="N40" i="27"/>
  <c r="S39" i="27"/>
  <c r="R39" i="27"/>
  <c r="Q39" i="27"/>
  <c r="O39" i="27"/>
  <c r="N39" i="27"/>
  <c r="S38" i="27"/>
  <c r="R38" i="27"/>
  <c r="Q38" i="27"/>
  <c r="O38" i="27"/>
  <c r="N38" i="27"/>
  <c r="S37" i="27"/>
  <c r="R37" i="27"/>
  <c r="Q37" i="27"/>
  <c r="O37" i="27"/>
  <c r="N37" i="27"/>
  <c r="S36" i="27"/>
  <c r="R36" i="27"/>
  <c r="Q36" i="27"/>
  <c r="O36" i="27"/>
  <c r="N36" i="27"/>
  <c r="S35" i="27"/>
  <c r="R35" i="27"/>
  <c r="Q35" i="27"/>
  <c r="O35" i="27"/>
  <c r="N35" i="27"/>
  <c r="S34" i="27"/>
  <c r="R34" i="27"/>
  <c r="Q34" i="27"/>
  <c r="O34" i="27"/>
  <c r="N34" i="27"/>
  <c r="S33" i="27"/>
  <c r="R33" i="27"/>
  <c r="Q33" i="27"/>
  <c r="O33" i="27"/>
  <c r="N33" i="27"/>
  <c r="S32" i="27"/>
  <c r="R32" i="27"/>
  <c r="Q32" i="27"/>
  <c r="O32" i="27"/>
  <c r="N32" i="27"/>
  <c r="S31" i="27"/>
  <c r="R31" i="27"/>
  <c r="Q31" i="27"/>
  <c r="O31" i="27"/>
  <c r="N31" i="27"/>
  <c r="S30" i="27"/>
  <c r="R30" i="27"/>
  <c r="Q30" i="27"/>
  <c r="O30" i="27"/>
  <c r="N30" i="27"/>
  <c r="S29" i="27"/>
  <c r="R29" i="27"/>
  <c r="Q29" i="27"/>
  <c r="O29" i="27"/>
  <c r="N29" i="27"/>
  <c r="S28" i="27"/>
  <c r="R28" i="27"/>
  <c r="Q28" i="27"/>
  <c r="O28" i="27"/>
  <c r="N28" i="27"/>
  <c r="S27" i="27"/>
  <c r="R27" i="27"/>
  <c r="Q27" i="27"/>
  <c r="O27" i="27"/>
  <c r="N27" i="27"/>
  <c r="S26" i="27"/>
  <c r="R26" i="27"/>
  <c r="Q26" i="27"/>
  <c r="O26" i="27"/>
  <c r="N26" i="27"/>
  <c r="S25" i="27"/>
  <c r="R25" i="27"/>
  <c r="Q25" i="27"/>
  <c r="O25" i="27"/>
  <c r="N25" i="27"/>
  <c r="S24" i="27"/>
  <c r="R24" i="27"/>
  <c r="Q24" i="27"/>
  <c r="O24" i="27"/>
  <c r="N24" i="27"/>
  <c r="S23" i="27"/>
  <c r="R23" i="27"/>
  <c r="Q23" i="27"/>
  <c r="O23" i="27"/>
  <c r="N23" i="27"/>
  <c r="S22" i="27"/>
  <c r="R22" i="27"/>
  <c r="Q22" i="27"/>
  <c r="O22" i="27"/>
  <c r="N22" i="27"/>
  <c r="S21" i="27"/>
  <c r="R21" i="27"/>
  <c r="Q21" i="27"/>
  <c r="O21" i="27"/>
  <c r="N21" i="27"/>
  <c r="S20" i="27"/>
  <c r="R20" i="27"/>
  <c r="Q20" i="27"/>
  <c r="O20" i="27"/>
  <c r="N20" i="27"/>
  <c r="S19" i="27"/>
  <c r="R19" i="27"/>
  <c r="Q19" i="27"/>
  <c r="O19" i="27"/>
  <c r="N19" i="27"/>
  <c r="S18" i="27"/>
  <c r="R18" i="27"/>
  <c r="Q18" i="27"/>
  <c r="O18" i="27"/>
  <c r="N18" i="27"/>
  <c r="S17" i="27"/>
  <c r="R17" i="27"/>
  <c r="Q17" i="27"/>
  <c r="O17" i="27"/>
  <c r="N17" i="27"/>
  <c r="S16" i="27"/>
  <c r="R16" i="27"/>
  <c r="Q16" i="27"/>
  <c r="O16" i="27"/>
  <c r="N16" i="27"/>
  <c r="S15" i="27"/>
  <c r="R15" i="27"/>
  <c r="Q15" i="27"/>
  <c r="O15" i="27"/>
  <c r="N15" i="27"/>
  <c r="S14" i="27"/>
  <c r="R14" i="27"/>
  <c r="Q14" i="27"/>
  <c r="O14" i="27"/>
  <c r="N14" i="27"/>
  <c r="S13" i="27"/>
  <c r="R13" i="27"/>
  <c r="Q13" i="27"/>
  <c r="O13" i="27"/>
  <c r="N13" i="27"/>
  <c r="S12" i="27"/>
  <c r="R12" i="27"/>
  <c r="Q12" i="27"/>
  <c r="O12" i="27"/>
  <c r="N12" i="27"/>
  <c r="S11" i="27"/>
  <c r="R11" i="27"/>
  <c r="Q11" i="27"/>
  <c r="O11" i="27"/>
  <c r="N11" i="27"/>
  <c r="S10" i="27"/>
  <c r="R10" i="27"/>
  <c r="Q10" i="27"/>
  <c r="O10" i="27"/>
  <c r="N10" i="27"/>
  <c r="S9" i="27"/>
  <c r="R9" i="27"/>
  <c r="Q9" i="27"/>
  <c r="O9" i="27"/>
  <c r="N9" i="27"/>
  <c r="S8" i="27"/>
  <c r="R8" i="27"/>
  <c r="Q8" i="27"/>
  <c r="O8" i="27"/>
  <c r="N8" i="27"/>
  <c r="S7" i="27"/>
  <c r="R7" i="27"/>
  <c r="Q7" i="27"/>
  <c r="O7" i="27"/>
  <c r="N7" i="27"/>
  <c r="S6" i="27"/>
  <c r="R6" i="27"/>
  <c r="Q6" i="27"/>
  <c r="O6" i="27"/>
  <c r="N6" i="27"/>
  <c r="S5" i="27"/>
  <c r="R5" i="27"/>
  <c r="Q5" i="27"/>
  <c r="O5" i="27"/>
  <c r="N5" i="27"/>
  <c r="T304" i="26"/>
  <c r="S304" i="26"/>
  <c r="R304" i="26"/>
  <c r="Q304" i="26"/>
  <c r="T303" i="26"/>
  <c r="S303" i="26"/>
  <c r="R303" i="26"/>
  <c r="Q303" i="26"/>
  <c r="T302" i="26"/>
  <c r="S302" i="26"/>
  <c r="R302" i="26"/>
  <c r="Q302" i="26"/>
  <c r="T301" i="26"/>
  <c r="S301" i="26"/>
  <c r="R301" i="26"/>
  <c r="Q301" i="26"/>
  <c r="T300" i="26"/>
  <c r="S300" i="26"/>
  <c r="R300" i="26"/>
  <c r="Q300" i="26"/>
  <c r="T299" i="26"/>
  <c r="S299" i="26"/>
  <c r="R299" i="26"/>
  <c r="Q299" i="26"/>
  <c r="T298" i="26"/>
  <c r="S298" i="26"/>
  <c r="R298" i="26"/>
  <c r="Q298" i="26"/>
  <c r="T297" i="26"/>
  <c r="S297" i="26"/>
  <c r="R297" i="26"/>
  <c r="Q297" i="26"/>
  <c r="T296" i="26"/>
  <c r="S296" i="26"/>
  <c r="R296" i="26"/>
  <c r="Q296" i="26"/>
  <c r="T295" i="26"/>
  <c r="S295" i="26"/>
  <c r="R295" i="26"/>
  <c r="Q295" i="26"/>
  <c r="T294" i="26"/>
  <c r="S294" i="26"/>
  <c r="R294" i="26"/>
  <c r="Q294" i="26"/>
  <c r="T293" i="26"/>
  <c r="S293" i="26"/>
  <c r="R293" i="26"/>
  <c r="Q293" i="26"/>
  <c r="T292" i="26"/>
  <c r="S292" i="26"/>
  <c r="R292" i="26"/>
  <c r="Q292" i="26"/>
  <c r="T291" i="26"/>
  <c r="S291" i="26"/>
  <c r="R291" i="26"/>
  <c r="Q291" i="26"/>
  <c r="T290" i="26"/>
  <c r="S290" i="26"/>
  <c r="R290" i="26"/>
  <c r="Q290" i="26"/>
  <c r="T289" i="26"/>
  <c r="S289" i="26"/>
  <c r="R289" i="26"/>
  <c r="Q289" i="26"/>
  <c r="T288" i="26"/>
  <c r="S288" i="26"/>
  <c r="R288" i="26"/>
  <c r="Q288" i="26"/>
  <c r="T287" i="26"/>
  <c r="S287" i="26"/>
  <c r="R287" i="26"/>
  <c r="Q287" i="26"/>
  <c r="T286" i="26"/>
  <c r="S286" i="26"/>
  <c r="R286" i="26"/>
  <c r="Q286" i="26"/>
  <c r="T285" i="26"/>
  <c r="S285" i="26"/>
  <c r="R285" i="26"/>
  <c r="Q285" i="26"/>
  <c r="T284" i="26"/>
  <c r="S284" i="26"/>
  <c r="R284" i="26"/>
  <c r="Q284" i="26"/>
  <c r="T283" i="26"/>
  <c r="S283" i="26"/>
  <c r="R283" i="26"/>
  <c r="Q283" i="26"/>
  <c r="T282" i="26"/>
  <c r="S282" i="26"/>
  <c r="R282" i="26"/>
  <c r="Q282" i="26"/>
  <c r="T281" i="26"/>
  <c r="S281" i="26"/>
  <c r="R281" i="26"/>
  <c r="Q281" i="26"/>
  <c r="T280" i="26"/>
  <c r="S280" i="26"/>
  <c r="R280" i="26"/>
  <c r="Q280" i="26"/>
  <c r="T279" i="26"/>
  <c r="S279" i="26"/>
  <c r="R279" i="26"/>
  <c r="Q279" i="26"/>
  <c r="T278" i="26"/>
  <c r="S278" i="26"/>
  <c r="R278" i="26"/>
  <c r="Q278" i="26"/>
  <c r="T277" i="26"/>
  <c r="S277" i="26"/>
  <c r="R277" i="26"/>
  <c r="Q277" i="26"/>
  <c r="T276" i="26"/>
  <c r="S276" i="26"/>
  <c r="R276" i="26"/>
  <c r="Q276" i="26"/>
  <c r="T275" i="26"/>
  <c r="S275" i="26"/>
  <c r="R275" i="26"/>
  <c r="Q275" i="26"/>
  <c r="T274" i="26"/>
  <c r="S274" i="26"/>
  <c r="R274" i="26"/>
  <c r="Q274" i="26"/>
  <c r="T273" i="26"/>
  <c r="S273" i="26"/>
  <c r="R273" i="26"/>
  <c r="Q273" i="26"/>
  <c r="T272" i="26"/>
  <c r="S272" i="26"/>
  <c r="R272" i="26"/>
  <c r="Q272" i="26"/>
  <c r="T271" i="26"/>
  <c r="S271" i="26"/>
  <c r="R271" i="26"/>
  <c r="Q271" i="26"/>
  <c r="T270" i="26"/>
  <c r="S270" i="26"/>
  <c r="R270" i="26"/>
  <c r="Q270" i="26"/>
  <c r="T269" i="26"/>
  <c r="S269" i="26"/>
  <c r="R269" i="26"/>
  <c r="Q269" i="26"/>
  <c r="T268" i="26"/>
  <c r="S268" i="26"/>
  <c r="R268" i="26"/>
  <c r="Q268" i="26"/>
  <c r="T267" i="26"/>
  <c r="S267" i="26"/>
  <c r="R267" i="26"/>
  <c r="Q267" i="26"/>
  <c r="T266" i="26"/>
  <c r="S266" i="26"/>
  <c r="R266" i="26"/>
  <c r="Q266" i="26"/>
  <c r="T265" i="26"/>
  <c r="S265" i="26"/>
  <c r="R265" i="26"/>
  <c r="Q265" i="26"/>
  <c r="T264" i="26"/>
  <c r="S264" i="26"/>
  <c r="R264" i="26"/>
  <c r="Q264" i="26"/>
  <c r="T263" i="26"/>
  <c r="S263" i="26"/>
  <c r="R263" i="26"/>
  <c r="Q263" i="26"/>
  <c r="T262" i="26"/>
  <c r="S262" i="26"/>
  <c r="R262" i="26"/>
  <c r="Q262" i="26"/>
  <c r="T261" i="26"/>
  <c r="S261" i="26"/>
  <c r="R261" i="26"/>
  <c r="Q261" i="26"/>
  <c r="T260" i="26"/>
  <c r="S260" i="26"/>
  <c r="R260" i="26"/>
  <c r="Q260" i="26"/>
  <c r="T259" i="26"/>
  <c r="S259" i="26"/>
  <c r="R259" i="26"/>
  <c r="Q259" i="26"/>
  <c r="T258" i="26"/>
  <c r="S258" i="26"/>
  <c r="R258" i="26"/>
  <c r="Q258" i="26"/>
  <c r="T257" i="26"/>
  <c r="S257" i="26"/>
  <c r="R257" i="26"/>
  <c r="Q257" i="26"/>
  <c r="T256" i="26"/>
  <c r="S256" i="26"/>
  <c r="R256" i="26"/>
  <c r="Q256" i="26"/>
  <c r="T255" i="26"/>
  <c r="S255" i="26"/>
  <c r="R255" i="26"/>
  <c r="Q255" i="26"/>
  <c r="T254" i="26"/>
  <c r="S254" i="26"/>
  <c r="R254" i="26"/>
  <c r="Q254" i="26"/>
  <c r="T253" i="26"/>
  <c r="S253" i="26"/>
  <c r="R253" i="26"/>
  <c r="Q253" i="26"/>
  <c r="T252" i="26"/>
  <c r="S252" i="26"/>
  <c r="R252" i="26"/>
  <c r="Q252" i="26"/>
  <c r="T251" i="26"/>
  <c r="S251" i="26"/>
  <c r="R251" i="26"/>
  <c r="Q251" i="26"/>
  <c r="T250" i="26"/>
  <c r="S250" i="26"/>
  <c r="R250" i="26"/>
  <c r="Q250" i="26"/>
  <c r="T249" i="26"/>
  <c r="S249" i="26"/>
  <c r="R249" i="26"/>
  <c r="Q249" i="26"/>
  <c r="T248" i="26"/>
  <c r="S248" i="26"/>
  <c r="R248" i="26"/>
  <c r="Q248" i="26"/>
  <c r="T247" i="26"/>
  <c r="S247" i="26"/>
  <c r="R247" i="26"/>
  <c r="Q247" i="26"/>
  <c r="T246" i="26"/>
  <c r="S246" i="26"/>
  <c r="R246" i="26"/>
  <c r="Q246" i="26"/>
  <c r="T245" i="26"/>
  <c r="S245" i="26"/>
  <c r="R245" i="26"/>
  <c r="Q245" i="26"/>
  <c r="T244" i="26"/>
  <c r="S244" i="26"/>
  <c r="R244" i="26"/>
  <c r="Q244" i="26"/>
  <c r="T243" i="26"/>
  <c r="S243" i="26"/>
  <c r="R243" i="26"/>
  <c r="Q243" i="26"/>
  <c r="T242" i="26"/>
  <c r="S242" i="26"/>
  <c r="R242" i="26"/>
  <c r="Q242" i="26"/>
  <c r="T241" i="26"/>
  <c r="S241" i="26"/>
  <c r="R241" i="26"/>
  <c r="Q241" i="26"/>
  <c r="T240" i="26"/>
  <c r="S240" i="26"/>
  <c r="R240" i="26"/>
  <c r="Q240" i="26"/>
  <c r="T239" i="26"/>
  <c r="S239" i="26"/>
  <c r="R239" i="26"/>
  <c r="Q239" i="26"/>
  <c r="T238" i="26"/>
  <c r="S238" i="26"/>
  <c r="R238" i="26"/>
  <c r="Q238" i="26"/>
  <c r="T237" i="26"/>
  <c r="S237" i="26"/>
  <c r="R237" i="26"/>
  <c r="Q237" i="26"/>
  <c r="T236" i="26"/>
  <c r="S236" i="26"/>
  <c r="R236" i="26"/>
  <c r="Q236" i="26"/>
  <c r="T235" i="26"/>
  <c r="S235" i="26"/>
  <c r="R235" i="26"/>
  <c r="Q235" i="26"/>
  <c r="T234" i="26"/>
  <c r="S234" i="26"/>
  <c r="R234" i="26"/>
  <c r="Q234" i="26"/>
  <c r="T233" i="26"/>
  <c r="S233" i="26"/>
  <c r="R233" i="26"/>
  <c r="Q233" i="26"/>
  <c r="T232" i="26"/>
  <c r="S232" i="26"/>
  <c r="R232" i="26"/>
  <c r="Q232" i="26"/>
  <c r="T231" i="26"/>
  <c r="S231" i="26"/>
  <c r="R231" i="26"/>
  <c r="Q231" i="26"/>
  <c r="T230" i="26"/>
  <c r="S230" i="26"/>
  <c r="R230" i="26"/>
  <c r="Q230" i="26"/>
  <c r="T229" i="26"/>
  <c r="S229" i="26"/>
  <c r="R229" i="26"/>
  <c r="Q229" i="26"/>
  <c r="T228" i="26"/>
  <c r="S228" i="26"/>
  <c r="R228" i="26"/>
  <c r="Q228" i="26"/>
  <c r="T227" i="26"/>
  <c r="S227" i="26"/>
  <c r="R227" i="26"/>
  <c r="Q227" i="26"/>
  <c r="T226" i="26"/>
  <c r="S226" i="26"/>
  <c r="R226" i="26"/>
  <c r="Q226" i="26"/>
  <c r="T225" i="26"/>
  <c r="S225" i="26"/>
  <c r="R225" i="26"/>
  <c r="Q225" i="26"/>
  <c r="T224" i="26"/>
  <c r="S224" i="26"/>
  <c r="R224" i="26"/>
  <c r="Q224" i="26"/>
  <c r="T223" i="26"/>
  <c r="S223" i="26"/>
  <c r="R223" i="26"/>
  <c r="Q223" i="26"/>
  <c r="T222" i="26"/>
  <c r="S222" i="26"/>
  <c r="R222" i="26"/>
  <c r="Q222" i="26"/>
  <c r="T221" i="26"/>
  <c r="S221" i="26"/>
  <c r="R221" i="26"/>
  <c r="Q221" i="26"/>
  <c r="T220" i="26"/>
  <c r="S220" i="26"/>
  <c r="R220" i="26"/>
  <c r="Q220" i="26"/>
  <c r="T219" i="26"/>
  <c r="S219" i="26"/>
  <c r="R219" i="26"/>
  <c r="Q219" i="26"/>
  <c r="T218" i="26"/>
  <c r="S218" i="26"/>
  <c r="R218" i="26"/>
  <c r="Q218" i="26"/>
  <c r="T217" i="26"/>
  <c r="S217" i="26"/>
  <c r="R217" i="26"/>
  <c r="Q217" i="26"/>
  <c r="T216" i="26"/>
  <c r="S216" i="26"/>
  <c r="R216" i="26"/>
  <c r="Q216" i="26"/>
  <c r="T215" i="26"/>
  <c r="S215" i="26"/>
  <c r="R215" i="26"/>
  <c r="Q215" i="26"/>
  <c r="T214" i="26"/>
  <c r="S214" i="26"/>
  <c r="R214" i="26"/>
  <c r="Q214" i="26"/>
  <c r="T213" i="26"/>
  <c r="S213" i="26"/>
  <c r="R213" i="26"/>
  <c r="Q213" i="26"/>
  <c r="T212" i="26"/>
  <c r="S212" i="26"/>
  <c r="R212" i="26"/>
  <c r="Q212" i="26"/>
  <c r="T211" i="26"/>
  <c r="S211" i="26"/>
  <c r="R211" i="26"/>
  <c r="Q211" i="26"/>
  <c r="T210" i="26"/>
  <c r="S210" i="26"/>
  <c r="R210" i="26"/>
  <c r="Q210" i="26"/>
  <c r="T209" i="26"/>
  <c r="S209" i="26"/>
  <c r="R209" i="26"/>
  <c r="Q209" i="26"/>
  <c r="T208" i="26"/>
  <c r="S208" i="26"/>
  <c r="R208" i="26"/>
  <c r="Q208" i="26"/>
  <c r="T207" i="26"/>
  <c r="S207" i="26"/>
  <c r="R207" i="26"/>
  <c r="Q207" i="26"/>
  <c r="T206" i="26"/>
  <c r="S206" i="26"/>
  <c r="R206" i="26"/>
  <c r="Q206" i="26"/>
  <c r="T205" i="26"/>
  <c r="S205" i="26"/>
  <c r="R205" i="26"/>
  <c r="Q205" i="26"/>
  <c r="T204" i="26"/>
  <c r="S204" i="26"/>
  <c r="R204" i="26"/>
  <c r="Q204" i="26"/>
  <c r="T203" i="26"/>
  <c r="S203" i="26"/>
  <c r="R203" i="26"/>
  <c r="Q203" i="26"/>
  <c r="T202" i="26"/>
  <c r="S202" i="26"/>
  <c r="R202" i="26"/>
  <c r="Q202" i="26"/>
  <c r="T201" i="26"/>
  <c r="S201" i="26"/>
  <c r="R201" i="26"/>
  <c r="Q201" i="26"/>
  <c r="T200" i="26"/>
  <c r="S200" i="26"/>
  <c r="R200" i="26"/>
  <c r="Q200" i="26"/>
  <c r="T199" i="26"/>
  <c r="S199" i="26"/>
  <c r="R199" i="26"/>
  <c r="Q199" i="26"/>
  <c r="T198" i="26"/>
  <c r="S198" i="26"/>
  <c r="R198" i="26"/>
  <c r="Q198" i="26"/>
  <c r="T197" i="26"/>
  <c r="S197" i="26"/>
  <c r="R197" i="26"/>
  <c r="Q197" i="26"/>
  <c r="T196" i="26"/>
  <c r="S196" i="26"/>
  <c r="R196" i="26"/>
  <c r="Q196" i="26"/>
  <c r="T195" i="26"/>
  <c r="S195" i="26"/>
  <c r="R195" i="26"/>
  <c r="Q195" i="26"/>
  <c r="T194" i="26"/>
  <c r="S194" i="26"/>
  <c r="R194" i="26"/>
  <c r="Q194" i="26"/>
  <c r="T193" i="26"/>
  <c r="S193" i="26"/>
  <c r="R193" i="26"/>
  <c r="Q193" i="26"/>
  <c r="T192" i="26"/>
  <c r="S192" i="26"/>
  <c r="R192" i="26"/>
  <c r="Q192" i="26"/>
  <c r="T191" i="26"/>
  <c r="S191" i="26"/>
  <c r="R191" i="26"/>
  <c r="Q191" i="26"/>
  <c r="T190" i="26"/>
  <c r="S190" i="26"/>
  <c r="R190" i="26"/>
  <c r="Q190" i="26"/>
  <c r="T189" i="26"/>
  <c r="S189" i="26"/>
  <c r="R189" i="26"/>
  <c r="Q189" i="26"/>
  <c r="T188" i="26"/>
  <c r="S188" i="26"/>
  <c r="R188" i="26"/>
  <c r="Q188" i="26"/>
  <c r="T187" i="26"/>
  <c r="S187" i="26"/>
  <c r="R187" i="26"/>
  <c r="Q187" i="26"/>
  <c r="T186" i="26"/>
  <c r="S186" i="26"/>
  <c r="R186" i="26"/>
  <c r="Q186" i="26"/>
  <c r="T185" i="26"/>
  <c r="S185" i="26"/>
  <c r="R185" i="26"/>
  <c r="Q185" i="26"/>
  <c r="T184" i="26"/>
  <c r="S184" i="26"/>
  <c r="R184" i="26"/>
  <c r="Q184" i="26"/>
  <c r="T183" i="26"/>
  <c r="S183" i="26"/>
  <c r="R183" i="26"/>
  <c r="Q183" i="26"/>
  <c r="T182" i="26"/>
  <c r="S182" i="26"/>
  <c r="R182" i="26"/>
  <c r="Q182" i="26"/>
  <c r="T181" i="26"/>
  <c r="S181" i="26"/>
  <c r="R181" i="26"/>
  <c r="Q181" i="26"/>
  <c r="T180" i="26"/>
  <c r="S180" i="26"/>
  <c r="R180" i="26"/>
  <c r="Q180" i="26"/>
  <c r="T179" i="26"/>
  <c r="S179" i="26"/>
  <c r="R179" i="26"/>
  <c r="Q179" i="26"/>
  <c r="T178" i="26"/>
  <c r="S178" i="26"/>
  <c r="R178" i="26"/>
  <c r="Q178" i="26"/>
  <c r="T177" i="26"/>
  <c r="S177" i="26"/>
  <c r="R177" i="26"/>
  <c r="Q177" i="26"/>
  <c r="T176" i="26"/>
  <c r="S176" i="26"/>
  <c r="R176" i="26"/>
  <c r="Q176" i="26"/>
  <c r="T175" i="26"/>
  <c r="S175" i="26"/>
  <c r="R175" i="26"/>
  <c r="Q175" i="26"/>
  <c r="T174" i="26"/>
  <c r="S174" i="26"/>
  <c r="R174" i="26"/>
  <c r="Q174" i="26"/>
  <c r="T173" i="26"/>
  <c r="S173" i="26"/>
  <c r="R173" i="26"/>
  <c r="Q173" i="26"/>
  <c r="T172" i="26"/>
  <c r="S172" i="26"/>
  <c r="R172" i="26"/>
  <c r="Q172" i="26"/>
  <c r="T171" i="26"/>
  <c r="S171" i="26"/>
  <c r="R171" i="26"/>
  <c r="Q171" i="26"/>
  <c r="T170" i="26"/>
  <c r="S170" i="26"/>
  <c r="R170" i="26"/>
  <c r="Q170" i="26"/>
  <c r="T169" i="26"/>
  <c r="S169" i="26"/>
  <c r="R169" i="26"/>
  <c r="Q169" i="26"/>
  <c r="T168" i="26"/>
  <c r="S168" i="26"/>
  <c r="R168" i="26"/>
  <c r="Q168" i="26"/>
  <c r="T167" i="26"/>
  <c r="S167" i="26"/>
  <c r="R167" i="26"/>
  <c r="Q167" i="26"/>
  <c r="T166" i="26"/>
  <c r="S166" i="26"/>
  <c r="R166" i="26"/>
  <c r="Q166" i="26"/>
  <c r="T165" i="26"/>
  <c r="S165" i="26"/>
  <c r="R165" i="26"/>
  <c r="Q165" i="26"/>
  <c r="T164" i="26"/>
  <c r="S164" i="26"/>
  <c r="R164" i="26"/>
  <c r="Q164" i="26"/>
  <c r="T163" i="26"/>
  <c r="S163" i="26"/>
  <c r="R163" i="26"/>
  <c r="Q163" i="26"/>
  <c r="T162" i="26"/>
  <c r="S162" i="26"/>
  <c r="R162" i="26"/>
  <c r="Q162" i="26"/>
  <c r="T161" i="26"/>
  <c r="S161" i="26"/>
  <c r="R161" i="26"/>
  <c r="Q161" i="26"/>
  <c r="T160" i="26"/>
  <c r="S160" i="26"/>
  <c r="R160" i="26"/>
  <c r="Q160" i="26"/>
  <c r="T159" i="26"/>
  <c r="S159" i="26"/>
  <c r="R159" i="26"/>
  <c r="Q159" i="26"/>
  <c r="T158" i="26"/>
  <c r="S158" i="26"/>
  <c r="R158" i="26"/>
  <c r="Q158" i="26"/>
  <c r="T157" i="26"/>
  <c r="S157" i="26"/>
  <c r="R157" i="26"/>
  <c r="Q157" i="26"/>
  <c r="T156" i="26"/>
  <c r="S156" i="26"/>
  <c r="R156" i="26"/>
  <c r="Q156" i="26"/>
  <c r="T155" i="26"/>
  <c r="S155" i="26"/>
  <c r="R155" i="26"/>
  <c r="Q155" i="26"/>
  <c r="T154" i="26"/>
  <c r="S154" i="26"/>
  <c r="R154" i="26"/>
  <c r="Q154" i="26"/>
  <c r="T153" i="26"/>
  <c r="S153" i="26"/>
  <c r="R153" i="26"/>
  <c r="Q153" i="26"/>
  <c r="T152" i="26"/>
  <c r="S152" i="26"/>
  <c r="R152" i="26"/>
  <c r="Q152" i="26"/>
  <c r="T151" i="26"/>
  <c r="S151" i="26"/>
  <c r="R151" i="26"/>
  <c r="Q151" i="26"/>
  <c r="T150" i="26"/>
  <c r="S150" i="26"/>
  <c r="R150" i="26"/>
  <c r="Q150" i="26"/>
  <c r="T149" i="26"/>
  <c r="S149" i="26"/>
  <c r="R149" i="26"/>
  <c r="Q149" i="26"/>
  <c r="T148" i="26"/>
  <c r="S148" i="26"/>
  <c r="R148" i="26"/>
  <c r="Q148" i="26"/>
  <c r="T147" i="26"/>
  <c r="S147" i="26"/>
  <c r="R147" i="26"/>
  <c r="Q147" i="26"/>
  <c r="T146" i="26"/>
  <c r="S146" i="26"/>
  <c r="R146" i="26"/>
  <c r="Q146" i="26"/>
  <c r="T145" i="26"/>
  <c r="S145" i="26"/>
  <c r="R145" i="26"/>
  <c r="Q145" i="26"/>
  <c r="T144" i="26"/>
  <c r="S144" i="26"/>
  <c r="R144" i="26"/>
  <c r="Q144" i="26"/>
  <c r="T143" i="26"/>
  <c r="S143" i="26"/>
  <c r="R143" i="26"/>
  <c r="Q143" i="26"/>
  <c r="T142" i="26"/>
  <c r="S142" i="26"/>
  <c r="R142" i="26"/>
  <c r="Q142" i="26"/>
  <c r="T141" i="26"/>
  <c r="S141" i="26"/>
  <c r="R141" i="26"/>
  <c r="Q141" i="26"/>
  <c r="T140" i="26"/>
  <c r="S140" i="26"/>
  <c r="R140" i="26"/>
  <c r="Q140" i="26"/>
  <c r="T139" i="26"/>
  <c r="S139" i="26"/>
  <c r="R139" i="26"/>
  <c r="Q139" i="26"/>
  <c r="T138" i="26"/>
  <c r="S138" i="26"/>
  <c r="R138" i="26"/>
  <c r="Q138" i="26"/>
  <c r="T137" i="26"/>
  <c r="S137" i="26"/>
  <c r="R137" i="26"/>
  <c r="Q137" i="26"/>
  <c r="T136" i="26"/>
  <c r="S136" i="26"/>
  <c r="R136" i="26"/>
  <c r="Q136" i="26"/>
  <c r="T135" i="26"/>
  <c r="S135" i="26"/>
  <c r="R135" i="26"/>
  <c r="Q135" i="26"/>
  <c r="T134" i="26"/>
  <c r="S134" i="26"/>
  <c r="R134" i="26"/>
  <c r="Q134" i="26"/>
  <c r="T133" i="26"/>
  <c r="S133" i="26"/>
  <c r="R133" i="26"/>
  <c r="Q133" i="26"/>
  <c r="T132" i="26"/>
  <c r="S132" i="26"/>
  <c r="R132" i="26"/>
  <c r="Q132" i="26"/>
  <c r="T131" i="26"/>
  <c r="S131" i="26"/>
  <c r="R131" i="26"/>
  <c r="Q131" i="26"/>
  <c r="T130" i="26"/>
  <c r="S130" i="26"/>
  <c r="R130" i="26"/>
  <c r="Q130" i="26"/>
  <c r="T129" i="26"/>
  <c r="S129" i="26"/>
  <c r="R129" i="26"/>
  <c r="Q129" i="26"/>
  <c r="T128" i="26"/>
  <c r="S128" i="26"/>
  <c r="R128" i="26"/>
  <c r="Q128" i="26"/>
  <c r="T127" i="26"/>
  <c r="S127" i="26"/>
  <c r="R127" i="26"/>
  <c r="Q127" i="26"/>
  <c r="T126" i="26"/>
  <c r="S126" i="26"/>
  <c r="R126" i="26"/>
  <c r="Q126" i="26"/>
  <c r="T125" i="26"/>
  <c r="S125" i="26"/>
  <c r="R125" i="26"/>
  <c r="Q125" i="26"/>
  <c r="T124" i="26"/>
  <c r="S124" i="26"/>
  <c r="R124" i="26"/>
  <c r="Q124" i="26"/>
  <c r="T123" i="26"/>
  <c r="S123" i="26"/>
  <c r="R123" i="26"/>
  <c r="Q123" i="26"/>
  <c r="T122" i="26"/>
  <c r="S122" i="26"/>
  <c r="R122" i="26"/>
  <c r="Q122" i="26"/>
  <c r="T121" i="26"/>
  <c r="S121" i="26"/>
  <c r="R121" i="26"/>
  <c r="Q121" i="26"/>
  <c r="T120" i="26"/>
  <c r="S120" i="26"/>
  <c r="R120" i="26"/>
  <c r="Q120" i="26"/>
  <c r="T119" i="26"/>
  <c r="S119" i="26"/>
  <c r="R119" i="26"/>
  <c r="Q119" i="26"/>
  <c r="T118" i="26"/>
  <c r="S118" i="26"/>
  <c r="R118" i="26"/>
  <c r="Q118" i="26"/>
  <c r="T117" i="26"/>
  <c r="S117" i="26"/>
  <c r="R117" i="26"/>
  <c r="Q117" i="26"/>
  <c r="T116" i="26"/>
  <c r="S116" i="26"/>
  <c r="R116" i="26"/>
  <c r="Q116" i="26"/>
  <c r="T115" i="26"/>
  <c r="S115" i="26"/>
  <c r="R115" i="26"/>
  <c r="Q115" i="26"/>
  <c r="T114" i="26"/>
  <c r="S114" i="26"/>
  <c r="R114" i="26"/>
  <c r="Q114" i="26"/>
  <c r="T113" i="26"/>
  <c r="S113" i="26"/>
  <c r="R113" i="26"/>
  <c r="Q113" i="26"/>
  <c r="T112" i="26"/>
  <c r="S112" i="26"/>
  <c r="R112" i="26"/>
  <c r="Q112" i="26"/>
  <c r="T111" i="26"/>
  <c r="S111" i="26"/>
  <c r="R111" i="26"/>
  <c r="Q111" i="26"/>
  <c r="T110" i="26"/>
  <c r="S110" i="26"/>
  <c r="R110" i="26"/>
  <c r="Q110" i="26"/>
  <c r="T109" i="26"/>
  <c r="S109" i="26"/>
  <c r="R109" i="26"/>
  <c r="Q109" i="26"/>
  <c r="T108" i="26"/>
  <c r="S108" i="26"/>
  <c r="R108" i="26"/>
  <c r="Q108" i="26"/>
  <c r="T107" i="26"/>
  <c r="S107" i="26"/>
  <c r="R107" i="26"/>
  <c r="Q107" i="26"/>
  <c r="T106" i="26"/>
  <c r="S106" i="26"/>
  <c r="R106" i="26"/>
  <c r="Q106" i="26"/>
  <c r="T105" i="26"/>
  <c r="S105" i="26"/>
  <c r="R105" i="26"/>
  <c r="Q105" i="26"/>
  <c r="T104" i="26"/>
  <c r="S104" i="26"/>
  <c r="R104" i="26"/>
  <c r="Q104" i="26"/>
  <c r="T103" i="26"/>
  <c r="S103" i="26"/>
  <c r="R103" i="26"/>
  <c r="Q103" i="26"/>
  <c r="T102" i="26"/>
  <c r="S102" i="26"/>
  <c r="R102" i="26"/>
  <c r="Q102" i="26"/>
  <c r="T101" i="26"/>
  <c r="S101" i="26"/>
  <c r="R101" i="26"/>
  <c r="Q101" i="26"/>
  <c r="T100" i="26"/>
  <c r="S100" i="26"/>
  <c r="R100" i="26"/>
  <c r="Q100" i="26"/>
  <c r="T99" i="26"/>
  <c r="S99" i="26"/>
  <c r="R99" i="26"/>
  <c r="Q99" i="26"/>
  <c r="T98" i="26"/>
  <c r="S98" i="26"/>
  <c r="R98" i="26"/>
  <c r="Q98" i="26"/>
  <c r="T97" i="26"/>
  <c r="S97" i="26"/>
  <c r="R97" i="26"/>
  <c r="Q97" i="26"/>
  <c r="T96" i="26"/>
  <c r="S96" i="26"/>
  <c r="R96" i="26"/>
  <c r="Q96" i="26"/>
  <c r="T95" i="26"/>
  <c r="S95" i="26"/>
  <c r="R95" i="26"/>
  <c r="Q95" i="26"/>
  <c r="T94" i="26"/>
  <c r="S94" i="26"/>
  <c r="R94" i="26"/>
  <c r="Q94" i="26"/>
  <c r="T93" i="26"/>
  <c r="S93" i="26"/>
  <c r="R93" i="26"/>
  <c r="Q93" i="26"/>
  <c r="T92" i="26"/>
  <c r="S92" i="26"/>
  <c r="R92" i="26"/>
  <c r="Q92" i="26"/>
  <c r="T91" i="26"/>
  <c r="S91" i="26"/>
  <c r="R91" i="26"/>
  <c r="Q91" i="26"/>
  <c r="T90" i="26"/>
  <c r="S90" i="26"/>
  <c r="R90" i="26"/>
  <c r="Q90" i="26"/>
  <c r="T89" i="26"/>
  <c r="S89" i="26"/>
  <c r="R89" i="26"/>
  <c r="Q89" i="26"/>
  <c r="T88" i="26"/>
  <c r="S88" i="26"/>
  <c r="R88" i="26"/>
  <c r="Q88" i="26"/>
  <c r="T87" i="26"/>
  <c r="S87" i="26"/>
  <c r="R87" i="26"/>
  <c r="Q87" i="26"/>
  <c r="T86" i="26"/>
  <c r="S86" i="26"/>
  <c r="R86" i="26"/>
  <c r="Q86" i="26"/>
  <c r="T85" i="26"/>
  <c r="S85" i="26"/>
  <c r="R85" i="26"/>
  <c r="Q85" i="26"/>
  <c r="T84" i="26"/>
  <c r="S84" i="26"/>
  <c r="R84" i="26"/>
  <c r="Q84" i="26"/>
  <c r="T83" i="26"/>
  <c r="S83" i="26"/>
  <c r="R83" i="26"/>
  <c r="Q83" i="26"/>
  <c r="T82" i="26"/>
  <c r="S82" i="26"/>
  <c r="R82" i="26"/>
  <c r="Q82" i="26"/>
  <c r="T81" i="26"/>
  <c r="S81" i="26"/>
  <c r="R81" i="26"/>
  <c r="Q81" i="26"/>
  <c r="T80" i="26"/>
  <c r="S80" i="26"/>
  <c r="R80" i="26"/>
  <c r="Q80" i="26"/>
  <c r="T79" i="26"/>
  <c r="S79" i="26"/>
  <c r="R79" i="26"/>
  <c r="Q79" i="26"/>
  <c r="T78" i="26"/>
  <c r="S78" i="26"/>
  <c r="R78" i="26"/>
  <c r="Q78" i="26"/>
  <c r="T77" i="26"/>
  <c r="S77" i="26"/>
  <c r="R77" i="26"/>
  <c r="Q77" i="26"/>
  <c r="T76" i="26"/>
  <c r="S76" i="26"/>
  <c r="R76" i="26"/>
  <c r="Q76" i="26"/>
  <c r="T75" i="26"/>
  <c r="S75" i="26"/>
  <c r="R75" i="26"/>
  <c r="Q75" i="26"/>
  <c r="T74" i="26"/>
  <c r="S74" i="26"/>
  <c r="R74" i="26"/>
  <c r="Q74" i="26"/>
  <c r="T73" i="26"/>
  <c r="S73" i="26"/>
  <c r="R73" i="26"/>
  <c r="Q73" i="26"/>
  <c r="T72" i="26"/>
  <c r="S72" i="26"/>
  <c r="R72" i="26"/>
  <c r="Q72" i="26"/>
  <c r="T71" i="26"/>
  <c r="S71" i="26"/>
  <c r="R71" i="26"/>
  <c r="Q71" i="26"/>
  <c r="T70" i="26"/>
  <c r="S70" i="26"/>
  <c r="R70" i="26"/>
  <c r="Q70" i="26"/>
  <c r="T69" i="26"/>
  <c r="S69" i="26"/>
  <c r="R69" i="26"/>
  <c r="Q69" i="26"/>
  <c r="T68" i="26"/>
  <c r="S68" i="26"/>
  <c r="R68" i="26"/>
  <c r="Q68" i="26"/>
  <c r="T67" i="26"/>
  <c r="S67" i="26"/>
  <c r="R67" i="26"/>
  <c r="Q67" i="26"/>
  <c r="T66" i="26"/>
  <c r="S66" i="26"/>
  <c r="R66" i="26"/>
  <c r="Q66" i="26"/>
  <c r="T65" i="26"/>
  <c r="S65" i="26"/>
  <c r="R65" i="26"/>
  <c r="Q65" i="26"/>
  <c r="T64" i="26"/>
  <c r="S64" i="26"/>
  <c r="R64" i="26"/>
  <c r="Q64" i="26"/>
  <c r="T63" i="26"/>
  <c r="S63" i="26"/>
  <c r="R63" i="26"/>
  <c r="Q63" i="26"/>
  <c r="T62" i="26"/>
  <c r="S62" i="26"/>
  <c r="R62" i="26"/>
  <c r="Q62" i="26"/>
  <c r="T61" i="26"/>
  <c r="S61" i="26"/>
  <c r="R61" i="26"/>
  <c r="Q61" i="26"/>
  <c r="T60" i="26"/>
  <c r="S60" i="26"/>
  <c r="R60" i="26"/>
  <c r="Q60" i="26"/>
  <c r="T59" i="26"/>
  <c r="S59" i="26"/>
  <c r="R59" i="26"/>
  <c r="Q59" i="26"/>
  <c r="T58" i="26"/>
  <c r="S58" i="26"/>
  <c r="R58" i="26"/>
  <c r="Q58" i="26"/>
  <c r="T57" i="26"/>
  <c r="S57" i="26"/>
  <c r="R57" i="26"/>
  <c r="Q57" i="26"/>
  <c r="T56" i="26"/>
  <c r="S56" i="26"/>
  <c r="R56" i="26"/>
  <c r="Q56" i="26"/>
  <c r="T55" i="26"/>
  <c r="S55" i="26"/>
  <c r="R55" i="26"/>
  <c r="Q55" i="26"/>
  <c r="T54" i="26"/>
  <c r="S54" i="26"/>
  <c r="R54" i="26"/>
  <c r="Q54" i="26"/>
  <c r="T53" i="26"/>
  <c r="S53" i="26"/>
  <c r="R53" i="26"/>
  <c r="Q53" i="26"/>
  <c r="T52" i="26"/>
  <c r="S52" i="26"/>
  <c r="R52" i="26"/>
  <c r="Q52" i="26"/>
  <c r="T51" i="26"/>
  <c r="S51" i="26"/>
  <c r="R51" i="26"/>
  <c r="Q51" i="26"/>
  <c r="T50" i="26"/>
  <c r="S50" i="26"/>
  <c r="R50" i="26"/>
  <c r="Q50" i="26"/>
  <c r="T49" i="26"/>
  <c r="S49" i="26"/>
  <c r="R49" i="26"/>
  <c r="Q49" i="26"/>
  <c r="T48" i="26"/>
  <c r="S48" i="26"/>
  <c r="R48" i="26"/>
  <c r="Q48" i="26"/>
  <c r="T47" i="26"/>
  <c r="S47" i="26"/>
  <c r="R47" i="26"/>
  <c r="Q47" i="26"/>
  <c r="T46" i="26"/>
  <c r="S46" i="26"/>
  <c r="R46" i="26"/>
  <c r="Q46" i="26"/>
  <c r="T45" i="26"/>
  <c r="S45" i="26"/>
  <c r="R45" i="26"/>
  <c r="Q45" i="26"/>
  <c r="T44" i="26"/>
  <c r="S44" i="26"/>
  <c r="R44" i="26"/>
  <c r="Q44" i="26"/>
  <c r="T43" i="26"/>
  <c r="S43" i="26"/>
  <c r="R43" i="26"/>
  <c r="Q43" i="26"/>
  <c r="T42" i="26"/>
  <c r="S42" i="26"/>
  <c r="R42" i="26"/>
  <c r="Q42" i="26"/>
  <c r="T41" i="26"/>
  <c r="S41" i="26"/>
  <c r="R41" i="26"/>
  <c r="Q41" i="26"/>
  <c r="T40" i="26"/>
  <c r="S40" i="26"/>
  <c r="R40" i="26"/>
  <c r="Q40" i="26"/>
  <c r="T39" i="26"/>
  <c r="S39" i="26"/>
  <c r="R39" i="26"/>
  <c r="Q39" i="26"/>
  <c r="T38" i="26"/>
  <c r="S38" i="26"/>
  <c r="R38" i="26"/>
  <c r="Q38" i="26"/>
  <c r="T37" i="26"/>
  <c r="S37" i="26"/>
  <c r="R37" i="26"/>
  <c r="Q37" i="26"/>
  <c r="T36" i="26"/>
  <c r="S36" i="26"/>
  <c r="R36" i="26"/>
  <c r="Q36" i="26"/>
  <c r="T35" i="26"/>
  <c r="S35" i="26"/>
  <c r="R35" i="26"/>
  <c r="Q35" i="26"/>
  <c r="T34" i="26"/>
  <c r="S34" i="26"/>
  <c r="R34" i="26"/>
  <c r="Q34" i="26"/>
  <c r="T33" i="26"/>
  <c r="S33" i="26"/>
  <c r="R33" i="26"/>
  <c r="Q33" i="26"/>
  <c r="T32" i="26"/>
  <c r="S32" i="26"/>
  <c r="R32" i="26"/>
  <c r="Q32" i="26"/>
  <c r="T31" i="26"/>
  <c r="S31" i="26"/>
  <c r="R31" i="26"/>
  <c r="Q31" i="26"/>
  <c r="T30" i="26"/>
  <c r="S30" i="26"/>
  <c r="R30" i="26"/>
  <c r="Q30" i="26"/>
  <c r="T29" i="26"/>
  <c r="S29" i="26"/>
  <c r="R29" i="26"/>
  <c r="Q29" i="26"/>
  <c r="T28" i="26"/>
  <c r="S28" i="26"/>
  <c r="R28" i="26"/>
  <c r="Q28" i="26"/>
  <c r="T27" i="26"/>
  <c r="S27" i="26"/>
  <c r="R27" i="26"/>
  <c r="Q27" i="26"/>
  <c r="T26" i="26"/>
  <c r="S26" i="26"/>
  <c r="R26" i="26"/>
  <c r="Q26" i="26"/>
  <c r="T25" i="26"/>
  <c r="S25" i="26"/>
  <c r="R25" i="26"/>
  <c r="Q25" i="26"/>
  <c r="T24" i="26"/>
  <c r="S24" i="26"/>
  <c r="R24" i="26"/>
  <c r="Q24" i="26"/>
  <c r="T23" i="26"/>
  <c r="S23" i="26"/>
  <c r="R23" i="26"/>
  <c r="Q23" i="26"/>
  <c r="T22" i="26"/>
  <c r="S22" i="26"/>
  <c r="R22" i="26"/>
  <c r="Q22" i="26"/>
  <c r="T21" i="26"/>
  <c r="S21" i="26"/>
  <c r="R21" i="26"/>
  <c r="Q21" i="26"/>
  <c r="T20" i="26"/>
  <c r="S20" i="26"/>
  <c r="R20" i="26"/>
  <c r="Q20" i="26"/>
  <c r="T19" i="26"/>
  <c r="S19" i="26"/>
  <c r="R19" i="26"/>
  <c r="Q19" i="26"/>
  <c r="T18" i="26"/>
  <c r="S18" i="26"/>
  <c r="R18" i="26"/>
  <c r="Q18" i="26"/>
  <c r="T17" i="26"/>
  <c r="S17" i="26"/>
  <c r="R17" i="26"/>
  <c r="Q17" i="26"/>
  <c r="T16" i="26"/>
  <c r="S16" i="26"/>
  <c r="R16" i="26"/>
  <c r="Q16" i="26"/>
  <c r="T15" i="26"/>
  <c r="S15" i="26"/>
  <c r="R15" i="26"/>
  <c r="Q15" i="26"/>
  <c r="T14" i="26"/>
  <c r="S14" i="26"/>
  <c r="R14" i="26"/>
  <c r="Q14" i="26"/>
  <c r="T13" i="26"/>
  <c r="S13" i="26"/>
  <c r="R13" i="26"/>
  <c r="Q13" i="26"/>
  <c r="T12" i="26"/>
  <c r="S12" i="26"/>
  <c r="R12" i="26"/>
  <c r="Q12" i="26"/>
  <c r="T11" i="26"/>
  <c r="S11" i="26"/>
  <c r="R11" i="26"/>
  <c r="Q11" i="26"/>
  <c r="T10" i="26"/>
  <c r="S10" i="26"/>
  <c r="R10" i="26"/>
  <c r="Q10" i="26"/>
  <c r="T9" i="26"/>
  <c r="S9" i="26"/>
  <c r="R9" i="26"/>
  <c r="Q9" i="26"/>
  <c r="T8" i="26"/>
  <c r="S8" i="26"/>
  <c r="R8" i="26"/>
  <c r="Q8" i="26"/>
  <c r="T7" i="26"/>
  <c r="S7" i="26"/>
  <c r="R7" i="26"/>
  <c r="Q7" i="26"/>
  <c r="T6" i="26"/>
  <c r="S6" i="26"/>
  <c r="R6" i="26"/>
  <c r="Q6" i="26"/>
  <c r="T5" i="26"/>
  <c r="S5" i="26"/>
  <c r="R5" i="26"/>
  <c r="Q5" i="26"/>
  <c r="S304" i="24"/>
  <c r="R304" i="24"/>
  <c r="Q304" i="24"/>
  <c r="P304" i="24"/>
  <c r="S303" i="24"/>
  <c r="R303" i="24"/>
  <c r="Q303" i="24"/>
  <c r="P303" i="24"/>
  <c r="S302" i="24"/>
  <c r="R302" i="24"/>
  <c r="Q302" i="24"/>
  <c r="P302" i="24"/>
  <c r="S301" i="24"/>
  <c r="R301" i="24"/>
  <c r="Q301" i="24"/>
  <c r="P301" i="24"/>
  <c r="S300" i="24"/>
  <c r="R300" i="24"/>
  <c r="Q300" i="24"/>
  <c r="P300" i="24"/>
  <c r="S299" i="24"/>
  <c r="R299" i="24"/>
  <c r="Q299" i="24"/>
  <c r="P299" i="24"/>
  <c r="S298" i="24"/>
  <c r="R298" i="24"/>
  <c r="Q298" i="24"/>
  <c r="P298" i="24"/>
  <c r="S297" i="24"/>
  <c r="R297" i="24"/>
  <c r="Q297" i="24"/>
  <c r="P297" i="24"/>
  <c r="S296" i="24"/>
  <c r="R296" i="24"/>
  <c r="Q296" i="24"/>
  <c r="P296" i="24"/>
  <c r="S295" i="24"/>
  <c r="R295" i="24"/>
  <c r="Q295" i="24"/>
  <c r="P295" i="24"/>
  <c r="S294" i="24"/>
  <c r="R294" i="24"/>
  <c r="Q294" i="24"/>
  <c r="P294" i="24"/>
  <c r="S293" i="24"/>
  <c r="R293" i="24"/>
  <c r="Q293" i="24"/>
  <c r="P293" i="24"/>
  <c r="S292" i="24"/>
  <c r="R292" i="24"/>
  <c r="Q292" i="24"/>
  <c r="P292" i="24"/>
  <c r="S291" i="24"/>
  <c r="R291" i="24"/>
  <c r="Q291" i="24"/>
  <c r="P291" i="24"/>
  <c r="S290" i="24"/>
  <c r="R290" i="24"/>
  <c r="Q290" i="24"/>
  <c r="P290" i="24"/>
  <c r="S289" i="24"/>
  <c r="R289" i="24"/>
  <c r="Q289" i="24"/>
  <c r="P289" i="24"/>
  <c r="S288" i="24"/>
  <c r="R288" i="24"/>
  <c r="Q288" i="24"/>
  <c r="P288" i="24"/>
  <c r="S287" i="24"/>
  <c r="R287" i="24"/>
  <c r="Q287" i="24"/>
  <c r="P287" i="24"/>
  <c r="S286" i="24"/>
  <c r="R286" i="24"/>
  <c r="Q286" i="24"/>
  <c r="P286" i="24"/>
  <c r="S285" i="24"/>
  <c r="R285" i="24"/>
  <c r="Q285" i="24"/>
  <c r="P285" i="24"/>
  <c r="S284" i="24"/>
  <c r="R284" i="24"/>
  <c r="Q284" i="24"/>
  <c r="P284" i="24"/>
  <c r="S283" i="24"/>
  <c r="R283" i="24"/>
  <c r="Q283" i="24"/>
  <c r="P283" i="24"/>
  <c r="S282" i="24"/>
  <c r="R282" i="24"/>
  <c r="Q282" i="24"/>
  <c r="P282" i="24"/>
  <c r="S281" i="24"/>
  <c r="R281" i="24"/>
  <c r="Q281" i="24"/>
  <c r="P281" i="24"/>
  <c r="S280" i="24"/>
  <c r="R280" i="24"/>
  <c r="Q280" i="24"/>
  <c r="P280" i="24"/>
  <c r="S279" i="24"/>
  <c r="R279" i="24"/>
  <c r="Q279" i="24"/>
  <c r="P279" i="24"/>
  <c r="S278" i="24"/>
  <c r="R278" i="24"/>
  <c r="Q278" i="24"/>
  <c r="P278" i="24"/>
  <c r="S277" i="24"/>
  <c r="R277" i="24"/>
  <c r="Q277" i="24"/>
  <c r="P277" i="24"/>
  <c r="S276" i="24"/>
  <c r="R276" i="24"/>
  <c r="Q276" i="24"/>
  <c r="P276" i="24"/>
  <c r="S275" i="24"/>
  <c r="R275" i="24"/>
  <c r="Q275" i="24"/>
  <c r="P275" i="24"/>
  <c r="S274" i="24"/>
  <c r="R274" i="24"/>
  <c r="Q274" i="24"/>
  <c r="P274" i="24"/>
  <c r="S273" i="24"/>
  <c r="R273" i="24"/>
  <c r="Q273" i="24"/>
  <c r="P273" i="24"/>
  <c r="S272" i="24"/>
  <c r="R272" i="24"/>
  <c r="Q272" i="24"/>
  <c r="P272" i="24"/>
  <c r="S271" i="24"/>
  <c r="R271" i="24"/>
  <c r="Q271" i="24"/>
  <c r="P271" i="24"/>
  <c r="S270" i="24"/>
  <c r="R270" i="24"/>
  <c r="Q270" i="24"/>
  <c r="P270" i="24"/>
  <c r="S269" i="24"/>
  <c r="R269" i="24"/>
  <c r="Q269" i="24"/>
  <c r="P269" i="24"/>
  <c r="S268" i="24"/>
  <c r="R268" i="24"/>
  <c r="Q268" i="24"/>
  <c r="P268" i="24"/>
  <c r="S267" i="24"/>
  <c r="R267" i="24"/>
  <c r="Q267" i="24"/>
  <c r="P267" i="24"/>
  <c r="S266" i="24"/>
  <c r="R266" i="24"/>
  <c r="Q266" i="24"/>
  <c r="P266" i="24"/>
  <c r="S265" i="24"/>
  <c r="R265" i="24"/>
  <c r="Q265" i="24"/>
  <c r="P265" i="24"/>
  <c r="S264" i="24"/>
  <c r="R264" i="24"/>
  <c r="Q264" i="24"/>
  <c r="P264" i="24"/>
  <c r="S263" i="24"/>
  <c r="R263" i="24"/>
  <c r="Q263" i="24"/>
  <c r="P263" i="24"/>
  <c r="S262" i="24"/>
  <c r="R262" i="24"/>
  <c r="Q262" i="24"/>
  <c r="P262" i="24"/>
  <c r="S261" i="24"/>
  <c r="R261" i="24"/>
  <c r="Q261" i="24"/>
  <c r="P261" i="24"/>
  <c r="S260" i="24"/>
  <c r="R260" i="24"/>
  <c r="Q260" i="24"/>
  <c r="P260" i="24"/>
  <c r="S259" i="24"/>
  <c r="R259" i="24"/>
  <c r="Q259" i="24"/>
  <c r="P259" i="24"/>
  <c r="S258" i="24"/>
  <c r="R258" i="24"/>
  <c r="Q258" i="24"/>
  <c r="P258" i="24"/>
  <c r="S257" i="24"/>
  <c r="R257" i="24"/>
  <c r="Q257" i="24"/>
  <c r="P257" i="24"/>
  <c r="S256" i="24"/>
  <c r="R256" i="24"/>
  <c r="Q256" i="24"/>
  <c r="P256" i="24"/>
  <c r="S255" i="24"/>
  <c r="R255" i="24"/>
  <c r="Q255" i="24"/>
  <c r="P255" i="24"/>
  <c r="S254" i="24"/>
  <c r="R254" i="24"/>
  <c r="Q254" i="24"/>
  <c r="P254" i="24"/>
  <c r="S253" i="24"/>
  <c r="R253" i="24"/>
  <c r="Q253" i="24"/>
  <c r="P253" i="24"/>
  <c r="S252" i="24"/>
  <c r="R252" i="24"/>
  <c r="Q252" i="24"/>
  <c r="P252" i="24"/>
  <c r="S251" i="24"/>
  <c r="R251" i="24"/>
  <c r="Q251" i="24"/>
  <c r="P251" i="24"/>
  <c r="S250" i="24"/>
  <c r="R250" i="24"/>
  <c r="Q250" i="24"/>
  <c r="P250" i="24"/>
  <c r="S249" i="24"/>
  <c r="R249" i="24"/>
  <c r="Q249" i="24"/>
  <c r="P249" i="24"/>
  <c r="S248" i="24"/>
  <c r="R248" i="24"/>
  <c r="Q248" i="24"/>
  <c r="P248" i="24"/>
  <c r="S247" i="24"/>
  <c r="R247" i="24"/>
  <c r="Q247" i="24"/>
  <c r="P247" i="24"/>
  <c r="S246" i="24"/>
  <c r="R246" i="24"/>
  <c r="Q246" i="24"/>
  <c r="P246" i="24"/>
  <c r="S245" i="24"/>
  <c r="R245" i="24"/>
  <c r="Q245" i="24"/>
  <c r="P245" i="24"/>
  <c r="S244" i="24"/>
  <c r="R244" i="24"/>
  <c r="Q244" i="24"/>
  <c r="P244" i="24"/>
  <c r="S243" i="24"/>
  <c r="R243" i="24"/>
  <c r="Q243" i="24"/>
  <c r="P243" i="24"/>
  <c r="S242" i="24"/>
  <c r="R242" i="24"/>
  <c r="Q242" i="24"/>
  <c r="P242" i="24"/>
  <c r="S241" i="24"/>
  <c r="R241" i="24"/>
  <c r="Q241" i="24"/>
  <c r="P241" i="24"/>
  <c r="S240" i="24"/>
  <c r="R240" i="24"/>
  <c r="Q240" i="24"/>
  <c r="P240" i="24"/>
  <c r="S239" i="24"/>
  <c r="R239" i="24"/>
  <c r="Q239" i="24"/>
  <c r="P239" i="24"/>
  <c r="S238" i="24"/>
  <c r="R238" i="24"/>
  <c r="Q238" i="24"/>
  <c r="P238" i="24"/>
  <c r="S237" i="24"/>
  <c r="R237" i="24"/>
  <c r="Q237" i="24"/>
  <c r="P237" i="24"/>
  <c r="S236" i="24"/>
  <c r="R236" i="24"/>
  <c r="Q236" i="24"/>
  <c r="P236" i="24"/>
  <c r="S235" i="24"/>
  <c r="R235" i="24"/>
  <c r="Q235" i="24"/>
  <c r="P235" i="24"/>
  <c r="S234" i="24"/>
  <c r="R234" i="24"/>
  <c r="Q234" i="24"/>
  <c r="P234" i="24"/>
  <c r="S233" i="24"/>
  <c r="R233" i="24"/>
  <c r="Q233" i="24"/>
  <c r="P233" i="24"/>
  <c r="S232" i="24"/>
  <c r="R232" i="24"/>
  <c r="Q232" i="24"/>
  <c r="P232" i="24"/>
  <c r="S231" i="24"/>
  <c r="R231" i="24"/>
  <c r="Q231" i="24"/>
  <c r="P231" i="24"/>
  <c r="S230" i="24"/>
  <c r="R230" i="24"/>
  <c r="Q230" i="24"/>
  <c r="P230" i="24"/>
  <c r="S229" i="24"/>
  <c r="R229" i="24"/>
  <c r="Q229" i="24"/>
  <c r="P229" i="24"/>
  <c r="S228" i="24"/>
  <c r="R228" i="24"/>
  <c r="Q228" i="24"/>
  <c r="P228" i="24"/>
  <c r="S227" i="24"/>
  <c r="R227" i="24"/>
  <c r="Q227" i="24"/>
  <c r="P227" i="24"/>
  <c r="S226" i="24"/>
  <c r="R226" i="24"/>
  <c r="Q226" i="24"/>
  <c r="P226" i="24"/>
  <c r="S225" i="24"/>
  <c r="R225" i="24"/>
  <c r="Q225" i="24"/>
  <c r="P225" i="24"/>
  <c r="S224" i="24"/>
  <c r="R224" i="24"/>
  <c r="Q224" i="24"/>
  <c r="P224" i="24"/>
  <c r="S223" i="24"/>
  <c r="R223" i="24"/>
  <c r="Q223" i="24"/>
  <c r="P223" i="24"/>
  <c r="S222" i="24"/>
  <c r="R222" i="24"/>
  <c r="Q222" i="24"/>
  <c r="P222" i="24"/>
  <c r="S221" i="24"/>
  <c r="R221" i="24"/>
  <c r="Q221" i="24"/>
  <c r="P221" i="24"/>
  <c r="S220" i="24"/>
  <c r="R220" i="24"/>
  <c r="Q220" i="24"/>
  <c r="P220" i="24"/>
  <c r="S219" i="24"/>
  <c r="R219" i="24"/>
  <c r="Q219" i="24"/>
  <c r="P219" i="24"/>
  <c r="S218" i="24"/>
  <c r="R218" i="24"/>
  <c r="Q218" i="24"/>
  <c r="P218" i="24"/>
  <c r="S217" i="24"/>
  <c r="R217" i="24"/>
  <c r="Q217" i="24"/>
  <c r="P217" i="24"/>
  <c r="S216" i="24"/>
  <c r="R216" i="24"/>
  <c r="Q216" i="24"/>
  <c r="P216" i="24"/>
  <c r="S215" i="24"/>
  <c r="R215" i="24"/>
  <c r="Q215" i="24"/>
  <c r="P215" i="24"/>
  <c r="S214" i="24"/>
  <c r="R214" i="24"/>
  <c r="Q214" i="24"/>
  <c r="P214" i="24"/>
  <c r="S213" i="24"/>
  <c r="R213" i="24"/>
  <c r="Q213" i="24"/>
  <c r="P213" i="24"/>
  <c r="S212" i="24"/>
  <c r="R212" i="24"/>
  <c r="Q212" i="24"/>
  <c r="P212" i="24"/>
  <c r="S211" i="24"/>
  <c r="R211" i="24"/>
  <c r="Q211" i="24"/>
  <c r="P211" i="24"/>
  <c r="S210" i="24"/>
  <c r="R210" i="24"/>
  <c r="Q210" i="24"/>
  <c r="P210" i="24"/>
  <c r="S209" i="24"/>
  <c r="R209" i="24"/>
  <c r="Q209" i="24"/>
  <c r="P209" i="24"/>
  <c r="S208" i="24"/>
  <c r="R208" i="24"/>
  <c r="Q208" i="24"/>
  <c r="P208" i="24"/>
  <c r="S207" i="24"/>
  <c r="R207" i="24"/>
  <c r="Q207" i="24"/>
  <c r="P207" i="24"/>
  <c r="S206" i="24"/>
  <c r="R206" i="24"/>
  <c r="Q206" i="24"/>
  <c r="P206" i="24"/>
  <c r="S205" i="24"/>
  <c r="R205" i="24"/>
  <c r="Q205" i="24"/>
  <c r="P205" i="24"/>
  <c r="S204" i="24"/>
  <c r="R204" i="24"/>
  <c r="Q204" i="24"/>
  <c r="P204" i="24"/>
  <c r="S203" i="24"/>
  <c r="R203" i="24"/>
  <c r="Q203" i="24"/>
  <c r="P203" i="24"/>
  <c r="S202" i="24"/>
  <c r="R202" i="24"/>
  <c r="Q202" i="24"/>
  <c r="P202" i="24"/>
  <c r="S201" i="24"/>
  <c r="R201" i="24"/>
  <c r="Q201" i="24"/>
  <c r="P201" i="24"/>
  <c r="S200" i="24"/>
  <c r="R200" i="24"/>
  <c r="Q200" i="24"/>
  <c r="P200" i="24"/>
  <c r="S199" i="24"/>
  <c r="R199" i="24"/>
  <c r="Q199" i="24"/>
  <c r="P199" i="24"/>
  <c r="S198" i="24"/>
  <c r="R198" i="24"/>
  <c r="Q198" i="24"/>
  <c r="P198" i="24"/>
  <c r="S197" i="24"/>
  <c r="R197" i="24"/>
  <c r="Q197" i="24"/>
  <c r="P197" i="24"/>
  <c r="S196" i="24"/>
  <c r="R196" i="24"/>
  <c r="Q196" i="24"/>
  <c r="P196" i="24"/>
  <c r="S195" i="24"/>
  <c r="R195" i="24"/>
  <c r="Q195" i="24"/>
  <c r="P195" i="24"/>
  <c r="S194" i="24"/>
  <c r="R194" i="24"/>
  <c r="Q194" i="24"/>
  <c r="P194" i="24"/>
  <c r="S193" i="24"/>
  <c r="R193" i="24"/>
  <c r="Q193" i="24"/>
  <c r="P193" i="24"/>
  <c r="S192" i="24"/>
  <c r="R192" i="24"/>
  <c r="Q192" i="24"/>
  <c r="P192" i="24"/>
  <c r="S191" i="24"/>
  <c r="R191" i="24"/>
  <c r="Q191" i="24"/>
  <c r="P191" i="24"/>
  <c r="S190" i="24"/>
  <c r="R190" i="24"/>
  <c r="Q190" i="24"/>
  <c r="P190" i="24"/>
  <c r="S189" i="24"/>
  <c r="R189" i="24"/>
  <c r="Q189" i="24"/>
  <c r="P189" i="24"/>
  <c r="S188" i="24"/>
  <c r="R188" i="24"/>
  <c r="Q188" i="24"/>
  <c r="P188" i="24"/>
  <c r="S187" i="24"/>
  <c r="R187" i="24"/>
  <c r="Q187" i="24"/>
  <c r="P187" i="24"/>
  <c r="S186" i="24"/>
  <c r="R186" i="24"/>
  <c r="Q186" i="24"/>
  <c r="P186" i="24"/>
  <c r="S185" i="24"/>
  <c r="R185" i="24"/>
  <c r="Q185" i="24"/>
  <c r="P185" i="24"/>
  <c r="S184" i="24"/>
  <c r="R184" i="24"/>
  <c r="Q184" i="24"/>
  <c r="P184" i="24"/>
  <c r="S183" i="24"/>
  <c r="R183" i="24"/>
  <c r="Q183" i="24"/>
  <c r="P183" i="24"/>
  <c r="S182" i="24"/>
  <c r="R182" i="24"/>
  <c r="Q182" i="24"/>
  <c r="P182" i="24"/>
  <c r="S181" i="24"/>
  <c r="R181" i="24"/>
  <c r="Q181" i="24"/>
  <c r="P181" i="24"/>
  <c r="S180" i="24"/>
  <c r="R180" i="24"/>
  <c r="Q180" i="24"/>
  <c r="P180" i="24"/>
  <c r="S179" i="24"/>
  <c r="R179" i="24"/>
  <c r="Q179" i="24"/>
  <c r="P179" i="24"/>
  <c r="S178" i="24"/>
  <c r="R178" i="24"/>
  <c r="Q178" i="24"/>
  <c r="P178" i="24"/>
  <c r="S177" i="24"/>
  <c r="R177" i="24"/>
  <c r="Q177" i="24"/>
  <c r="P177" i="24"/>
  <c r="S176" i="24"/>
  <c r="R176" i="24"/>
  <c r="Q176" i="24"/>
  <c r="P176" i="24"/>
  <c r="S175" i="24"/>
  <c r="R175" i="24"/>
  <c r="Q175" i="24"/>
  <c r="P175" i="24"/>
  <c r="S174" i="24"/>
  <c r="R174" i="24"/>
  <c r="Q174" i="24"/>
  <c r="P174" i="24"/>
  <c r="S173" i="24"/>
  <c r="R173" i="24"/>
  <c r="Q173" i="24"/>
  <c r="P173" i="24"/>
  <c r="S172" i="24"/>
  <c r="R172" i="24"/>
  <c r="Q172" i="24"/>
  <c r="P172" i="24"/>
  <c r="S171" i="24"/>
  <c r="R171" i="24"/>
  <c r="Q171" i="24"/>
  <c r="P171" i="24"/>
  <c r="S170" i="24"/>
  <c r="R170" i="24"/>
  <c r="Q170" i="24"/>
  <c r="P170" i="24"/>
  <c r="S169" i="24"/>
  <c r="R169" i="24"/>
  <c r="Q169" i="24"/>
  <c r="P169" i="24"/>
  <c r="S168" i="24"/>
  <c r="R168" i="24"/>
  <c r="Q168" i="24"/>
  <c r="P168" i="24"/>
  <c r="S167" i="24"/>
  <c r="R167" i="24"/>
  <c r="Q167" i="24"/>
  <c r="P167" i="24"/>
  <c r="S166" i="24"/>
  <c r="R166" i="24"/>
  <c r="Q166" i="24"/>
  <c r="P166" i="24"/>
  <c r="S165" i="24"/>
  <c r="R165" i="24"/>
  <c r="Q165" i="24"/>
  <c r="P165" i="24"/>
  <c r="S164" i="24"/>
  <c r="R164" i="24"/>
  <c r="Q164" i="24"/>
  <c r="P164" i="24"/>
  <c r="S163" i="24"/>
  <c r="R163" i="24"/>
  <c r="Q163" i="24"/>
  <c r="P163" i="24"/>
  <c r="S162" i="24"/>
  <c r="R162" i="24"/>
  <c r="Q162" i="24"/>
  <c r="P162" i="24"/>
  <c r="S161" i="24"/>
  <c r="R161" i="24"/>
  <c r="Q161" i="24"/>
  <c r="P161" i="24"/>
  <c r="S160" i="24"/>
  <c r="R160" i="24"/>
  <c r="Q160" i="24"/>
  <c r="P160" i="24"/>
  <c r="S159" i="24"/>
  <c r="R159" i="24"/>
  <c r="Q159" i="24"/>
  <c r="P159" i="24"/>
  <c r="S158" i="24"/>
  <c r="R158" i="24"/>
  <c r="Q158" i="24"/>
  <c r="P158" i="24"/>
  <c r="S157" i="24"/>
  <c r="R157" i="24"/>
  <c r="Q157" i="24"/>
  <c r="P157" i="24"/>
  <c r="S156" i="24"/>
  <c r="R156" i="24"/>
  <c r="Q156" i="24"/>
  <c r="P156" i="24"/>
  <c r="S155" i="24"/>
  <c r="R155" i="24"/>
  <c r="Q155" i="24"/>
  <c r="P155" i="24"/>
  <c r="S154" i="24"/>
  <c r="R154" i="24"/>
  <c r="Q154" i="24"/>
  <c r="P154" i="24"/>
  <c r="S153" i="24"/>
  <c r="R153" i="24"/>
  <c r="Q153" i="24"/>
  <c r="P153" i="24"/>
  <c r="S152" i="24"/>
  <c r="R152" i="24"/>
  <c r="Q152" i="24"/>
  <c r="P152" i="24"/>
  <c r="S151" i="24"/>
  <c r="R151" i="24"/>
  <c r="Q151" i="24"/>
  <c r="P151" i="24"/>
  <c r="S150" i="24"/>
  <c r="R150" i="24"/>
  <c r="Q150" i="24"/>
  <c r="P150" i="24"/>
  <c r="S149" i="24"/>
  <c r="R149" i="24"/>
  <c r="Q149" i="24"/>
  <c r="P149" i="24"/>
  <c r="S148" i="24"/>
  <c r="R148" i="24"/>
  <c r="Q148" i="24"/>
  <c r="P148" i="24"/>
  <c r="S147" i="24"/>
  <c r="R147" i="24"/>
  <c r="Q147" i="24"/>
  <c r="P147" i="24"/>
  <c r="S146" i="24"/>
  <c r="R146" i="24"/>
  <c r="Q146" i="24"/>
  <c r="P146" i="24"/>
  <c r="S145" i="24"/>
  <c r="R145" i="24"/>
  <c r="Q145" i="24"/>
  <c r="P145" i="24"/>
  <c r="S144" i="24"/>
  <c r="R144" i="24"/>
  <c r="Q144" i="24"/>
  <c r="P144" i="24"/>
  <c r="S143" i="24"/>
  <c r="R143" i="24"/>
  <c r="Q143" i="24"/>
  <c r="P143" i="24"/>
  <c r="S142" i="24"/>
  <c r="R142" i="24"/>
  <c r="Q142" i="24"/>
  <c r="P142" i="24"/>
  <c r="S141" i="24"/>
  <c r="R141" i="24"/>
  <c r="Q141" i="24"/>
  <c r="P141" i="24"/>
  <c r="S140" i="24"/>
  <c r="R140" i="24"/>
  <c r="Q140" i="24"/>
  <c r="P140" i="24"/>
  <c r="S139" i="24"/>
  <c r="R139" i="24"/>
  <c r="Q139" i="24"/>
  <c r="P139" i="24"/>
  <c r="S138" i="24"/>
  <c r="R138" i="24"/>
  <c r="Q138" i="24"/>
  <c r="P138" i="24"/>
  <c r="S137" i="24"/>
  <c r="R137" i="24"/>
  <c r="Q137" i="24"/>
  <c r="P137" i="24"/>
  <c r="S136" i="24"/>
  <c r="R136" i="24"/>
  <c r="Q136" i="24"/>
  <c r="P136" i="24"/>
  <c r="S135" i="24"/>
  <c r="R135" i="24"/>
  <c r="Q135" i="24"/>
  <c r="P135" i="24"/>
  <c r="S134" i="24"/>
  <c r="R134" i="24"/>
  <c r="Q134" i="24"/>
  <c r="P134" i="24"/>
  <c r="S133" i="24"/>
  <c r="R133" i="24"/>
  <c r="Q133" i="24"/>
  <c r="P133" i="24"/>
  <c r="S132" i="24"/>
  <c r="R132" i="24"/>
  <c r="Q132" i="24"/>
  <c r="P132" i="24"/>
  <c r="S131" i="24"/>
  <c r="R131" i="24"/>
  <c r="Q131" i="24"/>
  <c r="P131" i="24"/>
  <c r="S130" i="24"/>
  <c r="R130" i="24"/>
  <c r="Q130" i="24"/>
  <c r="P130" i="24"/>
  <c r="S129" i="24"/>
  <c r="R129" i="24"/>
  <c r="Q129" i="24"/>
  <c r="P129" i="24"/>
  <c r="S128" i="24"/>
  <c r="R128" i="24"/>
  <c r="Q128" i="24"/>
  <c r="P128" i="24"/>
  <c r="S127" i="24"/>
  <c r="R127" i="24"/>
  <c r="Q127" i="24"/>
  <c r="P127" i="24"/>
  <c r="S126" i="24"/>
  <c r="R126" i="24"/>
  <c r="Q126" i="24"/>
  <c r="P126" i="24"/>
  <c r="S125" i="24"/>
  <c r="R125" i="24"/>
  <c r="Q125" i="24"/>
  <c r="P125" i="24"/>
  <c r="S124" i="24"/>
  <c r="R124" i="24"/>
  <c r="Q124" i="24"/>
  <c r="P124" i="24"/>
  <c r="S123" i="24"/>
  <c r="R123" i="24"/>
  <c r="Q123" i="24"/>
  <c r="P123" i="24"/>
  <c r="S122" i="24"/>
  <c r="R122" i="24"/>
  <c r="Q122" i="24"/>
  <c r="P122" i="24"/>
  <c r="S121" i="24"/>
  <c r="R121" i="24"/>
  <c r="Q121" i="24"/>
  <c r="P121" i="24"/>
  <c r="S120" i="24"/>
  <c r="R120" i="24"/>
  <c r="Q120" i="24"/>
  <c r="P120" i="24"/>
  <c r="S119" i="24"/>
  <c r="R119" i="24"/>
  <c r="Q119" i="24"/>
  <c r="P119" i="24"/>
  <c r="S118" i="24"/>
  <c r="R118" i="24"/>
  <c r="Q118" i="24"/>
  <c r="P118" i="24"/>
  <c r="S117" i="24"/>
  <c r="R117" i="24"/>
  <c r="Q117" i="24"/>
  <c r="P117" i="24"/>
  <c r="S116" i="24"/>
  <c r="R116" i="24"/>
  <c r="Q116" i="24"/>
  <c r="P116" i="24"/>
  <c r="S115" i="24"/>
  <c r="R115" i="24"/>
  <c r="Q115" i="24"/>
  <c r="P115" i="24"/>
  <c r="S114" i="24"/>
  <c r="R114" i="24"/>
  <c r="Q114" i="24"/>
  <c r="P114" i="24"/>
  <c r="S113" i="24"/>
  <c r="R113" i="24"/>
  <c r="Q113" i="24"/>
  <c r="P113" i="24"/>
  <c r="S112" i="24"/>
  <c r="R112" i="24"/>
  <c r="Q112" i="24"/>
  <c r="P112" i="24"/>
  <c r="S111" i="24"/>
  <c r="R111" i="24"/>
  <c r="Q111" i="24"/>
  <c r="P111" i="24"/>
  <c r="S110" i="24"/>
  <c r="R110" i="24"/>
  <c r="Q110" i="24"/>
  <c r="P110" i="24"/>
  <c r="S109" i="24"/>
  <c r="R109" i="24"/>
  <c r="Q109" i="24"/>
  <c r="P109" i="24"/>
  <c r="S108" i="24"/>
  <c r="R108" i="24"/>
  <c r="Q108" i="24"/>
  <c r="P108" i="24"/>
  <c r="S107" i="24"/>
  <c r="R107" i="24"/>
  <c r="Q107" i="24"/>
  <c r="P107" i="24"/>
  <c r="S106" i="24"/>
  <c r="R106" i="24"/>
  <c r="Q106" i="24"/>
  <c r="P106" i="24"/>
  <c r="S105" i="24"/>
  <c r="R105" i="24"/>
  <c r="Q105" i="24"/>
  <c r="P105" i="24"/>
  <c r="S104" i="24"/>
  <c r="R104" i="24"/>
  <c r="Q104" i="24"/>
  <c r="P104" i="24"/>
  <c r="S103" i="24"/>
  <c r="R103" i="24"/>
  <c r="Q103" i="24"/>
  <c r="P103" i="24"/>
  <c r="S102" i="24"/>
  <c r="R102" i="24"/>
  <c r="Q102" i="24"/>
  <c r="P102" i="24"/>
  <c r="S101" i="24"/>
  <c r="R101" i="24"/>
  <c r="Q101" i="24"/>
  <c r="P101" i="24"/>
  <c r="S100" i="24"/>
  <c r="R100" i="24"/>
  <c r="Q100" i="24"/>
  <c r="P100" i="24"/>
  <c r="S99" i="24"/>
  <c r="R99" i="24"/>
  <c r="Q99" i="24"/>
  <c r="P99" i="24"/>
  <c r="S98" i="24"/>
  <c r="R98" i="24"/>
  <c r="Q98" i="24"/>
  <c r="P98" i="24"/>
  <c r="S97" i="24"/>
  <c r="R97" i="24"/>
  <c r="Q97" i="24"/>
  <c r="P97" i="24"/>
  <c r="S96" i="24"/>
  <c r="R96" i="24"/>
  <c r="Q96" i="24"/>
  <c r="P96" i="24"/>
  <c r="S95" i="24"/>
  <c r="R95" i="24"/>
  <c r="Q95" i="24"/>
  <c r="P95" i="24"/>
  <c r="S94" i="24"/>
  <c r="R94" i="24"/>
  <c r="Q94" i="24"/>
  <c r="P94" i="24"/>
  <c r="S93" i="24"/>
  <c r="R93" i="24"/>
  <c r="Q93" i="24"/>
  <c r="P93" i="24"/>
  <c r="S92" i="24"/>
  <c r="R92" i="24"/>
  <c r="Q92" i="24"/>
  <c r="P92" i="24"/>
  <c r="S91" i="24"/>
  <c r="R91" i="24"/>
  <c r="Q91" i="24"/>
  <c r="P91" i="24"/>
  <c r="S90" i="24"/>
  <c r="R90" i="24"/>
  <c r="Q90" i="24"/>
  <c r="P90" i="24"/>
  <c r="S89" i="24"/>
  <c r="R89" i="24"/>
  <c r="Q89" i="24"/>
  <c r="P89" i="24"/>
  <c r="S88" i="24"/>
  <c r="R88" i="24"/>
  <c r="Q88" i="24"/>
  <c r="P88" i="24"/>
  <c r="S87" i="24"/>
  <c r="R87" i="24"/>
  <c r="Q87" i="24"/>
  <c r="P87" i="24"/>
  <c r="S86" i="24"/>
  <c r="R86" i="24"/>
  <c r="Q86" i="24"/>
  <c r="P86" i="24"/>
  <c r="S85" i="24"/>
  <c r="R85" i="24"/>
  <c r="Q85" i="24"/>
  <c r="P85" i="24"/>
  <c r="S84" i="24"/>
  <c r="R84" i="24"/>
  <c r="Q84" i="24"/>
  <c r="P84" i="24"/>
  <c r="S83" i="24"/>
  <c r="R83" i="24"/>
  <c r="Q83" i="24"/>
  <c r="P83" i="24"/>
  <c r="S82" i="24"/>
  <c r="R82" i="24"/>
  <c r="Q82" i="24"/>
  <c r="P82" i="24"/>
  <c r="S81" i="24"/>
  <c r="R81" i="24"/>
  <c r="Q81" i="24"/>
  <c r="P81" i="24"/>
  <c r="S80" i="24"/>
  <c r="R80" i="24"/>
  <c r="Q80" i="24"/>
  <c r="P80" i="24"/>
  <c r="S79" i="24"/>
  <c r="R79" i="24"/>
  <c r="Q79" i="24"/>
  <c r="P79" i="24"/>
  <c r="S78" i="24"/>
  <c r="R78" i="24"/>
  <c r="Q78" i="24"/>
  <c r="P78" i="24"/>
  <c r="S77" i="24"/>
  <c r="R77" i="24"/>
  <c r="Q77" i="24"/>
  <c r="P77" i="24"/>
  <c r="S76" i="24"/>
  <c r="R76" i="24"/>
  <c r="Q76" i="24"/>
  <c r="P76" i="24"/>
  <c r="S75" i="24"/>
  <c r="R75" i="24"/>
  <c r="Q75" i="24"/>
  <c r="P75" i="24"/>
  <c r="S74" i="24"/>
  <c r="R74" i="24"/>
  <c r="Q74" i="24"/>
  <c r="P74" i="24"/>
  <c r="S73" i="24"/>
  <c r="R73" i="24"/>
  <c r="Q73" i="24"/>
  <c r="P73" i="24"/>
  <c r="S72" i="24"/>
  <c r="R72" i="24"/>
  <c r="Q72" i="24"/>
  <c r="P72" i="24"/>
  <c r="S71" i="24"/>
  <c r="R71" i="24"/>
  <c r="Q71" i="24"/>
  <c r="P71" i="24"/>
  <c r="S70" i="24"/>
  <c r="R70" i="24"/>
  <c r="Q70" i="24"/>
  <c r="P70" i="24"/>
  <c r="S69" i="24"/>
  <c r="R69" i="24"/>
  <c r="Q69" i="24"/>
  <c r="P69" i="24"/>
  <c r="S68" i="24"/>
  <c r="R68" i="24"/>
  <c r="Q68" i="24"/>
  <c r="P68" i="24"/>
  <c r="S67" i="24"/>
  <c r="R67" i="24"/>
  <c r="Q67" i="24"/>
  <c r="P67" i="24"/>
  <c r="S66" i="24"/>
  <c r="R66" i="24"/>
  <c r="Q66" i="24"/>
  <c r="P66" i="24"/>
  <c r="S65" i="24"/>
  <c r="R65" i="24"/>
  <c r="Q65" i="24"/>
  <c r="P65" i="24"/>
  <c r="S64" i="24"/>
  <c r="R64" i="24"/>
  <c r="Q64" i="24"/>
  <c r="P64" i="24"/>
  <c r="S63" i="24"/>
  <c r="R63" i="24"/>
  <c r="Q63" i="24"/>
  <c r="P63" i="24"/>
  <c r="S62" i="24"/>
  <c r="R62" i="24"/>
  <c r="Q62" i="24"/>
  <c r="P62" i="24"/>
  <c r="S61" i="24"/>
  <c r="R61" i="24"/>
  <c r="Q61" i="24"/>
  <c r="P61" i="24"/>
  <c r="S60" i="24"/>
  <c r="R60" i="24"/>
  <c r="Q60" i="24"/>
  <c r="P60" i="24"/>
  <c r="S59" i="24"/>
  <c r="R59" i="24"/>
  <c r="Q59" i="24"/>
  <c r="P59" i="24"/>
  <c r="S58" i="24"/>
  <c r="R58" i="24"/>
  <c r="Q58" i="24"/>
  <c r="P58" i="24"/>
  <c r="S57" i="24"/>
  <c r="R57" i="24"/>
  <c r="Q57" i="24"/>
  <c r="P57" i="24"/>
  <c r="S56" i="24"/>
  <c r="R56" i="24"/>
  <c r="Q56" i="24"/>
  <c r="P56" i="24"/>
  <c r="S55" i="24"/>
  <c r="R55" i="24"/>
  <c r="Q55" i="24"/>
  <c r="P55" i="24"/>
  <c r="S54" i="24"/>
  <c r="R54" i="24"/>
  <c r="Q54" i="24"/>
  <c r="P54" i="24"/>
  <c r="S53" i="24"/>
  <c r="R53" i="24"/>
  <c r="Q53" i="24"/>
  <c r="P53" i="24"/>
  <c r="S52" i="24"/>
  <c r="R52" i="24"/>
  <c r="Q52" i="24"/>
  <c r="P52" i="24"/>
  <c r="S51" i="24"/>
  <c r="R51" i="24"/>
  <c r="Q51" i="24"/>
  <c r="P51" i="24"/>
  <c r="S50" i="24"/>
  <c r="R50" i="24"/>
  <c r="Q50" i="24"/>
  <c r="P50" i="24"/>
  <c r="S49" i="24"/>
  <c r="R49" i="24"/>
  <c r="Q49" i="24"/>
  <c r="P49" i="24"/>
  <c r="S48" i="24"/>
  <c r="R48" i="24"/>
  <c r="Q48" i="24"/>
  <c r="P48" i="24"/>
  <c r="S47" i="24"/>
  <c r="R47" i="24"/>
  <c r="Q47" i="24"/>
  <c r="P47" i="24"/>
  <c r="S46" i="24"/>
  <c r="R46" i="24"/>
  <c r="Q46" i="24"/>
  <c r="P46" i="24"/>
  <c r="S45" i="24"/>
  <c r="R45" i="24"/>
  <c r="Q45" i="24"/>
  <c r="P45" i="24"/>
  <c r="S44" i="24"/>
  <c r="R44" i="24"/>
  <c r="Q44" i="24"/>
  <c r="P44" i="24"/>
  <c r="S43" i="24"/>
  <c r="R43" i="24"/>
  <c r="Q43" i="24"/>
  <c r="P43" i="24"/>
  <c r="S42" i="24"/>
  <c r="R42" i="24"/>
  <c r="Q42" i="24"/>
  <c r="P42" i="24"/>
  <c r="S41" i="24"/>
  <c r="R41" i="24"/>
  <c r="Q41" i="24"/>
  <c r="P41" i="24"/>
  <c r="S40" i="24"/>
  <c r="R40" i="24"/>
  <c r="Q40" i="24"/>
  <c r="P40" i="24"/>
  <c r="S39" i="24"/>
  <c r="R39" i="24"/>
  <c r="Q39" i="24"/>
  <c r="P39" i="24"/>
  <c r="S38" i="24"/>
  <c r="R38" i="24"/>
  <c r="Q38" i="24"/>
  <c r="P38" i="24"/>
  <c r="S37" i="24"/>
  <c r="R37" i="24"/>
  <c r="Q37" i="24"/>
  <c r="P37" i="24"/>
  <c r="S36" i="24"/>
  <c r="R36" i="24"/>
  <c r="Q36" i="24"/>
  <c r="P36" i="24"/>
  <c r="S35" i="24"/>
  <c r="R35" i="24"/>
  <c r="Q35" i="24"/>
  <c r="P35" i="24"/>
  <c r="S34" i="24"/>
  <c r="R34" i="24"/>
  <c r="Q34" i="24"/>
  <c r="P34" i="24"/>
  <c r="S33" i="24"/>
  <c r="R33" i="24"/>
  <c r="Q33" i="24"/>
  <c r="P33" i="24"/>
  <c r="S32" i="24"/>
  <c r="R32" i="24"/>
  <c r="Q32" i="24"/>
  <c r="P32" i="24"/>
  <c r="S31" i="24"/>
  <c r="R31" i="24"/>
  <c r="Q31" i="24"/>
  <c r="P31" i="24"/>
  <c r="S30" i="24"/>
  <c r="R30" i="24"/>
  <c r="Q30" i="24"/>
  <c r="P30" i="24"/>
  <c r="S29" i="24"/>
  <c r="R29" i="24"/>
  <c r="Q29" i="24"/>
  <c r="P29" i="24"/>
  <c r="S28" i="24"/>
  <c r="R28" i="24"/>
  <c r="Q28" i="24"/>
  <c r="P28" i="24"/>
  <c r="S27" i="24"/>
  <c r="R27" i="24"/>
  <c r="Q27" i="24"/>
  <c r="P27" i="24"/>
  <c r="S26" i="24"/>
  <c r="R26" i="24"/>
  <c r="Q26" i="24"/>
  <c r="P26" i="24"/>
  <c r="S25" i="24"/>
  <c r="R25" i="24"/>
  <c r="Q25" i="24"/>
  <c r="P25" i="24"/>
  <c r="S24" i="24"/>
  <c r="R24" i="24"/>
  <c r="Q24" i="24"/>
  <c r="P24" i="24"/>
  <c r="S23" i="24"/>
  <c r="R23" i="24"/>
  <c r="Q23" i="24"/>
  <c r="P23" i="24"/>
  <c r="S22" i="24"/>
  <c r="R22" i="24"/>
  <c r="Q22" i="24"/>
  <c r="P22" i="24"/>
  <c r="S21" i="24"/>
  <c r="R21" i="24"/>
  <c r="Q21" i="24"/>
  <c r="P21" i="24"/>
  <c r="S20" i="24"/>
  <c r="R20" i="24"/>
  <c r="Q20" i="24"/>
  <c r="P20" i="24"/>
  <c r="S19" i="24"/>
  <c r="R19" i="24"/>
  <c r="Q19" i="24"/>
  <c r="P19" i="24"/>
  <c r="S18" i="24"/>
  <c r="R18" i="24"/>
  <c r="Q18" i="24"/>
  <c r="P18" i="24"/>
  <c r="S17" i="24"/>
  <c r="R17" i="24"/>
  <c r="Q17" i="24"/>
  <c r="P17" i="24"/>
  <c r="S16" i="24"/>
  <c r="R16" i="24"/>
  <c r="Q16" i="24"/>
  <c r="P16" i="24"/>
  <c r="S15" i="24"/>
  <c r="R15" i="24"/>
  <c r="Q15" i="24"/>
  <c r="P15" i="24"/>
  <c r="S14" i="24"/>
  <c r="R14" i="24"/>
  <c r="Q14" i="24"/>
  <c r="P14" i="24"/>
  <c r="S13" i="24"/>
  <c r="R13" i="24"/>
  <c r="Q13" i="24"/>
  <c r="P13" i="24"/>
  <c r="S12" i="24"/>
  <c r="R12" i="24"/>
  <c r="Q12" i="24"/>
  <c r="P12" i="24"/>
  <c r="S11" i="24"/>
  <c r="R11" i="24"/>
  <c r="Q11" i="24"/>
  <c r="P11" i="24"/>
  <c r="S10" i="24"/>
  <c r="R10" i="24"/>
  <c r="Q10" i="24"/>
  <c r="P10" i="24"/>
  <c r="S9" i="24"/>
  <c r="R9" i="24"/>
  <c r="Q9" i="24"/>
  <c r="P9" i="24"/>
  <c r="S8" i="24"/>
  <c r="R8" i="24"/>
  <c r="Q8" i="24"/>
  <c r="P8" i="24"/>
  <c r="S7" i="24"/>
  <c r="R7" i="24"/>
  <c r="Q7" i="24"/>
  <c r="P7" i="24"/>
  <c r="S6" i="24"/>
  <c r="R6" i="24"/>
  <c r="Q6" i="24"/>
  <c r="P6" i="24"/>
  <c r="S5" i="24"/>
  <c r="R5" i="24"/>
  <c r="Q5" i="24"/>
  <c r="P5" i="24"/>
  <c r="R304" i="23"/>
  <c r="Q304" i="23"/>
  <c r="P304" i="23"/>
  <c r="O304" i="23"/>
  <c r="R303" i="23"/>
  <c r="Q303" i="23"/>
  <c r="P303" i="23"/>
  <c r="O303" i="23"/>
  <c r="R302" i="23"/>
  <c r="Q302" i="23"/>
  <c r="P302" i="23"/>
  <c r="O302" i="23"/>
  <c r="R301" i="23"/>
  <c r="Q301" i="23"/>
  <c r="P301" i="23"/>
  <c r="O301" i="23"/>
  <c r="R300" i="23"/>
  <c r="Q300" i="23"/>
  <c r="P300" i="23"/>
  <c r="O300" i="23"/>
  <c r="R299" i="23"/>
  <c r="Q299" i="23"/>
  <c r="P299" i="23"/>
  <c r="O299" i="23"/>
  <c r="R298" i="23"/>
  <c r="Q298" i="23"/>
  <c r="P298" i="23"/>
  <c r="O298" i="23"/>
  <c r="R297" i="23"/>
  <c r="Q297" i="23"/>
  <c r="P297" i="23"/>
  <c r="O297" i="23"/>
  <c r="R296" i="23"/>
  <c r="Q296" i="23"/>
  <c r="P296" i="23"/>
  <c r="O296" i="23"/>
  <c r="R295" i="23"/>
  <c r="Q295" i="23"/>
  <c r="P295" i="23"/>
  <c r="O295" i="23"/>
  <c r="R294" i="23"/>
  <c r="Q294" i="23"/>
  <c r="P294" i="23"/>
  <c r="O294" i="23"/>
  <c r="R293" i="23"/>
  <c r="Q293" i="23"/>
  <c r="P293" i="23"/>
  <c r="O293" i="23"/>
  <c r="R292" i="23"/>
  <c r="Q292" i="23"/>
  <c r="P292" i="23"/>
  <c r="O292" i="23"/>
  <c r="R291" i="23"/>
  <c r="Q291" i="23"/>
  <c r="P291" i="23"/>
  <c r="O291" i="23"/>
  <c r="R290" i="23"/>
  <c r="Q290" i="23"/>
  <c r="P290" i="23"/>
  <c r="O290" i="23"/>
  <c r="R289" i="23"/>
  <c r="Q289" i="23"/>
  <c r="P289" i="23"/>
  <c r="O289" i="23"/>
  <c r="R288" i="23"/>
  <c r="Q288" i="23"/>
  <c r="P288" i="23"/>
  <c r="O288" i="23"/>
  <c r="R287" i="23"/>
  <c r="Q287" i="23"/>
  <c r="P287" i="23"/>
  <c r="O287" i="23"/>
  <c r="R286" i="23"/>
  <c r="Q286" i="23"/>
  <c r="P286" i="23"/>
  <c r="O286" i="23"/>
  <c r="R285" i="23"/>
  <c r="Q285" i="23"/>
  <c r="P285" i="23"/>
  <c r="O285" i="23"/>
  <c r="R284" i="23"/>
  <c r="Q284" i="23"/>
  <c r="P284" i="23"/>
  <c r="O284" i="23"/>
  <c r="R283" i="23"/>
  <c r="Q283" i="23"/>
  <c r="P283" i="23"/>
  <c r="O283" i="23"/>
  <c r="R282" i="23"/>
  <c r="Q282" i="23"/>
  <c r="P282" i="23"/>
  <c r="O282" i="23"/>
  <c r="R281" i="23"/>
  <c r="Q281" i="23"/>
  <c r="P281" i="23"/>
  <c r="O281" i="23"/>
  <c r="R280" i="23"/>
  <c r="Q280" i="23"/>
  <c r="P280" i="23"/>
  <c r="O280" i="23"/>
  <c r="R279" i="23"/>
  <c r="Q279" i="23"/>
  <c r="P279" i="23"/>
  <c r="O279" i="23"/>
  <c r="R278" i="23"/>
  <c r="Q278" i="23"/>
  <c r="P278" i="23"/>
  <c r="O278" i="23"/>
  <c r="R277" i="23"/>
  <c r="Q277" i="23"/>
  <c r="P277" i="23"/>
  <c r="O277" i="23"/>
  <c r="R276" i="23"/>
  <c r="Q276" i="23"/>
  <c r="P276" i="23"/>
  <c r="O276" i="23"/>
  <c r="R275" i="23"/>
  <c r="Q275" i="23"/>
  <c r="P275" i="23"/>
  <c r="O275" i="23"/>
  <c r="R274" i="23"/>
  <c r="Q274" i="23"/>
  <c r="P274" i="23"/>
  <c r="O274" i="23"/>
  <c r="R273" i="23"/>
  <c r="Q273" i="23"/>
  <c r="P273" i="23"/>
  <c r="O273" i="23"/>
  <c r="R272" i="23"/>
  <c r="Q272" i="23"/>
  <c r="P272" i="23"/>
  <c r="O272" i="23"/>
  <c r="R271" i="23"/>
  <c r="Q271" i="23"/>
  <c r="P271" i="23"/>
  <c r="O271" i="23"/>
  <c r="R270" i="23"/>
  <c r="Q270" i="23"/>
  <c r="P270" i="23"/>
  <c r="O270" i="23"/>
  <c r="R269" i="23"/>
  <c r="Q269" i="23"/>
  <c r="P269" i="23"/>
  <c r="O269" i="23"/>
  <c r="R268" i="23"/>
  <c r="Q268" i="23"/>
  <c r="P268" i="23"/>
  <c r="O268" i="23"/>
  <c r="R267" i="23"/>
  <c r="Q267" i="23"/>
  <c r="P267" i="23"/>
  <c r="O267" i="23"/>
  <c r="R266" i="23"/>
  <c r="Q266" i="23"/>
  <c r="P266" i="23"/>
  <c r="O266" i="23"/>
  <c r="R265" i="23"/>
  <c r="Q265" i="23"/>
  <c r="P265" i="23"/>
  <c r="O265" i="23"/>
  <c r="R264" i="23"/>
  <c r="Q264" i="23"/>
  <c r="P264" i="23"/>
  <c r="O264" i="23"/>
  <c r="R263" i="23"/>
  <c r="Q263" i="23"/>
  <c r="P263" i="23"/>
  <c r="O263" i="23"/>
  <c r="R262" i="23"/>
  <c r="Q262" i="23"/>
  <c r="P262" i="23"/>
  <c r="O262" i="23"/>
  <c r="R261" i="23"/>
  <c r="Q261" i="23"/>
  <c r="P261" i="23"/>
  <c r="O261" i="23"/>
  <c r="R260" i="23"/>
  <c r="Q260" i="23"/>
  <c r="P260" i="23"/>
  <c r="O260" i="23"/>
  <c r="R259" i="23"/>
  <c r="Q259" i="23"/>
  <c r="P259" i="23"/>
  <c r="O259" i="23"/>
  <c r="R258" i="23"/>
  <c r="Q258" i="23"/>
  <c r="P258" i="23"/>
  <c r="O258" i="23"/>
  <c r="R257" i="23"/>
  <c r="Q257" i="23"/>
  <c r="P257" i="23"/>
  <c r="O257" i="23"/>
  <c r="R256" i="23"/>
  <c r="Q256" i="23"/>
  <c r="P256" i="23"/>
  <c r="O256" i="23"/>
  <c r="R255" i="23"/>
  <c r="Q255" i="23"/>
  <c r="P255" i="23"/>
  <c r="O255" i="23"/>
  <c r="R254" i="23"/>
  <c r="Q254" i="23"/>
  <c r="P254" i="23"/>
  <c r="O254" i="23"/>
  <c r="R253" i="23"/>
  <c r="Q253" i="23"/>
  <c r="P253" i="23"/>
  <c r="O253" i="23"/>
  <c r="R252" i="23"/>
  <c r="Q252" i="23"/>
  <c r="P252" i="23"/>
  <c r="O252" i="23"/>
  <c r="R251" i="23"/>
  <c r="Q251" i="23"/>
  <c r="P251" i="23"/>
  <c r="O251" i="23"/>
  <c r="R250" i="23"/>
  <c r="Q250" i="23"/>
  <c r="P250" i="23"/>
  <c r="O250" i="23"/>
  <c r="R249" i="23"/>
  <c r="Q249" i="23"/>
  <c r="P249" i="23"/>
  <c r="O249" i="23"/>
  <c r="R248" i="23"/>
  <c r="Q248" i="23"/>
  <c r="P248" i="23"/>
  <c r="O248" i="23"/>
  <c r="R247" i="23"/>
  <c r="Q247" i="23"/>
  <c r="P247" i="23"/>
  <c r="O247" i="23"/>
  <c r="R246" i="23"/>
  <c r="Q246" i="23"/>
  <c r="P246" i="23"/>
  <c r="O246" i="23"/>
  <c r="R245" i="23"/>
  <c r="Q245" i="23"/>
  <c r="P245" i="23"/>
  <c r="O245" i="23"/>
  <c r="R244" i="23"/>
  <c r="Q244" i="23"/>
  <c r="P244" i="23"/>
  <c r="O244" i="23"/>
  <c r="R243" i="23"/>
  <c r="Q243" i="23"/>
  <c r="P243" i="23"/>
  <c r="O243" i="23"/>
  <c r="R242" i="23"/>
  <c r="Q242" i="23"/>
  <c r="P242" i="23"/>
  <c r="O242" i="23"/>
  <c r="R241" i="23"/>
  <c r="Q241" i="23"/>
  <c r="P241" i="23"/>
  <c r="O241" i="23"/>
  <c r="R240" i="23"/>
  <c r="Q240" i="23"/>
  <c r="P240" i="23"/>
  <c r="O240" i="23"/>
  <c r="R239" i="23"/>
  <c r="Q239" i="23"/>
  <c r="P239" i="23"/>
  <c r="O239" i="23"/>
  <c r="R238" i="23"/>
  <c r="Q238" i="23"/>
  <c r="P238" i="23"/>
  <c r="O238" i="23"/>
  <c r="R237" i="23"/>
  <c r="Q237" i="23"/>
  <c r="P237" i="23"/>
  <c r="O237" i="23"/>
  <c r="R236" i="23"/>
  <c r="Q236" i="23"/>
  <c r="P236" i="23"/>
  <c r="O236" i="23"/>
  <c r="R235" i="23"/>
  <c r="Q235" i="23"/>
  <c r="P235" i="23"/>
  <c r="O235" i="23"/>
  <c r="R234" i="23"/>
  <c r="Q234" i="23"/>
  <c r="P234" i="23"/>
  <c r="O234" i="23"/>
  <c r="R233" i="23"/>
  <c r="Q233" i="23"/>
  <c r="P233" i="23"/>
  <c r="O233" i="23"/>
  <c r="R232" i="23"/>
  <c r="Q232" i="23"/>
  <c r="P232" i="23"/>
  <c r="O232" i="23"/>
  <c r="R231" i="23"/>
  <c r="Q231" i="23"/>
  <c r="P231" i="23"/>
  <c r="O231" i="23"/>
  <c r="R230" i="23"/>
  <c r="Q230" i="23"/>
  <c r="P230" i="23"/>
  <c r="O230" i="23"/>
  <c r="R229" i="23"/>
  <c r="Q229" i="23"/>
  <c r="P229" i="23"/>
  <c r="O229" i="23"/>
  <c r="R228" i="23"/>
  <c r="Q228" i="23"/>
  <c r="P228" i="23"/>
  <c r="O228" i="23"/>
  <c r="R227" i="23"/>
  <c r="Q227" i="23"/>
  <c r="P227" i="23"/>
  <c r="O227" i="23"/>
  <c r="R226" i="23"/>
  <c r="Q226" i="23"/>
  <c r="P226" i="23"/>
  <c r="O226" i="23"/>
  <c r="R225" i="23"/>
  <c r="Q225" i="23"/>
  <c r="P225" i="23"/>
  <c r="O225" i="23"/>
  <c r="R224" i="23"/>
  <c r="Q224" i="23"/>
  <c r="P224" i="23"/>
  <c r="O224" i="23"/>
  <c r="R223" i="23"/>
  <c r="Q223" i="23"/>
  <c r="P223" i="23"/>
  <c r="O223" i="23"/>
  <c r="R222" i="23"/>
  <c r="Q222" i="23"/>
  <c r="P222" i="23"/>
  <c r="O222" i="23"/>
  <c r="R221" i="23"/>
  <c r="Q221" i="23"/>
  <c r="P221" i="23"/>
  <c r="O221" i="23"/>
  <c r="R220" i="23"/>
  <c r="Q220" i="23"/>
  <c r="P220" i="23"/>
  <c r="O220" i="23"/>
  <c r="R219" i="23"/>
  <c r="Q219" i="23"/>
  <c r="P219" i="23"/>
  <c r="O219" i="23"/>
  <c r="R218" i="23"/>
  <c r="Q218" i="23"/>
  <c r="P218" i="23"/>
  <c r="O218" i="23"/>
  <c r="R217" i="23"/>
  <c r="Q217" i="23"/>
  <c r="P217" i="23"/>
  <c r="O217" i="23"/>
  <c r="R216" i="23"/>
  <c r="Q216" i="23"/>
  <c r="P216" i="23"/>
  <c r="O216" i="23"/>
  <c r="R215" i="23"/>
  <c r="Q215" i="23"/>
  <c r="P215" i="23"/>
  <c r="O215" i="23"/>
  <c r="R214" i="23"/>
  <c r="Q214" i="23"/>
  <c r="P214" i="23"/>
  <c r="O214" i="23"/>
  <c r="R213" i="23"/>
  <c r="Q213" i="23"/>
  <c r="P213" i="23"/>
  <c r="O213" i="23"/>
  <c r="R212" i="23"/>
  <c r="Q212" i="23"/>
  <c r="P212" i="23"/>
  <c r="O212" i="23"/>
  <c r="R211" i="23"/>
  <c r="Q211" i="23"/>
  <c r="P211" i="23"/>
  <c r="O211" i="23"/>
  <c r="R210" i="23"/>
  <c r="Q210" i="23"/>
  <c r="P210" i="23"/>
  <c r="O210" i="23"/>
  <c r="R209" i="23"/>
  <c r="Q209" i="23"/>
  <c r="P209" i="23"/>
  <c r="O209" i="23"/>
  <c r="R208" i="23"/>
  <c r="Q208" i="23"/>
  <c r="P208" i="23"/>
  <c r="O208" i="23"/>
  <c r="R207" i="23"/>
  <c r="Q207" i="23"/>
  <c r="P207" i="23"/>
  <c r="O207" i="23"/>
  <c r="R206" i="23"/>
  <c r="Q206" i="23"/>
  <c r="P206" i="23"/>
  <c r="O206" i="23"/>
  <c r="R205" i="23"/>
  <c r="Q205" i="23"/>
  <c r="P205" i="23"/>
  <c r="O205" i="23"/>
  <c r="R204" i="23"/>
  <c r="Q204" i="23"/>
  <c r="P204" i="23"/>
  <c r="O204" i="23"/>
  <c r="R203" i="23"/>
  <c r="Q203" i="23"/>
  <c r="P203" i="23"/>
  <c r="O203" i="23"/>
  <c r="R202" i="23"/>
  <c r="Q202" i="23"/>
  <c r="P202" i="23"/>
  <c r="O202" i="23"/>
  <c r="R201" i="23"/>
  <c r="Q201" i="23"/>
  <c r="P201" i="23"/>
  <c r="O201" i="23"/>
  <c r="R200" i="23"/>
  <c r="Q200" i="23"/>
  <c r="P200" i="23"/>
  <c r="O200" i="23"/>
  <c r="R199" i="23"/>
  <c r="Q199" i="23"/>
  <c r="P199" i="23"/>
  <c r="O199" i="23"/>
  <c r="R198" i="23"/>
  <c r="Q198" i="23"/>
  <c r="P198" i="23"/>
  <c r="O198" i="23"/>
  <c r="R197" i="23"/>
  <c r="Q197" i="23"/>
  <c r="P197" i="23"/>
  <c r="O197" i="23"/>
  <c r="R196" i="23"/>
  <c r="Q196" i="23"/>
  <c r="P196" i="23"/>
  <c r="O196" i="23"/>
  <c r="R195" i="23"/>
  <c r="Q195" i="23"/>
  <c r="P195" i="23"/>
  <c r="O195" i="23"/>
  <c r="R194" i="23"/>
  <c r="Q194" i="23"/>
  <c r="P194" i="23"/>
  <c r="O194" i="23"/>
  <c r="R193" i="23"/>
  <c r="Q193" i="23"/>
  <c r="P193" i="23"/>
  <c r="O193" i="23"/>
  <c r="R192" i="23"/>
  <c r="Q192" i="23"/>
  <c r="P192" i="23"/>
  <c r="O192" i="23"/>
  <c r="R191" i="23"/>
  <c r="Q191" i="23"/>
  <c r="P191" i="23"/>
  <c r="O191" i="23"/>
  <c r="R190" i="23"/>
  <c r="Q190" i="23"/>
  <c r="P190" i="23"/>
  <c r="O190" i="23"/>
  <c r="R189" i="23"/>
  <c r="Q189" i="23"/>
  <c r="P189" i="23"/>
  <c r="O189" i="23"/>
  <c r="R188" i="23"/>
  <c r="Q188" i="23"/>
  <c r="P188" i="23"/>
  <c r="O188" i="23"/>
  <c r="R187" i="23"/>
  <c r="Q187" i="23"/>
  <c r="P187" i="23"/>
  <c r="O187" i="23"/>
  <c r="R186" i="23"/>
  <c r="Q186" i="23"/>
  <c r="P186" i="23"/>
  <c r="O186" i="23"/>
  <c r="R185" i="23"/>
  <c r="Q185" i="23"/>
  <c r="P185" i="23"/>
  <c r="O185" i="23"/>
  <c r="R184" i="23"/>
  <c r="Q184" i="23"/>
  <c r="P184" i="23"/>
  <c r="O184" i="23"/>
  <c r="R183" i="23"/>
  <c r="Q183" i="23"/>
  <c r="P183" i="23"/>
  <c r="O183" i="23"/>
  <c r="R182" i="23"/>
  <c r="Q182" i="23"/>
  <c r="P182" i="23"/>
  <c r="O182" i="23"/>
  <c r="R181" i="23"/>
  <c r="Q181" i="23"/>
  <c r="P181" i="23"/>
  <c r="O181" i="23"/>
  <c r="R180" i="23"/>
  <c r="Q180" i="23"/>
  <c r="P180" i="23"/>
  <c r="O180" i="23"/>
  <c r="R179" i="23"/>
  <c r="Q179" i="23"/>
  <c r="P179" i="23"/>
  <c r="O179" i="23"/>
  <c r="R178" i="23"/>
  <c r="Q178" i="23"/>
  <c r="P178" i="23"/>
  <c r="O178" i="23"/>
  <c r="R177" i="23"/>
  <c r="Q177" i="23"/>
  <c r="P177" i="23"/>
  <c r="O177" i="23"/>
  <c r="R176" i="23"/>
  <c r="Q176" i="23"/>
  <c r="P176" i="23"/>
  <c r="O176" i="23"/>
  <c r="R175" i="23"/>
  <c r="Q175" i="23"/>
  <c r="P175" i="23"/>
  <c r="O175" i="23"/>
  <c r="R174" i="23"/>
  <c r="Q174" i="23"/>
  <c r="P174" i="23"/>
  <c r="O174" i="23"/>
  <c r="R173" i="23"/>
  <c r="Q173" i="23"/>
  <c r="P173" i="23"/>
  <c r="O173" i="23"/>
  <c r="R172" i="23"/>
  <c r="Q172" i="23"/>
  <c r="P172" i="23"/>
  <c r="O172" i="23"/>
  <c r="R171" i="23"/>
  <c r="Q171" i="23"/>
  <c r="P171" i="23"/>
  <c r="O171" i="23"/>
  <c r="R170" i="23"/>
  <c r="Q170" i="23"/>
  <c r="P170" i="23"/>
  <c r="O170" i="23"/>
  <c r="R169" i="23"/>
  <c r="Q169" i="23"/>
  <c r="P169" i="23"/>
  <c r="O169" i="23"/>
  <c r="R168" i="23"/>
  <c r="Q168" i="23"/>
  <c r="P168" i="23"/>
  <c r="O168" i="23"/>
  <c r="R167" i="23"/>
  <c r="Q167" i="23"/>
  <c r="P167" i="23"/>
  <c r="O167" i="23"/>
  <c r="R166" i="23"/>
  <c r="Q166" i="23"/>
  <c r="P166" i="23"/>
  <c r="O166" i="23"/>
  <c r="R165" i="23"/>
  <c r="Q165" i="23"/>
  <c r="P165" i="23"/>
  <c r="O165" i="23"/>
  <c r="R164" i="23"/>
  <c r="Q164" i="23"/>
  <c r="P164" i="23"/>
  <c r="O164" i="23"/>
  <c r="R163" i="23"/>
  <c r="Q163" i="23"/>
  <c r="P163" i="23"/>
  <c r="O163" i="23"/>
  <c r="R162" i="23"/>
  <c r="Q162" i="23"/>
  <c r="P162" i="23"/>
  <c r="O162" i="23"/>
  <c r="R161" i="23"/>
  <c r="Q161" i="23"/>
  <c r="P161" i="23"/>
  <c r="O161" i="23"/>
  <c r="R160" i="23"/>
  <c r="Q160" i="23"/>
  <c r="P160" i="23"/>
  <c r="O160" i="23"/>
  <c r="R159" i="23"/>
  <c r="Q159" i="23"/>
  <c r="P159" i="23"/>
  <c r="O159" i="23"/>
  <c r="R158" i="23"/>
  <c r="Q158" i="23"/>
  <c r="P158" i="23"/>
  <c r="O158" i="23"/>
  <c r="R157" i="23"/>
  <c r="Q157" i="23"/>
  <c r="P157" i="23"/>
  <c r="O157" i="23"/>
  <c r="R156" i="23"/>
  <c r="Q156" i="23"/>
  <c r="P156" i="23"/>
  <c r="O156" i="23"/>
  <c r="R155" i="23"/>
  <c r="Q155" i="23"/>
  <c r="P155" i="23"/>
  <c r="O155" i="23"/>
  <c r="R154" i="23"/>
  <c r="Q154" i="23"/>
  <c r="P154" i="23"/>
  <c r="O154" i="23"/>
  <c r="R153" i="23"/>
  <c r="Q153" i="23"/>
  <c r="P153" i="23"/>
  <c r="O153" i="23"/>
  <c r="R152" i="23"/>
  <c r="Q152" i="23"/>
  <c r="P152" i="23"/>
  <c r="O152" i="23"/>
  <c r="R151" i="23"/>
  <c r="Q151" i="23"/>
  <c r="P151" i="23"/>
  <c r="O151" i="23"/>
  <c r="R150" i="23"/>
  <c r="Q150" i="23"/>
  <c r="P150" i="23"/>
  <c r="O150" i="23"/>
  <c r="R149" i="23"/>
  <c r="Q149" i="23"/>
  <c r="P149" i="23"/>
  <c r="O149" i="23"/>
  <c r="R148" i="23"/>
  <c r="Q148" i="23"/>
  <c r="P148" i="23"/>
  <c r="O148" i="23"/>
  <c r="R147" i="23"/>
  <c r="Q147" i="23"/>
  <c r="P147" i="23"/>
  <c r="O147" i="23"/>
  <c r="R146" i="23"/>
  <c r="Q146" i="23"/>
  <c r="P146" i="23"/>
  <c r="O146" i="23"/>
  <c r="R145" i="23"/>
  <c r="Q145" i="23"/>
  <c r="P145" i="23"/>
  <c r="O145" i="23"/>
  <c r="R144" i="23"/>
  <c r="Q144" i="23"/>
  <c r="P144" i="23"/>
  <c r="O144" i="23"/>
  <c r="R143" i="23"/>
  <c r="Q143" i="23"/>
  <c r="P143" i="23"/>
  <c r="O143" i="23"/>
  <c r="R142" i="23"/>
  <c r="Q142" i="23"/>
  <c r="P142" i="23"/>
  <c r="O142" i="23"/>
  <c r="R141" i="23"/>
  <c r="Q141" i="23"/>
  <c r="P141" i="23"/>
  <c r="O141" i="23"/>
  <c r="R140" i="23"/>
  <c r="Q140" i="23"/>
  <c r="P140" i="23"/>
  <c r="O140" i="23"/>
  <c r="R139" i="23"/>
  <c r="Q139" i="23"/>
  <c r="P139" i="23"/>
  <c r="O139" i="23"/>
  <c r="R138" i="23"/>
  <c r="Q138" i="23"/>
  <c r="P138" i="23"/>
  <c r="O138" i="23"/>
  <c r="R137" i="23"/>
  <c r="Q137" i="23"/>
  <c r="P137" i="23"/>
  <c r="O137" i="23"/>
  <c r="R136" i="23"/>
  <c r="Q136" i="23"/>
  <c r="P136" i="23"/>
  <c r="O136" i="23"/>
  <c r="R135" i="23"/>
  <c r="Q135" i="23"/>
  <c r="P135" i="23"/>
  <c r="O135" i="23"/>
  <c r="R134" i="23"/>
  <c r="Q134" i="23"/>
  <c r="P134" i="23"/>
  <c r="O134" i="23"/>
  <c r="R133" i="23"/>
  <c r="Q133" i="23"/>
  <c r="P133" i="23"/>
  <c r="O133" i="23"/>
  <c r="R132" i="23"/>
  <c r="Q132" i="23"/>
  <c r="P132" i="23"/>
  <c r="O132" i="23"/>
  <c r="R131" i="23"/>
  <c r="Q131" i="23"/>
  <c r="P131" i="23"/>
  <c r="O131" i="23"/>
  <c r="R130" i="23"/>
  <c r="Q130" i="23"/>
  <c r="P130" i="23"/>
  <c r="O130" i="23"/>
  <c r="R129" i="23"/>
  <c r="Q129" i="23"/>
  <c r="P129" i="23"/>
  <c r="O129" i="23"/>
  <c r="R128" i="23"/>
  <c r="Q128" i="23"/>
  <c r="P128" i="23"/>
  <c r="O128" i="23"/>
  <c r="R127" i="23"/>
  <c r="Q127" i="23"/>
  <c r="P127" i="23"/>
  <c r="O127" i="23"/>
  <c r="R126" i="23"/>
  <c r="Q126" i="23"/>
  <c r="P126" i="23"/>
  <c r="O126" i="23"/>
  <c r="R125" i="23"/>
  <c r="Q125" i="23"/>
  <c r="P125" i="23"/>
  <c r="O125" i="23"/>
  <c r="R124" i="23"/>
  <c r="Q124" i="23"/>
  <c r="P124" i="23"/>
  <c r="O124" i="23"/>
  <c r="R123" i="23"/>
  <c r="Q123" i="23"/>
  <c r="P123" i="23"/>
  <c r="O123" i="23"/>
  <c r="R122" i="23"/>
  <c r="Q122" i="23"/>
  <c r="P122" i="23"/>
  <c r="O122" i="23"/>
  <c r="R121" i="23"/>
  <c r="Q121" i="23"/>
  <c r="P121" i="23"/>
  <c r="O121" i="23"/>
  <c r="R120" i="23"/>
  <c r="Q120" i="23"/>
  <c r="P120" i="23"/>
  <c r="O120" i="23"/>
  <c r="R119" i="23"/>
  <c r="Q119" i="23"/>
  <c r="P119" i="23"/>
  <c r="O119" i="23"/>
  <c r="R118" i="23"/>
  <c r="Q118" i="23"/>
  <c r="P118" i="23"/>
  <c r="O118" i="23"/>
  <c r="R117" i="23"/>
  <c r="Q117" i="23"/>
  <c r="P117" i="23"/>
  <c r="O117" i="23"/>
  <c r="R116" i="23"/>
  <c r="Q116" i="23"/>
  <c r="P116" i="23"/>
  <c r="O116" i="23"/>
  <c r="R115" i="23"/>
  <c r="Q115" i="23"/>
  <c r="P115" i="23"/>
  <c r="O115" i="23"/>
  <c r="R114" i="23"/>
  <c r="Q114" i="23"/>
  <c r="P114" i="23"/>
  <c r="O114" i="23"/>
  <c r="R113" i="23"/>
  <c r="Q113" i="23"/>
  <c r="P113" i="23"/>
  <c r="O113" i="23"/>
  <c r="R112" i="23"/>
  <c r="Q112" i="23"/>
  <c r="P112" i="23"/>
  <c r="O112" i="23"/>
  <c r="R111" i="23"/>
  <c r="Q111" i="23"/>
  <c r="P111" i="23"/>
  <c r="O111" i="23"/>
  <c r="R110" i="23"/>
  <c r="Q110" i="23"/>
  <c r="P110" i="23"/>
  <c r="O110" i="23"/>
  <c r="R109" i="23"/>
  <c r="Q109" i="23"/>
  <c r="P109" i="23"/>
  <c r="O109" i="23"/>
  <c r="R108" i="23"/>
  <c r="Q108" i="23"/>
  <c r="P108" i="23"/>
  <c r="O108" i="23"/>
  <c r="R107" i="23"/>
  <c r="Q107" i="23"/>
  <c r="P107" i="23"/>
  <c r="O107" i="23"/>
  <c r="R106" i="23"/>
  <c r="Q106" i="23"/>
  <c r="P106" i="23"/>
  <c r="O106" i="23"/>
  <c r="R105" i="23"/>
  <c r="Q105" i="23"/>
  <c r="P105" i="23"/>
  <c r="O105" i="23"/>
  <c r="R104" i="23"/>
  <c r="Q104" i="23"/>
  <c r="P104" i="23"/>
  <c r="O104" i="23"/>
  <c r="R103" i="23"/>
  <c r="Q103" i="23"/>
  <c r="P103" i="23"/>
  <c r="O103" i="23"/>
  <c r="R102" i="23"/>
  <c r="Q102" i="23"/>
  <c r="P102" i="23"/>
  <c r="O102" i="23"/>
  <c r="R101" i="23"/>
  <c r="Q101" i="23"/>
  <c r="P101" i="23"/>
  <c r="O101" i="23"/>
  <c r="R100" i="23"/>
  <c r="Q100" i="23"/>
  <c r="P100" i="23"/>
  <c r="O100" i="23"/>
  <c r="R99" i="23"/>
  <c r="Q99" i="23"/>
  <c r="P99" i="23"/>
  <c r="O99" i="23"/>
  <c r="R98" i="23"/>
  <c r="Q98" i="23"/>
  <c r="P98" i="23"/>
  <c r="O98" i="23"/>
  <c r="R97" i="23"/>
  <c r="Q97" i="23"/>
  <c r="P97" i="23"/>
  <c r="O97" i="23"/>
  <c r="R96" i="23"/>
  <c r="Q96" i="23"/>
  <c r="P96" i="23"/>
  <c r="O96" i="23"/>
  <c r="R95" i="23"/>
  <c r="Q95" i="23"/>
  <c r="P95" i="23"/>
  <c r="O95" i="23"/>
  <c r="R94" i="23"/>
  <c r="Q94" i="23"/>
  <c r="P94" i="23"/>
  <c r="O94" i="23"/>
  <c r="R93" i="23"/>
  <c r="Q93" i="23"/>
  <c r="P93" i="23"/>
  <c r="O93" i="23"/>
  <c r="R92" i="23"/>
  <c r="Q92" i="23"/>
  <c r="P92" i="23"/>
  <c r="O92" i="23"/>
  <c r="R91" i="23"/>
  <c r="Q91" i="23"/>
  <c r="P91" i="23"/>
  <c r="O91" i="23"/>
  <c r="R90" i="23"/>
  <c r="Q90" i="23"/>
  <c r="P90" i="23"/>
  <c r="O90" i="23"/>
  <c r="R89" i="23"/>
  <c r="Q89" i="23"/>
  <c r="P89" i="23"/>
  <c r="O89" i="23"/>
  <c r="R88" i="23"/>
  <c r="Q88" i="23"/>
  <c r="P88" i="23"/>
  <c r="O88" i="23"/>
  <c r="R87" i="23"/>
  <c r="Q87" i="23"/>
  <c r="P87" i="23"/>
  <c r="O87" i="23"/>
  <c r="R86" i="23"/>
  <c r="Q86" i="23"/>
  <c r="P86" i="23"/>
  <c r="O86" i="23"/>
  <c r="R85" i="23"/>
  <c r="Q85" i="23"/>
  <c r="P85" i="23"/>
  <c r="O85" i="23"/>
  <c r="R84" i="23"/>
  <c r="Q84" i="23"/>
  <c r="P84" i="23"/>
  <c r="O84" i="23"/>
  <c r="R83" i="23"/>
  <c r="Q83" i="23"/>
  <c r="P83" i="23"/>
  <c r="O83" i="23"/>
  <c r="R82" i="23"/>
  <c r="Q82" i="23"/>
  <c r="P82" i="23"/>
  <c r="O82" i="23"/>
  <c r="R81" i="23"/>
  <c r="Q81" i="23"/>
  <c r="P81" i="23"/>
  <c r="O81" i="23"/>
  <c r="R80" i="23"/>
  <c r="Q80" i="23"/>
  <c r="P80" i="23"/>
  <c r="O80" i="23"/>
  <c r="R79" i="23"/>
  <c r="Q79" i="23"/>
  <c r="P79" i="23"/>
  <c r="O79" i="23"/>
  <c r="R78" i="23"/>
  <c r="Q78" i="23"/>
  <c r="P78" i="23"/>
  <c r="O78" i="23"/>
  <c r="R77" i="23"/>
  <c r="Q77" i="23"/>
  <c r="P77" i="23"/>
  <c r="O77" i="23"/>
  <c r="R76" i="23"/>
  <c r="Q76" i="23"/>
  <c r="P76" i="23"/>
  <c r="O76" i="23"/>
  <c r="R75" i="23"/>
  <c r="Q75" i="23"/>
  <c r="P75" i="23"/>
  <c r="O75" i="23"/>
  <c r="R74" i="23"/>
  <c r="Q74" i="23"/>
  <c r="P74" i="23"/>
  <c r="O74" i="23"/>
  <c r="R73" i="23"/>
  <c r="Q73" i="23"/>
  <c r="P73" i="23"/>
  <c r="O73" i="23"/>
  <c r="R72" i="23"/>
  <c r="Q72" i="23"/>
  <c r="P72" i="23"/>
  <c r="O72" i="23"/>
  <c r="R71" i="23"/>
  <c r="Q71" i="23"/>
  <c r="P71" i="23"/>
  <c r="O71" i="23"/>
  <c r="R70" i="23"/>
  <c r="Q70" i="23"/>
  <c r="P70" i="23"/>
  <c r="O70" i="23"/>
  <c r="R69" i="23"/>
  <c r="Q69" i="23"/>
  <c r="P69" i="23"/>
  <c r="O69" i="23"/>
  <c r="R68" i="23"/>
  <c r="Q68" i="23"/>
  <c r="P68" i="23"/>
  <c r="O68" i="23"/>
  <c r="R67" i="23"/>
  <c r="Q67" i="23"/>
  <c r="P67" i="23"/>
  <c r="O67" i="23"/>
  <c r="R66" i="23"/>
  <c r="Q66" i="23"/>
  <c r="P66" i="23"/>
  <c r="O66" i="23"/>
  <c r="R65" i="23"/>
  <c r="Q65" i="23"/>
  <c r="P65" i="23"/>
  <c r="O65" i="23"/>
  <c r="R64" i="23"/>
  <c r="Q64" i="23"/>
  <c r="P64" i="23"/>
  <c r="O64" i="23"/>
  <c r="R63" i="23"/>
  <c r="Q63" i="23"/>
  <c r="P63" i="23"/>
  <c r="O63" i="23"/>
  <c r="R62" i="23"/>
  <c r="Q62" i="23"/>
  <c r="P62" i="23"/>
  <c r="O62" i="23"/>
  <c r="R61" i="23"/>
  <c r="Q61" i="23"/>
  <c r="P61" i="23"/>
  <c r="O61" i="23"/>
  <c r="R60" i="23"/>
  <c r="Q60" i="23"/>
  <c r="P60" i="23"/>
  <c r="O60" i="23"/>
  <c r="R59" i="23"/>
  <c r="Q59" i="23"/>
  <c r="P59" i="23"/>
  <c r="O59" i="23"/>
  <c r="R58" i="23"/>
  <c r="Q58" i="23"/>
  <c r="P58" i="23"/>
  <c r="O58" i="23"/>
  <c r="R57" i="23"/>
  <c r="Q57" i="23"/>
  <c r="P57" i="23"/>
  <c r="O57" i="23"/>
  <c r="R56" i="23"/>
  <c r="Q56" i="23"/>
  <c r="P56" i="23"/>
  <c r="O56" i="23"/>
  <c r="R55" i="23"/>
  <c r="Q55" i="23"/>
  <c r="P55" i="23"/>
  <c r="O55" i="23"/>
  <c r="R54" i="23"/>
  <c r="Q54" i="23"/>
  <c r="P54" i="23"/>
  <c r="O54" i="23"/>
  <c r="R53" i="23"/>
  <c r="Q53" i="23"/>
  <c r="P53" i="23"/>
  <c r="O53" i="23"/>
  <c r="R52" i="23"/>
  <c r="Q52" i="23"/>
  <c r="P52" i="23"/>
  <c r="O52" i="23"/>
  <c r="R51" i="23"/>
  <c r="Q51" i="23"/>
  <c r="P51" i="23"/>
  <c r="O51" i="23"/>
  <c r="R50" i="23"/>
  <c r="Q50" i="23"/>
  <c r="P50" i="23"/>
  <c r="O50" i="23"/>
  <c r="R49" i="23"/>
  <c r="Q49" i="23"/>
  <c r="P49" i="23"/>
  <c r="O49" i="23"/>
  <c r="R48" i="23"/>
  <c r="Q48" i="23"/>
  <c r="P48" i="23"/>
  <c r="O48" i="23"/>
  <c r="R47" i="23"/>
  <c r="Q47" i="23"/>
  <c r="P47" i="23"/>
  <c r="O47" i="23"/>
  <c r="R46" i="23"/>
  <c r="Q46" i="23"/>
  <c r="P46" i="23"/>
  <c r="O46" i="23"/>
  <c r="R45" i="23"/>
  <c r="Q45" i="23"/>
  <c r="P45" i="23"/>
  <c r="O45" i="23"/>
  <c r="R44" i="23"/>
  <c r="Q44" i="23"/>
  <c r="P44" i="23"/>
  <c r="O44" i="23"/>
  <c r="R43" i="23"/>
  <c r="Q43" i="23"/>
  <c r="P43" i="23"/>
  <c r="O43" i="23"/>
  <c r="R42" i="23"/>
  <c r="Q42" i="23"/>
  <c r="P42" i="23"/>
  <c r="O42" i="23"/>
  <c r="R41" i="23"/>
  <c r="Q41" i="23"/>
  <c r="P41" i="23"/>
  <c r="O41" i="23"/>
  <c r="R40" i="23"/>
  <c r="Q40" i="23"/>
  <c r="P40" i="23"/>
  <c r="O40" i="23"/>
  <c r="R39" i="23"/>
  <c r="Q39" i="23"/>
  <c r="P39" i="23"/>
  <c r="O39" i="23"/>
  <c r="R38" i="23"/>
  <c r="Q38" i="23"/>
  <c r="P38" i="23"/>
  <c r="O38" i="23"/>
  <c r="R37" i="23"/>
  <c r="Q37" i="23"/>
  <c r="P37" i="23"/>
  <c r="O37" i="23"/>
  <c r="R36" i="23"/>
  <c r="Q36" i="23"/>
  <c r="P36" i="23"/>
  <c r="O36" i="23"/>
  <c r="R35" i="23"/>
  <c r="Q35" i="23"/>
  <c r="P35" i="23"/>
  <c r="O35" i="23"/>
  <c r="R34" i="23"/>
  <c r="Q34" i="23"/>
  <c r="P34" i="23"/>
  <c r="O34" i="23"/>
  <c r="R33" i="23"/>
  <c r="Q33" i="23"/>
  <c r="P33" i="23"/>
  <c r="O33" i="23"/>
  <c r="R32" i="23"/>
  <c r="Q32" i="23"/>
  <c r="P32" i="23"/>
  <c r="O32" i="23"/>
  <c r="R31" i="23"/>
  <c r="Q31" i="23"/>
  <c r="P31" i="23"/>
  <c r="O31" i="23"/>
  <c r="R30" i="23"/>
  <c r="Q30" i="23"/>
  <c r="P30" i="23"/>
  <c r="O30" i="23"/>
  <c r="R29" i="23"/>
  <c r="Q29" i="23"/>
  <c r="P29" i="23"/>
  <c r="O29" i="23"/>
  <c r="R28" i="23"/>
  <c r="Q28" i="23"/>
  <c r="P28" i="23"/>
  <c r="O28" i="23"/>
  <c r="R27" i="23"/>
  <c r="Q27" i="23"/>
  <c r="P27" i="23"/>
  <c r="O27" i="23"/>
  <c r="R26" i="23"/>
  <c r="Q26" i="23"/>
  <c r="P26" i="23"/>
  <c r="O26" i="23"/>
  <c r="R25" i="23"/>
  <c r="Q25" i="23"/>
  <c r="P25" i="23"/>
  <c r="O25" i="23"/>
  <c r="R24" i="23"/>
  <c r="Q24" i="23"/>
  <c r="P24" i="23"/>
  <c r="O24" i="23"/>
  <c r="R23" i="23"/>
  <c r="Q23" i="23"/>
  <c r="P23" i="23"/>
  <c r="O23" i="23"/>
  <c r="R22" i="23"/>
  <c r="Q22" i="23"/>
  <c r="P22" i="23"/>
  <c r="O22" i="23"/>
  <c r="R21" i="23"/>
  <c r="Q21" i="23"/>
  <c r="P21" i="23"/>
  <c r="O21" i="23"/>
  <c r="R20" i="23"/>
  <c r="Q20" i="23"/>
  <c r="P20" i="23"/>
  <c r="O20" i="23"/>
  <c r="R19" i="23"/>
  <c r="Q19" i="23"/>
  <c r="P19" i="23"/>
  <c r="O19" i="23"/>
  <c r="R18" i="23"/>
  <c r="Q18" i="23"/>
  <c r="P18" i="23"/>
  <c r="O18" i="23"/>
  <c r="R17" i="23"/>
  <c r="Q17" i="23"/>
  <c r="P17" i="23"/>
  <c r="O17" i="23"/>
  <c r="R16" i="23"/>
  <c r="Q16" i="23"/>
  <c r="P16" i="23"/>
  <c r="O16" i="23"/>
  <c r="R15" i="23"/>
  <c r="Q15" i="23"/>
  <c r="P15" i="23"/>
  <c r="O15" i="23"/>
  <c r="R14" i="23"/>
  <c r="Q14" i="23"/>
  <c r="P14" i="23"/>
  <c r="O14" i="23"/>
  <c r="R13" i="23"/>
  <c r="Q13" i="23"/>
  <c r="P13" i="23"/>
  <c r="O13" i="23"/>
  <c r="R12" i="23"/>
  <c r="Q12" i="23"/>
  <c r="P12" i="23"/>
  <c r="O12" i="23"/>
  <c r="R11" i="23"/>
  <c r="Q11" i="23"/>
  <c r="P11" i="23"/>
  <c r="O11" i="23"/>
  <c r="R10" i="23"/>
  <c r="Q10" i="23"/>
  <c r="P10" i="23"/>
  <c r="O10" i="23"/>
  <c r="R9" i="23"/>
  <c r="Q9" i="23"/>
  <c r="P9" i="23"/>
  <c r="O9" i="23"/>
  <c r="R8" i="23"/>
  <c r="Q8" i="23"/>
  <c r="P8" i="23"/>
  <c r="O8" i="23"/>
  <c r="R7" i="23"/>
  <c r="Q7" i="23"/>
  <c r="P7" i="23"/>
  <c r="O7" i="23"/>
  <c r="R6" i="23"/>
  <c r="Q6" i="23"/>
  <c r="P6" i="23"/>
  <c r="O6" i="23"/>
  <c r="R5" i="23"/>
  <c r="Q5" i="23"/>
  <c r="P5" i="23"/>
  <c r="O5" i="23"/>
  <c r="S304" i="21"/>
  <c r="S303" i="21"/>
  <c r="S302" i="21"/>
  <c r="S301" i="21"/>
  <c r="S300" i="21"/>
  <c r="S299" i="21"/>
  <c r="S298" i="21"/>
  <c r="S297" i="21"/>
  <c r="S296" i="21"/>
  <c r="S295" i="21"/>
  <c r="S294" i="21"/>
  <c r="S293" i="21"/>
  <c r="S292" i="21"/>
  <c r="S291" i="21"/>
  <c r="S290" i="21"/>
  <c r="S289" i="21"/>
  <c r="S288" i="21"/>
  <c r="S287" i="21"/>
  <c r="S286" i="21"/>
  <c r="S285" i="21"/>
  <c r="S284" i="21"/>
  <c r="S283" i="21"/>
  <c r="S282" i="21"/>
  <c r="S281" i="21"/>
  <c r="S280" i="21"/>
  <c r="S279" i="21"/>
  <c r="S278" i="21"/>
  <c r="S277" i="21"/>
  <c r="S276" i="21"/>
  <c r="S275" i="21"/>
  <c r="S274" i="21"/>
  <c r="S273" i="21"/>
  <c r="S272" i="21"/>
  <c r="S271" i="21"/>
  <c r="S270" i="21"/>
  <c r="S269" i="21"/>
  <c r="S268" i="21"/>
  <c r="S267" i="21"/>
  <c r="S266" i="21"/>
  <c r="S265" i="21"/>
  <c r="S264" i="21"/>
  <c r="S263" i="21"/>
  <c r="S262" i="21"/>
  <c r="S261" i="21"/>
  <c r="S260" i="21"/>
  <c r="S259" i="21"/>
  <c r="S258" i="21"/>
  <c r="S257" i="21"/>
  <c r="S256" i="21"/>
  <c r="S255" i="21"/>
  <c r="S254" i="21"/>
  <c r="S253" i="21"/>
  <c r="S252" i="21"/>
  <c r="S251" i="21"/>
  <c r="S250" i="21"/>
  <c r="S249" i="21"/>
  <c r="S248" i="21"/>
  <c r="S247" i="21"/>
  <c r="S246" i="21"/>
  <c r="S245" i="21"/>
  <c r="S244" i="21"/>
  <c r="S243" i="21"/>
  <c r="S242" i="21"/>
  <c r="S241" i="21"/>
  <c r="S240" i="21"/>
  <c r="S239" i="21"/>
  <c r="S238" i="21"/>
  <c r="S237" i="21"/>
  <c r="S236" i="21"/>
  <c r="S235" i="21"/>
  <c r="S234" i="21"/>
  <c r="S233" i="21"/>
  <c r="S232" i="21"/>
  <c r="S231" i="21"/>
  <c r="S230" i="21"/>
  <c r="S229" i="21"/>
  <c r="S228" i="21"/>
  <c r="S227" i="21"/>
  <c r="S226" i="21"/>
  <c r="S225" i="21"/>
  <c r="S224" i="21"/>
  <c r="S223" i="21"/>
  <c r="S222" i="21"/>
  <c r="S221" i="21"/>
  <c r="S220" i="21"/>
  <c r="S219" i="21"/>
  <c r="S218" i="21"/>
  <c r="S217" i="21"/>
  <c r="S216" i="21"/>
  <c r="S215" i="21"/>
  <c r="S214" i="21"/>
  <c r="S213" i="21"/>
  <c r="S212" i="21"/>
  <c r="S211" i="21"/>
  <c r="S210" i="21"/>
  <c r="S209" i="21"/>
  <c r="S208" i="21"/>
  <c r="S207" i="21"/>
  <c r="S206" i="21"/>
  <c r="S205" i="21"/>
  <c r="S204" i="21"/>
  <c r="S203" i="21"/>
  <c r="S202" i="21"/>
  <c r="S201" i="21"/>
  <c r="S200" i="21"/>
  <c r="S199" i="21"/>
  <c r="S198" i="21"/>
  <c r="S197" i="21"/>
  <c r="S196" i="21"/>
  <c r="S195" i="21"/>
  <c r="S194" i="21"/>
  <c r="S193" i="21"/>
  <c r="S192" i="21"/>
  <c r="S191" i="21"/>
  <c r="S190" i="21"/>
  <c r="S189" i="21"/>
  <c r="S188" i="21"/>
  <c r="S187" i="21"/>
  <c r="S186" i="21"/>
  <c r="S185" i="21"/>
  <c r="S184" i="21"/>
  <c r="S183" i="21"/>
  <c r="S182" i="21"/>
  <c r="S181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6" i="21"/>
  <c r="S155" i="21"/>
  <c r="S154" i="21"/>
  <c r="S153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8" i="21"/>
  <c r="S127" i="21"/>
  <c r="S126" i="21"/>
  <c r="S125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100" i="21"/>
  <c r="S99" i="21"/>
  <c r="S98" i="21"/>
  <c r="S97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72" i="21"/>
  <c r="S71" i="21"/>
  <c r="S70" i="21"/>
  <c r="S69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44" i="21"/>
  <c r="S43" i="21"/>
  <c r="S42" i="21"/>
  <c r="S41" i="21"/>
  <c r="S40" i="21"/>
  <c r="S39" i="21"/>
  <c r="S38" i="21"/>
  <c r="S37" i="21"/>
  <c r="S36" i="21"/>
  <c r="S35" i="21"/>
  <c r="S34" i="21"/>
  <c r="S33" i="21"/>
  <c r="S32" i="21"/>
  <c r="S31" i="21"/>
  <c r="S30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S5" i="21"/>
  <c r="V304" i="19"/>
  <c r="R304" i="19"/>
  <c r="Q304" i="19"/>
  <c r="V303" i="19"/>
  <c r="R303" i="19"/>
  <c r="Q303" i="19"/>
  <c r="V302" i="19"/>
  <c r="R302" i="19"/>
  <c r="Q302" i="19"/>
  <c r="V301" i="19"/>
  <c r="R301" i="19"/>
  <c r="Q301" i="19"/>
  <c r="V300" i="19"/>
  <c r="R300" i="19"/>
  <c r="Q300" i="19"/>
  <c r="V299" i="19"/>
  <c r="R299" i="19"/>
  <c r="Q299" i="19"/>
  <c r="V298" i="19"/>
  <c r="R298" i="19"/>
  <c r="Q298" i="19"/>
  <c r="V297" i="19"/>
  <c r="R297" i="19"/>
  <c r="Q297" i="19"/>
  <c r="V296" i="19"/>
  <c r="R296" i="19"/>
  <c r="Q296" i="19"/>
  <c r="V295" i="19"/>
  <c r="R295" i="19"/>
  <c r="Q295" i="19"/>
  <c r="V294" i="19"/>
  <c r="R294" i="19"/>
  <c r="Q294" i="19"/>
  <c r="V293" i="19"/>
  <c r="R293" i="19"/>
  <c r="Q293" i="19"/>
  <c r="V292" i="19"/>
  <c r="R292" i="19"/>
  <c r="Q292" i="19"/>
  <c r="V291" i="19"/>
  <c r="R291" i="19"/>
  <c r="Q291" i="19"/>
  <c r="V290" i="19"/>
  <c r="R290" i="19"/>
  <c r="Q290" i="19"/>
  <c r="V289" i="19"/>
  <c r="R289" i="19"/>
  <c r="Q289" i="19"/>
  <c r="V288" i="19"/>
  <c r="R288" i="19"/>
  <c r="Q288" i="19"/>
  <c r="V287" i="19"/>
  <c r="R287" i="19"/>
  <c r="Q287" i="19"/>
  <c r="V286" i="19"/>
  <c r="R286" i="19"/>
  <c r="Q286" i="19"/>
  <c r="V285" i="19"/>
  <c r="R285" i="19"/>
  <c r="Q285" i="19"/>
  <c r="V284" i="19"/>
  <c r="R284" i="19"/>
  <c r="Q284" i="19"/>
  <c r="V283" i="19"/>
  <c r="R283" i="19"/>
  <c r="Q283" i="19"/>
  <c r="V282" i="19"/>
  <c r="R282" i="19"/>
  <c r="Q282" i="19"/>
  <c r="V281" i="19"/>
  <c r="R281" i="19"/>
  <c r="Q281" i="19"/>
  <c r="V280" i="19"/>
  <c r="R280" i="19"/>
  <c r="Q280" i="19"/>
  <c r="V279" i="19"/>
  <c r="R279" i="19"/>
  <c r="Q279" i="19"/>
  <c r="V278" i="19"/>
  <c r="R278" i="19"/>
  <c r="Q278" i="19"/>
  <c r="V277" i="19"/>
  <c r="R277" i="19"/>
  <c r="Q277" i="19"/>
  <c r="V276" i="19"/>
  <c r="R276" i="19"/>
  <c r="Q276" i="19"/>
  <c r="V275" i="19"/>
  <c r="R275" i="19"/>
  <c r="Q275" i="19"/>
  <c r="V274" i="19"/>
  <c r="R274" i="19"/>
  <c r="Q274" i="19"/>
  <c r="V273" i="19"/>
  <c r="R273" i="19"/>
  <c r="Q273" i="19"/>
  <c r="V272" i="19"/>
  <c r="R272" i="19"/>
  <c r="Q272" i="19"/>
  <c r="V271" i="19"/>
  <c r="R271" i="19"/>
  <c r="Q271" i="19"/>
  <c r="V270" i="19"/>
  <c r="R270" i="19"/>
  <c r="Q270" i="19"/>
  <c r="V269" i="19"/>
  <c r="R269" i="19"/>
  <c r="Q269" i="19"/>
  <c r="V268" i="19"/>
  <c r="R268" i="19"/>
  <c r="Q268" i="19"/>
  <c r="V267" i="19"/>
  <c r="R267" i="19"/>
  <c r="Q267" i="19"/>
  <c r="V266" i="19"/>
  <c r="R266" i="19"/>
  <c r="Q266" i="19"/>
  <c r="V265" i="19"/>
  <c r="R265" i="19"/>
  <c r="Q265" i="19"/>
  <c r="V264" i="19"/>
  <c r="R264" i="19"/>
  <c r="Q264" i="19"/>
  <c r="V263" i="19"/>
  <c r="R263" i="19"/>
  <c r="Q263" i="19"/>
  <c r="V262" i="19"/>
  <c r="R262" i="19"/>
  <c r="Q262" i="19"/>
  <c r="V261" i="19"/>
  <c r="R261" i="19"/>
  <c r="Q261" i="19"/>
  <c r="V260" i="19"/>
  <c r="R260" i="19"/>
  <c r="Q260" i="19"/>
  <c r="V259" i="19"/>
  <c r="R259" i="19"/>
  <c r="Q259" i="19"/>
  <c r="V258" i="19"/>
  <c r="R258" i="19"/>
  <c r="Q258" i="19"/>
  <c r="V257" i="19"/>
  <c r="R257" i="19"/>
  <c r="Q257" i="19"/>
  <c r="V256" i="19"/>
  <c r="R256" i="19"/>
  <c r="Q256" i="19"/>
  <c r="V255" i="19"/>
  <c r="R255" i="19"/>
  <c r="Q255" i="19"/>
  <c r="V254" i="19"/>
  <c r="R254" i="19"/>
  <c r="Q254" i="19"/>
  <c r="V253" i="19"/>
  <c r="R253" i="19"/>
  <c r="Q253" i="19"/>
  <c r="V252" i="19"/>
  <c r="R252" i="19"/>
  <c r="Q252" i="19"/>
  <c r="V251" i="19"/>
  <c r="R251" i="19"/>
  <c r="Q251" i="19"/>
  <c r="V250" i="19"/>
  <c r="R250" i="19"/>
  <c r="Q250" i="19"/>
  <c r="V249" i="19"/>
  <c r="R249" i="19"/>
  <c r="Q249" i="19"/>
  <c r="V248" i="19"/>
  <c r="R248" i="19"/>
  <c r="Q248" i="19"/>
  <c r="V247" i="19"/>
  <c r="R247" i="19"/>
  <c r="Q247" i="19"/>
  <c r="V246" i="19"/>
  <c r="R246" i="19"/>
  <c r="Q246" i="19"/>
  <c r="V245" i="19"/>
  <c r="R245" i="19"/>
  <c r="Q245" i="19"/>
  <c r="V244" i="19"/>
  <c r="R244" i="19"/>
  <c r="Q244" i="19"/>
  <c r="V243" i="19"/>
  <c r="R243" i="19"/>
  <c r="Q243" i="19"/>
  <c r="V242" i="19"/>
  <c r="R242" i="19"/>
  <c r="Q242" i="19"/>
  <c r="V241" i="19"/>
  <c r="R241" i="19"/>
  <c r="Q241" i="19"/>
  <c r="V240" i="19"/>
  <c r="R240" i="19"/>
  <c r="Q240" i="19"/>
  <c r="V239" i="19"/>
  <c r="R239" i="19"/>
  <c r="Q239" i="19"/>
  <c r="V238" i="19"/>
  <c r="R238" i="19"/>
  <c r="Q238" i="19"/>
  <c r="V237" i="19"/>
  <c r="R237" i="19"/>
  <c r="Q237" i="19"/>
  <c r="V236" i="19"/>
  <c r="R236" i="19"/>
  <c r="Q236" i="19"/>
  <c r="V235" i="19"/>
  <c r="R235" i="19"/>
  <c r="Q235" i="19"/>
  <c r="V234" i="19"/>
  <c r="R234" i="19"/>
  <c r="Q234" i="19"/>
  <c r="V233" i="19"/>
  <c r="R233" i="19"/>
  <c r="Q233" i="19"/>
  <c r="V232" i="19"/>
  <c r="R232" i="19"/>
  <c r="Q232" i="19"/>
  <c r="V231" i="19"/>
  <c r="R231" i="19"/>
  <c r="Q231" i="19"/>
  <c r="V230" i="19"/>
  <c r="R230" i="19"/>
  <c r="Q230" i="19"/>
  <c r="V229" i="19"/>
  <c r="R229" i="19"/>
  <c r="Q229" i="19"/>
  <c r="V228" i="19"/>
  <c r="R228" i="19"/>
  <c r="Q228" i="19"/>
  <c r="V227" i="19"/>
  <c r="R227" i="19"/>
  <c r="Q227" i="19"/>
  <c r="V226" i="19"/>
  <c r="R226" i="19"/>
  <c r="Q226" i="19"/>
  <c r="V225" i="19"/>
  <c r="R225" i="19"/>
  <c r="Q225" i="19"/>
  <c r="V224" i="19"/>
  <c r="R224" i="19"/>
  <c r="Q224" i="19"/>
  <c r="V223" i="19"/>
  <c r="R223" i="19"/>
  <c r="Q223" i="19"/>
  <c r="V222" i="19"/>
  <c r="R222" i="19"/>
  <c r="Q222" i="19"/>
  <c r="V221" i="19"/>
  <c r="R221" i="19"/>
  <c r="Q221" i="19"/>
  <c r="V220" i="19"/>
  <c r="R220" i="19"/>
  <c r="Q220" i="19"/>
  <c r="V219" i="19"/>
  <c r="R219" i="19"/>
  <c r="Q219" i="19"/>
  <c r="V218" i="19"/>
  <c r="R218" i="19"/>
  <c r="Q218" i="19"/>
  <c r="V217" i="19"/>
  <c r="R217" i="19"/>
  <c r="Q217" i="19"/>
  <c r="V216" i="19"/>
  <c r="R216" i="19"/>
  <c r="Q216" i="19"/>
  <c r="V215" i="19"/>
  <c r="R215" i="19"/>
  <c r="Q215" i="19"/>
  <c r="V214" i="19"/>
  <c r="R214" i="19"/>
  <c r="Q214" i="19"/>
  <c r="V213" i="19"/>
  <c r="R213" i="19"/>
  <c r="Q213" i="19"/>
  <c r="V212" i="19"/>
  <c r="R212" i="19"/>
  <c r="Q212" i="19"/>
  <c r="V211" i="19"/>
  <c r="R211" i="19"/>
  <c r="Q211" i="19"/>
  <c r="V210" i="19"/>
  <c r="R210" i="19"/>
  <c r="Q210" i="19"/>
  <c r="V209" i="19"/>
  <c r="R209" i="19"/>
  <c r="Q209" i="19"/>
  <c r="V208" i="19"/>
  <c r="R208" i="19"/>
  <c r="Q208" i="19"/>
  <c r="V207" i="19"/>
  <c r="R207" i="19"/>
  <c r="Q207" i="19"/>
  <c r="V206" i="19"/>
  <c r="R206" i="19"/>
  <c r="Q206" i="19"/>
  <c r="V205" i="19"/>
  <c r="R205" i="19"/>
  <c r="Q205" i="19"/>
  <c r="V204" i="19"/>
  <c r="R204" i="19"/>
  <c r="Q204" i="19"/>
  <c r="V203" i="19"/>
  <c r="R203" i="19"/>
  <c r="Q203" i="19"/>
  <c r="V202" i="19"/>
  <c r="R202" i="19"/>
  <c r="Q202" i="19"/>
  <c r="V201" i="19"/>
  <c r="R201" i="19"/>
  <c r="Q201" i="19"/>
  <c r="V200" i="19"/>
  <c r="R200" i="19"/>
  <c r="Q200" i="19"/>
  <c r="V199" i="19"/>
  <c r="R199" i="19"/>
  <c r="Q199" i="19"/>
  <c r="V198" i="19"/>
  <c r="R198" i="19"/>
  <c r="Q198" i="19"/>
  <c r="V197" i="19"/>
  <c r="R197" i="19"/>
  <c r="Q197" i="19"/>
  <c r="V196" i="19"/>
  <c r="R196" i="19"/>
  <c r="Q196" i="19"/>
  <c r="V195" i="19"/>
  <c r="R195" i="19"/>
  <c r="Q195" i="19"/>
  <c r="V194" i="19"/>
  <c r="R194" i="19"/>
  <c r="Q194" i="19"/>
  <c r="V193" i="19"/>
  <c r="R193" i="19"/>
  <c r="Q193" i="19"/>
  <c r="V192" i="19"/>
  <c r="R192" i="19"/>
  <c r="Q192" i="19"/>
  <c r="V191" i="19"/>
  <c r="R191" i="19"/>
  <c r="Q191" i="19"/>
  <c r="V190" i="19"/>
  <c r="R190" i="19"/>
  <c r="Q190" i="19"/>
  <c r="V189" i="19"/>
  <c r="R189" i="19"/>
  <c r="Q189" i="19"/>
  <c r="V188" i="19"/>
  <c r="R188" i="19"/>
  <c r="Q188" i="19"/>
  <c r="V187" i="19"/>
  <c r="R187" i="19"/>
  <c r="Q187" i="19"/>
  <c r="V186" i="19"/>
  <c r="R186" i="19"/>
  <c r="Q186" i="19"/>
  <c r="V185" i="19"/>
  <c r="R185" i="19"/>
  <c r="Q185" i="19"/>
  <c r="V184" i="19"/>
  <c r="R184" i="19"/>
  <c r="Q184" i="19"/>
  <c r="V183" i="19"/>
  <c r="R183" i="19"/>
  <c r="Q183" i="19"/>
  <c r="V182" i="19"/>
  <c r="R182" i="19"/>
  <c r="Q182" i="19"/>
  <c r="V181" i="19"/>
  <c r="R181" i="19"/>
  <c r="Q181" i="19"/>
  <c r="V180" i="19"/>
  <c r="R180" i="19"/>
  <c r="Q180" i="19"/>
  <c r="V179" i="19"/>
  <c r="R179" i="19"/>
  <c r="Q179" i="19"/>
  <c r="V178" i="19"/>
  <c r="R178" i="19"/>
  <c r="Q178" i="19"/>
  <c r="V177" i="19"/>
  <c r="R177" i="19"/>
  <c r="Q177" i="19"/>
  <c r="V176" i="19"/>
  <c r="R176" i="19"/>
  <c r="Q176" i="19"/>
  <c r="V175" i="19"/>
  <c r="R175" i="19"/>
  <c r="Q175" i="19"/>
  <c r="V174" i="19"/>
  <c r="R174" i="19"/>
  <c r="Q174" i="19"/>
  <c r="V173" i="19"/>
  <c r="R173" i="19"/>
  <c r="Q173" i="19"/>
  <c r="V172" i="19"/>
  <c r="R172" i="19"/>
  <c r="Q172" i="19"/>
  <c r="V171" i="19"/>
  <c r="R171" i="19"/>
  <c r="Q171" i="19"/>
  <c r="V170" i="19"/>
  <c r="R170" i="19"/>
  <c r="Q170" i="19"/>
  <c r="V169" i="19"/>
  <c r="R169" i="19"/>
  <c r="Q169" i="19"/>
  <c r="V168" i="19"/>
  <c r="R168" i="19"/>
  <c r="Q168" i="19"/>
  <c r="V167" i="19"/>
  <c r="R167" i="19"/>
  <c r="Q167" i="19"/>
  <c r="V166" i="19"/>
  <c r="R166" i="19"/>
  <c r="Q166" i="19"/>
  <c r="V165" i="19"/>
  <c r="R165" i="19"/>
  <c r="Q165" i="19"/>
  <c r="V164" i="19"/>
  <c r="R164" i="19"/>
  <c r="Q164" i="19"/>
  <c r="V163" i="19"/>
  <c r="R163" i="19"/>
  <c r="Q163" i="19"/>
  <c r="V162" i="19"/>
  <c r="R162" i="19"/>
  <c r="Q162" i="19"/>
  <c r="V161" i="19"/>
  <c r="R161" i="19"/>
  <c r="Q161" i="19"/>
  <c r="V160" i="19"/>
  <c r="R160" i="19"/>
  <c r="Q160" i="19"/>
  <c r="V159" i="19"/>
  <c r="R159" i="19"/>
  <c r="Q159" i="19"/>
  <c r="V158" i="19"/>
  <c r="R158" i="19"/>
  <c r="Q158" i="19"/>
  <c r="V157" i="19"/>
  <c r="R157" i="19"/>
  <c r="Q157" i="19"/>
  <c r="V156" i="19"/>
  <c r="R156" i="19"/>
  <c r="Q156" i="19"/>
  <c r="V155" i="19"/>
  <c r="R155" i="19"/>
  <c r="Q155" i="19"/>
  <c r="V154" i="19"/>
  <c r="R154" i="19"/>
  <c r="Q154" i="19"/>
  <c r="V153" i="19"/>
  <c r="R153" i="19"/>
  <c r="Q153" i="19"/>
  <c r="V152" i="19"/>
  <c r="R152" i="19"/>
  <c r="Q152" i="19"/>
  <c r="V151" i="19"/>
  <c r="R151" i="19"/>
  <c r="Q151" i="19"/>
  <c r="V150" i="19"/>
  <c r="R150" i="19"/>
  <c r="Q150" i="19"/>
  <c r="V149" i="19"/>
  <c r="R149" i="19"/>
  <c r="Q149" i="19"/>
  <c r="V148" i="19"/>
  <c r="R148" i="19"/>
  <c r="Q148" i="19"/>
  <c r="V147" i="19"/>
  <c r="R147" i="19"/>
  <c r="Q147" i="19"/>
  <c r="V146" i="19"/>
  <c r="R146" i="19"/>
  <c r="Q146" i="19"/>
  <c r="V145" i="19"/>
  <c r="R145" i="19"/>
  <c r="Q145" i="19"/>
  <c r="V144" i="19"/>
  <c r="R144" i="19"/>
  <c r="Q144" i="19"/>
  <c r="V143" i="19"/>
  <c r="R143" i="19"/>
  <c r="Q143" i="19"/>
  <c r="V142" i="19"/>
  <c r="R142" i="19"/>
  <c r="Q142" i="19"/>
  <c r="V141" i="19"/>
  <c r="R141" i="19"/>
  <c r="Q141" i="19"/>
  <c r="V140" i="19"/>
  <c r="R140" i="19"/>
  <c r="Q140" i="19"/>
  <c r="V139" i="19"/>
  <c r="R139" i="19"/>
  <c r="Q139" i="19"/>
  <c r="V138" i="19"/>
  <c r="R138" i="19"/>
  <c r="Q138" i="19"/>
  <c r="V137" i="19"/>
  <c r="R137" i="19"/>
  <c r="Q137" i="19"/>
  <c r="V136" i="19"/>
  <c r="R136" i="19"/>
  <c r="Q136" i="19"/>
  <c r="V135" i="19"/>
  <c r="R135" i="19"/>
  <c r="Q135" i="19"/>
  <c r="V134" i="19"/>
  <c r="R134" i="19"/>
  <c r="Q134" i="19"/>
  <c r="V133" i="19"/>
  <c r="R133" i="19"/>
  <c r="Q133" i="19"/>
  <c r="V132" i="19"/>
  <c r="R132" i="19"/>
  <c r="Q132" i="19"/>
  <c r="V131" i="19"/>
  <c r="R131" i="19"/>
  <c r="Q131" i="19"/>
  <c r="V130" i="19"/>
  <c r="R130" i="19"/>
  <c r="Q130" i="19"/>
  <c r="V129" i="19"/>
  <c r="R129" i="19"/>
  <c r="Q129" i="19"/>
  <c r="V128" i="19"/>
  <c r="R128" i="19"/>
  <c r="Q128" i="19"/>
  <c r="V127" i="19"/>
  <c r="R127" i="19"/>
  <c r="Q127" i="19"/>
  <c r="V126" i="19"/>
  <c r="R126" i="19"/>
  <c r="Q126" i="19"/>
  <c r="V125" i="19"/>
  <c r="R125" i="19"/>
  <c r="Q125" i="19"/>
  <c r="V124" i="19"/>
  <c r="R124" i="19"/>
  <c r="Q124" i="19"/>
  <c r="V123" i="19"/>
  <c r="R123" i="19"/>
  <c r="Q123" i="19"/>
  <c r="V122" i="19"/>
  <c r="R122" i="19"/>
  <c r="Q122" i="19"/>
  <c r="V121" i="19"/>
  <c r="R121" i="19"/>
  <c r="Q121" i="19"/>
  <c r="V120" i="19"/>
  <c r="R120" i="19"/>
  <c r="Q120" i="19"/>
  <c r="V119" i="19"/>
  <c r="R119" i="19"/>
  <c r="Q119" i="19"/>
  <c r="V118" i="19"/>
  <c r="R118" i="19"/>
  <c r="Q118" i="19"/>
  <c r="V117" i="19"/>
  <c r="R117" i="19"/>
  <c r="Q117" i="19"/>
  <c r="V116" i="19"/>
  <c r="R116" i="19"/>
  <c r="Q116" i="19"/>
  <c r="V115" i="19"/>
  <c r="R115" i="19"/>
  <c r="Q115" i="19"/>
  <c r="V114" i="19"/>
  <c r="R114" i="19"/>
  <c r="Q114" i="19"/>
  <c r="V113" i="19"/>
  <c r="R113" i="19"/>
  <c r="Q113" i="19"/>
  <c r="V112" i="19"/>
  <c r="R112" i="19"/>
  <c r="Q112" i="19"/>
  <c r="V111" i="19"/>
  <c r="R111" i="19"/>
  <c r="Q111" i="19"/>
  <c r="V110" i="19"/>
  <c r="R110" i="19"/>
  <c r="Q110" i="19"/>
  <c r="V109" i="19"/>
  <c r="R109" i="19"/>
  <c r="Q109" i="19"/>
  <c r="V108" i="19"/>
  <c r="R108" i="19"/>
  <c r="Q108" i="19"/>
  <c r="V107" i="19"/>
  <c r="R107" i="19"/>
  <c r="Q107" i="19"/>
  <c r="V106" i="19"/>
  <c r="R106" i="19"/>
  <c r="Q106" i="19"/>
  <c r="V105" i="19"/>
  <c r="R105" i="19"/>
  <c r="Q105" i="19"/>
  <c r="V104" i="19"/>
  <c r="R104" i="19"/>
  <c r="Q104" i="19"/>
  <c r="V103" i="19"/>
  <c r="R103" i="19"/>
  <c r="Q103" i="19"/>
  <c r="V102" i="19"/>
  <c r="R102" i="19"/>
  <c r="Q102" i="19"/>
  <c r="V101" i="19"/>
  <c r="R101" i="19"/>
  <c r="Q101" i="19"/>
  <c r="V100" i="19"/>
  <c r="R100" i="19"/>
  <c r="Q100" i="19"/>
  <c r="V99" i="19"/>
  <c r="R99" i="19"/>
  <c r="Q99" i="19"/>
  <c r="V98" i="19"/>
  <c r="R98" i="19"/>
  <c r="Q98" i="19"/>
  <c r="V97" i="19"/>
  <c r="R97" i="19"/>
  <c r="Q97" i="19"/>
  <c r="V96" i="19"/>
  <c r="R96" i="19"/>
  <c r="Q96" i="19"/>
  <c r="V95" i="19"/>
  <c r="R95" i="19"/>
  <c r="Q95" i="19"/>
  <c r="V94" i="19"/>
  <c r="R94" i="19"/>
  <c r="Q94" i="19"/>
  <c r="V93" i="19"/>
  <c r="R93" i="19"/>
  <c r="Q93" i="19"/>
  <c r="V92" i="19"/>
  <c r="R92" i="19"/>
  <c r="Q92" i="19"/>
  <c r="V91" i="19"/>
  <c r="R91" i="19"/>
  <c r="Q91" i="19"/>
  <c r="V90" i="19"/>
  <c r="R90" i="19"/>
  <c r="Q90" i="19"/>
  <c r="V89" i="19"/>
  <c r="R89" i="19"/>
  <c r="Q89" i="19"/>
  <c r="V88" i="19"/>
  <c r="R88" i="19"/>
  <c r="Q88" i="19"/>
  <c r="V87" i="19"/>
  <c r="R87" i="19"/>
  <c r="Q87" i="19"/>
  <c r="V86" i="19"/>
  <c r="R86" i="19"/>
  <c r="Q86" i="19"/>
  <c r="V85" i="19"/>
  <c r="R85" i="19"/>
  <c r="Q85" i="19"/>
  <c r="V84" i="19"/>
  <c r="R84" i="19"/>
  <c r="Q84" i="19"/>
  <c r="V83" i="19"/>
  <c r="R83" i="19"/>
  <c r="Q83" i="19"/>
  <c r="V82" i="19"/>
  <c r="R82" i="19"/>
  <c r="Q82" i="19"/>
  <c r="V81" i="19"/>
  <c r="R81" i="19"/>
  <c r="Q81" i="19"/>
  <c r="V80" i="19"/>
  <c r="R80" i="19"/>
  <c r="Q80" i="19"/>
  <c r="V79" i="19"/>
  <c r="R79" i="19"/>
  <c r="Q79" i="19"/>
  <c r="V78" i="19"/>
  <c r="R78" i="19"/>
  <c r="Q78" i="19"/>
  <c r="V77" i="19"/>
  <c r="R77" i="19"/>
  <c r="Q77" i="19"/>
  <c r="V76" i="19"/>
  <c r="R76" i="19"/>
  <c r="Q76" i="19"/>
  <c r="V75" i="19"/>
  <c r="R75" i="19"/>
  <c r="Q75" i="19"/>
  <c r="V74" i="19"/>
  <c r="R74" i="19"/>
  <c r="Q74" i="19"/>
  <c r="V73" i="19"/>
  <c r="R73" i="19"/>
  <c r="Q73" i="19"/>
  <c r="V72" i="19"/>
  <c r="R72" i="19"/>
  <c r="Q72" i="19"/>
  <c r="V71" i="19"/>
  <c r="R71" i="19"/>
  <c r="Q71" i="19"/>
  <c r="V70" i="19"/>
  <c r="R70" i="19"/>
  <c r="Q70" i="19"/>
  <c r="V69" i="19"/>
  <c r="R69" i="19"/>
  <c r="Q69" i="19"/>
  <c r="V68" i="19"/>
  <c r="R68" i="19"/>
  <c r="Q68" i="19"/>
  <c r="V67" i="19"/>
  <c r="R67" i="19"/>
  <c r="Q67" i="19"/>
  <c r="V66" i="19"/>
  <c r="R66" i="19"/>
  <c r="Q66" i="19"/>
  <c r="V65" i="19"/>
  <c r="R65" i="19"/>
  <c r="Q65" i="19"/>
  <c r="V64" i="19"/>
  <c r="R64" i="19"/>
  <c r="Q64" i="19"/>
  <c r="V63" i="19"/>
  <c r="R63" i="19"/>
  <c r="Q63" i="19"/>
  <c r="V62" i="19"/>
  <c r="R62" i="19"/>
  <c r="Q62" i="19"/>
  <c r="V61" i="19"/>
  <c r="R61" i="19"/>
  <c r="Q61" i="19"/>
  <c r="V60" i="19"/>
  <c r="R60" i="19"/>
  <c r="Q60" i="19"/>
  <c r="V59" i="19"/>
  <c r="R59" i="19"/>
  <c r="Q59" i="19"/>
  <c r="V58" i="19"/>
  <c r="R58" i="19"/>
  <c r="Q58" i="19"/>
  <c r="V57" i="19"/>
  <c r="R57" i="19"/>
  <c r="Q57" i="19"/>
  <c r="V56" i="19"/>
  <c r="R56" i="19"/>
  <c r="Q56" i="19"/>
  <c r="V55" i="19"/>
  <c r="R55" i="19"/>
  <c r="Q55" i="19"/>
  <c r="V54" i="19"/>
  <c r="R54" i="19"/>
  <c r="Q54" i="19"/>
  <c r="V53" i="19"/>
  <c r="R53" i="19"/>
  <c r="Q53" i="19"/>
  <c r="V52" i="19"/>
  <c r="R52" i="19"/>
  <c r="Q52" i="19"/>
  <c r="V51" i="19"/>
  <c r="R51" i="19"/>
  <c r="Q51" i="19"/>
  <c r="V50" i="19"/>
  <c r="R50" i="19"/>
  <c r="Q50" i="19"/>
  <c r="V49" i="19"/>
  <c r="R49" i="19"/>
  <c r="Q49" i="19"/>
  <c r="V48" i="19"/>
  <c r="R48" i="19"/>
  <c r="Q48" i="19"/>
  <c r="V47" i="19"/>
  <c r="R47" i="19"/>
  <c r="Q47" i="19"/>
  <c r="V46" i="19"/>
  <c r="R46" i="19"/>
  <c r="Q46" i="19"/>
  <c r="V45" i="19"/>
  <c r="R45" i="19"/>
  <c r="Q45" i="19"/>
  <c r="V44" i="19"/>
  <c r="R44" i="19"/>
  <c r="Q44" i="19"/>
  <c r="V43" i="19"/>
  <c r="R43" i="19"/>
  <c r="Q43" i="19"/>
  <c r="V42" i="19"/>
  <c r="R42" i="19"/>
  <c r="Q42" i="19"/>
  <c r="V41" i="19"/>
  <c r="R41" i="19"/>
  <c r="Q41" i="19"/>
  <c r="V40" i="19"/>
  <c r="R40" i="19"/>
  <c r="Q40" i="19"/>
  <c r="V39" i="19"/>
  <c r="R39" i="19"/>
  <c r="Q39" i="19"/>
  <c r="V38" i="19"/>
  <c r="R38" i="19"/>
  <c r="Q38" i="19"/>
  <c r="V37" i="19"/>
  <c r="R37" i="19"/>
  <c r="Q37" i="19"/>
  <c r="V36" i="19"/>
  <c r="R36" i="19"/>
  <c r="Q36" i="19"/>
  <c r="V35" i="19"/>
  <c r="R35" i="19"/>
  <c r="Q35" i="19"/>
  <c r="V34" i="19"/>
  <c r="R34" i="19"/>
  <c r="Q34" i="19"/>
  <c r="V33" i="19"/>
  <c r="R33" i="19"/>
  <c r="Q33" i="19"/>
  <c r="V32" i="19"/>
  <c r="R32" i="19"/>
  <c r="Q32" i="19"/>
  <c r="V31" i="19"/>
  <c r="R31" i="19"/>
  <c r="Q31" i="19"/>
  <c r="V30" i="19"/>
  <c r="R30" i="19"/>
  <c r="Q30" i="19"/>
  <c r="V29" i="19"/>
  <c r="R29" i="19"/>
  <c r="Q29" i="19"/>
  <c r="V28" i="19"/>
  <c r="R28" i="19"/>
  <c r="Q28" i="19"/>
  <c r="V27" i="19"/>
  <c r="R27" i="19"/>
  <c r="Q27" i="19"/>
  <c r="V26" i="19"/>
  <c r="R26" i="19"/>
  <c r="Q26" i="19"/>
  <c r="V25" i="19"/>
  <c r="R25" i="19"/>
  <c r="Q25" i="19"/>
  <c r="V24" i="19"/>
  <c r="R24" i="19"/>
  <c r="Q24" i="19"/>
  <c r="V23" i="19"/>
  <c r="R23" i="19"/>
  <c r="Q23" i="19"/>
  <c r="V22" i="19"/>
  <c r="R22" i="19"/>
  <c r="Q22" i="19"/>
  <c r="V21" i="19"/>
  <c r="R21" i="19"/>
  <c r="Q21" i="19"/>
  <c r="V20" i="19"/>
  <c r="R20" i="19"/>
  <c r="Q20" i="19"/>
  <c r="V19" i="19"/>
  <c r="R19" i="19"/>
  <c r="Q19" i="19"/>
  <c r="V18" i="19"/>
  <c r="R18" i="19"/>
  <c r="Q18" i="19"/>
  <c r="V17" i="19"/>
  <c r="R17" i="19"/>
  <c r="Q17" i="19"/>
  <c r="V16" i="19"/>
  <c r="R16" i="19"/>
  <c r="Q16" i="19"/>
  <c r="V15" i="19"/>
  <c r="R15" i="19"/>
  <c r="Q15" i="19"/>
  <c r="V14" i="19"/>
  <c r="R14" i="19"/>
  <c r="Q14" i="19"/>
  <c r="V13" i="19"/>
  <c r="R13" i="19"/>
  <c r="Q13" i="19"/>
  <c r="V12" i="19"/>
  <c r="R12" i="19"/>
  <c r="Q12" i="19"/>
  <c r="V11" i="19"/>
  <c r="R11" i="19"/>
  <c r="Q11" i="19"/>
  <c r="V10" i="19"/>
  <c r="R10" i="19"/>
  <c r="Q10" i="19"/>
  <c r="V9" i="19"/>
  <c r="R9" i="19"/>
  <c r="Q9" i="19"/>
  <c r="V8" i="19"/>
  <c r="R8" i="19"/>
  <c r="Q8" i="19"/>
  <c r="V7" i="19"/>
  <c r="R7" i="19"/>
  <c r="Q7" i="19"/>
  <c r="V6" i="19"/>
  <c r="R6" i="19"/>
  <c r="Q6" i="19"/>
  <c r="V5" i="19"/>
  <c r="R5" i="19"/>
  <c r="Q5" i="19"/>
  <c r="S304" i="18"/>
  <c r="S303" i="18"/>
  <c r="S302" i="18"/>
  <c r="S301" i="18"/>
  <c r="S300" i="18"/>
  <c r="S299" i="18"/>
  <c r="S298" i="18"/>
  <c r="S297" i="18"/>
  <c r="S296" i="18"/>
  <c r="S295" i="18"/>
  <c r="S294" i="18"/>
  <c r="S293" i="18"/>
  <c r="S292" i="18"/>
  <c r="S291" i="18"/>
  <c r="S290" i="18"/>
  <c r="S289" i="18"/>
  <c r="S288" i="18"/>
  <c r="S287" i="18"/>
  <c r="S286" i="18"/>
  <c r="S285" i="18"/>
  <c r="S284" i="18"/>
  <c r="S283" i="18"/>
  <c r="S282" i="18"/>
  <c r="S281" i="18"/>
  <c r="S280" i="18"/>
  <c r="S279" i="18"/>
  <c r="S278" i="18"/>
  <c r="S277" i="18"/>
  <c r="S276" i="18"/>
  <c r="S275" i="18"/>
  <c r="S274" i="18"/>
  <c r="S273" i="18"/>
  <c r="S272" i="18"/>
  <c r="S271" i="18"/>
  <c r="S270" i="18"/>
  <c r="S269" i="18"/>
  <c r="S268" i="18"/>
  <c r="S267" i="18"/>
  <c r="S266" i="18"/>
  <c r="S265" i="18"/>
  <c r="S264" i="18"/>
  <c r="S263" i="18"/>
  <c r="S262" i="18"/>
  <c r="S261" i="18"/>
  <c r="S260" i="18"/>
  <c r="S259" i="18"/>
  <c r="S258" i="18"/>
  <c r="S257" i="18"/>
  <c r="S256" i="18"/>
  <c r="S255" i="18"/>
  <c r="S254" i="18"/>
  <c r="S253" i="18"/>
  <c r="S252" i="18"/>
  <c r="S251" i="18"/>
  <c r="S250" i="18"/>
  <c r="S249" i="18"/>
  <c r="S248" i="18"/>
  <c r="S247" i="18"/>
  <c r="S246" i="18"/>
  <c r="S245" i="18"/>
  <c r="S244" i="18"/>
  <c r="S243" i="18"/>
  <c r="S242" i="18"/>
  <c r="S241" i="18"/>
  <c r="S240" i="18"/>
  <c r="S239" i="18"/>
  <c r="S238" i="18"/>
  <c r="S237" i="18"/>
  <c r="S236" i="18"/>
  <c r="S235" i="18"/>
  <c r="S234" i="18"/>
  <c r="S233" i="18"/>
  <c r="S232" i="18"/>
  <c r="S231" i="18"/>
  <c r="S230" i="18"/>
  <c r="S229" i="18"/>
  <c r="S228" i="18"/>
  <c r="S227" i="18"/>
  <c r="S226" i="18"/>
  <c r="S225" i="18"/>
  <c r="S224" i="18"/>
  <c r="S223" i="18"/>
  <c r="S222" i="18"/>
  <c r="S221" i="18"/>
  <c r="S220" i="18"/>
  <c r="S219" i="18"/>
  <c r="S218" i="18"/>
  <c r="S217" i="18"/>
  <c r="S216" i="18"/>
  <c r="S215" i="18"/>
  <c r="S214" i="18"/>
  <c r="S213" i="18"/>
  <c r="S212" i="18"/>
  <c r="S211" i="18"/>
  <c r="S210" i="18"/>
  <c r="S209" i="18"/>
  <c r="S208" i="18"/>
  <c r="S207" i="18"/>
  <c r="S206" i="18"/>
  <c r="S205" i="18"/>
  <c r="S204" i="18"/>
  <c r="S203" i="18"/>
  <c r="S202" i="18"/>
  <c r="S201" i="18"/>
  <c r="S200" i="18"/>
  <c r="S199" i="18"/>
  <c r="S198" i="18"/>
  <c r="S197" i="18"/>
  <c r="S196" i="18"/>
  <c r="S195" i="18"/>
  <c r="S194" i="18"/>
  <c r="S193" i="18"/>
  <c r="S192" i="18"/>
  <c r="S191" i="18"/>
  <c r="S190" i="18"/>
  <c r="S189" i="18"/>
  <c r="S188" i="18"/>
  <c r="S187" i="18"/>
  <c r="S186" i="18"/>
  <c r="S185" i="18"/>
  <c r="S184" i="18"/>
  <c r="S183" i="18"/>
  <c r="S182" i="18"/>
  <c r="S181" i="18"/>
  <c r="S180" i="18"/>
  <c r="S179" i="18"/>
  <c r="S178" i="18"/>
  <c r="S177" i="18"/>
  <c r="S176" i="18"/>
  <c r="S175" i="18"/>
  <c r="S174" i="18"/>
  <c r="S173" i="18"/>
  <c r="S172" i="18"/>
  <c r="S171" i="18"/>
  <c r="S170" i="18"/>
  <c r="S169" i="18"/>
  <c r="S168" i="18"/>
  <c r="S167" i="18"/>
  <c r="S166" i="18"/>
  <c r="S165" i="18"/>
  <c r="S164" i="18"/>
  <c r="S163" i="18"/>
  <c r="S162" i="18"/>
  <c r="S161" i="18"/>
  <c r="S160" i="18"/>
  <c r="S159" i="18"/>
  <c r="S158" i="18"/>
  <c r="S157" i="18"/>
  <c r="S156" i="18"/>
  <c r="S155" i="18"/>
  <c r="S154" i="18"/>
  <c r="S153" i="18"/>
  <c r="S152" i="18"/>
  <c r="S151" i="18"/>
  <c r="S150" i="18"/>
  <c r="S149" i="18"/>
  <c r="S148" i="18"/>
  <c r="S147" i="18"/>
  <c r="S146" i="18"/>
  <c r="S145" i="18"/>
  <c r="S144" i="18"/>
  <c r="S143" i="18"/>
  <c r="S142" i="18"/>
  <c r="S141" i="18"/>
  <c r="S140" i="18"/>
  <c r="S139" i="18"/>
  <c r="S138" i="18"/>
  <c r="S137" i="18"/>
  <c r="S136" i="18"/>
  <c r="S135" i="18"/>
  <c r="S134" i="18"/>
  <c r="S133" i="18"/>
  <c r="S132" i="18"/>
  <c r="S131" i="18"/>
  <c r="S130" i="18"/>
  <c r="S129" i="18"/>
  <c r="S128" i="18"/>
  <c r="S127" i="18"/>
  <c r="S126" i="18"/>
  <c r="S125" i="18"/>
  <c r="S124" i="18"/>
  <c r="S123" i="18"/>
  <c r="S122" i="18"/>
  <c r="S121" i="18"/>
  <c r="S120" i="18"/>
  <c r="S119" i="18"/>
  <c r="S118" i="18"/>
  <c r="S117" i="18"/>
  <c r="S116" i="18"/>
  <c r="S115" i="18"/>
  <c r="S114" i="18"/>
  <c r="S113" i="18"/>
  <c r="S112" i="18"/>
  <c r="S111" i="18"/>
  <c r="S110" i="18"/>
  <c r="S109" i="18"/>
  <c r="S108" i="18"/>
  <c r="S107" i="18"/>
  <c r="S106" i="18"/>
  <c r="S105" i="18"/>
  <c r="S104" i="18"/>
  <c r="S103" i="18"/>
  <c r="S102" i="18"/>
  <c r="S101" i="18"/>
  <c r="S100" i="18"/>
  <c r="S99" i="18"/>
  <c r="S98" i="18"/>
  <c r="S97" i="18"/>
  <c r="S96" i="18"/>
  <c r="S95" i="18"/>
  <c r="S94" i="18"/>
  <c r="S93" i="18"/>
  <c r="S92" i="18"/>
  <c r="S91" i="18"/>
  <c r="S90" i="18"/>
  <c r="S89" i="18"/>
  <c r="S88" i="18"/>
  <c r="S87" i="18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1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N304" i="16"/>
  <c r="N303" i="16"/>
  <c r="N302" i="16"/>
  <c r="N301" i="16"/>
  <c r="N300" i="16"/>
  <c r="N299" i="16"/>
  <c r="N298" i="16"/>
  <c r="N297" i="16"/>
  <c r="N296" i="16"/>
  <c r="N295" i="16"/>
  <c r="N294" i="16"/>
  <c r="N293" i="16"/>
  <c r="N292" i="16"/>
  <c r="N291" i="16"/>
  <c r="N290" i="16"/>
  <c r="N289" i="16"/>
  <c r="N288" i="16"/>
  <c r="N287" i="16"/>
  <c r="N286" i="16"/>
  <c r="N285" i="16"/>
  <c r="N284" i="16"/>
  <c r="N283" i="16"/>
  <c r="N282" i="16"/>
  <c r="N281" i="16"/>
  <c r="N280" i="16"/>
  <c r="N279" i="16"/>
  <c r="N278" i="16"/>
  <c r="N277" i="16"/>
  <c r="N276" i="16"/>
  <c r="N275" i="16"/>
  <c r="N274" i="16"/>
  <c r="N273" i="16"/>
  <c r="N272" i="16"/>
  <c r="N271" i="16"/>
  <c r="N270" i="16"/>
  <c r="N269" i="16"/>
  <c r="N268" i="16"/>
  <c r="N267" i="16"/>
  <c r="N266" i="16"/>
  <c r="N265" i="16"/>
  <c r="N264" i="16"/>
  <c r="N263" i="16"/>
  <c r="N262" i="16"/>
  <c r="N261" i="16"/>
  <c r="N260" i="16"/>
  <c r="N259" i="16"/>
  <c r="N258" i="16"/>
  <c r="N257" i="16"/>
  <c r="N256" i="16"/>
  <c r="N255" i="16"/>
  <c r="N254" i="16"/>
  <c r="N253" i="16"/>
  <c r="N252" i="16"/>
  <c r="N251" i="16"/>
  <c r="N250" i="16"/>
  <c r="N249" i="16"/>
  <c r="N248" i="16"/>
  <c r="N247" i="16"/>
  <c r="N246" i="16"/>
  <c r="N245" i="16"/>
  <c r="N244" i="16"/>
  <c r="N243" i="16"/>
  <c r="N242" i="16"/>
  <c r="N241" i="16"/>
  <c r="N240" i="16"/>
  <c r="N239" i="16"/>
  <c r="N238" i="16"/>
  <c r="N237" i="16"/>
  <c r="N236" i="16"/>
  <c r="N235" i="16"/>
  <c r="N234" i="16"/>
  <c r="N233" i="16"/>
  <c r="N232" i="16"/>
  <c r="N231" i="16"/>
  <c r="N230" i="16"/>
  <c r="N229" i="16"/>
  <c r="N228" i="16"/>
  <c r="N227" i="16"/>
  <c r="N226" i="16"/>
  <c r="N225" i="16"/>
  <c r="N224" i="16"/>
  <c r="N223" i="16"/>
  <c r="N222" i="16"/>
  <c r="N221" i="16"/>
  <c r="N220" i="16"/>
  <c r="N219" i="16"/>
  <c r="N218" i="16"/>
  <c r="N217" i="16"/>
  <c r="N216" i="16"/>
  <c r="N215" i="16"/>
  <c r="N214" i="16"/>
  <c r="N213" i="16"/>
  <c r="N212" i="16"/>
  <c r="N211" i="16"/>
  <c r="N210" i="16"/>
  <c r="N209" i="16"/>
  <c r="N208" i="16"/>
  <c r="N207" i="16"/>
  <c r="N206" i="16"/>
  <c r="N205" i="16"/>
  <c r="N204" i="16"/>
  <c r="N203" i="16"/>
  <c r="N202" i="16"/>
  <c r="N201" i="16"/>
  <c r="N200" i="16"/>
  <c r="N199" i="16"/>
  <c r="N198" i="16"/>
  <c r="N197" i="16"/>
  <c r="N196" i="16"/>
  <c r="N195" i="16"/>
  <c r="N194" i="16"/>
  <c r="N193" i="16"/>
  <c r="N192" i="16"/>
  <c r="N191" i="16"/>
  <c r="N190" i="16"/>
  <c r="N189" i="16"/>
  <c r="N188" i="16"/>
  <c r="N187" i="16"/>
  <c r="N186" i="16"/>
  <c r="N185" i="16"/>
  <c r="N184" i="16"/>
  <c r="N183" i="16"/>
  <c r="N182" i="16"/>
  <c r="N181" i="16"/>
  <c r="N180" i="16"/>
  <c r="N179" i="16"/>
  <c r="N178" i="16"/>
  <c r="N177" i="16"/>
  <c r="N176" i="16"/>
  <c r="N175" i="16"/>
  <c r="N174" i="16"/>
  <c r="N173" i="16"/>
  <c r="N172" i="16"/>
  <c r="N171" i="16"/>
  <c r="N170" i="16"/>
  <c r="N169" i="16"/>
  <c r="N168" i="16"/>
  <c r="N167" i="16"/>
  <c r="N166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52" i="16"/>
  <c r="N151" i="16"/>
  <c r="N150" i="16"/>
  <c r="N149" i="16"/>
  <c r="N148" i="16"/>
  <c r="N147" i="16"/>
  <c r="N146" i="16"/>
  <c r="N145" i="16"/>
  <c r="N144" i="16"/>
  <c r="N143" i="16"/>
  <c r="N142" i="16"/>
  <c r="N141" i="16"/>
  <c r="N140" i="16"/>
  <c r="N139" i="16"/>
  <c r="N138" i="16"/>
  <c r="N137" i="16"/>
  <c r="N136" i="16"/>
  <c r="N135" i="16"/>
  <c r="N134" i="16"/>
  <c r="N133" i="16"/>
  <c r="N132" i="16"/>
  <c r="N131" i="16"/>
  <c r="N130" i="16"/>
  <c r="N129" i="16"/>
  <c r="N128" i="16"/>
  <c r="N127" i="16"/>
  <c r="N126" i="16"/>
  <c r="N125" i="16"/>
  <c r="N124" i="16"/>
  <c r="N123" i="16"/>
  <c r="N122" i="16"/>
  <c r="N121" i="16"/>
  <c r="N120" i="16"/>
  <c r="N119" i="16"/>
  <c r="N118" i="16"/>
  <c r="N117" i="16"/>
  <c r="N116" i="16"/>
  <c r="N115" i="16"/>
  <c r="N114" i="16"/>
  <c r="N113" i="16"/>
  <c r="N112" i="16"/>
  <c r="N111" i="16"/>
  <c r="N110" i="16"/>
  <c r="N109" i="16"/>
  <c r="N108" i="16"/>
  <c r="N107" i="16"/>
  <c r="N106" i="16"/>
  <c r="N105" i="16"/>
  <c r="N104" i="16"/>
  <c r="N103" i="16"/>
  <c r="N102" i="16"/>
  <c r="N101" i="16"/>
  <c r="N100" i="16"/>
  <c r="N99" i="16"/>
  <c r="N98" i="16"/>
  <c r="N97" i="16"/>
  <c r="N96" i="16"/>
  <c r="N95" i="16"/>
  <c r="N94" i="16"/>
  <c r="N93" i="16"/>
  <c r="N92" i="16"/>
  <c r="N91" i="16"/>
  <c r="N90" i="16"/>
  <c r="N89" i="16"/>
  <c r="N88" i="16"/>
  <c r="N87" i="16"/>
  <c r="N86" i="16"/>
  <c r="N85" i="16"/>
  <c r="N84" i="16"/>
  <c r="N83" i="16"/>
  <c r="N82" i="16"/>
  <c r="N81" i="16"/>
  <c r="N80" i="16"/>
  <c r="N79" i="16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N64" i="16"/>
  <c r="N63" i="16"/>
  <c r="N62" i="16"/>
  <c r="N61" i="16"/>
  <c r="N60" i="16"/>
  <c r="N59" i="16"/>
  <c r="N58" i="16"/>
  <c r="N57" i="16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Q304" i="15"/>
  <c r="Q303" i="15"/>
  <c r="Q302" i="15"/>
  <c r="Q301" i="15"/>
  <c r="Q300" i="15"/>
  <c r="Q299" i="15"/>
  <c r="Q298" i="15"/>
  <c r="Q297" i="15"/>
  <c r="Q296" i="15"/>
  <c r="Q295" i="15"/>
  <c r="Q294" i="15"/>
  <c r="Q293" i="15"/>
  <c r="Q292" i="15"/>
  <c r="Q291" i="15"/>
  <c r="Q290" i="15"/>
  <c r="Q289" i="15"/>
  <c r="Q288" i="15"/>
  <c r="Q287" i="15"/>
  <c r="Q286" i="15"/>
  <c r="Q285" i="15"/>
  <c r="Q284" i="15"/>
  <c r="Q283" i="15"/>
  <c r="Q282" i="15"/>
  <c r="Q281" i="15"/>
  <c r="Q280" i="15"/>
  <c r="Q279" i="15"/>
  <c r="Q278" i="15"/>
  <c r="Q277" i="15"/>
  <c r="Q276" i="15"/>
  <c r="Q275" i="15"/>
  <c r="Q274" i="15"/>
  <c r="Q273" i="15"/>
  <c r="Q272" i="15"/>
  <c r="Q271" i="15"/>
  <c r="Q270" i="15"/>
  <c r="Q269" i="15"/>
  <c r="Q268" i="15"/>
  <c r="Q267" i="15"/>
  <c r="Q266" i="15"/>
  <c r="Q265" i="15"/>
  <c r="Q264" i="15"/>
  <c r="Q263" i="15"/>
  <c r="Q262" i="15"/>
  <c r="Q261" i="15"/>
  <c r="Q260" i="15"/>
  <c r="Q259" i="15"/>
  <c r="Q258" i="15"/>
  <c r="Q257" i="15"/>
  <c r="Q256" i="15"/>
  <c r="Q255" i="15"/>
  <c r="Q254" i="15"/>
  <c r="Q253" i="15"/>
  <c r="Q252" i="15"/>
  <c r="Q251" i="15"/>
  <c r="Q250" i="15"/>
  <c r="Q249" i="15"/>
  <c r="Q248" i="15"/>
  <c r="Q247" i="15"/>
  <c r="Q246" i="15"/>
  <c r="Q245" i="15"/>
  <c r="Q244" i="15"/>
  <c r="Q243" i="15"/>
  <c r="Q242" i="15"/>
  <c r="Q241" i="15"/>
  <c r="Q240" i="15"/>
  <c r="Q239" i="15"/>
  <c r="Q238" i="15"/>
  <c r="Q237" i="15"/>
  <c r="Q236" i="15"/>
  <c r="Q235" i="15"/>
  <c r="Q234" i="15"/>
  <c r="Q233" i="15"/>
  <c r="Q232" i="15"/>
  <c r="Q231" i="15"/>
  <c r="Q230" i="15"/>
  <c r="Q229" i="15"/>
  <c r="Q228" i="15"/>
  <c r="Q227" i="15"/>
  <c r="Q226" i="15"/>
  <c r="Q225" i="15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11" i="15"/>
  <c r="Q210" i="15"/>
  <c r="Q209" i="15"/>
  <c r="Q208" i="15"/>
  <c r="Q207" i="15"/>
  <c r="Q206" i="15"/>
  <c r="Q205" i="15"/>
  <c r="Q204" i="15"/>
  <c r="Q203" i="15"/>
  <c r="Q202" i="15"/>
  <c r="Q201" i="15"/>
  <c r="Q200" i="15"/>
  <c r="Q199" i="15"/>
  <c r="Q198" i="15"/>
  <c r="Q197" i="15"/>
  <c r="Q196" i="15"/>
  <c r="Q195" i="15"/>
  <c r="Q194" i="15"/>
  <c r="Q193" i="15"/>
  <c r="Q192" i="15"/>
  <c r="Q191" i="15"/>
  <c r="Q190" i="15"/>
  <c r="Q189" i="15"/>
  <c r="Q188" i="15"/>
  <c r="Q187" i="15"/>
  <c r="Q186" i="15"/>
  <c r="Q185" i="15"/>
  <c r="Q184" i="15"/>
  <c r="Q183" i="15"/>
  <c r="Q182" i="15"/>
  <c r="Q181" i="15"/>
  <c r="Q180" i="15"/>
  <c r="Q179" i="15"/>
  <c r="Q178" i="15"/>
  <c r="Q177" i="15"/>
  <c r="Q176" i="15"/>
  <c r="Q175" i="15"/>
  <c r="Q174" i="15"/>
  <c r="Q173" i="15"/>
  <c r="Q172" i="15"/>
  <c r="Q171" i="15"/>
  <c r="Q170" i="15"/>
  <c r="Q169" i="15"/>
  <c r="Q168" i="15"/>
  <c r="Q167" i="15"/>
  <c r="Q166" i="15"/>
  <c r="Q165" i="15"/>
  <c r="Q164" i="15"/>
  <c r="Q163" i="15"/>
  <c r="Q162" i="15"/>
  <c r="Q161" i="15"/>
  <c r="Q160" i="15"/>
  <c r="Q159" i="15"/>
  <c r="Q158" i="15"/>
  <c r="Q157" i="15"/>
  <c r="Q156" i="15"/>
  <c r="Q155" i="15"/>
  <c r="Q154" i="15"/>
  <c r="Q153" i="15"/>
  <c r="Q152" i="15"/>
  <c r="Q151" i="15"/>
  <c r="Q150" i="15"/>
  <c r="Q149" i="15"/>
  <c r="Q148" i="15"/>
  <c r="Q147" i="15"/>
  <c r="Q146" i="15"/>
  <c r="Q145" i="15"/>
  <c r="Q144" i="15"/>
  <c r="Q143" i="15"/>
  <c r="Q142" i="15"/>
  <c r="Q141" i="15"/>
  <c r="Q140" i="15"/>
  <c r="Q139" i="15"/>
  <c r="Q138" i="15"/>
  <c r="Q137" i="15"/>
  <c r="Q136" i="15"/>
  <c r="Q135" i="15"/>
  <c r="Q134" i="15"/>
  <c r="Q133" i="15"/>
  <c r="Q132" i="15"/>
  <c r="Q131" i="15"/>
  <c r="Q130" i="15"/>
  <c r="Q129" i="15"/>
  <c r="Q128" i="15"/>
  <c r="Q127" i="15"/>
  <c r="Q126" i="15"/>
  <c r="Q125" i="15"/>
  <c r="Q124" i="15"/>
  <c r="Q123" i="15"/>
  <c r="Q122" i="15"/>
  <c r="Q121" i="15"/>
  <c r="Q120" i="15"/>
  <c r="Q119" i="15"/>
  <c r="Q118" i="15"/>
  <c r="Q11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304" i="14"/>
  <c r="Q303" i="14"/>
  <c r="Q302" i="14"/>
  <c r="Q301" i="14"/>
  <c r="Q300" i="14"/>
  <c r="Q299" i="14"/>
  <c r="Q298" i="14"/>
  <c r="Q297" i="14"/>
  <c r="Q296" i="14"/>
  <c r="Q295" i="14"/>
  <c r="Q294" i="14"/>
  <c r="Q293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AA304" i="13"/>
  <c r="T304" i="13"/>
  <c r="Q304" i="13"/>
  <c r="N304" i="13"/>
  <c r="L304" i="13"/>
  <c r="J304" i="13"/>
  <c r="AA303" i="13"/>
  <c r="T303" i="13"/>
  <c r="Q303" i="13"/>
  <c r="N303" i="13"/>
  <c r="L303" i="13"/>
  <c r="J303" i="13"/>
  <c r="AA302" i="13"/>
  <c r="T302" i="13"/>
  <c r="Q302" i="13"/>
  <c r="N302" i="13"/>
  <c r="L302" i="13"/>
  <c r="J302" i="13"/>
  <c r="AA301" i="13"/>
  <c r="T301" i="13"/>
  <c r="Q301" i="13"/>
  <c r="N301" i="13"/>
  <c r="L301" i="13"/>
  <c r="J301" i="13"/>
  <c r="AA300" i="13"/>
  <c r="T300" i="13"/>
  <c r="Q300" i="13"/>
  <c r="N300" i="13"/>
  <c r="L300" i="13"/>
  <c r="J300" i="13"/>
  <c r="AA299" i="13"/>
  <c r="T299" i="13"/>
  <c r="Q299" i="13"/>
  <c r="N299" i="13"/>
  <c r="L299" i="13"/>
  <c r="J299" i="13"/>
  <c r="AA298" i="13"/>
  <c r="T298" i="13"/>
  <c r="Q298" i="13"/>
  <c r="N298" i="13"/>
  <c r="L298" i="13"/>
  <c r="J298" i="13"/>
  <c r="AA297" i="13"/>
  <c r="T297" i="13"/>
  <c r="Q297" i="13"/>
  <c r="N297" i="13"/>
  <c r="L297" i="13"/>
  <c r="J297" i="13"/>
  <c r="AA296" i="13"/>
  <c r="T296" i="13"/>
  <c r="Q296" i="13"/>
  <c r="N296" i="13"/>
  <c r="L296" i="13"/>
  <c r="J296" i="13"/>
  <c r="AA295" i="13"/>
  <c r="T295" i="13"/>
  <c r="Q295" i="13"/>
  <c r="N295" i="13"/>
  <c r="L295" i="13"/>
  <c r="J295" i="13"/>
  <c r="AA294" i="13"/>
  <c r="T294" i="13"/>
  <c r="Q294" i="13"/>
  <c r="N294" i="13"/>
  <c r="L294" i="13"/>
  <c r="J294" i="13"/>
  <c r="AA293" i="13"/>
  <c r="T293" i="13"/>
  <c r="Q293" i="13"/>
  <c r="N293" i="13"/>
  <c r="L293" i="13"/>
  <c r="J293" i="13"/>
  <c r="AA292" i="13"/>
  <c r="T292" i="13"/>
  <c r="Q292" i="13"/>
  <c r="N292" i="13"/>
  <c r="L292" i="13"/>
  <c r="J292" i="13"/>
  <c r="AA291" i="13"/>
  <c r="T291" i="13"/>
  <c r="Q291" i="13"/>
  <c r="N291" i="13"/>
  <c r="L291" i="13"/>
  <c r="J291" i="13"/>
  <c r="AA290" i="13"/>
  <c r="T290" i="13"/>
  <c r="Q290" i="13"/>
  <c r="N290" i="13"/>
  <c r="L290" i="13"/>
  <c r="J290" i="13"/>
  <c r="AA289" i="13"/>
  <c r="T289" i="13"/>
  <c r="Q289" i="13"/>
  <c r="N289" i="13"/>
  <c r="L289" i="13"/>
  <c r="J289" i="13"/>
  <c r="AA288" i="13"/>
  <c r="T288" i="13"/>
  <c r="Q288" i="13"/>
  <c r="N288" i="13"/>
  <c r="L288" i="13"/>
  <c r="J288" i="13"/>
  <c r="AA287" i="13"/>
  <c r="T287" i="13"/>
  <c r="Q287" i="13"/>
  <c r="N287" i="13"/>
  <c r="L287" i="13"/>
  <c r="J287" i="13"/>
  <c r="AA286" i="13"/>
  <c r="T286" i="13"/>
  <c r="Q286" i="13"/>
  <c r="N286" i="13"/>
  <c r="L286" i="13"/>
  <c r="J286" i="13"/>
  <c r="AA285" i="13"/>
  <c r="T285" i="13"/>
  <c r="Q285" i="13"/>
  <c r="N285" i="13"/>
  <c r="L285" i="13"/>
  <c r="J285" i="13"/>
  <c r="AA284" i="13"/>
  <c r="T284" i="13"/>
  <c r="Q284" i="13"/>
  <c r="N284" i="13"/>
  <c r="L284" i="13"/>
  <c r="J284" i="13"/>
  <c r="AA283" i="13"/>
  <c r="T283" i="13"/>
  <c r="Q283" i="13"/>
  <c r="N283" i="13"/>
  <c r="L283" i="13"/>
  <c r="J283" i="13"/>
  <c r="AA282" i="13"/>
  <c r="T282" i="13"/>
  <c r="Q282" i="13"/>
  <c r="N282" i="13"/>
  <c r="L282" i="13"/>
  <c r="J282" i="13"/>
  <c r="AA281" i="13"/>
  <c r="T281" i="13"/>
  <c r="Q281" i="13"/>
  <c r="N281" i="13"/>
  <c r="L281" i="13"/>
  <c r="J281" i="13"/>
  <c r="AA280" i="13"/>
  <c r="T280" i="13"/>
  <c r="Q280" i="13"/>
  <c r="N280" i="13"/>
  <c r="L280" i="13"/>
  <c r="J280" i="13"/>
  <c r="AA279" i="13"/>
  <c r="T279" i="13"/>
  <c r="Q279" i="13"/>
  <c r="N279" i="13"/>
  <c r="L279" i="13"/>
  <c r="J279" i="13"/>
  <c r="AA278" i="13"/>
  <c r="T278" i="13"/>
  <c r="Q278" i="13"/>
  <c r="N278" i="13"/>
  <c r="L278" i="13"/>
  <c r="J278" i="13"/>
  <c r="AA277" i="13"/>
  <c r="T277" i="13"/>
  <c r="Q277" i="13"/>
  <c r="N277" i="13"/>
  <c r="L277" i="13"/>
  <c r="J277" i="13"/>
  <c r="AA276" i="13"/>
  <c r="T276" i="13"/>
  <c r="Q276" i="13"/>
  <c r="N276" i="13"/>
  <c r="L276" i="13"/>
  <c r="J276" i="13"/>
  <c r="AA275" i="13"/>
  <c r="T275" i="13"/>
  <c r="Q275" i="13"/>
  <c r="N275" i="13"/>
  <c r="L275" i="13"/>
  <c r="J275" i="13"/>
  <c r="AA274" i="13"/>
  <c r="T274" i="13"/>
  <c r="Q274" i="13"/>
  <c r="N274" i="13"/>
  <c r="L274" i="13"/>
  <c r="J274" i="13"/>
  <c r="AA273" i="13"/>
  <c r="T273" i="13"/>
  <c r="Q273" i="13"/>
  <c r="N273" i="13"/>
  <c r="L273" i="13"/>
  <c r="J273" i="13"/>
  <c r="AA272" i="13"/>
  <c r="T272" i="13"/>
  <c r="Q272" i="13"/>
  <c r="N272" i="13"/>
  <c r="L272" i="13"/>
  <c r="J272" i="13"/>
  <c r="AA271" i="13"/>
  <c r="T271" i="13"/>
  <c r="Q271" i="13"/>
  <c r="N271" i="13"/>
  <c r="L271" i="13"/>
  <c r="J271" i="13"/>
  <c r="AA270" i="13"/>
  <c r="T270" i="13"/>
  <c r="Q270" i="13"/>
  <c r="N270" i="13"/>
  <c r="L270" i="13"/>
  <c r="J270" i="13"/>
  <c r="AA269" i="13"/>
  <c r="T269" i="13"/>
  <c r="Q269" i="13"/>
  <c r="N269" i="13"/>
  <c r="L269" i="13"/>
  <c r="J269" i="13"/>
  <c r="AA268" i="13"/>
  <c r="T268" i="13"/>
  <c r="Q268" i="13"/>
  <c r="N268" i="13"/>
  <c r="L268" i="13"/>
  <c r="J268" i="13"/>
  <c r="AA267" i="13"/>
  <c r="T267" i="13"/>
  <c r="Q267" i="13"/>
  <c r="N267" i="13"/>
  <c r="L267" i="13"/>
  <c r="J267" i="13"/>
  <c r="AA266" i="13"/>
  <c r="T266" i="13"/>
  <c r="Q266" i="13"/>
  <c r="N266" i="13"/>
  <c r="L266" i="13"/>
  <c r="J266" i="13"/>
  <c r="AA265" i="13"/>
  <c r="T265" i="13"/>
  <c r="Q265" i="13"/>
  <c r="N265" i="13"/>
  <c r="L265" i="13"/>
  <c r="J265" i="13"/>
  <c r="AA264" i="13"/>
  <c r="T264" i="13"/>
  <c r="Q264" i="13"/>
  <c r="N264" i="13"/>
  <c r="L264" i="13"/>
  <c r="J264" i="13"/>
  <c r="AA263" i="13"/>
  <c r="T263" i="13"/>
  <c r="Q263" i="13"/>
  <c r="N263" i="13"/>
  <c r="L263" i="13"/>
  <c r="J263" i="13"/>
  <c r="AA262" i="13"/>
  <c r="T262" i="13"/>
  <c r="Q262" i="13"/>
  <c r="N262" i="13"/>
  <c r="L262" i="13"/>
  <c r="J262" i="13"/>
  <c r="AA261" i="13"/>
  <c r="T261" i="13"/>
  <c r="Q261" i="13"/>
  <c r="N261" i="13"/>
  <c r="L261" i="13"/>
  <c r="J261" i="13"/>
  <c r="AA260" i="13"/>
  <c r="T260" i="13"/>
  <c r="Q260" i="13"/>
  <c r="N260" i="13"/>
  <c r="L260" i="13"/>
  <c r="J260" i="13"/>
  <c r="AA259" i="13"/>
  <c r="T259" i="13"/>
  <c r="Q259" i="13"/>
  <c r="N259" i="13"/>
  <c r="L259" i="13"/>
  <c r="J259" i="13"/>
  <c r="AA258" i="13"/>
  <c r="T258" i="13"/>
  <c r="Q258" i="13"/>
  <c r="N258" i="13"/>
  <c r="L258" i="13"/>
  <c r="J258" i="13"/>
  <c r="AA257" i="13"/>
  <c r="T257" i="13"/>
  <c r="Q257" i="13"/>
  <c r="N257" i="13"/>
  <c r="L257" i="13"/>
  <c r="J257" i="13"/>
  <c r="AA256" i="13"/>
  <c r="T256" i="13"/>
  <c r="Q256" i="13"/>
  <c r="N256" i="13"/>
  <c r="L256" i="13"/>
  <c r="J256" i="13"/>
  <c r="AA255" i="13"/>
  <c r="T255" i="13"/>
  <c r="Q255" i="13"/>
  <c r="N255" i="13"/>
  <c r="L255" i="13"/>
  <c r="J255" i="13"/>
  <c r="AA254" i="13"/>
  <c r="T254" i="13"/>
  <c r="Q254" i="13"/>
  <c r="N254" i="13"/>
  <c r="L254" i="13"/>
  <c r="J254" i="13"/>
  <c r="AA253" i="13"/>
  <c r="T253" i="13"/>
  <c r="Q253" i="13"/>
  <c r="N253" i="13"/>
  <c r="L253" i="13"/>
  <c r="J253" i="13"/>
  <c r="AA252" i="13"/>
  <c r="T252" i="13"/>
  <c r="Q252" i="13"/>
  <c r="N252" i="13"/>
  <c r="L252" i="13"/>
  <c r="J252" i="13"/>
  <c r="AA251" i="13"/>
  <c r="T251" i="13"/>
  <c r="Q251" i="13"/>
  <c r="N251" i="13"/>
  <c r="L251" i="13"/>
  <c r="J251" i="13"/>
  <c r="AA250" i="13"/>
  <c r="T250" i="13"/>
  <c r="Q250" i="13"/>
  <c r="N250" i="13"/>
  <c r="L250" i="13"/>
  <c r="J250" i="13"/>
  <c r="AA249" i="13"/>
  <c r="T249" i="13"/>
  <c r="Q249" i="13"/>
  <c r="N249" i="13"/>
  <c r="L249" i="13"/>
  <c r="J249" i="13"/>
  <c r="AA248" i="13"/>
  <c r="T248" i="13"/>
  <c r="Q248" i="13"/>
  <c r="N248" i="13"/>
  <c r="L248" i="13"/>
  <c r="J248" i="13"/>
  <c r="AA247" i="13"/>
  <c r="T247" i="13"/>
  <c r="Q247" i="13"/>
  <c r="N247" i="13"/>
  <c r="L247" i="13"/>
  <c r="J247" i="13"/>
  <c r="AA246" i="13"/>
  <c r="T246" i="13"/>
  <c r="Q246" i="13"/>
  <c r="N246" i="13"/>
  <c r="L246" i="13"/>
  <c r="J246" i="13"/>
  <c r="AA245" i="13"/>
  <c r="T245" i="13"/>
  <c r="Q245" i="13"/>
  <c r="N245" i="13"/>
  <c r="L245" i="13"/>
  <c r="J245" i="13"/>
  <c r="AA244" i="13"/>
  <c r="T244" i="13"/>
  <c r="Q244" i="13"/>
  <c r="N244" i="13"/>
  <c r="L244" i="13"/>
  <c r="J244" i="13"/>
  <c r="AA243" i="13"/>
  <c r="T243" i="13"/>
  <c r="Q243" i="13"/>
  <c r="N243" i="13"/>
  <c r="L243" i="13"/>
  <c r="J243" i="13"/>
  <c r="AA242" i="13"/>
  <c r="T242" i="13"/>
  <c r="Q242" i="13"/>
  <c r="N242" i="13"/>
  <c r="L242" i="13"/>
  <c r="J242" i="13"/>
  <c r="AA241" i="13"/>
  <c r="T241" i="13"/>
  <c r="Q241" i="13"/>
  <c r="N241" i="13"/>
  <c r="L241" i="13"/>
  <c r="J241" i="13"/>
  <c r="AA240" i="13"/>
  <c r="T240" i="13"/>
  <c r="Q240" i="13"/>
  <c r="N240" i="13"/>
  <c r="L240" i="13"/>
  <c r="J240" i="13"/>
  <c r="AA239" i="13"/>
  <c r="T239" i="13"/>
  <c r="Q239" i="13"/>
  <c r="N239" i="13"/>
  <c r="L239" i="13"/>
  <c r="J239" i="13"/>
  <c r="AA238" i="13"/>
  <c r="T238" i="13"/>
  <c r="Q238" i="13"/>
  <c r="N238" i="13"/>
  <c r="L238" i="13"/>
  <c r="J238" i="13"/>
  <c r="AA237" i="13"/>
  <c r="T237" i="13"/>
  <c r="Q237" i="13"/>
  <c r="N237" i="13"/>
  <c r="L237" i="13"/>
  <c r="J237" i="13"/>
  <c r="AA236" i="13"/>
  <c r="T236" i="13"/>
  <c r="Q236" i="13"/>
  <c r="N236" i="13"/>
  <c r="L236" i="13"/>
  <c r="J236" i="13"/>
  <c r="AA235" i="13"/>
  <c r="T235" i="13"/>
  <c r="Q235" i="13"/>
  <c r="N235" i="13"/>
  <c r="L235" i="13"/>
  <c r="J235" i="13"/>
  <c r="AA234" i="13"/>
  <c r="T234" i="13"/>
  <c r="Q234" i="13"/>
  <c r="N234" i="13"/>
  <c r="L234" i="13"/>
  <c r="J234" i="13"/>
  <c r="AA233" i="13"/>
  <c r="T233" i="13"/>
  <c r="Q233" i="13"/>
  <c r="N233" i="13"/>
  <c r="L233" i="13"/>
  <c r="J233" i="13"/>
  <c r="AA232" i="13"/>
  <c r="T232" i="13"/>
  <c r="Q232" i="13"/>
  <c r="N232" i="13"/>
  <c r="L232" i="13"/>
  <c r="J232" i="13"/>
  <c r="AA231" i="13"/>
  <c r="T231" i="13"/>
  <c r="Q231" i="13"/>
  <c r="N231" i="13"/>
  <c r="L231" i="13"/>
  <c r="J231" i="13"/>
  <c r="AA230" i="13"/>
  <c r="T230" i="13"/>
  <c r="Q230" i="13"/>
  <c r="N230" i="13"/>
  <c r="L230" i="13"/>
  <c r="J230" i="13"/>
  <c r="AA229" i="13"/>
  <c r="T229" i="13"/>
  <c r="Q229" i="13"/>
  <c r="N229" i="13"/>
  <c r="L229" i="13"/>
  <c r="J229" i="13"/>
  <c r="AA228" i="13"/>
  <c r="T228" i="13"/>
  <c r="Q228" i="13"/>
  <c r="N228" i="13"/>
  <c r="L228" i="13"/>
  <c r="J228" i="13"/>
  <c r="AA227" i="13"/>
  <c r="T227" i="13"/>
  <c r="Q227" i="13"/>
  <c r="N227" i="13"/>
  <c r="L227" i="13"/>
  <c r="J227" i="13"/>
  <c r="AA226" i="13"/>
  <c r="T226" i="13"/>
  <c r="Q226" i="13"/>
  <c r="N226" i="13"/>
  <c r="L226" i="13"/>
  <c r="J226" i="13"/>
  <c r="AA225" i="13"/>
  <c r="T225" i="13"/>
  <c r="Q225" i="13"/>
  <c r="N225" i="13"/>
  <c r="L225" i="13"/>
  <c r="J225" i="13"/>
  <c r="AA224" i="13"/>
  <c r="T224" i="13"/>
  <c r="Q224" i="13"/>
  <c r="N224" i="13"/>
  <c r="L224" i="13"/>
  <c r="J224" i="13"/>
  <c r="AA223" i="13"/>
  <c r="T223" i="13"/>
  <c r="Q223" i="13"/>
  <c r="N223" i="13"/>
  <c r="L223" i="13"/>
  <c r="J223" i="13"/>
  <c r="AA222" i="13"/>
  <c r="T222" i="13"/>
  <c r="Q222" i="13"/>
  <c r="N222" i="13"/>
  <c r="L222" i="13"/>
  <c r="J222" i="13"/>
  <c r="AA221" i="13"/>
  <c r="T221" i="13"/>
  <c r="Q221" i="13"/>
  <c r="N221" i="13"/>
  <c r="L221" i="13"/>
  <c r="J221" i="13"/>
  <c r="AA220" i="13"/>
  <c r="T220" i="13"/>
  <c r="Q220" i="13"/>
  <c r="N220" i="13"/>
  <c r="L220" i="13"/>
  <c r="J220" i="13"/>
  <c r="AA219" i="13"/>
  <c r="T219" i="13"/>
  <c r="Q219" i="13"/>
  <c r="N219" i="13"/>
  <c r="L219" i="13"/>
  <c r="J219" i="13"/>
  <c r="AA218" i="13"/>
  <c r="T218" i="13"/>
  <c r="Q218" i="13"/>
  <c r="N218" i="13"/>
  <c r="L218" i="13"/>
  <c r="J218" i="13"/>
  <c r="AA217" i="13"/>
  <c r="T217" i="13"/>
  <c r="Q217" i="13"/>
  <c r="N217" i="13"/>
  <c r="L217" i="13"/>
  <c r="J217" i="13"/>
  <c r="AA216" i="13"/>
  <c r="T216" i="13"/>
  <c r="Q216" i="13"/>
  <c r="N216" i="13"/>
  <c r="L216" i="13"/>
  <c r="J216" i="13"/>
  <c r="AA215" i="13"/>
  <c r="T215" i="13"/>
  <c r="Q215" i="13"/>
  <c r="N215" i="13"/>
  <c r="L215" i="13"/>
  <c r="J215" i="13"/>
  <c r="AA214" i="13"/>
  <c r="T214" i="13"/>
  <c r="Q214" i="13"/>
  <c r="N214" i="13"/>
  <c r="L214" i="13"/>
  <c r="J214" i="13"/>
  <c r="AA213" i="13"/>
  <c r="T213" i="13"/>
  <c r="Q213" i="13"/>
  <c r="N213" i="13"/>
  <c r="L213" i="13"/>
  <c r="J213" i="13"/>
  <c r="AA212" i="13"/>
  <c r="T212" i="13"/>
  <c r="Q212" i="13"/>
  <c r="N212" i="13"/>
  <c r="L212" i="13"/>
  <c r="J212" i="13"/>
  <c r="AA211" i="13"/>
  <c r="T211" i="13"/>
  <c r="Q211" i="13"/>
  <c r="N211" i="13"/>
  <c r="L211" i="13"/>
  <c r="J211" i="13"/>
  <c r="AA210" i="13"/>
  <c r="T210" i="13"/>
  <c r="Q210" i="13"/>
  <c r="N210" i="13"/>
  <c r="L210" i="13"/>
  <c r="J210" i="13"/>
  <c r="AA209" i="13"/>
  <c r="T209" i="13"/>
  <c r="Q209" i="13"/>
  <c r="N209" i="13"/>
  <c r="L209" i="13"/>
  <c r="J209" i="13"/>
  <c r="AA208" i="13"/>
  <c r="T208" i="13"/>
  <c r="Q208" i="13"/>
  <c r="N208" i="13"/>
  <c r="L208" i="13"/>
  <c r="J208" i="13"/>
  <c r="AA207" i="13"/>
  <c r="T207" i="13"/>
  <c r="Q207" i="13"/>
  <c r="N207" i="13"/>
  <c r="L207" i="13"/>
  <c r="J207" i="13"/>
  <c r="AA206" i="13"/>
  <c r="T206" i="13"/>
  <c r="Q206" i="13"/>
  <c r="N206" i="13"/>
  <c r="L206" i="13"/>
  <c r="J206" i="13"/>
  <c r="AA205" i="13"/>
  <c r="T205" i="13"/>
  <c r="Q205" i="13"/>
  <c r="N205" i="13"/>
  <c r="L205" i="13"/>
  <c r="J205" i="13"/>
  <c r="AA204" i="13"/>
  <c r="T204" i="13"/>
  <c r="Q204" i="13"/>
  <c r="N204" i="13"/>
  <c r="L204" i="13"/>
  <c r="J204" i="13"/>
  <c r="AA203" i="13"/>
  <c r="T203" i="13"/>
  <c r="Q203" i="13"/>
  <c r="N203" i="13"/>
  <c r="L203" i="13"/>
  <c r="J203" i="13"/>
  <c r="AA202" i="13"/>
  <c r="T202" i="13"/>
  <c r="Q202" i="13"/>
  <c r="N202" i="13"/>
  <c r="L202" i="13"/>
  <c r="J202" i="13"/>
  <c r="AA201" i="13"/>
  <c r="T201" i="13"/>
  <c r="Q201" i="13"/>
  <c r="N201" i="13"/>
  <c r="L201" i="13"/>
  <c r="J201" i="13"/>
  <c r="AA200" i="13"/>
  <c r="T200" i="13"/>
  <c r="Q200" i="13"/>
  <c r="N200" i="13"/>
  <c r="L200" i="13"/>
  <c r="J200" i="13"/>
  <c r="AA199" i="13"/>
  <c r="T199" i="13"/>
  <c r="Q199" i="13"/>
  <c r="N199" i="13"/>
  <c r="L199" i="13"/>
  <c r="J199" i="13"/>
  <c r="AA198" i="13"/>
  <c r="T198" i="13"/>
  <c r="Q198" i="13"/>
  <c r="N198" i="13"/>
  <c r="L198" i="13"/>
  <c r="J198" i="13"/>
  <c r="AA197" i="13"/>
  <c r="T197" i="13"/>
  <c r="Q197" i="13"/>
  <c r="N197" i="13"/>
  <c r="L197" i="13"/>
  <c r="J197" i="13"/>
  <c r="AA196" i="13"/>
  <c r="T196" i="13"/>
  <c r="Q196" i="13"/>
  <c r="N196" i="13"/>
  <c r="L196" i="13"/>
  <c r="J196" i="13"/>
  <c r="AA195" i="13"/>
  <c r="T195" i="13"/>
  <c r="Q195" i="13"/>
  <c r="N195" i="13"/>
  <c r="L195" i="13"/>
  <c r="J195" i="13"/>
  <c r="AA194" i="13"/>
  <c r="T194" i="13"/>
  <c r="Q194" i="13"/>
  <c r="N194" i="13"/>
  <c r="L194" i="13"/>
  <c r="J194" i="13"/>
  <c r="AA193" i="13"/>
  <c r="T193" i="13"/>
  <c r="Q193" i="13"/>
  <c r="N193" i="13"/>
  <c r="L193" i="13"/>
  <c r="J193" i="13"/>
  <c r="AA192" i="13"/>
  <c r="T192" i="13"/>
  <c r="Q192" i="13"/>
  <c r="N192" i="13"/>
  <c r="L192" i="13"/>
  <c r="J192" i="13"/>
  <c r="AA191" i="13"/>
  <c r="T191" i="13"/>
  <c r="Q191" i="13"/>
  <c r="N191" i="13"/>
  <c r="L191" i="13"/>
  <c r="J191" i="13"/>
  <c r="AA190" i="13"/>
  <c r="T190" i="13"/>
  <c r="Q190" i="13"/>
  <c r="N190" i="13"/>
  <c r="L190" i="13"/>
  <c r="J190" i="13"/>
  <c r="AA189" i="13"/>
  <c r="T189" i="13"/>
  <c r="Q189" i="13"/>
  <c r="N189" i="13"/>
  <c r="L189" i="13"/>
  <c r="J189" i="13"/>
  <c r="AA188" i="13"/>
  <c r="T188" i="13"/>
  <c r="Q188" i="13"/>
  <c r="N188" i="13"/>
  <c r="L188" i="13"/>
  <c r="J188" i="13"/>
  <c r="AA187" i="13"/>
  <c r="T187" i="13"/>
  <c r="Q187" i="13"/>
  <c r="N187" i="13"/>
  <c r="L187" i="13"/>
  <c r="J187" i="13"/>
  <c r="AA186" i="13"/>
  <c r="T186" i="13"/>
  <c r="Q186" i="13"/>
  <c r="N186" i="13"/>
  <c r="L186" i="13"/>
  <c r="J186" i="13"/>
  <c r="AA185" i="13"/>
  <c r="T185" i="13"/>
  <c r="Q185" i="13"/>
  <c r="N185" i="13"/>
  <c r="L185" i="13"/>
  <c r="J185" i="13"/>
  <c r="AA184" i="13"/>
  <c r="T184" i="13"/>
  <c r="Q184" i="13"/>
  <c r="N184" i="13"/>
  <c r="L184" i="13"/>
  <c r="J184" i="13"/>
  <c r="AA183" i="13"/>
  <c r="T183" i="13"/>
  <c r="Q183" i="13"/>
  <c r="N183" i="13"/>
  <c r="L183" i="13"/>
  <c r="J183" i="13"/>
  <c r="AA182" i="13"/>
  <c r="T182" i="13"/>
  <c r="Q182" i="13"/>
  <c r="N182" i="13"/>
  <c r="L182" i="13"/>
  <c r="J182" i="13"/>
  <c r="AA181" i="13"/>
  <c r="T181" i="13"/>
  <c r="Q181" i="13"/>
  <c r="N181" i="13"/>
  <c r="L181" i="13"/>
  <c r="J181" i="13"/>
  <c r="AA180" i="13"/>
  <c r="T180" i="13"/>
  <c r="Q180" i="13"/>
  <c r="N180" i="13"/>
  <c r="L180" i="13"/>
  <c r="J180" i="13"/>
  <c r="AA179" i="13"/>
  <c r="T179" i="13"/>
  <c r="Q179" i="13"/>
  <c r="N179" i="13"/>
  <c r="L179" i="13"/>
  <c r="J179" i="13"/>
  <c r="AA178" i="13"/>
  <c r="T178" i="13"/>
  <c r="Q178" i="13"/>
  <c r="N178" i="13"/>
  <c r="L178" i="13"/>
  <c r="J178" i="13"/>
  <c r="AA177" i="13"/>
  <c r="T177" i="13"/>
  <c r="Q177" i="13"/>
  <c r="N177" i="13"/>
  <c r="L177" i="13"/>
  <c r="J177" i="13"/>
  <c r="AA176" i="13"/>
  <c r="T176" i="13"/>
  <c r="Q176" i="13"/>
  <c r="N176" i="13"/>
  <c r="L176" i="13"/>
  <c r="J176" i="13"/>
  <c r="AA175" i="13"/>
  <c r="T175" i="13"/>
  <c r="Q175" i="13"/>
  <c r="N175" i="13"/>
  <c r="L175" i="13"/>
  <c r="J175" i="13"/>
  <c r="AA174" i="13"/>
  <c r="T174" i="13"/>
  <c r="Q174" i="13"/>
  <c r="N174" i="13"/>
  <c r="L174" i="13"/>
  <c r="J174" i="13"/>
  <c r="AA173" i="13"/>
  <c r="T173" i="13"/>
  <c r="Q173" i="13"/>
  <c r="N173" i="13"/>
  <c r="L173" i="13"/>
  <c r="J173" i="13"/>
  <c r="AA172" i="13"/>
  <c r="T172" i="13"/>
  <c r="Q172" i="13"/>
  <c r="N172" i="13"/>
  <c r="L172" i="13"/>
  <c r="J172" i="13"/>
  <c r="AA171" i="13"/>
  <c r="T171" i="13"/>
  <c r="Q171" i="13"/>
  <c r="N171" i="13"/>
  <c r="L171" i="13"/>
  <c r="J171" i="13"/>
  <c r="AA170" i="13"/>
  <c r="T170" i="13"/>
  <c r="Q170" i="13"/>
  <c r="N170" i="13"/>
  <c r="L170" i="13"/>
  <c r="J170" i="13"/>
  <c r="AA169" i="13"/>
  <c r="T169" i="13"/>
  <c r="Q169" i="13"/>
  <c r="N169" i="13"/>
  <c r="L169" i="13"/>
  <c r="J169" i="13"/>
  <c r="AA168" i="13"/>
  <c r="T168" i="13"/>
  <c r="Q168" i="13"/>
  <c r="N168" i="13"/>
  <c r="L168" i="13"/>
  <c r="J168" i="13"/>
  <c r="AA167" i="13"/>
  <c r="T167" i="13"/>
  <c r="Q167" i="13"/>
  <c r="N167" i="13"/>
  <c r="L167" i="13"/>
  <c r="J167" i="13"/>
  <c r="AA166" i="13"/>
  <c r="T166" i="13"/>
  <c r="Q166" i="13"/>
  <c r="N166" i="13"/>
  <c r="L166" i="13"/>
  <c r="J166" i="13"/>
  <c r="AA165" i="13"/>
  <c r="T165" i="13"/>
  <c r="Q165" i="13"/>
  <c r="N165" i="13"/>
  <c r="L165" i="13"/>
  <c r="J165" i="13"/>
  <c r="AA164" i="13"/>
  <c r="T164" i="13"/>
  <c r="Q164" i="13"/>
  <c r="N164" i="13"/>
  <c r="L164" i="13"/>
  <c r="J164" i="13"/>
  <c r="AA163" i="13"/>
  <c r="T163" i="13"/>
  <c r="Q163" i="13"/>
  <c r="N163" i="13"/>
  <c r="L163" i="13"/>
  <c r="J163" i="13"/>
  <c r="AA162" i="13"/>
  <c r="T162" i="13"/>
  <c r="Q162" i="13"/>
  <c r="N162" i="13"/>
  <c r="L162" i="13"/>
  <c r="J162" i="13"/>
  <c r="AA161" i="13"/>
  <c r="T161" i="13"/>
  <c r="Q161" i="13"/>
  <c r="N161" i="13"/>
  <c r="L161" i="13"/>
  <c r="J161" i="13"/>
  <c r="AA160" i="13"/>
  <c r="T160" i="13"/>
  <c r="Q160" i="13"/>
  <c r="N160" i="13"/>
  <c r="L160" i="13"/>
  <c r="J160" i="13"/>
  <c r="AA159" i="13"/>
  <c r="T159" i="13"/>
  <c r="Q159" i="13"/>
  <c r="N159" i="13"/>
  <c r="L159" i="13"/>
  <c r="J159" i="13"/>
  <c r="AA158" i="13"/>
  <c r="T158" i="13"/>
  <c r="Q158" i="13"/>
  <c r="N158" i="13"/>
  <c r="L158" i="13"/>
  <c r="J158" i="13"/>
  <c r="AA157" i="13"/>
  <c r="T157" i="13"/>
  <c r="Q157" i="13"/>
  <c r="N157" i="13"/>
  <c r="L157" i="13"/>
  <c r="J157" i="13"/>
  <c r="AA156" i="13"/>
  <c r="T156" i="13"/>
  <c r="Q156" i="13"/>
  <c r="N156" i="13"/>
  <c r="L156" i="13"/>
  <c r="J156" i="13"/>
  <c r="AA155" i="13"/>
  <c r="T155" i="13"/>
  <c r="Q155" i="13"/>
  <c r="N155" i="13"/>
  <c r="L155" i="13"/>
  <c r="J155" i="13"/>
  <c r="AA154" i="13"/>
  <c r="T154" i="13"/>
  <c r="Q154" i="13"/>
  <c r="N154" i="13"/>
  <c r="L154" i="13"/>
  <c r="J154" i="13"/>
  <c r="AA153" i="13"/>
  <c r="T153" i="13"/>
  <c r="Q153" i="13"/>
  <c r="N153" i="13"/>
  <c r="L153" i="13"/>
  <c r="J153" i="13"/>
  <c r="AA152" i="13"/>
  <c r="T152" i="13"/>
  <c r="Q152" i="13"/>
  <c r="N152" i="13"/>
  <c r="L152" i="13"/>
  <c r="J152" i="13"/>
  <c r="AA151" i="13"/>
  <c r="T151" i="13"/>
  <c r="Q151" i="13"/>
  <c r="N151" i="13"/>
  <c r="L151" i="13"/>
  <c r="J151" i="13"/>
  <c r="AA150" i="13"/>
  <c r="T150" i="13"/>
  <c r="Q150" i="13"/>
  <c r="N150" i="13"/>
  <c r="L150" i="13"/>
  <c r="J150" i="13"/>
  <c r="AA149" i="13"/>
  <c r="T149" i="13"/>
  <c r="Q149" i="13"/>
  <c r="N149" i="13"/>
  <c r="L149" i="13"/>
  <c r="J149" i="13"/>
  <c r="AA148" i="13"/>
  <c r="T148" i="13"/>
  <c r="Q148" i="13"/>
  <c r="N148" i="13"/>
  <c r="L148" i="13"/>
  <c r="J148" i="13"/>
  <c r="AA147" i="13"/>
  <c r="T147" i="13"/>
  <c r="Q147" i="13"/>
  <c r="N147" i="13"/>
  <c r="L147" i="13"/>
  <c r="J147" i="13"/>
  <c r="AA146" i="13"/>
  <c r="T146" i="13"/>
  <c r="Q146" i="13"/>
  <c r="N146" i="13"/>
  <c r="L146" i="13"/>
  <c r="J146" i="13"/>
  <c r="AA145" i="13"/>
  <c r="T145" i="13"/>
  <c r="Q145" i="13"/>
  <c r="N145" i="13"/>
  <c r="L145" i="13"/>
  <c r="J145" i="13"/>
  <c r="AA144" i="13"/>
  <c r="T144" i="13"/>
  <c r="Q144" i="13"/>
  <c r="N144" i="13"/>
  <c r="L144" i="13"/>
  <c r="J144" i="13"/>
  <c r="AA143" i="13"/>
  <c r="T143" i="13"/>
  <c r="Q143" i="13"/>
  <c r="N143" i="13"/>
  <c r="L143" i="13"/>
  <c r="J143" i="13"/>
  <c r="AA142" i="13"/>
  <c r="T142" i="13"/>
  <c r="Q142" i="13"/>
  <c r="N142" i="13"/>
  <c r="L142" i="13"/>
  <c r="J142" i="13"/>
  <c r="AA141" i="13"/>
  <c r="T141" i="13"/>
  <c r="Q141" i="13"/>
  <c r="N141" i="13"/>
  <c r="L141" i="13"/>
  <c r="J141" i="13"/>
  <c r="AA140" i="13"/>
  <c r="T140" i="13"/>
  <c r="Q140" i="13"/>
  <c r="N140" i="13"/>
  <c r="L140" i="13"/>
  <c r="J140" i="13"/>
  <c r="AA139" i="13"/>
  <c r="T139" i="13"/>
  <c r="Q139" i="13"/>
  <c r="N139" i="13"/>
  <c r="L139" i="13"/>
  <c r="J139" i="13"/>
  <c r="AA138" i="13"/>
  <c r="T138" i="13"/>
  <c r="Q138" i="13"/>
  <c r="N138" i="13"/>
  <c r="L138" i="13"/>
  <c r="J138" i="13"/>
  <c r="AA137" i="13"/>
  <c r="T137" i="13"/>
  <c r="Q137" i="13"/>
  <c r="N137" i="13"/>
  <c r="L137" i="13"/>
  <c r="J137" i="13"/>
  <c r="AA136" i="13"/>
  <c r="T136" i="13"/>
  <c r="Q136" i="13"/>
  <c r="N136" i="13"/>
  <c r="L136" i="13"/>
  <c r="J136" i="13"/>
  <c r="AA135" i="13"/>
  <c r="T135" i="13"/>
  <c r="Q135" i="13"/>
  <c r="N135" i="13"/>
  <c r="L135" i="13"/>
  <c r="J135" i="13"/>
  <c r="AA134" i="13"/>
  <c r="T134" i="13"/>
  <c r="Q134" i="13"/>
  <c r="N134" i="13"/>
  <c r="L134" i="13"/>
  <c r="J134" i="13"/>
  <c r="AA133" i="13"/>
  <c r="T133" i="13"/>
  <c r="Q133" i="13"/>
  <c r="N133" i="13"/>
  <c r="L133" i="13"/>
  <c r="J133" i="13"/>
  <c r="AA132" i="13"/>
  <c r="T132" i="13"/>
  <c r="Q132" i="13"/>
  <c r="N132" i="13"/>
  <c r="L132" i="13"/>
  <c r="J132" i="13"/>
  <c r="AA131" i="13"/>
  <c r="T131" i="13"/>
  <c r="Q131" i="13"/>
  <c r="N131" i="13"/>
  <c r="L131" i="13"/>
  <c r="J131" i="13"/>
  <c r="AA130" i="13"/>
  <c r="T130" i="13"/>
  <c r="Q130" i="13"/>
  <c r="N130" i="13"/>
  <c r="L130" i="13"/>
  <c r="J130" i="13"/>
  <c r="AA129" i="13"/>
  <c r="T129" i="13"/>
  <c r="Q129" i="13"/>
  <c r="N129" i="13"/>
  <c r="L129" i="13"/>
  <c r="J129" i="13"/>
  <c r="AA128" i="13"/>
  <c r="T128" i="13"/>
  <c r="Q128" i="13"/>
  <c r="N128" i="13"/>
  <c r="L128" i="13"/>
  <c r="J128" i="13"/>
  <c r="AA127" i="13"/>
  <c r="T127" i="13"/>
  <c r="Q127" i="13"/>
  <c r="N127" i="13"/>
  <c r="L127" i="13"/>
  <c r="J127" i="13"/>
  <c r="AA126" i="13"/>
  <c r="T126" i="13"/>
  <c r="Q126" i="13"/>
  <c r="N126" i="13"/>
  <c r="L126" i="13"/>
  <c r="J126" i="13"/>
  <c r="AA125" i="13"/>
  <c r="T125" i="13"/>
  <c r="Q125" i="13"/>
  <c r="N125" i="13"/>
  <c r="L125" i="13"/>
  <c r="J125" i="13"/>
  <c r="AA124" i="13"/>
  <c r="T124" i="13"/>
  <c r="Q124" i="13"/>
  <c r="N124" i="13"/>
  <c r="L124" i="13"/>
  <c r="J124" i="13"/>
  <c r="AA123" i="13"/>
  <c r="T123" i="13"/>
  <c r="Q123" i="13"/>
  <c r="N123" i="13"/>
  <c r="L123" i="13"/>
  <c r="J123" i="13"/>
  <c r="AA122" i="13"/>
  <c r="T122" i="13"/>
  <c r="Q122" i="13"/>
  <c r="N122" i="13"/>
  <c r="L122" i="13"/>
  <c r="J122" i="13"/>
  <c r="AA121" i="13"/>
  <c r="T121" i="13"/>
  <c r="Q121" i="13"/>
  <c r="N121" i="13"/>
  <c r="L121" i="13"/>
  <c r="J121" i="13"/>
  <c r="AA120" i="13"/>
  <c r="T120" i="13"/>
  <c r="Q120" i="13"/>
  <c r="N120" i="13"/>
  <c r="L120" i="13"/>
  <c r="J120" i="13"/>
  <c r="AA119" i="13"/>
  <c r="T119" i="13"/>
  <c r="Q119" i="13"/>
  <c r="N119" i="13"/>
  <c r="L119" i="13"/>
  <c r="J119" i="13"/>
  <c r="AA118" i="13"/>
  <c r="T118" i="13"/>
  <c r="Q118" i="13"/>
  <c r="N118" i="13"/>
  <c r="L118" i="13"/>
  <c r="J118" i="13"/>
  <c r="AA117" i="13"/>
  <c r="T117" i="13"/>
  <c r="Q117" i="13"/>
  <c r="N117" i="13"/>
  <c r="L117" i="13"/>
  <c r="J117" i="13"/>
  <c r="AA116" i="13"/>
  <c r="T116" i="13"/>
  <c r="Q116" i="13"/>
  <c r="N116" i="13"/>
  <c r="L116" i="13"/>
  <c r="J116" i="13"/>
  <c r="AA115" i="13"/>
  <c r="T115" i="13"/>
  <c r="Q115" i="13"/>
  <c r="N115" i="13"/>
  <c r="L115" i="13"/>
  <c r="J115" i="13"/>
  <c r="AA114" i="13"/>
  <c r="T114" i="13"/>
  <c r="Q114" i="13"/>
  <c r="N114" i="13"/>
  <c r="L114" i="13"/>
  <c r="J114" i="13"/>
  <c r="AA113" i="13"/>
  <c r="T113" i="13"/>
  <c r="Q113" i="13"/>
  <c r="N113" i="13"/>
  <c r="L113" i="13"/>
  <c r="J113" i="13"/>
  <c r="AA112" i="13"/>
  <c r="T112" i="13"/>
  <c r="Q112" i="13"/>
  <c r="N112" i="13"/>
  <c r="L112" i="13"/>
  <c r="J112" i="13"/>
  <c r="AA111" i="13"/>
  <c r="T111" i="13"/>
  <c r="Q111" i="13"/>
  <c r="N111" i="13"/>
  <c r="L111" i="13"/>
  <c r="J111" i="13"/>
  <c r="AA110" i="13"/>
  <c r="T110" i="13"/>
  <c r="Q110" i="13"/>
  <c r="N110" i="13"/>
  <c r="L110" i="13"/>
  <c r="J110" i="13"/>
  <c r="AA109" i="13"/>
  <c r="T109" i="13"/>
  <c r="Q109" i="13"/>
  <c r="N109" i="13"/>
  <c r="L109" i="13"/>
  <c r="J109" i="13"/>
  <c r="AA108" i="13"/>
  <c r="T108" i="13"/>
  <c r="Q108" i="13"/>
  <c r="N108" i="13"/>
  <c r="L108" i="13"/>
  <c r="J108" i="13"/>
  <c r="AA107" i="13"/>
  <c r="T107" i="13"/>
  <c r="Q107" i="13"/>
  <c r="N107" i="13"/>
  <c r="L107" i="13"/>
  <c r="J107" i="13"/>
  <c r="AA106" i="13"/>
  <c r="T106" i="13"/>
  <c r="Q106" i="13"/>
  <c r="N106" i="13"/>
  <c r="L106" i="13"/>
  <c r="J106" i="13"/>
  <c r="AA105" i="13"/>
  <c r="T105" i="13"/>
  <c r="Q105" i="13"/>
  <c r="N105" i="13"/>
  <c r="L105" i="13"/>
  <c r="J105" i="13"/>
  <c r="AA104" i="13"/>
  <c r="T104" i="13"/>
  <c r="Q104" i="13"/>
  <c r="N104" i="13"/>
  <c r="L104" i="13"/>
  <c r="J104" i="13"/>
  <c r="AA103" i="13"/>
  <c r="T103" i="13"/>
  <c r="Q103" i="13"/>
  <c r="N103" i="13"/>
  <c r="L103" i="13"/>
  <c r="J103" i="13"/>
  <c r="AA102" i="13"/>
  <c r="T102" i="13"/>
  <c r="Q102" i="13"/>
  <c r="N102" i="13"/>
  <c r="L102" i="13"/>
  <c r="J102" i="13"/>
  <c r="AA101" i="13"/>
  <c r="T101" i="13"/>
  <c r="Q101" i="13"/>
  <c r="N101" i="13"/>
  <c r="L101" i="13"/>
  <c r="J101" i="13"/>
  <c r="AA100" i="13"/>
  <c r="T100" i="13"/>
  <c r="Q100" i="13"/>
  <c r="N100" i="13"/>
  <c r="L100" i="13"/>
  <c r="J100" i="13"/>
  <c r="AA99" i="13"/>
  <c r="T99" i="13"/>
  <c r="Q99" i="13"/>
  <c r="N99" i="13"/>
  <c r="L99" i="13"/>
  <c r="J99" i="13"/>
  <c r="AA98" i="13"/>
  <c r="T98" i="13"/>
  <c r="Q98" i="13"/>
  <c r="N98" i="13"/>
  <c r="L98" i="13"/>
  <c r="J98" i="13"/>
  <c r="AA97" i="13"/>
  <c r="T97" i="13"/>
  <c r="Q97" i="13"/>
  <c r="N97" i="13"/>
  <c r="L97" i="13"/>
  <c r="J97" i="13"/>
  <c r="AA96" i="13"/>
  <c r="T96" i="13"/>
  <c r="Q96" i="13"/>
  <c r="N96" i="13"/>
  <c r="L96" i="13"/>
  <c r="J96" i="13"/>
  <c r="AA95" i="13"/>
  <c r="T95" i="13"/>
  <c r="Q95" i="13"/>
  <c r="N95" i="13"/>
  <c r="L95" i="13"/>
  <c r="J95" i="13"/>
  <c r="AA94" i="13"/>
  <c r="T94" i="13"/>
  <c r="Q94" i="13"/>
  <c r="N94" i="13"/>
  <c r="L94" i="13"/>
  <c r="J94" i="13"/>
  <c r="AA93" i="13"/>
  <c r="T93" i="13"/>
  <c r="Q93" i="13"/>
  <c r="N93" i="13"/>
  <c r="L93" i="13"/>
  <c r="J93" i="13"/>
  <c r="AA92" i="13"/>
  <c r="T92" i="13"/>
  <c r="Q92" i="13"/>
  <c r="N92" i="13"/>
  <c r="L92" i="13"/>
  <c r="J92" i="13"/>
  <c r="AA91" i="13"/>
  <c r="T91" i="13"/>
  <c r="Q91" i="13"/>
  <c r="N91" i="13"/>
  <c r="L91" i="13"/>
  <c r="J91" i="13"/>
  <c r="AA90" i="13"/>
  <c r="T90" i="13"/>
  <c r="Q90" i="13"/>
  <c r="N90" i="13"/>
  <c r="L90" i="13"/>
  <c r="J90" i="13"/>
  <c r="AA89" i="13"/>
  <c r="T89" i="13"/>
  <c r="Q89" i="13"/>
  <c r="N89" i="13"/>
  <c r="L89" i="13"/>
  <c r="J89" i="13"/>
  <c r="AA88" i="13"/>
  <c r="T88" i="13"/>
  <c r="Q88" i="13"/>
  <c r="N88" i="13"/>
  <c r="L88" i="13"/>
  <c r="J88" i="13"/>
  <c r="AA87" i="13"/>
  <c r="T87" i="13"/>
  <c r="Q87" i="13"/>
  <c r="N87" i="13"/>
  <c r="L87" i="13"/>
  <c r="J87" i="13"/>
  <c r="AA86" i="13"/>
  <c r="T86" i="13"/>
  <c r="Q86" i="13"/>
  <c r="N86" i="13"/>
  <c r="L86" i="13"/>
  <c r="J86" i="13"/>
  <c r="AA85" i="13"/>
  <c r="T85" i="13"/>
  <c r="Q85" i="13"/>
  <c r="N85" i="13"/>
  <c r="L85" i="13"/>
  <c r="J85" i="13"/>
  <c r="AA84" i="13"/>
  <c r="T84" i="13"/>
  <c r="Q84" i="13"/>
  <c r="N84" i="13"/>
  <c r="L84" i="13"/>
  <c r="J84" i="13"/>
  <c r="AA83" i="13"/>
  <c r="T83" i="13"/>
  <c r="Q83" i="13"/>
  <c r="N83" i="13"/>
  <c r="L83" i="13"/>
  <c r="J83" i="13"/>
  <c r="AA82" i="13"/>
  <c r="T82" i="13"/>
  <c r="Q82" i="13"/>
  <c r="N82" i="13"/>
  <c r="L82" i="13"/>
  <c r="J82" i="13"/>
  <c r="AA81" i="13"/>
  <c r="T81" i="13"/>
  <c r="Q81" i="13"/>
  <c r="N81" i="13"/>
  <c r="L81" i="13"/>
  <c r="J81" i="13"/>
  <c r="AA80" i="13"/>
  <c r="T80" i="13"/>
  <c r="Q80" i="13"/>
  <c r="N80" i="13"/>
  <c r="L80" i="13"/>
  <c r="J80" i="13"/>
  <c r="AA79" i="13"/>
  <c r="T79" i="13"/>
  <c r="Q79" i="13"/>
  <c r="N79" i="13"/>
  <c r="L79" i="13"/>
  <c r="J79" i="13"/>
  <c r="AA78" i="13"/>
  <c r="T78" i="13"/>
  <c r="Q78" i="13"/>
  <c r="N78" i="13"/>
  <c r="L78" i="13"/>
  <c r="J78" i="13"/>
  <c r="AA77" i="13"/>
  <c r="T77" i="13"/>
  <c r="Q77" i="13"/>
  <c r="N77" i="13"/>
  <c r="L77" i="13"/>
  <c r="J77" i="13"/>
  <c r="AA76" i="13"/>
  <c r="T76" i="13"/>
  <c r="Q76" i="13"/>
  <c r="N76" i="13"/>
  <c r="L76" i="13"/>
  <c r="J76" i="13"/>
  <c r="AA75" i="13"/>
  <c r="T75" i="13"/>
  <c r="Q75" i="13"/>
  <c r="N75" i="13"/>
  <c r="L75" i="13"/>
  <c r="J75" i="13"/>
  <c r="AA74" i="13"/>
  <c r="T74" i="13"/>
  <c r="Q74" i="13"/>
  <c r="N74" i="13"/>
  <c r="L74" i="13"/>
  <c r="J74" i="13"/>
  <c r="AA73" i="13"/>
  <c r="T73" i="13"/>
  <c r="Q73" i="13"/>
  <c r="N73" i="13"/>
  <c r="L73" i="13"/>
  <c r="J73" i="13"/>
  <c r="AA72" i="13"/>
  <c r="T72" i="13"/>
  <c r="Q72" i="13"/>
  <c r="N72" i="13"/>
  <c r="L72" i="13"/>
  <c r="J72" i="13"/>
  <c r="AA71" i="13"/>
  <c r="T71" i="13"/>
  <c r="Q71" i="13"/>
  <c r="N71" i="13"/>
  <c r="L71" i="13"/>
  <c r="J71" i="13"/>
  <c r="AA70" i="13"/>
  <c r="T70" i="13"/>
  <c r="Q70" i="13"/>
  <c r="N70" i="13"/>
  <c r="L70" i="13"/>
  <c r="J70" i="13"/>
  <c r="AA69" i="13"/>
  <c r="T69" i="13"/>
  <c r="Q69" i="13"/>
  <c r="N69" i="13"/>
  <c r="L69" i="13"/>
  <c r="J69" i="13"/>
  <c r="AA68" i="13"/>
  <c r="T68" i="13"/>
  <c r="Q68" i="13"/>
  <c r="N68" i="13"/>
  <c r="L68" i="13"/>
  <c r="J68" i="13"/>
  <c r="AA67" i="13"/>
  <c r="T67" i="13"/>
  <c r="Q67" i="13"/>
  <c r="N67" i="13"/>
  <c r="L67" i="13"/>
  <c r="J67" i="13"/>
  <c r="AA66" i="13"/>
  <c r="T66" i="13"/>
  <c r="Q66" i="13"/>
  <c r="N66" i="13"/>
  <c r="L66" i="13"/>
  <c r="J66" i="13"/>
  <c r="AA65" i="13"/>
  <c r="T65" i="13"/>
  <c r="Q65" i="13"/>
  <c r="N65" i="13"/>
  <c r="L65" i="13"/>
  <c r="J65" i="13"/>
  <c r="AA64" i="13"/>
  <c r="T64" i="13"/>
  <c r="Q64" i="13"/>
  <c r="N64" i="13"/>
  <c r="L64" i="13"/>
  <c r="J64" i="13"/>
  <c r="AA63" i="13"/>
  <c r="T63" i="13"/>
  <c r="Q63" i="13"/>
  <c r="N63" i="13"/>
  <c r="L63" i="13"/>
  <c r="J63" i="13"/>
  <c r="AA62" i="13"/>
  <c r="T62" i="13"/>
  <c r="Q62" i="13"/>
  <c r="N62" i="13"/>
  <c r="L62" i="13"/>
  <c r="J62" i="13"/>
  <c r="AA61" i="13"/>
  <c r="T61" i="13"/>
  <c r="Q61" i="13"/>
  <c r="N61" i="13"/>
  <c r="L61" i="13"/>
  <c r="J61" i="13"/>
  <c r="AA60" i="13"/>
  <c r="T60" i="13"/>
  <c r="Q60" i="13"/>
  <c r="N60" i="13"/>
  <c r="L60" i="13"/>
  <c r="J60" i="13"/>
  <c r="AA59" i="13"/>
  <c r="T59" i="13"/>
  <c r="Q59" i="13"/>
  <c r="N59" i="13"/>
  <c r="L59" i="13"/>
  <c r="J59" i="13"/>
  <c r="AA58" i="13"/>
  <c r="T58" i="13"/>
  <c r="Q58" i="13"/>
  <c r="N58" i="13"/>
  <c r="L58" i="13"/>
  <c r="J58" i="13"/>
  <c r="AA57" i="13"/>
  <c r="T57" i="13"/>
  <c r="Q57" i="13"/>
  <c r="N57" i="13"/>
  <c r="L57" i="13"/>
  <c r="J57" i="13"/>
  <c r="AA56" i="13"/>
  <c r="T56" i="13"/>
  <c r="Q56" i="13"/>
  <c r="N56" i="13"/>
  <c r="L56" i="13"/>
  <c r="J56" i="13"/>
  <c r="AA55" i="13"/>
  <c r="T55" i="13"/>
  <c r="Q55" i="13"/>
  <c r="N55" i="13"/>
  <c r="L55" i="13"/>
  <c r="J55" i="13"/>
  <c r="AA54" i="13"/>
  <c r="T54" i="13"/>
  <c r="Q54" i="13"/>
  <c r="N54" i="13"/>
  <c r="L54" i="13"/>
  <c r="J54" i="13"/>
  <c r="AA53" i="13"/>
  <c r="T53" i="13"/>
  <c r="Q53" i="13"/>
  <c r="N53" i="13"/>
  <c r="L53" i="13"/>
  <c r="J53" i="13"/>
  <c r="AA52" i="13"/>
  <c r="T52" i="13"/>
  <c r="Q52" i="13"/>
  <c r="N52" i="13"/>
  <c r="L52" i="13"/>
  <c r="J52" i="13"/>
  <c r="AA51" i="13"/>
  <c r="T51" i="13"/>
  <c r="Q51" i="13"/>
  <c r="N51" i="13"/>
  <c r="L51" i="13"/>
  <c r="J51" i="13"/>
  <c r="AA50" i="13"/>
  <c r="T50" i="13"/>
  <c r="Q50" i="13"/>
  <c r="N50" i="13"/>
  <c r="L50" i="13"/>
  <c r="J50" i="13"/>
  <c r="AA49" i="13"/>
  <c r="T49" i="13"/>
  <c r="Q49" i="13"/>
  <c r="N49" i="13"/>
  <c r="L49" i="13"/>
  <c r="J49" i="13"/>
  <c r="AA48" i="13"/>
  <c r="T48" i="13"/>
  <c r="Q48" i="13"/>
  <c r="N48" i="13"/>
  <c r="L48" i="13"/>
  <c r="J48" i="13"/>
  <c r="AA47" i="13"/>
  <c r="T47" i="13"/>
  <c r="Q47" i="13"/>
  <c r="N47" i="13"/>
  <c r="L47" i="13"/>
  <c r="J47" i="13"/>
  <c r="AA46" i="13"/>
  <c r="T46" i="13"/>
  <c r="Q46" i="13"/>
  <c r="N46" i="13"/>
  <c r="L46" i="13"/>
  <c r="J46" i="13"/>
  <c r="AA45" i="13"/>
  <c r="T45" i="13"/>
  <c r="Q45" i="13"/>
  <c r="N45" i="13"/>
  <c r="L45" i="13"/>
  <c r="J45" i="13"/>
  <c r="AA44" i="13"/>
  <c r="T44" i="13"/>
  <c r="Q44" i="13"/>
  <c r="N44" i="13"/>
  <c r="L44" i="13"/>
  <c r="J44" i="13"/>
  <c r="AA43" i="13"/>
  <c r="T43" i="13"/>
  <c r="Q43" i="13"/>
  <c r="N43" i="13"/>
  <c r="L43" i="13"/>
  <c r="J43" i="13"/>
  <c r="AA42" i="13"/>
  <c r="T42" i="13"/>
  <c r="Q42" i="13"/>
  <c r="N42" i="13"/>
  <c r="L42" i="13"/>
  <c r="J42" i="13"/>
  <c r="AA41" i="13"/>
  <c r="T41" i="13"/>
  <c r="Q41" i="13"/>
  <c r="N41" i="13"/>
  <c r="L41" i="13"/>
  <c r="J41" i="13"/>
  <c r="AA40" i="13"/>
  <c r="T40" i="13"/>
  <c r="Q40" i="13"/>
  <c r="N40" i="13"/>
  <c r="L40" i="13"/>
  <c r="J40" i="13"/>
  <c r="AA39" i="13"/>
  <c r="T39" i="13"/>
  <c r="Q39" i="13"/>
  <c r="N39" i="13"/>
  <c r="L39" i="13"/>
  <c r="J39" i="13"/>
  <c r="AA38" i="13"/>
  <c r="T38" i="13"/>
  <c r="Q38" i="13"/>
  <c r="N38" i="13"/>
  <c r="L38" i="13"/>
  <c r="J38" i="13"/>
  <c r="AA37" i="13"/>
  <c r="T37" i="13"/>
  <c r="Q37" i="13"/>
  <c r="N37" i="13"/>
  <c r="L37" i="13"/>
  <c r="J37" i="13"/>
  <c r="AA36" i="13"/>
  <c r="T36" i="13"/>
  <c r="Q36" i="13"/>
  <c r="N36" i="13"/>
  <c r="L36" i="13"/>
  <c r="J36" i="13"/>
  <c r="AA35" i="13"/>
  <c r="T35" i="13"/>
  <c r="Q35" i="13"/>
  <c r="N35" i="13"/>
  <c r="L35" i="13"/>
  <c r="J35" i="13"/>
  <c r="AA34" i="13"/>
  <c r="T34" i="13"/>
  <c r="Q34" i="13"/>
  <c r="N34" i="13"/>
  <c r="L34" i="13"/>
  <c r="J34" i="13"/>
  <c r="AA33" i="13"/>
  <c r="T33" i="13"/>
  <c r="Q33" i="13"/>
  <c r="N33" i="13"/>
  <c r="L33" i="13"/>
  <c r="J33" i="13"/>
  <c r="AA32" i="13"/>
  <c r="T32" i="13"/>
  <c r="Q32" i="13"/>
  <c r="N32" i="13"/>
  <c r="L32" i="13"/>
  <c r="J32" i="13"/>
  <c r="AA31" i="13"/>
  <c r="T31" i="13"/>
  <c r="Q31" i="13"/>
  <c r="N31" i="13"/>
  <c r="L31" i="13"/>
  <c r="J31" i="13"/>
  <c r="AA30" i="13"/>
  <c r="T30" i="13"/>
  <c r="Q30" i="13"/>
  <c r="N30" i="13"/>
  <c r="L30" i="13"/>
  <c r="J30" i="13"/>
  <c r="AA29" i="13"/>
  <c r="T29" i="13"/>
  <c r="Q29" i="13"/>
  <c r="N29" i="13"/>
  <c r="L29" i="13"/>
  <c r="J29" i="13"/>
  <c r="AA28" i="13"/>
  <c r="T28" i="13"/>
  <c r="Q28" i="13"/>
  <c r="N28" i="13"/>
  <c r="L28" i="13"/>
  <c r="J28" i="13"/>
  <c r="AA27" i="13"/>
  <c r="T27" i="13"/>
  <c r="Q27" i="13"/>
  <c r="N27" i="13"/>
  <c r="L27" i="13"/>
  <c r="J27" i="13"/>
  <c r="AA26" i="13"/>
  <c r="T26" i="13"/>
  <c r="Q26" i="13"/>
  <c r="N26" i="13"/>
  <c r="L26" i="13"/>
  <c r="J26" i="13"/>
  <c r="AA25" i="13"/>
  <c r="T25" i="13"/>
  <c r="Q25" i="13"/>
  <c r="N25" i="13"/>
  <c r="L25" i="13"/>
  <c r="J25" i="13"/>
  <c r="AA24" i="13"/>
  <c r="T24" i="13"/>
  <c r="Q24" i="13"/>
  <c r="N24" i="13"/>
  <c r="L24" i="13"/>
  <c r="J24" i="13"/>
  <c r="AA23" i="13"/>
  <c r="T23" i="13"/>
  <c r="Q23" i="13"/>
  <c r="N23" i="13"/>
  <c r="L23" i="13"/>
  <c r="J23" i="13"/>
  <c r="AA22" i="13"/>
  <c r="T22" i="13"/>
  <c r="Q22" i="13"/>
  <c r="N22" i="13"/>
  <c r="L22" i="13"/>
  <c r="J22" i="13"/>
  <c r="AA21" i="13"/>
  <c r="T21" i="13"/>
  <c r="Q21" i="13"/>
  <c r="N21" i="13"/>
  <c r="L21" i="13"/>
  <c r="J21" i="13"/>
  <c r="AA20" i="13"/>
  <c r="T20" i="13"/>
  <c r="Q20" i="13"/>
  <c r="N20" i="13"/>
  <c r="L20" i="13"/>
  <c r="J20" i="13"/>
  <c r="AA19" i="13"/>
  <c r="T19" i="13"/>
  <c r="Q19" i="13"/>
  <c r="N19" i="13"/>
  <c r="L19" i="13"/>
  <c r="J19" i="13"/>
  <c r="AA18" i="13"/>
  <c r="T18" i="13"/>
  <c r="Q18" i="13"/>
  <c r="N18" i="13"/>
  <c r="L18" i="13"/>
  <c r="J18" i="13"/>
  <c r="AA17" i="13"/>
  <c r="T17" i="13"/>
  <c r="Q17" i="13"/>
  <c r="N17" i="13"/>
  <c r="L17" i="13"/>
  <c r="J17" i="13"/>
  <c r="AA16" i="13"/>
  <c r="T16" i="13"/>
  <c r="Q16" i="13"/>
  <c r="N16" i="13"/>
  <c r="L16" i="13"/>
  <c r="J16" i="13"/>
  <c r="AA15" i="13"/>
  <c r="T15" i="13"/>
  <c r="Q15" i="13"/>
  <c r="N15" i="13"/>
  <c r="L15" i="13"/>
  <c r="J15" i="13"/>
  <c r="AA14" i="13"/>
  <c r="T14" i="13"/>
  <c r="Q14" i="13"/>
  <c r="N14" i="13"/>
  <c r="L14" i="13"/>
  <c r="J14" i="13"/>
  <c r="AA13" i="13"/>
  <c r="T13" i="13"/>
  <c r="Q13" i="13"/>
  <c r="N13" i="13"/>
  <c r="L13" i="13"/>
  <c r="J13" i="13"/>
  <c r="AA12" i="13"/>
  <c r="T12" i="13"/>
  <c r="Q12" i="13"/>
  <c r="N12" i="13"/>
  <c r="L12" i="13"/>
  <c r="J12" i="13"/>
  <c r="AA11" i="13"/>
  <c r="T11" i="13"/>
  <c r="Q11" i="13"/>
  <c r="N11" i="13"/>
  <c r="L11" i="13"/>
  <c r="J11" i="13"/>
  <c r="AA10" i="13"/>
  <c r="T10" i="13"/>
  <c r="Q10" i="13"/>
  <c r="N10" i="13"/>
  <c r="L10" i="13"/>
  <c r="J10" i="13"/>
  <c r="AA9" i="13"/>
  <c r="T9" i="13"/>
  <c r="Q9" i="13"/>
  <c r="N9" i="13"/>
  <c r="L9" i="13"/>
  <c r="J9" i="13"/>
  <c r="AA8" i="13"/>
  <c r="T8" i="13"/>
  <c r="Q8" i="13"/>
  <c r="N8" i="13"/>
  <c r="L8" i="13"/>
  <c r="J8" i="13"/>
  <c r="AA7" i="13"/>
  <c r="T7" i="13"/>
  <c r="Q7" i="13"/>
  <c r="N7" i="13"/>
  <c r="L7" i="13"/>
  <c r="J7" i="13"/>
  <c r="AA6" i="13"/>
  <c r="T6" i="13"/>
  <c r="Q6" i="13"/>
  <c r="N6" i="13"/>
  <c r="L6" i="13"/>
  <c r="J6" i="13"/>
  <c r="AA5" i="13"/>
  <c r="T5" i="13"/>
  <c r="Q5" i="13"/>
  <c r="N5" i="13"/>
  <c r="L5" i="13"/>
  <c r="J5" i="13"/>
  <c r="T304" i="12"/>
  <c r="P304" i="12"/>
  <c r="O304" i="12"/>
  <c r="N304" i="12"/>
  <c r="T303" i="12"/>
  <c r="P303" i="12"/>
  <c r="O303" i="12"/>
  <c r="N303" i="12"/>
  <c r="T302" i="12"/>
  <c r="P302" i="12"/>
  <c r="O302" i="12"/>
  <c r="N302" i="12"/>
  <c r="T301" i="12"/>
  <c r="P301" i="12"/>
  <c r="O301" i="12"/>
  <c r="N301" i="12"/>
  <c r="T300" i="12"/>
  <c r="P300" i="12"/>
  <c r="O300" i="12"/>
  <c r="N300" i="12"/>
  <c r="T299" i="12"/>
  <c r="P299" i="12"/>
  <c r="O299" i="12"/>
  <c r="N299" i="12"/>
  <c r="T298" i="12"/>
  <c r="P298" i="12"/>
  <c r="O298" i="12"/>
  <c r="N298" i="12"/>
  <c r="T297" i="12"/>
  <c r="P297" i="12"/>
  <c r="O297" i="12"/>
  <c r="N297" i="12"/>
  <c r="T296" i="12"/>
  <c r="P296" i="12"/>
  <c r="O296" i="12"/>
  <c r="N296" i="12"/>
  <c r="T295" i="12"/>
  <c r="P295" i="12"/>
  <c r="O295" i="12"/>
  <c r="N295" i="12"/>
  <c r="T294" i="12"/>
  <c r="P294" i="12"/>
  <c r="O294" i="12"/>
  <c r="N294" i="12"/>
  <c r="T293" i="12"/>
  <c r="P293" i="12"/>
  <c r="O293" i="12"/>
  <c r="N293" i="12"/>
  <c r="T292" i="12"/>
  <c r="P292" i="12"/>
  <c r="O292" i="12"/>
  <c r="N292" i="12"/>
  <c r="T291" i="12"/>
  <c r="P291" i="12"/>
  <c r="O291" i="12"/>
  <c r="N291" i="12"/>
  <c r="T290" i="12"/>
  <c r="P290" i="12"/>
  <c r="O290" i="12"/>
  <c r="N290" i="12"/>
  <c r="T289" i="12"/>
  <c r="P289" i="12"/>
  <c r="O289" i="12"/>
  <c r="N289" i="12"/>
  <c r="T288" i="12"/>
  <c r="P288" i="12"/>
  <c r="O288" i="12"/>
  <c r="N288" i="12"/>
  <c r="T287" i="12"/>
  <c r="P287" i="12"/>
  <c r="O287" i="12"/>
  <c r="N287" i="12"/>
  <c r="T286" i="12"/>
  <c r="P286" i="12"/>
  <c r="O286" i="12"/>
  <c r="N286" i="12"/>
  <c r="T285" i="12"/>
  <c r="P285" i="12"/>
  <c r="O285" i="12"/>
  <c r="N285" i="12"/>
  <c r="T284" i="12"/>
  <c r="P284" i="12"/>
  <c r="O284" i="12"/>
  <c r="N284" i="12"/>
  <c r="T283" i="12"/>
  <c r="P283" i="12"/>
  <c r="O283" i="12"/>
  <c r="N283" i="12"/>
  <c r="T282" i="12"/>
  <c r="P282" i="12"/>
  <c r="O282" i="12"/>
  <c r="N282" i="12"/>
  <c r="T281" i="12"/>
  <c r="P281" i="12"/>
  <c r="O281" i="12"/>
  <c r="N281" i="12"/>
  <c r="T280" i="12"/>
  <c r="P280" i="12"/>
  <c r="O280" i="12"/>
  <c r="N280" i="12"/>
  <c r="T279" i="12"/>
  <c r="P279" i="12"/>
  <c r="O279" i="12"/>
  <c r="N279" i="12"/>
  <c r="T278" i="12"/>
  <c r="P278" i="12"/>
  <c r="O278" i="12"/>
  <c r="N278" i="12"/>
  <c r="T277" i="12"/>
  <c r="P277" i="12"/>
  <c r="O277" i="12"/>
  <c r="N277" i="12"/>
  <c r="T276" i="12"/>
  <c r="P276" i="12"/>
  <c r="O276" i="12"/>
  <c r="N276" i="12"/>
  <c r="T275" i="12"/>
  <c r="P275" i="12"/>
  <c r="O275" i="12"/>
  <c r="N275" i="12"/>
  <c r="T274" i="12"/>
  <c r="P274" i="12"/>
  <c r="O274" i="12"/>
  <c r="N274" i="12"/>
  <c r="T273" i="12"/>
  <c r="P273" i="12"/>
  <c r="O273" i="12"/>
  <c r="N273" i="12"/>
  <c r="T272" i="12"/>
  <c r="P272" i="12"/>
  <c r="O272" i="12"/>
  <c r="N272" i="12"/>
  <c r="T271" i="12"/>
  <c r="P271" i="12"/>
  <c r="O271" i="12"/>
  <c r="N271" i="12"/>
  <c r="T270" i="12"/>
  <c r="P270" i="12"/>
  <c r="O270" i="12"/>
  <c r="N270" i="12"/>
  <c r="T269" i="12"/>
  <c r="P269" i="12"/>
  <c r="O269" i="12"/>
  <c r="N269" i="12"/>
  <c r="T268" i="12"/>
  <c r="P268" i="12"/>
  <c r="O268" i="12"/>
  <c r="N268" i="12"/>
  <c r="T267" i="12"/>
  <c r="P267" i="12"/>
  <c r="O267" i="12"/>
  <c r="N267" i="12"/>
  <c r="T266" i="12"/>
  <c r="P266" i="12"/>
  <c r="O266" i="12"/>
  <c r="N266" i="12"/>
  <c r="T265" i="12"/>
  <c r="P265" i="12"/>
  <c r="O265" i="12"/>
  <c r="N265" i="12"/>
  <c r="T264" i="12"/>
  <c r="P264" i="12"/>
  <c r="O264" i="12"/>
  <c r="N264" i="12"/>
  <c r="T263" i="12"/>
  <c r="P263" i="12"/>
  <c r="O263" i="12"/>
  <c r="N263" i="12"/>
  <c r="T262" i="12"/>
  <c r="P262" i="12"/>
  <c r="O262" i="12"/>
  <c r="N262" i="12"/>
  <c r="T261" i="12"/>
  <c r="P261" i="12"/>
  <c r="O261" i="12"/>
  <c r="N261" i="12"/>
  <c r="T260" i="12"/>
  <c r="P260" i="12"/>
  <c r="O260" i="12"/>
  <c r="N260" i="12"/>
  <c r="T259" i="12"/>
  <c r="P259" i="12"/>
  <c r="O259" i="12"/>
  <c r="N259" i="12"/>
  <c r="T258" i="12"/>
  <c r="P258" i="12"/>
  <c r="O258" i="12"/>
  <c r="N258" i="12"/>
  <c r="T257" i="12"/>
  <c r="P257" i="12"/>
  <c r="O257" i="12"/>
  <c r="N257" i="12"/>
  <c r="T256" i="12"/>
  <c r="P256" i="12"/>
  <c r="O256" i="12"/>
  <c r="N256" i="12"/>
  <c r="T255" i="12"/>
  <c r="P255" i="12"/>
  <c r="O255" i="12"/>
  <c r="N255" i="12"/>
  <c r="T254" i="12"/>
  <c r="P254" i="12"/>
  <c r="O254" i="12"/>
  <c r="N254" i="12"/>
  <c r="T253" i="12"/>
  <c r="P253" i="12"/>
  <c r="O253" i="12"/>
  <c r="N253" i="12"/>
  <c r="T252" i="12"/>
  <c r="P252" i="12"/>
  <c r="O252" i="12"/>
  <c r="N252" i="12"/>
  <c r="T251" i="12"/>
  <c r="P251" i="12"/>
  <c r="O251" i="12"/>
  <c r="N251" i="12"/>
  <c r="T250" i="12"/>
  <c r="P250" i="12"/>
  <c r="O250" i="12"/>
  <c r="N250" i="12"/>
  <c r="T249" i="12"/>
  <c r="P249" i="12"/>
  <c r="O249" i="12"/>
  <c r="N249" i="12"/>
  <c r="T248" i="12"/>
  <c r="P248" i="12"/>
  <c r="O248" i="12"/>
  <c r="N248" i="12"/>
  <c r="T247" i="12"/>
  <c r="P247" i="12"/>
  <c r="O247" i="12"/>
  <c r="N247" i="12"/>
  <c r="T246" i="12"/>
  <c r="P246" i="12"/>
  <c r="O246" i="12"/>
  <c r="N246" i="12"/>
  <c r="T245" i="12"/>
  <c r="P245" i="12"/>
  <c r="O245" i="12"/>
  <c r="N245" i="12"/>
  <c r="T244" i="12"/>
  <c r="P244" i="12"/>
  <c r="O244" i="12"/>
  <c r="N244" i="12"/>
  <c r="T243" i="12"/>
  <c r="P243" i="12"/>
  <c r="O243" i="12"/>
  <c r="N243" i="12"/>
  <c r="T242" i="12"/>
  <c r="P242" i="12"/>
  <c r="O242" i="12"/>
  <c r="N242" i="12"/>
  <c r="T241" i="12"/>
  <c r="P241" i="12"/>
  <c r="O241" i="12"/>
  <c r="N241" i="12"/>
  <c r="T240" i="12"/>
  <c r="P240" i="12"/>
  <c r="O240" i="12"/>
  <c r="N240" i="12"/>
  <c r="T239" i="12"/>
  <c r="P239" i="12"/>
  <c r="O239" i="12"/>
  <c r="N239" i="12"/>
  <c r="T238" i="12"/>
  <c r="P238" i="12"/>
  <c r="O238" i="12"/>
  <c r="N238" i="12"/>
  <c r="T237" i="12"/>
  <c r="P237" i="12"/>
  <c r="O237" i="12"/>
  <c r="N237" i="12"/>
  <c r="T236" i="12"/>
  <c r="P236" i="12"/>
  <c r="O236" i="12"/>
  <c r="N236" i="12"/>
  <c r="T235" i="12"/>
  <c r="P235" i="12"/>
  <c r="O235" i="12"/>
  <c r="N235" i="12"/>
  <c r="T234" i="12"/>
  <c r="P234" i="12"/>
  <c r="O234" i="12"/>
  <c r="N234" i="12"/>
  <c r="T233" i="12"/>
  <c r="P233" i="12"/>
  <c r="O233" i="12"/>
  <c r="N233" i="12"/>
  <c r="T232" i="12"/>
  <c r="P232" i="12"/>
  <c r="O232" i="12"/>
  <c r="N232" i="12"/>
  <c r="T231" i="12"/>
  <c r="P231" i="12"/>
  <c r="O231" i="12"/>
  <c r="N231" i="12"/>
  <c r="T230" i="12"/>
  <c r="P230" i="12"/>
  <c r="O230" i="12"/>
  <c r="N230" i="12"/>
  <c r="T229" i="12"/>
  <c r="P229" i="12"/>
  <c r="O229" i="12"/>
  <c r="N229" i="12"/>
  <c r="T228" i="12"/>
  <c r="P228" i="12"/>
  <c r="O228" i="12"/>
  <c r="N228" i="12"/>
  <c r="T227" i="12"/>
  <c r="P227" i="12"/>
  <c r="O227" i="12"/>
  <c r="N227" i="12"/>
  <c r="T226" i="12"/>
  <c r="P226" i="12"/>
  <c r="O226" i="12"/>
  <c r="N226" i="12"/>
  <c r="T225" i="12"/>
  <c r="P225" i="12"/>
  <c r="O225" i="12"/>
  <c r="N225" i="12"/>
  <c r="T224" i="12"/>
  <c r="P224" i="12"/>
  <c r="O224" i="12"/>
  <c r="N224" i="12"/>
  <c r="T223" i="12"/>
  <c r="P223" i="12"/>
  <c r="O223" i="12"/>
  <c r="N223" i="12"/>
  <c r="T222" i="12"/>
  <c r="P222" i="12"/>
  <c r="O222" i="12"/>
  <c r="N222" i="12"/>
  <c r="T221" i="12"/>
  <c r="P221" i="12"/>
  <c r="O221" i="12"/>
  <c r="N221" i="12"/>
  <c r="T220" i="12"/>
  <c r="P220" i="12"/>
  <c r="O220" i="12"/>
  <c r="N220" i="12"/>
  <c r="T219" i="12"/>
  <c r="P219" i="12"/>
  <c r="O219" i="12"/>
  <c r="N219" i="12"/>
  <c r="T218" i="12"/>
  <c r="P218" i="12"/>
  <c r="O218" i="12"/>
  <c r="N218" i="12"/>
  <c r="T217" i="12"/>
  <c r="P217" i="12"/>
  <c r="O217" i="12"/>
  <c r="N217" i="12"/>
  <c r="T216" i="12"/>
  <c r="P216" i="12"/>
  <c r="O216" i="12"/>
  <c r="N216" i="12"/>
  <c r="T215" i="12"/>
  <c r="P215" i="12"/>
  <c r="O215" i="12"/>
  <c r="N215" i="12"/>
  <c r="T214" i="12"/>
  <c r="P214" i="12"/>
  <c r="O214" i="12"/>
  <c r="N214" i="12"/>
  <c r="T213" i="12"/>
  <c r="P213" i="12"/>
  <c r="O213" i="12"/>
  <c r="N213" i="12"/>
  <c r="T212" i="12"/>
  <c r="P212" i="12"/>
  <c r="O212" i="12"/>
  <c r="N212" i="12"/>
  <c r="T211" i="12"/>
  <c r="P211" i="12"/>
  <c r="O211" i="12"/>
  <c r="N211" i="12"/>
  <c r="T210" i="12"/>
  <c r="P210" i="12"/>
  <c r="O210" i="12"/>
  <c r="N210" i="12"/>
  <c r="T209" i="12"/>
  <c r="P209" i="12"/>
  <c r="O209" i="12"/>
  <c r="N209" i="12"/>
  <c r="T208" i="12"/>
  <c r="P208" i="12"/>
  <c r="O208" i="12"/>
  <c r="N208" i="12"/>
  <c r="T207" i="12"/>
  <c r="P207" i="12"/>
  <c r="O207" i="12"/>
  <c r="N207" i="12"/>
  <c r="T206" i="12"/>
  <c r="P206" i="12"/>
  <c r="O206" i="12"/>
  <c r="N206" i="12"/>
  <c r="T205" i="12"/>
  <c r="P205" i="12"/>
  <c r="O205" i="12"/>
  <c r="N205" i="12"/>
  <c r="T204" i="12"/>
  <c r="P204" i="12"/>
  <c r="O204" i="12"/>
  <c r="N204" i="12"/>
  <c r="T203" i="12"/>
  <c r="P203" i="12"/>
  <c r="O203" i="12"/>
  <c r="N203" i="12"/>
  <c r="T202" i="12"/>
  <c r="P202" i="12"/>
  <c r="O202" i="12"/>
  <c r="N202" i="12"/>
  <c r="T201" i="12"/>
  <c r="P201" i="12"/>
  <c r="O201" i="12"/>
  <c r="N201" i="12"/>
  <c r="T200" i="12"/>
  <c r="P200" i="12"/>
  <c r="O200" i="12"/>
  <c r="N200" i="12"/>
  <c r="T199" i="12"/>
  <c r="P199" i="12"/>
  <c r="O199" i="12"/>
  <c r="N199" i="12"/>
  <c r="T198" i="12"/>
  <c r="P198" i="12"/>
  <c r="O198" i="12"/>
  <c r="N198" i="12"/>
  <c r="T197" i="12"/>
  <c r="P197" i="12"/>
  <c r="O197" i="12"/>
  <c r="N197" i="12"/>
  <c r="T196" i="12"/>
  <c r="P196" i="12"/>
  <c r="O196" i="12"/>
  <c r="N196" i="12"/>
  <c r="T195" i="12"/>
  <c r="P195" i="12"/>
  <c r="O195" i="12"/>
  <c r="N195" i="12"/>
  <c r="T194" i="12"/>
  <c r="P194" i="12"/>
  <c r="O194" i="12"/>
  <c r="N194" i="12"/>
  <c r="T193" i="12"/>
  <c r="P193" i="12"/>
  <c r="O193" i="12"/>
  <c r="N193" i="12"/>
  <c r="T192" i="12"/>
  <c r="P192" i="12"/>
  <c r="O192" i="12"/>
  <c r="N192" i="12"/>
  <c r="T191" i="12"/>
  <c r="P191" i="12"/>
  <c r="O191" i="12"/>
  <c r="N191" i="12"/>
  <c r="T190" i="12"/>
  <c r="P190" i="12"/>
  <c r="O190" i="12"/>
  <c r="N190" i="12"/>
  <c r="T189" i="12"/>
  <c r="P189" i="12"/>
  <c r="O189" i="12"/>
  <c r="N189" i="12"/>
  <c r="T188" i="12"/>
  <c r="P188" i="12"/>
  <c r="O188" i="12"/>
  <c r="N188" i="12"/>
  <c r="T187" i="12"/>
  <c r="P187" i="12"/>
  <c r="O187" i="12"/>
  <c r="N187" i="12"/>
  <c r="T186" i="12"/>
  <c r="P186" i="12"/>
  <c r="O186" i="12"/>
  <c r="N186" i="12"/>
  <c r="T185" i="12"/>
  <c r="P185" i="12"/>
  <c r="O185" i="12"/>
  <c r="N185" i="12"/>
  <c r="T184" i="12"/>
  <c r="P184" i="12"/>
  <c r="O184" i="12"/>
  <c r="N184" i="12"/>
  <c r="T183" i="12"/>
  <c r="P183" i="12"/>
  <c r="O183" i="12"/>
  <c r="N183" i="12"/>
  <c r="T182" i="12"/>
  <c r="P182" i="12"/>
  <c r="O182" i="12"/>
  <c r="N182" i="12"/>
  <c r="T181" i="12"/>
  <c r="P181" i="12"/>
  <c r="O181" i="12"/>
  <c r="N181" i="12"/>
  <c r="T180" i="12"/>
  <c r="P180" i="12"/>
  <c r="O180" i="12"/>
  <c r="N180" i="12"/>
  <c r="T179" i="12"/>
  <c r="P179" i="12"/>
  <c r="O179" i="12"/>
  <c r="N179" i="12"/>
  <c r="T178" i="12"/>
  <c r="P178" i="12"/>
  <c r="O178" i="12"/>
  <c r="N178" i="12"/>
  <c r="T177" i="12"/>
  <c r="P177" i="12"/>
  <c r="O177" i="12"/>
  <c r="N177" i="12"/>
  <c r="T176" i="12"/>
  <c r="P176" i="12"/>
  <c r="O176" i="12"/>
  <c r="N176" i="12"/>
  <c r="T175" i="12"/>
  <c r="P175" i="12"/>
  <c r="O175" i="12"/>
  <c r="N175" i="12"/>
  <c r="T174" i="12"/>
  <c r="P174" i="12"/>
  <c r="O174" i="12"/>
  <c r="N174" i="12"/>
  <c r="T173" i="12"/>
  <c r="P173" i="12"/>
  <c r="O173" i="12"/>
  <c r="N173" i="12"/>
  <c r="T172" i="12"/>
  <c r="P172" i="12"/>
  <c r="O172" i="12"/>
  <c r="N172" i="12"/>
  <c r="T171" i="12"/>
  <c r="P171" i="12"/>
  <c r="O171" i="12"/>
  <c r="N171" i="12"/>
  <c r="T170" i="12"/>
  <c r="P170" i="12"/>
  <c r="O170" i="12"/>
  <c r="N170" i="12"/>
  <c r="T169" i="12"/>
  <c r="P169" i="12"/>
  <c r="O169" i="12"/>
  <c r="N169" i="12"/>
  <c r="T168" i="12"/>
  <c r="P168" i="12"/>
  <c r="O168" i="12"/>
  <c r="N168" i="12"/>
  <c r="T167" i="12"/>
  <c r="P167" i="12"/>
  <c r="O167" i="12"/>
  <c r="N167" i="12"/>
  <c r="T166" i="12"/>
  <c r="P166" i="12"/>
  <c r="O166" i="12"/>
  <c r="N166" i="12"/>
  <c r="T165" i="12"/>
  <c r="P165" i="12"/>
  <c r="O165" i="12"/>
  <c r="N165" i="12"/>
  <c r="T164" i="12"/>
  <c r="P164" i="12"/>
  <c r="O164" i="12"/>
  <c r="N164" i="12"/>
  <c r="T163" i="12"/>
  <c r="P163" i="12"/>
  <c r="O163" i="12"/>
  <c r="N163" i="12"/>
  <c r="T162" i="12"/>
  <c r="P162" i="12"/>
  <c r="O162" i="12"/>
  <c r="N162" i="12"/>
  <c r="T161" i="12"/>
  <c r="P161" i="12"/>
  <c r="O161" i="12"/>
  <c r="N161" i="12"/>
  <c r="T160" i="12"/>
  <c r="P160" i="12"/>
  <c r="O160" i="12"/>
  <c r="N160" i="12"/>
  <c r="T159" i="12"/>
  <c r="P159" i="12"/>
  <c r="O159" i="12"/>
  <c r="N159" i="12"/>
  <c r="T158" i="12"/>
  <c r="P158" i="12"/>
  <c r="O158" i="12"/>
  <c r="N158" i="12"/>
  <c r="T157" i="12"/>
  <c r="P157" i="12"/>
  <c r="O157" i="12"/>
  <c r="N157" i="12"/>
  <c r="T156" i="12"/>
  <c r="P156" i="12"/>
  <c r="O156" i="12"/>
  <c r="N156" i="12"/>
  <c r="T155" i="12"/>
  <c r="P155" i="12"/>
  <c r="O155" i="12"/>
  <c r="N155" i="12"/>
  <c r="T154" i="12"/>
  <c r="P154" i="12"/>
  <c r="O154" i="12"/>
  <c r="N154" i="12"/>
  <c r="T153" i="12"/>
  <c r="P153" i="12"/>
  <c r="O153" i="12"/>
  <c r="N153" i="12"/>
  <c r="T152" i="12"/>
  <c r="P152" i="12"/>
  <c r="O152" i="12"/>
  <c r="N152" i="12"/>
  <c r="T151" i="12"/>
  <c r="P151" i="12"/>
  <c r="O151" i="12"/>
  <c r="N151" i="12"/>
  <c r="T150" i="12"/>
  <c r="P150" i="12"/>
  <c r="O150" i="12"/>
  <c r="N150" i="12"/>
  <c r="T149" i="12"/>
  <c r="P149" i="12"/>
  <c r="O149" i="12"/>
  <c r="N149" i="12"/>
  <c r="T148" i="12"/>
  <c r="P148" i="12"/>
  <c r="O148" i="12"/>
  <c r="N148" i="12"/>
  <c r="T147" i="12"/>
  <c r="P147" i="12"/>
  <c r="O147" i="12"/>
  <c r="N147" i="12"/>
  <c r="T146" i="12"/>
  <c r="P146" i="12"/>
  <c r="O146" i="12"/>
  <c r="N146" i="12"/>
  <c r="T145" i="12"/>
  <c r="P145" i="12"/>
  <c r="O145" i="12"/>
  <c r="N145" i="12"/>
  <c r="T144" i="12"/>
  <c r="P144" i="12"/>
  <c r="O144" i="12"/>
  <c r="N144" i="12"/>
  <c r="T143" i="12"/>
  <c r="P143" i="12"/>
  <c r="O143" i="12"/>
  <c r="N143" i="12"/>
  <c r="T142" i="12"/>
  <c r="P142" i="12"/>
  <c r="O142" i="12"/>
  <c r="N142" i="12"/>
  <c r="T141" i="12"/>
  <c r="P141" i="12"/>
  <c r="O141" i="12"/>
  <c r="N141" i="12"/>
  <c r="T140" i="12"/>
  <c r="P140" i="12"/>
  <c r="O140" i="12"/>
  <c r="N140" i="12"/>
  <c r="T139" i="12"/>
  <c r="P139" i="12"/>
  <c r="O139" i="12"/>
  <c r="N139" i="12"/>
  <c r="T138" i="12"/>
  <c r="P138" i="12"/>
  <c r="O138" i="12"/>
  <c r="N138" i="12"/>
  <c r="T137" i="12"/>
  <c r="P137" i="12"/>
  <c r="O137" i="12"/>
  <c r="N137" i="12"/>
  <c r="T136" i="12"/>
  <c r="P136" i="12"/>
  <c r="O136" i="12"/>
  <c r="N136" i="12"/>
  <c r="T135" i="12"/>
  <c r="P135" i="12"/>
  <c r="O135" i="12"/>
  <c r="N135" i="12"/>
  <c r="T134" i="12"/>
  <c r="P134" i="12"/>
  <c r="O134" i="12"/>
  <c r="N134" i="12"/>
  <c r="T133" i="12"/>
  <c r="P133" i="12"/>
  <c r="O133" i="12"/>
  <c r="N133" i="12"/>
  <c r="T132" i="12"/>
  <c r="P132" i="12"/>
  <c r="O132" i="12"/>
  <c r="N132" i="12"/>
  <c r="T131" i="12"/>
  <c r="P131" i="12"/>
  <c r="O131" i="12"/>
  <c r="N131" i="12"/>
  <c r="T130" i="12"/>
  <c r="P130" i="12"/>
  <c r="O130" i="12"/>
  <c r="N130" i="12"/>
  <c r="T129" i="12"/>
  <c r="P129" i="12"/>
  <c r="O129" i="12"/>
  <c r="N129" i="12"/>
  <c r="T128" i="12"/>
  <c r="P128" i="12"/>
  <c r="O128" i="12"/>
  <c r="N128" i="12"/>
  <c r="T127" i="12"/>
  <c r="P127" i="12"/>
  <c r="O127" i="12"/>
  <c r="N127" i="12"/>
  <c r="T126" i="12"/>
  <c r="P126" i="12"/>
  <c r="O126" i="12"/>
  <c r="N126" i="12"/>
  <c r="T125" i="12"/>
  <c r="P125" i="12"/>
  <c r="O125" i="12"/>
  <c r="N125" i="12"/>
  <c r="T124" i="12"/>
  <c r="P124" i="12"/>
  <c r="O124" i="12"/>
  <c r="N124" i="12"/>
  <c r="T123" i="12"/>
  <c r="P123" i="12"/>
  <c r="O123" i="12"/>
  <c r="N123" i="12"/>
  <c r="T122" i="12"/>
  <c r="P122" i="12"/>
  <c r="O122" i="12"/>
  <c r="N122" i="12"/>
  <c r="T121" i="12"/>
  <c r="P121" i="12"/>
  <c r="O121" i="12"/>
  <c r="N121" i="12"/>
  <c r="T120" i="12"/>
  <c r="P120" i="12"/>
  <c r="O120" i="12"/>
  <c r="N120" i="12"/>
  <c r="T119" i="12"/>
  <c r="P119" i="12"/>
  <c r="O119" i="12"/>
  <c r="N119" i="12"/>
  <c r="T118" i="12"/>
  <c r="P118" i="12"/>
  <c r="O118" i="12"/>
  <c r="N118" i="12"/>
  <c r="T117" i="12"/>
  <c r="P117" i="12"/>
  <c r="O117" i="12"/>
  <c r="N117" i="12"/>
  <c r="T116" i="12"/>
  <c r="P116" i="12"/>
  <c r="O116" i="12"/>
  <c r="N116" i="12"/>
  <c r="T115" i="12"/>
  <c r="P115" i="12"/>
  <c r="O115" i="12"/>
  <c r="N115" i="12"/>
  <c r="T114" i="12"/>
  <c r="P114" i="12"/>
  <c r="O114" i="12"/>
  <c r="N114" i="12"/>
  <c r="T113" i="12"/>
  <c r="P113" i="12"/>
  <c r="O113" i="12"/>
  <c r="N113" i="12"/>
  <c r="T112" i="12"/>
  <c r="P112" i="12"/>
  <c r="O112" i="12"/>
  <c r="N112" i="12"/>
  <c r="T111" i="12"/>
  <c r="P111" i="12"/>
  <c r="O111" i="12"/>
  <c r="N111" i="12"/>
  <c r="T110" i="12"/>
  <c r="P110" i="12"/>
  <c r="O110" i="12"/>
  <c r="N110" i="12"/>
  <c r="T109" i="12"/>
  <c r="P109" i="12"/>
  <c r="O109" i="12"/>
  <c r="N109" i="12"/>
  <c r="T108" i="12"/>
  <c r="P108" i="12"/>
  <c r="O108" i="12"/>
  <c r="N108" i="12"/>
  <c r="T107" i="12"/>
  <c r="P107" i="12"/>
  <c r="O107" i="12"/>
  <c r="N107" i="12"/>
  <c r="T106" i="12"/>
  <c r="P106" i="12"/>
  <c r="O106" i="12"/>
  <c r="N106" i="12"/>
  <c r="T105" i="12"/>
  <c r="P105" i="12"/>
  <c r="O105" i="12"/>
  <c r="N105" i="12"/>
  <c r="T104" i="12"/>
  <c r="P104" i="12"/>
  <c r="O104" i="12"/>
  <c r="N104" i="12"/>
  <c r="T103" i="12"/>
  <c r="P103" i="12"/>
  <c r="O103" i="12"/>
  <c r="N103" i="12"/>
  <c r="T102" i="12"/>
  <c r="P102" i="12"/>
  <c r="O102" i="12"/>
  <c r="N102" i="12"/>
  <c r="T101" i="12"/>
  <c r="P101" i="12"/>
  <c r="O101" i="12"/>
  <c r="N101" i="12"/>
  <c r="T100" i="12"/>
  <c r="P100" i="12"/>
  <c r="O100" i="12"/>
  <c r="N100" i="12"/>
  <c r="T99" i="12"/>
  <c r="P99" i="12"/>
  <c r="O99" i="12"/>
  <c r="N99" i="12"/>
  <c r="T98" i="12"/>
  <c r="P98" i="12"/>
  <c r="O98" i="12"/>
  <c r="N98" i="12"/>
  <c r="T97" i="12"/>
  <c r="P97" i="12"/>
  <c r="O97" i="12"/>
  <c r="N97" i="12"/>
  <c r="T96" i="12"/>
  <c r="P96" i="12"/>
  <c r="O96" i="12"/>
  <c r="N96" i="12"/>
  <c r="T95" i="12"/>
  <c r="P95" i="12"/>
  <c r="O95" i="12"/>
  <c r="N95" i="12"/>
  <c r="T94" i="12"/>
  <c r="P94" i="12"/>
  <c r="O94" i="12"/>
  <c r="N94" i="12"/>
  <c r="T93" i="12"/>
  <c r="P93" i="12"/>
  <c r="O93" i="12"/>
  <c r="N93" i="12"/>
  <c r="T92" i="12"/>
  <c r="P92" i="12"/>
  <c r="O92" i="12"/>
  <c r="N92" i="12"/>
  <c r="T91" i="12"/>
  <c r="P91" i="12"/>
  <c r="O91" i="12"/>
  <c r="N91" i="12"/>
  <c r="T90" i="12"/>
  <c r="P90" i="12"/>
  <c r="O90" i="12"/>
  <c r="N90" i="12"/>
  <c r="T89" i="12"/>
  <c r="P89" i="12"/>
  <c r="O89" i="12"/>
  <c r="N89" i="12"/>
  <c r="T88" i="12"/>
  <c r="P88" i="12"/>
  <c r="O88" i="12"/>
  <c r="N88" i="12"/>
  <c r="T87" i="12"/>
  <c r="P87" i="12"/>
  <c r="O87" i="12"/>
  <c r="N87" i="12"/>
  <c r="T86" i="12"/>
  <c r="P86" i="12"/>
  <c r="O86" i="12"/>
  <c r="N86" i="12"/>
  <c r="T85" i="12"/>
  <c r="P85" i="12"/>
  <c r="O85" i="12"/>
  <c r="N85" i="12"/>
  <c r="T84" i="12"/>
  <c r="P84" i="12"/>
  <c r="O84" i="12"/>
  <c r="N84" i="12"/>
  <c r="T83" i="12"/>
  <c r="P83" i="12"/>
  <c r="O83" i="12"/>
  <c r="N83" i="12"/>
  <c r="T82" i="12"/>
  <c r="P82" i="12"/>
  <c r="O82" i="12"/>
  <c r="N82" i="12"/>
  <c r="T81" i="12"/>
  <c r="P81" i="12"/>
  <c r="O81" i="12"/>
  <c r="N81" i="12"/>
  <c r="T80" i="12"/>
  <c r="P80" i="12"/>
  <c r="O80" i="12"/>
  <c r="N80" i="12"/>
  <c r="T79" i="12"/>
  <c r="P79" i="12"/>
  <c r="O79" i="12"/>
  <c r="N79" i="12"/>
  <c r="T78" i="12"/>
  <c r="P78" i="12"/>
  <c r="O78" i="12"/>
  <c r="N78" i="12"/>
  <c r="T77" i="12"/>
  <c r="P77" i="12"/>
  <c r="O77" i="12"/>
  <c r="N77" i="12"/>
  <c r="T76" i="12"/>
  <c r="P76" i="12"/>
  <c r="O76" i="12"/>
  <c r="N76" i="12"/>
  <c r="T75" i="12"/>
  <c r="P75" i="12"/>
  <c r="O75" i="12"/>
  <c r="N75" i="12"/>
  <c r="T74" i="12"/>
  <c r="P74" i="12"/>
  <c r="O74" i="12"/>
  <c r="N74" i="12"/>
  <c r="T73" i="12"/>
  <c r="P73" i="12"/>
  <c r="O73" i="12"/>
  <c r="N73" i="12"/>
  <c r="T72" i="12"/>
  <c r="P72" i="12"/>
  <c r="O72" i="12"/>
  <c r="N72" i="12"/>
  <c r="T71" i="12"/>
  <c r="P71" i="12"/>
  <c r="O71" i="12"/>
  <c r="N71" i="12"/>
  <c r="T70" i="12"/>
  <c r="P70" i="12"/>
  <c r="O70" i="12"/>
  <c r="N70" i="12"/>
  <c r="T69" i="12"/>
  <c r="P69" i="12"/>
  <c r="O69" i="12"/>
  <c r="N69" i="12"/>
  <c r="T68" i="12"/>
  <c r="P68" i="12"/>
  <c r="O68" i="12"/>
  <c r="N68" i="12"/>
  <c r="T67" i="12"/>
  <c r="P67" i="12"/>
  <c r="O67" i="12"/>
  <c r="N67" i="12"/>
  <c r="T66" i="12"/>
  <c r="P66" i="12"/>
  <c r="O66" i="12"/>
  <c r="N66" i="12"/>
  <c r="T65" i="12"/>
  <c r="P65" i="12"/>
  <c r="O65" i="12"/>
  <c r="N65" i="12"/>
  <c r="T64" i="12"/>
  <c r="P64" i="12"/>
  <c r="O64" i="12"/>
  <c r="N64" i="12"/>
  <c r="T63" i="12"/>
  <c r="P63" i="12"/>
  <c r="O63" i="12"/>
  <c r="N63" i="12"/>
  <c r="T62" i="12"/>
  <c r="P62" i="12"/>
  <c r="O62" i="12"/>
  <c r="N62" i="12"/>
  <c r="T61" i="12"/>
  <c r="P61" i="12"/>
  <c r="O61" i="12"/>
  <c r="N61" i="12"/>
  <c r="T60" i="12"/>
  <c r="P60" i="12"/>
  <c r="O60" i="12"/>
  <c r="N60" i="12"/>
  <c r="T59" i="12"/>
  <c r="P59" i="12"/>
  <c r="O59" i="12"/>
  <c r="N59" i="12"/>
  <c r="T58" i="12"/>
  <c r="P58" i="12"/>
  <c r="O58" i="12"/>
  <c r="N58" i="12"/>
  <c r="T57" i="12"/>
  <c r="P57" i="12"/>
  <c r="O57" i="12"/>
  <c r="N57" i="12"/>
  <c r="T56" i="12"/>
  <c r="P56" i="12"/>
  <c r="O56" i="12"/>
  <c r="N56" i="12"/>
  <c r="T55" i="12"/>
  <c r="P55" i="12"/>
  <c r="O55" i="12"/>
  <c r="N55" i="12"/>
  <c r="T54" i="12"/>
  <c r="P54" i="12"/>
  <c r="O54" i="12"/>
  <c r="N54" i="12"/>
  <c r="T53" i="12"/>
  <c r="P53" i="12"/>
  <c r="O53" i="12"/>
  <c r="N53" i="12"/>
  <c r="T52" i="12"/>
  <c r="P52" i="12"/>
  <c r="O52" i="12"/>
  <c r="N52" i="12"/>
  <c r="T51" i="12"/>
  <c r="P51" i="12"/>
  <c r="O51" i="12"/>
  <c r="N51" i="12"/>
  <c r="T50" i="12"/>
  <c r="P50" i="12"/>
  <c r="O50" i="12"/>
  <c r="N50" i="12"/>
  <c r="T49" i="12"/>
  <c r="P49" i="12"/>
  <c r="O49" i="12"/>
  <c r="N49" i="12"/>
  <c r="T48" i="12"/>
  <c r="P48" i="12"/>
  <c r="O48" i="12"/>
  <c r="N48" i="12"/>
  <c r="T47" i="12"/>
  <c r="P47" i="12"/>
  <c r="O47" i="12"/>
  <c r="N47" i="12"/>
  <c r="T46" i="12"/>
  <c r="P46" i="12"/>
  <c r="O46" i="12"/>
  <c r="N46" i="12"/>
  <c r="T45" i="12"/>
  <c r="P45" i="12"/>
  <c r="O45" i="12"/>
  <c r="N45" i="12"/>
  <c r="T44" i="12"/>
  <c r="P44" i="12"/>
  <c r="O44" i="12"/>
  <c r="N44" i="12"/>
  <c r="T43" i="12"/>
  <c r="P43" i="12"/>
  <c r="O43" i="12"/>
  <c r="N43" i="12"/>
  <c r="T42" i="12"/>
  <c r="P42" i="12"/>
  <c r="O42" i="12"/>
  <c r="N42" i="12"/>
  <c r="T41" i="12"/>
  <c r="P41" i="12"/>
  <c r="O41" i="12"/>
  <c r="N41" i="12"/>
  <c r="T40" i="12"/>
  <c r="P40" i="12"/>
  <c r="O40" i="12"/>
  <c r="N40" i="12"/>
  <c r="T39" i="12"/>
  <c r="P39" i="12"/>
  <c r="O39" i="12"/>
  <c r="N39" i="12"/>
  <c r="T38" i="12"/>
  <c r="P38" i="12"/>
  <c r="O38" i="12"/>
  <c r="N38" i="12"/>
  <c r="T37" i="12"/>
  <c r="P37" i="12"/>
  <c r="O37" i="12"/>
  <c r="N37" i="12"/>
  <c r="T36" i="12"/>
  <c r="P36" i="12"/>
  <c r="O36" i="12"/>
  <c r="N36" i="12"/>
  <c r="T35" i="12"/>
  <c r="P35" i="12"/>
  <c r="O35" i="12"/>
  <c r="N35" i="12"/>
  <c r="T34" i="12"/>
  <c r="P34" i="12"/>
  <c r="O34" i="12"/>
  <c r="N34" i="12"/>
  <c r="T33" i="12"/>
  <c r="P33" i="12"/>
  <c r="O33" i="12"/>
  <c r="N33" i="12"/>
  <c r="T32" i="12"/>
  <c r="P32" i="12"/>
  <c r="O32" i="12"/>
  <c r="N32" i="12"/>
  <c r="T31" i="12"/>
  <c r="P31" i="12"/>
  <c r="O31" i="12"/>
  <c r="N31" i="12"/>
  <c r="T30" i="12"/>
  <c r="P30" i="12"/>
  <c r="O30" i="12"/>
  <c r="N30" i="12"/>
  <c r="T29" i="12"/>
  <c r="P29" i="12"/>
  <c r="O29" i="12"/>
  <c r="N29" i="12"/>
  <c r="T28" i="12"/>
  <c r="P28" i="12"/>
  <c r="O28" i="12"/>
  <c r="N28" i="12"/>
  <c r="T27" i="12"/>
  <c r="P27" i="12"/>
  <c r="O27" i="12"/>
  <c r="N27" i="12"/>
  <c r="T26" i="12"/>
  <c r="P26" i="12"/>
  <c r="O26" i="12"/>
  <c r="N26" i="12"/>
  <c r="T25" i="12"/>
  <c r="P25" i="12"/>
  <c r="O25" i="12"/>
  <c r="N25" i="12"/>
  <c r="T24" i="12"/>
  <c r="P24" i="12"/>
  <c r="O24" i="12"/>
  <c r="N24" i="12"/>
  <c r="T23" i="12"/>
  <c r="P23" i="12"/>
  <c r="O23" i="12"/>
  <c r="N23" i="12"/>
  <c r="T22" i="12"/>
  <c r="P22" i="12"/>
  <c r="O22" i="12"/>
  <c r="N22" i="12"/>
  <c r="T21" i="12"/>
  <c r="P21" i="12"/>
  <c r="O21" i="12"/>
  <c r="N21" i="12"/>
  <c r="T20" i="12"/>
  <c r="P20" i="12"/>
  <c r="O20" i="12"/>
  <c r="N20" i="12"/>
  <c r="T19" i="12"/>
  <c r="P19" i="12"/>
  <c r="O19" i="12"/>
  <c r="N19" i="12"/>
  <c r="T18" i="12"/>
  <c r="P18" i="12"/>
  <c r="O18" i="12"/>
  <c r="N18" i="12"/>
  <c r="T17" i="12"/>
  <c r="P17" i="12"/>
  <c r="O17" i="12"/>
  <c r="N17" i="12"/>
  <c r="T16" i="12"/>
  <c r="P16" i="12"/>
  <c r="O16" i="12"/>
  <c r="N16" i="12"/>
  <c r="T15" i="12"/>
  <c r="P15" i="12"/>
  <c r="O15" i="12"/>
  <c r="N15" i="12"/>
  <c r="T14" i="12"/>
  <c r="P14" i="12"/>
  <c r="O14" i="12"/>
  <c r="N14" i="12"/>
  <c r="T13" i="12"/>
  <c r="P13" i="12"/>
  <c r="O13" i="12"/>
  <c r="N13" i="12"/>
  <c r="T12" i="12"/>
  <c r="P12" i="12"/>
  <c r="O12" i="12"/>
  <c r="N12" i="12"/>
  <c r="T11" i="12"/>
  <c r="P11" i="12"/>
  <c r="O11" i="12"/>
  <c r="N11" i="12"/>
  <c r="T10" i="12"/>
  <c r="P10" i="12"/>
  <c r="O10" i="12"/>
  <c r="N10" i="12"/>
  <c r="T9" i="12"/>
  <c r="P9" i="12"/>
  <c r="O9" i="12"/>
  <c r="N9" i="12"/>
  <c r="T8" i="12"/>
  <c r="P8" i="12"/>
  <c r="O8" i="12"/>
  <c r="N8" i="12"/>
  <c r="T7" i="12"/>
  <c r="P7" i="12"/>
  <c r="O7" i="12"/>
  <c r="N7" i="12"/>
  <c r="T6" i="12"/>
  <c r="P6" i="12"/>
  <c r="O6" i="12"/>
  <c r="N6" i="12"/>
  <c r="T5" i="12"/>
  <c r="P5" i="12"/>
  <c r="O5" i="12"/>
  <c r="N5" i="12"/>
  <c r="N304" i="10"/>
  <c r="K304" i="10"/>
  <c r="J304" i="10"/>
  <c r="I304" i="10"/>
  <c r="N303" i="10"/>
  <c r="K303" i="10"/>
  <c r="J303" i="10"/>
  <c r="I303" i="10"/>
  <c r="N302" i="10"/>
  <c r="K302" i="10"/>
  <c r="J302" i="10"/>
  <c r="I302" i="10"/>
  <c r="N301" i="10"/>
  <c r="K301" i="10"/>
  <c r="J301" i="10"/>
  <c r="I301" i="10"/>
  <c r="N300" i="10"/>
  <c r="K300" i="10"/>
  <c r="J300" i="10"/>
  <c r="I300" i="10"/>
  <c r="N299" i="10"/>
  <c r="K299" i="10"/>
  <c r="J299" i="10"/>
  <c r="I299" i="10"/>
  <c r="N298" i="10"/>
  <c r="K298" i="10"/>
  <c r="J298" i="10"/>
  <c r="I298" i="10"/>
  <c r="N297" i="10"/>
  <c r="K297" i="10"/>
  <c r="J297" i="10"/>
  <c r="I297" i="10"/>
  <c r="N296" i="10"/>
  <c r="K296" i="10"/>
  <c r="J296" i="10"/>
  <c r="I296" i="10"/>
  <c r="N295" i="10"/>
  <c r="K295" i="10"/>
  <c r="J295" i="10"/>
  <c r="I295" i="10"/>
  <c r="N294" i="10"/>
  <c r="K294" i="10"/>
  <c r="J294" i="10"/>
  <c r="I294" i="10"/>
  <c r="N293" i="10"/>
  <c r="K293" i="10"/>
  <c r="J293" i="10"/>
  <c r="I293" i="10"/>
  <c r="N292" i="10"/>
  <c r="K292" i="10"/>
  <c r="J292" i="10"/>
  <c r="I292" i="10"/>
  <c r="N291" i="10"/>
  <c r="K291" i="10"/>
  <c r="J291" i="10"/>
  <c r="I291" i="10"/>
  <c r="N290" i="10"/>
  <c r="K290" i="10"/>
  <c r="J290" i="10"/>
  <c r="I290" i="10"/>
  <c r="N289" i="10"/>
  <c r="K289" i="10"/>
  <c r="J289" i="10"/>
  <c r="I289" i="10"/>
  <c r="N288" i="10"/>
  <c r="K288" i="10"/>
  <c r="J288" i="10"/>
  <c r="I288" i="10"/>
  <c r="N287" i="10"/>
  <c r="K287" i="10"/>
  <c r="J287" i="10"/>
  <c r="I287" i="10"/>
  <c r="N286" i="10"/>
  <c r="K286" i="10"/>
  <c r="J286" i="10"/>
  <c r="I286" i="10"/>
  <c r="N285" i="10"/>
  <c r="K285" i="10"/>
  <c r="J285" i="10"/>
  <c r="I285" i="10"/>
  <c r="N284" i="10"/>
  <c r="K284" i="10"/>
  <c r="J284" i="10"/>
  <c r="I284" i="10"/>
  <c r="N283" i="10"/>
  <c r="K283" i="10"/>
  <c r="J283" i="10"/>
  <c r="I283" i="10"/>
  <c r="N282" i="10"/>
  <c r="K282" i="10"/>
  <c r="J282" i="10"/>
  <c r="I282" i="10"/>
  <c r="N281" i="10"/>
  <c r="K281" i="10"/>
  <c r="J281" i="10"/>
  <c r="I281" i="10"/>
  <c r="N280" i="10"/>
  <c r="K280" i="10"/>
  <c r="J280" i="10"/>
  <c r="I280" i="10"/>
  <c r="N279" i="10"/>
  <c r="K279" i="10"/>
  <c r="J279" i="10"/>
  <c r="I279" i="10"/>
  <c r="N278" i="10"/>
  <c r="K278" i="10"/>
  <c r="J278" i="10"/>
  <c r="I278" i="10"/>
  <c r="N277" i="10"/>
  <c r="K277" i="10"/>
  <c r="J277" i="10"/>
  <c r="I277" i="10"/>
  <c r="N276" i="10"/>
  <c r="K276" i="10"/>
  <c r="J276" i="10"/>
  <c r="I276" i="10"/>
  <c r="N275" i="10"/>
  <c r="K275" i="10"/>
  <c r="J275" i="10"/>
  <c r="I275" i="10"/>
  <c r="N274" i="10"/>
  <c r="K274" i="10"/>
  <c r="J274" i="10"/>
  <c r="I274" i="10"/>
  <c r="N273" i="10"/>
  <c r="K273" i="10"/>
  <c r="J273" i="10"/>
  <c r="I273" i="10"/>
  <c r="N272" i="10"/>
  <c r="K272" i="10"/>
  <c r="J272" i="10"/>
  <c r="I272" i="10"/>
  <c r="N271" i="10"/>
  <c r="K271" i="10"/>
  <c r="J271" i="10"/>
  <c r="I271" i="10"/>
  <c r="N270" i="10"/>
  <c r="K270" i="10"/>
  <c r="J270" i="10"/>
  <c r="I270" i="10"/>
  <c r="N269" i="10"/>
  <c r="K269" i="10"/>
  <c r="J269" i="10"/>
  <c r="I269" i="10"/>
  <c r="N268" i="10"/>
  <c r="K268" i="10"/>
  <c r="J268" i="10"/>
  <c r="I268" i="10"/>
  <c r="N267" i="10"/>
  <c r="K267" i="10"/>
  <c r="J267" i="10"/>
  <c r="I267" i="10"/>
  <c r="N266" i="10"/>
  <c r="K266" i="10"/>
  <c r="J266" i="10"/>
  <c r="I266" i="10"/>
  <c r="N265" i="10"/>
  <c r="K265" i="10"/>
  <c r="J265" i="10"/>
  <c r="I265" i="10"/>
  <c r="N264" i="10"/>
  <c r="K264" i="10"/>
  <c r="J264" i="10"/>
  <c r="I264" i="10"/>
  <c r="N263" i="10"/>
  <c r="K263" i="10"/>
  <c r="J263" i="10"/>
  <c r="I263" i="10"/>
  <c r="N262" i="10"/>
  <c r="K262" i="10"/>
  <c r="J262" i="10"/>
  <c r="I262" i="10"/>
  <c r="N261" i="10"/>
  <c r="K261" i="10"/>
  <c r="J261" i="10"/>
  <c r="I261" i="10"/>
  <c r="N260" i="10"/>
  <c r="K260" i="10"/>
  <c r="J260" i="10"/>
  <c r="I260" i="10"/>
  <c r="N259" i="10"/>
  <c r="K259" i="10"/>
  <c r="J259" i="10"/>
  <c r="I259" i="10"/>
  <c r="N258" i="10"/>
  <c r="K258" i="10"/>
  <c r="J258" i="10"/>
  <c r="I258" i="10"/>
  <c r="N257" i="10"/>
  <c r="K257" i="10"/>
  <c r="J257" i="10"/>
  <c r="I257" i="10"/>
  <c r="N256" i="10"/>
  <c r="K256" i="10"/>
  <c r="J256" i="10"/>
  <c r="I256" i="10"/>
  <c r="N255" i="10"/>
  <c r="K255" i="10"/>
  <c r="J255" i="10"/>
  <c r="I255" i="10"/>
  <c r="N254" i="10"/>
  <c r="K254" i="10"/>
  <c r="J254" i="10"/>
  <c r="I254" i="10"/>
  <c r="N253" i="10"/>
  <c r="K253" i="10"/>
  <c r="J253" i="10"/>
  <c r="I253" i="10"/>
  <c r="N252" i="10"/>
  <c r="K252" i="10"/>
  <c r="J252" i="10"/>
  <c r="I252" i="10"/>
  <c r="N251" i="10"/>
  <c r="K251" i="10"/>
  <c r="J251" i="10"/>
  <c r="I251" i="10"/>
  <c r="N250" i="10"/>
  <c r="K250" i="10"/>
  <c r="J250" i="10"/>
  <c r="I250" i="10"/>
  <c r="N249" i="10"/>
  <c r="K249" i="10"/>
  <c r="J249" i="10"/>
  <c r="I249" i="10"/>
  <c r="N248" i="10"/>
  <c r="K248" i="10"/>
  <c r="J248" i="10"/>
  <c r="I248" i="10"/>
  <c r="N247" i="10"/>
  <c r="K247" i="10"/>
  <c r="J247" i="10"/>
  <c r="I247" i="10"/>
  <c r="N246" i="10"/>
  <c r="K246" i="10"/>
  <c r="J246" i="10"/>
  <c r="I246" i="10"/>
  <c r="N245" i="10"/>
  <c r="K245" i="10"/>
  <c r="J245" i="10"/>
  <c r="I245" i="10"/>
  <c r="N244" i="10"/>
  <c r="K244" i="10"/>
  <c r="J244" i="10"/>
  <c r="I244" i="10"/>
  <c r="N243" i="10"/>
  <c r="K243" i="10"/>
  <c r="J243" i="10"/>
  <c r="I243" i="10"/>
  <c r="N242" i="10"/>
  <c r="K242" i="10"/>
  <c r="J242" i="10"/>
  <c r="I242" i="10"/>
  <c r="N241" i="10"/>
  <c r="K241" i="10"/>
  <c r="J241" i="10"/>
  <c r="I241" i="10"/>
  <c r="N240" i="10"/>
  <c r="K240" i="10"/>
  <c r="J240" i="10"/>
  <c r="I240" i="10"/>
  <c r="N239" i="10"/>
  <c r="K239" i="10"/>
  <c r="J239" i="10"/>
  <c r="I239" i="10"/>
  <c r="N238" i="10"/>
  <c r="K238" i="10"/>
  <c r="J238" i="10"/>
  <c r="I238" i="10"/>
  <c r="N237" i="10"/>
  <c r="K237" i="10"/>
  <c r="J237" i="10"/>
  <c r="I237" i="10"/>
  <c r="N236" i="10"/>
  <c r="K236" i="10"/>
  <c r="J236" i="10"/>
  <c r="I236" i="10"/>
  <c r="N235" i="10"/>
  <c r="K235" i="10"/>
  <c r="J235" i="10"/>
  <c r="I235" i="10"/>
  <c r="N234" i="10"/>
  <c r="K234" i="10"/>
  <c r="J234" i="10"/>
  <c r="I234" i="10"/>
  <c r="N233" i="10"/>
  <c r="K233" i="10"/>
  <c r="J233" i="10"/>
  <c r="I233" i="10"/>
  <c r="N232" i="10"/>
  <c r="K232" i="10"/>
  <c r="J232" i="10"/>
  <c r="I232" i="10"/>
  <c r="N231" i="10"/>
  <c r="K231" i="10"/>
  <c r="J231" i="10"/>
  <c r="I231" i="10"/>
  <c r="N230" i="10"/>
  <c r="K230" i="10"/>
  <c r="J230" i="10"/>
  <c r="I230" i="10"/>
  <c r="N229" i="10"/>
  <c r="K229" i="10"/>
  <c r="J229" i="10"/>
  <c r="I229" i="10"/>
  <c r="N228" i="10"/>
  <c r="K228" i="10"/>
  <c r="J228" i="10"/>
  <c r="I228" i="10"/>
  <c r="N227" i="10"/>
  <c r="K227" i="10"/>
  <c r="J227" i="10"/>
  <c r="I227" i="10"/>
  <c r="N226" i="10"/>
  <c r="K226" i="10"/>
  <c r="J226" i="10"/>
  <c r="I226" i="10"/>
  <c r="N225" i="10"/>
  <c r="K225" i="10"/>
  <c r="J225" i="10"/>
  <c r="I225" i="10"/>
  <c r="N224" i="10"/>
  <c r="K224" i="10"/>
  <c r="J224" i="10"/>
  <c r="I224" i="10"/>
  <c r="N223" i="10"/>
  <c r="K223" i="10"/>
  <c r="J223" i="10"/>
  <c r="I223" i="10"/>
  <c r="N222" i="10"/>
  <c r="K222" i="10"/>
  <c r="J222" i="10"/>
  <c r="I222" i="10"/>
  <c r="N221" i="10"/>
  <c r="K221" i="10"/>
  <c r="J221" i="10"/>
  <c r="I221" i="10"/>
  <c r="N220" i="10"/>
  <c r="K220" i="10"/>
  <c r="J220" i="10"/>
  <c r="I220" i="10"/>
  <c r="N219" i="10"/>
  <c r="K219" i="10"/>
  <c r="J219" i="10"/>
  <c r="I219" i="10"/>
  <c r="N218" i="10"/>
  <c r="K218" i="10"/>
  <c r="J218" i="10"/>
  <c r="I218" i="10"/>
  <c r="N217" i="10"/>
  <c r="K217" i="10"/>
  <c r="J217" i="10"/>
  <c r="I217" i="10"/>
  <c r="N216" i="10"/>
  <c r="K216" i="10"/>
  <c r="J216" i="10"/>
  <c r="I216" i="10"/>
  <c r="N215" i="10"/>
  <c r="K215" i="10"/>
  <c r="J215" i="10"/>
  <c r="I215" i="10"/>
  <c r="N214" i="10"/>
  <c r="K214" i="10"/>
  <c r="J214" i="10"/>
  <c r="I214" i="10"/>
  <c r="N213" i="10"/>
  <c r="K213" i="10"/>
  <c r="J213" i="10"/>
  <c r="I213" i="10"/>
  <c r="N212" i="10"/>
  <c r="K212" i="10"/>
  <c r="J212" i="10"/>
  <c r="I212" i="10"/>
  <c r="N211" i="10"/>
  <c r="K211" i="10"/>
  <c r="J211" i="10"/>
  <c r="I211" i="10"/>
  <c r="N210" i="10"/>
  <c r="K210" i="10"/>
  <c r="J210" i="10"/>
  <c r="I210" i="10"/>
  <c r="N209" i="10"/>
  <c r="K209" i="10"/>
  <c r="J209" i="10"/>
  <c r="I209" i="10"/>
  <c r="N208" i="10"/>
  <c r="K208" i="10"/>
  <c r="J208" i="10"/>
  <c r="I208" i="10"/>
  <c r="N207" i="10"/>
  <c r="K207" i="10"/>
  <c r="J207" i="10"/>
  <c r="I207" i="10"/>
  <c r="N206" i="10"/>
  <c r="K206" i="10"/>
  <c r="J206" i="10"/>
  <c r="I206" i="10"/>
  <c r="N205" i="10"/>
  <c r="K205" i="10"/>
  <c r="J205" i="10"/>
  <c r="I205" i="10"/>
  <c r="N204" i="10"/>
  <c r="K204" i="10"/>
  <c r="J204" i="10"/>
  <c r="I204" i="10"/>
  <c r="N203" i="10"/>
  <c r="K203" i="10"/>
  <c r="J203" i="10"/>
  <c r="I203" i="10"/>
  <c r="N202" i="10"/>
  <c r="K202" i="10"/>
  <c r="J202" i="10"/>
  <c r="I202" i="10"/>
  <c r="N201" i="10"/>
  <c r="K201" i="10"/>
  <c r="J201" i="10"/>
  <c r="I201" i="10"/>
  <c r="N200" i="10"/>
  <c r="K200" i="10"/>
  <c r="J200" i="10"/>
  <c r="I200" i="10"/>
  <c r="N199" i="10"/>
  <c r="K199" i="10"/>
  <c r="J199" i="10"/>
  <c r="I199" i="10"/>
  <c r="N198" i="10"/>
  <c r="K198" i="10"/>
  <c r="J198" i="10"/>
  <c r="I198" i="10"/>
  <c r="N197" i="10"/>
  <c r="K197" i="10"/>
  <c r="J197" i="10"/>
  <c r="I197" i="10"/>
  <c r="N196" i="10"/>
  <c r="K196" i="10"/>
  <c r="J196" i="10"/>
  <c r="I196" i="10"/>
  <c r="N195" i="10"/>
  <c r="K195" i="10"/>
  <c r="J195" i="10"/>
  <c r="I195" i="10"/>
  <c r="N194" i="10"/>
  <c r="K194" i="10"/>
  <c r="J194" i="10"/>
  <c r="I194" i="10"/>
  <c r="N193" i="10"/>
  <c r="K193" i="10"/>
  <c r="J193" i="10"/>
  <c r="I193" i="10"/>
  <c r="N192" i="10"/>
  <c r="K192" i="10"/>
  <c r="J192" i="10"/>
  <c r="I192" i="10"/>
  <c r="N191" i="10"/>
  <c r="K191" i="10"/>
  <c r="J191" i="10"/>
  <c r="I191" i="10"/>
  <c r="N190" i="10"/>
  <c r="K190" i="10"/>
  <c r="J190" i="10"/>
  <c r="I190" i="10"/>
  <c r="N189" i="10"/>
  <c r="K189" i="10"/>
  <c r="J189" i="10"/>
  <c r="I189" i="10"/>
  <c r="N188" i="10"/>
  <c r="K188" i="10"/>
  <c r="J188" i="10"/>
  <c r="I188" i="10"/>
  <c r="N187" i="10"/>
  <c r="K187" i="10"/>
  <c r="J187" i="10"/>
  <c r="I187" i="10"/>
  <c r="N186" i="10"/>
  <c r="K186" i="10"/>
  <c r="J186" i="10"/>
  <c r="I186" i="10"/>
  <c r="N185" i="10"/>
  <c r="K185" i="10"/>
  <c r="J185" i="10"/>
  <c r="I185" i="10"/>
  <c r="N184" i="10"/>
  <c r="K184" i="10"/>
  <c r="J184" i="10"/>
  <c r="I184" i="10"/>
  <c r="N183" i="10"/>
  <c r="K183" i="10"/>
  <c r="J183" i="10"/>
  <c r="I183" i="10"/>
  <c r="N182" i="10"/>
  <c r="K182" i="10"/>
  <c r="J182" i="10"/>
  <c r="I182" i="10"/>
  <c r="N181" i="10"/>
  <c r="K181" i="10"/>
  <c r="J181" i="10"/>
  <c r="I181" i="10"/>
  <c r="N180" i="10"/>
  <c r="K180" i="10"/>
  <c r="J180" i="10"/>
  <c r="I180" i="10"/>
  <c r="N179" i="10"/>
  <c r="K179" i="10"/>
  <c r="J179" i="10"/>
  <c r="I179" i="10"/>
  <c r="N178" i="10"/>
  <c r="K178" i="10"/>
  <c r="J178" i="10"/>
  <c r="I178" i="10"/>
  <c r="N177" i="10"/>
  <c r="K177" i="10"/>
  <c r="J177" i="10"/>
  <c r="I177" i="10"/>
  <c r="N176" i="10"/>
  <c r="K176" i="10"/>
  <c r="J176" i="10"/>
  <c r="I176" i="10"/>
  <c r="N175" i="10"/>
  <c r="K175" i="10"/>
  <c r="J175" i="10"/>
  <c r="I175" i="10"/>
  <c r="N174" i="10"/>
  <c r="K174" i="10"/>
  <c r="J174" i="10"/>
  <c r="I174" i="10"/>
  <c r="N173" i="10"/>
  <c r="K173" i="10"/>
  <c r="J173" i="10"/>
  <c r="I173" i="10"/>
  <c r="N172" i="10"/>
  <c r="K172" i="10"/>
  <c r="J172" i="10"/>
  <c r="I172" i="10"/>
  <c r="N171" i="10"/>
  <c r="K171" i="10"/>
  <c r="J171" i="10"/>
  <c r="I171" i="10"/>
  <c r="N170" i="10"/>
  <c r="K170" i="10"/>
  <c r="J170" i="10"/>
  <c r="I170" i="10"/>
  <c r="N169" i="10"/>
  <c r="K169" i="10"/>
  <c r="J169" i="10"/>
  <c r="I169" i="10"/>
  <c r="N168" i="10"/>
  <c r="K168" i="10"/>
  <c r="J168" i="10"/>
  <c r="I168" i="10"/>
  <c r="N167" i="10"/>
  <c r="K167" i="10"/>
  <c r="J167" i="10"/>
  <c r="I167" i="10"/>
  <c r="N166" i="10"/>
  <c r="K166" i="10"/>
  <c r="J166" i="10"/>
  <c r="I166" i="10"/>
  <c r="N165" i="10"/>
  <c r="K165" i="10"/>
  <c r="J165" i="10"/>
  <c r="I165" i="10"/>
  <c r="N164" i="10"/>
  <c r="K164" i="10"/>
  <c r="J164" i="10"/>
  <c r="I164" i="10"/>
  <c r="N163" i="10"/>
  <c r="K163" i="10"/>
  <c r="J163" i="10"/>
  <c r="I163" i="10"/>
  <c r="N162" i="10"/>
  <c r="K162" i="10"/>
  <c r="J162" i="10"/>
  <c r="I162" i="10"/>
  <c r="N161" i="10"/>
  <c r="K161" i="10"/>
  <c r="J161" i="10"/>
  <c r="I161" i="10"/>
  <c r="N160" i="10"/>
  <c r="K160" i="10"/>
  <c r="J160" i="10"/>
  <c r="I160" i="10"/>
  <c r="N159" i="10"/>
  <c r="K159" i="10"/>
  <c r="J159" i="10"/>
  <c r="I159" i="10"/>
  <c r="N158" i="10"/>
  <c r="K158" i="10"/>
  <c r="J158" i="10"/>
  <c r="I158" i="10"/>
  <c r="N157" i="10"/>
  <c r="K157" i="10"/>
  <c r="J157" i="10"/>
  <c r="I157" i="10"/>
  <c r="N156" i="10"/>
  <c r="K156" i="10"/>
  <c r="J156" i="10"/>
  <c r="I156" i="10"/>
  <c r="N155" i="10"/>
  <c r="K155" i="10"/>
  <c r="J155" i="10"/>
  <c r="I155" i="10"/>
  <c r="N154" i="10"/>
  <c r="K154" i="10"/>
  <c r="J154" i="10"/>
  <c r="I154" i="10"/>
  <c r="N153" i="10"/>
  <c r="K153" i="10"/>
  <c r="J153" i="10"/>
  <c r="I153" i="10"/>
  <c r="N152" i="10"/>
  <c r="K152" i="10"/>
  <c r="J152" i="10"/>
  <c r="I152" i="10"/>
  <c r="N151" i="10"/>
  <c r="K151" i="10"/>
  <c r="J151" i="10"/>
  <c r="I151" i="10"/>
  <c r="N150" i="10"/>
  <c r="K150" i="10"/>
  <c r="J150" i="10"/>
  <c r="I150" i="10"/>
  <c r="N149" i="10"/>
  <c r="K149" i="10"/>
  <c r="J149" i="10"/>
  <c r="I149" i="10"/>
  <c r="N148" i="10"/>
  <c r="K148" i="10"/>
  <c r="J148" i="10"/>
  <c r="I148" i="10"/>
  <c r="N147" i="10"/>
  <c r="K147" i="10"/>
  <c r="J147" i="10"/>
  <c r="I147" i="10"/>
  <c r="N146" i="10"/>
  <c r="K146" i="10"/>
  <c r="J146" i="10"/>
  <c r="I146" i="10"/>
  <c r="N145" i="10"/>
  <c r="K145" i="10"/>
  <c r="J145" i="10"/>
  <c r="I145" i="10"/>
  <c r="N144" i="10"/>
  <c r="K144" i="10"/>
  <c r="J144" i="10"/>
  <c r="I144" i="10"/>
  <c r="N143" i="10"/>
  <c r="K143" i="10"/>
  <c r="J143" i="10"/>
  <c r="I143" i="10"/>
  <c r="N142" i="10"/>
  <c r="K142" i="10"/>
  <c r="J142" i="10"/>
  <c r="I142" i="10"/>
  <c r="N141" i="10"/>
  <c r="K141" i="10"/>
  <c r="J141" i="10"/>
  <c r="I141" i="10"/>
  <c r="N140" i="10"/>
  <c r="K140" i="10"/>
  <c r="J140" i="10"/>
  <c r="I140" i="10"/>
  <c r="N139" i="10"/>
  <c r="K139" i="10"/>
  <c r="J139" i="10"/>
  <c r="I139" i="10"/>
  <c r="N138" i="10"/>
  <c r="K138" i="10"/>
  <c r="J138" i="10"/>
  <c r="I138" i="10"/>
  <c r="N137" i="10"/>
  <c r="K137" i="10"/>
  <c r="J137" i="10"/>
  <c r="I137" i="10"/>
  <c r="N136" i="10"/>
  <c r="K136" i="10"/>
  <c r="J136" i="10"/>
  <c r="I136" i="10"/>
  <c r="N135" i="10"/>
  <c r="K135" i="10"/>
  <c r="J135" i="10"/>
  <c r="I135" i="10"/>
  <c r="N134" i="10"/>
  <c r="K134" i="10"/>
  <c r="J134" i="10"/>
  <c r="I134" i="10"/>
  <c r="N133" i="10"/>
  <c r="K133" i="10"/>
  <c r="J133" i="10"/>
  <c r="I133" i="10"/>
  <c r="N132" i="10"/>
  <c r="K132" i="10"/>
  <c r="J132" i="10"/>
  <c r="I132" i="10"/>
  <c r="N131" i="10"/>
  <c r="K131" i="10"/>
  <c r="J131" i="10"/>
  <c r="I131" i="10"/>
  <c r="N130" i="10"/>
  <c r="K130" i="10"/>
  <c r="J130" i="10"/>
  <c r="I130" i="10"/>
  <c r="N129" i="10"/>
  <c r="K129" i="10"/>
  <c r="J129" i="10"/>
  <c r="I129" i="10"/>
  <c r="N128" i="10"/>
  <c r="K128" i="10"/>
  <c r="J128" i="10"/>
  <c r="I128" i="10"/>
  <c r="N127" i="10"/>
  <c r="K127" i="10"/>
  <c r="J127" i="10"/>
  <c r="I127" i="10"/>
  <c r="N126" i="10"/>
  <c r="K126" i="10"/>
  <c r="J126" i="10"/>
  <c r="I126" i="10"/>
  <c r="N125" i="10"/>
  <c r="K125" i="10"/>
  <c r="J125" i="10"/>
  <c r="I125" i="10"/>
  <c r="N124" i="10"/>
  <c r="K124" i="10"/>
  <c r="J124" i="10"/>
  <c r="I124" i="10"/>
  <c r="N123" i="10"/>
  <c r="K123" i="10"/>
  <c r="J123" i="10"/>
  <c r="I123" i="10"/>
  <c r="N122" i="10"/>
  <c r="K122" i="10"/>
  <c r="J122" i="10"/>
  <c r="I122" i="10"/>
  <c r="N121" i="10"/>
  <c r="K121" i="10"/>
  <c r="J121" i="10"/>
  <c r="I121" i="10"/>
  <c r="N120" i="10"/>
  <c r="K120" i="10"/>
  <c r="J120" i="10"/>
  <c r="I120" i="10"/>
  <c r="N119" i="10"/>
  <c r="K119" i="10"/>
  <c r="J119" i="10"/>
  <c r="I119" i="10"/>
  <c r="N118" i="10"/>
  <c r="K118" i="10"/>
  <c r="J118" i="10"/>
  <c r="I118" i="10"/>
  <c r="N117" i="10"/>
  <c r="K117" i="10"/>
  <c r="J117" i="10"/>
  <c r="I117" i="10"/>
  <c r="N116" i="10"/>
  <c r="K116" i="10"/>
  <c r="J116" i="10"/>
  <c r="I116" i="10"/>
  <c r="N115" i="10"/>
  <c r="K115" i="10"/>
  <c r="J115" i="10"/>
  <c r="I115" i="10"/>
  <c r="N114" i="10"/>
  <c r="K114" i="10"/>
  <c r="J114" i="10"/>
  <c r="I114" i="10"/>
  <c r="N113" i="10"/>
  <c r="K113" i="10"/>
  <c r="J113" i="10"/>
  <c r="I113" i="10"/>
  <c r="N112" i="10"/>
  <c r="K112" i="10"/>
  <c r="J112" i="10"/>
  <c r="I112" i="10"/>
  <c r="N111" i="10"/>
  <c r="K111" i="10"/>
  <c r="J111" i="10"/>
  <c r="I111" i="10"/>
  <c r="N110" i="10"/>
  <c r="K110" i="10"/>
  <c r="J110" i="10"/>
  <c r="I110" i="10"/>
  <c r="N109" i="10"/>
  <c r="K109" i="10"/>
  <c r="J109" i="10"/>
  <c r="I109" i="10"/>
  <c r="N108" i="10"/>
  <c r="K108" i="10"/>
  <c r="J108" i="10"/>
  <c r="I108" i="10"/>
  <c r="N107" i="10"/>
  <c r="K107" i="10"/>
  <c r="J107" i="10"/>
  <c r="I107" i="10"/>
  <c r="N106" i="10"/>
  <c r="K106" i="10"/>
  <c r="J106" i="10"/>
  <c r="I106" i="10"/>
  <c r="N105" i="10"/>
  <c r="K105" i="10"/>
  <c r="J105" i="10"/>
  <c r="I105" i="10"/>
  <c r="N104" i="10"/>
  <c r="K104" i="10"/>
  <c r="J104" i="10"/>
  <c r="I104" i="10"/>
  <c r="N103" i="10"/>
  <c r="K103" i="10"/>
  <c r="J103" i="10"/>
  <c r="I103" i="10"/>
  <c r="N102" i="10"/>
  <c r="K102" i="10"/>
  <c r="J102" i="10"/>
  <c r="I102" i="10"/>
  <c r="N101" i="10"/>
  <c r="K101" i="10"/>
  <c r="J101" i="10"/>
  <c r="I101" i="10"/>
  <c r="N100" i="10"/>
  <c r="K100" i="10"/>
  <c r="J100" i="10"/>
  <c r="I100" i="10"/>
  <c r="N99" i="10"/>
  <c r="K99" i="10"/>
  <c r="J99" i="10"/>
  <c r="I99" i="10"/>
  <c r="N98" i="10"/>
  <c r="K98" i="10"/>
  <c r="J98" i="10"/>
  <c r="I98" i="10"/>
  <c r="N97" i="10"/>
  <c r="K97" i="10"/>
  <c r="J97" i="10"/>
  <c r="I97" i="10"/>
  <c r="N96" i="10"/>
  <c r="K96" i="10"/>
  <c r="J96" i="10"/>
  <c r="I96" i="10"/>
  <c r="N95" i="10"/>
  <c r="K95" i="10"/>
  <c r="J95" i="10"/>
  <c r="I95" i="10"/>
  <c r="N94" i="10"/>
  <c r="K94" i="10"/>
  <c r="J94" i="10"/>
  <c r="I94" i="10"/>
  <c r="N93" i="10"/>
  <c r="K93" i="10"/>
  <c r="J93" i="10"/>
  <c r="I93" i="10"/>
  <c r="N92" i="10"/>
  <c r="K92" i="10"/>
  <c r="J92" i="10"/>
  <c r="I92" i="10"/>
  <c r="N91" i="10"/>
  <c r="K91" i="10"/>
  <c r="J91" i="10"/>
  <c r="I91" i="10"/>
  <c r="N90" i="10"/>
  <c r="K90" i="10"/>
  <c r="J90" i="10"/>
  <c r="I90" i="10"/>
  <c r="N89" i="10"/>
  <c r="K89" i="10"/>
  <c r="J89" i="10"/>
  <c r="I89" i="10"/>
  <c r="N88" i="10"/>
  <c r="K88" i="10"/>
  <c r="J88" i="10"/>
  <c r="I88" i="10"/>
  <c r="N87" i="10"/>
  <c r="K87" i="10"/>
  <c r="J87" i="10"/>
  <c r="I87" i="10"/>
  <c r="N86" i="10"/>
  <c r="K86" i="10"/>
  <c r="J86" i="10"/>
  <c r="I86" i="10"/>
  <c r="N85" i="10"/>
  <c r="K85" i="10"/>
  <c r="J85" i="10"/>
  <c r="I85" i="10"/>
  <c r="N84" i="10"/>
  <c r="K84" i="10"/>
  <c r="J84" i="10"/>
  <c r="I84" i="10"/>
  <c r="N83" i="10"/>
  <c r="K83" i="10"/>
  <c r="J83" i="10"/>
  <c r="I83" i="10"/>
  <c r="N82" i="10"/>
  <c r="K82" i="10"/>
  <c r="J82" i="10"/>
  <c r="I82" i="10"/>
  <c r="N81" i="10"/>
  <c r="K81" i="10"/>
  <c r="J81" i="10"/>
  <c r="I81" i="10"/>
  <c r="N80" i="10"/>
  <c r="K80" i="10"/>
  <c r="J80" i="10"/>
  <c r="I80" i="10"/>
  <c r="N79" i="10"/>
  <c r="K79" i="10"/>
  <c r="J79" i="10"/>
  <c r="I79" i="10"/>
  <c r="N78" i="10"/>
  <c r="K78" i="10"/>
  <c r="J78" i="10"/>
  <c r="I78" i="10"/>
  <c r="N77" i="10"/>
  <c r="K77" i="10"/>
  <c r="J77" i="10"/>
  <c r="I77" i="10"/>
  <c r="N76" i="10"/>
  <c r="K76" i="10"/>
  <c r="J76" i="10"/>
  <c r="I76" i="10"/>
  <c r="N75" i="10"/>
  <c r="K75" i="10"/>
  <c r="J75" i="10"/>
  <c r="I75" i="10"/>
  <c r="N74" i="10"/>
  <c r="K74" i="10"/>
  <c r="J74" i="10"/>
  <c r="I74" i="10"/>
  <c r="N73" i="10"/>
  <c r="K73" i="10"/>
  <c r="J73" i="10"/>
  <c r="I73" i="10"/>
  <c r="N72" i="10"/>
  <c r="K72" i="10"/>
  <c r="J72" i="10"/>
  <c r="I72" i="10"/>
  <c r="N71" i="10"/>
  <c r="K71" i="10"/>
  <c r="J71" i="10"/>
  <c r="I71" i="10"/>
  <c r="N70" i="10"/>
  <c r="K70" i="10"/>
  <c r="J70" i="10"/>
  <c r="I70" i="10"/>
  <c r="N69" i="10"/>
  <c r="K69" i="10"/>
  <c r="J69" i="10"/>
  <c r="I69" i="10"/>
  <c r="N68" i="10"/>
  <c r="K68" i="10"/>
  <c r="J68" i="10"/>
  <c r="I68" i="10"/>
  <c r="N67" i="10"/>
  <c r="K67" i="10"/>
  <c r="J67" i="10"/>
  <c r="I67" i="10"/>
  <c r="N66" i="10"/>
  <c r="K66" i="10"/>
  <c r="J66" i="10"/>
  <c r="I66" i="10"/>
  <c r="N65" i="10"/>
  <c r="K65" i="10"/>
  <c r="J65" i="10"/>
  <c r="I65" i="10"/>
  <c r="N64" i="10"/>
  <c r="K64" i="10"/>
  <c r="J64" i="10"/>
  <c r="I64" i="10"/>
  <c r="N63" i="10"/>
  <c r="K63" i="10"/>
  <c r="J63" i="10"/>
  <c r="I63" i="10"/>
  <c r="N62" i="10"/>
  <c r="K62" i="10"/>
  <c r="J62" i="10"/>
  <c r="I62" i="10"/>
  <c r="N61" i="10"/>
  <c r="K61" i="10"/>
  <c r="J61" i="10"/>
  <c r="I61" i="10"/>
  <c r="N60" i="10"/>
  <c r="K60" i="10"/>
  <c r="J60" i="10"/>
  <c r="I60" i="10"/>
  <c r="N59" i="10"/>
  <c r="K59" i="10"/>
  <c r="J59" i="10"/>
  <c r="I59" i="10"/>
  <c r="N58" i="10"/>
  <c r="K58" i="10"/>
  <c r="J58" i="10"/>
  <c r="I58" i="10"/>
  <c r="N57" i="10"/>
  <c r="K57" i="10"/>
  <c r="J57" i="10"/>
  <c r="I57" i="10"/>
  <c r="N56" i="10"/>
  <c r="K56" i="10"/>
  <c r="J56" i="10"/>
  <c r="I56" i="10"/>
  <c r="N55" i="10"/>
  <c r="K55" i="10"/>
  <c r="J55" i="10"/>
  <c r="I55" i="10"/>
  <c r="N54" i="10"/>
  <c r="K54" i="10"/>
  <c r="J54" i="10"/>
  <c r="I54" i="10"/>
  <c r="N53" i="10"/>
  <c r="K53" i="10"/>
  <c r="J53" i="10"/>
  <c r="I53" i="10"/>
  <c r="N52" i="10"/>
  <c r="K52" i="10"/>
  <c r="J52" i="10"/>
  <c r="I52" i="10"/>
  <c r="N51" i="10"/>
  <c r="K51" i="10"/>
  <c r="J51" i="10"/>
  <c r="I51" i="10"/>
  <c r="N50" i="10"/>
  <c r="K50" i="10"/>
  <c r="J50" i="10"/>
  <c r="I50" i="10"/>
  <c r="N49" i="10"/>
  <c r="K49" i="10"/>
  <c r="J49" i="10"/>
  <c r="I49" i="10"/>
  <c r="N48" i="10"/>
  <c r="K48" i="10"/>
  <c r="J48" i="10"/>
  <c r="I48" i="10"/>
  <c r="N47" i="10"/>
  <c r="K47" i="10"/>
  <c r="J47" i="10"/>
  <c r="I47" i="10"/>
  <c r="N46" i="10"/>
  <c r="K46" i="10"/>
  <c r="J46" i="10"/>
  <c r="I46" i="10"/>
  <c r="N45" i="10"/>
  <c r="K45" i="10"/>
  <c r="J45" i="10"/>
  <c r="I45" i="10"/>
  <c r="N44" i="10"/>
  <c r="K44" i="10"/>
  <c r="J44" i="10"/>
  <c r="I44" i="10"/>
  <c r="N43" i="10"/>
  <c r="K43" i="10"/>
  <c r="J43" i="10"/>
  <c r="I43" i="10"/>
  <c r="N42" i="10"/>
  <c r="K42" i="10"/>
  <c r="J42" i="10"/>
  <c r="I42" i="10"/>
  <c r="N41" i="10"/>
  <c r="K41" i="10"/>
  <c r="J41" i="10"/>
  <c r="I41" i="10"/>
  <c r="N40" i="10"/>
  <c r="K40" i="10"/>
  <c r="J40" i="10"/>
  <c r="I40" i="10"/>
  <c r="N39" i="10"/>
  <c r="K39" i="10"/>
  <c r="J39" i="10"/>
  <c r="I39" i="10"/>
  <c r="N38" i="10"/>
  <c r="K38" i="10"/>
  <c r="J38" i="10"/>
  <c r="I38" i="10"/>
  <c r="N37" i="10"/>
  <c r="K37" i="10"/>
  <c r="J37" i="10"/>
  <c r="I37" i="10"/>
  <c r="N36" i="10"/>
  <c r="K36" i="10"/>
  <c r="J36" i="10"/>
  <c r="I36" i="10"/>
  <c r="N35" i="10"/>
  <c r="K35" i="10"/>
  <c r="J35" i="10"/>
  <c r="I35" i="10"/>
  <c r="N34" i="10"/>
  <c r="K34" i="10"/>
  <c r="J34" i="10"/>
  <c r="I34" i="10"/>
  <c r="N33" i="10"/>
  <c r="K33" i="10"/>
  <c r="J33" i="10"/>
  <c r="I33" i="10"/>
  <c r="N32" i="10"/>
  <c r="K32" i="10"/>
  <c r="J32" i="10"/>
  <c r="I32" i="10"/>
  <c r="N31" i="10"/>
  <c r="K31" i="10"/>
  <c r="J31" i="10"/>
  <c r="I31" i="10"/>
  <c r="N30" i="10"/>
  <c r="K30" i="10"/>
  <c r="J30" i="10"/>
  <c r="I30" i="10"/>
  <c r="N29" i="10"/>
  <c r="K29" i="10"/>
  <c r="J29" i="10"/>
  <c r="I29" i="10"/>
  <c r="N28" i="10"/>
  <c r="K28" i="10"/>
  <c r="J28" i="10"/>
  <c r="I28" i="10"/>
  <c r="N27" i="10"/>
  <c r="K27" i="10"/>
  <c r="J27" i="10"/>
  <c r="I27" i="10"/>
  <c r="N26" i="10"/>
  <c r="K26" i="10"/>
  <c r="J26" i="10"/>
  <c r="I26" i="10"/>
  <c r="N25" i="10"/>
  <c r="K25" i="10"/>
  <c r="J25" i="10"/>
  <c r="I25" i="10"/>
  <c r="N24" i="10"/>
  <c r="K24" i="10"/>
  <c r="J24" i="10"/>
  <c r="I24" i="10"/>
  <c r="N23" i="10"/>
  <c r="K23" i="10"/>
  <c r="J23" i="10"/>
  <c r="I23" i="10"/>
  <c r="N22" i="10"/>
  <c r="K22" i="10"/>
  <c r="J22" i="10"/>
  <c r="I22" i="10"/>
  <c r="N21" i="10"/>
  <c r="K21" i="10"/>
  <c r="J21" i="10"/>
  <c r="I21" i="10"/>
  <c r="N20" i="10"/>
  <c r="K20" i="10"/>
  <c r="J20" i="10"/>
  <c r="I20" i="10"/>
  <c r="N19" i="10"/>
  <c r="K19" i="10"/>
  <c r="J19" i="10"/>
  <c r="I19" i="10"/>
  <c r="N18" i="10"/>
  <c r="K18" i="10"/>
  <c r="J18" i="10"/>
  <c r="I18" i="10"/>
  <c r="N17" i="10"/>
  <c r="K17" i="10"/>
  <c r="J17" i="10"/>
  <c r="I17" i="10"/>
  <c r="N16" i="10"/>
  <c r="K16" i="10"/>
  <c r="J16" i="10"/>
  <c r="I16" i="10"/>
  <c r="N15" i="10"/>
  <c r="K15" i="10"/>
  <c r="J15" i="10"/>
  <c r="I15" i="10"/>
  <c r="N14" i="10"/>
  <c r="K14" i="10"/>
  <c r="J14" i="10"/>
  <c r="I14" i="10"/>
  <c r="N13" i="10"/>
  <c r="K13" i="10"/>
  <c r="J13" i="10"/>
  <c r="I13" i="10"/>
  <c r="N12" i="10"/>
  <c r="K12" i="10"/>
  <c r="J12" i="10"/>
  <c r="I12" i="10"/>
  <c r="N11" i="10"/>
  <c r="K11" i="10"/>
  <c r="J11" i="10"/>
  <c r="I11" i="10"/>
  <c r="N10" i="10"/>
  <c r="K10" i="10"/>
  <c r="J10" i="10"/>
  <c r="I10" i="10"/>
  <c r="N9" i="10"/>
  <c r="K9" i="10"/>
  <c r="J9" i="10"/>
  <c r="I9" i="10"/>
  <c r="N8" i="10"/>
  <c r="K8" i="10"/>
  <c r="J8" i="10"/>
  <c r="I8" i="10"/>
  <c r="N7" i="10"/>
  <c r="K7" i="10"/>
  <c r="J7" i="10"/>
  <c r="I7" i="10"/>
  <c r="N6" i="10"/>
  <c r="K6" i="10"/>
  <c r="J6" i="10"/>
  <c r="I6" i="10"/>
  <c r="N5" i="10"/>
  <c r="K5" i="10"/>
  <c r="J5" i="10"/>
  <c r="I5" i="10"/>
  <c r="S304" i="9"/>
  <c r="R304" i="9"/>
  <c r="S303" i="9"/>
  <c r="R303" i="9"/>
  <c r="S302" i="9"/>
  <c r="R302" i="9"/>
  <c r="S301" i="9"/>
  <c r="R301" i="9"/>
  <c r="S300" i="9"/>
  <c r="R300" i="9"/>
  <c r="S299" i="9"/>
  <c r="R299" i="9"/>
  <c r="S298" i="9"/>
  <c r="R298" i="9"/>
  <c r="S297" i="9"/>
  <c r="R297" i="9"/>
  <c r="S296" i="9"/>
  <c r="R296" i="9"/>
  <c r="S295" i="9"/>
  <c r="R295" i="9"/>
  <c r="S294" i="9"/>
  <c r="R294" i="9"/>
  <c r="S293" i="9"/>
  <c r="R293" i="9"/>
  <c r="S292" i="9"/>
  <c r="R292" i="9"/>
  <c r="S291" i="9"/>
  <c r="R291" i="9"/>
  <c r="S290" i="9"/>
  <c r="R290" i="9"/>
  <c r="S289" i="9"/>
  <c r="R289" i="9"/>
  <c r="S288" i="9"/>
  <c r="R288" i="9"/>
  <c r="S287" i="9"/>
  <c r="R287" i="9"/>
  <c r="S286" i="9"/>
  <c r="R286" i="9"/>
  <c r="S285" i="9"/>
  <c r="R285" i="9"/>
  <c r="S284" i="9"/>
  <c r="R284" i="9"/>
  <c r="S283" i="9"/>
  <c r="R283" i="9"/>
  <c r="S282" i="9"/>
  <c r="R282" i="9"/>
  <c r="S281" i="9"/>
  <c r="R281" i="9"/>
  <c r="S280" i="9"/>
  <c r="R280" i="9"/>
  <c r="S279" i="9"/>
  <c r="R279" i="9"/>
  <c r="S278" i="9"/>
  <c r="R278" i="9"/>
  <c r="S277" i="9"/>
  <c r="R277" i="9"/>
  <c r="S276" i="9"/>
  <c r="R276" i="9"/>
  <c r="S275" i="9"/>
  <c r="R275" i="9"/>
  <c r="S274" i="9"/>
  <c r="R274" i="9"/>
  <c r="S273" i="9"/>
  <c r="R273" i="9"/>
  <c r="S272" i="9"/>
  <c r="R272" i="9"/>
  <c r="S271" i="9"/>
  <c r="R271" i="9"/>
  <c r="S270" i="9"/>
  <c r="R270" i="9"/>
  <c r="S269" i="9"/>
  <c r="R269" i="9"/>
  <c r="S268" i="9"/>
  <c r="R268" i="9"/>
  <c r="S267" i="9"/>
  <c r="R267" i="9"/>
  <c r="S266" i="9"/>
  <c r="R266" i="9"/>
  <c r="S265" i="9"/>
  <c r="R265" i="9"/>
  <c r="S264" i="9"/>
  <c r="R264" i="9"/>
  <c r="S263" i="9"/>
  <c r="R263" i="9"/>
  <c r="S262" i="9"/>
  <c r="R262" i="9"/>
  <c r="S261" i="9"/>
  <c r="R261" i="9"/>
  <c r="S260" i="9"/>
  <c r="R260" i="9"/>
  <c r="S259" i="9"/>
  <c r="R259" i="9"/>
  <c r="S258" i="9"/>
  <c r="R258" i="9"/>
  <c r="S257" i="9"/>
  <c r="R257" i="9"/>
  <c r="S256" i="9"/>
  <c r="R256" i="9"/>
  <c r="S255" i="9"/>
  <c r="R255" i="9"/>
  <c r="S254" i="9"/>
  <c r="R254" i="9"/>
  <c r="S253" i="9"/>
  <c r="R253" i="9"/>
  <c r="S252" i="9"/>
  <c r="R252" i="9"/>
  <c r="S251" i="9"/>
  <c r="R251" i="9"/>
  <c r="S250" i="9"/>
  <c r="R250" i="9"/>
  <c r="S249" i="9"/>
  <c r="R249" i="9"/>
  <c r="S248" i="9"/>
  <c r="R248" i="9"/>
  <c r="S247" i="9"/>
  <c r="R247" i="9"/>
  <c r="S246" i="9"/>
  <c r="R246" i="9"/>
  <c r="S245" i="9"/>
  <c r="R245" i="9"/>
  <c r="S244" i="9"/>
  <c r="R244" i="9"/>
  <c r="S243" i="9"/>
  <c r="R243" i="9"/>
  <c r="S242" i="9"/>
  <c r="R242" i="9"/>
  <c r="S241" i="9"/>
  <c r="R241" i="9"/>
  <c r="S240" i="9"/>
  <c r="R240" i="9"/>
  <c r="S239" i="9"/>
  <c r="R239" i="9"/>
  <c r="S238" i="9"/>
  <c r="R238" i="9"/>
  <c r="S237" i="9"/>
  <c r="R237" i="9"/>
  <c r="S236" i="9"/>
  <c r="R236" i="9"/>
  <c r="S235" i="9"/>
  <c r="R235" i="9"/>
  <c r="S234" i="9"/>
  <c r="R234" i="9"/>
  <c r="S233" i="9"/>
  <c r="R233" i="9"/>
  <c r="S232" i="9"/>
  <c r="R232" i="9"/>
  <c r="S231" i="9"/>
  <c r="R231" i="9"/>
  <c r="S230" i="9"/>
  <c r="R230" i="9"/>
  <c r="S229" i="9"/>
  <c r="R229" i="9"/>
  <c r="S228" i="9"/>
  <c r="R228" i="9"/>
  <c r="S227" i="9"/>
  <c r="R227" i="9"/>
  <c r="S226" i="9"/>
  <c r="R226" i="9"/>
  <c r="S225" i="9"/>
  <c r="R225" i="9"/>
  <c r="S224" i="9"/>
  <c r="R224" i="9"/>
  <c r="S223" i="9"/>
  <c r="R223" i="9"/>
  <c r="S222" i="9"/>
  <c r="R222" i="9"/>
  <c r="S221" i="9"/>
  <c r="R221" i="9"/>
  <c r="S220" i="9"/>
  <c r="R220" i="9"/>
  <c r="S219" i="9"/>
  <c r="R219" i="9"/>
  <c r="S218" i="9"/>
  <c r="R218" i="9"/>
  <c r="S217" i="9"/>
  <c r="R217" i="9"/>
  <c r="S216" i="9"/>
  <c r="R216" i="9"/>
  <c r="S215" i="9"/>
  <c r="R215" i="9"/>
  <c r="S214" i="9"/>
  <c r="R214" i="9"/>
  <c r="S213" i="9"/>
  <c r="R213" i="9"/>
  <c r="S212" i="9"/>
  <c r="R212" i="9"/>
  <c r="S211" i="9"/>
  <c r="R211" i="9"/>
  <c r="S210" i="9"/>
  <c r="R210" i="9"/>
  <c r="S209" i="9"/>
  <c r="R209" i="9"/>
  <c r="S208" i="9"/>
  <c r="R208" i="9"/>
  <c r="S207" i="9"/>
  <c r="R207" i="9"/>
  <c r="S206" i="9"/>
  <c r="R206" i="9"/>
  <c r="S205" i="9"/>
  <c r="R205" i="9"/>
  <c r="S204" i="9"/>
  <c r="R204" i="9"/>
  <c r="S203" i="9"/>
  <c r="R203" i="9"/>
  <c r="S202" i="9"/>
  <c r="R202" i="9"/>
  <c r="S201" i="9"/>
  <c r="R201" i="9"/>
  <c r="S200" i="9"/>
  <c r="R200" i="9"/>
  <c r="S199" i="9"/>
  <c r="R199" i="9"/>
  <c r="S198" i="9"/>
  <c r="R198" i="9"/>
  <c r="S197" i="9"/>
  <c r="R197" i="9"/>
  <c r="S196" i="9"/>
  <c r="R196" i="9"/>
  <c r="S195" i="9"/>
  <c r="R195" i="9"/>
  <c r="S194" i="9"/>
  <c r="R194" i="9"/>
  <c r="S193" i="9"/>
  <c r="R193" i="9"/>
  <c r="S192" i="9"/>
  <c r="R192" i="9"/>
  <c r="S191" i="9"/>
  <c r="R191" i="9"/>
  <c r="S190" i="9"/>
  <c r="R190" i="9"/>
  <c r="S189" i="9"/>
  <c r="R189" i="9"/>
  <c r="S188" i="9"/>
  <c r="R188" i="9"/>
  <c r="S187" i="9"/>
  <c r="R187" i="9"/>
  <c r="S186" i="9"/>
  <c r="R186" i="9"/>
  <c r="S185" i="9"/>
  <c r="R185" i="9"/>
  <c r="S184" i="9"/>
  <c r="R184" i="9"/>
  <c r="S183" i="9"/>
  <c r="R183" i="9"/>
  <c r="S182" i="9"/>
  <c r="R182" i="9"/>
  <c r="S181" i="9"/>
  <c r="R181" i="9"/>
  <c r="S180" i="9"/>
  <c r="R180" i="9"/>
  <c r="S179" i="9"/>
  <c r="R179" i="9"/>
  <c r="S178" i="9"/>
  <c r="R178" i="9"/>
  <c r="S177" i="9"/>
  <c r="R177" i="9"/>
  <c r="S176" i="9"/>
  <c r="R176" i="9"/>
  <c r="S175" i="9"/>
  <c r="R175" i="9"/>
  <c r="S174" i="9"/>
  <c r="R174" i="9"/>
  <c r="S173" i="9"/>
  <c r="R173" i="9"/>
  <c r="S172" i="9"/>
  <c r="R172" i="9"/>
  <c r="S171" i="9"/>
  <c r="R171" i="9"/>
  <c r="S170" i="9"/>
  <c r="R170" i="9"/>
  <c r="S169" i="9"/>
  <c r="R169" i="9"/>
  <c r="S168" i="9"/>
  <c r="R168" i="9"/>
  <c r="S167" i="9"/>
  <c r="R167" i="9"/>
  <c r="S166" i="9"/>
  <c r="R166" i="9"/>
  <c r="S165" i="9"/>
  <c r="R165" i="9"/>
  <c r="S164" i="9"/>
  <c r="R164" i="9"/>
  <c r="S163" i="9"/>
  <c r="R163" i="9"/>
  <c r="S162" i="9"/>
  <c r="R162" i="9"/>
  <c r="S161" i="9"/>
  <c r="R161" i="9"/>
  <c r="S160" i="9"/>
  <c r="R160" i="9"/>
  <c r="S159" i="9"/>
  <c r="R159" i="9"/>
  <c r="S158" i="9"/>
  <c r="R158" i="9"/>
  <c r="S157" i="9"/>
  <c r="R157" i="9"/>
  <c r="S156" i="9"/>
  <c r="R156" i="9"/>
  <c r="S155" i="9"/>
  <c r="R155" i="9"/>
  <c r="S154" i="9"/>
  <c r="R154" i="9"/>
  <c r="S153" i="9"/>
  <c r="R153" i="9"/>
  <c r="S152" i="9"/>
  <c r="R152" i="9"/>
  <c r="S151" i="9"/>
  <c r="R151" i="9"/>
  <c r="S150" i="9"/>
  <c r="R150" i="9"/>
  <c r="S149" i="9"/>
  <c r="R149" i="9"/>
  <c r="S148" i="9"/>
  <c r="R148" i="9"/>
  <c r="S147" i="9"/>
  <c r="R147" i="9"/>
  <c r="S146" i="9"/>
  <c r="R146" i="9"/>
  <c r="S145" i="9"/>
  <c r="R145" i="9"/>
  <c r="S144" i="9"/>
  <c r="R144" i="9"/>
  <c r="S143" i="9"/>
  <c r="R143" i="9"/>
  <c r="S142" i="9"/>
  <c r="R142" i="9"/>
  <c r="S141" i="9"/>
  <c r="R141" i="9"/>
  <c r="S140" i="9"/>
  <c r="R140" i="9"/>
  <c r="S139" i="9"/>
  <c r="R139" i="9"/>
  <c r="S138" i="9"/>
  <c r="R138" i="9"/>
  <c r="S137" i="9"/>
  <c r="R137" i="9"/>
  <c r="S136" i="9"/>
  <c r="R136" i="9"/>
  <c r="S135" i="9"/>
  <c r="R135" i="9"/>
  <c r="S134" i="9"/>
  <c r="R134" i="9"/>
  <c r="S133" i="9"/>
  <c r="R133" i="9"/>
  <c r="S132" i="9"/>
  <c r="R132" i="9"/>
  <c r="S131" i="9"/>
  <c r="R131" i="9"/>
  <c r="S130" i="9"/>
  <c r="R130" i="9"/>
  <c r="S129" i="9"/>
  <c r="R129" i="9"/>
  <c r="S128" i="9"/>
  <c r="R128" i="9"/>
  <c r="S127" i="9"/>
  <c r="R127" i="9"/>
  <c r="S126" i="9"/>
  <c r="R126" i="9"/>
  <c r="S125" i="9"/>
  <c r="R125" i="9"/>
  <c r="S124" i="9"/>
  <c r="R124" i="9"/>
  <c r="S123" i="9"/>
  <c r="R123" i="9"/>
  <c r="S122" i="9"/>
  <c r="R122" i="9"/>
  <c r="S121" i="9"/>
  <c r="R121" i="9"/>
  <c r="S120" i="9"/>
  <c r="R120" i="9"/>
  <c r="S119" i="9"/>
  <c r="R119" i="9"/>
  <c r="S118" i="9"/>
  <c r="R118" i="9"/>
  <c r="S117" i="9"/>
  <c r="R117" i="9"/>
  <c r="S116" i="9"/>
  <c r="R116" i="9"/>
  <c r="S115" i="9"/>
  <c r="R115" i="9"/>
  <c r="S114" i="9"/>
  <c r="R114" i="9"/>
  <c r="S113" i="9"/>
  <c r="R113" i="9"/>
  <c r="S112" i="9"/>
  <c r="R112" i="9"/>
  <c r="S111" i="9"/>
  <c r="R111" i="9"/>
  <c r="S110" i="9"/>
  <c r="R110" i="9"/>
  <c r="S109" i="9"/>
  <c r="R109" i="9"/>
  <c r="S108" i="9"/>
  <c r="R108" i="9"/>
  <c r="S107" i="9"/>
  <c r="R107" i="9"/>
  <c r="S106" i="9"/>
  <c r="R106" i="9"/>
  <c r="S105" i="9"/>
  <c r="R105" i="9"/>
  <c r="S104" i="9"/>
  <c r="R104" i="9"/>
  <c r="S103" i="9"/>
  <c r="R103" i="9"/>
  <c r="S102" i="9"/>
  <c r="R102" i="9"/>
  <c r="S101" i="9"/>
  <c r="R101" i="9"/>
  <c r="S100" i="9"/>
  <c r="R100" i="9"/>
  <c r="S99" i="9"/>
  <c r="R99" i="9"/>
  <c r="S98" i="9"/>
  <c r="R98" i="9"/>
  <c r="S97" i="9"/>
  <c r="R97" i="9"/>
  <c r="S96" i="9"/>
  <c r="R96" i="9"/>
  <c r="S95" i="9"/>
  <c r="R95" i="9"/>
  <c r="S94" i="9"/>
  <c r="R94" i="9"/>
  <c r="S93" i="9"/>
  <c r="R93" i="9"/>
  <c r="S92" i="9"/>
  <c r="R92" i="9"/>
  <c r="S91" i="9"/>
  <c r="R91" i="9"/>
  <c r="S90" i="9"/>
  <c r="R90" i="9"/>
  <c r="S89" i="9"/>
  <c r="R89" i="9"/>
  <c r="S88" i="9"/>
  <c r="R88" i="9"/>
  <c r="S87" i="9"/>
  <c r="R87" i="9"/>
  <c r="S86" i="9"/>
  <c r="R86" i="9"/>
  <c r="S85" i="9"/>
  <c r="R85" i="9"/>
  <c r="S84" i="9"/>
  <c r="R84" i="9"/>
  <c r="S83" i="9"/>
  <c r="R83" i="9"/>
  <c r="S82" i="9"/>
  <c r="R82" i="9"/>
  <c r="S81" i="9"/>
  <c r="R81" i="9"/>
  <c r="S80" i="9"/>
  <c r="R80" i="9"/>
  <c r="S79" i="9"/>
  <c r="R79" i="9"/>
  <c r="S78" i="9"/>
  <c r="R78" i="9"/>
  <c r="S77" i="9"/>
  <c r="R77" i="9"/>
  <c r="S76" i="9"/>
  <c r="R76" i="9"/>
  <c r="S75" i="9"/>
  <c r="R75" i="9"/>
  <c r="S74" i="9"/>
  <c r="R74" i="9"/>
  <c r="S73" i="9"/>
  <c r="R73" i="9"/>
  <c r="S72" i="9"/>
  <c r="R72" i="9"/>
  <c r="S71" i="9"/>
  <c r="R71" i="9"/>
  <c r="S70" i="9"/>
  <c r="R70" i="9"/>
  <c r="S69" i="9"/>
  <c r="R69" i="9"/>
  <c r="S68" i="9"/>
  <c r="R68" i="9"/>
  <c r="S67" i="9"/>
  <c r="R67" i="9"/>
  <c r="S66" i="9"/>
  <c r="R66" i="9"/>
  <c r="S65" i="9"/>
  <c r="R65" i="9"/>
  <c r="S64" i="9"/>
  <c r="R64" i="9"/>
  <c r="S63" i="9"/>
  <c r="R63" i="9"/>
  <c r="S62" i="9"/>
  <c r="R62" i="9"/>
  <c r="S61" i="9"/>
  <c r="R61" i="9"/>
  <c r="S60" i="9"/>
  <c r="R60" i="9"/>
  <c r="S59" i="9"/>
  <c r="R59" i="9"/>
  <c r="S58" i="9"/>
  <c r="R58" i="9"/>
  <c r="S57" i="9"/>
  <c r="R57" i="9"/>
  <c r="S56" i="9"/>
  <c r="R56" i="9"/>
  <c r="S55" i="9"/>
  <c r="R55" i="9"/>
  <c r="S54" i="9"/>
  <c r="R54" i="9"/>
  <c r="S53" i="9"/>
  <c r="R53" i="9"/>
  <c r="S52" i="9"/>
  <c r="R52" i="9"/>
  <c r="S51" i="9"/>
  <c r="R51" i="9"/>
  <c r="S50" i="9"/>
  <c r="R50" i="9"/>
  <c r="S49" i="9"/>
  <c r="R49" i="9"/>
  <c r="S48" i="9"/>
  <c r="R48" i="9"/>
  <c r="S47" i="9"/>
  <c r="R47" i="9"/>
  <c r="S46" i="9"/>
  <c r="R46" i="9"/>
  <c r="S45" i="9"/>
  <c r="R45" i="9"/>
  <c r="S44" i="9"/>
  <c r="R44" i="9"/>
  <c r="S43" i="9"/>
  <c r="R43" i="9"/>
  <c r="S42" i="9"/>
  <c r="R42" i="9"/>
  <c r="S41" i="9"/>
  <c r="R41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I5" i="3" s="1"/>
  <c r="S5" i="9"/>
  <c r="R5" i="9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Q304" i="5"/>
  <c r="O304" i="5"/>
  <c r="M304" i="5"/>
  <c r="Q303" i="5"/>
  <c r="O303" i="5"/>
  <c r="M303" i="5"/>
  <c r="Q302" i="5"/>
  <c r="O302" i="5"/>
  <c r="M302" i="5"/>
  <c r="Q301" i="5"/>
  <c r="O301" i="5"/>
  <c r="M301" i="5"/>
  <c r="Q300" i="5"/>
  <c r="O300" i="5"/>
  <c r="M300" i="5"/>
  <c r="Q299" i="5"/>
  <c r="O299" i="5"/>
  <c r="M299" i="5"/>
  <c r="Q298" i="5"/>
  <c r="O298" i="5"/>
  <c r="M298" i="5"/>
  <c r="Q297" i="5"/>
  <c r="O297" i="5"/>
  <c r="M297" i="5"/>
  <c r="Q296" i="5"/>
  <c r="O296" i="5"/>
  <c r="M296" i="5"/>
  <c r="Q295" i="5"/>
  <c r="O295" i="5"/>
  <c r="M295" i="5"/>
  <c r="Q294" i="5"/>
  <c r="O294" i="5"/>
  <c r="M294" i="5"/>
  <c r="Q293" i="5"/>
  <c r="O293" i="5"/>
  <c r="M293" i="5"/>
  <c r="Q292" i="5"/>
  <c r="O292" i="5"/>
  <c r="M292" i="5"/>
  <c r="Q291" i="5"/>
  <c r="O291" i="5"/>
  <c r="M291" i="5"/>
  <c r="Q290" i="5"/>
  <c r="O290" i="5"/>
  <c r="M290" i="5"/>
  <c r="Q289" i="5"/>
  <c r="O289" i="5"/>
  <c r="M289" i="5"/>
  <c r="Q288" i="5"/>
  <c r="O288" i="5"/>
  <c r="M288" i="5"/>
  <c r="Q287" i="5"/>
  <c r="O287" i="5"/>
  <c r="M287" i="5"/>
  <c r="Q286" i="5"/>
  <c r="O286" i="5"/>
  <c r="M286" i="5"/>
  <c r="Q285" i="5"/>
  <c r="O285" i="5"/>
  <c r="M285" i="5"/>
  <c r="Q284" i="5"/>
  <c r="O284" i="5"/>
  <c r="M284" i="5"/>
  <c r="Q283" i="5"/>
  <c r="O283" i="5"/>
  <c r="M283" i="5"/>
  <c r="Q282" i="5"/>
  <c r="O282" i="5"/>
  <c r="M282" i="5"/>
  <c r="Q281" i="5"/>
  <c r="O281" i="5"/>
  <c r="M281" i="5"/>
  <c r="Q280" i="5"/>
  <c r="O280" i="5"/>
  <c r="M280" i="5"/>
  <c r="Q279" i="5"/>
  <c r="O279" i="5"/>
  <c r="M279" i="5"/>
  <c r="Q278" i="5"/>
  <c r="O278" i="5"/>
  <c r="M278" i="5"/>
  <c r="Q277" i="5"/>
  <c r="O277" i="5"/>
  <c r="M277" i="5"/>
  <c r="Q276" i="5"/>
  <c r="O276" i="5"/>
  <c r="M276" i="5"/>
  <c r="Q275" i="5"/>
  <c r="O275" i="5"/>
  <c r="M275" i="5"/>
  <c r="Q274" i="5"/>
  <c r="O274" i="5"/>
  <c r="M274" i="5"/>
  <c r="Q273" i="5"/>
  <c r="O273" i="5"/>
  <c r="M273" i="5"/>
  <c r="Q272" i="5"/>
  <c r="O272" i="5"/>
  <c r="M272" i="5"/>
  <c r="Q271" i="5"/>
  <c r="O271" i="5"/>
  <c r="M271" i="5"/>
  <c r="Q270" i="5"/>
  <c r="O270" i="5"/>
  <c r="M270" i="5"/>
  <c r="Q269" i="5"/>
  <c r="O269" i="5"/>
  <c r="M269" i="5"/>
  <c r="Q268" i="5"/>
  <c r="O268" i="5"/>
  <c r="M268" i="5"/>
  <c r="Q267" i="5"/>
  <c r="O267" i="5"/>
  <c r="M267" i="5"/>
  <c r="Q266" i="5"/>
  <c r="O266" i="5"/>
  <c r="M266" i="5"/>
  <c r="Q265" i="5"/>
  <c r="O265" i="5"/>
  <c r="M265" i="5"/>
  <c r="Q264" i="5"/>
  <c r="O264" i="5"/>
  <c r="M264" i="5"/>
  <c r="Q263" i="5"/>
  <c r="O263" i="5"/>
  <c r="M263" i="5"/>
  <c r="Q262" i="5"/>
  <c r="O262" i="5"/>
  <c r="M262" i="5"/>
  <c r="Q261" i="5"/>
  <c r="O261" i="5"/>
  <c r="M261" i="5"/>
  <c r="Q260" i="5"/>
  <c r="O260" i="5"/>
  <c r="M260" i="5"/>
  <c r="Q259" i="5"/>
  <c r="O259" i="5"/>
  <c r="M259" i="5"/>
  <c r="Q258" i="5"/>
  <c r="O258" i="5"/>
  <c r="M258" i="5"/>
  <c r="Q257" i="5"/>
  <c r="O257" i="5"/>
  <c r="M257" i="5"/>
  <c r="Q256" i="5"/>
  <c r="O256" i="5"/>
  <c r="M256" i="5"/>
  <c r="Q255" i="5"/>
  <c r="O255" i="5"/>
  <c r="M255" i="5"/>
  <c r="Q254" i="5"/>
  <c r="O254" i="5"/>
  <c r="M254" i="5"/>
  <c r="Q253" i="5"/>
  <c r="O253" i="5"/>
  <c r="M253" i="5"/>
  <c r="Q252" i="5"/>
  <c r="O252" i="5"/>
  <c r="M252" i="5"/>
  <c r="Q251" i="5"/>
  <c r="O251" i="5"/>
  <c r="M251" i="5"/>
  <c r="Q250" i="5"/>
  <c r="O250" i="5"/>
  <c r="M250" i="5"/>
  <c r="Q249" i="5"/>
  <c r="O249" i="5"/>
  <c r="M249" i="5"/>
  <c r="Q248" i="5"/>
  <c r="O248" i="5"/>
  <c r="M248" i="5"/>
  <c r="Q247" i="5"/>
  <c r="O247" i="5"/>
  <c r="M247" i="5"/>
  <c r="Q246" i="5"/>
  <c r="O246" i="5"/>
  <c r="M246" i="5"/>
  <c r="Q245" i="5"/>
  <c r="O245" i="5"/>
  <c r="M245" i="5"/>
  <c r="Q244" i="5"/>
  <c r="O244" i="5"/>
  <c r="M244" i="5"/>
  <c r="Q243" i="5"/>
  <c r="O243" i="5"/>
  <c r="M243" i="5"/>
  <c r="Q242" i="5"/>
  <c r="O242" i="5"/>
  <c r="M242" i="5"/>
  <c r="Q241" i="5"/>
  <c r="O241" i="5"/>
  <c r="M241" i="5"/>
  <c r="Q240" i="5"/>
  <c r="O240" i="5"/>
  <c r="M240" i="5"/>
  <c r="Q239" i="5"/>
  <c r="O239" i="5"/>
  <c r="M239" i="5"/>
  <c r="Q238" i="5"/>
  <c r="O238" i="5"/>
  <c r="M238" i="5"/>
  <c r="Q237" i="5"/>
  <c r="O237" i="5"/>
  <c r="M237" i="5"/>
  <c r="Q236" i="5"/>
  <c r="O236" i="5"/>
  <c r="M236" i="5"/>
  <c r="Q235" i="5"/>
  <c r="O235" i="5"/>
  <c r="M235" i="5"/>
  <c r="Q234" i="5"/>
  <c r="O234" i="5"/>
  <c r="M234" i="5"/>
  <c r="Q233" i="5"/>
  <c r="O233" i="5"/>
  <c r="M233" i="5"/>
  <c r="Q232" i="5"/>
  <c r="O232" i="5"/>
  <c r="M232" i="5"/>
  <c r="Q231" i="5"/>
  <c r="O231" i="5"/>
  <c r="M231" i="5"/>
  <c r="Q230" i="5"/>
  <c r="O230" i="5"/>
  <c r="M230" i="5"/>
  <c r="Q229" i="5"/>
  <c r="O229" i="5"/>
  <c r="M229" i="5"/>
  <c r="Q228" i="5"/>
  <c r="O228" i="5"/>
  <c r="M228" i="5"/>
  <c r="Q227" i="5"/>
  <c r="O227" i="5"/>
  <c r="M227" i="5"/>
  <c r="Q226" i="5"/>
  <c r="O226" i="5"/>
  <c r="M226" i="5"/>
  <c r="Q225" i="5"/>
  <c r="O225" i="5"/>
  <c r="M225" i="5"/>
  <c r="Q224" i="5"/>
  <c r="O224" i="5"/>
  <c r="M224" i="5"/>
  <c r="Q223" i="5"/>
  <c r="O223" i="5"/>
  <c r="M223" i="5"/>
  <c r="Q222" i="5"/>
  <c r="O222" i="5"/>
  <c r="M222" i="5"/>
  <c r="Q221" i="5"/>
  <c r="O221" i="5"/>
  <c r="M221" i="5"/>
  <c r="Q220" i="5"/>
  <c r="O220" i="5"/>
  <c r="M220" i="5"/>
  <c r="Q219" i="5"/>
  <c r="O219" i="5"/>
  <c r="M219" i="5"/>
  <c r="Q218" i="5"/>
  <c r="O218" i="5"/>
  <c r="M218" i="5"/>
  <c r="Q217" i="5"/>
  <c r="O217" i="5"/>
  <c r="M217" i="5"/>
  <c r="Q216" i="5"/>
  <c r="O216" i="5"/>
  <c r="M216" i="5"/>
  <c r="Q215" i="5"/>
  <c r="O215" i="5"/>
  <c r="M215" i="5"/>
  <c r="Q214" i="5"/>
  <c r="O214" i="5"/>
  <c r="M214" i="5"/>
  <c r="Q213" i="5"/>
  <c r="O213" i="5"/>
  <c r="M213" i="5"/>
  <c r="Q212" i="5"/>
  <c r="O212" i="5"/>
  <c r="M212" i="5"/>
  <c r="Q211" i="5"/>
  <c r="O211" i="5"/>
  <c r="M211" i="5"/>
  <c r="Q210" i="5"/>
  <c r="O210" i="5"/>
  <c r="M210" i="5"/>
  <c r="Q209" i="5"/>
  <c r="O209" i="5"/>
  <c r="M209" i="5"/>
  <c r="Q208" i="5"/>
  <c r="O208" i="5"/>
  <c r="M208" i="5"/>
  <c r="Q207" i="5"/>
  <c r="O207" i="5"/>
  <c r="M207" i="5"/>
  <c r="Q206" i="5"/>
  <c r="O206" i="5"/>
  <c r="M206" i="5"/>
  <c r="Q205" i="5"/>
  <c r="O205" i="5"/>
  <c r="M205" i="5"/>
  <c r="Q204" i="5"/>
  <c r="O204" i="5"/>
  <c r="M204" i="5"/>
  <c r="Q203" i="5"/>
  <c r="O203" i="5"/>
  <c r="M203" i="5"/>
  <c r="Q202" i="5"/>
  <c r="O202" i="5"/>
  <c r="M202" i="5"/>
  <c r="Q201" i="5"/>
  <c r="O201" i="5"/>
  <c r="M201" i="5"/>
  <c r="Q200" i="5"/>
  <c r="O200" i="5"/>
  <c r="M200" i="5"/>
  <c r="Q199" i="5"/>
  <c r="O199" i="5"/>
  <c r="M199" i="5"/>
  <c r="Q198" i="5"/>
  <c r="O198" i="5"/>
  <c r="M198" i="5"/>
  <c r="Q197" i="5"/>
  <c r="O197" i="5"/>
  <c r="M197" i="5"/>
  <c r="Q196" i="5"/>
  <c r="O196" i="5"/>
  <c r="M196" i="5"/>
  <c r="Q195" i="5"/>
  <c r="O195" i="5"/>
  <c r="M195" i="5"/>
  <c r="Q194" i="5"/>
  <c r="O194" i="5"/>
  <c r="M194" i="5"/>
  <c r="Q193" i="5"/>
  <c r="O193" i="5"/>
  <c r="M193" i="5"/>
  <c r="Q192" i="5"/>
  <c r="O192" i="5"/>
  <c r="M192" i="5"/>
  <c r="Q191" i="5"/>
  <c r="O191" i="5"/>
  <c r="M191" i="5"/>
  <c r="Q190" i="5"/>
  <c r="O190" i="5"/>
  <c r="M190" i="5"/>
  <c r="Q189" i="5"/>
  <c r="O189" i="5"/>
  <c r="M189" i="5"/>
  <c r="Q188" i="5"/>
  <c r="O188" i="5"/>
  <c r="M188" i="5"/>
  <c r="Q187" i="5"/>
  <c r="O187" i="5"/>
  <c r="M187" i="5"/>
  <c r="Q186" i="5"/>
  <c r="O186" i="5"/>
  <c r="M186" i="5"/>
  <c r="Q185" i="5"/>
  <c r="O185" i="5"/>
  <c r="M185" i="5"/>
  <c r="Q184" i="5"/>
  <c r="O184" i="5"/>
  <c r="M184" i="5"/>
  <c r="Q183" i="5"/>
  <c r="O183" i="5"/>
  <c r="M183" i="5"/>
  <c r="Q182" i="5"/>
  <c r="O182" i="5"/>
  <c r="M182" i="5"/>
  <c r="Q181" i="5"/>
  <c r="O181" i="5"/>
  <c r="M181" i="5"/>
  <c r="Q180" i="5"/>
  <c r="O180" i="5"/>
  <c r="M180" i="5"/>
  <c r="Q179" i="5"/>
  <c r="O179" i="5"/>
  <c r="M179" i="5"/>
  <c r="Q178" i="5"/>
  <c r="O178" i="5"/>
  <c r="M178" i="5"/>
  <c r="Q177" i="5"/>
  <c r="O177" i="5"/>
  <c r="M177" i="5"/>
  <c r="Q176" i="5"/>
  <c r="O176" i="5"/>
  <c r="M176" i="5"/>
  <c r="Q175" i="5"/>
  <c r="O175" i="5"/>
  <c r="M175" i="5"/>
  <c r="Q174" i="5"/>
  <c r="O174" i="5"/>
  <c r="M174" i="5"/>
  <c r="Q173" i="5"/>
  <c r="O173" i="5"/>
  <c r="M173" i="5"/>
  <c r="Q172" i="5"/>
  <c r="O172" i="5"/>
  <c r="M172" i="5"/>
  <c r="Q171" i="5"/>
  <c r="O171" i="5"/>
  <c r="M171" i="5"/>
  <c r="Q170" i="5"/>
  <c r="O170" i="5"/>
  <c r="M170" i="5"/>
  <c r="Q169" i="5"/>
  <c r="O169" i="5"/>
  <c r="M169" i="5"/>
  <c r="Q168" i="5"/>
  <c r="O168" i="5"/>
  <c r="M168" i="5"/>
  <c r="Q167" i="5"/>
  <c r="O167" i="5"/>
  <c r="M167" i="5"/>
  <c r="Q166" i="5"/>
  <c r="O166" i="5"/>
  <c r="M166" i="5"/>
  <c r="Q165" i="5"/>
  <c r="O165" i="5"/>
  <c r="M165" i="5"/>
  <c r="Q164" i="5"/>
  <c r="O164" i="5"/>
  <c r="M164" i="5"/>
  <c r="Q163" i="5"/>
  <c r="O163" i="5"/>
  <c r="M163" i="5"/>
  <c r="Q162" i="5"/>
  <c r="O162" i="5"/>
  <c r="M162" i="5"/>
  <c r="Q161" i="5"/>
  <c r="O161" i="5"/>
  <c r="M161" i="5"/>
  <c r="Q160" i="5"/>
  <c r="O160" i="5"/>
  <c r="M160" i="5"/>
  <c r="Q159" i="5"/>
  <c r="O159" i="5"/>
  <c r="M159" i="5"/>
  <c r="Q158" i="5"/>
  <c r="O158" i="5"/>
  <c r="M158" i="5"/>
  <c r="Q157" i="5"/>
  <c r="O157" i="5"/>
  <c r="M157" i="5"/>
  <c r="Q156" i="5"/>
  <c r="O156" i="5"/>
  <c r="M156" i="5"/>
  <c r="Q155" i="5"/>
  <c r="O155" i="5"/>
  <c r="M155" i="5"/>
  <c r="Q154" i="5"/>
  <c r="O154" i="5"/>
  <c r="M154" i="5"/>
  <c r="Q153" i="5"/>
  <c r="O153" i="5"/>
  <c r="M153" i="5"/>
  <c r="Q152" i="5"/>
  <c r="O152" i="5"/>
  <c r="M152" i="5"/>
  <c r="Q151" i="5"/>
  <c r="O151" i="5"/>
  <c r="M151" i="5"/>
  <c r="Q150" i="5"/>
  <c r="O150" i="5"/>
  <c r="M150" i="5"/>
  <c r="Q149" i="5"/>
  <c r="O149" i="5"/>
  <c r="M149" i="5"/>
  <c r="Q148" i="5"/>
  <c r="O148" i="5"/>
  <c r="M148" i="5"/>
  <c r="Q147" i="5"/>
  <c r="O147" i="5"/>
  <c r="M147" i="5"/>
  <c r="Q146" i="5"/>
  <c r="O146" i="5"/>
  <c r="M146" i="5"/>
  <c r="Q145" i="5"/>
  <c r="O145" i="5"/>
  <c r="M145" i="5"/>
  <c r="Q144" i="5"/>
  <c r="O144" i="5"/>
  <c r="M144" i="5"/>
  <c r="Q143" i="5"/>
  <c r="O143" i="5"/>
  <c r="M143" i="5"/>
  <c r="Q142" i="5"/>
  <c r="O142" i="5"/>
  <c r="M142" i="5"/>
  <c r="Q141" i="5"/>
  <c r="O141" i="5"/>
  <c r="M141" i="5"/>
  <c r="Q140" i="5"/>
  <c r="O140" i="5"/>
  <c r="M140" i="5"/>
  <c r="Q139" i="5"/>
  <c r="O139" i="5"/>
  <c r="M139" i="5"/>
  <c r="Q138" i="5"/>
  <c r="O138" i="5"/>
  <c r="M138" i="5"/>
  <c r="Q137" i="5"/>
  <c r="O137" i="5"/>
  <c r="M137" i="5"/>
  <c r="Q136" i="5"/>
  <c r="O136" i="5"/>
  <c r="M136" i="5"/>
  <c r="Q135" i="5"/>
  <c r="O135" i="5"/>
  <c r="M135" i="5"/>
  <c r="Q134" i="5"/>
  <c r="O134" i="5"/>
  <c r="M134" i="5"/>
  <c r="Q133" i="5"/>
  <c r="O133" i="5"/>
  <c r="M133" i="5"/>
  <c r="Q132" i="5"/>
  <c r="O132" i="5"/>
  <c r="M132" i="5"/>
  <c r="Q131" i="5"/>
  <c r="O131" i="5"/>
  <c r="M131" i="5"/>
  <c r="Q130" i="5"/>
  <c r="O130" i="5"/>
  <c r="M130" i="5"/>
  <c r="Q129" i="5"/>
  <c r="O129" i="5"/>
  <c r="M129" i="5"/>
  <c r="Q128" i="5"/>
  <c r="O128" i="5"/>
  <c r="M128" i="5"/>
  <c r="Q127" i="5"/>
  <c r="O127" i="5"/>
  <c r="M127" i="5"/>
  <c r="Q126" i="5"/>
  <c r="O126" i="5"/>
  <c r="M126" i="5"/>
  <c r="Q125" i="5"/>
  <c r="O125" i="5"/>
  <c r="M125" i="5"/>
  <c r="Q124" i="5"/>
  <c r="O124" i="5"/>
  <c r="M124" i="5"/>
  <c r="Q123" i="5"/>
  <c r="O123" i="5"/>
  <c r="M123" i="5"/>
  <c r="Q122" i="5"/>
  <c r="O122" i="5"/>
  <c r="M122" i="5"/>
  <c r="Q121" i="5"/>
  <c r="O121" i="5"/>
  <c r="M121" i="5"/>
  <c r="Q120" i="5"/>
  <c r="O120" i="5"/>
  <c r="M120" i="5"/>
  <c r="Q119" i="5"/>
  <c r="O119" i="5"/>
  <c r="M119" i="5"/>
  <c r="Q118" i="5"/>
  <c r="O118" i="5"/>
  <c r="M118" i="5"/>
  <c r="Q117" i="5"/>
  <c r="O117" i="5"/>
  <c r="M117" i="5"/>
  <c r="Q116" i="5"/>
  <c r="O116" i="5"/>
  <c r="M116" i="5"/>
  <c r="Q115" i="5"/>
  <c r="O115" i="5"/>
  <c r="M115" i="5"/>
  <c r="Q114" i="5"/>
  <c r="O114" i="5"/>
  <c r="M114" i="5"/>
  <c r="Q113" i="5"/>
  <c r="O113" i="5"/>
  <c r="M113" i="5"/>
  <c r="Q112" i="5"/>
  <c r="O112" i="5"/>
  <c r="M112" i="5"/>
  <c r="Q111" i="5"/>
  <c r="O111" i="5"/>
  <c r="M111" i="5"/>
  <c r="Q110" i="5"/>
  <c r="O110" i="5"/>
  <c r="M110" i="5"/>
  <c r="Q109" i="5"/>
  <c r="O109" i="5"/>
  <c r="M109" i="5"/>
  <c r="Q108" i="5"/>
  <c r="O108" i="5"/>
  <c r="M108" i="5"/>
  <c r="Q107" i="5"/>
  <c r="O107" i="5"/>
  <c r="M107" i="5"/>
  <c r="Q106" i="5"/>
  <c r="O106" i="5"/>
  <c r="M106" i="5"/>
  <c r="Q105" i="5"/>
  <c r="O105" i="5"/>
  <c r="M105" i="5"/>
  <c r="Q104" i="5"/>
  <c r="O104" i="5"/>
  <c r="M104" i="5"/>
  <c r="Q103" i="5"/>
  <c r="O103" i="5"/>
  <c r="M103" i="5"/>
  <c r="Q102" i="5"/>
  <c r="O102" i="5"/>
  <c r="M102" i="5"/>
  <c r="Q101" i="5"/>
  <c r="O101" i="5"/>
  <c r="M101" i="5"/>
  <c r="Q100" i="5"/>
  <c r="O100" i="5"/>
  <c r="M100" i="5"/>
  <c r="Q99" i="5"/>
  <c r="O99" i="5"/>
  <c r="M99" i="5"/>
  <c r="Q98" i="5"/>
  <c r="O98" i="5"/>
  <c r="M98" i="5"/>
  <c r="Q97" i="5"/>
  <c r="O97" i="5"/>
  <c r="M97" i="5"/>
  <c r="Q96" i="5"/>
  <c r="O96" i="5"/>
  <c r="M96" i="5"/>
  <c r="Q95" i="5"/>
  <c r="O95" i="5"/>
  <c r="M95" i="5"/>
  <c r="Q94" i="5"/>
  <c r="O94" i="5"/>
  <c r="M94" i="5"/>
  <c r="Q93" i="5"/>
  <c r="O93" i="5"/>
  <c r="M93" i="5"/>
  <c r="Q92" i="5"/>
  <c r="O92" i="5"/>
  <c r="M92" i="5"/>
  <c r="Q91" i="5"/>
  <c r="O91" i="5"/>
  <c r="M91" i="5"/>
  <c r="Q90" i="5"/>
  <c r="O90" i="5"/>
  <c r="M90" i="5"/>
  <c r="Q89" i="5"/>
  <c r="O89" i="5"/>
  <c r="M89" i="5"/>
  <c r="Q88" i="5"/>
  <c r="O88" i="5"/>
  <c r="M88" i="5"/>
  <c r="Q87" i="5"/>
  <c r="O87" i="5"/>
  <c r="M87" i="5"/>
  <c r="Q86" i="5"/>
  <c r="O86" i="5"/>
  <c r="M86" i="5"/>
  <c r="Q85" i="5"/>
  <c r="O85" i="5"/>
  <c r="M85" i="5"/>
  <c r="Q84" i="5"/>
  <c r="O84" i="5"/>
  <c r="M84" i="5"/>
  <c r="Q83" i="5"/>
  <c r="O83" i="5"/>
  <c r="M83" i="5"/>
  <c r="Q82" i="5"/>
  <c r="O82" i="5"/>
  <c r="M82" i="5"/>
  <c r="Q81" i="5"/>
  <c r="O81" i="5"/>
  <c r="M81" i="5"/>
  <c r="Q80" i="5"/>
  <c r="O80" i="5"/>
  <c r="M80" i="5"/>
  <c r="Q79" i="5"/>
  <c r="O79" i="5"/>
  <c r="M79" i="5"/>
  <c r="Q78" i="5"/>
  <c r="O78" i="5"/>
  <c r="M78" i="5"/>
  <c r="Q77" i="5"/>
  <c r="O77" i="5"/>
  <c r="M77" i="5"/>
  <c r="Q76" i="5"/>
  <c r="O76" i="5"/>
  <c r="M76" i="5"/>
  <c r="Q75" i="5"/>
  <c r="O75" i="5"/>
  <c r="M75" i="5"/>
  <c r="Q74" i="5"/>
  <c r="O74" i="5"/>
  <c r="M74" i="5"/>
  <c r="Q73" i="5"/>
  <c r="O73" i="5"/>
  <c r="M73" i="5"/>
  <c r="Q72" i="5"/>
  <c r="O72" i="5"/>
  <c r="M72" i="5"/>
  <c r="Q71" i="5"/>
  <c r="O71" i="5"/>
  <c r="M71" i="5"/>
  <c r="Q70" i="5"/>
  <c r="O70" i="5"/>
  <c r="M70" i="5"/>
  <c r="Q69" i="5"/>
  <c r="O69" i="5"/>
  <c r="M69" i="5"/>
  <c r="Q68" i="5"/>
  <c r="O68" i="5"/>
  <c r="M68" i="5"/>
  <c r="Q67" i="5"/>
  <c r="O67" i="5"/>
  <c r="M67" i="5"/>
  <c r="Q66" i="5"/>
  <c r="O66" i="5"/>
  <c r="M66" i="5"/>
  <c r="Q65" i="5"/>
  <c r="O65" i="5"/>
  <c r="M65" i="5"/>
  <c r="Q64" i="5"/>
  <c r="O64" i="5"/>
  <c r="M64" i="5"/>
  <c r="Q63" i="5"/>
  <c r="O63" i="5"/>
  <c r="M63" i="5"/>
  <c r="Q62" i="5"/>
  <c r="O62" i="5"/>
  <c r="M62" i="5"/>
  <c r="Q61" i="5"/>
  <c r="O61" i="5"/>
  <c r="M61" i="5"/>
  <c r="Q60" i="5"/>
  <c r="O60" i="5"/>
  <c r="M60" i="5"/>
  <c r="Q59" i="5"/>
  <c r="O59" i="5"/>
  <c r="M59" i="5"/>
  <c r="Q58" i="5"/>
  <c r="O58" i="5"/>
  <c r="M58" i="5"/>
  <c r="Q57" i="5"/>
  <c r="O57" i="5"/>
  <c r="M57" i="5"/>
  <c r="Q56" i="5"/>
  <c r="O56" i="5"/>
  <c r="M56" i="5"/>
  <c r="Q55" i="5"/>
  <c r="O55" i="5"/>
  <c r="M55" i="5"/>
  <c r="Q54" i="5"/>
  <c r="O54" i="5"/>
  <c r="M54" i="5"/>
  <c r="Q53" i="5"/>
  <c r="O53" i="5"/>
  <c r="M53" i="5"/>
  <c r="Q52" i="5"/>
  <c r="O52" i="5"/>
  <c r="M52" i="5"/>
  <c r="Q51" i="5"/>
  <c r="O51" i="5"/>
  <c r="M51" i="5"/>
  <c r="Q50" i="5"/>
  <c r="O50" i="5"/>
  <c r="M50" i="5"/>
  <c r="Q49" i="5"/>
  <c r="O49" i="5"/>
  <c r="M49" i="5"/>
  <c r="Q48" i="5"/>
  <c r="O48" i="5"/>
  <c r="M48" i="5"/>
  <c r="Q47" i="5"/>
  <c r="O47" i="5"/>
  <c r="M47" i="5"/>
  <c r="Q46" i="5"/>
  <c r="O46" i="5"/>
  <c r="M46" i="5"/>
  <c r="Q45" i="5"/>
  <c r="O45" i="5"/>
  <c r="M45" i="5"/>
  <c r="Q44" i="5"/>
  <c r="O44" i="5"/>
  <c r="M44" i="5"/>
  <c r="Q43" i="5"/>
  <c r="O43" i="5"/>
  <c r="M43" i="5"/>
  <c r="Q42" i="5"/>
  <c r="O42" i="5"/>
  <c r="M42" i="5"/>
  <c r="Q41" i="5"/>
  <c r="O41" i="5"/>
  <c r="M41" i="5"/>
  <c r="Q40" i="5"/>
  <c r="O40" i="5"/>
  <c r="M40" i="5"/>
  <c r="Q39" i="5"/>
  <c r="O39" i="5"/>
  <c r="M39" i="5"/>
  <c r="Q38" i="5"/>
  <c r="O38" i="5"/>
  <c r="M38" i="5"/>
  <c r="Q37" i="5"/>
  <c r="O37" i="5"/>
  <c r="M37" i="5"/>
  <c r="Q36" i="5"/>
  <c r="O36" i="5"/>
  <c r="M36" i="5"/>
  <c r="Q35" i="5"/>
  <c r="O35" i="5"/>
  <c r="M35" i="5"/>
  <c r="Q34" i="5"/>
  <c r="O34" i="5"/>
  <c r="M34" i="5"/>
  <c r="Q33" i="5"/>
  <c r="O33" i="5"/>
  <c r="M33" i="5"/>
  <c r="Q32" i="5"/>
  <c r="O32" i="5"/>
  <c r="M32" i="5"/>
  <c r="Q31" i="5"/>
  <c r="O31" i="5"/>
  <c r="M31" i="5"/>
  <c r="Q30" i="5"/>
  <c r="O30" i="5"/>
  <c r="M30" i="5"/>
  <c r="Q29" i="5"/>
  <c r="O29" i="5"/>
  <c r="M29" i="5"/>
  <c r="Q28" i="5"/>
  <c r="O28" i="5"/>
  <c r="M28" i="5"/>
  <c r="Q27" i="5"/>
  <c r="O27" i="5"/>
  <c r="M27" i="5"/>
  <c r="Q26" i="5"/>
  <c r="O26" i="5"/>
  <c r="M26" i="5"/>
  <c r="Q25" i="5"/>
  <c r="O25" i="5"/>
  <c r="M25" i="5"/>
  <c r="Q24" i="5"/>
  <c r="O24" i="5"/>
  <c r="M24" i="5"/>
  <c r="Q23" i="5"/>
  <c r="O23" i="5"/>
  <c r="M23" i="5"/>
  <c r="Q22" i="5"/>
  <c r="O22" i="5"/>
  <c r="M22" i="5"/>
  <c r="Q21" i="5"/>
  <c r="O21" i="5"/>
  <c r="M21" i="5"/>
  <c r="Q20" i="5"/>
  <c r="O20" i="5"/>
  <c r="M20" i="5"/>
  <c r="Q19" i="5"/>
  <c r="O19" i="5"/>
  <c r="M19" i="5"/>
  <c r="Q18" i="5"/>
  <c r="O18" i="5"/>
  <c r="M18" i="5"/>
  <c r="Q17" i="5"/>
  <c r="O17" i="5"/>
  <c r="M17" i="5"/>
  <c r="Q16" i="5"/>
  <c r="O16" i="5"/>
  <c r="M16" i="5"/>
  <c r="Q15" i="5"/>
  <c r="O15" i="5"/>
  <c r="M15" i="5"/>
  <c r="Q14" i="5"/>
  <c r="O14" i="5"/>
  <c r="M14" i="5"/>
  <c r="Q13" i="5"/>
  <c r="O13" i="5"/>
  <c r="M13" i="5"/>
  <c r="Q12" i="5"/>
  <c r="O12" i="5"/>
  <c r="M12" i="5"/>
  <c r="Q11" i="5"/>
  <c r="O11" i="5"/>
  <c r="M11" i="5"/>
  <c r="Q10" i="5"/>
  <c r="O10" i="5"/>
  <c r="M10" i="5"/>
  <c r="Q9" i="5"/>
  <c r="O9" i="5"/>
  <c r="M9" i="5"/>
  <c r="Q8" i="5"/>
  <c r="O8" i="5"/>
  <c r="M8" i="5"/>
  <c r="Q7" i="5"/>
  <c r="O7" i="5"/>
  <c r="M7" i="5"/>
  <c r="Q6" i="5"/>
  <c r="O6" i="5"/>
  <c r="M6" i="5"/>
  <c r="Q5" i="5"/>
  <c r="O5" i="5"/>
  <c r="M5" i="5"/>
  <c r="S304" i="4"/>
  <c r="R304" i="4"/>
  <c r="Q304" i="4"/>
  <c r="O304" i="4"/>
  <c r="N304" i="4"/>
  <c r="M304" i="4"/>
  <c r="L304" i="4"/>
  <c r="S303" i="4"/>
  <c r="R303" i="4"/>
  <c r="Q303" i="4"/>
  <c r="O303" i="4"/>
  <c r="N303" i="4"/>
  <c r="M303" i="4"/>
  <c r="L303" i="4"/>
  <c r="S302" i="4"/>
  <c r="R302" i="4"/>
  <c r="Q302" i="4"/>
  <c r="O302" i="4"/>
  <c r="N302" i="4"/>
  <c r="M302" i="4"/>
  <c r="L302" i="4"/>
  <c r="S301" i="4"/>
  <c r="R301" i="4"/>
  <c r="Q301" i="4"/>
  <c r="O301" i="4"/>
  <c r="N301" i="4"/>
  <c r="M301" i="4"/>
  <c r="L301" i="4"/>
  <c r="S300" i="4"/>
  <c r="R300" i="4"/>
  <c r="Q300" i="4"/>
  <c r="O300" i="4"/>
  <c r="N300" i="4"/>
  <c r="M300" i="4"/>
  <c r="L300" i="4"/>
  <c r="S299" i="4"/>
  <c r="R299" i="4"/>
  <c r="Q299" i="4"/>
  <c r="O299" i="4"/>
  <c r="N299" i="4"/>
  <c r="M299" i="4"/>
  <c r="L299" i="4"/>
  <c r="S298" i="4"/>
  <c r="R298" i="4"/>
  <c r="Q298" i="4"/>
  <c r="O298" i="4"/>
  <c r="N298" i="4"/>
  <c r="M298" i="4"/>
  <c r="L298" i="4"/>
  <c r="S297" i="4"/>
  <c r="R297" i="4"/>
  <c r="Q297" i="4"/>
  <c r="O297" i="4"/>
  <c r="N297" i="4"/>
  <c r="M297" i="4"/>
  <c r="L297" i="4"/>
  <c r="S296" i="4"/>
  <c r="R296" i="4"/>
  <c r="Q296" i="4"/>
  <c r="O296" i="4"/>
  <c r="N296" i="4"/>
  <c r="M296" i="4"/>
  <c r="L296" i="4"/>
  <c r="S295" i="4"/>
  <c r="R295" i="4"/>
  <c r="Q295" i="4"/>
  <c r="O295" i="4"/>
  <c r="N295" i="4"/>
  <c r="M295" i="4"/>
  <c r="L295" i="4"/>
  <c r="S294" i="4"/>
  <c r="R294" i="4"/>
  <c r="Q294" i="4"/>
  <c r="O294" i="4"/>
  <c r="N294" i="4"/>
  <c r="M294" i="4"/>
  <c r="L294" i="4"/>
  <c r="S293" i="4"/>
  <c r="R293" i="4"/>
  <c r="Q293" i="4"/>
  <c r="O293" i="4"/>
  <c r="N293" i="4"/>
  <c r="M293" i="4"/>
  <c r="L293" i="4"/>
  <c r="S292" i="4"/>
  <c r="R292" i="4"/>
  <c r="Q292" i="4"/>
  <c r="O292" i="4"/>
  <c r="N292" i="4"/>
  <c r="M292" i="4"/>
  <c r="L292" i="4"/>
  <c r="S291" i="4"/>
  <c r="R291" i="4"/>
  <c r="Q291" i="4"/>
  <c r="O291" i="4"/>
  <c r="N291" i="4"/>
  <c r="M291" i="4"/>
  <c r="L291" i="4"/>
  <c r="S290" i="4"/>
  <c r="R290" i="4"/>
  <c r="Q290" i="4"/>
  <c r="O290" i="4"/>
  <c r="N290" i="4"/>
  <c r="M290" i="4"/>
  <c r="L290" i="4"/>
  <c r="S289" i="4"/>
  <c r="R289" i="4"/>
  <c r="Q289" i="4"/>
  <c r="O289" i="4"/>
  <c r="N289" i="4"/>
  <c r="M289" i="4"/>
  <c r="L289" i="4"/>
  <c r="S288" i="4"/>
  <c r="R288" i="4"/>
  <c r="Q288" i="4"/>
  <c r="O288" i="4"/>
  <c r="N288" i="4"/>
  <c r="M288" i="4"/>
  <c r="L288" i="4"/>
  <c r="S287" i="4"/>
  <c r="R287" i="4"/>
  <c r="Q287" i="4"/>
  <c r="O287" i="4"/>
  <c r="N287" i="4"/>
  <c r="M287" i="4"/>
  <c r="L287" i="4"/>
  <c r="S286" i="4"/>
  <c r="R286" i="4"/>
  <c r="Q286" i="4"/>
  <c r="O286" i="4"/>
  <c r="N286" i="4"/>
  <c r="M286" i="4"/>
  <c r="L286" i="4"/>
  <c r="S285" i="4"/>
  <c r="R285" i="4"/>
  <c r="Q285" i="4"/>
  <c r="O285" i="4"/>
  <c r="N285" i="4"/>
  <c r="M285" i="4"/>
  <c r="L285" i="4"/>
  <c r="S284" i="4"/>
  <c r="R284" i="4"/>
  <c r="Q284" i="4"/>
  <c r="O284" i="4"/>
  <c r="N284" i="4"/>
  <c r="M284" i="4"/>
  <c r="L284" i="4"/>
  <c r="S283" i="4"/>
  <c r="R283" i="4"/>
  <c r="Q283" i="4"/>
  <c r="O283" i="4"/>
  <c r="N283" i="4"/>
  <c r="M283" i="4"/>
  <c r="L283" i="4"/>
  <c r="S282" i="4"/>
  <c r="R282" i="4"/>
  <c r="Q282" i="4"/>
  <c r="O282" i="4"/>
  <c r="N282" i="4"/>
  <c r="M282" i="4"/>
  <c r="L282" i="4"/>
  <c r="S281" i="4"/>
  <c r="R281" i="4"/>
  <c r="Q281" i="4"/>
  <c r="O281" i="4"/>
  <c r="N281" i="4"/>
  <c r="M281" i="4"/>
  <c r="L281" i="4"/>
  <c r="S280" i="4"/>
  <c r="R280" i="4"/>
  <c r="Q280" i="4"/>
  <c r="O280" i="4"/>
  <c r="N280" i="4"/>
  <c r="M280" i="4"/>
  <c r="L280" i="4"/>
  <c r="S279" i="4"/>
  <c r="R279" i="4"/>
  <c r="Q279" i="4"/>
  <c r="O279" i="4"/>
  <c r="N279" i="4"/>
  <c r="M279" i="4"/>
  <c r="L279" i="4"/>
  <c r="S278" i="4"/>
  <c r="R278" i="4"/>
  <c r="Q278" i="4"/>
  <c r="O278" i="4"/>
  <c r="N278" i="4"/>
  <c r="M278" i="4"/>
  <c r="L278" i="4"/>
  <c r="S277" i="4"/>
  <c r="R277" i="4"/>
  <c r="Q277" i="4"/>
  <c r="O277" i="4"/>
  <c r="N277" i="4"/>
  <c r="M277" i="4"/>
  <c r="L277" i="4"/>
  <c r="S276" i="4"/>
  <c r="R276" i="4"/>
  <c r="Q276" i="4"/>
  <c r="O276" i="4"/>
  <c r="N276" i="4"/>
  <c r="M276" i="4"/>
  <c r="L276" i="4"/>
  <c r="S275" i="4"/>
  <c r="R275" i="4"/>
  <c r="Q275" i="4"/>
  <c r="O275" i="4"/>
  <c r="N275" i="4"/>
  <c r="M275" i="4"/>
  <c r="L275" i="4"/>
  <c r="S274" i="4"/>
  <c r="R274" i="4"/>
  <c r="Q274" i="4"/>
  <c r="O274" i="4"/>
  <c r="N274" i="4"/>
  <c r="M274" i="4"/>
  <c r="L274" i="4"/>
  <c r="S273" i="4"/>
  <c r="R273" i="4"/>
  <c r="Q273" i="4"/>
  <c r="O273" i="4"/>
  <c r="N273" i="4"/>
  <c r="M273" i="4"/>
  <c r="L273" i="4"/>
  <c r="S272" i="4"/>
  <c r="R272" i="4"/>
  <c r="Q272" i="4"/>
  <c r="O272" i="4"/>
  <c r="N272" i="4"/>
  <c r="M272" i="4"/>
  <c r="L272" i="4"/>
  <c r="S271" i="4"/>
  <c r="R271" i="4"/>
  <c r="Q271" i="4"/>
  <c r="O271" i="4"/>
  <c r="N271" i="4"/>
  <c r="M271" i="4"/>
  <c r="L271" i="4"/>
  <c r="S270" i="4"/>
  <c r="R270" i="4"/>
  <c r="Q270" i="4"/>
  <c r="O270" i="4"/>
  <c r="N270" i="4"/>
  <c r="M270" i="4"/>
  <c r="L270" i="4"/>
  <c r="S269" i="4"/>
  <c r="R269" i="4"/>
  <c r="Q269" i="4"/>
  <c r="O269" i="4"/>
  <c r="N269" i="4"/>
  <c r="M269" i="4"/>
  <c r="L269" i="4"/>
  <c r="S268" i="4"/>
  <c r="R268" i="4"/>
  <c r="Q268" i="4"/>
  <c r="O268" i="4"/>
  <c r="N268" i="4"/>
  <c r="M268" i="4"/>
  <c r="L268" i="4"/>
  <c r="S267" i="4"/>
  <c r="R267" i="4"/>
  <c r="Q267" i="4"/>
  <c r="O267" i="4"/>
  <c r="N267" i="4"/>
  <c r="M267" i="4"/>
  <c r="L267" i="4"/>
  <c r="S266" i="4"/>
  <c r="R266" i="4"/>
  <c r="Q266" i="4"/>
  <c r="O266" i="4"/>
  <c r="N266" i="4"/>
  <c r="M266" i="4"/>
  <c r="L266" i="4"/>
  <c r="S265" i="4"/>
  <c r="R265" i="4"/>
  <c r="Q265" i="4"/>
  <c r="O265" i="4"/>
  <c r="N265" i="4"/>
  <c r="M265" i="4"/>
  <c r="L265" i="4"/>
  <c r="S264" i="4"/>
  <c r="R264" i="4"/>
  <c r="Q264" i="4"/>
  <c r="O264" i="4"/>
  <c r="N264" i="4"/>
  <c r="M264" i="4"/>
  <c r="L264" i="4"/>
  <c r="S263" i="4"/>
  <c r="R263" i="4"/>
  <c r="Q263" i="4"/>
  <c r="O263" i="4"/>
  <c r="N263" i="4"/>
  <c r="M263" i="4"/>
  <c r="L263" i="4"/>
  <c r="S262" i="4"/>
  <c r="R262" i="4"/>
  <c r="Q262" i="4"/>
  <c r="O262" i="4"/>
  <c r="N262" i="4"/>
  <c r="M262" i="4"/>
  <c r="L262" i="4"/>
  <c r="S261" i="4"/>
  <c r="R261" i="4"/>
  <c r="Q261" i="4"/>
  <c r="O261" i="4"/>
  <c r="N261" i="4"/>
  <c r="M261" i="4"/>
  <c r="L261" i="4"/>
  <c r="S260" i="4"/>
  <c r="R260" i="4"/>
  <c r="Q260" i="4"/>
  <c r="O260" i="4"/>
  <c r="N260" i="4"/>
  <c r="M260" i="4"/>
  <c r="L260" i="4"/>
  <c r="S259" i="4"/>
  <c r="R259" i="4"/>
  <c r="Q259" i="4"/>
  <c r="O259" i="4"/>
  <c r="N259" i="4"/>
  <c r="M259" i="4"/>
  <c r="L259" i="4"/>
  <c r="S258" i="4"/>
  <c r="R258" i="4"/>
  <c r="Q258" i="4"/>
  <c r="O258" i="4"/>
  <c r="N258" i="4"/>
  <c r="M258" i="4"/>
  <c r="L258" i="4"/>
  <c r="S257" i="4"/>
  <c r="R257" i="4"/>
  <c r="Q257" i="4"/>
  <c r="O257" i="4"/>
  <c r="N257" i="4"/>
  <c r="M257" i="4"/>
  <c r="L257" i="4"/>
  <c r="S256" i="4"/>
  <c r="R256" i="4"/>
  <c r="Q256" i="4"/>
  <c r="O256" i="4"/>
  <c r="N256" i="4"/>
  <c r="M256" i="4"/>
  <c r="L256" i="4"/>
  <c r="S255" i="4"/>
  <c r="R255" i="4"/>
  <c r="Q255" i="4"/>
  <c r="O255" i="4"/>
  <c r="N255" i="4"/>
  <c r="M255" i="4"/>
  <c r="L255" i="4"/>
  <c r="S254" i="4"/>
  <c r="R254" i="4"/>
  <c r="Q254" i="4"/>
  <c r="O254" i="4"/>
  <c r="N254" i="4"/>
  <c r="M254" i="4"/>
  <c r="L254" i="4"/>
  <c r="S253" i="4"/>
  <c r="R253" i="4"/>
  <c r="Q253" i="4"/>
  <c r="O253" i="4"/>
  <c r="N253" i="4"/>
  <c r="M253" i="4"/>
  <c r="L253" i="4"/>
  <c r="S252" i="4"/>
  <c r="R252" i="4"/>
  <c r="Q252" i="4"/>
  <c r="O252" i="4"/>
  <c r="N252" i="4"/>
  <c r="M252" i="4"/>
  <c r="L252" i="4"/>
  <c r="S251" i="4"/>
  <c r="R251" i="4"/>
  <c r="Q251" i="4"/>
  <c r="O251" i="4"/>
  <c r="N251" i="4"/>
  <c r="M251" i="4"/>
  <c r="L251" i="4"/>
  <c r="S250" i="4"/>
  <c r="R250" i="4"/>
  <c r="Q250" i="4"/>
  <c r="O250" i="4"/>
  <c r="N250" i="4"/>
  <c r="M250" i="4"/>
  <c r="L250" i="4"/>
  <c r="S249" i="4"/>
  <c r="R249" i="4"/>
  <c r="Q249" i="4"/>
  <c r="O249" i="4"/>
  <c r="N249" i="4"/>
  <c r="M249" i="4"/>
  <c r="L249" i="4"/>
  <c r="S248" i="4"/>
  <c r="R248" i="4"/>
  <c r="Q248" i="4"/>
  <c r="O248" i="4"/>
  <c r="N248" i="4"/>
  <c r="M248" i="4"/>
  <c r="L248" i="4"/>
  <c r="S247" i="4"/>
  <c r="R247" i="4"/>
  <c r="Q247" i="4"/>
  <c r="O247" i="4"/>
  <c r="N247" i="4"/>
  <c r="M247" i="4"/>
  <c r="L247" i="4"/>
  <c r="S246" i="4"/>
  <c r="R246" i="4"/>
  <c r="Q246" i="4"/>
  <c r="O246" i="4"/>
  <c r="N246" i="4"/>
  <c r="M246" i="4"/>
  <c r="L246" i="4"/>
  <c r="S245" i="4"/>
  <c r="R245" i="4"/>
  <c r="Q245" i="4"/>
  <c r="O245" i="4"/>
  <c r="N245" i="4"/>
  <c r="M245" i="4"/>
  <c r="L245" i="4"/>
  <c r="S244" i="4"/>
  <c r="R244" i="4"/>
  <c r="Q244" i="4"/>
  <c r="O244" i="4"/>
  <c r="N244" i="4"/>
  <c r="M244" i="4"/>
  <c r="L244" i="4"/>
  <c r="S243" i="4"/>
  <c r="R243" i="4"/>
  <c r="Q243" i="4"/>
  <c r="O243" i="4"/>
  <c r="N243" i="4"/>
  <c r="M243" i="4"/>
  <c r="L243" i="4"/>
  <c r="S242" i="4"/>
  <c r="R242" i="4"/>
  <c r="Q242" i="4"/>
  <c r="O242" i="4"/>
  <c r="N242" i="4"/>
  <c r="M242" i="4"/>
  <c r="L242" i="4"/>
  <c r="S241" i="4"/>
  <c r="R241" i="4"/>
  <c r="Q241" i="4"/>
  <c r="O241" i="4"/>
  <c r="N241" i="4"/>
  <c r="M241" i="4"/>
  <c r="L241" i="4"/>
  <c r="S240" i="4"/>
  <c r="R240" i="4"/>
  <c r="Q240" i="4"/>
  <c r="O240" i="4"/>
  <c r="N240" i="4"/>
  <c r="M240" i="4"/>
  <c r="L240" i="4"/>
  <c r="S239" i="4"/>
  <c r="R239" i="4"/>
  <c r="Q239" i="4"/>
  <c r="O239" i="4"/>
  <c r="N239" i="4"/>
  <c r="M239" i="4"/>
  <c r="L239" i="4"/>
  <c r="S238" i="4"/>
  <c r="R238" i="4"/>
  <c r="Q238" i="4"/>
  <c r="O238" i="4"/>
  <c r="N238" i="4"/>
  <c r="M238" i="4"/>
  <c r="L238" i="4"/>
  <c r="S237" i="4"/>
  <c r="R237" i="4"/>
  <c r="Q237" i="4"/>
  <c r="O237" i="4"/>
  <c r="N237" i="4"/>
  <c r="M237" i="4"/>
  <c r="L237" i="4"/>
  <c r="S236" i="4"/>
  <c r="R236" i="4"/>
  <c r="Q236" i="4"/>
  <c r="O236" i="4"/>
  <c r="N236" i="4"/>
  <c r="M236" i="4"/>
  <c r="L236" i="4"/>
  <c r="S235" i="4"/>
  <c r="R235" i="4"/>
  <c r="Q235" i="4"/>
  <c r="O235" i="4"/>
  <c r="N235" i="4"/>
  <c r="M235" i="4"/>
  <c r="L235" i="4"/>
  <c r="S234" i="4"/>
  <c r="R234" i="4"/>
  <c r="Q234" i="4"/>
  <c r="O234" i="4"/>
  <c r="N234" i="4"/>
  <c r="M234" i="4"/>
  <c r="L234" i="4"/>
  <c r="S233" i="4"/>
  <c r="R233" i="4"/>
  <c r="Q233" i="4"/>
  <c r="O233" i="4"/>
  <c r="N233" i="4"/>
  <c r="M233" i="4"/>
  <c r="L233" i="4"/>
  <c r="S232" i="4"/>
  <c r="R232" i="4"/>
  <c r="Q232" i="4"/>
  <c r="O232" i="4"/>
  <c r="N232" i="4"/>
  <c r="M232" i="4"/>
  <c r="L232" i="4"/>
  <c r="S231" i="4"/>
  <c r="R231" i="4"/>
  <c r="Q231" i="4"/>
  <c r="O231" i="4"/>
  <c r="N231" i="4"/>
  <c r="M231" i="4"/>
  <c r="L231" i="4"/>
  <c r="S230" i="4"/>
  <c r="R230" i="4"/>
  <c r="Q230" i="4"/>
  <c r="O230" i="4"/>
  <c r="N230" i="4"/>
  <c r="M230" i="4"/>
  <c r="L230" i="4"/>
  <c r="S229" i="4"/>
  <c r="R229" i="4"/>
  <c r="Q229" i="4"/>
  <c r="O229" i="4"/>
  <c r="N229" i="4"/>
  <c r="M229" i="4"/>
  <c r="L229" i="4"/>
  <c r="S228" i="4"/>
  <c r="R228" i="4"/>
  <c r="Q228" i="4"/>
  <c r="O228" i="4"/>
  <c r="N228" i="4"/>
  <c r="M228" i="4"/>
  <c r="L228" i="4"/>
  <c r="S227" i="4"/>
  <c r="R227" i="4"/>
  <c r="Q227" i="4"/>
  <c r="O227" i="4"/>
  <c r="N227" i="4"/>
  <c r="M227" i="4"/>
  <c r="L227" i="4"/>
  <c r="S226" i="4"/>
  <c r="R226" i="4"/>
  <c r="Q226" i="4"/>
  <c r="O226" i="4"/>
  <c r="N226" i="4"/>
  <c r="M226" i="4"/>
  <c r="L226" i="4"/>
  <c r="S225" i="4"/>
  <c r="R225" i="4"/>
  <c r="Q225" i="4"/>
  <c r="O225" i="4"/>
  <c r="N225" i="4"/>
  <c r="M225" i="4"/>
  <c r="L225" i="4"/>
  <c r="S224" i="4"/>
  <c r="R224" i="4"/>
  <c r="Q224" i="4"/>
  <c r="O224" i="4"/>
  <c r="N224" i="4"/>
  <c r="M224" i="4"/>
  <c r="L224" i="4"/>
  <c r="S223" i="4"/>
  <c r="R223" i="4"/>
  <c r="Q223" i="4"/>
  <c r="O223" i="4"/>
  <c r="N223" i="4"/>
  <c r="M223" i="4"/>
  <c r="L223" i="4"/>
  <c r="S222" i="4"/>
  <c r="R222" i="4"/>
  <c r="Q222" i="4"/>
  <c r="O222" i="4"/>
  <c r="N222" i="4"/>
  <c r="M222" i="4"/>
  <c r="L222" i="4"/>
  <c r="S221" i="4"/>
  <c r="R221" i="4"/>
  <c r="Q221" i="4"/>
  <c r="O221" i="4"/>
  <c r="N221" i="4"/>
  <c r="M221" i="4"/>
  <c r="L221" i="4"/>
  <c r="S220" i="4"/>
  <c r="R220" i="4"/>
  <c r="Q220" i="4"/>
  <c r="O220" i="4"/>
  <c r="N220" i="4"/>
  <c r="M220" i="4"/>
  <c r="L220" i="4"/>
  <c r="S219" i="4"/>
  <c r="R219" i="4"/>
  <c r="Q219" i="4"/>
  <c r="O219" i="4"/>
  <c r="N219" i="4"/>
  <c r="M219" i="4"/>
  <c r="L219" i="4"/>
  <c r="S218" i="4"/>
  <c r="R218" i="4"/>
  <c r="Q218" i="4"/>
  <c r="O218" i="4"/>
  <c r="N218" i="4"/>
  <c r="M218" i="4"/>
  <c r="L218" i="4"/>
  <c r="S217" i="4"/>
  <c r="R217" i="4"/>
  <c r="Q217" i="4"/>
  <c r="O217" i="4"/>
  <c r="N217" i="4"/>
  <c r="M217" i="4"/>
  <c r="L217" i="4"/>
  <c r="S216" i="4"/>
  <c r="R216" i="4"/>
  <c r="Q216" i="4"/>
  <c r="O216" i="4"/>
  <c r="N216" i="4"/>
  <c r="M216" i="4"/>
  <c r="L216" i="4"/>
  <c r="S215" i="4"/>
  <c r="R215" i="4"/>
  <c r="Q215" i="4"/>
  <c r="O215" i="4"/>
  <c r="N215" i="4"/>
  <c r="M215" i="4"/>
  <c r="L215" i="4"/>
  <c r="S214" i="4"/>
  <c r="R214" i="4"/>
  <c r="Q214" i="4"/>
  <c r="O214" i="4"/>
  <c r="N214" i="4"/>
  <c r="M214" i="4"/>
  <c r="L214" i="4"/>
  <c r="S213" i="4"/>
  <c r="R213" i="4"/>
  <c r="Q213" i="4"/>
  <c r="O213" i="4"/>
  <c r="N213" i="4"/>
  <c r="M213" i="4"/>
  <c r="L213" i="4"/>
  <c r="S212" i="4"/>
  <c r="R212" i="4"/>
  <c r="Q212" i="4"/>
  <c r="O212" i="4"/>
  <c r="N212" i="4"/>
  <c r="M212" i="4"/>
  <c r="L212" i="4"/>
  <c r="S211" i="4"/>
  <c r="R211" i="4"/>
  <c r="Q211" i="4"/>
  <c r="O211" i="4"/>
  <c r="N211" i="4"/>
  <c r="M211" i="4"/>
  <c r="L211" i="4"/>
  <c r="S210" i="4"/>
  <c r="R210" i="4"/>
  <c r="Q210" i="4"/>
  <c r="O210" i="4"/>
  <c r="N210" i="4"/>
  <c r="M210" i="4"/>
  <c r="L210" i="4"/>
  <c r="S209" i="4"/>
  <c r="R209" i="4"/>
  <c r="Q209" i="4"/>
  <c r="O209" i="4"/>
  <c r="N209" i="4"/>
  <c r="M209" i="4"/>
  <c r="L209" i="4"/>
  <c r="S208" i="4"/>
  <c r="R208" i="4"/>
  <c r="Q208" i="4"/>
  <c r="O208" i="4"/>
  <c r="N208" i="4"/>
  <c r="M208" i="4"/>
  <c r="L208" i="4"/>
  <c r="S207" i="4"/>
  <c r="R207" i="4"/>
  <c r="Q207" i="4"/>
  <c r="O207" i="4"/>
  <c r="N207" i="4"/>
  <c r="M207" i="4"/>
  <c r="L207" i="4"/>
  <c r="S206" i="4"/>
  <c r="R206" i="4"/>
  <c r="Q206" i="4"/>
  <c r="O206" i="4"/>
  <c r="N206" i="4"/>
  <c r="M206" i="4"/>
  <c r="L206" i="4"/>
  <c r="S205" i="4"/>
  <c r="R205" i="4"/>
  <c r="Q205" i="4"/>
  <c r="O205" i="4"/>
  <c r="N205" i="4"/>
  <c r="M205" i="4"/>
  <c r="L205" i="4"/>
  <c r="S204" i="4"/>
  <c r="R204" i="4"/>
  <c r="Q204" i="4"/>
  <c r="O204" i="4"/>
  <c r="N204" i="4"/>
  <c r="M204" i="4"/>
  <c r="L204" i="4"/>
  <c r="S203" i="4"/>
  <c r="R203" i="4"/>
  <c r="Q203" i="4"/>
  <c r="O203" i="4"/>
  <c r="N203" i="4"/>
  <c r="M203" i="4"/>
  <c r="L203" i="4"/>
  <c r="S202" i="4"/>
  <c r="R202" i="4"/>
  <c r="Q202" i="4"/>
  <c r="O202" i="4"/>
  <c r="N202" i="4"/>
  <c r="M202" i="4"/>
  <c r="L202" i="4"/>
  <c r="S201" i="4"/>
  <c r="R201" i="4"/>
  <c r="Q201" i="4"/>
  <c r="O201" i="4"/>
  <c r="N201" i="4"/>
  <c r="M201" i="4"/>
  <c r="L201" i="4"/>
  <c r="S200" i="4"/>
  <c r="R200" i="4"/>
  <c r="Q200" i="4"/>
  <c r="O200" i="4"/>
  <c r="N200" i="4"/>
  <c r="M200" i="4"/>
  <c r="L200" i="4"/>
  <c r="S199" i="4"/>
  <c r="R199" i="4"/>
  <c r="Q199" i="4"/>
  <c r="O199" i="4"/>
  <c r="N199" i="4"/>
  <c r="M199" i="4"/>
  <c r="L199" i="4"/>
  <c r="S198" i="4"/>
  <c r="R198" i="4"/>
  <c r="Q198" i="4"/>
  <c r="O198" i="4"/>
  <c r="N198" i="4"/>
  <c r="M198" i="4"/>
  <c r="L198" i="4"/>
  <c r="S197" i="4"/>
  <c r="R197" i="4"/>
  <c r="Q197" i="4"/>
  <c r="O197" i="4"/>
  <c r="N197" i="4"/>
  <c r="M197" i="4"/>
  <c r="L197" i="4"/>
  <c r="S196" i="4"/>
  <c r="R196" i="4"/>
  <c r="Q196" i="4"/>
  <c r="O196" i="4"/>
  <c r="N196" i="4"/>
  <c r="M196" i="4"/>
  <c r="L196" i="4"/>
  <c r="S195" i="4"/>
  <c r="R195" i="4"/>
  <c r="Q195" i="4"/>
  <c r="O195" i="4"/>
  <c r="N195" i="4"/>
  <c r="M195" i="4"/>
  <c r="L195" i="4"/>
  <c r="S194" i="4"/>
  <c r="R194" i="4"/>
  <c r="Q194" i="4"/>
  <c r="O194" i="4"/>
  <c r="N194" i="4"/>
  <c r="M194" i="4"/>
  <c r="L194" i="4"/>
  <c r="S193" i="4"/>
  <c r="R193" i="4"/>
  <c r="Q193" i="4"/>
  <c r="O193" i="4"/>
  <c r="N193" i="4"/>
  <c r="M193" i="4"/>
  <c r="L193" i="4"/>
  <c r="S192" i="4"/>
  <c r="R192" i="4"/>
  <c r="Q192" i="4"/>
  <c r="O192" i="4"/>
  <c r="N192" i="4"/>
  <c r="M192" i="4"/>
  <c r="L192" i="4"/>
  <c r="S191" i="4"/>
  <c r="R191" i="4"/>
  <c r="Q191" i="4"/>
  <c r="O191" i="4"/>
  <c r="N191" i="4"/>
  <c r="M191" i="4"/>
  <c r="L191" i="4"/>
  <c r="S190" i="4"/>
  <c r="R190" i="4"/>
  <c r="Q190" i="4"/>
  <c r="O190" i="4"/>
  <c r="N190" i="4"/>
  <c r="M190" i="4"/>
  <c r="L190" i="4"/>
  <c r="S189" i="4"/>
  <c r="R189" i="4"/>
  <c r="Q189" i="4"/>
  <c r="O189" i="4"/>
  <c r="N189" i="4"/>
  <c r="M189" i="4"/>
  <c r="L189" i="4"/>
  <c r="S188" i="4"/>
  <c r="R188" i="4"/>
  <c r="Q188" i="4"/>
  <c r="O188" i="4"/>
  <c r="N188" i="4"/>
  <c r="M188" i="4"/>
  <c r="L188" i="4"/>
  <c r="S187" i="4"/>
  <c r="R187" i="4"/>
  <c r="Q187" i="4"/>
  <c r="O187" i="4"/>
  <c r="N187" i="4"/>
  <c r="M187" i="4"/>
  <c r="L187" i="4"/>
  <c r="S186" i="4"/>
  <c r="R186" i="4"/>
  <c r="Q186" i="4"/>
  <c r="O186" i="4"/>
  <c r="N186" i="4"/>
  <c r="M186" i="4"/>
  <c r="L186" i="4"/>
  <c r="S185" i="4"/>
  <c r="R185" i="4"/>
  <c r="Q185" i="4"/>
  <c r="O185" i="4"/>
  <c r="N185" i="4"/>
  <c r="M185" i="4"/>
  <c r="L185" i="4"/>
  <c r="S184" i="4"/>
  <c r="R184" i="4"/>
  <c r="Q184" i="4"/>
  <c r="O184" i="4"/>
  <c r="N184" i="4"/>
  <c r="M184" i="4"/>
  <c r="L184" i="4"/>
  <c r="S183" i="4"/>
  <c r="R183" i="4"/>
  <c r="Q183" i="4"/>
  <c r="O183" i="4"/>
  <c r="N183" i="4"/>
  <c r="M183" i="4"/>
  <c r="L183" i="4"/>
  <c r="S182" i="4"/>
  <c r="R182" i="4"/>
  <c r="Q182" i="4"/>
  <c r="O182" i="4"/>
  <c r="N182" i="4"/>
  <c r="M182" i="4"/>
  <c r="L182" i="4"/>
  <c r="S181" i="4"/>
  <c r="R181" i="4"/>
  <c r="Q181" i="4"/>
  <c r="O181" i="4"/>
  <c r="N181" i="4"/>
  <c r="M181" i="4"/>
  <c r="L181" i="4"/>
  <c r="S180" i="4"/>
  <c r="R180" i="4"/>
  <c r="Q180" i="4"/>
  <c r="O180" i="4"/>
  <c r="N180" i="4"/>
  <c r="M180" i="4"/>
  <c r="L180" i="4"/>
  <c r="S179" i="4"/>
  <c r="R179" i="4"/>
  <c r="Q179" i="4"/>
  <c r="O179" i="4"/>
  <c r="N179" i="4"/>
  <c r="M179" i="4"/>
  <c r="L179" i="4"/>
  <c r="S178" i="4"/>
  <c r="R178" i="4"/>
  <c r="Q178" i="4"/>
  <c r="O178" i="4"/>
  <c r="N178" i="4"/>
  <c r="M178" i="4"/>
  <c r="L178" i="4"/>
  <c r="S177" i="4"/>
  <c r="R177" i="4"/>
  <c r="Q177" i="4"/>
  <c r="O177" i="4"/>
  <c r="N177" i="4"/>
  <c r="M177" i="4"/>
  <c r="L177" i="4"/>
  <c r="S176" i="4"/>
  <c r="R176" i="4"/>
  <c r="Q176" i="4"/>
  <c r="O176" i="4"/>
  <c r="N176" i="4"/>
  <c r="M176" i="4"/>
  <c r="L176" i="4"/>
  <c r="S175" i="4"/>
  <c r="R175" i="4"/>
  <c r="Q175" i="4"/>
  <c r="O175" i="4"/>
  <c r="N175" i="4"/>
  <c r="M175" i="4"/>
  <c r="L175" i="4"/>
  <c r="S174" i="4"/>
  <c r="R174" i="4"/>
  <c r="Q174" i="4"/>
  <c r="O174" i="4"/>
  <c r="N174" i="4"/>
  <c r="M174" i="4"/>
  <c r="L174" i="4"/>
  <c r="S173" i="4"/>
  <c r="R173" i="4"/>
  <c r="Q173" i="4"/>
  <c r="O173" i="4"/>
  <c r="N173" i="4"/>
  <c r="M173" i="4"/>
  <c r="L173" i="4"/>
  <c r="S172" i="4"/>
  <c r="R172" i="4"/>
  <c r="Q172" i="4"/>
  <c r="O172" i="4"/>
  <c r="N172" i="4"/>
  <c r="M172" i="4"/>
  <c r="L172" i="4"/>
  <c r="S171" i="4"/>
  <c r="R171" i="4"/>
  <c r="Q171" i="4"/>
  <c r="O171" i="4"/>
  <c r="N171" i="4"/>
  <c r="M171" i="4"/>
  <c r="L171" i="4"/>
  <c r="S170" i="4"/>
  <c r="R170" i="4"/>
  <c r="Q170" i="4"/>
  <c r="O170" i="4"/>
  <c r="N170" i="4"/>
  <c r="M170" i="4"/>
  <c r="L170" i="4"/>
  <c r="S169" i="4"/>
  <c r="R169" i="4"/>
  <c r="Q169" i="4"/>
  <c r="O169" i="4"/>
  <c r="N169" i="4"/>
  <c r="M169" i="4"/>
  <c r="L169" i="4"/>
  <c r="S168" i="4"/>
  <c r="R168" i="4"/>
  <c r="Q168" i="4"/>
  <c r="O168" i="4"/>
  <c r="N168" i="4"/>
  <c r="M168" i="4"/>
  <c r="L168" i="4"/>
  <c r="S167" i="4"/>
  <c r="R167" i="4"/>
  <c r="Q167" i="4"/>
  <c r="O167" i="4"/>
  <c r="N167" i="4"/>
  <c r="M167" i="4"/>
  <c r="L167" i="4"/>
  <c r="S166" i="4"/>
  <c r="R166" i="4"/>
  <c r="Q166" i="4"/>
  <c r="O166" i="4"/>
  <c r="N166" i="4"/>
  <c r="M166" i="4"/>
  <c r="L166" i="4"/>
  <c r="S165" i="4"/>
  <c r="R165" i="4"/>
  <c r="Q165" i="4"/>
  <c r="O165" i="4"/>
  <c r="N165" i="4"/>
  <c r="M165" i="4"/>
  <c r="L165" i="4"/>
  <c r="S164" i="4"/>
  <c r="R164" i="4"/>
  <c r="Q164" i="4"/>
  <c r="O164" i="4"/>
  <c r="N164" i="4"/>
  <c r="M164" i="4"/>
  <c r="L164" i="4"/>
  <c r="S163" i="4"/>
  <c r="R163" i="4"/>
  <c r="Q163" i="4"/>
  <c r="O163" i="4"/>
  <c r="N163" i="4"/>
  <c r="M163" i="4"/>
  <c r="L163" i="4"/>
  <c r="S162" i="4"/>
  <c r="R162" i="4"/>
  <c r="Q162" i="4"/>
  <c r="O162" i="4"/>
  <c r="N162" i="4"/>
  <c r="M162" i="4"/>
  <c r="L162" i="4"/>
  <c r="S161" i="4"/>
  <c r="R161" i="4"/>
  <c r="Q161" i="4"/>
  <c r="O161" i="4"/>
  <c r="N161" i="4"/>
  <c r="M161" i="4"/>
  <c r="L161" i="4"/>
  <c r="S160" i="4"/>
  <c r="R160" i="4"/>
  <c r="Q160" i="4"/>
  <c r="O160" i="4"/>
  <c r="N160" i="4"/>
  <c r="M160" i="4"/>
  <c r="L160" i="4"/>
  <c r="S159" i="4"/>
  <c r="R159" i="4"/>
  <c r="Q159" i="4"/>
  <c r="O159" i="4"/>
  <c r="N159" i="4"/>
  <c r="M159" i="4"/>
  <c r="L159" i="4"/>
  <c r="S158" i="4"/>
  <c r="R158" i="4"/>
  <c r="Q158" i="4"/>
  <c r="O158" i="4"/>
  <c r="N158" i="4"/>
  <c r="M158" i="4"/>
  <c r="L158" i="4"/>
  <c r="S157" i="4"/>
  <c r="R157" i="4"/>
  <c r="Q157" i="4"/>
  <c r="O157" i="4"/>
  <c r="N157" i="4"/>
  <c r="M157" i="4"/>
  <c r="L157" i="4"/>
  <c r="S156" i="4"/>
  <c r="R156" i="4"/>
  <c r="Q156" i="4"/>
  <c r="O156" i="4"/>
  <c r="N156" i="4"/>
  <c r="M156" i="4"/>
  <c r="L156" i="4"/>
  <c r="S155" i="4"/>
  <c r="R155" i="4"/>
  <c r="Q155" i="4"/>
  <c r="O155" i="4"/>
  <c r="N155" i="4"/>
  <c r="M155" i="4"/>
  <c r="L155" i="4"/>
  <c r="S154" i="4"/>
  <c r="R154" i="4"/>
  <c r="Q154" i="4"/>
  <c r="O154" i="4"/>
  <c r="N154" i="4"/>
  <c r="M154" i="4"/>
  <c r="L154" i="4"/>
  <c r="S153" i="4"/>
  <c r="R153" i="4"/>
  <c r="Q153" i="4"/>
  <c r="O153" i="4"/>
  <c r="N153" i="4"/>
  <c r="M153" i="4"/>
  <c r="L153" i="4"/>
  <c r="S152" i="4"/>
  <c r="R152" i="4"/>
  <c r="Q152" i="4"/>
  <c r="O152" i="4"/>
  <c r="N152" i="4"/>
  <c r="M152" i="4"/>
  <c r="L152" i="4"/>
  <c r="S151" i="4"/>
  <c r="R151" i="4"/>
  <c r="Q151" i="4"/>
  <c r="O151" i="4"/>
  <c r="N151" i="4"/>
  <c r="M151" i="4"/>
  <c r="L151" i="4"/>
  <c r="S150" i="4"/>
  <c r="R150" i="4"/>
  <c r="Q150" i="4"/>
  <c r="O150" i="4"/>
  <c r="N150" i="4"/>
  <c r="M150" i="4"/>
  <c r="L150" i="4"/>
  <c r="S149" i="4"/>
  <c r="R149" i="4"/>
  <c r="Q149" i="4"/>
  <c r="O149" i="4"/>
  <c r="N149" i="4"/>
  <c r="M149" i="4"/>
  <c r="L149" i="4"/>
  <c r="S148" i="4"/>
  <c r="R148" i="4"/>
  <c r="Q148" i="4"/>
  <c r="O148" i="4"/>
  <c r="N148" i="4"/>
  <c r="M148" i="4"/>
  <c r="L148" i="4"/>
  <c r="S147" i="4"/>
  <c r="R147" i="4"/>
  <c r="Q147" i="4"/>
  <c r="O147" i="4"/>
  <c r="N147" i="4"/>
  <c r="M147" i="4"/>
  <c r="L147" i="4"/>
  <c r="S146" i="4"/>
  <c r="R146" i="4"/>
  <c r="Q146" i="4"/>
  <c r="O146" i="4"/>
  <c r="N146" i="4"/>
  <c r="M146" i="4"/>
  <c r="L146" i="4"/>
  <c r="S145" i="4"/>
  <c r="R145" i="4"/>
  <c r="Q145" i="4"/>
  <c r="O145" i="4"/>
  <c r="N145" i="4"/>
  <c r="M145" i="4"/>
  <c r="L145" i="4"/>
  <c r="S144" i="4"/>
  <c r="R144" i="4"/>
  <c r="Q144" i="4"/>
  <c r="O144" i="4"/>
  <c r="N144" i="4"/>
  <c r="M144" i="4"/>
  <c r="L144" i="4"/>
  <c r="S143" i="4"/>
  <c r="R143" i="4"/>
  <c r="Q143" i="4"/>
  <c r="O143" i="4"/>
  <c r="N143" i="4"/>
  <c r="M143" i="4"/>
  <c r="L143" i="4"/>
  <c r="S142" i="4"/>
  <c r="R142" i="4"/>
  <c r="Q142" i="4"/>
  <c r="O142" i="4"/>
  <c r="N142" i="4"/>
  <c r="M142" i="4"/>
  <c r="L142" i="4"/>
  <c r="S141" i="4"/>
  <c r="R141" i="4"/>
  <c r="Q141" i="4"/>
  <c r="O141" i="4"/>
  <c r="N141" i="4"/>
  <c r="M141" i="4"/>
  <c r="L141" i="4"/>
  <c r="S140" i="4"/>
  <c r="R140" i="4"/>
  <c r="Q140" i="4"/>
  <c r="O140" i="4"/>
  <c r="N140" i="4"/>
  <c r="M140" i="4"/>
  <c r="L140" i="4"/>
  <c r="S139" i="4"/>
  <c r="R139" i="4"/>
  <c r="Q139" i="4"/>
  <c r="O139" i="4"/>
  <c r="N139" i="4"/>
  <c r="M139" i="4"/>
  <c r="L139" i="4"/>
  <c r="S138" i="4"/>
  <c r="R138" i="4"/>
  <c r="Q138" i="4"/>
  <c r="O138" i="4"/>
  <c r="N138" i="4"/>
  <c r="M138" i="4"/>
  <c r="L138" i="4"/>
  <c r="S137" i="4"/>
  <c r="R137" i="4"/>
  <c r="Q137" i="4"/>
  <c r="O137" i="4"/>
  <c r="N137" i="4"/>
  <c r="M137" i="4"/>
  <c r="L137" i="4"/>
  <c r="S136" i="4"/>
  <c r="R136" i="4"/>
  <c r="Q136" i="4"/>
  <c r="O136" i="4"/>
  <c r="N136" i="4"/>
  <c r="M136" i="4"/>
  <c r="L136" i="4"/>
  <c r="S135" i="4"/>
  <c r="R135" i="4"/>
  <c r="Q135" i="4"/>
  <c r="O135" i="4"/>
  <c r="N135" i="4"/>
  <c r="M135" i="4"/>
  <c r="L135" i="4"/>
  <c r="S134" i="4"/>
  <c r="R134" i="4"/>
  <c r="Q134" i="4"/>
  <c r="O134" i="4"/>
  <c r="N134" i="4"/>
  <c r="M134" i="4"/>
  <c r="L134" i="4"/>
  <c r="S133" i="4"/>
  <c r="R133" i="4"/>
  <c r="Q133" i="4"/>
  <c r="O133" i="4"/>
  <c r="N133" i="4"/>
  <c r="M133" i="4"/>
  <c r="L133" i="4"/>
  <c r="S132" i="4"/>
  <c r="R132" i="4"/>
  <c r="Q132" i="4"/>
  <c r="O132" i="4"/>
  <c r="N132" i="4"/>
  <c r="M132" i="4"/>
  <c r="L132" i="4"/>
  <c r="S131" i="4"/>
  <c r="R131" i="4"/>
  <c r="Q131" i="4"/>
  <c r="O131" i="4"/>
  <c r="N131" i="4"/>
  <c r="M131" i="4"/>
  <c r="L131" i="4"/>
  <c r="S130" i="4"/>
  <c r="R130" i="4"/>
  <c r="Q130" i="4"/>
  <c r="O130" i="4"/>
  <c r="N130" i="4"/>
  <c r="M130" i="4"/>
  <c r="L130" i="4"/>
  <c r="S129" i="4"/>
  <c r="R129" i="4"/>
  <c r="Q129" i="4"/>
  <c r="O129" i="4"/>
  <c r="N129" i="4"/>
  <c r="M129" i="4"/>
  <c r="L129" i="4"/>
  <c r="S128" i="4"/>
  <c r="R128" i="4"/>
  <c r="Q128" i="4"/>
  <c r="O128" i="4"/>
  <c r="N128" i="4"/>
  <c r="M128" i="4"/>
  <c r="L128" i="4"/>
  <c r="S127" i="4"/>
  <c r="R127" i="4"/>
  <c r="Q127" i="4"/>
  <c r="O127" i="4"/>
  <c r="N127" i="4"/>
  <c r="M127" i="4"/>
  <c r="L127" i="4"/>
  <c r="S126" i="4"/>
  <c r="R126" i="4"/>
  <c r="Q126" i="4"/>
  <c r="O126" i="4"/>
  <c r="N126" i="4"/>
  <c r="M126" i="4"/>
  <c r="L126" i="4"/>
  <c r="S125" i="4"/>
  <c r="R125" i="4"/>
  <c r="Q125" i="4"/>
  <c r="O125" i="4"/>
  <c r="N125" i="4"/>
  <c r="M125" i="4"/>
  <c r="L125" i="4"/>
  <c r="S124" i="4"/>
  <c r="R124" i="4"/>
  <c r="Q124" i="4"/>
  <c r="O124" i="4"/>
  <c r="N124" i="4"/>
  <c r="M124" i="4"/>
  <c r="L124" i="4"/>
  <c r="S123" i="4"/>
  <c r="R123" i="4"/>
  <c r="Q123" i="4"/>
  <c r="O123" i="4"/>
  <c r="N123" i="4"/>
  <c r="M123" i="4"/>
  <c r="L123" i="4"/>
  <c r="S122" i="4"/>
  <c r="R122" i="4"/>
  <c r="Q122" i="4"/>
  <c r="O122" i="4"/>
  <c r="N122" i="4"/>
  <c r="M122" i="4"/>
  <c r="L122" i="4"/>
  <c r="S121" i="4"/>
  <c r="R121" i="4"/>
  <c r="Q121" i="4"/>
  <c r="O121" i="4"/>
  <c r="N121" i="4"/>
  <c r="M121" i="4"/>
  <c r="L121" i="4"/>
  <c r="S120" i="4"/>
  <c r="R120" i="4"/>
  <c r="Q120" i="4"/>
  <c r="O120" i="4"/>
  <c r="N120" i="4"/>
  <c r="M120" i="4"/>
  <c r="L120" i="4"/>
  <c r="S119" i="4"/>
  <c r="R119" i="4"/>
  <c r="Q119" i="4"/>
  <c r="O119" i="4"/>
  <c r="N119" i="4"/>
  <c r="M119" i="4"/>
  <c r="L119" i="4"/>
  <c r="S118" i="4"/>
  <c r="R118" i="4"/>
  <c r="Q118" i="4"/>
  <c r="O118" i="4"/>
  <c r="N118" i="4"/>
  <c r="M118" i="4"/>
  <c r="L118" i="4"/>
  <c r="S117" i="4"/>
  <c r="R117" i="4"/>
  <c r="Q117" i="4"/>
  <c r="O117" i="4"/>
  <c r="N117" i="4"/>
  <c r="M117" i="4"/>
  <c r="L117" i="4"/>
  <c r="S116" i="4"/>
  <c r="R116" i="4"/>
  <c r="Q116" i="4"/>
  <c r="O116" i="4"/>
  <c r="N116" i="4"/>
  <c r="M116" i="4"/>
  <c r="L116" i="4"/>
  <c r="S115" i="4"/>
  <c r="R115" i="4"/>
  <c r="Q115" i="4"/>
  <c r="O115" i="4"/>
  <c r="N115" i="4"/>
  <c r="M115" i="4"/>
  <c r="L115" i="4"/>
  <c r="S114" i="4"/>
  <c r="R114" i="4"/>
  <c r="Q114" i="4"/>
  <c r="O114" i="4"/>
  <c r="N114" i="4"/>
  <c r="M114" i="4"/>
  <c r="L114" i="4"/>
  <c r="S113" i="4"/>
  <c r="R113" i="4"/>
  <c r="Q113" i="4"/>
  <c r="O113" i="4"/>
  <c r="N113" i="4"/>
  <c r="M113" i="4"/>
  <c r="L113" i="4"/>
  <c r="S112" i="4"/>
  <c r="R112" i="4"/>
  <c r="Q112" i="4"/>
  <c r="O112" i="4"/>
  <c r="N112" i="4"/>
  <c r="M112" i="4"/>
  <c r="L112" i="4"/>
  <c r="S111" i="4"/>
  <c r="R111" i="4"/>
  <c r="Q111" i="4"/>
  <c r="O111" i="4"/>
  <c r="N111" i="4"/>
  <c r="M111" i="4"/>
  <c r="L111" i="4"/>
  <c r="S110" i="4"/>
  <c r="R110" i="4"/>
  <c r="Q110" i="4"/>
  <c r="O110" i="4"/>
  <c r="N110" i="4"/>
  <c r="M110" i="4"/>
  <c r="L110" i="4"/>
  <c r="S109" i="4"/>
  <c r="R109" i="4"/>
  <c r="Q109" i="4"/>
  <c r="O109" i="4"/>
  <c r="N109" i="4"/>
  <c r="M109" i="4"/>
  <c r="L109" i="4"/>
  <c r="S108" i="4"/>
  <c r="R108" i="4"/>
  <c r="Q108" i="4"/>
  <c r="O108" i="4"/>
  <c r="N108" i="4"/>
  <c r="M108" i="4"/>
  <c r="L108" i="4"/>
  <c r="S107" i="4"/>
  <c r="R107" i="4"/>
  <c r="Q107" i="4"/>
  <c r="O107" i="4"/>
  <c r="N107" i="4"/>
  <c r="M107" i="4"/>
  <c r="L107" i="4"/>
  <c r="S106" i="4"/>
  <c r="R106" i="4"/>
  <c r="Q106" i="4"/>
  <c r="O106" i="4"/>
  <c r="N106" i="4"/>
  <c r="M106" i="4"/>
  <c r="L106" i="4"/>
  <c r="S105" i="4"/>
  <c r="R105" i="4"/>
  <c r="Q105" i="4"/>
  <c r="O105" i="4"/>
  <c r="N105" i="4"/>
  <c r="M105" i="4"/>
  <c r="L105" i="4"/>
  <c r="S104" i="4"/>
  <c r="R104" i="4"/>
  <c r="Q104" i="4"/>
  <c r="O104" i="4"/>
  <c r="N104" i="4"/>
  <c r="M104" i="4"/>
  <c r="L104" i="4"/>
  <c r="S103" i="4"/>
  <c r="R103" i="4"/>
  <c r="Q103" i="4"/>
  <c r="O103" i="4"/>
  <c r="N103" i="4"/>
  <c r="M103" i="4"/>
  <c r="L103" i="4"/>
  <c r="S102" i="4"/>
  <c r="R102" i="4"/>
  <c r="Q102" i="4"/>
  <c r="O102" i="4"/>
  <c r="N102" i="4"/>
  <c r="M102" i="4"/>
  <c r="L102" i="4"/>
  <c r="S101" i="4"/>
  <c r="R101" i="4"/>
  <c r="Q101" i="4"/>
  <c r="O101" i="4"/>
  <c r="N101" i="4"/>
  <c r="M101" i="4"/>
  <c r="L101" i="4"/>
  <c r="S100" i="4"/>
  <c r="R100" i="4"/>
  <c r="Q100" i="4"/>
  <c r="O100" i="4"/>
  <c r="N100" i="4"/>
  <c r="M100" i="4"/>
  <c r="L100" i="4"/>
  <c r="S99" i="4"/>
  <c r="R99" i="4"/>
  <c r="Q99" i="4"/>
  <c r="O99" i="4"/>
  <c r="N99" i="4"/>
  <c r="M99" i="4"/>
  <c r="L99" i="4"/>
  <c r="S98" i="4"/>
  <c r="R98" i="4"/>
  <c r="Q98" i="4"/>
  <c r="O98" i="4"/>
  <c r="N98" i="4"/>
  <c r="M98" i="4"/>
  <c r="L98" i="4"/>
  <c r="S97" i="4"/>
  <c r="R97" i="4"/>
  <c r="Q97" i="4"/>
  <c r="O97" i="4"/>
  <c r="N97" i="4"/>
  <c r="M97" i="4"/>
  <c r="L97" i="4"/>
  <c r="S96" i="4"/>
  <c r="R96" i="4"/>
  <c r="Q96" i="4"/>
  <c r="O96" i="4"/>
  <c r="N96" i="4"/>
  <c r="M96" i="4"/>
  <c r="L96" i="4"/>
  <c r="S95" i="4"/>
  <c r="R95" i="4"/>
  <c r="Q95" i="4"/>
  <c r="O95" i="4"/>
  <c r="N95" i="4"/>
  <c r="M95" i="4"/>
  <c r="L95" i="4"/>
  <c r="S94" i="4"/>
  <c r="R94" i="4"/>
  <c r="Q94" i="4"/>
  <c r="O94" i="4"/>
  <c r="N94" i="4"/>
  <c r="M94" i="4"/>
  <c r="L94" i="4"/>
  <c r="S93" i="4"/>
  <c r="R93" i="4"/>
  <c r="Q93" i="4"/>
  <c r="O93" i="4"/>
  <c r="N93" i="4"/>
  <c r="M93" i="4"/>
  <c r="L93" i="4"/>
  <c r="S92" i="4"/>
  <c r="R92" i="4"/>
  <c r="Q92" i="4"/>
  <c r="O92" i="4"/>
  <c r="N92" i="4"/>
  <c r="M92" i="4"/>
  <c r="L92" i="4"/>
  <c r="S91" i="4"/>
  <c r="R91" i="4"/>
  <c r="Q91" i="4"/>
  <c r="O91" i="4"/>
  <c r="N91" i="4"/>
  <c r="M91" i="4"/>
  <c r="L91" i="4"/>
  <c r="S90" i="4"/>
  <c r="R90" i="4"/>
  <c r="Q90" i="4"/>
  <c r="O90" i="4"/>
  <c r="N90" i="4"/>
  <c r="M90" i="4"/>
  <c r="L90" i="4"/>
  <c r="S89" i="4"/>
  <c r="R89" i="4"/>
  <c r="Q89" i="4"/>
  <c r="O89" i="4"/>
  <c r="N89" i="4"/>
  <c r="M89" i="4"/>
  <c r="L89" i="4"/>
  <c r="S88" i="4"/>
  <c r="R88" i="4"/>
  <c r="Q88" i="4"/>
  <c r="O88" i="4"/>
  <c r="N88" i="4"/>
  <c r="M88" i="4"/>
  <c r="L88" i="4"/>
  <c r="S87" i="4"/>
  <c r="R87" i="4"/>
  <c r="Q87" i="4"/>
  <c r="O87" i="4"/>
  <c r="N87" i="4"/>
  <c r="M87" i="4"/>
  <c r="L87" i="4"/>
  <c r="S86" i="4"/>
  <c r="R86" i="4"/>
  <c r="Q86" i="4"/>
  <c r="O86" i="4"/>
  <c r="N86" i="4"/>
  <c r="M86" i="4"/>
  <c r="L86" i="4"/>
  <c r="S85" i="4"/>
  <c r="R85" i="4"/>
  <c r="Q85" i="4"/>
  <c r="O85" i="4"/>
  <c r="N85" i="4"/>
  <c r="M85" i="4"/>
  <c r="L85" i="4"/>
  <c r="S84" i="4"/>
  <c r="R84" i="4"/>
  <c r="Q84" i="4"/>
  <c r="O84" i="4"/>
  <c r="N84" i="4"/>
  <c r="M84" i="4"/>
  <c r="L84" i="4"/>
  <c r="S83" i="4"/>
  <c r="R83" i="4"/>
  <c r="Q83" i="4"/>
  <c r="O83" i="4"/>
  <c r="N83" i="4"/>
  <c r="M83" i="4"/>
  <c r="L83" i="4"/>
  <c r="S82" i="4"/>
  <c r="R82" i="4"/>
  <c r="Q82" i="4"/>
  <c r="O82" i="4"/>
  <c r="N82" i="4"/>
  <c r="M82" i="4"/>
  <c r="L82" i="4"/>
  <c r="S81" i="4"/>
  <c r="R81" i="4"/>
  <c r="Q81" i="4"/>
  <c r="O81" i="4"/>
  <c r="N81" i="4"/>
  <c r="M81" i="4"/>
  <c r="L81" i="4"/>
  <c r="S80" i="4"/>
  <c r="R80" i="4"/>
  <c r="Q80" i="4"/>
  <c r="O80" i="4"/>
  <c r="N80" i="4"/>
  <c r="M80" i="4"/>
  <c r="L80" i="4"/>
  <c r="S79" i="4"/>
  <c r="R79" i="4"/>
  <c r="Q79" i="4"/>
  <c r="O79" i="4"/>
  <c r="N79" i="4"/>
  <c r="M79" i="4"/>
  <c r="L79" i="4"/>
  <c r="S78" i="4"/>
  <c r="R78" i="4"/>
  <c r="Q78" i="4"/>
  <c r="O78" i="4"/>
  <c r="N78" i="4"/>
  <c r="M78" i="4"/>
  <c r="L78" i="4"/>
  <c r="S77" i="4"/>
  <c r="R77" i="4"/>
  <c r="Q77" i="4"/>
  <c r="O77" i="4"/>
  <c r="N77" i="4"/>
  <c r="M77" i="4"/>
  <c r="L77" i="4"/>
  <c r="S76" i="4"/>
  <c r="R76" i="4"/>
  <c r="Q76" i="4"/>
  <c r="O76" i="4"/>
  <c r="N76" i="4"/>
  <c r="M76" i="4"/>
  <c r="L76" i="4"/>
  <c r="S75" i="4"/>
  <c r="R75" i="4"/>
  <c r="Q75" i="4"/>
  <c r="O75" i="4"/>
  <c r="N75" i="4"/>
  <c r="M75" i="4"/>
  <c r="L75" i="4"/>
  <c r="S74" i="4"/>
  <c r="R74" i="4"/>
  <c r="Q74" i="4"/>
  <c r="O74" i="4"/>
  <c r="N74" i="4"/>
  <c r="M74" i="4"/>
  <c r="L74" i="4"/>
  <c r="S73" i="4"/>
  <c r="R73" i="4"/>
  <c r="Q73" i="4"/>
  <c r="O73" i="4"/>
  <c r="N73" i="4"/>
  <c r="M73" i="4"/>
  <c r="L73" i="4"/>
  <c r="S72" i="4"/>
  <c r="R72" i="4"/>
  <c r="Q72" i="4"/>
  <c r="O72" i="4"/>
  <c r="N72" i="4"/>
  <c r="M72" i="4"/>
  <c r="L72" i="4"/>
  <c r="S71" i="4"/>
  <c r="R71" i="4"/>
  <c r="Q71" i="4"/>
  <c r="O71" i="4"/>
  <c r="N71" i="4"/>
  <c r="M71" i="4"/>
  <c r="L71" i="4"/>
  <c r="S70" i="4"/>
  <c r="R70" i="4"/>
  <c r="Q70" i="4"/>
  <c r="O70" i="4"/>
  <c r="N70" i="4"/>
  <c r="M70" i="4"/>
  <c r="L70" i="4"/>
  <c r="S69" i="4"/>
  <c r="R69" i="4"/>
  <c r="Q69" i="4"/>
  <c r="O69" i="4"/>
  <c r="N69" i="4"/>
  <c r="M69" i="4"/>
  <c r="L69" i="4"/>
  <c r="S68" i="4"/>
  <c r="R68" i="4"/>
  <c r="Q68" i="4"/>
  <c r="O68" i="4"/>
  <c r="N68" i="4"/>
  <c r="M68" i="4"/>
  <c r="L68" i="4"/>
  <c r="S67" i="4"/>
  <c r="R67" i="4"/>
  <c r="Q67" i="4"/>
  <c r="O67" i="4"/>
  <c r="N67" i="4"/>
  <c r="M67" i="4"/>
  <c r="L67" i="4"/>
  <c r="S66" i="4"/>
  <c r="R66" i="4"/>
  <c r="Q66" i="4"/>
  <c r="O66" i="4"/>
  <c r="N66" i="4"/>
  <c r="M66" i="4"/>
  <c r="L66" i="4"/>
  <c r="S65" i="4"/>
  <c r="R65" i="4"/>
  <c r="Q65" i="4"/>
  <c r="O65" i="4"/>
  <c r="N65" i="4"/>
  <c r="M65" i="4"/>
  <c r="L65" i="4"/>
  <c r="S64" i="4"/>
  <c r="R64" i="4"/>
  <c r="Q64" i="4"/>
  <c r="O64" i="4"/>
  <c r="N64" i="4"/>
  <c r="M64" i="4"/>
  <c r="L64" i="4"/>
  <c r="S63" i="4"/>
  <c r="R63" i="4"/>
  <c r="Q63" i="4"/>
  <c r="O63" i="4"/>
  <c r="N63" i="4"/>
  <c r="M63" i="4"/>
  <c r="L63" i="4"/>
  <c r="S62" i="4"/>
  <c r="R62" i="4"/>
  <c r="Q62" i="4"/>
  <c r="O62" i="4"/>
  <c r="N62" i="4"/>
  <c r="M62" i="4"/>
  <c r="L62" i="4"/>
  <c r="S61" i="4"/>
  <c r="R61" i="4"/>
  <c r="Q61" i="4"/>
  <c r="O61" i="4"/>
  <c r="N61" i="4"/>
  <c r="M61" i="4"/>
  <c r="L61" i="4"/>
  <c r="S60" i="4"/>
  <c r="R60" i="4"/>
  <c r="Q60" i="4"/>
  <c r="O60" i="4"/>
  <c r="N60" i="4"/>
  <c r="M60" i="4"/>
  <c r="L60" i="4"/>
  <c r="S59" i="4"/>
  <c r="R59" i="4"/>
  <c r="Q59" i="4"/>
  <c r="O59" i="4"/>
  <c r="N59" i="4"/>
  <c r="M59" i="4"/>
  <c r="L59" i="4"/>
  <c r="S58" i="4"/>
  <c r="R58" i="4"/>
  <c r="Q58" i="4"/>
  <c r="O58" i="4"/>
  <c r="N58" i="4"/>
  <c r="M58" i="4"/>
  <c r="L58" i="4"/>
  <c r="S57" i="4"/>
  <c r="R57" i="4"/>
  <c r="Q57" i="4"/>
  <c r="O57" i="4"/>
  <c r="N57" i="4"/>
  <c r="M57" i="4"/>
  <c r="L57" i="4"/>
  <c r="S56" i="4"/>
  <c r="R56" i="4"/>
  <c r="Q56" i="4"/>
  <c r="O56" i="4"/>
  <c r="N56" i="4"/>
  <c r="M56" i="4"/>
  <c r="L56" i="4"/>
  <c r="S55" i="4"/>
  <c r="R55" i="4"/>
  <c r="Q55" i="4"/>
  <c r="O55" i="4"/>
  <c r="N55" i="4"/>
  <c r="M55" i="4"/>
  <c r="L55" i="4"/>
  <c r="S54" i="4"/>
  <c r="R54" i="4"/>
  <c r="Q54" i="4"/>
  <c r="O54" i="4"/>
  <c r="N54" i="4"/>
  <c r="M54" i="4"/>
  <c r="L54" i="4"/>
  <c r="S53" i="4"/>
  <c r="R53" i="4"/>
  <c r="Q53" i="4"/>
  <c r="O53" i="4"/>
  <c r="N53" i="4"/>
  <c r="M53" i="4"/>
  <c r="L53" i="4"/>
  <c r="S52" i="4"/>
  <c r="R52" i="4"/>
  <c r="Q52" i="4"/>
  <c r="O52" i="4"/>
  <c r="N52" i="4"/>
  <c r="M52" i="4"/>
  <c r="L52" i="4"/>
  <c r="S51" i="4"/>
  <c r="R51" i="4"/>
  <c r="Q51" i="4"/>
  <c r="O51" i="4"/>
  <c r="N51" i="4"/>
  <c r="M51" i="4"/>
  <c r="L51" i="4"/>
  <c r="S50" i="4"/>
  <c r="R50" i="4"/>
  <c r="Q50" i="4"/>
  <c r="O50" i="4"/>
  <c r="N50" i="4"/>
  <c r="M50" i="4"/>
  <c r="L50" i="4"/>
  <c r="S49" i="4"/>
  <c r="R49" i="4"/>
  <c r="Q49" i="4"/>
  <c r="O49" i="4"/>
  <c r="N49" i="4"/>
  <c r="M49" i="4"/>
  <c r="L49" i="4"/>
  <c r="S48" i="4"/>
  <c r="R48" i="4"/>
  <c r="Q48" i="4"/>
  <c r="O48" i="4"/>
  <c r="N48" i="4"/>
  <c r="M48" i="4"/>
  <c r="L48" i="4"/>
  <c r="S47" i="4"/>
  <c r="R47" i="4"/>
  <c r="Q47" i="4"/>
  <c r="O47" i="4"/>
  <c r="N47" i="4"/>
  <c r="M47" i="4"/>
  <c r="L47" i="4"/>
  <c r="S46" i="4"/>
  <c r="R46" i="4"/>
  <c r="Q46" i="4"/>
  <c r="O46" i="4"/>
  <c r="N46" i="4"/>
  <c r="M46" i="4"/>
  <c r="L46" i="4"/>
  <c r="S45" i="4"/>
  <c r="R45" i="4"/>
  <c r="Q45" i="4"/>
  <c r="O45" i="4"/>
  <c r="N45" i="4"/>
  <c r="M45" i="4"/>
  <c r="L45" i="4"/>
  <c r="S44" i="4"/>
  <c r="R44" i="4"/>
  <c r="Q44" i="4"/>
  <c r="O44" i="4"/>
  <c r="N44" i="4"/>
  <c r="M44" i="4"/>
  <c r="L44" i="4"/>
  <c r="S43" i="4"/>
  <c r="R43" i="4"/>
  <c r="Q43" i="4"/>
  <c r="O43" i="4"/>
  <c r="N43" i="4"/>
  <c r="M43" i="4"/>
  <c r="L43" i="4"/>
  <c r="S42" i="4"/>
  <c r="R42" i="4"/>
  <c r="Q42" i="4"/>
  <c r="O42" i="4"/>
  <c r="N42" i="4"/>
  <c r="M42" i="4"/>
  <c r="L42" i="4"/>
  <c r="S41" i="4"/>
  <c r="R41" i="4"/>
  <c r="Q41" i="4"/>
  <c r="O41" i="4"/>
  <c r="N41" i="4"/>
  <c r="M41" i="4"/>
  <c r="L41" i="4"/>
  <c r="S40" i="4"/>
  <c r="R40" i="4"/>
  <c r="Q40" i="4"/>
  <c r="O40" i="4"/>
  <c r="N40" i="4"/>
  <c r="M40" i="4"/>
  <c r="L40" i="4"/>
  <c r="S39" i="4"/>
  <c r="R39" i="4"/>
  <c r="Q39" i="4"/>
  <c r="O39" i="4"/>
  <c r="N39" i="4"/>
  <c r="M39" i="4"/>
  <c r="L39" i="4"/>
  <c r="S38" i="4"/>
  <c r="R38" i="4"/>
  <c r="Q38" i="4"/>
  <c r="O38" i="4"/>
  <c r="N38" i="4"/>
  <c r="M38" i="4"/>
  <c r="L38" i="4"/>
  <c r="S37" i="4"/>
  <c r="R37" i="4"/>
  <c r="Q37" i="4"/>
  <c r="O37" i="4"/>
  <c r="N37" i="4"/>
  <c r="M37" i="4"/>
  <c r="L37" i="4"/>
  <c r="S36" i="4"/>
  <c r="R36" i="4"/>
  <c r="Q36" i="4"/>
  <c r="O36" i="4"/>
  <c r="N36" i="4"/>
  <c r="M36" i="4"/>
  <c r="L36" i="4"/>
  <c r="S35" i="4"/>
  <c r="R35" i="4"/>
  <c r="Q35" i="4"/>
  <c r="O35" i="4"/>
  <c r="N35" i="4"/>
  <c r="M35" i="4"/>
  <c r="L35" i="4"/>
  <c r="S34" i="4"/>
  <c r="R34" i="4"/>
  <c r="Q34" i="4"/>
  <c r="O34" i="4"/>
  <c r="N34" i="4"/>
  <c r="M34" i="4"/>
  <c r="L34" i="4"/>
  <c r="S33" i="4"/>
  <c r="R33" i="4"/>
  <c r="Q33" i="4"/>
  <c r="O33" i="4"/>
  <c r="N33" i="4"/>
  <c r="M33" i="4"/>
  <c r="L33" i="4"/>
  <c r="S32" i="4"/>
  <c r="R32" i="4"/>
  <c r="Q32" i="4"/>
  <c r="O32" i="4"/>
  <c r="N32" i="4"/>
  <c r="M32" i="4"/>
  <c r="L32" i="4"/>
  <c r="S31" i="4"/>
  <c r="R31" i="4"/>
  <c r="Q31" i="4"/>
  <c r="O31" i="4"/>
  <c r="N31" i="4"/>
  <c r="M31" i="4"/>
  <c r="L31" i="4"/>
  <c r="S30" i="4"/>
  <c r="R30" i="4"/>
  <c r="Q30" i="4"/>
  <c r="O30" i="4"/>
  <c r="N30" i="4"/>
  <c r="M30" i="4"/>
  <c r="L30" i="4"/>
  <c r="S29" i="4"/>
  <c r="R29" i="4"/>
  <c r="Q29" i="4"/>
  <c r="O29" i="4"/>
  <c r="N29" i="4"/>
  <c r="M29" i="4"/>
  <c r="L29" i="4"/>
  <c r="S28" i="4"/>
  <c r="R28" i="4"/>
  <c r="Q28" i="4"/>
  <c r="O28" i="4"/>
  <c r="N28" i="4"/>
  <c r="M28" i="4"/>
  <c r="L28" i="4"/>
  <c r="S27" i="4"/>
  <c r="R27" i="4"/>
  <c r="Q27" i="4"/>
  <c r="O27" i="4"/>
  <c r="N27" i="4"/>
  <c r="M27" i="4"/>
  <c r="L27" i="4"/>
  <c r="S26" i="4"/>
  <c r="R26" i="4"/>
  <c r="Q26" i="4"/>
  <c r="O26" i="4"/>
  <c r="N26" i="4"/>
  <c r="M26" i="4"/>
  <c r="L26" i="4"/>
  <c r="S25" i="4"/>
  <c r="R25" i="4"/>
  <c r="Q25" i="4"/>
  <c r="O25" i="4"/>
  <c r="N25" i="4"/>
  <c r="M25" i="4"/>
  <c r="L25" i="4"/>
  <c r="S24" i="4"/>
  <c r="R24" i="4"/>
  <c r="Q24" i="4"/>
  <c r="O24" i="4"/>
  <c r="N24" i="4"/>
  <c r="M24" i="4"/>
  <c r="L24" i="4"/>
  <c r="S23" i="4"/>
  <c r="R23" i="4"/>
  <c r="Q23" i="4"/>
  <c r="O23" i="4"/>
  <c r="N23" i="4"/>
  <c r="M23" i="4"/>
  <c r="L23" i="4"/>
  <c r="S22" i="4"/>
  <c r="R22" i="4"/>
  <c r="Q22" i="4"/>
  <c r="O22" i="4"/>
  <c r="N22" i="4"/>
  <c r="M22" i="4"/>
  <c r="L22" i="4"/>
  <c r="S21" i="4"/>
  <c r="R21" i="4"/>
  <c r="Q21" i="4"/>
  <c r="O21" i="4"/>
  <c r="N21" i="4"/>
  <c r="M21" i="4"/>
  <c r="L21" i="4"/>
  <c r="S20" i="4"/>
  <c r="R20" i="4"/>
  <c r="Q20" i="4"/>
  <c r="O20" i="4"/>
  <c r="N20" i="4"/>
  <c r="M20" i="4"/>
  <c r="L20" i="4"/>
  <c r="S19" i="4"/>
  <c r="R19" i="4"/>
  <c r="Q19" i="4"/>
  <c r="O19" i="4"/>
  <c r="N19" i="4"/>
  <c r="M19" i="4"/>
  <c r="L19" i="4"/>
  <c r="S18" i="4"/>
  <c r="R18" i="4"/>
  <c r="Q18" i="4"/>
  <c r="O18" i="4"/>
  <c r="N18" i="4"/>
  <c r="M18" i="4"/>
  <c r="L18" i="4"/>
  <c r="S17" i="4"/>
  <c r="R17" i="4"/>
  <c r="Q17" i="4"/>
  <c r="O17" i="4"/>
  <c r="N17" i="4"/>
  <c r="M17" i="4"/>
  <c r="L17" i="4"/>
  <c r="S16" i="4"/>
  <c r="R16" i="4"/>
  <c r="Q16" i="4"/>
  <c r="O16" i="4"/>
  <c r="N16" i="4"/>
  <c r="M16" i="4"/>
  <c r="L16" i="4"/>
  <c r="S15" i="4"/>
  <c r="R15" i="4"/>
  <c r="Q15" i="4"/>
  <c r="O15" i="4"/>
  <c r="N15" i="4"/>
  <c r="M15" i="4"/>
  <c r="L15" i="4"/>
  <c r="S14" i="4"/>
  <c r="R14" i="4"/>
  <c r="Q14" i="4"/>
  <c r="O14" i="4"/>
  <c r="N14" i="4"/>
  <c r="M14" i="4"/>
  <c r="L14" i="4"/>
  <c r="S13" i="4"/>
  <c r="R13" i="4"/>
  <c r="Q13" i="4"/>
  <c r="O13" i="4"/>
  <c r="N13" i="4"/>
  <c r="M13" i="4"/>
  <c r="L13" i="4"/>
  <c r="S12" i="4"/>
  <c r="R12" i="4"/>
  <c r="Q12" i="4"/>
  <c r="O12" i="4"/>
  <c r="N12" i="4"/>
  <c r="M12" i="4"/>
  <c r="L12" i="4"/>
  <c r="S11" i="4"/>
  <c r="R11" i="4"/>
  <c r="Q11" i="4"/>
  <c r="O11" i="4"/>
  <c r="N11" i="4"/>
  <c r="M11" i="4"/>
  <c r="L11" i="4"/>
  <c r="S10" i="4"/>
  <c r="R10" i="4"/>
  <c r="Q10" i="4"/>
  <c r="O10" i="4"/>
  <c r="N10" i="4"/>
  <c r="M10" i="4"/>
  <c r="L10" i="4"/>
  <c r="S9" i="4"/>
  <c r="R9" i="4"/>
  <c r="Q9" i="4"/>
  <c r="O9" i="4"/>
  <c r="N9" i="4"/>
  <c r="M9" i="4"/>
  <c r="L9" i="4"/>
  <c r="S8" i="4"/>
  <c r="R8" i="4"/>
  <c r="Q8" i="4"/>
  <c r="O8" i="4"/>
  <c r="N8" i="4"/>
  <c r="M8" i="4"/>
  <c r="L8" i="4"/>
  <c r="S7" i="4"/>
  <c r="R7" i="4"/>
  <c r="Q7" i="4"/>
  <c r="O7" i="4"/>
  <c r="N7" i="4"/>
  <c r="M7" i="4"/>
  <c r="L7" i="4"/>
  <c r="S6" i="4"/>
  <c r="R6" i="4"/>
  <c r="Q6" i="4"/>
  <c r="O6" i="4"/>
  <c r="N6" i="4"/>
  <c r="M6" i="4"/>
  <c r="L6" i="4"/>
  <c r="S5" i="4"/>
  <c r="R5" i="4"/>
  <c r="Q5" i="4"/>
  <c r="O5" i="4"/>
  <c r="N5" i="4"/>
  <c r="M5" i="4"/>
  <c r="L5" i="4"/>
  <c r="S210" i="3"/>
  <c r="Q210" i="3"/>
  <c r="O210" i="3"/>
  <c r="N210" i="3"/>
  <c r="M210" i="3"/>
  <c r="L210" i="3"/>
  <c r="J210" i="3"/>
  <c r="I210" i="3"/>
  <c r="G210" i="3"/>
  <c r="F210" i="3"/>
  <c r="E210" i="3"/>
  <c r="D210" i="3"/>
  <c r="C210" i="3"/>
  <c r="B210" i="3"/>
  <c r="A210" i="3"/>
  <c r="U209" i="3"/>
  <c r="T209" i="3"/>
  <c r="R209" i="3"/>
  <c r="Q209" i="3"/>
  <c r="N209" i="3"/>
  <c r="I209" i="3"/>
  <c r="G209" i="3"/>
  <c r="F209" i="3"/>
  <c r="E209" i="3"/>
  <c r="D209" i="3"/>
  <c r="C209" i="3"/>
  <c r="B209" i="3"/>
  <c r="A209" i="3"/>
  <c r="V208" i="3"/>
  <c r="Q208" i="3"/>
  <c r="N208" i="3"/>
  <c r="M208" i="3"/>
  <c r="K208" i="3"/>
  <c r="J208" i="3"/>
  <c r="G208" i="3"/>
  <c r="F208" i="3"/>
  <c r="E208" i="3"/>
  <c r="D208" i="3"/>
  <c r="C208" i="3"/>
  <c r="B208" i="3"/>
  <c r="A208" i="3"/>
  <c r="U207" i="3"/>
  <c r="S207" i="3"/>
  <c r="P207" i="3"/>
  <c r="O207" i="3"/>
  <c r="N207" i="3"/>
  <c r="L207" i="3"/>
  <c r="G207" i="3"/>
  <c r="F207" i="3"/>
  <c r="E207" i="3"/>
  <c r="D207" i="3"/>
  <c r="C207" i="3"/>
  <c r="B207" i="3"/>
  <c r="A207" i="3"/>
  <c r="W206" i="3"/>
  <c r="V206" i="3"/>
  <c r="T206" i="3"/>
  <c r="R206" i="3"/>
  <c r="N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W205" i="3"/>
  <c r="V205" i="3"/>
  <c r="U205" i="3"/>
  <c r="T205" i="3"/>
  <c r="S205" i="3"/>
  <c r="P205" i="3"/>
  <c r="L205" i="3"/>
  <c r="K205" i="3"/>
  <c r="G205" i="3"/>
  <c r="F205" i="3"/>
  <c r="E205" i="3"/>
  <c r="D205" i="3"/>
  <c r="C205" i="3"/>
  <c r="B205" i="3"/>
  <c r="A205" i="3"/>
  <c r="W204" i="3"/>
  <c r="V204" i="3"/>
  <c r="U204" i="3"/>
  <c r="T204" i="3"/>
  <c r="S204" i="3"/>
  <c r="R204" i="3"/>
  <c r="Q204" i="3"/>
  <c r="P204" i="3"/>
  <c r="O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N204" i="3" s="1"/>
  <c r="A204" i="3"/>
  <c r="W203" i="3"/>
  <c r="R203" i="3"/>
  <c r="Q203" i="3"/>
  <c r="L203" i="3"/>
  <c r="K203" i="3"/>
  <c r="J203" i="3"/>
  <c r="I203" i="3"/>
  <c r="G203" i="3"/>
  <c r="F203" i="3"/>
  <c r="E203" i="3"/>
  <c r="D203" i="3"/>
  <c r="C203" i="3"/>
  <c r="B203" i="3"/>
  <c r="A203" i="3"/>
  <c r="W202" i="3"/>
  <c r="V202" i="3"/>
  <c r="U202" i="3"/>
  <c r="T202" i="3"/>
  <c r="R202" i="3"/>
  <c r="Q202" i="3"/>
  <c r="N202" i="3"/>
  <c r="M202" i="3"/>
  <c r="K202" i="3"/>
  <c r="J202" i="3"/>
  <c r="I202" i="3"/>
  <c r="H202" i="3"/>
  <c r="G202" i="3"/>
  <c r="F202" i="3"/>
  <c r="E202" i="3"/>
  <c r="D202" i="3"/>
  <c r="C202" i="3"/>
  <c r="B202" i="3"/>
  <c r="A202" i="3"/>
  <c r="V201" i="3"/>
  <c r="U201" i="3"/>
  <c r="T201" i="3"/>
  <c r="S201" i="3"/>
  <c r="R201" i="3"/>
  <c r="Q201" i="3"/>
  <c r="P201" i="3"/>
  <c r="O201" i="3"/>
  <c r="M201" i="3"/>
  <c r="L201" i="3"/>
  <c r="J201" i="3"/>
  <c r="I201" i="3"/>
  <c r="H201" i="3"/>
  <c r="G201" i="3"/>
  <c r="F201" i="3"/>
  <c r="E201" i="3"/>
  <c r="D201" i="3"/>
  <c r="C201" i="3"/>
  <c r="B201" i="3"/>
  <c r="N201" i="3" s="1"/>
  <c r="A201" i="3"/>
  <c r="W200" i="3"/>
  <c r="U200" i="3"/>
  <c r="S200" i="3"/>
  <c r="R200" i="3"/>
  <c r="N200" i="3"/>
  <c r="G200" i="3"/>
  <c r="F200" i="3"/>
  <c r="E200" i="3"/>
  <c r="D200" i="3"/>
  <c r="C200" i="3"/>
  <c r="B200" i="3"/>
  <c r="A200" i="3"/>
  <c r="W199" i="3"/>
  <c r="V199" i="3"/>
  <c r="T199" i="3"/>
  <c r="R199" i="3"/>
  <c r="Q199" i="3"/>
  <c r="O199" i="3"/>
  <c r="N199" i="3"/>
  <c r="M199" i="3"/>
  <c r="K199" i="3"/>
  <c r="J199" i="3"/>
  <c r="H199" i="3"/>
  <c r="G199" i="3"/>
  <c r="F199" i="3"/>
  <c r="E199" i="3"/>
  <c r="D199" i="3"/>
  <c r="C199" i="3"/>
  <c r="B199" i="3"/>
  <c r="A199" i="3"/>
  <c r="M198" i="3"/>
  <c r="G198" i="3"/>
  <c r="F198" i="3"/>
  <c r="E198" i="3"/>
  <c r="D198" i="3"/>
  <c r="C198" i="3"/>
  <c r="B198" i="3"/>
  <c r="A198" i="3"/>
  <c r="T197" i="3"/>
  <c r="Q197" i="3"/>
  <c r="O197" i="3"/>
  <c r="N197" i="3"/>
  <c r="M197" i="3"/>
  <c r="L197" i="3"/>
  <c r="K197" i="3"/>
  <c r="I197" i="3"/>
  <c r="G197" i="3"/>
  <c r="F197" i="3"/>
  <c r="E197" i="3"/>
  <c r="D197" i="3"/>
  <c r="C197" i="3"/>
  <c r="B197" i="3"/>
  <c r="A197" i="3"/>
  <c r="W196" i="3"/>
  <c r="V196" i="3"/>
  <c r="S196" i="3"/>
  <c r="P196" i="3"/>
  <c r="O196" i="3"/>
  <c r="M196" i="3"/>
  <c r="K196" i="3"/>
  <c r="J196" i="3"/>
  <c r="G196" i="3"/>
  <c r="F196" i="3"/>
  <c r="E196" i="3"/>
  <c r="D196" i="3"/>
  <c r="C196" i="3"/>
  <c r="B196" i="3"/>
  <c r="A196" i="3"/>
  <c r="W195" i="3"/>
  <c r="U195" i="3"/>
  <c r="S195" i="3"/>
  <c r="P195" i="3"/>
  <c r="O195" i="3"/>
  <c r="N195" i="3"/>
  <c r="L195" i="3"/>
  <c r="K195" i="3"/>
  <c r="I195" i="3"/>
  <c r="G195" i="3"/>
  <c r="F195" i="3"/>
  <c r="E195" i="3"/>
  <c r="D195" i="3"/>
  <c r="C195" i="3"/>
  <c r="B195" i="3"/>
  <c r="A195" i="3"/>
  <c r="J194" i="3"/>
  <c r="G194" i="3"/>
  <c r="F194" i="3"/>
  <c r="E194" i="3"/>
  <c r="D194" i="3"/>
  <c r="C194" i="3"/>
  <c r="B194" i="3"/>
  <c r="A194" i="3"/>
  <c r="W193" i="3"/>
  <c r="U193" i="3"/>
  <c r="S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W192" i="3"/>
  <c r="V192" i="3"/>
  <c r="U192" i="3"/>
  <c r="T192" i="3"/>
  <c r="S192" i="3"/>
  <c r="R192" i="3"/>
  <c r="Q192" i="3"/>
  <c r="P192" i="3"/>
  <c r="O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N192" i="3" s="1"/>
  <c r="A192" i="3"/>
  <c r="T191" i="3"/>
  <c r="Q191" i="3"/>
  <c r="O191" i="3"/>
  <c r="K191" i="3"/>
  <c r="I191" i="3"/>
  <c r="G191" i="3"/>
  <c r="F191" i="3"/>
  <c r="E191" i="3"/>
  <c r="D191" i="3"/>
  <c r="C191" i="3"/>
  <c r="B191" i="3"/>
  <c r="A191" i="3"/>
  <c r="W190" i="3"/>
  <c r="T190" i="3"/>
  <c r="S190" i="3"/>
  <c r="P190" i="3"/>
  <c r="N190" i="3"/>
  <c r="M190" i="3"/>
  <c r="K190" i="3"/>
  <c r="I190" i="3"/>
  <c r="H190" i="3"/>
  <c r="G190" i="3"/>
  <c r="F190" i="3"/>
  <c r="E190" i="3"/>
  <c r="D190" i="3"/>
  <c r="C190" i="3"/>
  <c r="B190" i="3"/>
  <c r="A190" i="3"/>
  <c r="V189" i="3"/>
  <c r="U189" i="3"/>
  <c r="T189" i="3"/>
  <c r="S189" i="3"/>
  <c r="R189" i="3"/>
  <c r="Q189" i="3"/>
  <c r="P189" i="3"/>
  <c r="O189" i="3"/>
  <c r="M189" i="3"/>
  <c r="L189" i="3"/>
  <c r="J189" i="3"/>
  <c r="I189" i="3"/>
  <c r="H189" i="3"/>
  <c r="G189" i="3"/>
  <c r="F189" i="3"/>
  <c r="E189" i="3"/>
  <c r="D189" i="3"/>
  <c r="C189" i="3"/>
  <c r="B189" i="3"/>
  <c r="N189" i="3" s="1"/>
  <c r="A189" i="3"/>
  <c r="W188" i="3"/>
  <c r="U188" i="3"/>
  <c r="T188" i="3"/>
  <c r="S188" i="3"/>
  <c r="R188" i="3"/>
  <c r="Q188" i="3"/>
  <c r="O188" i="3"/>
  <c r="N188" i="3"/>
  <c r="L188" i="3"/>
  <c r="K188" i="3"/>
  <c r="I188" i="3"/>
  <c r="H188" i="3"/>
  <c r="G188" i="3"/>
  <c r="F188" i="3"/>
  <c r="E188" i="3"/>
  <c r="D188" i="3"/>
  <c r="C188" i="3"/>
  <c r="B188" i="3"/>
  <c r="A188" i="3"/>
  <c r="W187" i="3"/>
  <c r="S187" i="3"/>
  <c r="Q187" i="3"/>
  <c r="P187" i="3"/>
  <c r="M187" i="3"/>
  <c r="J187" i="3"/>
  <c r="H187" i="3"/>
  <c r="G187" i="3"/>
  <c r="F187" i="3"/>
  <c r="E187" i="3"/>
  <c r="D187" i="3"/>
  <c r="C187" i="3"/>
  <c r="B187" i="3"/>
  <c r="A187" i="3"/>
  <c r="V186" i="3"/>
  <c r="U186" i="3"/>
  <c r="R186" i="3"/>
  <c r="Q186" i="3"/>
  <c r="O186" i="3"/>
  <c r="N186" i="3"/>
  <c r="M186" i="3"/>
  <c r="L186" i="3"/>
  <c r="J186" i="3"/>
  <c r="I186" i="3"/>
  <c r="G186" i="3"/>
  <c r="F186" i="3"/>
  <c r="E186" i="3"/>
  <c r="D186" i="3"/>
  <c r="C186" i="3"/>
  <c r="B186" i="3"/>
  <c r="A186" i="3"/>
  <c r="W185" i="3"/>
  <c r="U185" i="3"/>
  <c r="T185" i="3"/>
  <c r="R185" i="3"/>
  <c r="P185" i="3"/>
  <c r="O185" i="3"/>
  <c r="M185" i="3"/>
  <c r="L185" i="3"/>
  <c r="I185" i="3"/>
  <c r="H185" i="3"/>
  <c r="G185" i="3"/>
  <c r="F185" i="3"/>
  <c r="E185" i="3"/>
  <c r="D185" i="3"/>
  <c r="C185" i="3"/>
  <c r="B185" i="3"/>
  <c r="A185" i="3"/>
  <c r="P184" i="3"/>
  <c r="O184" i="3"/>
  <c r="N184" i="3"/>
  <c r="M184" i="3"/>
  <c r="L184" i="3"/>
  <c r="K184" i="3"/>
  <c r="G184" i="3"/>
  <c r="F184" i="3"/>
  <c r="E184" i="3"/>
  <c r="D184" i="3"/>
  <c r="C184" i="3"/>
  <c r="B184" i="3"/>
  <c r="A184" i="3"/>
  <c r="W183" i="3"/>
  <c r="V183" i="3"/>
  <c r="U183" i="3"/>
  <c r="R183" i="3"/>
  <c r="P183" i="3"/>
  <c r="N183" i="3"/>
  <c r="M183" i="3"/>
  <c r="L183" i="3"/>
  <c r="K183" i="3"/>
  <c r="J183" i="3"/>
  <c r="I183" i="3"/>
  <c r="G183" i="3"/>
  <c r="F183" i="3"/>
  <c r="E183" i="3"/>
  <c r="D183" i="3"/>
  <c r="C183" i="3"/>
  <c r="B183" i="3"/>
  <c r="A183" i="3"/>
  <c r="W182" i="3"/>
  <c r="V182" i="3"/>
  <c r="U182" i="3"/>
  <c r="T182" i="3"/>
  <c r="R182" i="3"/>
  <c r="Q182" i="3"/>
  <c r="O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U181" i="3"/>
  <c r="S181" i="3"/>
  <c r="Q181" i="3"/>
  <c r="M181" i="3"/>
  <c r="L181" i="3"/>
  <c r="J181" i="3"/>
  <c r="G181" i="3"/>
  <c r="F181" i="3"/>
  <c r="E181" i="3"/>
  <c r="D181" i="3"/>
  <c r="C181" i="3"/>
  <c r="B181" i="3"/>
  <c r="A181" i="3"/>
  <c r="W180" i="3"/>
  <c r="V180" i="3"/>
  <c r="U180" i="3"/>
  <c r="T180" i="3"/>
  <c r="S180" i="3"/>
  <c r="R180" i="3"/>
  <c r="Q180" i="3"/>
  <c r="P180" i="3"/>
  <c r="O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N180" i="3" s="1"/>
  <c r="A180" i="3"/>
  <c r="S179" i="3"/>
  <c r="R179" i="3"/>
  <c r="O179" i="3"/>
  <c r="N179" i="3"/>
  <c r="L179" i="3"/>
  <c r="H179" i="3"/>
  <c r="G179" i="3"/>
  <c r="F179" i="3"/>
  <c r="E179" i="3"/>
  <c r="D179" i="3"/>
  <c r="C179" i="3"/>
  <c r="B179" i="3"/>
  <c r="A179" i="3"/>
  <c r="W178" i="3"/>
  <c r="V178" i="3"/>
  <c r="S178" i="3"/>
  <c r="R178" i="3"/>
  <c r="K178" i="3"/>
  <c r="J178" i="3"/>
  <c r="I178" i="3"/>
  <c r="H178" i="3"/>
  <c r="G178" i="3"/>
  <c r="F178" i="3"/>
  <c r="E178" i="3"/>
  <c r="D178" i="3"/>
  <c r="C178" i="3"/>
  <c r="B178" i="3"/>
  <c r="A178" i="3"/>
  <c r="V177" i="3"/>
  <c r="U177" i="3"/>
  <c r="T177" i="3"/>
  <c r="S177" i="3"/>
  <c r="R177" i="3"/>
  <c r="Q177" i="3"/>
  <c r="P177" i="3"/>
  <c r="O177" i="3"/>
  <c r="M177" i="3"/>
  <c r="L177" i="3"/>
  <c r="J177" i="3"/>
  <c r="I177" i="3"/>
  <c r="H177" i="3"/>
  <c r="G177" i="3"/>
  <c r="F177" i="3"/>
  <c r="E177" i="3"/>
  <c r="D177" i="3"/>
  <c r="C177" i="3"/>
  <c r="B177" i="3"/>
  <c r="N177" i="3" s="1"/>
  <c r="A177" i="3"/>
  <c r="T176" i="3"/>
  <c r="S176" i="3"/>
  <c r="O176" i="3"/>
  <c r="N176" i="3"/>
  <c r="L176" i="3"/>
  <c r="K176" i="3"/>
  <c r="I176" i="3"/>
  <c r="H176" i="3"/>
  <c r="G176" i="3"/>
  <c r="F176" i="3"/>
  <c r="E176" i="3"/>
  <c r="D176" i="3"/>
  <c r="C176" i="3"/>
  <c r="B176" i="3"/>
  <c r="A176" i="3"/>
  <c r="V175" i="3"/>
  <c r="R175" i="3"/>
  <c r="P175" i="3"/>
  <c r="M175" i="3"/>
  <c r="K175" i="3"/>
  <c r="G175" i="3"/>
  <c r="F175" i="3"/>
  <c r="E175" i="3"/>
  <c r="D175" i="3"/>
  <c r="C175" i="3"/>
  <c r="B175" i="3"/>
  <c r="A175" i="3"/>
  <c r="S174" i="3"/>
  <c r="R174" i="3"/>
  <c r="P174" i="3"/>
  <c r="O174" i="3"/>
  <c r="N174" i="3"/>
  <c r="M174" i="3"/>
  <c r="J174" i="3"/>
  <c r="I174" i="3"/>
  <c r="G174" i="3"/>
  <c r="F174" i="3"/>
  <c r="E174" i="3"/>
  <c r="D174" i="3"/>
  <c r="C174" i="3"/>
  <c r="B174" i="3"/>
  <c r="A174" i="3"/>
  <c r="W173" i="3"/>
  <c r="U173" i="3"/>
  <c r="G173" i="3"/>
  <c r="F173" i="3"/>
  <c r="E173" i="3"/>
  <c r="D173" i="3"/>
  <c r="C173" i="3"/>
  <c r="B173" i="3"/>
  <c r="A173" i="3"/>
  <c r="W172" i="3"/>
  <c r="V172" i="3"/>
  <c r="T172" i="3"/>
  <c r="S172" i="3"/>
  <c r="Q172" i="3"/>
  <c r="P172" i="3"/>
  <c r="N172" i="3"/>
  <c r="M172" i="3"/>
  <c r="L172" i="3"/>
  <c r="K172" i="3"/>
  <c r="J172" i="3"/>
  <c r="H172" i="3"/>
  <c r="G172" i="3"/>
  <c r="F172" i="3"/>
  <c r="E172" i="3"/>
  <c r="D172" i="3"/>
  <c r="C172" i="3"/>
  <c r="B172" i="3"/>
  <c r="A172" i="3"/>
  <c r="W171" i="3"/>
  <c r="U171" i="3"/>
  <c r="S171" i="3"/>
  <c r="R171" i="3"/>
  <c r="P171" i="3"/>
  <c r="O171" i="3"/>
  <c r="G171" i="3"/>
  <c r="F171" i="3"/>
  <c r="E171" i="3"/>
  <c r="D171" i="3"/>
  <c r="C171" i="3"/>
  <c r="B171" i="3"/>
  <c r="A171" i="3"/>
  <c r="V170" i="3"/>
  <c r="T170" i="3"/>
  <c r="N170" i="3"/>
  <c r="K170" i="3"/>
  <c r="H170" i="3"/>
  <c r="G170" i="3"/>
  <c r="F170" i="3"/>
  <c r="E170" i="3"/>
  <c r="D170" i="3"/>
  <c r="C170" i="3"/>
  <c r="B170" i="3"/>
  <c r="A170" i="3"/>
  <c r="W169" i="3"/>
  <c r="V169" i="3"/>
  <c r="U169" i="3"/>
  <c r="T169" i="3"/>
  <c r="S169" i="3"/>
  <c r="N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W168" i="3"/>
  <c r="V168" i="3"/>
  <c r="U168" i="3"/>
  <c r="T168" i="3"/>
  <c r="S168" i="3"/>
  <c r="R168" i="3"/>
  <c r="Q168" i="3"/>
  <c r="P168" i="3"/>
  <c r="O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N168" i="3" s="1"/>
  <c r="A168" i="3"/>
  <c r="U167" i="3"/>
  <c r="T167" i="3"/>
  <c r="Q167" i="3"/>
  <c r="O167" i="3"/>
  <c r="N167" i="3"/>
  <c r="L167" i="3"/>
  <c r="J167" i="3"/>
  <c r="I167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V165" i="3"/>
  <c r="U165" i="3"/>
  <c r="T165" i="3"/>
  <c r="S165" i="3"/>
  <c r="R165" i="3"/>
  <c r="Q165" i="3"/>
  <c r="P165" i="3"/>
  <c r="O165" i="3"/>
  <c r="M165" i="3"/>
  <c r="L165" i="3"/>
  <c r="J165" i="3"/>
  <c r="I165" i="3"/>
  <c r="H165" i="3"/>
  <c r="G165" i="3"/>
  <c r="F165" i="3"/>
  <c r="E165" i="3"/>
  <c r="D165" i="3"/>
  <c r="C165" i="3"/>
  <c r="B165" i="3"/>
  <c r="N165" i="3" s="1"/>
  <c r="A165" i="3"/>
  <c r="W164" i="3"/>
  <c r="U164" i="3"/>
  <c r="T164" i="3"/>
  <c r="S164" i="3"/>
  <c r="Q164" i="3"/>
  <c r="P164" i="3"/>
  <c r="O164" i="3"/>
  <c r="L164" i="3"/>
  <c r="K164" i="3"/>
  <c r="H164" i="3"/>
  <c r="G164" i="3"/>
  <c r="F164" i="3"/>
  <c r="E164" i="3"/>
  <c r="D164" i="3"/>
  <c r="C164" i="3"/>
  <c r="B164" i="3"/>
  <c r="A164" i="3"/>
  <c r="P163" i="3"/>
  <c r="O163" i="3"/>
  <c r="N163" i="3"/>
  <c r="M163" i="3"/>
  <c r="K163" i="3"/>
  <c r="J163" i="3"/>
  <c r="G163" i="3"/>
  <c r="F163" i="3"/>
  <c r="E163" i="3"/>
  <c r="D163" i="3"/>
  <c r="C163" i="3"/>
  <c r="B163" i="3"/>
  <c r="A163" i="3"/>
  <c r="U162" i="3"/>
  <c r="S162" i="3"/>
  <c r="R162" i="3"/>
  <c r="P162" i="3"/>
  <c r="M162" i="3"/>
  <c r="L162" i="3"/>
  <c r="G162" i="3"/>
  <c r="F162" i="3"/>
  <c r="E162" i="3"/>
  <c r="D162" i="3"/>
  <c r="C162" i="3"/>
  <c r="B162" i="3"/>
  <c r="A162" i="3"/>
  <c r="T161" i="3"/>
  <c r="R161" i="3"/>
  <c r="P161" i="3"/>
  <c r="O161" i="3"/>
  <c r="N161" i="3"/>
  <c r="M161" i="3"/>
  <c r="K161" i="3"/>
  <c r="I161" i="3"/>
  <c r="G161" i="3"/>
  <c r="F161" i="3"/>
  <c r="E161" i="3"/>
  <c r="D161" i="3"/>
  <c r="C161" i="3"/>
  <c r="B161" i="3"/>
  <c r="A161" i="3"/>
  <c r="W160" i="3"/>
  <c r="T160" i="3"/>
  <c r="S160" i="3"/>
  <c r="P160" i="3"/>
  <c r="M160" i="3"/>
  <c r="G160" i="3"/>
  <c r="F160" i="3"/>
  <c r="E160" i="3"/>
  <c r="D160" i="3"/>
  <c r="C160" i="3"/>
  <c r="B160" i="3"/>
  <c r="A160" i="3"/>
  <c r="W159" i="3"/>
  <c r="U159" i="3"/>
  <c r="S159" i="3"/>
  <c r="O159" i="3"/>
  <c r="N159" i="3"/>
  <c r="L159" i="3"/>
  <c r="K159" i="3"/>
  <c r="J159" i="3"/>
  <c r="I159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T158" i="3" s="1"/>
  <c r="A158" i="3"/>
  <c r="V157" i="3"/>
  <c r="S157" i="3"/>
  <c r="Q157" i="3"/>
  <c r="N157" i="3"/>
  <c r="M157" i="3"/>
  <c r="L157" i="3"/>
  <c r="K157" i="3"/>
  <c r="J157" i="3"/>
  <c r="H157" i="3"/>
  <c r="G157" i="3"/>
  <c r="F157" i="3"/>
  <c r="E157" i="3"/>
  <c r="D157" i="3"/>
  <c r="C157" i="3"/>
  <c r="B157" i="3"/>
  <c r="A157" i="3"/>
  <c r="W156" i="3"/>
  <c r="V156" i="3"/>
  <c r="U156" i="3"/>
  <c r="T156" i="3"/>
  <c r="S156" i="3"/>
  <c r="R156" i="3"/>
  <c r="Q156" i="3"/>
  <c r="P156" i="3"/>
  <c r="O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N156" i="3" s="1"/>
  <c r="A156" i="3"/>
  <c r="U155" i="3"/>
  <c r="T155" i="3"/>
  <c r="Q155" i="3"/>
  <c r="O155" i="3"/>
  <c r="L155" i="3"/>
  <c r="K155" i="3"/>
  <c r="I155" i="3"/>
  <c r="H155" i="3"/>
  <c r="G155" i="3"/>
  <c r="F155" i="3"/>
  <c r="E155" i="3"/>
  <c r="D155" i="3"/>
  <c r="C155" i="3"/>
  <c r="B155" i="3"/>
  <c r="A155" i="3"/>
  <c r="W154" i="3"/>
  <c r="V154" i="3"/>
  <c r="T154" i="3"/>
  <c r="S154" i="3"/>
  <c r="Q154" i="3"/>
  <c r="P154" i="3"/>
  <c r="M154" i="3"/>
  <c r="K154" i="3"/>
  <c r="I154" i="3"/>
  <c r="H154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U152" i="3"/>
  <c r="N152" i="3"/>
  <c r="M152" i="3"/>
  <c r="L152" i="3"/>
  <c r="K152" i="3"/>
  <c r="I152" i="3"/>
  <c r="H152" i="3"/>
  <c r="G152" i="3"/>
  <c r="F152" i="3"/>
  <c r="E152" i="3"/>
  <c r="D152" i="3"/>
  <c r="C152" i="3"/>
  <c r="B152" i="3"/>
  <c r="A152" i="3"/>
  <c r="W151" i="3"/>
  <c r="V151" i="3"/>
  <c r="T151" i="3"/>
  <c r="S151" i="3"/>
  <c r="R151" i="3"/>
  <c r="O151" i="3"/>
  <c r="M151" i="3"/>
  <c r="L151" i="3"/>
  <c r="K151" i="3"/>
  <c r="J151" i="3"/>
  <c r="H151" i="3"/>
  <c r="G151" i="3"/>
  <c r="F151" i="3"/>
  <c r="E151" i="3"/>
  <c r="D151" i="3"/>
  <c r="C151" i="3"/>
  <c r="B151" i="3"/>
  <c r="A151" i="3"/>
  <c r="W150" i="3"/>
  <c r="S150" i="3"/>
  <c r="R150" i="3"/>
  <c r="G150" i="3"/>
  <c r="F150" i="3"/>
  <c r="E150" i="3"/>
  <c r="D150" i="3"/>
  <c r="C150" i="3"/>
  <c r="B150" i="3"/>
  <c r="A150" i="3"/>
  <c r="V149" i="3"/>
  <c r="Q149" i="3"/>
  <c r="P149" i="3"/>
  <c r="M149" i="3"/>
  <c r="L149" i="3"/>
  <c r="J149" i="3"/>
  <c r="I149" i="3"/>
  <c r="G149" i="3"/>
  <c r="F149" i="3"/>
  <c r="E149" i="3"/>
  <c r="D149" i="3"/>
  <c r="C149" i="3"/>
  <c r="B149" i="3"/>
  <c r="A149" i="3"/>
  <c r="U148" i="3"/>
  <c r="G148" i="3"/>
  <c r="F148" i="3"/>
  <c r="E148" i="3"/>
  <c r="D148" i="3"/>
  <c r="C148" i="3"/>
  <c r="B148" i="3"/>
  <c r="A148" i="3"/>
  <c r="W147" i="3"/>
  <c r="U147" i="3"/>
  <c r="S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S146" i="3"/>
  <c r="P146" i="3"/>
  <c r="N146" i="3"/>
  <c r="K146" i="3"/>
  <c r="J146" i="3"/>
  <c r="I146" i="3"/>
  <c r="G146" i="3"/>
  <c r="F146" i="3"/>
  <c r="E146" i="3"/>
  <c r="D146" i="3"/>
  <c r="C146" i="3"/>
  <c r="B146" i="3"/>
  <c r="A146" i="3"/>
  <c r="W145" i="3"/>
  <c r="V145" i="3"/>
  <c r="U145" i="3"/>
  <c r="T145" i="3"/>
  <c r="S145" i="3"/>
  <c r="R145" i="3"/>
  <c r="P145" i="3"/>
  <c r="O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Q145" i="3" s="1"/>
  <c r="A145" i="3"/>
  <c r="S144" i="3"/>
  <c r="R144" i="3"/>
  <c r="Q144" i="3"/>
  <c r="O144" i="3"/>
  <c r="N144" i="3"/>
  <c r="I144" i="3"/>
  <c r="G144" i="3"/>
  <c r="F144" i="3"/>
  <c r="E144" i="3"/>
  <c r="D144" i="3"/>
  <c r="C144" i="3"/>
  <c r="B144" i="3"/>
  <c r="A144" i="3"/>
  <c r="W143" i="3"/>
  <c r="S143" i="3"/>
  <c r="N143" i="3"/>
  <c r="M143" i="3"/>
  <c r="K143" i="3"/>
  <c r="J143" i="3"/>
  <c r="I143" i="3"/>
  <c r="H143" i="3"/>
  <c r="G143" i="3"/>
  <c r="F143" i="3"/>
  <c r="E143" i="3"/>
  <c r="D143" i="3"/>
  <c r="C143" i="3"/>
  <c r="B143" i="3"/>
  <c r="A143" i="3"/>
  <c r="W142" i="3"/>
  <c r="V142" i="3"/>
  <c r="U142" i="3"/>
  <c r="T142" i="3"/>
  <c r="S142" i="3"/>
  <c r="R142" i="3"/>
  <c r="Q142" i="3"/>
  <c r="P142" i="3"/>
  <c r="O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N142" i="3" s="1"/>
  <c r="A142" i="3"/>
  <c r="T141" i="3"/>
  <c r="S141" i="3"/>
  <c r="R141" i="3"/>
  <c r="G141" i="3"/>
  <c r="F141" i="3"/>
  <c r="E141" i="3"/>
  <c r="D141" i="3"/>
  <c r="C141" i="3"/>
  <c r="B141" i="3"/>
  <c r="A141" i="3"/>
  <c r="W140" i="3"/>
  <c r="V140" i="3"/>
  <c r="G140" i="3"/>
  <c r="F140" i="3"/>
  <c r="E140" i="3"/>
  <c r="D140" i="3"/>
  <c r="C140" i="3"/>
  <c r="B140" i="3"/>
  <c r="A140" i="3"/>
  <c r="U139" i="3"/>
  <c r="Q139" i="3"/>
  <c r="P139" i="3"/>
  <c r="M139" i="3"/>
  <c r="L139" i="3"/>
  <c r="J139" i="3"/>
  <c r="I139" i="3"/>
  <c r="G139" i="3"/>
  <c r="F139" i="3"/>
  <c r="E139" i="3"/>
  <c r="D139" i="3"/>
  <c r="C139" i="3"/>
  <c r="B139" i="3"/>
  <c r="A139" i="3"/>
  <c r="T138" i="3"/>
  <c r="R138" i="3"/>
  <c r="Q138" i="3"/>
  <c r="P138" i="3"/>
  <c r="O138" i="3"/>
  <c r="N138" i="3"/>
  <c r="G138" i="3"/>
  <c r="F138" i="3"/>
  <c r="E138" i="3"/>
  <c r="D138" i="3"/>
  <c r="C138" i="3"/>
  <c r="B138" i="3"/>
  <c r="A138" i="3"/>
  <c r="V137" i="3"/>
  <c r="T137" i="3"/>
  <c r="P137" i="3"/>
  <c r="M137" i="3"/>
  <c r="J137" i="3"/>
  <c r="G137" i="3"/>
  <c r="F137" i="3"/>
  <c r="E137" i="3"/>
  <c r="D137" i="3"/>
  <c r="C137" i="3"/>
  <c r="B137" i="3"/>
  <c r="A137" i="3"/>
  <c r="V136" i="3"/>
  <c r="P136" i="3"/>
  <c r="O136" i="3"/>
  <c r="L136" i="3"/>
  <c r="K136" i="3"/>
  <c r="J136" i="3"/>
  <c r="I136" i="3"/>
  <c r="G136" i="3"/>
  <c r="F136" i="3"/>
  <c r="E136" i="3"/>
  <c r="D136" i="3"/>
  <c r="C136" i="3"/>
  <c r="B136" i="3"/>
  <c r="A136" i="3"/>
  <c r="U135" i="3"/>
  <c r="T135" i="3"/>
  <c r="R135" i="3"/>
  <c r="Q135" i="3"/>
  <c r="O135" i="3"/>
  <c r="K135" i="3"/>
  <c r="G135" i="3"/>
  <c r="F135" i="3"/>
  <c r="E135" i="3"/>
  <c r="D135" i="3"/>
  <c r="C135" i="3"/>
  <c r="B135" i="3"/>
  <c r="A135" i="3"/>
  <c r="W134" i="3"/>
  <c r="Q134" i="3"/>
  <c r="N134" i="3"/>
  <c r="M134" i="3"/>
  <c r="L134" i="3"/>
  <c r="K134" i="3"/>
  <c r="I134" i="3"/>
  <c r="H134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W133" i="3" s="1"/>
  <c r="A133" i="3"/>
  <c r="W132" i="3"/>
  <c r="V132" i="3"/>
  <c r="U132" i="3"/>
  <c r="T132" i="3"/>
  <c r="R132" i="3"/>
  <c r="Q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P132" i="3" s="1"/>
  <c r="A132" i="3"/>
  <c r="W131" i="3"/>
  <c r="V131" i="3"/>
  <c r="U131" i="3"/>
  <c r="T131" i="3"/>
  <c r="G131" i="3"/>
  <c r="F131" i="3"/>
  <c r="E131" i="3"/>
  <c r="D131" i="3"/>
  <c r="C131" i="3"/>
  <c r="B131" i="3"/>
  <c r="A131" i="3"/>
  <c r="W130" i="3"/>
  <c r="V130" i="3"/>
  <c r="U130" i="3"/>
  <c r="T130" i="3"/>
  <c r="S130" i="3"/>
  <c r="R130" i="3"/>
  <c r="Q130" i="3"/>
  <c r="P130" i="3"/>
  <c r="O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N130" i="3" s="1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W127" i="3"/>
  <c r="U127" i="3"/>
  <c r="P127" i="3"/>
  <c r="N127" i="3"/>
  <c r="M127" i="3"/>
  <c r="L127" i="3"/>
  <c r="K127" i="3"/>
  <c r="I127" i="3"/>
  <c r="H127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V126" i="3" s="1"/>
  <c r="A126" i="3"/>
  <c r="G125" i="3"/>
  <c r="F125" i="3"/>
  <c r="E125" i="3"/>
  <c r="D125" i="3"/>
  <c r="C125" i="3"/>
  <c r="B125" i="3"/>
  <c r="A125" i="3"/>
  <c r="W124" i="3"/>
  <c r="V124" i="3"/>
  <c r="U124" i="3"/>
  <c r="T124" i="3"/>
  <c r="R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T123" i="3"/>
  <c r="S123" i="3"/>
  <c r="Q123" i="3"/>
  <c r="P123" i="3"/>
  <c r="N123" i="3"/>
  <c r="M123" i="3"/>
  <c r="G123" i="3"/>
  <c r="F123" i="3"/>
  <c r="E123" i="3"/>
  <c r="D123" i="3"/>
  <c r="C123" i="3"/>
  <c r="B123" i="3"/>
  <c r="A123" i="3"/>
  <c r="W122" i="3"/>
  <c r="V122" i="3"/>
  <c r="U122" i="3"/>
  <c r="T122" i="3"/>
  <c r="S122" i="3"/>
  <c r="R122" i="3"/>
  <c r="P122" i="3"/>
  <c r="O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Q122" i="3" s="1"/>
  <c r="A122" i="3"/>
  <c r="W121" i="3"/>
  <c r="V121" i="3"/>
  <c r="U121" i="3"/>
  <c r="R121" i="3"/>
  <c r="N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W120" i="3"/>
  <c r="V120" i="3"/>
  <c r="U120" i="3"/>
  <c r="T120" i="3"/>
  <c r="S120" i="3"/>
  <c r="R120" i="3"/>
  <c r="N120" i="3"/>
  <c r="M120" i="3"/>
  <c r="K120" i="3"/>
  <c r="J120" i="3"/>
  <c r="I120" i="3"/>
  <c r="H120" i="3"/>
  <c r="G120" i="3"/>
  <c r="F120" i="3"/>
  <c r="E120" i="3"/>
  <c r="D120" i="3"/>
  <c r="C120" i="3"/>
  <c r="B120" i="3"/>
  <c r="A120" i="3"/>
  <c r="W119" i="3"/>
  <c r="V119" i="3"/>
  <c r="U119" i="3"/>
  <c r="T119" i="3"/>
  <c r="S119" i="3"/>
  <c r="R119" i="3"/>
  <c r="Q119" i="3"/>
  <c r="P119" i="3"/>
  <c r="O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N119" i="3" s="1"/>
  <c r="A119" i="3"/>
  <c r="U118" i="3"/>
  <c r="Q118" i="3"/>
  <c r="P118" i="3"/>
  <c r="O118" i="3"/>
  <c r="N118" i="3"/>
  <c r="L118" i="3"/>
  <c r="K118" i="3"/>
  <c r="G118" i="3"/>
  <c r="F118" i="3"/>
  <c r="E118" i="3"/>
  <c r="D118" i="3"/>
  <c r="C118" i="3"/>
  <c r="B118" i="3"/>
  <c r="A118" i="3"/>
  <c r="W117" i="3"/>
  <c r="V117" i="3"/>
  <c r="T117" i="3"/>
  <c r="Q117" i="3"/>
  <c r="O117" i="3"/>
  <c r="N117" i="3"/>
  <c r="M117" i="3"/>
  <c r="K117" i="3"/>
  <c r="J117" i="3"/>
  <c r="H117" i="3"/>
  <c r="G117" i="3"/>
  <c r="F117" i="3"/>
  <c r="E117" i="3"/>
  <c r="D117" i="3"/>
  <c r="C117" i="3"/>
  <c r="B117" i="3"/>
  <c r="A117" i="3"/>
  <c r="V116" i="3"/>
  <c r="L116" i="3"/>
  <c r="G116" i="3"/>
  <c r="F116" i="3"/>
  <c r="E116" i="3"/>
  <c r="D116" i="3"/>
  <c r="C116" i="3"/>
  <c r="B116" i="3"/>
  <c r="A116" i="3"/>
  <c r="M115" i="3"/>
  <c r="L115" i="3"/>
  <c r="K115" i="3"/>
  <c r="I115" i="3"/>
  <c r="G115" i="3"/>
  <c r="F115" i="3"/>
  <c r="E115" i="3"/>
  <c r="D115" i="3"/>
  <c r="C115" i="3"/>
  <c r="B115" i="3"/>
  <c r="O115" i="3" s="1"/>
  <c r="A115" i="3"/>
  <c r="V114" i="3"/>
  <c r="T114" i="3"/>
  <c r="S114" i="3"/>
  <c r="O114" i="3"/>
  <c r="L114" i="3"/>
  <c r="K114" i="3"/>
  <c r="G114" i="3"/>
  <c r="F114" i="3"/>
  <c r="E114" i="3"/>
  <c r="D114" i="3"/>
  <c r="C114" i="3"/>
  <c r="B114" i="3"/>
  <c r="A114" i="3"/>
  <c r="V113" i="3"/>
  <c r="U113" i="3"/>
  <c r="S113" i="3"/>
  <c r="G113" i="3"/>
  <c r="F113" i="3"/>
  <c r="E113" i="3"/>
  <c r="D113" i="3"/>
  <c r="C113" i="3"/>
  <c r="B113" i="3"/>
  <c r="A113" i="3"/>
  <c r="U112" i="3"/>
  <c r="O112" i="3"/>
  <c r="N112" i="3"/>
  <c r="M112" i="3"/>
  <c r="L112" i="3"/>
  <c r="K112" i="3"/>
  <c r="J112" i="3"/>
  <c r="G112" i="3"/>
  <c r="F112" i="3"/>
  <c r="E112" i="3"/>
  <c r="D112" i="3"/>
  <c r="C112" i="3"/>
  <c r="B112" i="3"/>
  <c r="A112" i="3"/>
  <c r="W111" i="3"/>
  <c r="V111" i="3"/>
  <c r="U111" i="3"/>
  <c r="Q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W110" i="3"/>
  <c r="V110" i="3"/>
  <c r="U110" i="3"/>
  <c r="T110" i="3"/>
  <c r="S110" i="3"/>
  <c r="R110" i="3"/>
  <c r="P110" i="3"/>
  <c r="O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Q110" i="3" s="1"/>
  <c r="A110" i="3"/>
  <c r="T109" i="3"/>
  <c r="S109" i="3"/>
  <c r="R109" i="3"/>
  <c r="G109" i="3"/>
  <c r="F109" i="3"/>
  <c r="E109" i="3"/>
  <c r="D109" i="3"/>
  <c r="C109" i="3"/>
  <c r="B109" i="3"/>
  <c r="Q109" i="3" s="1"/>
  <c r="A109" i="3"/>
  <c r="G108" i="3"/>
  <c r="F108" i="3"/>
  <c r="E108" i="3"/>
  <c r="D108" i="3"/>
  <c r="C108" i="3"/>
  <c r="B108" i="3"/>
  <c r="A108" i="3"/>
  <c r="W107" i="3"/>
  <c r="V107" i="3"/>
  <c r="U107" i="3"/>
  <c r="T107" i="3"/>
  <c r="S107" i="3"/>
  <c r="R107" i="3"/>
  <c r="Q107" i="3"/>
  <c r="P107" i="3"/>
  <c r="O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07" i="3" s="1"/>
  <c r="A107" i="3"/>
  <c r="W106" i="3"/>
  <c r="U106" i="3"/>
  <c r="T106" i="3"/>
  <c r="S106" i="3"/>
  <c r="R106" i="3"/>
  <c r="O106" i="3"/>
  <c r="N106" i="3"/>
  <c r="L106" i="3"/>
  <c r="K106" i="3"/>
  <c r="I106" i="3"/>
  <c r="H106" i="3"/>
  <c r="G106" i="3"/>
  <c r="F106" i="3"/>
  <c r="E106" i="3"/>
  <c r="D106" i="3"/>
  <c r="C106" i="3"/>
  <c r="B106" i="3"/>
  <c r="A106" i="3"/>
  <c r="T105" i="3"/>
  <c r="R105" i="3"/>
  <c r="Q105" i="3"/>
  <c r="P105" i="3"/>
  <c r="O105" i="3"/>
  <c r="N105" i="3"/>
  <c r="J105" i="3"/>
  <c r="G105" i="3"/>
  <c r="F105" i="3"/>
  <c r="E105" i="3"/>
  <c r="D105" i="3"/>
  <c r="C105" i="3"/>
  <c r="B105" i="3"/>
  <c r="A105" i="3"/>
  <c r="V104" i="3"/>
  <c r="R104" i="3"/>
  <c r="O104" i="3"/>
  <c r="N104" i="3"/>
  <c r="M104" i="3"/>
  <c r="L104" i="3"/>
  <c r="J104" i="3"/>
  <c r="I104" i="3"/>
  <c r="G104" i="3"/>
  <c r="F104" i="3"/>
  <c r="E104" i="3"/>
  <c r="D104" i="3"/>
  <c r="C104" i="3"/>
  <c r="B104" i="3"/>
  <c r="A104" i="3"/>
  <c r="W103" i="3"/>
  <c r="U103" i="3"/>
  <c r="T103" i="3"/>
  <c r="R103" i="3"/>
  <c r="Q103" i="3"/>
  <c r="P103" i="3"/>
  <c r="N103" i="3"/>
  <c r="M103" i="3"/>
  <c r="L103" i="3"/>
  <c r="K103" i="3"/>
  <c r="I103" i="3"/>
  <c r="H103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Q102" i="3" s="1"/>
  <c r="A102" i="3"/>
  <c r="W101" i="3"/>
  <c r="V101" i="3"/>
  <c r="R101" i="3"/>
  <c r="N101" i="3"/>
  <c r="M101" i="3"/>
  <c r="L101" i="3"/>
  <c r="K101" i="3"/>
  <c r="J101" i="3"/>
  <c r="I101" i="3"/>
  <c r="G101" i="3"/>
  <c r="F101" i="3"/>
  <c r="E101" i="3"/>
  <c r="D101" i="3"/>
  <c r="C101" i="3"/>
  <c r="B101" i="3"/>
  <c r="A101" i="3"/>
  <c r="W100" i="3"/>
  <c r="V100" i="3"/>
  <c r="U100" i="3"/>
  <c r="T100" i="3"/>
  <c r="R100" i="3"/>
  <c r="Q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W98" i="3"/>
  <c r="V98" i="3"/>
  <c r="U98" i="3"/>
  <c r="T98" i="3"/>
  <c r="S98" i="3"/>
  <c r="R98" i="3"/>
  <c r="P98" i="3"/>
  <c r="O98" i="3"/>
  <c r="M98" i="3"/>
  <c r="L98" i="3"/>
  <c r="K98" i="3"/>
  <c r="J98" i="3"/>
  <c r="I98" i="3"/>
  <c r="H98" i="3"/>
  <c r="G98" i="3"/>
  <c r="F98" i="3"/>
  <c r="E98" i="3"/>
  <c r="D98" i="3"/>
  <c r="C98" i="3"/>
  <c r="B98" i="3"/>
  <c r="Q98" i="3" s="1"/>
  <c r="A98" i="3"/>
  <c r="W97" i="3"/>
  <c r="V97" i="3"/>
  <c r="G97" i="3"/>
  <c r="F97" i="3"/>
  <c r="E97" i="3"/>
  <c r="D97" i="3"/>
  <c r="C97" i="3"/>
  <c r="B97" i="3"/>
  <c r="U97" i="3" s="1"/>
  <c r="A97" i="3"/>
  <c r="W96" i="3"/>
  <c r="V96" i="3"/>
  <c r="U96" i="3"/>
  <c r="T96" i="3"/>
  <c r="S96" i="3"/>
  <c r="R96" i="3"/>
  <c r="N96" i="3"/>
  <c r="M96" i="3"/>
  <c r="K96" i="3"/>
  <c r="J96" i="3"/>
  <c r="I96" i="3"/>
  <c r="H96" i="3"/>
  <c r="G96" i="3"/>
  <c r="F96" i="3"/>
  <c r="E96" i="3"/>
  <c r="D96" i="3"/>
  <c r="C96" i="3"/>
  <c r="B96" i="3"/>
  <c r="A96" i="3"/>
  <c r="W95" i="3"/>
  <c r="V95" i="3"/>
  <c r="U95" i="3"/>
  <c r="T95" i="3"/>
  <c r="S95" i="3"/>
  <c r="R95" i="3"/>
  <c r="Q95" i="3"/>
  <c r="P95" i="3"/>
  <c r="O95" i="3"/>
  <c r="M95" i="3"/>
  <c r="L95" i="3"/>
  <c r="K95" i="3"/>
  <c r="J95" i="3"/>
  <c r="I95" i="3"/>
  <c r="H95" i="3"/>
  <c r="G95" i="3"/>
  <c r="F95" i="3"/>
  <c r="E95" i="3"/>
  <c r="D95" i="3"/>
  <c r="C95" i="3"/>
  <c r="B95" i="3"/>
  <c r="N95" i="3" s="1"/>
  <c r="A95" i="3"/>
  <c r="R94" i="3"/>
  <c r="Q94" i="3"/>
  <c r="P94" i="3"/>
  <c r="O94" i="3"/>
  <c r="N94" i="3"/>
  <c r="G94" i="3"/>
  <c r="F94" i="3"/>
  <c r="E94" i="3"/>
  <c r="D94" i="3"/>
  <c r="C94" i="3"/>
  <c r="B94" i="3"/>
  <c r="S94" i="3" s="1"/>
  <c r="A94" i="3"/>
  <c r="W93" i="3"/>
  <c r="V93" i="3"/>
  <c r="T93" i="3"/>
  <c r="Q93" i="3"/>
  <c r="O93" i="3"/>
  <c r="N93" i="3"/>
  <c r="M93" i="3"/>
  <c r="K93" i="3"/>
  <c r="J93" i="3"/>
  <c r="H93" i="3"/>
  <c r="G93" i="3"/>
  <c r="F93" i="3"/>
  <c r="E93" i="3"/>
  <c r="D93" i="3"/>
  <c r="C93" i="3"/>
  <c r="B93" i="3"/>
  <c r="A93" i="3"/>
  <c r="U92" i="3"/>
  <c r="R92" i="3"/>
  <c r="Q92" i="3"/>
  <c r="P92" i="3"/>
  <c r="O92" i="3"/>
  <c r="L92" i="3"/>
  <c r="I92" i="3"/>
  <c r="G92" i="3"/>
  <c r="F92" i="3"/>
  <c r="E92" i="3"/>
  <c r="D92" i="3"/>
  <c r="C92" i="3"/>
  <c r="B92" i="3"/>
  <c r="A92" i="3"/>
  <c r="T91" i="3"/>
  <c r="G91" i="3"/>
  <c r="F91" i="3"/>
  <c r="E91" i="3"/>
  <c r="D91" i="3"/>
  <c r="C91" i="3"/>
  <c r="B91" i="3"/>
  <c r="A91" i="3"/>
  <c r="W90" i="3"/>
  <c r="V90" i="3"/>
  <c r="T90" i="3"/>
  <c r="O90" i="3"/>
  <c r="M90" i="3"/>
  <c r="L90" i="3"/>
  <c r="K90" i="3"/>
  <c r="J90" i="3"/>
  <c r="H90" i="3"/>
  <c r="G90" i="3"/>
  <c r="F90" i="3"/>
  <c r="E90" i="3"/>
  <c r="D90" i="3"/>
  <c r="C90" i="3"/>
  <c r="B90" i="3"/>
  <c r="A90" i="3"/>
  <c r="S89" i="3"/>
  <c r="R89" i="3"/>
  <c r="P89" i="3"/>
  <c r="O89" i="3"/>
  <c r="N89" i="3"/>
  <c r="K89" i="3"/>
  <c r="G89" i="3"/>
  <c r="F89" i="3"/>
  <c r="E89" i="3"/>
  <c r="D89" i="3"/>
  <c r="C89" i="3"/>
  <c r="B89" i="3"/>
  <c r="A89" i="3"/>
  <c r="U88" i="3"/>
  <c r="R88" i="3"/>
  <c r="Q88" i="3"/>
  <c r="O88" i="3"/>
  <c r="G88" i="3"/>
  <c r="F88" i="3"/>
  <c r="E88" i="3"/>
  <c r="D88" i="3"/>
  <c r="C88" i="3"/>
  <c r="B88" i="3"/>
  <c r="A88" i="3"/>
  <c r="W87" i="3"/>
  <c r="Q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W86" i="3"/>
  <c r="V86" i="3"/>
  <c r="U86" i="3"/>
  <c r="T86" i="3"/>
  <c r="S86" i="3"/>
  <c r="R86" i="3"/>
  <c r="P86" i="3"/>
  <c r="O86" i="3"/>
  <c r="M86" i="3"/>
  <c r="L86" i="3"/>
  <c r="K86" i="3"/>
  <c r="J86" i="3"/>
  <c r="I86" i="3"/>
  <c r="H86" i="3"/>
  <c r="G86" i="3"/>
  <c r="F86" i="3"/>
  <c r="E86" i="3"/>
  <c r="D86" i="3"/>
  <c r="C86" i="3"/>
  <c r="B86" i="3"/>
  <c r="Q86" i="3" s="1"/>
  <c r="A86" i="3"/>
  <c r="S85" i="3"/>
  <c r="R85" i="3"/>
  <c r="Q85" i="3"/>
  <c r="O85" i="3"/>
  <c r="N85" i="3"/>
  <c r="J85" i="3"/>
  <c r="G85" i="3"/>
  <c r="F85" i="3"/>
  <c r="E85" i="3"/>
  <c r="D85" i="3"/>
  <c r="C85" i="3"/>
  <c r="B85" i="3"/>
  <c r="A85" i="3"/>
  <c r="U84" i="3"/>
  <c r="S84" i="3"/>
  <c r="R84" i="3"/>
  <c r="Q84" i="3"/>
  <c r="G84" i="3"/>
  <c r="F84" i="3"/>
  <c r="E84" i="3"/>
  <c r="D84" i="3"/>
  <c r="C84" i="3"/>
  <c r="B84" i="3"/>
  <c r="A84" i="3"/>
  <c r="W83" i="3"/>
  <c r="V83" i="3"/>
  <c r="U83" i="3"/>
  <c r="T83" i="3"/>
  <c r="S83" i="3"/>
  <c r="R83" i="3"/>
  <c r="Q83" i="3"/>
  <c r="P83" i="3"/>
  <c r="O83" i="3"/>
  <c r="M83" i="3"/>
  <c r="L83" i="3"/>
  <c r="K83" i="3"/>
  <c r="J83" i="3"/>
  <c r="I83" i="3"/>
  <c r="H83" i="3"/>
  <c r="G83" i="3"/>
  <c r="F83" i="3"/>
  <c r="E83" i="3"/>
  <c r="D83" i="3"/>
  <c r="C83" i="3"/>
  <c r="B83" i="3"/>
  <c r="N83" i="3" s="1"/>
  <c r="A83" i="3"/>
  <c r="W82" i="3"/>
  <c r="U82" i="3"/>
  <c r="T82" i="3"/>
  <c r="S82" i="3"/>
  <c r="R82" i="3"/>
  <c r="O82" i="3"/>
  <c r="N82" i="3"/>
  <c r="L82" i="3"/>
  <c r="K82" i="3"/>
  <c r="I82" i="3"/>
  <c r="H82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V80" i="3"/>
  <c r="R80" i="3"/>
  <c r="Q80" i="3"/>
  <c r="O80" i="3"/>
  <c r="N80" i="3"/>
  <c r="M80" i="3"/>
  <c r="L80" i="3"/>
  <c r="J80" i="3"/>
  <c r="I80" i="3"/>
  <c r="G80" i="3"/>
  <c r="F80" i="3"/>
  <c r="E80" i="3"/>
  <c r="D80" i="3"/>
  <c r="C80" i="3"/>
  <c r="B80" i="3"/>
  <c r="A80" i="3"/>
  <c r="W79" i="3"/>
  <c r="U79" i="3"/>
  <c r="T79" i="3"/>
  <c r="R79" i="3"/>
  <c r="Q79" i="3"/>
  <c r="P79" i="3"/>
  <c r="N79" i="3"/>
  <c r="M79" i="3"/>
  <c r="L79" i="3"/>
  <c r="K79" i="3"/>
  <c r="I79" i="3"/>
  <c r="H79" i="3"/>
  <c r="G79" i="3"/>
  <c r="F79" i="3"/>
  <c r="E79" i="3"/>
  <c r="D79" i="3"/>
  <c r="C79" i="3"/>
  <c r="B79" i="3"/>
  <c r="A79" i="3"/>
  <c r="W78" i="3"/>
  <c r="V78" i="3"/>
  <c r="T78" i="3"/>
  <c r="P78" i="3"/>
  <c r="O78" i="3"/>
  <c r="N78" i="3"/>
  <c r="M78" i="3"/>
  <c r="L78" i="3"/>
  <c r="H78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W76" i="3"/>
  <c r="V76" i="3"/>
  <c r="U76" i="3"/>
  <c r="T76" i="3"/>
  <c r="R76" i="3"/>
  <c r="Q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V75" i="3"/>
  <c r="U75" i="3"/>
  <c r="T75" i="3"/>
  <c r="S75" i="3"/>
  <c r="Q75" i="3"/>
  <c r="G75" i="3"/>
  <c r="F75" i="3"/>
  <c r="E75" i="3"/>
  <c r="D75" i="3"/>
  <c r="C75" i="3"/>
  <c r="B75" i="3"/>
  <c r="A75" i="3"/>
  <c r="W74" i="3"/>
  <c r="V74" i="3"/>
  <c r="U74" i="3"/>
  <c r="T74" i="3"/>
  <c r="S74" i="3"/>
  <c r="R74" i="3"/>
  <c r="P74" i="3"/>
  <c r="O74" i="3"/>
  <c r="M74" i="3"/>
  <c r="L74" i="3"/>
  <c r="K74" i="3"/>
  <c r="J74" i="3"/>
  <c r="I74" i="3"/>
  <c r="H74" i="3"/>
  <c r="G74" i="3"/>
  <c r="F74" i="3"/>
  <c r="E74" i="3"/>
  <c r="D74" i="3"/>
  <c r="C74" i="3"/>
  <c r="B74" i="3"/>
  <c r="Q74" i="3" s="1"/>
  <c r="A74" i="3"/>
  <c r="W73" i="3"/>
  <c r="V73" i="3"/>
  <c r="U73" i="3"/>
  <c r="R73" i="3"/>
  <c r="N73" i="3"/>
  <c r="L73" i="3"/>
  <c r="K73" i="3"/>
  <c r="J73" i="3"/>
  <c r="I73" i="3"/>
  <c r="H73" i="3"/>
  <c r="G73" i="3"/>
  <c r="F73" i="3"/>
  <c r="E73" i="3"/>
  <c r="D73" i="3"/>
  <c r="C73" i="3"/>
  <c r="B73" i="3"/>
  <c r="A73" i="3"/>
  <c r="W72" i="3"/>
  <c r="V72" i="3"/>
  <c r="U72" i="3"/>
  <c r="T72" i="3"/>
  <c r="S72" i="3"/>
  <c r="R72" i="3"/>
  <c r="N72" i="3"/>
  <c r="M72" i="3"/>
  <c r="K72" i="3"/>
  <c r="J72" i="3"/>
  <c r="I72" i="3"/>
  <c r="H72" i="3"/>
  <c r="G72" i="3"/>
  <c r="F72" i="3"/>
  <c r="E72" i="3"/>
  <c r="D72" i="3"/>
  <c r="C72" i="3"/>
  <c r="B72" i="3"/>
  <c r="A72" i="3"/>
  <c r="W71" i="3"/>
  <c r="V71" i="3"/>
  <c r="U71" i="3"/>
  <c r="T71" i="3"/>
  <c r="S71" i="3"/>
  <c r="R71" i="3"/>
  <c r="Q71" i="3"/>
  <c r="P71" i="3"/>
  <c r="O71" i="3"/>
  <c r="M71" i="3"/>
  <c r="L71" i="3"/>
  <c r="K71" i="3"/>
  <c r="J71" i="3"/>
  <c r="I71" i="3"/>
  <c r="H71" i="3"/>
  <c r="G71" i="3"/>
  <c r="F71" i="3"/>
  <c r="E71" i="3"/>
  <c r="D71" i="3"/>
  <c r="C71" i="3"/>
  <c r="B71" i="3"/>
  <c r="N71" i="3" s="1"/>
  <c r="A71" i="3"/>
  <c r="W70" i="3"/>
  <c r="U70" i="3"/>
  <c r="T70" i="3"/>
  <c r="S70" i="3"/>
  <c r="P70" i="3"/>
  <c r="O70" i="3"/>
  <c r="N70" i="3"/>
  <c r="L70" i="3"/>
  <c r="K70" i="3"/>
  <c r="H70" i="3"/>
  <c r="G70" i="3"/>
  <c r="F70" i="3"/>
  <c r="E70" i="3"/>
  <c r="D70" i="3"/>
  <c r="C70" i="3"/>
  <c r="B70" i="3"/>
  <c r="A70" i="3"/>
  <c r="T69" i="3"/>
  <c r="R69" i="3"/>
  <c r="Q69" i="3"/>
  <c r="P69" i="3"/>
  <c r="G69" i="3"/>
  <c r="F69" i="3"/>
  <c r="E69" i="3"/>
  <c r="D69" i="3"/>
  <c r="C69" i="3"/>
  <c r="B69" i="3"/>
  <c r="A69" i="3"/>
  <c r="V68" i="3"/>
  <c r="U68" i="3"/>
  <c r="M68" i="3"/>
  <c r="L68" i="3"/>
  <c r="J68" i="3"/>
  <c r="I68" i="3"/>
  <c r="G68" i="3"/>
  <c r="F68" i="3"/>
  <c r="E68" i="3"/>
  <c r="D68" i="3"/>
  <c r="C68" i="3"/>
  <c r="B68" i="3"/>
  <c r="P68" i="3" s="1"/>
  <c r="A68" i="3"/>
  <c r="T67" i="3"/>
  <c r="G67" i="3"/>
  <c r="F67" i="3"/>
  <c r="E67" i="3"/>
  <c r="D67" i="3"/>
  <c r="C67" i="3"/>
  <c r="B67" i="3"/>
  <c r="A67" i="3"/>
  <c r="W66" i="3"/>
  <c r="V66" i="3"/>
  <c r="P66" i="3"/>
  <c r="N66" i="3"/>
  <c r="M66" i="3"/>
  <c r="L66" i="3"/>
  <c r="K66" i="3"/>
  <c r="J66" i="3"/>
  <c r="H66" i="3"/>
  <c r="G66" i="3"/>
  <c r="F66" i="3"/>
  <c r="E66" i="3"/>
  <c r="D66" i="3"/>
  <c r="C66" i="3"/>
  <c r="B66" i="3"/>
  <c r="A66" i="3"/>
  <c r="V65" i="3"/>
  <c r="U65" i="3"/>
  <c r="S65" i="3"/>
  <c r="R65" i="3"/>
  <c r="P65" i="3"/>
  <c r="O65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N64" i="3" s="1"/>
  <c r="A64" i="3"/>
  <c r="W63" i="3"/>
  <c r="V63" i="3"/>
  <c r="U63" i="3"/>
  <c r="S63" i="3"/>
  <c r="Q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W62" i="3"/>
  <c r="V62" i="3"/>
  <c r="U62" i="3"/>
  <c r="T62" i="3"/>
  <c r="S62" i="3"/>
  <c r="R62" i="3"/>
  <c r="P62" i="3"/>
  <c r="O62" i="3"/>
  <c r="M62" i="3"/>
  <c r="L62" i="3"/>
  <c r="K62" i="3"/>
  <c r="J62" i="3"/>
  <c r="I62" i="3"/>
  <c r="H62" i="3"/>
  <c r="G62" i="3"/>
  <c r="F62" i="3"/>
  <c r="E62" i="3"/>
  <c r="D62" i="3"/>
  <c r="C62" i="3"/>
  <c r="B62" i="3"/>
  <c r="Q62" i="3" s="1"/>
  <c r="A62" i="3"/>
  <c r="I61" i="3"/>
  <c r="G61" i="3"/>
  <c r="F61" i="3"/>
  <c r="E61" i="3"/>
  <c r="D61" i="3"/>
  <c r="C61" i="3"/>
  <c r="B61" i="3"/>
  <c r="A61" i="3"/>
  <c r="V60" i="3"/>
  <c r="U60" i="3"/>
  <c r="T60" i="3"/>
  <c r="S60" i="3"/>
  <c r="L60" i="3"/>
  <c r="K60" i="3"/>
  <c r="I60" i="3"/>
  <c r="H60" i="3"/>
  <c r="G60" i="3"/>
  <c r="F60" i="3"/>
  <c r="E60" i="3"/>
  <c r="D60" i="3"/>
  <c r="C60" i="3"/>
  <c r="B60" i="3"/>
  <c r="N60" i="3" s="1"/>
  <c r="A60" i="3"/>
  <c r="W59" i="3"/>
  <c r="V59" i="3"/>
  <c r="U59" i="3"/>
  <c r="T59" i="3"/>
  <c r="S59" i="3"/>
  <c r="R59" i="3"/>
  <c r="Q59" i="3"/>
  <c r="P59" i="3"/>
  <c r="O59" i="3"/>
  <c r="M59" i="3"/>
  <c r="L59" i="3"/>
  <c r="K59" i="3"/>
  <c r="J59" i="3"/>
  <c r="I59" i="3"/>
  <c r="H59" i="3"/>
  <c r="G59" i="3"/>
  <c r="F59" i="3"/>
  <c r="E59" i="3"/>
  <c r="D59" i="3"/>
  <c r="C59" i="3"/>
  <c r="B59" i="3"/>
  <c r="N59" i="3" s="1"/>
  <c r="A59" i="3"/>
  <c r="Q58" i="3"/>
  <c r="P58" i="3"/>
  <c r="O58" i="3"/>
  <c r="N58" i="3"/>
  <c r="L58" i="3"/>
  <c r="G58" i="3"/>
  <c r="F58" i="3"/>
  <c r="E58" i="3"/>
  <c r="D58" i="3"/>
  <c r="C58" i="3"/>
  <c r="B58" i="3"/>
  <c r="R58" i="3" s="1"/>
  <c r="A58" i="3"/>
  <c r="Q57" i="3"/>
  <c r="P57" i="3"/>
  <c r="O57" i="3"/>
  <c r="N57" i="3"/>
  <c r="G57" i="3"/>
  <c r="F57" i="3"/>
  <c r="E57" i="3"/>
  <c r="D57" i="3"/>
  <c r="C57" i="3"/>
  <c r="B57" i="3"/>
  <c r="M57" i="3" s="1"/>
  <c r="A57" i="3"/>
  <c r="V56" i="3"/>
  <c r="U56" i="3"/>
  <c r="T56" i="3"/>
  <c r="Q56" i="3"/>
  <c r="N56" i="3"/>
  <c r="M56" i="3"/>
  <c r="L56" i="3"/>
  <c r="J56" i="3"/>
  <c r="I56" i="3"/>
  <c r="H56" i="3"/>
  <c r="G56" i="3"/>
  <c r="F56" i="3"/>
  <c r="E56" i="3"/>
  <c r="D56" i="3"/>
  <c r="C56" i="3"/>
  <c r="B56" i="3"/>
  <c r="A56" i="3"/>
  <c r="W55" i="3"/>
  <c r="U55" i="3"/>
  <c r="T55" i="3"/>
  <c r="S55" i="3"/>
  <c r="R55" i="3"/>
  <c r="Q55" i="3"/>
  <c r="N55" i="3"/>
  <c r="M55" i="3"/>
  <c r="L55" i="3"/>
  <c r="K55" i="3"/>
  <c r="I55" i="3"/>
  <c r="H55" i="3"/>
  <c r="G55" i="3"/>
  <c r="F55" i="3"/>
  <c r="E55" i="3"/>
  <c r="D55" i="3"/>
  <c r="C55" i="3"/>
  <c r="B55" i="3"/>
  <c r="A55" i="3"/>
  <c r="T54" i="3"/>
  <c r="S54" i="3"/>
  <c r="G54" i="3"/>
  <c r="F54" i="3"/>
  <c r="E54" i="3"/>
  <c r="D54" i="3"/>
  <c r="C54" i="3"/>
  <c r="B54" i="3"/>
  <c r="A54" i="3"/>
  <c r="Q53" i="3"/>
  <c r="P53" i="3"/>
  <c r="G53" i="3"/>
  <c r="F53" i="3"/>
  <c r="E53" i="3"/>
  <c r="D53" i="3"/>
  <c r="C53" i="3"/>
  <c r="B53" i="3"/>
  <c r="A53" i="3"/>
  <c r="W52" i="3"/>
  <c r="L52" i="3"/>
  <c r="K52" i="3"/>
  <c r="J52" i="3"/>
  <c r="I52" i="3"/>
  <c r="H52" i="3"/>
  <c r="G52" i="3"/>
  <c r="F52" i="3"/>
  <c r="E52" i="3"/>
  <c r="D52" i="3"/>
  <c r="C52" i="3"/>
  <c r="B52" i="3"/>
  <c r="M52" i="3" s="1"/>
  <c r="A52" i="3"/>
  <c r="W51" i="3"/>
  <c r="V51" i="3"/>
  <c r="U51" i="3"/>
  <c r="T51" i="3"/>
  <c r="S51" i="3"/>
  <c r="P51" i="3"/>
  <c r="M51" i="3"/>
  <c r="L51" i="3"/>
  <c r="K51" i="3"/>
  <c r="J51" i="3"/>
  <c r="I51" i="3"/>
  <c r="H51" i="3"/>
  <c r="G51" i="3"/>
  <c r="F51" i="3"/>
  <c r="E51" i="3"/>
  <c r="D51" i="3"/>
  <c r="C51" i="3"/>
  <c r="B51" i="3"/>
  <c r="R51" i="3" s="1"/>
  <c r="A51" i="3"/>
  <c r="W50" i="3"/>
  <c r="V50" i="3"/>
  <c r="U50" i="3"/>
  <c r="T50" i="3"/>
  <c r="S50" i="3"/>
  <c r="R50" i="3"/>
  <c r="O50" i="3"/>
  <c r="M50" i="3"/>
  <c r="L50" i="3"/>
  <c r="K50" i="3"/>
  <c r="J50" i="3"/>
  <c r="I50" i="3"/>
  <c r="H50" i="3"/>
  <c r="G50" i="3"/>
  <c r="F50" i="3"/>
  <c r="E50" i="3"/>
  <c r="D50" i="3"/>
  <c r="C50" i="3"/>
  <c r="B50" i="3"/>
  <c r="Q50" i="3" s="1"/>
  <c r="A50" i="3"/>
  <c r="W49" i="3"/>
  <c r="V49" i="3"/>
  <c r="U49" i="3"/>
  <c r="T49" i="3"/>
  <c r="S49" i="3"/>
  <c r="R49" i="3"/>
  <c r="Q49" i="3"/>
  <c r="K49" i="3"/>
  <c r="J49" i="3"/>
  <c r="I49" i="3"/>
  <c r="H49" i="3"/>
  <c r="G49" i="3"/>
  <c r="F49" i="3"/>
  <c r="E49" i="3"/>
  <c r="D49" i="3"/>
  <c r="C49" i="3"/>
  <c r="B49" i="3"/>
  <c r="P49" i="3" s="1"/>
  <c r="A49" i="3"/>
  <c r="W48" i="3"/>
  <c r="V48" i="3"/>
  <c r="U48" i="3"/>
  <c r="T48" i="3"/>
  <c r="S48" i="3"/>
  <c r="R48" i="3"/>
  <c r="Q48" i="3"/>
  <c r="P48" i="3"/>
  <c r="M48" i="3"/>
  <c r="L48" i="3"/>
  <c r="K48" i="3"/>
  <c r="J48" i="3"/>
  <c r="I48" i="3"/>
  <c r="H48" i="3"/>
  <c r="G48" i="3"/>
  <c r="F48" i="3"/>
  <c r="E48" i="3"/>
  <c r="D48" i="3"/>
  <c r="C48" i="3"/>
  <c r="B48" i="3"/>
  <c r="O48" i="3" s="1"/>
  <c r="A48" i="3"/>
  <c r="W47" i="3"/>
  <c r="V47" i="3"/>
  <c r="U47" i="3"/>
  <c r="T47" i="3"/>
  <c r="S47" i="3"/>
  <c r="R47" i="3"/>
  <c r="Q47" i="3"/>
  <c r="P47" i="3"/>
  <c r="O47" i="3"/>
  <c r="M47" i="3"/>
  <c r="L47" i="3"/>
  <c r="K47" i="3"/>
  <c r="J47" i="3"/>
  <c r="I47" i="3"/>
  <c r="H47" i="3"/>
  <c r="G47" i="3"/>
  <c r="F47" i="3"/>
  <c r="E47" i="3"/>
  <c r="D47" i="3"/>
  <c r="C47" i="3"/>
  <c r="B47" i="3"/>
  <c r="N47" i="3" s="1"/>
  <c r="A47" i="3"/>
  <c r="T46" i="3"/>
  <c r="G46" i="3"/>
  <c r="F46" i="3"/>
  <c r="E46" i="3"/>
  <c r="D46" i="3"/>
  <c r="C46" i="3"/>
  <c r="B46" i="3"/>
  <c r="A46" i="3"/>
  <c r="M45" i="3"/>
  <c r="G45" i="3"/>
  <c r="F45" i="3"/>
  <c r="E45" i="3"/>
  <c r="D45" i="3"/>
  <c r="C45" i="3"/>
  <c r="B45" i="3"/>
  <c r="A45" i="3"/>
  <c r="Q44" i="3"/>
  <c r="P44" i="3"/>
  <c r="O44" i="3"/>
  <c r="N44" i="3"/>
  <c r="M44" i="3"/>
  <c r="L44" i="3"/>
  <c r="G44" i="3"/>
  <c r="F44" i="3"/>
  <c r="E44" i="3"/>
  <c r="D44" i="3"/>
  <c r="C44" i="3"/>
  <c r="B44" i="3"/>
  <c r="A44" i="3"/>
  <c r="P43" i="3"/>
  <c r="O43" i="3"/>
  <c r="N43" i="3"/>
  <c r="M43" i="3"/>
  <c r="L43" i="3"/>
  <c r="K43" i="3"/>
  <c r="G43" i="3"/>
  <c r="F43" i="3"/>
  <c r="E43" i="3"/>
  <c r="D43" i="3"/>
  <c r="C43" i="3"/>
  <c r="B43" i="3"/>
  <c r="A43" i="3"/>
  <c r="W42" i="3"/>
  <c r="V42" i="3"/>
  <c r="P42" i="3"/>
  <c r="O42" i="3"/>
  <c r="N42" i="3"/>
  <c r="G42" i="3"/>
  <c r="F42" i="3"/>
  <c r="E42" i="3"/>
  <c r="D42" i="3"/>
  <c r="C42" i="3"/>
  <c r="B42" i="3"/>
  <c r="A42" i="3"/>
  <c r="W41" i="3"/>
  <c r="V41" i="3"/>
  <c r="U41" i="3"/>
  <c r="N41" i="3"/>
  <c r="M41" i="3"/>
  <c r="L41" i="3"/>
  <c r="K41" i="3"/>
  <c r="J41" i="3"/>
  <c r="I41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W39" i="3"/>
  <c r="V39" i="3"/>
  <c r="U39" i="3"/>
  <c r="T39" i="3"/>
  <c r="S39" i="3"/>
  <c r="P39" i="3"/>
  <c r="M39" i="3"/>
  <c r="L39" i="3"/>
  <c r="K39" i="3"/>
  <c r="J39" i="3"/>
  <c r="I39" i="3"/>
  <c r="H39" i="3"/>
  <c r="G39" i="3"/>
  <c r="F39" i="3"/>
  <c r="E39" i="3"/>
  <c r="D39" i="3"/>
  <c r="C39" i="3"/>
  <c r="B39" i="3"/>
  <c r="R39" i="3" s="1"/>
  <c r="A39" i="3"/>
  <c r="W38" i="3"/>
  <c r="V38" i="3"/>
  <c r="U38" i="3"/>
  <c r="T38" i="3"/>
  <c r="S38" i="3"/>
  <c r="R38" i="3"/>
  <c r="O38" i="3"/>
  <c r="M38" i="3"/>
  <c r="L38" i="3"/>
  <c r="K38" i="3"/>
  <c r="J38" i="3"/>
  <c r="I38" i="3"/>
  <c r="H38" i="3"/>
  <c r="G38" i="3"/>
  <c r="F38" i="3"/>
  <c r="E38" i="3"/>
  <c r="D38" i="3"/>
  <c r="C38" i="3"/>
  <c r="B38" i="3"/>
  <c r="Q38" i="3" s="1"/>
  <c r="A38" i="3"/>
  <c r="W37" i="3"/>
  <c r="V37" i="3"/>
  <c r="U37" i="3"/>
  <c r="T37" i="3"/>
  <c r="S37" i="3"/>
  <c r="R37" i="3"/>
  <c r="Q37" i="3"/>
  <c r="K37" i="3"/>
  <c r="J37" i="3"/>
  <c r="I37" i="3"/>
  <c r="H37" i="3"/>
  <c r="G37" i="3"/>
  <c r="F37" i="3"/>
  <c r="E37" i="3"/>
  <c r="D37" i="3"/>
  <c r="C37" i="3"/>
  <c r="B37" i="3"/>
  <c r="P37" i="3" s="1"/>
  <c r="A37" i="3"/>
  <c r="W36" i="3"/>
  <c r="V36" i="3"/>
  <c r="U36" i="3"/>
  <c r="T36" i="3"/>
  <c r="S36" i="3"/>
  <c r="R36" i="3"/>
  <c r="Q36" i="3"/>
  <c r="P36" i="3"/>
  <c r="M36" i="3"/>
  <c r="L36" i="3"/>
  <c r="K36" i="3"/>
  <c r="J36" i="3"/>
  <c r="I36" i="3"/>
  <c r="H36" i="3"/>
  <c r="G36" i="3"/>
  <c r="F36" i="3"/>
  <c r="E36" i="3"/>
  <c r="D36" i="3"/>
  <c r="C36" i="3"/>
  <c r="B36" i="3"/>
  <c r="O36" i="3" s="1"/>
  <c r="A36" i="3"/>
  <c r="W35" i="3"/>
  <c r="V35" i="3"/>
  <c r="U35" i="3"/>
  <c r="T35" i="3"/>
  <c r="S35" i="3"/>
  <c r="R35" i="3"/>
  <c r="Q35" i="3"/>
  <c r="P35" i="3"/>
  <c r="O35" i="3"/>
  <c r="M35" i="3"/>
  <c r="L35" i="3"/>
  <c r="K35" i="3"/>
  <c r="J35" i="3"/>
  <c r="I35" i="3"/>
  <c r="H35" i="3"/>
  <c r="G35" i="3"/>
  <c r="F35" i="3"/>
  <c r="E35" i="3"/>
  <c r="D35" i="3"/>
  <c r="C35" i="3"/>
  <c r="B35" i="3"/>
  <c r="N35" i="3" s="1"/>
  <c r="A35" i="3"/>
  <c r="R34" i="3"/>
  <c r="Q34" i="3"/>
  <c r="P34" i="3"/>
  <c r="O34" i="3"/>
  <c r="N34" i="3"/>
  <c r="H34" i="3"/>
  <c r="G34" i="3"/>
  <c r="F34" i="3"/>
  <c r="E34" i="3"/>
  <c r="D34" i="3"/>
  <c r="C34" i="3"/>
  <c r="B34" i="3"/>
  <c r="A34" i="3"/>
  <c r="R33" i="3"/>
  <c r="Q33" i="3"/>
  <c r="P33" i="3"/>
  <c r="O33" i="3"/>
  <c r="N33" i="3"/>
  <c r="M33" i="3"/>
  <c r="G33" i="3"/>
  <c r="F33" i="3"/>
  <c r="E33" i="3"/>
  <c r="D33" i="3"/>
  <c r="C33" i="3"/>
  <c r="B33" i="3"/>
  <c r="A33" i="3"/>
  <c r="R32" i="3"/>
  <c r="Q32" i="3"/>
  <c r="P32" i="3"/>
  <c r="O32" i="3"/>
  <c r="N32" i="3"/>
  <c r="G32" i="3"/>
  <c r="F32" i="3"/>
  <c r="E32" i="3"/>
  <c r="D32" i="3"/>
  <c r="C32" i="3"/>
  <c r="B32" i="3"/>
  <c r="A32" i="3"/>
  <c r="W31" i="3"/>
  <c r="Q31" i="3"/>
  <c r="P31" i="3"/>
  <c r="G31" i="3"/>
  <c r="F31" i="3"/>
  <c r="E31" i="3"/>
  <c r="D31" i="3"/>
  <c r="C31" i="3"/>
  <c r="B31" i="3"/>
  <c r="A31" i="3"/>
  <c r="W30" i="3"/>
  <c r="V30" i="3"/>
  <c r="O30" i="3"/>
  <c r="N30" i="3"/>
  <c r="M30" i="3"/>
  <c r="L30" i="3"/>
  <c r="K30" i="3"/>
  <c r="J30" i="3"/>
  <c r="G30" i="3"/>
  <c r="F30" i="3"/>
  <c r="E30" i="3"/>
  <c r="D30" i="3"/>
  <c r="C30" i="3"/>
  <c r="B30" i="3"/>
  <c r="A30" i="3"/>
  <c r="U29" i="3"/>
  <c r="O29" i="3"/>
  <c r="N29" i="3"/>
  <c r="M29" i="3"/>
  <c r="L29" i="3"/>
  <c r="K29" i="3"/>
  <c r="G29" i="3"/>
  <c r="F29" i="3"/>
  <c r="E29" i="3"/>
  <c r="D29" i="3"/>
  <c r="C29" i="3"/>
  <c r="B29" i="3"/>
  <c r="A29" i="3"/>
  <c r="W28" i="3"/>
  <c r="V28" i="3"/>
  <c r="U28" i="3"/>
  <c r="T28" i="3"/>
  <c r="L28" i="3"/>
  <c r="K28" i="3"/>
  <c r="J28" i="3"/>
  <c r="I28" i="3"/>
  <c r="H28" i="3"/>
  <c r="G28" i="3"/>
  <c r="F28" i="3"/>
  <c r="E28" i="3"/>
  <c r="D28" i="3"/>
  <c r="C28" i="3"/>
  <c r="B28" i="3"/>
  <c r="M28" i="3" s="1"/>
  <c r="A28" i="3"/>
  <c r="W27" i="3"/>
  <c r="V27" i="3"/>
  <c r="U27" i="3"/>
  <c r="T27" i="3"/>
  <c r="S27" i="3"/>
  <c r="P27" i="3"/>
  <c r="M27" i="3"/>
  <c r="L27" i="3"/>
  <c r="K27" i="3"/>
  <c r="J27" i="3"/>
  <c r="I27" i="3"/>
  <c r="H27" i="3"/>
  <c r="G27" i="3"/>
  <c r="F27" i="3"/>
  <c r="E27" i="3"/>
  <c r="D27" i="3"/>
  <c r="C27" i="3"/>
  <c r="B27" i="3"/>
  <c r="R27" i="3" s="1"/>
  <c r="A27" i="3"/>
  <c r="W26" i="3"/>
  <c r="V26" i="3"/>
  <c r="U26" i="3"/>
  <c r="T26" i="3"/>
  <c r="S26" i="3"/>
  <c r="R26" i="3"/>
  <c r="O26" i="3"/>
  <c r="M26" i="3"/>
  <c r="L26" i="3"/>
  <c r="K26" i="3"/>
  <c r="J26" i="3"/>
  <c r="I26" i="3"/>
  <c r="H26" i="3"/>
  <c r="G26" i="3"/>
  <c r="F26" i="3"/>
  <c r="E26" i="3"/>
  <c r="D26" i="3"/>
  <c r="C26" i="3"/>
  <c r="B26" i="3"/>
  <c r="Q26" i="3" s="1"/>
  <c r="A26" i="3"/>
  <c r="W25" i="3"/>
  <c r="V25" i="3"/>
  <c r="U25" i="3"/>
  <c r="T25" i="3"/>
  <c r="S25" i="3"/>
  <c r="R25" i="3"/>
  <c r="Q25" i="3"/>
  <c r="K25" i="3"/>
  <c r="J25" i="3"/>
  <c r="I25" i="3"/>
  <c r="H25" i="3"/>
  <c r="G25" i="3"/>
  <c r="F25" i="3"/>
  <c r="E25" i="3"/>
  <c r="D25" i="3"/>
  <c r="C25" i="3"/>
  <c r="B25" i="3"/>
  <c r="P25" i="3" s="1"/>
  <c r="A25" i="3"/>
  <c r="W24" i="3"/>
  <c r="V24" i="3"/>
  <c r="U24" i="3"/>
  <c r="T24" i="3"/>
  <c r="S24" i="3"/>
  <c r="R24" i="3"/>
  <c r="Q24" i="3"/>
  <c r="P24" i="3"/>
  <c r="M24" i="3"/>
  <c r="L24" i="3"/>
  <c r="K24" i="3"/>
  <c r="J24" i="3"/>
  <c r="I24" i="3"/>
  <c r="H24" i="3"/>
  <c r="G24" i="3"/>
  <c r="F24" i="3"/>
  <c r="E24" i="3"/>
  <c r="D24" i="3"/>
  <c r="C24" i="3"/>
  <c r="B24" i="3"/>
  <c r="O24" i="3" s="1"/>
  <c r="A24" i="3"/>
  <c r="W23" i="3"/>
  <c r="V23" i="3"/>
  <c r="U23" i="3"/>
  <c r="T23" i="3"/>
  <c r="S23" i="3"/>
  <c r="R23" i="3"/>
  <c r="Q23" i="3"/>
  <c r="P23" i="3"/>
  <c r="O23" i="3"/>
  <c r="M23" i="3"/>
  <c r="L23" i="3"/>
  <c r="K23" i="3"/>
  <c r="J23" i="3"/>
  <c r="I23" i="3"/>
  <c r="H23" i="3"/>
  <c r="G23" i="3"/>
  <c r="F23" i="3"/>
  <c r="E23" i="3"/>
  <c r="D23" i="3"/>
  <c r="C23" i="3"/>
  <c r="B23" i="3"/>
  <c r="N23" i="3" s="1"/>
  <c r="A23" i="3"/>
  <c r="T22" i="3"/>
  <c r="S22" i="3"/>
  <c r="R22" i="3"/>
  <c r="Q22" i="3"/>
  <c r="P22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L20" i="3"/>
  <c r="G20" i="3"/>
  <c r="F20" i="3"/>
  <c r="E20" i="3"/>
  <c r="D20" i="3"/>
  <c r="C20" i="3"/>
  <c r="B20" i="3"/>
  <c r="A20" i="3"/>
  <c r="O19" i="3"/>
  <c r="N19" i="3"/>
  <c r="M19" i="3"/>
  <c r="L19" i="3"/>
  <c r="K19" i="3"/>
  <c r="G19" i="3"/>
  <c r="F19" i="3"/>
  <c r="E19" i="3"/>
  <c r="D19" i="3"/>
  <c r="C19" i="3"/>
  <c r="B19" i="3"/>
  <c r="P19" i="3" s="1"/>
  <c r="A19" i="3"/>
  <c r="V18" i="3"/>
  <c r="P18" i="3"/>
  <c r="O18" i="3"/>
  <c r="N18" i="3"/>
  <c r="G18" i="3"/>
  <c r="F18" i="3"/>
  <c r="E18" i="3"/>
  <c r="D18" i="3"/>
  <c r="C18" i="3"/>
  <c r="B18" i="3"/>
  <c r="M18" i="3" s="1"/>
  <c r="A18" i="3"/>
  <c r="W17" i="3"/>
  <c r="V17" i="3"/>
  <c r="U17" i="3"/>
  <c r="I17" i="3"/>
  <c r="G17" i="3"/>
  <c r="F17" i="3"/>
  <c r="E17" i="3"/>
  <c r="D17" i="3"/>
  <c r="C17" i="3"/>
  <c r="B17" i="3"/>
  <c r="A17" i="3"/>
  <c r="N16" i="3"/>
  <c r="M16" i="3"/>
  <c r="L16" i="3"/>
  <c r="K16" i="3"/>
  <c r="G16" i="3"/>
  <c r="F16" i="3"/>
  <c r="E16" i="3"/>
  <c r="D16" i="3"/>
  <c r="C16" i="3"/>
  <c r="B16" i="3"/>
  <c r="A16" i="3"/>
  <c r="W15" i="3"/>
  <c r="V15" i="3"/>
  <c r="U15" i="3"/>
  <c r="T15" i="3"/>
  <c r="S15" i="3"/>
  <c r="P15" i="3"/>
  <c r="M15" i="3"/>
  <c r="L15" i="3"/>
  <c r="K15" i="3"/>
  <c r="J15" i="3"/>
  <c r="I15" i="3"/>
  <c r="H15" i="3"/>
  <c r="G15" i="3"/>
  <c r="F15" i="3"/>
  <c r="E15" i="3"/>
  <c r="D15" i="3"/>
  <c r="C15" i="3"/>
  <c r="B15" i="3"/>
  <c r="R15" i="3" s="1"/>
  <c r="A15" i="3"/>
  <c r="W14" i="3"/>
  <c r="V14" i="3"/>
  <c r="U14" i="3"/>
  <c r="T14" i="3"/>
  <c r="S14" i="3"/>
  <c r="R14" i="3"/>
  <c r="O14" i="3"/>
  <c r="M14" i="3"/>
  <c r="L14" i="3"/>
  <c r="K14" i="3"/>
  <c r="J14" i="3"/>
  <c r="I14" i="3"/>
  <c r="H14" i="3"/>
  <c r="G14" i="3"/>
  <c r="F14" i="3"/>
  <c r="E14" i="3"/>
  <c r="D14" i="3"/>
  <c r="C14" i="3"/>
  <c r="B14" i="3"/>
  <c r="Q14" i="3" s="1"/>
  <c r="A14" i="3"/>
  <c r="W13" i="3"/>
  <c r="V13" i="3"/>
  <c r="U13" i="3"/>
  <c r="T13" i="3"/>
  <c r="S13" i="3"/>
  <c r="R13" i="3"/>
  <c r="Q13" i="3"/>
  <c r="K13" i="3"/>
  <c r="J13" i="3"/>
  <c r="I13" i="3"/>
  <c r="H13" i="3"/>
  <c r="G13" i="3"/>
  <c r="F13" i="3"/>
  <c r="E13" i="3"/>
  <c r="D13" i="3"/>
  <c r="C13" i="3"/>
  <c r="B13" i="3"/>
  <c r="P13" i="3" s="1"/>
  <c r="A13" i="3"/>
  <c r="W12" i="3"/>
  <c r="V12" i="3"/>
  <c r="U12" i="3"/>
  <c r="T12" i="3"/>
  <c r="S12" i="3"/>
  <c r="R12" i="3"/>
  <c r="Q12" i="3"/>
  <c r="P12" i="3"/>
  <c r="M12" i="3"/>
  <c r="L12" i="3"/>
  <c r="K12" i="3"/>
  <c r="J12" i="3"/>
  <c r="I12" i="3"/>
  <c r="H12" i="3"/>
  <c r="G12" i="3"/>
  <c r="F12" i="3"/>
  <c r="E12" i="3"/>
  <c r="D12" i="3"/>
  <c r="C12" i="3"/>
  <c r="B12" i="3"/>
  <c r="O12" i="3" s="1"/>
  <c r="A12" i="3"/>
  <c r="W11" i="3"/>
  <c r="V11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B11" i="3"/>
  <c r="N11" i="3" s="1"/>
  <c r="A11" i="3"/>
  <c r="U5" i="3"/>
  <c r="Q5" i="3"/>
  <c r="M5" i="3"/>
  <c r="E5" i="3"/>
  <c r="A5" i="3"/>
  <c r="V210" i="2"/>
  <c r="U210" i="2"/>
  <c r="T210" i="2"/>
  <c r="S210" i="2"/>
  <c r="M210" i="2"/>
  <c r="L210" i="2"/>
  <c r="D210" i="2"/>
  <c r="C210" i="2"/>
  <c r="B210" i="2"/>
  <c r="A210" i="2"/>
  <c r="V209" i="2"/>
  <c r="U209" i="2"/>
  <c r="T209" i="2"/>
  <c r="S209" i="2"/>
  <c r="R209" i="2"/>
  <c r="Q209" i="2"/>
  <c r="N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P209" i="2" s="1"/>
  <c r="V208" i="2"/>
  <c r="U208" i="2"/>
  <c r="T208" i="2"/>
  <c r="S208" i="2"/>
  <c r="R208" i="2"/>
  <c r="Q208" i="2"/>
  <c r="P208" i="2"/>
  <c r="O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N208" i="2" s="1"/>
  <c r="V207" i="2"/>
  <c r="T207" i="2"/>
  <c r="P207" i="2"/>
  <c r="O207" i="2"/>
  <c r="N207" i="2"/>
  <c r="M207" i="2"/>
  <c r="G207" i="2"/>
  <c r="F207" i="2"/>
  <c r="E207" i="2"/>
  <c r="D207" i="2"/>
  <c r="C207" i="2"/>
  <c r="B207" i="2"/>
  <c r="A207" i="2"/>
  <c r="Q207" i="2" s="1"/>
  <c r="V206" i="2"/>
  <c r="T206" i="2"/>
  <c r="Q206" i="2"/>
  <c r="P206" i="2"/>
  <c r="O206" i="2"/>
  <c r="N206" i="2"/>
  <c r="M206" i="2"/>
  <c r="L206" i="2"/>
  <c r="K206" i="2"/>
  <c r="D206" i="2"/>
  <c r="C206" i="2"/>
  <c r="B206" i="2"/>
  <c r="A206" i="2"/>
  <c r="V205" i="2"/>
  <c r="U205" i="2"/>
  <c r="T205" i="2"/>
  <c r="D205" i="2"/>
  <c r="C205" i="2"/>
  <c r="B205" i="2"/>
  <c r="A205" i="2"/>
  <c r="V204" i="2"/>
  <c r="U204" i="2"/>
  <c r="T204" i="2"/>
  <c r="S204" i="2"/>
  <c r="G204" i="2"/>
  <c r="D204" i="2"/>
  <c r="C204" i="2"/>
  <c r="B204" i="2"/>
  <c r="A204" i="2"/>
  <c r="V203" i="2"/>
  <c r="U203" i="2"/>
  <c r="T203" i="2"/>
  <c r="S203" i="2"/>
  <c r="R203" i="2"/>
  <c r="Q203" i="2"/>
  <c r="N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P203" i="2" s="1"/>
  <c r="V202" i="2"/>
  <c r="U202" i="2"/>
  <c r="T202" i="2"/>
  <c r="S202" i="2"/>
  <c r="R202" i="2"/>
  <c r="Q202" i="2"/>
  <c r="P202" i="2"/>
  <c r="O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N202" i="2" s="1"/>
  <c r="V201" i="2"/>
  <c r="T201" i="2"/>
  <c r="Q201" i="2"/>
  <c r="P201" i="2"/>
  <c r="O201" i="2"/>
  <c r="N201" i="2"/>
  <c r="M201" i="2"/>
  <c r="G201" i="2"/>
  <c r="F201" i="2"/>
  <c r="D201" i="2"/>
  <c r="C201" i="2"/>
  <c r="B201" i="2"/>
  <c r="A201" i="2"/>
  <c r="V200" i="2"/>
  <c r="T200" i="2"/>
  <c r="Q200" i="2"/>
  <c r="P200" i="2"/>
  <c r="O200" i="2"/>
  <c r="D200" i="2"/>
  <c r="C200" i="2"/>
  <c r="B200" i="2"/>
  <c r="A200" i="2"/>
  <c r="V199" i="2"/>
  <c r="U199" i="2"/>
  <c r="T199" i="2"/>
  <c r="O199" i="2"/>
  <c r="D199" i="2"/>
  <c r="C199" i="2"/>
  <c r="B199" i="2"/>
  <c r="A199" i="2"/>
  <c r="V198" i="2"/>
  <c r="U198" i="2"/>
  <c r="T198" i="2"/>
  <c r="I198" i="2"/>
  <c r="H198" i="2"/>
  <c r="G198" i="2"/>
  <c r="D198" i="2"/>
  <c r="C198" i="2"/>
  <c r="B198" i="2"/>
  <c r="A198" i="2"/>
  <c r="V197" i="2"/>
  <c r="U197" i="2"/>
  <c r="T197" i="2"/>
  <c r="S197" i="2"/>
  <c r="R197" i="2"/>
  <c r="Q197" i="2"/>
  <c r="N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P197" i="2" s="1"/>
  <c r="V196" i="2"/>
  <c r="U196" i="2"/>
  <c r="T196" i="2"/>
  <c r="S196" i="2"/>
  <c r="R196" i="2"/>
  <c r="Q196" i="2"/>
  <c r="P196" i="2"/>
  <c r="O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N196" i="2" s="1"/>
  <c r="V195" i="2"/>
  <c r="T195" i="2"/>
  <c r="S195" i="2"/>
  <c r="R195" i="2"/>
  <c r="Q195" i="2"/>
  <c r="P195" i="2"/>
  <c r="O195" i="2"/>
  <c r="N195" i="2"/>
  <c r="D195" i="2"/>
  <c r="C195" i="2"/>
  <c r="B195" i="2"/>
  <c r="A195" i="2"/>
  <c r="V194" i="2"/>
  <c r="T194" i="2"/>
  <c r="R194" i="2"/>
  <c r="Q194" i="2"/>
  <c r="N194" i="2"/>
  <c r="M194" i="2"/>
  <c r="L194" i="2"/>
  <c r="K194" i="2"/>
  <c r="H194" i="2"/>
  <c r="F194" i="2"/>
  <c r="E194" i="2"/>
  <c r="D194" i="2"/>
  <c r="C194" i="2"/>
  <c r="B194" i="2"/>
  <c r="A194" i="2"/>
  <c r="O194" i="2" s="1"/>
  <c r="V193" i="2"/>
  <c r="T193" i="2"/>
  <c r="P193" i="2"/>
  <c r="O193" i="2"/>
  <c r="N193" i="2"/>
  <c r="M193" i="2"/>
  <c r="L193" i="2"/>
  <c r="D193" i="2"/>
  <c r="C193" i="2"/>
  <c r="B193" i="2"/>
  <c r="A193" i="2"/>
  <c r="V192" i="2"/>
  <c r="U192" i="2"/>
  <c r="T192" i="2"/>
  <c r="S192" i="2"/>
  <c r="P192" i="2"/>
  <c r="H192" i="2"/>
  <c r="G192" i="2"/>
  <c r="D192" i="2"/>
  <c r="C192" i="2"/>
  <c r="B192" i="2"/>
  <c r="A192" i="2"/>
  <c r="V191" i="2"/>
  <c r="U191" i="2"/>
  <c r="T191" i="2"/>
  <c r="S191" i="2"/>
  <c r="R191" i="2"/>
  <c r="Q191" i="2"/>
  <c r="N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P191" i="2" s="1"/>
  <c r="V190" i="2"/>
  <c r="U190" i="2"/>
  <c r="T190" i="2"/>
  <c r="S190" i="2"/>
  <c r="R190" i="2"/>
  <c r="Q190" i="2"/>
  <c r="P190" i="2"/>
  <c r="O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N190" i="2" s="1"/>
  <c r="V189" i="2"/>
  <c r="T189" i="2"/>
  <c r="D189" i="2"/>
  <c r="C189" i="2"/>
  <c r="B189" i="2"/>
  <c r="A189" i="2"/>
  <c r="V188" i="2"/>
  <c r="T188" i="2"/>
  <c r="R188" i="2"/>
  <c r="Q188" i="2"/>
  <c r="N188" i="2"/>
  <c r="M188" i="2"/>
  <c r="L188" i="2"/>
  <c r="K188" i="2"/>
  <c r="H188" i="2"/>
  <c r="F188" i="2"/>
  <c r="E188" i="2"/>
  <c r="D188" i="2"/>
  <c r="C188" i="2"/>
  <c r="B188" i="2"/>
  <c r="A188" i="2"/>
  <c r="O188" i="2" s="1"/>
  <c r="V187" i="2"/>
  <c r="T187" i="2"/>
  <c r="K187" i="2"/>
  <c r="D187" i="2"/>
  <c r="C187" i="2"/>
  <c r="B187" i="2"/>
  <c r="A187" i="2"/>
  <c r="V186" i="2"/>
  <c r="T186" i="2"/>
  <c r="D186" i="2"/>
  <c r="C186" i="2"/>
  <c r="B186" i="2"/>
  <c r="A186" i="2"/>
  <c r="V185" i="2"/>
  <c r="U185" i="2"/>
  <c r="T185" i="2"/>
  <c r="S185" i="2"/>
  <c r="R185" i="2"/>
  <c r="Q185" i="2"/>
  <c r="N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P185" i="2" s="1"/>
  <c r="V184" i="2"/>
  <c r="U184" i="2"/>
  <c r="T184" i="2"/>
  <c r="S184" i="2"/>
  <c r="R184" i="2"/>
  <c r="Q184" i="2"/>
  <c r="P184" i="2"/>
  <c r="O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N184" i="2" s="1"/>
  <c r="V183" i="2"/>
  <c r="T183" i="2"/>
  <c r="O183" i="2"/>
  <c r="N183" i="2"/>
  <c r="M183" i="2"/>
  <c r="D183" i="2"/>
  <c r="C183" i="2"/>
  <c r="B183" i="2"/>
  <c r="A183" i="2"/>
  <c r="V182" i="2"/>
  <c r="T182" i="2"/>
  <c r="R182" i="2"/>
  <c r="Q182" i="2"/>
  <c r="N182" i="2"/>
  <c r="M182" i="2"/>
  <c r="L182" i="2"/>
  <c r="K182" i="2"/>
  <c r="H182" i="2"/>
  <c r="F182" i="2"/>
  <c r="E182" i="2"/>
  <c r="D182" i="2"/>
  <c r="C182" i="2"/>
  <c r="B182" i="2"/>
  <c r="A182" i="2"/>
  <c r="O182" i="2" s="1"/>
  <c r="V181" i="2"/>
  <c r="T181" i="2"/>
  <c r="P181" i="2"/>
  <c r="O181" i="2"/>
  <c r="N181" i="2"/>
  <c r="M181" i="2"/>
  <c r="L181" i="2"/>
  <c r="K181" i="2"/>
  <c r="D181" i="2"/>
  <c r="C181" i="2"/>
  <c r="B181" i="2"/>
  <c r="A181" i="2"/>
  <c r="V180" i="2"/>
  <c r="U180" i="2"/>
  <c r="T180" i="2"/>
  <c r="S180" i="2"/>
  <c r="P180" i="2"/>
  <c r="H180" i="2"/>
  <c r="G180" i="2"/>
  <c r="D180" i="2"/>
  <c r="C180" i="2"/>
  <c r="B180" i="2"/>
  <c r="A180" i="2"/>
  <c r="V179" i="2"/>
  <c r="U179" i="2"/>
  <c r="T179" i="2"/>
  <c r="S179" i="2"/>
  <c r="R179" i="2"/>
  <c r="Q179" i="2"/>
  <c r="N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P179" i="2" s="1"/>
  <c r="V178" i="2"/>
  <c r="U178" i="2"/>
  <c r="T178" i="2"/>
  <c r="S178" i="2"/>
  <c r="R178" i="2"/>
  <c r="Q178" i="2"/>
  <c r="P178" i="2"/>
  <c r="O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N178" i="2" s="1"/>
  <c r="V177" i="2"/>
  <c r="T177" i="2"/>
  <c r="R177" i="2"/>
  <c r="Q177" i="2"/>
  <c r="P177" i="2"/>
  <c r="O177" i="2"/>
  <c r="N177" i="2"/>
  <c r="D177" i="2"/>
  <c r="C177" i="2"/>
  <c r="B177" i="2"/>
  <c r="A177" i="2"/>
  <c r="V176" i="2"/>
  <c r="T176" i="2"/>
  <c r="R176" i="2"/>
  <c r="Q176" i="2"/>
  <c r="N176" i="2"/>
  <c r="M176" i="2"/>
  <c r="L176" i="2"/>
  <c r="K176" i="2"/>
  <c r="H176" i="2"/>
  <c r="F176" i="2"/>
  <c r="E176" i="2"/>
  <c r="D176" i="2"/>
  <c r="C176" i="2"/>
  <c r="B176" i="2"/>
  <c r="A176" i="2"/>
  <c r="O176" i="2" s="1"/>
  <c r="V175" i="2"/>
  <c r="T175" i="2"/>
  <c r="P175" i="2"/>
  <c r="D175" i="2"/>
  <c r="C175" i="2"/>
  <c r="B175" i="2"/>
  <c r="A175" i="2"/>
  <c r="V174" i="2"/>
  <c r="U174" i="2"/>
  <c r="T174" i="2"/>
  <c r="S174" i="2"/>
  <c r="P174" i="2"/>
  <c r="M174" i="2"/>
  <c r="L174" i="2"/>
  <c r="K174" i="2"/>
  <c r="J174" i="2"/>
  <c r="I174" i="2"/>
  <c r="H174" i="2"/>
  <c r="G174" i="2"/>
  <c r="D174" i="2"/>
  <c r="C174" i="2"/>
  <c r="B174" i="2"/>
  <c r="A174" i="2"/>
  <c r="N174" i="2" s="1"/>
  <c r="V173" i="2"/>
  <c r="T173" i="2"/>
  <c r="M173" i="2"/>
  <c r="L173" i="2"/>
  <c r="K173" i="2"/>
  <c r="D173" i="2"/>
  <c r="C173" i="2"/>
  <c r="B173" i="2"/>
  <c r="A173" i="2"/>
  <c r="V172" i="2"/>
  <c r="U172" i="2"/>
  <c r="T172" i="2"/>
  <c r="S172" i="2"/>
  <c r="R172" i="2"/>
  <c r="Q172" i="2"/>
  <c r="P172" i="2"/>
  <c r="O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N172" i="2" s="1"/>
  <c r="V171" i="2"/>
  <c r="U171" i="2"/>
  <c r="T171" i="2"/>
  <c r="S171" i="2"/>
  <c r="R171" i="2"/>
  <c r="Q171" i="2"/>
  <c r="J171" i="2"/>
  <c r="I171" i="2"/>
  <c r="H171" i="2"/>
  <c r="G171" i="2"/>
  <c r="F171" i="2"/>
  <c r="E171" i="2"/>
  <c r="D171" i="2"/>
  <c r="C171" i="2"/>
  <c r="B171" i="2"/>
  <c r="A171" i="2"/>
  <c r="O171" i="2" s="1"/>
  <c r="V170" i="2"/>
  <c r="U170" i="2"/>
  <c r="T170" i="2"/>
  <c r="S170" i="2"/>
  <c r="R170" i="2"/>
  <c r="Q170" i="2"/>
  <c r="P170" i="2"/>
  <c r="O170" i="2"/>
  <c r="N170" i="2"/>
  <c r="K170" i="2"/>
  <c r="J170" i="2"/>
  <c r="I170" i="2"/>
  <c r="H170" i="2"/>
  <c r="G170" i="2"/>
  <c r="F170" i="2"/>
  <c r="E170" i="2"/>
  <c r="D170" i="2"/>
  <c r="C170" i="2"/>
  <c r="B170" i="2"/>
  <c r="A170" i="2"/>
  <c r="M170" i="2" s="1"/>
  <c r="V169" i="2"/>
  <c r="T169" i="2"/>
  <c r="R169" i="2"/>
  <c r="D169" i="2"/>
  <c r="C169" i="2"/>
  <c r="B169" i="2"/>
  <c r="A169" i="2"/>
  <c r="V168" i="2"/>
  <c r="T168" i="2"/>
  <c r="K168" i="2"/>
  <c r="D168" i="2"/>
  <c r="C168" i="2"/>
  <c r="B168" i="2"/>
  <c r="A168" i="2"/>
  <c r="V167" i="2"/>
  <c r="T167" i="2"/>
  <c r="D167" i="2"/>
  <c r="C167" i="2"/>
  <c r="B167" i="2"/>
  <c r="A167" i="2"/>
  <c r="V166" i="2"/>
  <c r="U166" i="2"/>
  <c r="T166" i="2"/>
  <c r="S166" i="2"/>
  <c r="L166" i="2"/>
  <c r="K166" i="2"/>
  <c r="J166" i="2"/>
  <c r="I166" i="2"/>
  <c r="H166" i="2"/>
  <c r="G166" i="2"/>
  <c r="D166" i="2"/>
  <c r="C166" i="2"/>
  <c r="B166" i="2"/>
  <c r="A166" i="2"/>
  <c r="Q166" i="2" s="1"/>
  <c r="V165" i="2"/>
  <c r="U165" i="2"/>
  <c r="T165" i="2"/>
  <c r="S165" i="2"/>
  <c r="R165" i="2"/>
  <c r="Q165" i="2"/>
  <c r="J165" i="2"/>
  <c r="I165" i="2"/>
  <c r="H165" i="2"/>
  <c r="G165" i="2"/>
  <c r="F165" i="2"/>
  <c r="E165" i="2"/>
  <c r="D165" i="2"/>
  <c r="C165" i="2"/>
  <c r="B165" i="2"/>
  <c r="A165" i="2"/>
  <c r="O165" i="2" s="1"/>
  <c r="V164" i="2"/>
  <c r="U164" i="2"/>
  <c r="T164" i="2"/>
  <c r="S164" i="2"/>
  <c r="R164" i="2"/>
  <c r="Q164" i="2"/>
  <c r="P164" i="2"/>
  <c r="O164" i="2"/>
  <c r="N164" i="2"/>
  <c r="K164" i="2"/>
  <c r="J164" i="2"/>
  <c r="I164" i="2"/>
  <c r="H164" i="2"/>
  <c r="G164" i="2"/>
  <c r="F164" i="2"/>
  <c r="E164" i="2"/>
  <c r="D164" i="2"/>
  <c r="C164" i="2"/>
  <c r="B164" i="2"/>
  <c r="A164" i="2"/>
  <c r="M164" i="2" s="1"/>
  <c r="V163" i="2"/>
  <c r="T163" i="2"/>
  <c r="R163" i="2"/>
  <c r="Q163" i="2"/>
  <c r="P163" i="2"/>
  <c r="O163" i="2"/>
  <c r="N163" i="2"/>
  <c r="M163" i="2"/>
  <c r="F163" i="2"/>
  <c r="E163" i="2"/>
  <c r="D163" i="2"/>
  <c r="C163" i="2"/>
  <c r="B163" i="2"/>
  <c r="A163" i="2"/>
  <c r="V162" i="2"/>
  <c r="T162" i="2"/>
  <c r="P162" i="2"/>
  <c r="O162" i="2"/>
  <c r="N162" i="2"/>
  <c r="M162" i="2"/>
  <c r="L162" i="2"/>
  <c r="K162" i="2"/>
  <c r="D162" i="2"/>
  <c r="C162" i="2"/>
  <c r="B162" i="2"/>
  <c r="A162" i="2"/>
  <c r="V161" i="2"/>
  <c r="U161" i="2"/>
  <c r="T161" i="2"/>
  <c r="N161" i="2"/>
  <c r="M161" i="2"/>
  <c r="L161" i="2"/>
  <c r="K161" i="2"/>
  <c r="J161" i="2"/>
  <c r="I161" i="2"/>
  <c r="D161" i="2"/>
  <c r="C161" i="2"/>
  <c r="B161" i="2"/>
  <c r="A161" i="2"/>
  <c r="V160" i="2"/>
  <c r="U160" i="2"/>
  <c r="T160" i="2"/>
  <c r="S160" i="2"/>
  <c r="L160" i="2"/>
  <c r="K160" i="2"/>
  <c r="J160" i="2"/>
  <c r="I160" i="2"/>
  <c r="H160" i="2"/>
  <c r="G160" i="2"/>
  <c r="D160" i="2"/>
  <c r="C160" i="2"/>
  <c r="B160" i="2"/>
  <c r="A160" i="2"/>
  <c r="Q160" i="2" s="1"/>
  <c r="V159" i="2"/>
  <c r="U159" i="2"/>
  <c r="T159" i="2"/>
  <c r="S159" i="2"/>
  <c r="R159" i="2"/>
  <c r="Q159" i="2"/>
  <c r="J159" i="2"/>
  <c r="I159" i="2"/>
  <c r="H159" i="2"/>
  <c r="G159" i="2"/>
  <c r="F159" i="2"/>
  <c r="E159" i="2"/>
  <c r="D159" i="2"/>
  <c r="C159" i="2"/>
  <c r="B159" i="2"/>
  <c r="A159" i="2"/>
  <c r="O159" i="2" s="1"/>
  <c r="V158" i="2"/>
  <c r="U158" i="2"/>
  <c r="T158" i="2"/>
  <c r="S158" i="2"/>
  <c r="R158" i="2"/>
  <c r="Q158" i="2"/>
  <c r="P158" i="2"/>
  <c r="O158" i="2"/>
  <c r="N158" i="2"/>
  <c r="K158" i="2"/>
  <c r="J158" i="2"/>
  <c r="I158" i="2"/>
  <c r="H158" i="2"/>
  <c r="G158" i="2"/>
  <c r="F158" i="2"/>
  <c r="E158" i="2"/>
  <c r="D158" i="2"/>
  <c r="C158" i="2"/>
  <c r="B158" i="2"/>
  <c r="A158" i="2"/>
  <c r="M158" i="2" s="1"/>
  <c r="V157" i="2"/>
  <c r="T157" i="2"/>
  <c r="R157" i="2"/>
  <c r="Q157" i="2"/>
  <c r="P157" i="2"/>
  <c r="D157" i="2"/>
  <c r="C157" i="2"/>
  <c r="B157" i="2"/>
  <c r="A157" i="2"/>
  <c r="V156" i="2"/>
  <c r="T156" i="2"/>
  <c r="D156" i="2"/>
  <c r="C156" i="2"/>
  <c r="B156" i="2"/>
  <c r="A156" i="2"/>
  <c r="V155" i="2"/>
  <c r="U155" i="2"/>
  <c r="T155" i="2"/>
  <c r="D155" i="2"/>
  <c r="C155" i="2"/>
  <c r="B155" i="2"/>
  <c r="A155" i="2"/>
  <c r="V154" i="2"/>
  <c r="U154" i="2"/>
  <c r="T154" i="2"/>
  <c r="S154" i="2"/>
  <c r="L154" i="2"/>
  <c r="K154" i="2"/>
  <c r="J154" i="2"/>
  <c r="I154" i="2"/>
  <c r="H154" i="2"/>
  <c r="G154" i="2"/>
  <c r="D154" i="2"/>
  <c r="C154" i="2"/>
  <c r="B154" i="2"/>
  <c r="A154" i="2"/>
  <c r="Q154" i="2" s="1"/>
  <c r="V153" i="2"/>
  <c r="U153" i="2"/>
  <c r="T153" i="2"/>
  <c r="S153" i="2"/>
  <c r="R153" i="2"/>
  <c r="Q153" i="2"/>
  <c r="J153" i="2"/>
  <c r="I153" i="2"/>
  <c r="H153" i="2"/>
  <c r="G153" i="2"/>
  <c r="F153" i="2"/>
  <c r="E153" i="2"/>
  <c r="D153" i="2"/>
  <c r="C153" i="2"/>
  <c r="B153" i="2"/>
  <c r="A153" i="2"/>
  <c r="O153" i="2" s="1"/>
  <c r="V152" i="2"/>
  <c r="U152" i="2"/>
  <c r="T152" i="2"/>
  <c r="S152" i="2"/>
  <c r="R152" i="2"/>
  <c r="Q152" i="2"/>
  <c r="P152" i="2"/>
  <c r="O152" i="2"/>
  <c r="N152" i="2"/>
  <c r="K152" i="2"/>
  <c r="J152" i="2"/>
  <c r="I152" i="2"/>
  <c r="H152" i="2"/>
  <c r="G152" i="2"/>
  <c r="F152" i="2"/>
  <c r="E152" i="2"/>
  <c r="D152" i="2"/>
  <c r="C152" i="2"/>
  <c r="B152" i="2"/>
  <c r="A152" i="2"/>
  <c r="M152" i="2" s="1"/>
  <c r="V151" i="2"/>
  <c r="T151" i="2"/>
  <c r="P151" i="2"/>
  <c r="O151" i="2"/>
  <c r="N151" i="2"/>
  <c r="M151" i="2"/>
  <c r="F151" i="2"/>
  <c r="E151" i="2"/>
  <c r="D151" i="2"/>
  <c r="C151" i="2"/>
  <c r="B151" i="2"/>
  <c r="A151" i="2"/>
  <c r="R151" i="2" s="1"/>
  <c r="V150" i="2"/>
  <c r="T150" i="2"/>
  <c r="P150" i="2"/>
  <c r="O150" i="2"/>
  <c r="N150" i="2"/>
  <c r="M150" i="2"/>
  <c r="L150" i="2"/>
  <c r="K150" i="2"/>
  <c r="D150" i="2"/>
  <c r="C150" i="2"/>
  <c r="B150" i="2"/>
  <c r="A150" i="2"/>
  <c r="V149" i="2"/>
  <c r="U149" i="2"/>
  <c r="T149" i="2"/>
  <c r="N149" i="2"/>
  <c r="M149" i="2"/>
  <c r="L149" i="2"/>
  <c r="K149" i="2"/>
  <c r="J149" i="2"/>
  <c r="I149" i="2"/>
  <c r="D149" i="2"/>
  <c r="C149" i="2"/>
  <c r="B149" i="2"/>
  <c r="A149" i="2"/>
  <c r="V148" i="2"/>
  <c r="U148" i="2"/>
  <c r="T148" i="2"/>
  <c r="S148" i="2"/>
  <c r="L148" i="2"/>
  <c r="K148" i="2"/>
  <c r="J148" i="2"/>
  <c r="I148" i="2"/>
  <c r="H148" i="2"/>
  <c r="G148" i="2"/>
  <c r="D148" i="2"/>
  <c r="C148" i="2"/>
  <c r="B148" i="2"/>
  <c r="A148" i="2"/>
  <c r="Q148" i="2" s="1"/>
  <c r="V147" i="2"/>
  <c r="U147" i="2"/>
  <c r="T147" i="2"/>
  <c r="S147" i="2"/>
  <c r="R147" i="2"/>
  <c r="Q147" i="2"/>
  <c r="J147" i="2"/>
  <c r="I147" i="2"/>
  <c r="H147" i="2"/>
  <c r="G147" i="2"/>
  <c r="F147" i="2"/>
  <c r="E147" i="2"/>
  <c r="D147" i="2"/>
  <c r="C147" i="2"/>
  <c r="B147" i="2"/>
  <c r="A147" i="2"/>
  <c r="O147" i="2" s="1"/>
  <c r="V146" i="2"/>
  <c r="U146" i="2"/>
  <c r="T146" i="2"/>
  <c r="S146" i="2"/>
  <c r="R146" i="2"/>
  <c r="Q146" i="2"/>
  <c r="P146" i="2"/>
  <c r="O146" i="2"/>
  <c r="N146" i="2"/>
  <c r="K146" i="2"/>
  <c r="J146" i="2"/>
  <c r="I146" i="2"/>
  <c r="H146" i="2"/>
  <c r="G146" i="2"/>
  <c r="F146" i="2"/>
  <c r="E146" i="2"/>
  <c r="D146" i="2"/>
  <c r="C146" i="2"/>
  <c r="B146" i="2"/>
  <c r="A146" i="2"/>
  <c r="M146" i="2" s="1"/>
  <c r="V145" i="2"/>
  <c r="T145" i="2"/>
  <c r="R145" i="2"/>
  <c r="D145" i="2"/>
  <c r="C145" i="2"/>
  <c r="B145" i="2"/>
  <c r="A145" i="2"/>
  <c r="V144" i="2"/>
  <c r="T144" i="2"/>
  <c r="P144" i="2"/>
  <c r="O144" i="2"/>
  <c r="N144" i="2"/>
  <c r="D144" i="2"/>
  <c r="C144" i="2"/>
  <c r="B144" i="2"/>
  <c r="A144" i="2"/>
  <c r="V143" i="2"/>
  <c r="U143" i="2"/>
  <c r="T143" i="2"/>
  <c r="Q143" i="2"/>
  <c r="I143" i="2"/>
  <c r="H143" i="2"/>
  <c r="E143" i="2"/>
  <c r="D143" i="2"/>
  <c r="C143" i="2"/>
  <c r="B143" i="2"/>
  <c r="A143" i="2"/>
  <c r="V142" i="2"/>
  <c r="T142" i="2"/>
  <c r="O142" i="2"/>
  <c r="N142" i="2"/>
  <c r="M142" i="2"/>
  <c r="L142" i="2"/>
  <c r="K142" i="2"/>
  <c r="J142" i="2"/>
  <c r="D142" i="2"/>
  <c r="C142" i="2"/>
  <c r="B142" i="2"/>
  <c r="A142" i="2"/>
  <c r="V141" i="2"/>
  <c r="U141" i="2"/>
  <c r="T141" i="2"/>
  <c r="S141" i="2"/>
  <c r="R141" i="2"/>
  <c r="K141" i="2"/>
  <c r="J141" i="2"/>
  <c r="I141" i="2"/>
  <c r="H141" i="2"/>
  <c r="G141" i="2"/>
  <c r="F141" i="2"/>
  <c r="E141" i="2"/>
  <c r="D141" i="2"/>
  <c r="C141" i="2"/>
  <c r="B141" i="2"/>
  <c r="A141" i="2"/>
  <c r="L141" i="2" s="1"/>
  <c r="V140" i="2"/>
  <c r="U140" i="2"/>
  <c r="T140" i="2"/>
  <c r="S140" i="2"/>
  <c r="R140" i="2"/>
  <c r="Q140" i="2"/>
  <c r="P140" i="2"/>
  <c r="O140" i="2"/>
  <c r="N140" i="2"/>
  <c r="K140" i="2"/>
  <c r="J140" i="2"/>
  <c r="I140" i="2"/>
  <c r="H140" i="2"/>
  <c r="G140" i="2"/>
  <c r="F140" i="2"/>
  <c r="E140" i="2"/>
  <c r="D140" i="2"/>
  <c r="C140" i="2"/>
  <c r="B140" i="2"/>
  <c r="A140" i="2"/>
  <c r="M140" i="2" s="1"/>
  <c r="V139" i="2"/>
  <c r="T139" i="2"/>
  <c r="P139" i="2"/>
  <c r="O139" i="2"/>
  <c r="N139" i="2"/>
  <c r="M139" i="2"/>
  <c r="L139" i="2"/>
  <c r="I139" i="2"/>
  <c r="D139" i="2"/>
  <c r="C139" i="2"/>
  <c r="B139" i="2"/>
  <c r="A139" i="2"/>
  <c r="V138" i="2"/>
  <c r="T138" i="2"/>
  <c r="S138" i="2"/>
  <c r="R138" i="2"/>
  <c r="Q138" i="2"/>
  <c r="P138" i="2"/>
  <c r="N138" i="2"/>
  <c r="M138" i="2"/>
  <c r="L138" i="2"/>
  <c r="K138" i="2"/>
  <c r="J138" i="2"/>
  <c r="G138" i="2"/>
  <c r="F138" i="2"/>
  <c r="E138" i="2"/>
  <c r="D138" i="2"/>
  <c r="C138" i="2"/>
  <c r="B138" i="2"/>
  <c r="A138" i="2"/>
  <c r="V137" i="2"/>
  <c r="T137" i="2"/>
  <c r="Q137" i="2"/>
  <c r="D137" i="2"/>
  <c r="C137" i="2"/>
  <c r="B137" i="2"/>
  <c r="A137" i="2"/>
  <c r="P137" i="2" s="1"/>
  <c r="V136" i="2"/>
  <c r="U136" i="2"/>
  <c r="T136" i="2"/>
  <c r="S136" i="2"/>
  <c r="L136" i="2"/>
  <c r="K136" i="2"/>
  <c r="J136" i="2"/>
  <c r="I136" i="2"/>
  <c r="H136" i="2"/>
  <c r="G136" i="2"/>
  <c r="F136" i="2"/>
  <c r="D136" i="2"/>
  <c r="C136" i="2"/>
  <c r="B136" i="2"/>
  <c r="A136" i="2"/>
  <c r="M136" i="2" s="1"/>
  <c r="V135" i="2"/>
  <c r="T135" i="2"/>
  <c r="M135" i="2"/>
  <c r="F135" i="2"/>
  <c r="E135" i="2"/>
  <c r="D135" i="2"/>
  <c r="C135" i="2"/>
  <c r="B135" i="2"/>
  <c r="A135" i="2"/>
  <c r="V134" i="2"/>
  <c r="U134" i="2"/>
  <c r="T134" i="2"/>
  <c r="S134" i="2"/>
  <c r="R134" i="2"/>
  <c r="Q134" i="2"/>
  <c r="P134" i="2"/>
  <c r="O134" i="2"/>
  <c r="N134" i="2"/>
  <c r="K134" i="2"/>
  <c r="J134" i="2"/>
  <c r="I134" i="2"/>
  <c r="H134" i="2"/>
  <c r="G134" i="2"/>
  <c r="F134" i="2"/>
  <c r="E134" i="2"/>
  <c r="D134" i="2"/>
  <c r="C134" i="2"/>
  <c r="B134" i="2"/>
  <c r="A134" i="2"/>
  <c r="M134" i="2" s="1"/>
  <c r="V133" i="2"/>
  <c r="U133" i="2"/>
  <c r="T133" i="2"/>
  <c r="S133" i="2"/>
  <c r="R133" i="2"/>
  <c r="M133" i="2"/>
  <c r="L133" i="2"/>
  <c r="I133" i="2"/>
  <c r="H133" i="2"/>
  <c r="G133" i="2"/>
  <c r="F133" i="2"/>
  <c r="E133" i="2"/>
  <c r="D133" i="2"/>
  <c r="C133" i="2"/>
  <c r="B133" i="2"/>
  <c r="A133" i="2"/>
  <c r="N133" i="2" s="1"/>
  <c r="V132" i="2"/>
  <c r="T132" i="2"/>
  <c r="R132" i="2"/>
  <c r="Q132" i="2"/>
  <c r="P132" i="2"/>
  <c r="O132" i="2"/>
  <c r="N132" i="2"/>
  <c r="E132" i="2"/>
  <c r="D132" i="2"/>
  <c r="C132" i="2"/>
  <c r="B132" i="2"/>
  <c r="A132" i="2"/>
  <c r="S132" i="2" s="1"/>
  <c r="V131" i="2"/>
  <c r="U131" i="2"/>
  <c r="T131" i="2"/>
  <c r="N131" i="2"/>
  <c r="M131" i="2"/>
  <c r="L131" i="2"/>
  <c r="K131" i="2"/>
  <c r="J131" i="2"/>
  <c r="I131" i="2"/>
  <c r="H131" i="2"/>
  <c r="E131" i="2"/>
  <c r="D131" i="2"/>
  <c r="C131" i="2"/>
  <c r="B131" i="2"/>
  <c r="A131" i="2"/>
  <c r="V130" i="2"/>
  <c r="U130" i="2"/>
  <c r="T130" i="2"/>
  <c r="S130" i="2"/>
  <c r="R130" i="2"/>
  <c r="O130" i="2"/>
  <c r="N130" i="2"/>
  <c r="G130" i="2"/>
  <c r="D130" i="2"/>
  <c r="C130" i="2"/>
  <c r="B130" i="2"/>
  <c r="A130" i="2"/>
  <c r="V129" i="2"/>
  <c r="T129" i="2"/>
  <c r="P129" i="2"/>
  <c r="M129" i="2"/>
  <c r="L129" i="2"/>
  <c r="K129" i="2"/>
  <c r="J129" i="2"/>
  <c r="D129" i="2"/>
  <c r="C129" i="2"/>
  <c r="B129" i="2"/>
  <c r="A129" i="2"/>
  <c r="V128" i="2"/>
  <c r="U128" i="2"/>
  <c r="T128" i="2"/>
  <c r="S128" i="2"/>
  <c r="R128" i="2"/>
  <c r="Q128" i="2"/>
  <c r="P128" i="2"/>
  <c r="O128" i="2"/>
  <c r="N128" i="2"/>
  <c r="K128" i="2"/>
  <c r="J128" i="2"/>
  <c r="I128" i="2"/>
  <c r="H128" i="2"/>
  <c r="G128" i="2"/>
  <c r="F128" i="2"/>
  <c r="E128" i="2"/>
  <c r="D128" i="2"/>
  <c r="C128" i="2"/>
  <c r="B128" i="2"/>
  <c r="A128" i="2"/>
  <c r="M128" i="2" s="1"/>
  <c r="V127" i="2"/>
  <c r="T127" i="2"/>
  <c r="S127" i="2"/>
  <c r="R127" i="2"/>
  <c r="Q127" i="2"/>
  <c r="P127" i="2"/>
  <c r="O127" i="2"/>
  <c r="F127" i="2"/>
  <c r="E127" i="2"/>
  <c r="D127" i="2"/>
  <c r="C127" i="2"/>
  <c r="B127" i="2"/>
  <c r="A127" i="2"/>
  <c r="V126" i="2"/>
  <c r="T126" i="2"/>
  <c r="O126" i="2"/>
  <c r="N126" i="2"/>
  <c r="M126" i="2"/>
  <c r="L126" i="2"/>
  <c r="K126" i="2"/>
  <c r="J126" i="2"/>
  <c r="D126" i="2"/>
  <c r="C126" i="2"/>
  <c r="B126" i="2"/>
  <c r="A126" i="2"/>
  <c r="V125" i="2"/>
  <c r="U125" i="2"/>
  <c r="T125" i="2"/>
  <c r="Q125" i="2"/>
  <c r="P125" i="2"/>
  <c r="I125" i="2"/>
  <c r="H125" i="2"/>
  <c r="E125" i="2"/>
  <c r="D125" i="2"/>
  <c r="C125" i="2"/>
  <c r="B125" i="2"/>
  <c r="A125" i="2"/>
  <c r="V124" i="2"/>
  <c r="T124" i="2"/>
  <c r="O124" i="2"/>
  <c r="N124" i="2"/>
  <c r="M124" i="2"/>
  <c r="L124" i="2"/>
  <c r="K124" i="2"/>
  <c r="J124" i="2"/>
  <c r="D124" i="2"/>
  <c r="C124" i="2"/>
  <c r="B124" i="2"/>
  <c r="A124" i="2"/>
  <c r="V123" i="2"/>
  <c r="U123" i="2"/>
  <c r="T123" i="2"/>
  <c r="S123" i="2"/>
  <c r="R123" i="2"/>
  <c r="K123" i="2"/>
  <c r="J123" i="2"/>
  <c r="I123" i="2"/>
  <c r="H123" i="2"/>
  <c r="G123" i="2"/>
  <c r="F123" i="2"/>
  <c r="E123" i="2"/>
  <c r="D123" i="2"/>
  <c r="C123" i="2"/>
  <c r="B123" i="2"/>
  <c r="A123" i="2"/>
  <c r="L123" i="2" s="1"/>
  <c r="V122" i="2"/>
  <c r="U122" i="2"/>
  <c r="T122" i="2"/>
  <c r="S122" i="2"/>
  <c r="R122" i="2"/>
  <c r="Q122" i="2"/>
  <c r="P122" i="2"/>
  <c r="O122" i="2"/>
  <c r="N122" i="2"/>
  <c r="K122" i="2"/>
  <c r="J122" i="2"/>
  <c r="I122" i="2"/>
  <c r="H122" i="2"/>
  <c r="G122" i="2"/>
  <c r="F122" i="2"/>
  <c r="E122" i="2"/>
  <c r="D122" i="2"/>
  <c r="C122" i="2"/>
  <c r="B122" i="2"/>
  <c r="A122" i="2"/>
  <c r="M122" i="2" s="1"/>
  <c r="V121" i="2"/>
  <c r="T121" i="2"/>
  <c r="P121" i="2"/>
  <c r="O121" i="2"/>
  <c r="N121" i="2"/>
  <c r="M121" i="2"/>
  <c r="L121" i="2"/>
  <c r="I121" i="2"/>
  <c r="D121" i="2"/>
  <c r="C121" i="2"/>
  <c r="B121" i="2"/>
  <c r="A121" i="2"/>
  <c r="V120" i="2"/>
  <c r="T120" i="2"/>
  <c r="S120" i="2"/>
  <c r="R120" i="2"/>
  <c r="Q120" i="2"/>
  <c r="P120" i="2"/>
  <c r="N120" i="2"/>
  <c r="M120" i="2"/>
  <c r="L120" i="2"/>
  <c r="K120" i="2"/>
  <c r="J120" i="2"/>
  <c r="G120" i="2"/>
  <c r="F120" i="2"/>
  <c r="E120" i="2"/>
  <c r="D120" i="2"/>
  <c r="C120" i="2"/>
  <c r="B120" i="2"/>
  <c r="A120" i="2"/>
  <c r="V119" i="2"/>
  <c r="T119" i="2"/>
  <c r="Q119" i="2"/>
  <c r="D119" i="2"/>
  <c r="C119" i="2"/>
  <c r="B119" i="2"/>
  <c r="A119" i="2"/>
  <c r="P119" i="2" s="1"/>
  <c r="V118" i="2"/>
  <c r="U118" i="2"/>
  <c r="T118" i="2"/>
  <c r="S118" i="2"/>
  <c r="L118" i="2"/>
  <c r="K118" i="2"/>
  <c r="J118" i="2"/>
  <c r="I118" i="2"/>
  <c r="H118" i="2"/>
  <c r="G118" i="2"/>
  <c r="F118" i="2"/>
  <c r="D118" i="2"/>
  <c r="C118" i="2"/>
  <c r="B118" i="2"/>
  <c r="A118" i="2"/>
  <c r="M118" i="2" s="1"/>
  <c r="V117" i="2"/>
  <c r="T117" i="2"/>
  <c r="M117" i="2"/>
  <c r="F117" i="2"/>
  <c r="E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N116" i="2"/>
  <c r="K116" i="2"/>
  <c r="J116" i="2"/>
  <c r="I116" i="2"/>
  <c r="H116" i="2"/>
  <c r="G116" i="2"/>
  <c r="F116" i="2"/>
  <c r="E116" i="2"/>
  <c r="D116" i="2"/>
  <c r="C116" i="2"/>
  <c r="B116" i="2"/>
  <c r="A116" i="2"/>
  <c r="M116" i="2" s="1"/>
  <c r="V115" i="2"/>
  <c r="U115" i="2"/>
  <c r="T115" i="2"/>
  <c r="S115" i="2"/>
  <c r="R115" i="2"/>
  <c r="M115" i="2"/>
  <c r="L115" i="2"/>
  <c r="I115" i="2"/>
  <c r="H115" i="2"/>
  <c r="G115" i="2"/>
  <c r="F115" i="2"/>
  <c r="E115" i="2"/>
  <c r="D115" i="2"/>
  <c r="C115" i="2"/>
  <c r="B115" i="2"/>
  <c r="A115" i="2"/>
  <c r="N115" i="2" s="1"/>
  <c r="V114" i="2"/>
  <c r="T114" i="2"/>
  <c r="R114" i="2"/>
  <c r="Q114" i="2"/>
  <c r="P114" i="2"/>
  <c r="O114" i="2"/>
  <c r="N114" i="2"/>
  <c r="E114" i="2"/>
  <c r="D114" i="2"/>
  <c r="C114" i="2"/>
  <c r="B114" i="2"/>
  <c r="A114" i="2"/>
  <c r="S114" i="2" s="1"/>
  <c r="V113" i="2"/>
  <c r="U113" i="2"/>
  <c r="T113" i="2"/>
  <c r="P113" i="2"/>
  <c r="N113" i="2"/>
  <c r="M113" i="2"/>
  <c r="L113" i="2"/>
  <c r="K113" i="2"/>
  <c r="J113" i="2"/>
  <c r="I113" i="2"/>
  <c r="H113" i="2"/>
  <c r="E113" i="2"/>
  <c r="D113" i="2"/>
  <c r="C113" i="2"/>
  <c r="B113" i="2"/>
  <c r="A113" i="2"/>
  <c r="V112" i="2"/>
  <c r="T112" i="2"/>
  <c r="R112" i="2"/>
  <c r="D112" i="2"/>
  <c r="C112" i="2"/>
  <c r="B112" i="2"/>
  <c r="A112" i="2"/>
  <c r="V111" i="2"/>
  <c r="T111" i="2"/>
  <c r="M111" i="2"/>
  <c r="D111" i="2"/>
  <c r="C111" i="2"/>
  <c r="B111" i="2"/>
  <c r="A111" i="2"/>
  <c r="P111" i="2" s="1"/>
  <c r="V110" i="2"/>
  <c r="U110" i="2"/>
  <c r="T110" i="2"/>
  <c r="S110" i="2"/>
  <c r="R110" i="2"/>
  <c r="Q110" i="2"/>
  <c r="P110" i="2"/>
  <c r="O110" i="2"/>
  <c r="N110" i="2"/>
  <c r="K110" i="2"/>
  <c r="J110" i="2"/>
  <c r="I110" i="2"/>
  <c r="H110" i="2"/>
  <c r="G110" i="2"/>
  <c r="F110" i="2"/>
  <c r="E110" i="2"/>
  <c r="D110" i="2"/>
  <c r="C110" i="2"/>
  <c r="B110" i="2"/>
  <c r="A110" i="2"/>
  <c r="M110" i="2" s="1"/>
  <c r="V109" i="2"/>
  <c r="T109" i="2"/>
  <c r="S109" i="2"/>
  <c r="R109" i="2"/>
  <c r="Q109" i="2"/>
  <c r="P109" i="2"/>
  <c r="O109" i="2"/>
  <c r="F109" i="2"/>
  <c r="E109" i="2"/>
  <c r="D109" i="2"/>
  <c r="C109" i="2"/>
  <c r="B109" i="2"/>
  <c r="A109" i="2"/>
  <c r="V108" i="2"/>
  <c r="T108" i="2"/>
  <c r="O108" i="2"/>
  <c r="N108" i="2"/>
  <c r="M108" i="2"/>
  <c r="L108" i="2"/>
  <c r="K108" i="2"/>
  <c r="J108" i="2"/>
  <c r="D108" i="2"/>
  <c r="C108" i="2"/>
  <c r="B108" i="2"/>
  <c r="A108" i="2"/>
  <c r="V107" i="2"/>
  <c r="U107" i="2"/>
  <c r="T107" i="2"/>
  <c r="Q107" i="2"/>
  <c r="P107" i="2"/>
  <c r="I107" i="2"/>
  <c r="H107" i="2"/>
  <c r="E107" i="2"/>
  <c r="D107" i="2"/>
  <c r="C107" i="2"/>
  <c r="B107" i="2"/>
  <c r="A107" i="2"/>
  <c r="V106" i="2"/>
  <c r="T106" i="2"/>
  <c r="O106" i="2"/>
  <c r="N106" i="2"/>
  <c r="M106" i="2"/>
  <c r="L106" i="2"/>
  <c r="K106" i="2"/>
  <c r="J106" i="2"/>
  <c r="D106" i="2"/>
  <c r="C106" i="2"/>
  <c r="B106" i="2"/>
  <c r="A106" i="2"/>
  <c r="V105" i="2"/>
  <c r="U105" i="2"/>
  <c r="T105" i="2"/>
  <c r="S105" i="2"/>
  <c r="R105" i="2"/>
  <c r="K105" i="2"/>
  <c r="J105" i="2"/>
  <c r="I105" i="2"/>
  <c r="H105" i="2"/>
  <c r="G105" i="2"/>
  <c r="F105" i="2"/>
  <c r="E105" i="2"/>
  <c r="D105" i="2"/>
  <c r="C105" i="2"/>
  <c r="B105" i="2"/>
  <c r="A105" i="2"/>
  <c r="L105" i="2" s="1"/>
  <c r="V104" i="2"/>
  <c r="U104" i="2"/>
  <c r="T104" i="2"/>
  <c r="S104" i="2"/>
  <c r="R104" i="2"/>
  <c r="Q104" i="2"/>
  <c r="P104" i="2"/>
  <c r="O104" i="2"/>
  <c r="N104" i="2"/>
  <c r="K104" i="2"/>
  <c r="J104" i="2"/>
  <c r="I104" i="2"/>
  <c r="H104" i="2"/>
  <c r="G104" i="2"/>
  <c r="F104" i="2"/>
  <c r="E104" i="2"/>
  <c r="D104" i="2"/>
  <c r="C104" i="2"/>
  <c r="B104" i="2"/>
  <c r="A104" i="2"/>
  <c r="M104" i="2" s="1"/>
  <c r="V103" i="2"/>
  <c r="T103" i="2"/>
  <c r="P103" i="2"/>
  <c r="O103" i="2"/>
  <c r="N103" i="2"/>
  <c r="M103" i="2"/>
  <c r="L103" i="2"/>
  <c r="I103" i="2"/>
  <c r="D103" i="2"/>
  <c r="C103" i="2"/>
  <c r="B103" i="2"/>
  <c r="A103" i="2"/>
  <c r="V102" i="2"/>
  <c r="T102" i="2"/>
  <c r="S102" i="2"/>
  <c r="R102" i="2"/>
  <c r="Q102" i="2"/>
  <c r="P102" i="2"/>
  <c r="N102" i="2"/>
  <c r="M102" i="2"/>
  <c r="L102" i="2"/>
  <c r="K102" i="2"/>
  <c r="J102" i="2"/>
  <c r="G102" i="2"/>
  <c r="F102" i="2"/>
  <c r="E102" i="2"/>
  <c r="D102" i="2"/>
  <c r="C102" i="2"/>
  <c r="B102" i="2"/>
  <c r="A102" i="2"/>
  <c r="V101" i="2"/>
  <c r="T101" i="2"/>
  <c r="D101" i="2"/>
  <c r="C101" i="2"/>
  <c r="B101" i="2"/>
  <c r="A101" i="2"/>
  <c r="Q101" i="2" s="1"/>
  <c r="V100" i="2"/>
  <c r="U100" i="2"/>
  <c r="T100" i="2"/>
  <c r="S100" i="2"/>
  <c r="L100" i="2"/>
  <c r="K100" i="2"/>
  <c r="J100" i="2"/>
  <c r="I100" i="2"/>
  <c r="H100" i="2"/>
  <c r="G100" i="2"/>
  <c r="F100" i="2"/>
  <c r="D100" i="2"/>
  <c r="C100" i="2"/>
  <c r="B100" i="2"/>
  <c r="A100" i="2"/>
  <c r="M100" i="2" s="1"/>
  <c r="V99" i="2"/>
  <c r="T99" i="2"/>
  <c r="R99" i="2"/>
  <c r="Q99" i="2"/>
  <c r="P99" i="2"/>
  <c r="M99" i="2"/>
  <c r="F99" i="2"/>
  <c r="E99" i="2"/>
  <c r="D99" i="2"/>
  <c r="C99" i="2"/>
  <c r="B99" i="2"/>
  <c r="A99" i="2"/>
  <c r="S99" i="2" s="1"/>
  <c r="V98" i="2"/>
  <c r="U98" i="2"/>
  <c r="T98" i="2"/>
  <c r="S98" i="2"/>
  <c r="R98" i="2"/>
  <c r="Q98" i="2"/>
  <c r="P98" i="2"/>
  <c r="O98" i="2"/>
  <c r="N98" i="2"/>
  <c r="K98" i="2"/>
  <c r="J98" i="2"/>
  <c r="I98" i="2"/>
  <c r="H98" i="2"/>
  <c r="G98" i="2"/>
  <c r="F98" i="2"/>
  <c r="E98" i="2"/>
  <c r="D98" i="2"/>
  <c r="C98" i="2"/>
  <c r="B98" i="2"/>
  <c r="A98" i="2"/>
  <c r="M98" i="2" s="1"/>
  <c r="V97" i="2"/>
  <c r="U97" i="2"/>
  <c r="T97" i="2"/>
  <c r="S97" i="2"/>
  <c r="R97" i="2"/>
  <c r="M97" i="2"/>
  <c r="L97" i="2"/>
  <c r="I97" i="2"/>
  <c r="H97" i="2"/>
  <c r="G97" i="2"/>
  <c r="F97" i="2"/>
  <c r="E97" i="2"/>
  <c r="D97" i="2"/>
  <c r="C97" i="2"/>
  <c r="B97" i="2"/>
  <c r="A97" i="2"/>
  <c r="N97" i="2" s="1"/>
  <c r="V96" i="2"/>
  <c r="T96" i="2"/>
  <c r="S96" i="2"/>
  <c r="R96" i="2"/>
  <c r="Q96" i="2"/>
  <c r="P96" i="2"/>
  <c r="O96" i="2"/>
  <c r="N96" i="2"/>
  <c r="E96" i="2"/>
  <c r="D96" i="2"/>
  <c r="C96" i="2"/>
  <c r="B96" i="2"/>
  <c r="A96" i="2"/>
  <c r="V95" i="2"/>
  <c r="U95" i="2"/>
  <c r="T95" i="2"/>
  <c r="N95" i="2"/>
  <c r="M95" i="2"/>
  <c r="L95" i="2"/>
  <c r="K95" i="2"/>
  <c r="J95" i="2"/>
  <c r="I95" i="2"/>
  <c r="H95" i="2"/>
  <c r="E95" i="2"/>
  <c r="D95" i="2"/>
  <c r="C95" i="2"/>
  <c r="B95" i="2"/>
  <c r="A95" i="2"/>
  <c r="V94" i="2"/>
  <c r="T94" i="2"/>
  <c r="R94" i="2"/>
  <c r="D94" i="2"/>
  <c r="C94" i="2"/>
  <c r="B94" i="2"/>
  <c r="A94" i="2"/>
  <c r="F94" i="2" s="1"/>
  <c r="V93" i="2"/>
  <c r="T93" i="2"/>
  <c r="M93" i="2"/>
  <c r="D93" i="2"/>
  <c r="C93" i="2"/>
  <c r="B93" i="2"/>
  <c r="A93" i="2"/>
  <c r="V92" i="2"/>
  <c r="U92" i="2"/>
  <c r="T92" i="2"/>
  <c r="S92" i="2"/>
  <c r="R92" i="2"/>
  <c r="Q92" i="2"/>
  <c r="P92" i="2"/>
  <c r="O92" i="2"/>
  <c r="N92" i="2"/>
  <c r="K92" i="2"/>
  <c r="J92" i="2"/>
  <c r="I92" i="2"/>
  <c r="H92" i="2"/>
  <c r="G92" i="2"/>
  <c r="F92" i="2"/>
  <c r="E92" i="2"/>
  <c r="D92" i="2"/>
  <c r="C92" i="2"/>
  <c r="B92" i="2"/>
  <c r="A92" i="2"/>
  <c r="M92" i="2" s="1"/>
  <c r="V91" i="2"/>
  <c r="T91" i="2"/>
  <c r="S91" i="2"/>
  <c r="R91" i="2"/>
  <c r="Q91" i="2"/>
  <c r="P91" i="2"/>
  <c r="O91" i="2"/>
  <c r="F91" i="2"/>
  <c r="E91" i="2"/>
  <c r="D91" i="2"/>
  <c r="C91" i="2"/>
  <c r="B91" i="2"/>
  <c r="A91" i="2"/>
  <c r="V90" i="2"/>
  <c r="T90" i="2"/>
  <c r="O90" i="2"/>
  <c r="N90" i="2"/>
  <c r="M90" i="2"/>
  <c r="L90" i="2"/>
  <c r="K90" i="2"/>
  <c r="J90" i="2"/>
  <c r="D90" i="2"/>
  <c r="C90" i="2"/>
  <c r="B90" i="2"/>
  <c r="A90" i="2"/>
  <c r="V89" i="2"/>
  <c r="U89" i="2"/>
  <c r="T89" i="2"/>
  <c r="Q89" i="2"/>
  <c r="P89" i="2"/>
  <c r="I89" i="2"/>
  <c r="H89" i="2"/>
  <c r="E89" i="2"/>
  <c r="D89" i="2"/>
  <c r="C89" i="2"/>
  <c r="B89" i="2"/>
  <c r="A89" i="2"/>
  <c r="V88" i="2"/>
  <c r="T88" i="2"/>
  <c r="O88" i="2"/>
  <c r="N88" i="2"/>
  <c r="M88" i="2"/>
  <c r="L88" i="2"/>
  <c r="K88" i="2"/>
  <c r="J88" i="2"/>
  <c r="D88" i="2"/>
  <c r="C88" i="2"/>
  <c r="B88" i="2"/>
  <c r="A88" i="2"/>
  <c r="V87" i="2"/>
  <c r="U87" i="2"/>
  <c r="T87" i="2"/>
  <c r="S87" i="2"/>
  <c r="R87" i="2"/>
  <c r="K87" i="2"/>
  <c r="J87" i="2"/>
  <c r="I87" i="2"/>
  <c r="H87" i="2"/>
  <c r="G87" i="2"/>
  <c r="F87" i="2"/>
  <c r="E87" i="2"/>
  <c r="D87" i="2"/>
  <c r="C87" i="2"/>
  <c r="B87" i="2"/>
  <c r="A87" i="2"/>
  <c r="L87" i="2" s="1"/>
  <c r="V86" i="2"/>
  <c r="T86" i="2"/>
  <c r="S86" i="2"/>
  <c r="R86" i="2"/>
  <c r="Q86" i="2"/>
  <c r="P86" i="2"/>
  <c r="O86" i="2"/>
  <c r="G86" i="2"/>
  <c r="F86" i="2"/>
  <c r="E86" i="2"/>
  <c r="D86" i="2"/>
  <c r="C86" i="2"/>
  <c r="B86" i="2"/>
  <c r="A86" i="2"/>
  <c r="L86" i="2" s="1"/>
  <c r="V85" i="2"/>
  <c r="T85" i="2"/>
  <c r="D85" i="2"/>
  <c r="C85" i="2"/>
  <c r="B85" i="2"/>
  <c r="A85" i="2"/>
  <c r="Q85" i="2" s="1"/>
  <c r="V84" i="2"/>
  <c r="T84" i="2"/>
  <c r="D84" i="2"/>
  <c r="C84" i="2"/>
  <c r="B84" i="2"/>
  <c r="A84" i="2"/>
  <c r="V83" i="2"/>
  <c r="U83" i="2"/>
  <c r="T83" i="2"/>
  <c r="S83" i="2"/>
  <c r="Q83" i="2"/>
  <c r="P83" i="2"/>
  <c r="O83" i="2"/>
  <c r="M83" i="2"/>
  <c r="L83" i="2"/>
  <c r="K83" i="2"/>
  <c r="J83" i="2"/>
  <c r="I83" i="2"/>
  <c r="H83" i="2"/>
  <c r="G83" i="2"/>
  <c r="E83" i="2"/>
  <c r="D83" i="2"/>
  <c r="C83" i="2"/>
  <c r="B83" i="2"/>
  <c r="A83" i="2"/>
  <c r="V82" i="2"/>
  <c r="T82" i="2"/>
  <c r="Q82" i="2"/>
  <c r="O82" i="2"/>
  <c r="D82" i="2"/>
  <c r="C82" i="2"/>
  <c r="B82" i="2"/>
  <c r="A82" i="2"/>
  <c r="R82" i="2" s="1"/>
  <c r="V81" i="2"/>
  <c r="T81" i="2"/>
  <c r="P81" i="2"/>
  <c r="D81" i="2"/>
  <c r="C81" i="2"/>
  <c r="B81" i="2"/>
  <c r="A81" i="2"/>
  <c r="O81" i="2" s="1"/>
  <c r="V80" i="2"/>
  <c r="U80" i="2"/>
  <c r="T80" i="2"/>
  <c r="S80" i="2"/>
  <c r="M80" i="2"/>
  <c r="K80" i="2"/>
  <c r="J80" i="2"/>
  <c r="I80" i="2"/>
  <c r="H80" i="2"/>
  <c r="G80" i="2"/>
  <c r="F80" i="2"/>
  <c r="D80" i="2"/>
  <c r="C80" i="2"/>
  <c r="B80" i="2"/>
  <c r="A80" i="2"/>
  <c r="L80" i="2" s="1"/>
  <c r="V79" i="2"/>
  <c r="U79" i="2"/>
  <c r="T79" i="2"/>
  <c r="S79" i="2"/>
  <c r="R79" i="2"/>
  <c r="Q79" i="2"/>
  <c r="P79" i="2"/>
  <c r="O79" i="2"/>
  <c r="M79" i="2"/>
  <c r="L79" i="2"/>
  <c r="K79" i="2"/>
  <c r="I79" i="2"/>
  <c r="H79" i="2"/>
  <c r="G79" i="2"/>
  <c r="F79" i="2"/>
  <c r="E79" i="2"/>
  <c r="D79" i="2"/>
  <c r="C79" i="2"/>
  <c r="B79" i="2"/>
  <c r="A79" i="2"/>
  <c r="J79" i="2" s="1"/>
  <c r="V78" i="2"/>
  <c r="T78" i="2"/>
  <c r="F78" i="2"/>
  <c r="D78" i="2"/>
  <c r="C78" i="2"/>
  <c r="B78" i="2"/>
  <c r="A78" i="2"/>
  <c r="R78" i="2" s="1"/>
  <c r="V77" i="2"/>
  <c r="T77" i="2"/>
  <c r="K77" i="2"/>
  <c r="J77" i="2"/>
  <c r="I77" i="2"/>
  <c r="D77" i="2"/>
  <c r="C77" i="2"/>
  <c r="B77" i="2"/>
  <c r="A77" i="2"/>
  <c r="V76" i="2"/>
  <c r="U76" i="2"/>
  <c r="T76" i="2"/>
  <c r="S76" i="2"/>
  <c r="R76" i="2"/>
  <c r="L76" i="2"/>
  <c r="K76" i="2"/>
  <c r="J76" i="2"/>
  <c r="I76" i="2"/>
  <c r="H76" i="2"/>
  <c r="G76" i="2"/>
  <c r="F76" i="2"/>
  <c r="E76" i="2"/>
  <c r="D76" i="2"/>
  <c r="C76" i="2"/>
  <c r="B76" i="2"/>
  <c r="A76" i="2"/>
  <c r="P76" i="2" s="1"/>
  <c r="V75" i="2"/>
  <c r="U75" i="2"/>
  <c r="T75" i="2"/>
  <c r="S75" i="2"/>
  <c r="R75" i="2"/>
  <c r="Q75" i="2"/>
  <c r="P75" i="2"/>
  <c r="O75" i="2"/>
  <c r="K75" i="2"/>
  <c r="J75" i="2"/>
  <c r="I75" i="2"/>
  <c r="H75" i="2"/>
  <c r="G75" i="2"/>
  <c r="F75" i="2"/>
  <c r="E75" i="2"/>
  <c r="D75" i="2"/>
  <c r="C75" i="2"/>
  <c r="B75" i="2"/>
  <c r="A75" i="2"/>
  <c r="N75" i="2" s="1"/>
  <c r="V74" i="2"/>
  <c r="T74" i="2"/>
  <c r="K74" i="2"/>
  <c r="D74" i="2"/>
  <c r="C74" i="2"/>
  <c r="B74" i="2"/>
  <c r="A74" i="2"/>
  <c r="Q74" i="2" s="1"/>
  <c r="V73" i="2"/>
  <c r="U73" i="2"/>
  <c r="T73" i="2"/>
  <c r="R73" i="2"/>
  <c r="Q73" i="2"/>
  <c r="P73" i="2"/>
  <c r="L73" i="2"/>
  <c r="K73" i="2"/>
  <c r="J73" i="2"/>
  <c r="I73" i="2"/>
  <c r="F73" i="2"/>
  <c r="E73" i="2"/>
  <c r="D73" i="2"/>
  <c r="C73" i="2"/>
  <c r="B73" i="2"/>
  <c r="A73" i="2"/>
  <c r="N73" i="2" s="1"/>
  <c r="V72" i="2"/>
  <c r="T72" i="2"/>
  <c r="P72" i="2"/>
  <c r="L72" i="2"/>
  <c r="K72" i="2"/>
  <c r="D72" i="2"/>
  <c r="C72" i="2"/>
  <c r="B72" i="2"/>
  <c r="A72" i="2"/>
  <c r="N72" i="2" s="1"/>
  <c r="V71" i="2"/>
  <c r="U71" i="2"/>
  <c r="T71" i="2"/>
  <c r="S71" i="2"/>
  <c r="R71" i="2"/>
  <c r="Q71" i="2"/>
  <c r="N71" i="2"/>
  <c r="L71" i="2"/>
  <c r="K71" i="2"/>
  <c r="J71" i="2"/>
  <c r="I71" i="2"/>
  <c r="H71" i="2"/>
  <c r="G71" i="2"/>
  <c r="F71" i="2"/>
  <c r="E71" i="2"/>
  <c r="D71" i="2"/>
  <c r="C71" i="2"/>
  <c r="B71" i="2"/>
  <c r="A71" i="2"/>
  <c r="V70" i="2"/>
  <c r="U70" i="2"/>
  <c r="T70" i="2"/>
  <c r="S70" i="2"/>
  <c r="R70" i="2"/>
  <c r="Q70" i="2"/>
  <c r="P70" i="2"/>
  <c r="O70" i="2"/>
  <c r="N70" i="2"/>
  <c r="L70" i="2"/>
  <c r="K70" i="2"/>
  <c r="J70" i="2"/>
  <c r="I70" i="2"/>
  <c r="H70" i="2"/>
  <c r="G70" i="2"/>
  <c r="F70" i="2"/>
  <c r="E70" i="2"/>
  <c r="D70" i="2"/>
  <c r="C70" i="2"/>
  <c r="B70" i="2"/>
  <c r="A70" i="2"/>
  <c r="M70" i="2" s="1"/>
  <c r="V69" i="2"/>
  <c r="T69" i="2"/>
  <c r="Q69" i="2"/>
  <c r="M69" i="2"/>
  <c r="J69" i="2"/>
  <c r="D69" i="2"/>
  <c r="C69" i="2"/>
  <c r="B69" i="2"/>
  <c r="A69" i="2"/>
  <c r="N69" i="2" s="1"/>
  <c r="V68" i="2"/>
  <c r="T68" i="2"/>
  <c r="S68" i="2"/>
  <c r="R68" i="2"/>
  <c r="Q68" i="2"/>
  <c r="P68" i="2"/>
  <c r="N68" i="2"/>
  <c r="M68" i="2"/>
  <c r="L68" i="2"/>
  <c r="K68" i="2"/>
  <c r="H68" i="2"/>
  <c r="G68" i="2"/>
  <c r="F68" i="2"/>
  <c r="E68" i="2"/>
  <c r="D68" i="2"/>
  <c r="C68" i="2"/>
  <c r="B68" i="2"/>
  <c r="A68" i="2"/>
  <c r="V67" i="2"/>
  <c r="T67" i="2"/>
  <c r="D67" i="2"/>
  <c r="C67" i="2"/>
  <c r="B67" i="2"/>
  <c r="A67" i="2"/>
  <c r="K67" i="2" s="1"/>
  <c r="V66" i="2"/>
  <c r="U66" i="2"/>
  <c r="T66" i="2"/>
  <c r="N66" i="2"/>
  <c r="M66" i="2"/>
  <c r="L66" i="2"/>
  <c r="K66" i="2"/>
  <c r="J66" i="2"/>
  <c r="I66" i="2"/>
  <c r="H66" i="2"/>
  <c r="G66" i="2"/>
  <c r="D66" i="2"/>
  <c r="C66" i="2"/>
  <c r="B66" i="2"/>
  <c r="A66" i="2"/>
  <c r="V65" i="2"/>
  <c r="U65" i="2"/>
  <c r="T65" i="2"/>
  <c r="S65" i="2"/>
  <c r="R65" i="2"/>
  <c r="Q65" i="2"/>
  <c r="N65" i="2"/>
  <c r="G65" i="2"/>
  <c r="F65" i="2"/>
  <c r="E65" i="2"/>
  <c r="D65" i="2"/>
  <c r="C65" i="2"/>
  <c r="B65" i="2"/>
  <c r="A65" i="2"/>
  <c r="V64" i="2"/>
  <c r="U64" i="2"/>
  <c r="T64" i="2"/>
  <c r="S64" i="2"/>
  <c r="R64" i="2"/>
  <c r="Q64" i="2"/>
  <c r="P64" i="2"/>
  <c r="O64" i="2"/>
  <c r="N64" i="2"/>
  <c r="L64" i="2"/>
  <c r="K64" i="2"/>
  <c r="J64" i="2"/>
  <c r="I64" i="2"/>
  <c r="H64" i="2"/>
  <c r="G64" i="2"/>
  <c r="F64" i="2"/>
  <c r="E64" i="2"/>
  <c r="D64" i="2"/>
  <c r="C64" i="2"/>
  <c r="B64" i="2"/>
  <c r="A64" i="2"/>
  <c r="M64" i="2" s="1"/>
  <c r="V63" i="2"/>
  <c r="U63" i="2"/>
  <c r="T63" i="2"/>
  <c r="N63" i="2"/>
  <c r="M63" i="2"/>
  <c r="J63" i="2"/>
  <c r="I63" i="2"/>
  <c r="H63" i="2"/>
  <c r="G63" i="2"/>
  <c r="F63" i="2"/>
  <c r="D63" i="2"/>
  <c r="C63" i="2"/>
  <c r="B63" i="2"/>
  <c r="A63" i="2"/>
  <c r="V62" i="2"/>
  <c r="T62" i="2"/>
  <c r="S62" i="2"/>
  <c r="R62" i="2"/>
  <c r="Q62" i="2"/>
  <c r="P62" i="2"/>
  <c r="G62" i="2"/>
  <c r="F62" i="2"/>
  <c r="E62" i="2"/>
  <c r="D62" i="2"/>
  <c r="C62" i="2"/>
  <c r="B62" i="2"/>
  <c r="A62" i="2"/>
  <c r="V61" i="2"/>
  <c r="T61" i="2"/>
  <c r="P61" i="2"/>
  <c r="L61" i="2"/>
  <c r="K61" i="2"/>
  <c r="D61" i="2"/>
  <c r="C61" i="2"/>
  <c r="B61" i="2"/>
  <c r="A61" i="2"/>
  <c r="N61" i="2" s="1"/>
  <c r="V60" i="2"/>
  <c r="U60" i="2"/>
  <c r="T60" i="2"/>
  <c r="S60" i="2"/>
  <c r="P60" i="2"/>
  <c r="L60" i="2"/>
  <c r="K60" i="2"/>
  <c r="J60" i="2"/>
  <c r="I60" i="2"/>
  <c r="H60" i="2"/>
  <c r="G60" i="2"/>
  <c r="D60" i="2"/>
  <c r="C60" i="2"/>
  <c r="B60" i="2"/>
  <c r="A60" i="2"/>
  <c r="N60" i="2" s="1"/>
  <c r="V59" i="2"/>
  <c r="T59" i="2"/>
  <c r="R59" i="2"/>
  <c r="Q59" i="2"/>
  <c r="N59" i="2"/>
  <c r="L59" i="2"/>
  <c r="K59" i="2"/>
  <c r="D59" i="2"/>
  <c r="C59" i="2"/>
  <c r="B59" i="2"/>
  <c r="A59" i="2"/>
  <c r="J59" i="2" s="1"/>
  <c r="V58" i="2"/>
  <c r="U58" i="2"/>
  <c r="T58" i="2"/>
  <c r="S58" i="2"/>
  <c r="R58" i="2"/>
  <c r="Q58" i="2"/>
  <c r="P58" i="2"/>
  <c r="O58" i="2"/>
  <c r="N58" i="2"/>
  <c r="L58" i="2"/>
  <c r="K58" i="2"/>
  <c r="J58" i="2"/>
  <c r="I58" i="2"/>
  <c r="H58" i="2"/>
  <c r="G58" i="2"/>
  <c r="F58" i="2"/>
  <c r="E58" i="2"/>
  <c r="D58" i="2"/>
  <c r="C58" i="2"/>
  <c r="B58" i="2"/>
  <c r="A58" i="2"/>
  <c r="M58" i="2" s="1"/>
  <c r="V57" i="2"/>
  <c r="U57" i="2"/>
  <c r="T57" i="2"/>
  <c r="S57" i="2"/>
  <c r="R57" i="2"/>
  <c r="Q57" i="2"/>
  <c r="P57" i="2"/>
  <c r="M57" i="2"/>
  <c r="J57" i="2"/>
  <c r="I57" i="2"/>
  <c r="H57" i="2"/>
  <c r="G57" i="2"/>
  <c r="F57" i="2"/>
  <c r="E57" i="2"/>
  <c r="D57" i="2"/>
  <c r="C57" i="2"/>
  <c r="B57" i="2"/>
  <c r="A57" i="2"/>
  <c r="N57" i="2" s="1"/>
  <c r="V56" i="2"/>
  <c r="T56" i="2"/>
  <c r="R56" i="2"/>
  <c r="Q56" i="2"/>
  <c r="P56" i="2"/>
  <c r="N56" i="2"/>
  <c r="M56" i="2"/>
  <c r="D56" i="2"/>
  <c r="C56" i="2"/>
  <c r="B56" i="2"/>
  <c r="A56" i="2"/>
  <c r="L56" i="2" s="1"/>
  <c r="V55" i="2"/>
  <c r="U55" i="2"/>
  <c r="T55" i="2"/>
  <c r="N55" i="2"/>
  <c r="M55" i="2"/>
  <c r="L55" i="2"/>
  <c r="K55" i="2"/>
  <c r="J55" i="2"/>
  <c r="I55" i="2"/>
  <c r="F55" i="2"/>
  <c r="E55" i="2"/>
  <c r="D55" i="2"/>
  <c r="C55" i="2"/>
  <c r="B55" i="2"/>
  <c r="A55" i="2"/>
  <c r="V54" i="2"/>
  <c r="T54" i="2"/>
  <c r="O54" i="2"/>
  <c r="D54" i="2"/>
  <c r="C54" i="2"/>
  <c r="B54" i="2"/>
  <c r="A54" i="2"/>
  <c r="I54" i="2" s="1"/>
  <c r="V53" i="2"/>
  <c r="T53" i="2"/>
  <c r="I53" i="2"/>
  <c r="D53" i="2"/>
  <c r="C53" i="2"/>
  <c r="B53" i="2"/>
  <c r="A53" i="2"/>
  <c r="R53" i="2" s="1"/>
  <c r="V52" i="2"/>
  <c r="U52" i="2"/>
  <c r="T52" i="2"/>
  <c r="S52" i="2"/>
  <c r="R52" i="2"/>
  <c r="Q52" i="2"/>
  <c r="P52" i="2"/>
  <c r="O52" i="2"/>
  <c r="N52" i="2"/>
  <c r="L52" i="2"/>
  <c r="K52" i="2"/>
  <c r="J52" i="2"/>
  <c r="I52" i="2"/>
  <c r="H52" i="2"/>
  <c r="G52" i="2"/>
  <c r="F52" i="2"/>
  <c r="E52" i="2"/>
  <c r="D52" i="2"/>
  <c r="C52" i="2"/>
  <c r="B52" i="2"/>
  <c r="A52" i="2"/>
  <c r="M52" i="2" s="1"/>
  <c r="V51" i="2"/>
  <c r="T51" i="2"/>
  <c r="S51" i="2"/>
  <c r="R51" i="2"/>
  <c r="Q51" i="2"/>
  <c r="P51" i="2"/>
  <c r="O51" i="2"/>
  <c r="G51" i="2"/>
  <c r="F51" i="2"/>
  <c r="E51" i="2"/>
  <c r="D51" i="2"/>
  <c r="C51" i="2"/>
  <c r="B51" i="2"/>
  <c r="A51" i="2"/>
  <c r="K51" i="2" s="1"/>
  <c r="V50" i="2"/>
  <c r="T50" i="2"/>
  <c r="P50" i="2"/>
  <c r="L50" i="2"/>
  <c r="K50" i="2"/>
  <c r="D50" i="2"/>
  <c r="C50" i="2"/>
  <c r="B50" i="2"/>
  <c r="A50" i="2"/>
  <c r="M50" i="2" s="1"/>
  <c r="V49" i="2"/>
  <c r="U49" i="2"/>
  <c r="T49" i="2"/>
  <c r="R49" i="2"/>
  <c r="M49" i="2"/>
  <c r="L49" i="2"/>
  <c r="K49" i="2"/>
  <c r="J49" i="2"/>
  <c r="I49" i="2"/>
  <c r="H49" i="2"/>
  <c r="F49" i="2"/>
  <c r="E49" i="2"/>
  <c r="D49" i="2"/>
  <c r="C49" i="2"/>
  <c r="B49" i="2"/>
  <c r="A49" i="2"/>
  <c r="V48" i="2"/>
  <c r="U48" i="2"/>
  <c r="T48" i="2"/>
  <c r="S48" i="2"/>
  <c r="R48" i="2"/>
  <c r="P48" i="2"/>
  <c r="O48" i="2"/>
  <c r="H48" i="2"/>
  <c r="G48" i="2"/>
  <c r="F48" i="2"/>
  <c r="D48" i="2"/>
  <c r="C48" i="2"/>
  <c r="B48" i="2"/>
  <c r="A48" i="2"/>
  <c r="V47" i="2"/>
  <c r="T47" i="2"/>
  <c r="Q47" i="2"/>
  <c r="P47" i="2"/>
  <c r="N47" i="2"/>
  <c r="L47" i="2"/>
  <c r="K47" i="2"/>
  <c r="D47" i="2"/>
  <c r="C47" i="2"/>
  <c r="B47" i="2"/>
  <c r="A47" i="2"/>
  <c r="O47" i="2" s="1"/>
  <c r="V46" i="2"/>
  <c r="U46" i="2"/>
  <c r="T46" i="2"/>
  <c r="S46" i="2"/>
  <c r="R46" i="2"/>
  <c r="Q46" i="2"/>
  <c r="P46" i="2"/>
  <c r="O46" i="2"/>
  <c r="N46" i="2"/>
  <c r="L46" i="2"/>
  <c r="K46" i="2"/>
  <c r="J46" i="2"/>
  <c r="I46" i="2"/>
  <c r="H46" i="2"/>
  <c r="G46" i="2"/>
  <c r="F46" i="2"/>
  <c r="E46" i="2"/>
  <c r="D46" i="2"/>
  <c r="C46" i="2"/>
  <c r="B46" i="2"/>
  <c r="A46" i="2"/>
  <c r="M46" i="2" s="1"/>
  <c r="V45" i="2"/>
  <c r="U45" i="2"/>
  <c r="T45" i="2"/>
  <c r="S45" i="2"/>
  <c r="R45" i="2"/>
  <c r="Q45" i="2"/>
  <c r="P45" i="2"/>
  <c r="O45" i="2"/>
  <c r="M45" i="2"/>
  <c r="L45" i="2"/>
  <c r="J45" i="2"/>
  <c r="I45" i="2"/>
  <c r="H45" i="2"/>
  <c r="G45" i="2"/>
  <c r="F45" i="2"/>
  <c r="E45" i="2"/>
  <c r="D45" i="2"/>
  <c r="C45" i="2"/>
  <c r="B45" i="2"/>
  <c r="A45" i="2"/>
  <c r="K45" i="2" s="1"/>
  <c r="V44" i="2"/>
  <c r="T44" i="2"/>
  <c r="S44" i="2"/>
  <c r="O44" i="2"/>
  <c r="F44" i="2"/>
  <c r="D44" i="2"/>
  <c r="C44" i="2"/>
  <c r="B44" i="2"/>
  <c r="A44" i="2"/>
  <c r="M44" i="2" s="1"/>
  <c r="V43" i="2"/>
  <c r="T43" i="2"/>
  <c r="O43" i="2"/>
  <c r="K43" i="2"/>
  <c r="J43" i="2"/>
  <c r="D43" i="2"/>
  <c r="C43" i="2"/>
  <c r="B43" i="2"/>
  <c r="A43" i="2"/>
  <c r="M43" i="2" s="1"/>
  <c r="V42" i="2"/>
  <c r="U42" i="2"/>
  <c r="T42" i="2"/>
  <c r="S42" i="2"/>
  <c r="R42" i="2"/>
  <c r="P42" i="2"/>
  <c r="O42" i="2"/>
  <c r="M42" i="2"/>
  <c r="L42" i="2"/>
  <c r="K42" i="2"/>
  <c r="J42" i="2"/>
  <c r="I42" i="2"/>
  <c r="H42" i="2"/>
  <c r="G42" i="2"/>
  <c r="F42" i="2"/>
  <c r="D42" i="2"/>
  <c r="C42" i="2"/>
  <c r="B42" i="2"/>
  <c r="A42" i="2"/>
  <c r="V41" i="2"/>
  <c r="T41" i="2"/>
  <c r="S41" i="2"/>
  <c r="R41" i="2"/>
  <c r="Q41" i="2"/>
  <c r="P41" i="2"/>
  <c r="N41" i="2"/>
  <c r="G41" i="2"/>
  <c r="F41" i="2"/>
  <c r="E41" i="2"/>
  <c r="D41" i="2"/>
  <c r="C41" i="2"/>
  <c r="B41" i="2"/>
  <c r="A41" i="2"/>
  <c r="O41" i="2" s="1"/>
  <c r="V40" i="2"/>
  <c r="U40" i="2"/>
  <c r="T40" i="2"/>
  <c r="S40" i="2"/>
  <c r="R40" i="2"/>
  <c r="Q40" i="2"/>
  <c r="P40" i="2"/>
  <c r="O40" i="2"/>
  <c r="N40" i="2"/>
  <c r="L40" i="2"/>
  <c r="K40" i="2"/>
  <c r="J40" i="2"/>
  <c r="I40" i="2"/>
  <c r="H40" i="2"/>
  <c r="G40" i="2"/>
  <c r="F40" i="2"/>
  <c r="E40" i="2"/>
  <c r="D40" i="2"/>
  <c r="C40" i="2"/>
  <c r="B40" i="2"/>
  <c r="A40" i="2"/>
  <c r="M40" i="2" s="1"/>
  <c r="V39" i="2"/>
  <c r="T39" i="2"/>
  <c r="I39" i="2"/>
  <c r="D39" i="2"/>
  <c r="C39" i="2"/>
  <c r="B39" i="2"/>
  <c r="A39" i="2"/>
  <c r="K39" i="2" s="1"/>
  <c r="V38" i="2"/>
  <c r="T38" i="2"/>
  <c r="S38" i="2"/>
  <c r="R38" i="2"/>
  <c r="Q38" i="2"/>
  <c r="P38" i="2"/>
  <c r="O38" i="2"/>
  <c r="L38" i="2"/>
  <c r="K38" i="2"/>
  <c r="J38" i="2"/>
  <c r="H38" i="2"/>
  <c r="G38" i="2"/>
  <c r="F38" i="2"/>
  <c r="E38" i="2"/>
  <c r="D38" i="2"/>
  <c r="C38" i="2"/>
  <c r="B38" i="2"/>
  <c r="A38" i="2"/>
  <c r="M38" i="2" s="1"/>
  <c r="V37" i="2"/>
  <c r="T37" i="2"/>
  <c r="D37" i="2"/>
  <c r="C37" i="2"/>
  <c r="B37" i="2"/>
  <c r="A37" i="2"/>
  <c r="Q37" i="2" s="1"/>
  <c r="V36" i="2"/>
  <c r="T36" i="2"/>
  <c r="N36" i="2"/>
  <c r="J36" i="2"/>
  <c r="D36" i="2"/>
  <c r="C36" i="2"/>
  <c r="B36" i="2"/>
  <c r="A36" i="2"/>
  <c r="V35" i="2"/>
  <c r="U35" i="2"/>
  <c r="T35" i="2"/>
  <c r="S35" i="2"/>
  <c r="R35" i="2"/>
  <c r="Q35" i="2"/>
  <c r="P35" i="2"/>
  <c r="N35" i="2"/>
  <c r="L35" i="2"/>
  <c r="K35" i="2"/>
  <c r="J35" i="2"/>
  <c r="I35" i="2"/>
  <c r="H35" i="2"/>
  <c r="G35" i="2"/>
  <c r="F35" i="2"/>
  <c r="E35" i="2"/>
  <c r="D35" i="2"/>
  <c r="C35" i="2"/>
  <c r="B35" i="2"/>
  <c r="A35" i="2"/>
  <c r="O35" i="2" s="1"/>
  <c r="V34" i="2"/>
  <c r="U34" i="2"/>
  <c r="T34" i="2"/>
  <c r="S34" i="2"/>
  <c r="R34" i="2"/>
  <c r="Q34" i="2"/>
  <c r="P34" i="2"/>
  <c r="O34" i="2"/>
  <c r="N34" i="2"/>
  <c r="L34" i="2"/>
  <c r="K34" i="2"/>
  <c r="J34" i="2"/>
  <c r="I34" i="2"/>
  <c r="H34" i="2"/>
  <c r="G34" i="2"/>
  <c r="F34" i="2"/>
  <c r="E34" i="2"/>
  <c r="D34" i="2"/>
  <c r="C34" i="2"/>
  <c r="B34" i="2"/>
  <c r="A34" i="2"/>
  <c r="M34" i="2" s="1"/>
  <c r="V33" i="2"/>
  <c r="T33" i="2"/>
  <c r="Q33" i="2"/>
  <c r="M33" i="2"/>
  <c r="D33" i="2"/>
  <c r="C33" i="2"/>
  <c r="B33" i="2"/>
  <c r="A33" i="2"/>
  <c r="K33" i="2" s="1"/>
  <c r="V32" i="2"/>
  <c r="T32" i="2"/>
  <c r="S32" i="2"/>
  <c r="M32" i="2"/>
  <c r="L32" i="2"/>
  <c r="K32" i="2"/>
  <c r="J32" i="2"/>
  <c r="H32" i="2"/>
  <c r="G32" i="2"/>
  <c r="F32" i="2"/>
  <c r="D32" i="2"/>
  <c r="C32" i="2"/>
  <c r="B32" i="2"/>
  <c r="A32" i="2"/>
  <c r="V31" i="2"/>
  <c r="U31" i="2"/>
  <c r="T31" i="2"/>
  <c r="R31" i="2"/>
  <c r="Q31" i="2"/>
  <c r="P31" i="2"/>
  <c r="O31" i="2"/>
  <c r="K31" i="2"/>
  <c r="J31" i="2"/>
  <c r="I31" i="2"/>
  <c r="H31" i="2"/>
  <c r="F31" i="2"/>
  <c r="E31" i="2"/>
  <c r="D31" i="2"/>
  <c r="C31" i="2"/>
  <c r="B31" i="2"/>
  <c r="A31" i="2"/>
  <c r="M31" i="2" s="1"/>
  <c r="V30" i="2"/>
  <c r="T30" i="2"/>
  <c r="M30" i="2"/>
  <c r="D30" i="2"/>
  <c r="C30" i="2"/>
  <c r="B30" i="2"/>
  <c r="A30" i="2"/>
  <c r="L30" i="2" s="1"/>
  <c r="V29" i="2"/>
  <c r="T29" i="2"/>
  <c r="J29" i="2"/>
  <c r="I29" i="2"/>
  <c r="D29" i="2"/>
  <c r="C29" i="2"/>
  <c r="B29" i="2"/>
  <c r="A29" i="2"/>
  <c r="O29" i="2" s="1"/>
  <c r="V28" i="2"/>
  <c r="U28" i="2"/>
  <c r="T28" i="2"/>
  <c r="S28" i="2"/>
  <c r="R28" i="2"/>
  <c r="Q28" i="2"/>
  <c r="P28" i="2"/>
  <c r="O28" i="2"/>
  <c r="N28" i="2"/>
  <c r="L28" i="2"/>
  <c r="K28" i="2"/>
  <c r="J28" i="2"/>
  <c r="I28" i="2"/>
  <c r="H28" i="2"/>
  <c r="G28" i="2"/>
  <c r="F28" i="2"/>
  <c r="E28" i="2"/>
  <c r="D28" i="2"/>
  <c r="C28" i="2"/>
  <c r="B28" i="2"/>
  <c r="A28" i="2"/>
  <c r="M28" i="2" s="1"/>
  <c r="V27" i="2"/>
  <c r="T27" i="2"/>
  <c r="S27" i="2"/>
  <c r="R27" i="2"/>
  <c r="Q27" i="2"/>
  <c r="P27" i="2"/>
  <c r="O27" i="2"/>
  <c r="G27" i="2"/>
  <c r="F27" i="2"/>
  <c r="E27" i="2"/>
  <c r="D27" i="2"/>
  <c r="C27" i="2"/>
  <c r="B27" i="2"/>
  <c r="A27" i="2"/>
  <c r="K27" i="2" s="1"/>
  <c r="V26" i="2"/>
  <c r="T26" i="2"/>
  <c r="P26" i="2"/>
  <c r="O26" i="2"/>
  <c r="M26" i="2"/>
  <c r="L26" i="2"/>
  <c r="D26" i="2"/>
  <c r="C26" i="2"/>
  <c r="B26" i="2"/>
  <c r="A26" i="2"/>
  <c r="K26" i="2" s="1"/>
  <c r="V25" i="2"/>
  <c r="U25" i="2"/>
  <c r="T25" i="2"/>
  <c r="R25" i="2"/>
  <c r="M25" i="2"/>
  <c r="L25" i="2"/>
  <c r="K25" i="2"/>
  <c r="J25" i="2"/>
  <c r="I25" i="2"/>
  <c r="H25" i="2"/>
  <c r="F25" i="2"/>
  <c r="E25" i="2"/>
  <c r="D25" i="2"/>
  <c r="C25" i="2"/>
  <c r="B25" i="2"/>
  <c r="A25" i="2"/>
  <c r="V24" i="2"/>
  <c r="U24" i="2"/>
  <c r="T24" i="2"/>
  <c r="S24" i="2"/>
  <c r="R24" i="2"/>
  <c r="P24" i="2"/>
  <c r="O24" i="2"/>
  <c r="H24" i="2"/>
  <c r="G24" i="2"/>
  <c r="F24" i="2"/>
  <c r="D24" i="2"/>
  <c r="C24" i="2"/>
  <c r="B24" i="2"/>
  <c r="A24" i="2"/>
  <c r="V23" i="2"/>
  <c r="T23" i="2"/>
  <c r="L23" i="2"/>
  <c r="D23" i="2"/>
  <c r="C23" i="2"/>
  <c r="B23" i="2"/>
  <c r="A23" i="2"/>
  <c r="O23" i="2" s="1"/>
  <c r="V22" i="2"/>
  <c r="U22" i="2"/>
  <c r="T22" i="2"/>
  <c r="S22" i="2"/>
  <c r="R22" i="2"/>
  <c r="Q22" i="2"/>
  <c r="P22" i="2"/>
  <c r="O22" i="2"/>
  <c r="N22" i="2"/>
  <c r="L22" i="2"/>
  <c r="K22" i="2"/>
  <c r="J22" i="2"/>
  <c r="I22" i="2"/>
  <c r="H22" i="2"/>
  <c r="G22" i="2"/>
  <c r="F22" i="2"/>
  <c r="E22" i="2"/>
  <c r="D22" i="2"/>
  <c r="C22" i="2"/>
  <c r="B22" i="2"/>
  <c r="A22" i="2"/>
  <c r="M22" i="2" s="1"/>
  <c r="V21" i="2"/>
  <c r="U21" i="2"/>
  <c r="T21" i="2"/>
  <c r="S21" i="2"/>
  <c r="R21" i="2"/>
  <c r="Q21" i="2"/>
  <c r="P21" i="2"/>
  <c r="O21" i="2"/>
  <c r="M21" i="2"/>
  <c r="L21" i="2"/>
  <c r="J21" i="2"/>
  <c r="I21" i="2"/>
  <c r="H21" i="2"/>
  <c r="G21" i="2"/>
  <c r="F21" i="2"/>
  <c r="E21" i="2"/>
  <c r="D21" i="2"/>
  <c r="C21" i="2"/>
  <c r="B21" i="2"/>
  <c r="A21" i="2"/>
  <c r="K21" i="2" s="1"/>
  <c r="V20" i="2"/>
  <c r="T20" i="2"/>
  <c r="S20" i="2"/>
  <c r="P20" i="2"/>
  <c r="O20" i="2"/>
  <c r="F20" i="2"/>
  <c r="D20" i="2"/>
  <c r="C20" i="2"/>
  <c r="B20" i="2"/>
  <c r="A20" i="2"/>
  <c r="M20" i="2" s="1"/>
  <c r="V19" i="2"/>
  <c r="T19" i="2"/>
  <c r="O19" i="2"/>
  <c r="L19" i="2"/>
  <c r="K19" i="2"/>
  <c r="D19" i="2"/>
  <c r="C19" i="2"/>
  <c r="B19" i="2"/>
  <c r="A19" i="2"/>
  <c r="M19" i="2" s="1"/>
  <c r="V18" i="2"/>
  <c r="U18" i="2"/>
  <c r="T18" i="2"/>
  <c r="S18" i="2"/>
  <c r="R18" i="2"/>
  <c r="P18" i="2"/>
  <c r="O18" i="2"/>
  <c r="M18" i="2"/>
  <c r="L18" i="2"/>
  <c r="K18" i="2"/>
  <c r="J18" i="2"/>
  <c r="I18" i="2"/>
  <c r="H18" i="2"/>
  <c r="G18" i="2"/>
  <c r="F18" i="2"/>
  <c r="D18" i="2"/>
  <c r="C18" i="2"/>
  <c r="B18" i="2"/>
  <c r="A18" i="2"/>
  <c r="V17" i="2"/>
  <c r="T17" i="2"/>
  <c r="S17" i="2"/>
  <c r="R17" i="2"/>
  <c r="Q17" i="2"/>
  <c r="P17" i="2"/>
  <c r="N17" i="2"/>
  <c r="G17" i="2"/>
  <c r="F17" i="2"/>
  <c r="E17" i="2"/>
  <c r="D17" i="2"/>
  <c r="C17" i="2"/>
  <c r="B17" i="2"/>
  <c r="A17" i="2"/>
  <c r="O17" i="2" s="1"/>
  <c r="V16" i="2"/>
  <c r="U16" i="2"/>
  <c r="T16" i="2"/>
  <c r="S16" i="2"/>
  <c r="R16" i="2"/>
  <c r="Q16" i="2"/>
  <c r="P16" i="2"/>
  <c r="O16" i="2"/>
  <c r="N16" i="2"/>
  <c r="L16" i="2"/>
  <c r="K16" i="2"/>
  <c r="J16" i="2"/>
  <c r="I16" i="2"/>
  <c r="H16" i="2"/>
  <c r="G16" i="2"/>
  <c r="F16" i="2"/>
  <c r="E16" i="2"/>
  <c r="D16" i="2"/>
  <c r="C16" i="2"/>
  <c r="B16" i="2"/>
  <c r="A16" i="2"/>
  <c r="M16" i="2" s="1"/>
  <c r="V15" i="2"/>
  <c r="T15" i="2"/>
  <c r="N15" i="2"/>
  <c r="J15" i="2"/>
  <c r="I15" i="2"/>
  <c r="D15" i="2"/>
  <c r="C15" i="2"/>
  <c r="B15" i="2"/>
  <c r="A15" i="2"/>
  <c r="K15" i="2" s="1"/>
  <c r="V14" i="2"/>
  <c r="T14" i="2"/>
  <c r="S14" i="2"/>
  <c r="R14" i="2"/>
  <c r="Q14" i="2"/>
  <c r="P14" i="2"/>
  <c r="L14" i="2"/>
  <c r="K14" i="2"/>
  <c r="J14" i="2"/>
  <c r="H14" i="2"/>
  <c r="G14" i="2"/>
  <c r="F14" i="2"/>
  <c r="E14" i="2"/>
  <c r="D14" i="2"/>
  <c r="C14" i="2"/>
  <c r="B14" i="2"/>
  <c r="A14" i="2"/>
  <c r="M14" i="2" s="1"/>
  <c r="V13" i="2"/>
  <c r="T13" i="2"/>
  <c r="N13" i="2"/>
  <c r="D13" i="2"/>
  <c r="C13" i="2"/>
  <c r="B13" i="2"/>
  <c r="A13" i="2"/>
  <c r="P13" i="2" s="1"/>
  <c r="V12" i="2"/>
  <c r="T12" i="2"/>
  <c r="K12" i="2"/>
  <c r="J12" i="2"/>
  <c r="D12" i="2"/>
  <c r="C12" i="2"/>
  <c r="B12" i="2"/>
  <c r="A12" i="2"/>
  <c r="S12" i="2" s="1"/>
  <c r="V11" i="2"/>
  <c r="U11" i="2"/>
  <c r="T11" i="2"/>
  <c r="S11" i="2"/>
  <c r="R11" i="2"/>
  <c r="Q11" i="2"/>
  <c r="P11" i="2"/>
  <c r="N11" i="2"/>
  <c r="L11" i="2"/>
  <c r="K11" i="2"/>
  <c r="J11" i="2"/>
  <c r="I11" i="2"/>
  <c r="H11" i="2"/>
  <c r="G11" i="2"/>
  <c r="F11" i="2"/>
  <c r="E11" i="2"/>
  <c r="D11" i="2"/>
  <c r="C11" i="2"/>
  <c r="B11" i="2"/>
  <c r="A11" i="2"/>
  <c r="O11" i="2" s="1"/>
  <c r="S5" i="2"/>
  <c r="P5" i="2"/>
  <c r="M5" i="2"/>
  <c r="J5" i="2"/>
  <c r="G5" i="2"/>
  <c r="D5" i="2"/>
  <c r="A5" i="2"/>
  <c r="H84" i="2" l="1"/>
  <c r="S84" i="2"/>
  <c r="F84" i="2"/>
  <c r="R84" i="2"/>
  <c r="E84" i="2"/>
  <c r="Q84" i="2"/>
  <c r="P84" i="2"/>
  <c r="O84" i="2"/>
  <c r="G84" i="2"/>
  <c r="O13" i="2"/>
  <c r="N12" i="2"/>
  <c r="M29" i="2"/>
  <c r="Q36" i="2"/>
  <c r="E36" i="2"/>
  <c r="O93" i="2"/>
  <c r="N93" i="2"/>
  <c r="U93" i="2"/>
  <c r="G93" i="2"/>
  <c r="F93" i="2"/>
  <c r="S93" i="2"/>
  <c r="E93" i="2"/>
  <c r="R93" i="2"/>
  <c r="Q93" i="2"/>
  <c r="H93" i="2"/>
  <c r="Q112" i="2"/>
  <c r="E112" i="2"/>
  <c r="P112" i="2"/>
  <c r="L112" i="2"/>
  <c r="K112" i="2"/>
  <c r="J112" i="2"/>
  <c r="I112" i="2"/>
  <c r="H112" i="2"/>
  <c r="M112" i="2"/>
  <c r="K145" i="2"/>
  <c r="J145" i="2"/>
  <c r="U145" i="2"/>
  <c r="I145" i="2"/>
  <c r="H145" i="2"/>
  <c r="S145" i="2"/>
  <c r="G145" i="2"/>
  <c r="L145" i="2"/>
  <c r="F145" i="2"/>
  <c r="E145" i="2"/>
  <c r="M145" i="2"/>
  <c r="L189" i="2"/>
  <c r="K189" i="2"/>
  <c r="U189" i="2"/>
  <c r="I189" i="2"/>
  <c r="H189" i="2"/>
  <c r="G189" i="2"/>
  <c r="F189" i="2"/>
  <c r="E189" i="2"/>
  <c r="S189" i="2"/>
  <c r="J189" i="2"/>
  <c r="O189" i="2"/>
  <c r="N189" i="2"/>
  <c r="M189" i="2"/>
  <c r="P189" i="2"/>
  <c r="H12" i="2"/>
  <c r="U12" i="2"/>
  <c r="L13" i="2"/>
  <c r="G15" i="2"/>
  <c r="M17" i="2"/>
  <c r="I19" i="2"/>
  <c r="J23" i="2"/>
  <c r="Q24" i="2"/>
  <c r="E24" i="2"/>
  <c r="N24" i="2"/>
  <c r="J26" i="2"/>
  <c r="N27" i="2"/>
  <c r="G29" i="2"/>
  <c r="K30" i="2"/>
  <c r="J33" i="2"/>
  <c r="H36" i="2"/>
  <c r="U36" i="2"/>
  <c r="L37" i="2"/>
  <c r="G39" i="2"/>
  <c r="M41" i="2"/>
  <c r="I43" i="2"/>
  <c r="J47" i="2"/>
  <c r="Q48" i="2"/>
  <c r="E48" i="2"/>
  <c r="N48" i="2"/>
  <c r="J50" i="2"/>
  <c r="N51" i="2"/>
  <c r="G53" i="2"/>
  <c r="U53" i="2"/>
  <c r="M54" i="2"/>
  <c r="J61" i="2"/>
  <c r="J62" i="2"/>
  <c r="U62" i="2"/>
  <c r="I62" i="2"/>
  <c r="O62" i="2"/>
  <c r="P65" i="2"/>
  <c r="O65" i="2"/>
  <c r="M65" i="2"/>
  <c r="M67" i="2"/>
  <c r="I69" i="2"/>
  <c r="J72" i="2"/>
  <c r="G74" i="2"/>
  <c r="R77" i="2"/>
  <c r="F77" i="2"/>
  <c r="U77" i="2"/>
  <c r="H77" i="2"/>
  <c r="G77" i="2"/>
  <c r="S77" i="2"/>
  <c r="E77" i="2"/>
  <c r="Q77" i="2"/>
  <c r="P77" i="2"/>
  <c r="N82" i="2"/>
  <c r="K93" i="2"/>
  <c r="N94" i="2"/>
  <c r="K111" i="2"/>
  <c r="N112" i="2"/>
  <c r="O117" i="2"/>
  <c r="N117" i="2"/>
  <c r="K117" i="2"/>
  <c r="J117" i="2"/>
  <c r="I117" i="2"/>
  <c r="H117" i="2"/>
  <c r="U117" i="2"/>
  <c r="G117" i="2"/>
  <c r="L117" i="2"/>
  <c r="O135" i="2"/>
  <c r="N135" i="2"/>
  <c r="K135" i="2"/>
  <c r="J135" i="2"/>
  <c r="I135" i="2"/>
  <c r="H135" i="2"/>
  <c r="U135" i="2"/>
  <c r="G135" i="2"/>
  <c r="L135" i="2"/>
  <c r="P145" i="2"/>
  <c r="K157" i="2"/>
  <c r="J157" i="2"/>
  <c r="U157" i="2"/>
  <c r="I157" i="2"/>
  <c r="H157" i="2"/>
  <c r="S157" i="2"/>
  <c r="G157" i="2"/>
  <c r="L157" i="2"/>
  <c r="N157" i="2"/>
  <c r="M157" i="2"/>
  <c r="F157" i="2"/>
  <c r="E157" i="2"/>
  <c r="O157" i="2"/>
  <c r="U168" i="2"/>
  <c r="I168" i="2"/>
  <c r="H168" i="2"/>
  <c r="S168" i="2"/>
  <c r="G168" i="2"/>
  <c r="R168" i="2"/>
  <c r="F168" i="2"/>
  <c r="Q168" i="2"/>
  <c r="E168" i="2"/>
  <c r="J168" i="2"/>
  <c r="P168" i="2"/>
  <c r="O168" i="2"/>
  <c r="N168" i="2"/>
  <c r="M168" i="2"/>
  <c r="L168" i="2"/>
  <c r="H175" i="2"/>
  <c r="S175" i="2"/>
  <c r="G175" i="2"/>
  <c r="Q175" i="2"/>
  <c r="I175" i="2"/>
  <c r="F175" i="2"/>
  <c r="U175" i="2"/>
  <c r="E175" i="2"/>
  <c r="R175" i="2"/>
  <c r="J175" i="2"/>
  <c r="N175" i="2"/>
  <c r="M175" i="2"/>
  <c r="L175" i="2"/>
  <c r="K175" i="2"/>
  <c r="O175" i="2"/>
  <c r="I12" i="2"/>
  <c r="M13" i="2"/>
  <c r="H15" i="2"/>
  <c r="U15" i="2"/>
  <c r="J19" i="2"/>
  <c r="U20" i="2"/>
  <c r="I20" i="2"/>
  <c r="N20" i="2"/>
  <c r="K23" i="2"/>
  <c r="H29" i="2"/>
  <c r="U29" i="2"/>
  <c r="L33" i="2"/>
  <c r="I36" i="2"/>
  <c r="M37" i="2"/>
  <c r="H39" i="2"/>
  <c r="U39" i="2"/>
  <c r="U44" i="2"/>
  <c r="I44" i="2"/>
  <c r="N44" i="2"/>
  <c r="H53" i="2"/>
  <c r="N54" i="2"/>
  <c r="N67" i="2"/>
  <c r="H74" i="2"/>
  <c r="H78" i="2"/>
  <c r="L78" i="2"/>
  <c r="K78" i="2"/>
  <c r="J78" i="2"/>
  <c r="U78" i="2"/>
  <c r="I78" i="2"/>
  <c r="G78" i="2"/>
  <c r="S78" i="2"/>
  <c r="U84" i="2"/>
  <c r="L93" i="2"/>
  <c r="O94" i="2"/>
  <c r="L111" i="2"/>
  <c r="O112" i="2"/>
  <c r="Q145" i="2"/>
  <c r="H205" i="2"/>
  <c r="S205" i="2"/>
  <c r="G205" i="2"/>
  <c r="R205" i="2"/>
  <c r="F205" i="2"/>
  <c r="Q205" i="2"/>
  <c r="E205" i="2"/>
  <c r="P205" i="2"/>
  <c r="K205" i="2"/>
  <c r="J205" i="2"/>
  <c r="I205" i="2"/>
  <c r="L205" i="2"/>
  <c r="N205" i="2"/>
  <c r="M205" i="2"/>
  <c r="O205" i="2"/>
  <c r="S40" i="3"/>
  <c r="R40" i="3"/>
  <c r="Q40" i="3"/>
  <c r="P40" i="3"/>
  <c r="O40" i="3"/>
  <c r="I40" i="3"/>
  <c r="H40" i="3"/>
  <c r="W40" i="3"/>
  <c r="V40" i="3"/>
  <c r="J40" i="3"/>
  <c r="M40" i="3"/>
  <c r="L40" i="3"/>
  <c r="K40" i="3"/>
  <c r="T40" i="3"/>
  <c r="N40" i="3"/>
  <c r="N37" i="2"/>
  <c r="O67" i="2"/>
  <c r="L21" i="3"/>
  <c r="W21" i="3"/>
  <c r="K21" i="3"/>
  <c r="V21" i="3"/>
  <c r="J21" i="3"/>
  <c r="U21" i="3"/>
  <c r="I21" i="3"/>
  <c r="T21" i="3"/>
  <c r="H21" i="3"/>
  <c r="P21" i="3"/>
  <c r="O21" i="3"/>
  <c r="N21" i="3"/>
  <c r="M21" i="3"/>
  <c r="Q21" i="3"/>
  <c r="S21" i="3"/>
  <c r="R21" i="3"/>
  <c r="W153" i="3"/>
  <c r="K153" i="3"/>
  <c r="J153" i="3"/>
  <c r="T153" i="3"/>
  <c r="N153" i="3"/>
  <c r="I153" i="3"/>
  <c r="H153" i="3"/>
  <c r="P153" i="3"/>
  <c r="O153" i="3"/>
  <c r="L153" i="3"/>
  <c r="S153" i="3"/>
  <c r="R153" i="3"/>
  <c r="Q153" i="3"/>
  <c r="M153" i="3"/>
  <c r="V153" i="3"/>
  <c r="U153" i="3"/>
  <c r="M23" i="2"/>
  <c r="Q30" i="2"/>
  <c r="E30" i="2"/>
  <c r="N30" i="2"/>
  <c r="N33" i="2"/>
  <c r="K36" i="2"/>
  <c r="O37" i="2"/>
  <c r="J39" i="2"/>
  <c r="L43" i="2"/>
  <c r="P44" i="2"/>
  <c r="M47" i="2"/>
  <c r="J53" i="2"/>
  <c r="P54" i="2"/>
  <c r="J56" i="2"/>
  <c r="U56" i="2"/>
  <c r="I56" i="2"/>
  <c r="O56" i="2"/>
  <c r="P59" i="2"/>
  <c r="O59" i="2"/>
  <c r="M59" i="2"/>
  <c r="M61" i="2"/>
  <c r="P67" i="2"/>
  <c r="M72" i="2"/>
  <c r="M74" i="2"/>
  <c r="N81" i="2"/>
  <c r="U81" i="2"/>
  <c r="H81" i="2"/>
  <c r="G81" i="2"/>
  <c r="S81" i="2"/>
  <c r="F81" i="2"/>
  <c r="R81" i="2"/>
  <c r="E81" i="2"/>
  <c r="Q81" i="2"/>
  <c r="J85" i="2"/>
  <c r="I85" i="2"/>
  <c r="U85" i="2"/>
  <c r="H85" i="2"/>
  <c r="G85" i="2"/>
  <c r="S85" i="2"/>
  <c r="F85" i="2"/>
  <c r="R85" i="2"/>
  <c r="E85" i="2"/>
  <c r="K85" i="2"/>
  <c r="P93" i="2"/>
  <c r="S94" i="2"/>
  <c r="S101" i="2"/>
  <c r="G101" i="2"/>
  <c r="R101" i="2"/>
  <c r="F101" i="2"/>
  <c r="J101" i="2"/>
  <c r="I101" i="2"/>
  <c r="H101" i="2"/>
  <c r="U101" i="2"/>
  <c r="E101" i="2"/>
  <c r="K101" i="2"/>
  <c r="S112" i="2"/>
  <c r="L12" i="2"/>
  <c r="L15" i="2"/>
  <c r="Q20" i="2"/>
  <c r="N23" i="2"/>
  <c r="U26" i="2"/>
  <c r="I26" i="2"/>
  <c r="N26" i="2"/>
  <c r="K29" i="2"/>
  <c r="O30" i="2"/>
  <c r="O33" i="2"/>
  <c r="L36" i="2"/>
  <c r="P37" i="2"/>
  <c r="L39" i="2"/>
  <c r="Q44" i="2"/>
  <c r="U50" i="2"/>
  <c r="I50" i="2"/>
  <c r="N50" i="2"/>
  <c r="K53" i="2"/>
  <c r="S54" i="2"/>
  <c r="Q67" i="2"/>
  <c r="L69" i="2"/>
  <c r="K69" i="2"/>
  <c r="O69" i="2"/>
  <c r="N74" i="2"/>
  <c r="P82" i="2"/>
  <c r="K82" i="2"/>
  <c r="J82" i="2"/>
  <c r="I82" i="2"/>
  <c r="U82" i="2"/>
  <c r="H82" i="2"/>
  <c r="G82" i="2"/>
  <c r="S82" i="2"/>
  <c r="S119" i="2"/>
  <c r="G119" i="2"/>
  <c r="R119" i="2"/>
  <c r="F119" i="2"/>
  <c r="J119" i="2"/>
  <c r="I119" i="2"/>
  <c r="H119" i="2"/>
  <c r="U119" i="2"/>
  <c r="E119" i="2"/>
  <c r="K119" i="2"/>
  <c r="S137" i="2"/>
  <c r="G137" i="2"/>
  <c r="R137" i="2"/>
  <c r="F137" i="2"/>
  <c r="J137" i="2"/>
  <c r="I137" i="2"/>
  <c r="H137" i="2"/>
  <c r="U137" i="2"/>
  <c r="E137" i="2"/>
  <c r="K137" i="2"/>
  <c r="S167" i="2"/>
  <c r="G167" i="2"/>
  <c r="R167" i="2"/>
  <c r="F167" i="2"/>
  <c r="Q167" i="2"/>
  <c r="E167" i="2"/>
  <c r="P167" i="2"/>
  <c r="O167" i="2"/>
  <c r="H167" i="2"/>
  <c r="N167" i="2"/>
  <c r="M167" i="2"/>
  <c r="L167" i="2"/>
  <c r="K167" i="2"/>
  <c r="U167" i="2"/>
  <c r="S13" i="2"/>
  <c r="G13" i="2"/>
  <c r="M12" i="2"/>
  <c r="Q13" i="2"/>
  <c r="M15" i="2"/>
  <c r="S19" i="2"/>
  <c r="G19" i="2"/>
  <c r="N19" i="2"/>
  <c r="E20" i="2"/>
  <c r="R20" i="2"/>
  <c r="P23" i="2"/>
  <c r="L29" i="2"/>
  <c r="P30" i="2"/>
  <c r="P33" i="2"/>
  <c r="M36" i="2"/>
  <c r="M39" i="2"/>
  <c r="S43" i="2"/>
  <c r="G43" i="2"/>
  <c r="N43" i="2"/>
  <c r="E44" i="2"/>
  <c r="R44" i="2"/>
  <c r="O50" i="2"/>
  <c r="L53" i="2"/>
  <c r="H61" i="2"/>
  <c r="S61" i="2"/>
  <c r="G61" i="2"/>
  <c r="O61" i="2"/>
  <c r="R67" i="2"/>
  <c r="P69" i="2"/>
  <c r="R72" i="2"/>
  <c r="F72" i="2"/>
  <c r="Q72" i="2"/>
  <c r="E72" i="2"/>
  <c r="O72" i="2"/>
  <c r="O74" i="2"/>
  <c r="E78" i="2"/>
  <c r="U94" i="2"/>
  <c r="U112" i="2"/>
  <c r="U156" i="2"/>
  <c r="I156" i="2"/>
  <c r="H156" i="2"/>
  <c r="S156" i="2"/>
  <c r="G156" i="2"/>
  <c r="R156" i="2"/>
  <c r="F156" i="2"/>
  <c r="Q156" i="2"/>
  <c r="E156" i="2"/>
  <c r="J156" i="2"/>
  <c r="N156" i="2"/>
  <c r="M156" i="2"/>
  <c r="L156" i="2"/>
  <c r="K156" i="2"/>
  <c r="O156" i="2"/>
  <c r="S64" i="3"/>
  <c r="P64" i="3"/>
  <c r="W64" i="3"/>
  <c r="I64" i="3"/>
  <c r="V64" i="3"/>
  <c r="U64" i="3"/>
  <c r="T64" i="3"/>
  <c r="R64" i="3"/>
  <c r="Q64" i="3"/>
  <c r="H64" i="3"/>
  <c r="J64" i="3"/>
  <c r="O64" i="3"/>
  <c r="L64" i="3"/>
  <c r="K64" i="3"/>
  <c r="S37" i="2"/>
  <c r="G37" i="2"/>
  <c r="R13" i="2"/>
  <c r="O111" i="2"/>
  <c r="N111" i="2"/>
  <c r="U111" i="2"/>
  <c r="G111" i="2"/>
  <c r="F111" i="2"/>
  <c r="S111" i="2"/>
  <c r="E111" i="2"/>
  <c r="R111" i="2"/>
  <c r="Q111" i="2"/>
  <c r="H111" i="2"/>
  <c r="F13" i="2"/>
  <c r="O15" i="2"/>
  <c r="H17" i="2"/>
  <c r="U17" i="2"/>
  <c r="P19" i="2"/>
  <c r="G20" i="2"/>
  <c r="E23" i="2"/>
  <c r="R23" i="2"/>
  <c r="I24" i="2"/>
  <c r="Q26" i="2"/>
  <c r="H27" i="2"/>
  <c r="U27" i="2"/>
  <c r="N29" i="2"/>
  <c r="F30" i="2"/>
  <c r="S30" i="2"/>
  <c r="U32" i="2"/>
  <c r="I32" i="2"/>
  <c r="N32" i="2"/>
  <c r="E33" i="2"/>
  <c r="R33" i="2"/>
  <c r="O36" i="2"/>
  <c r="F37" i="2"/>
  <c r="O39" i="2"/>
  <c r="H41" i="2"/>
  <c r="U41" i="2"/>
  <c r="P43" i="2"/>
  <c r="G44" i="2"/>
  <c r="E47" i="2"/>
  <c r="R47" i="2"/>
  <c r="I48" i="2"/>
  <c r="Q50" i="2"/>
  <c r="H51" i="2"/>
  <c r="U51" i="2"/>
  <c r="N53" i="2"/>
  <c r="H54" i="2"/>
  <c r="E56" i="2"/>
  <c r="S56" i="2"/>
  <c r="E59" i="2"/>
  <c r="S59" i="2"/>
  <c r="Q61" i="2"/>
  <c r="H62" i="2"/>
  <c r="L63" i="2"/>
  <c r="K63" i="2"/>
  <c r="O63" i="2"/>
  <c r="H65" i="2"/>
  <c r="F67" i="2"/>
  <c r="U67" i="2"/>
  <c r="R69" i="2"/>
  <c r="S72" i="2"/>
  <c r="L77" i="2"/>
  <c r="M78" i="2"/>
  <c r="I81" i="2"/>
  <c r="J84" i="2"/>
  <c r="L85" i="2"/>
  <c r="L101" i="2"/>
  <c r="P117" i="2"/>
  <c r="O129" i="2"/>
  <c r="N129" i="2"/>
  <c r="U129" i="2"/>
  <c r="G129" i="2"/>
  <c r="F129" i="2"/>
  <c r="S129" i="2"/>
  <c r="E129" i="2"/>
  <c r="R129" i="2"/>
  <c r="Q129" i="2"/>
  <c r="H129" i="2"/>
  <c r="Q130" i="2"/>
  <c r="E130" i="2"/>
  <c r="P130" i="2"/>
  <c r="L130" i="2"/>
  <c r="K130" i="2"/>
  <c r="J130" i="2"/>
  <c r="I130" i="2"/>
  <c r="H130" i="2"/>
  <c r="M130" i="2"/>
  <c r="P135" i="2"/>
  <c r="K169" i="2"/>
  <c r="J169" i="2"/>
  <c r="U169" i="2"/>
  <c r="I169" i="2"/>
  <c r="H169" i="2"/>
  <c r="S169" i="2"/>
  <c r="G169" i="2"/>
  <c r="L169" i="2"/>
  <c r="P169" i="2"/>
  <c r="O169" i="2"/>
  <c r="N169" i="2"/>
  <c r="M169" i="2"/>
  <c r="F169" i="2"/>
  <c r="Q169" i="2"/>
  <c r="U40" i="3"/>
  <c r="R186" i="2"/>
  <c r="F186" i="2"/>
  <c r="Q186" i="2"/>
  <c r="E186" i="2"/>
  <c r="O186" i="2"/>
  <c r="M186" i="2"/>
  <c r="L186" i="2"/>
  <c r="K186" i="2"/>
  <c r="J186" i="2"/>
  <c r="I186" i="2"/>
  <c r="N186" i="2"/>
  <c r="S186" i="2"/>
  <c r="P186" i="2"/>
  <c r="H186" i="2"/>
  <c r="G186" i="2"/>
  <c r="U186" i="2"/>
  <c r="E37" i="2"/>
  <c r="L74" i="2"/>
  <c r="J74" i="2"/>
  <c r="I74" i="2"/>
  <c r="U74" i="2"/>
  <c r="H13" i="2"/>
  <c r="H20" i="2"/>
  <c r="F23" i="2"/>
  <c r="S23" i="2"/>
  <c r="S25" i="2"/>
  <c r="G25" i="2"/>
  <c r="E26" i="2"/>
  <c r="R26" i="2"/>
  <c r="P29" i="2"/>
  <c r="F33" i="2"/>
  <c r="P36" i="2"/>
  <c r="H37" i="2"/>
  <c r="P39" i="2"/>
  <c r="I41" i="2"/>
  <c r="Q43" i="2"/>
  <c r="H44" i="2"/>
  <c r="F47" i="2"/>
  <c r="J48" i="2"/>
  <c r="S49" i="2"/>
  <c r="G49" i="2"/>
  <c r="N49" i="2"/>
  <c r="E50" i="2"/>
  <c r="R50" i="2"/>
  <c r="I51" i="2"/>
  <c r="Q53" i="2"/>
  <c r="H55" i="2"/>
  <c r="S55" i="2"/>
  <c r="G55" i="2"/>
  <c r="O55" i="2"/>
  <c r="F56" i="2"/>
  <c r="F59" i="2"/>
  <c r="R61" i="2"/>
  <c r="K62" i="2"/>
  <c r="P63" i="2"/>
  <c r="I65" i="2"/>
  <c r="R66" i="2"/>
  <c r="F66" i="2"/>
  <c r="Q66" i="2"/>
  <c r="E66" i="2"/>
  <c r="O66" i="2"/>
  <c r="I67" i="2"/>
  <c r="E69" i="2"/>
  <c r="S69" i="2"/>
  <c r="R74" i="2"/>
  <c r="M77" i="2"/>
  <c r="N78" i="2"/>
  <c r="J81" i="2"/>
  <c r="E82" i="2"/>
  <c r="K84" i="2"/>
  <c r="M85" i="2"/>
  <c r="M101" i="2"/>
  <c r="Q117" i="2"/>
  <c r="L119" i="2"/>
  <c r="Q135" i="2"/>
  <c r="L137" i="2"/>
  <c r="I167" i="2"/>
  <c r="H187" i="2"/>
  <c r="S187" i="2"/>
  <c r="G187" i="2"/>
  <c r="Q187" i="2"/>
  <c r="E187" i="2"/>
  <c r="I187" i="2"/>
  <c r="F187" i="2"/>
  <c r="U187" i="2"/>
  <c r="R187" i="2"/>
  <c r="J187" i="2"/>
  <c r="P187" i="2"/>
  <c r="O187" i="2"/>
  <c r="N187" i="2"/>
  <c r="M187" i="2"/>
  <c r="L187" i="2"/>
  <c r="R54" i="2"/>
  <c r="F54" i="2"/>
  <c r="Q54" i="2"/>
  <c r="E54" i="2"/>
  <c r="Q23" i="2"/>
  <c r="R37" i="2"/>
  <c r="I84" i="2"/>
  <c r="O12" i="2"/>
  <c r="P15" i="2"/>
  <c r="I17" i="2"/>
  <c r="Q19" i="2"/>
  <c r="J24" i="2"/>
  <c r="N25" i="2"/>
  <c r="I27" i="2"/>
  <c r="G30" i="2"/>
  <c r="O32" i="2"/>
  <c r="S33" i="2"/>
  <c r="U37" i="2"/>
  <c r="S47" i="2"/>
  <c r="M11" i="2"/>
  <c r="R12" i="2"/>
  <c r="I13" i="2"/>
  <c r="Q15" i="2"/>
  <c r="J17" i="2"/>
  <c r="Q18" i="2"/>
  <c r="E18" i="2"/>
  <c r="N18" i="2"/>
  <c r="E19" i="2"/>
  <c r="R19" i="2"/>
  <c r="J20" i="2"/>
  <c r="N21" i="2"/>
  <c r="G23" i="2"/>
  <c r="K24" i="2"/>
  <c r="O25" i="2"/>
  <c r="F26" i="2"/>
  <c r="S26" i="2"/>
  <c r="J27" i="2"/>
  <c r="Q29" i="2"/>
  <c r="H30" i="2"/>
  <c r="U30" i="2"/>
  <c r="L31" i="2"/>
  <c r="P32" i="2"/>
  <c r="G33" i="2"/>
  <c r="M35" i="2"/>
  <c r="R36" i="2"/>
  <c r="I37" i="2"/>
  <c r="Q39" i="2"/>
  <c r="J41" i="2"/>
  <c r="Q42" i="2"/>
  <c r="E42" i="2"/>
  <c r="N42" i="2"/>
  <c r="E43" i="2"/>
  <c r="R43" i="2"/>
  <c r="J44" i="2"/>
  <c r="N45" i="2"/>
  <c r="G47" i="2"/>
  <c r="K48" i="2"/>
  <c r="O49" i="2"/>
  <c r="F50" i="2"/>
  <c r="S50" i="2"/>
  <c r="J51" i="2"/>
  <c r="J54" i="2"/>
  <c r="P55" i="2"/>
  <c r="G56" i="2"/>
  <c r="G59" i="2"/>
  <c r="U59" i="2"/>
  <c r="M60" i="2"/>
  <c r="E61" i="2"/>
  <c r="L62" i="2"/>
  <c r="Q63" i="2"/>
  <c r="J65" i="2"/>
  <c r="P66" i="2"/>
  <c r="J67" i="2"/>
  <c r="J68" i="2"/>
  <c r="U68" i="2"/>
  <c r="I68" i="2"/>
  <c r="O68" i="2"/>
  <c r="F69" i="2"/>
  <c r="P71" i="2"/>
  <c r="O71" i="2"/>
  <c r="M71" i="2"/>
  <c r="G72" i="2"/>
  <c r="U72" i="2"/>
  <c r="M73" i="2"/>
  <c r="S74" i="2"/>
  <c r="N77" i="2"/>
  <c r="O78" i="2"/>
  <c r="K81" i="2"/>
  <c r="F82" i="2"/>
  <c r="L84" i="2"/>
  <c r="N85" i="2"/>
  <c r="Q88" i="2"/>
  <c r="E88" i="2"/>
  <c r="P88" i="2"/>
  <c r="H88" i="2"/>
  <c r="U88" i="2"/>
  <c r="G88" i="2"/>
  <c r="F88" i="2"/>
  <c r="S88" i="2"/>
  <c r="R88" i="2"/>
  <c r="I88" i="2"/>
  <c r="U90" i="2"/>
  <c r="I90" i="2"/>
  <c r="H90" i="2"/>
  <c r="F90" i="2"/>
  <c r="S90" i="2"/>
  <c r="E90" i="2"/>
  <c r="R90" i="2"/>
  <c r="Q90" i="2"/>
  <c r="P90" i="2"/>
  <c r="G90" i="2"/>
  <c r="K91" i="2"/>
  <c r="J91" i="2"/>
  <c r="M91" i="2"/>
  <c r="L91" i="2"/>
  <c r="I91" i="2"/>
  <c r="H91" i="2"/>
  <c r="U91" i="2"/>
  <c r="G91" i="2"/>
  <c r="N91" i="2"/>
  <c r="N101" i="2"/>
  <c r="K103" i="2"/>
  <c r="J103" i="2"/>
  <c r="U103" i="2"/>
  <c r="G103" i="2"/>
  <c r="F103" i="2"/>
  <c r="S103" i="2"/>
  <c r="E103" i="2"/>
  <c r="R103" i="2"/>
  <c r="Q103" i="2"/>
  <c r="H103" i="2"/>
  <c r="Q106" i="2"/>
  <c r="E106" i="2"/>
  <c r="P106" i="2"/>
  <c r="H106" i="2"/>
  <c r="U106" i="2"/>
  <c r="G106" i="2"/>
  <c r="F106" i="2"/>
  <c r="S106" i="2"/>
  <c r="R106" i="2"/>
  <c r="I106" i="2"/>
  <c r="U108" i="2"/>
  <c r="I108" i="2"/>
  <c r="H108" i="2"/>
  <c r="F108" i="2"/>
  <c r="S108" i="2"/>
  <c r="E108" i="2"/>
  <c r="R108" i="2"/>
  <c r="Q108" i="2"/>
  <c r="P108" i="2"/>
  <c r="G108" i="2"/>
  <c r="K109" i="2"/>
  <c r="J109" i="2"/>
  <c r="M109" i="2"/>
  <c r="L109" i="2"/>
  <c r="I109" i="2"/>
  <c r="H109" i="2"/>
  <c r="U109" i="2"/>
  <c r="G109" i="2"/>
  <c r="N109" i="2"/>
  <c r="R117" i="2"/>
  <c r="M119" i="2"/>
  <c r="R135" i="2"/>
  <c r="M137" i="2"/>
  <c r="U144" i="2"/>
  <c r="I144" i="2"/>
  <c r="H144" i="2"/>
  <c r="S144" i="2"/>
  <c r="G144" i="2"/>
  <c r="R144" i="2"/>
  <c r="F144" i="2"/>
  <c r="Q144" i="2"/>
  <c r="E144" i="2"/>
  <c r="L144" i="2"/>
  <c r="K144" i="2"/>
  <c r="J144" i="2"/>
  <c r="M144" i="2"/>
  <c r="P156" i="2"/>
  <c r="J167" i="2"/>
  <c r="S16" i="3"/>
  <c r="R16" i="3"/>
  <c r="Q16" i="3"/>
  <c r="P16" i="3"/>
  <c r="O16" i="3"/>
  <c r="W16" i="3"/>
  <c r="V16" i="3"/>
  <c r="U16" i="3"/>
  <c r="T16" i="3"/>
  <c r="H16" i="3"/>
  <c r="I16" i="3"/>
  <c r="J16" i="3"/>
  <c r="U54" i="3"/>
  <c r="I54" i="3"/>
  <c r="M54" i="3"/>
  <c r="L54" i="3"/>
  <c r="K54" i="3"/>
  <c r="W54" i="3"/>
  <c r="J54" i="3"/>
  <c r="V54" i="3"/>
  <c r="H54" i="3"/>
  <c r="O54" i="3"/>
  <c r="N54" i="3"/>
  <c r="P54" i="3"/>
  <c r="R54" i="3"/>
  <c r="Q54" i="3"/>
  <c r="R30" i="2"/>
  <c r="N39" i="2"/>
  <c r="P53" i="2"/>
  <c r="O53" i="2"/>
  <c r="M53" i="2"/>
  <c r="G54" i="2"/>
  <c r="U54" i="2"/>
  <c r="E67" i="2"/>
  <c r="P74" i="2"/>
  <c r="P12" i="2"/>
  <c r="F12" i="2"/>
  <c r="J13" i="2"/>
  <c r="U14" i="2"/>
  <c r="I14" i="2"/>
  <c r="N14" i="2"/>
  <c r="E15" i="2"/>
  <c r="R15" i="2"/>
  <c r="K17" i="2"/>
  <c r="F19" i="2"/>
  <c r="K20" i="2"/>
  <c r="H23" i="2"/>
  <c r="U23" i="2"/>
  <c r="L24" i="2"/>
  <c r="P25" i="2"/>
  <c r="G26" i="2"/>
  <c r="L27" i="2"/>
  <c r="E29" i="2"/>
  <c r="R29" i="2"/>
  <c r="I30" i="2"/>
  <c r="Q32" i="2"/>
  <c r="H33" i="2"/>
  <c r="U33" i="2"/>
  <c r="F36" i="2"/>
  <c r="S36" i="2"/>
  <c r="J37" i="2"/>
  <c r="U38" i="2"/>
  <c r="I38" i="2"/>
  <c r="N38" i="2"/>
  <c r="E39" i="2"/>
  <c r="R39" i="2"/>
  <c r="K41" i="2"/>
  <c r="F43" i="2"/>
  <c r="K44" i="2"/>
  <c r="H47" i="2"/>
  <c r="U47" i="2"/>
  <c r="L48" i="2"/>
  <c r="P49" i="2"/>
  <c r="G50" i="2"/>
  <c r="L51" i="2"/>
  <c r="E53" i="2"/>
  <c r="S53" i="2"/>
  <c r="K54" i="2"/>
  <c r="Q55" i="2"/>
  <c r="H56" i="2"/>
  <c r="L57" i="2"/>
  <c r="K57" i="2"/>
  <c r="O57" i="2"/>
  <c r="H59" i="2"/>
  <c r="F61" i="2"/>
  <c r="U61" i="2"/>
  <c r="M62" i="2"/>
  <c r="R63" i="2"/>
  <c r="K65" i="2"/>
  <c r="S66" i="2"/>
  <c r="G69" i="2"/>
  <c r="U69" i="2"/>
  <c r="H72" i="2"/>
  <c r="E74" i="2"/>
  <c r="O77" i="2"/>
  <c r="P78" i="2"/>
  <c r="L81" i="2"/>
  <c r="L82" i="2"/>
  <c r="M84" i="2"/>
  <c r="O85" i="2"/>
  <c r="I93" i="2"/>
  <c r="U96" i="2"/>
  <c r="I96" i="2"/>
  <c r="H96" i="2"/>
  <c r="L96" i="2"/>
  <c r="K96" i="2"/>
  <c r="J96" i="2"/>
  <c r="G96" i="2"/>
  <c r="F96" i="2"/>
  <c r="M96" i="2"/>
  <c r="O101" i="2"/>
  <c r="I111" i="2"/>
  <c r="F112" i="2"/>
  <c r="S117" i="2"/>
  <c r="N119" i="2"/>
  <c r="K121" i="2"/>
  <c r="J121" i="2"/>
  <c r="U121" i="2"/>
  <c r="G121" i="2"/>
  <c r="F121" i="2"/>
  <c r="S121" i="2"/>
  <c r="E121" i="2"/>
  <c r="R121" i="2"/>
  <c r="Q121" i="2"/>
  <c r="H121" i="2"/>
  <c r="Q124" i="2"/>
  <c r="E124" i="2"/>
  <c r="P124" i="2"/>
  <c r="H124" i="2"/>
  <c r="U124" i="2"/>
  <c r="G124" i="2"/>
  <c r="F124" i="2"/>
  <c r="S124" i="2"/>
  <c r="R124" i="2"/>
  <c r="I124" i="2"/>
  <c r="U126" i="2"/>
  <c r="I126" i="2"/>
  <c r="H126" i="2"/>
  <c r="F126" i="2"/>
  <c r="S126" i="2"/>
  <c r="E126" i="2"/>
  <c r="R126" i="2"/>
  <c r="Q126" i="2"/>
  <c r="P126" i="2"/>
  <c r="G126" i="2"/>
  <c r="K127" i="2"/>
  <c r="J127" i="2"/>
  <c r="M127" i="2"/>
  <c r="L127" i="2"/>
  <c r="I127" i="2"/>
  <c r="H127" i="2"/>
  <c r="U127" i="2"/>
  <c r="G127" i="2"/>
  <c r="N127" i="2"/>
  <c r="S135" i="2"/>
  <c r="N137" i="2"/>
  <c r="K139" i="2"/>
  <c r="J139" i="2"/>
  <c r="U139" i="2"/>
  <c r="G139" i="2"/>
  <c r="F139" i="2"/>
  <c r="S139" i="2"/>
  <c r="E139" i="2"/>
  <c r="R139" i="2"/>
  <c r="Q139" i="2"/>
  <c r="H139" i="2"/>
  <c r="Q142" i="2"/>
  <c r="E142" i="2"/>
  <c r="P142" i="2"/>
  <c r="H142" i="2"/>
  <c r="U142" i="2"/>
  <c r="G142" i="2"/>
  <c r="F142" i="2"/>
  <c r="S142" i="2"/>
  <c r="R142" i="2"/>
  <c r="I142" i="2"/>
  <c r="N145" i="2"/>
  <c r="S155" i="2"/>
  <c r="G155" i="2"/>
  <c r="R155" i="2"/>
  <c r="F155" i="2"/>
  <c r="Q155" i="2"/>
  <c r="E155" i="2"/>
  <c r="P155" i="2"/>
  <c r="O155" i="2"/>
  <c r="H155" i="2"/>
  <c r="M155" i="2"/>
  <c r="L155" i="2"/>
  <c r="K155" i="2"/>
  <c r="J155" i="2"/>
  <c r="I155" i="2"/>
  <c r="N155" i="2"/>
  <c r="Q189" i="2"/>
  <c r="T77" i="3"/>
  <c r="H77" i="3"/>
  <c r="Q77" i="3"/>
  <c r="U77" i="3"/>
  <c r="S77" i="3"/>
  <c r="J77" i="3"/>
  <c r="I77" i="3"/>
  <c r="W77" i="3"/>
  <c r="V77" i="3"/>
  <c r="K77" i="3"/>
  <c r="O77" i="3"/>
  <c r="N77" i="3"/>
  <c r="M77" i="3"/>
  <c r="L77" i="3"/>
  <c r="P77" i="3"/>
  <c r="R77" i="3"/>
  <c r="H67" i="2"/>
  <c r="S67" i="2"/>
  <c r="G67" i="2"/>
  <c r="Q12" i="2"/>
  <c r="E12" i="2"/>
  <c r="E13" i="2"/>
  <c r="Q94" i="2"/>
  <c r="E94" i="2"/>
  <c r="P94" i="2"/>
  <c r="L94" i="2"/>
  <c r="K94" i="2"/>
  <c r="J94" i="2"/>
  <c r="I94" i="2"/>
  <c r="H94" i="2"/>
  <c r="M94" i="2"/>
  <c r="U13" i="2"/>
  <c r="G12" i="2"/>
  <c r="K13" i="2"/>
  <c r="O14" i="2"/>
  <c r="F15" i="2"/>
  <c r="S15" i="2"/>
  <c r="L17" i="2"/>
  <c r="H19" i="2"/>
  <c r="U19" i="2"/>
  <c r="L20" i="2"/>
  <c r="I23" i="2"/>
  <c r="M24" i="2"/>
  <c r="Q25" i="2"/>
  <c r="H26" i="2"/>
  <c r="M27" i="2"/>
  <c r="F29" i="2"/>
  <c r="S29" i="2"/>
  <c r="J30" i="2"/>
  <c r="S31" i="2"/>
  <c r="G31" i="2"/>
  <c r="N31" i="2"/>
  <c r="E32" i="2"/>
  <c r="R32" i="2"/>
  <c r="I33" i="2"/>
  <c r="G36" i="2"/>
  <c r="K37" i="2"/>
  <c r="F39" i="2"/>
  <c r="S39" i="2"/>
  <c r="L41" i="2"/>
  <c r="H43" i="2"/>
  <c r="U43" i="2"/>
  <c r="L44" i="2"/>
  <c r="I47" i="2"/>
  <c r="M48" i="2"/>
  <c r="Q49" i="2"/>
  <c r="H50" i="2"/>
  <c r="M51" i="2"/>
  <c r="F53" i="2"/>
  <c r="L54" i="2"/>
  <c r="R55" i="2"/>
  <c r="K56" i="2"/>
  <c r="I59" i="2"/>
  <c r="R60" i="2"/>
  <c r="F60" i="2"/>
  <c r="Q60" i="2"/>
  <c r="E60" i="2"/>
  <c r="O60" i="2"/>
  <c r="I61" i="2"/>
  <c r="N62" i="2"/>
  <c r="E63" i="2"/>
  <c r="S63" i="2"/>
  <c r="L65" i="2"/>
  <c r="L67" i="2"/>
  <c r="H69" i="2"/>
  <c r="I72" i="2"/>
  <c r="H73" i="2"/>
  <c r="S73" i="2"/>
  <c r="G73" i="2"/>
  <c r="O73" i="2"/>
  <c r="F74" i="2"/>
  <c r="Q78" i="2"/>
  <c r="M81" i="2"/>
  <c r="M82" i="2"/>
  <c r="N84" i="2"/>
  <c r="P85" i="2"/>
  <c r="J93" i="2"/>
  <c r="G94" i="2"/>
  <c r="O99" i="2"/>
  <c r="N99" i="2"/>
  <c r="K99" i="2"/>
  <c r="J99" i="2"/>
  <c r="I99" i="2"/>
  <c r="H99" i="2"/>
  <c r="U99" i="2"/>
  <c r="G99" i="2"/>
  <c r="L99" i="2"/>
  <c r="P101" i="2"/>
  <c r="J111" i="2"/>
  <c r="G112" i="2"/>
  <c r="U114" i="2"/>
  <c r="I114" i="2"/>
  <c r="H114" i="2"/>
  <c r="L114" i="2"/>
  <c r="K114" i="2"/>
  <c r="J114" i="2"/>
  <c r="G114" i="2"/>
  <c r="F114" i="2"/>
  <c r="M114" i="2"/>
  <c r="O119" i="2"/>
  <c r="I129" i="2"/>
  <c r="F130" i="2"/>
  <c r="U132" i="2"/>
  <c r="I132" i="2"/>
  <c r="H132" i="2"/>
  <c r="L132" i="2"/>
  <c r="K132" i="2"/>
  <c r="J132" i="2"/>
  <c r="G132" i="2"/>
  <c r="F132" i="2"/>
  <c r="M132" i="2"/>
  <c r="O137" i="2"/>
  <c r="O145" i="2"/>
  <c r="E169" i="2"/>
  <c r="R189" i="2"/>
  <c r="M46" i="3"/>
  <c r="L46" i="3"/>
  <c r="W46" i="3"/>
  <c r="K46" i="3"/>
  <c r="V46" i="3"/>
  <c r="J46" i="3"/>
  <c r="U46" i="3"/>
  <c r="I46" i="3"/>
  <c r="P46" i="3"/>
  <c r="O46" i="3"/>
  <c r="N46" i="3"/>
  <c r="H46" i="3"/>
  <c r="Q46" i="3"/>
  <c r="S46" i="3"/>
  <c r="R46" i="3"/>
  <c r="M64" i="3"/>
  <c r="N86" i="2"/>
  <c r="S89" i="2"/>
  <c r="G89" i="2"/>
  <c r="R89" i="2"/>
  <c r="F89" i="2"/>
  <c r="O89" i="2"/>
  <c r="S107" i="2"/>
  <c r="G107" i="2"/>
  <c r="R107" i="2"/>
  <c r="F107" i="2"/>
  <c r="O107" i="2"/>
  <c r="S125" i="2"/>
  <c r="G125" i="2"/>
  <c r="R125" i="2"/>
  <c r="F125" i="2"/>
  <c r="O125" i="2"/>
  <c r="S143" i="2"/>
  <c r="G143" i="2"/>
  <c r="R143" i="2"/>
  <c r="F143" i="2"/>
  <c r="P143" i="2"/>
  <c r="O143" i="2"/>
  <c r="P173" i="2"/>
  <c r="O173" i="2"/>
  <c r="I173" i="2"/>
  <c r="H173" i="2"/>
  <c r="U173" i="2"/>
  <c r="G173" i="2"/>
  <c r="F173" i="2"/>
  <c r="S173" i="2"/>
  <c r="E173" i="2"/>
  <c r="J173" i="2"/>
  <c r="L183" i="2"/>
  <c r="K183" i="2"/>
  <c r="U183" i="2"/>
  <c r="I183" i="2"/>
  <c r="H183" i="2"/>
  <c r="G183" i="2"/>
  <c r="F183" i="2"/>
  <c r="E183" i="2"/>
  <c r="S183" i="2"/>
  <c r="J183" i="2"/>
  <c r="L81" i="3"/>
  <c r="U81" i="3"/>
  <c r="I81" i="3"/>
  <c r="M81" i="3"/>
  <c r="K81" i="3"/>
  <c r="J81" i="3"/>
  <c r="H81" i="3"/>
  <c r="W81" i="3"/>
  <c r="V81" i="3"/>
  <c r="N81" i="3"/>
  <c r="O81" i="3"/>
  <c r="W128" i="3"/>
  <c r="K128" i="3"/>
  <c r="T128" i="3"/>
  <c r="H128" i="3"/>
  <c r="S128" i="3"/>
  <c r="L128" i="3"/>
  <c r="J128" i="3"/>
  <c r="V128" i="3"/>
  <c r="P128" i="3"/>
  <c r="O128" i="3"/>
  <c r="N128" i="3"/>
  <c r="M128" i="3"/>
  <c r="I128" i="3"/>
  <c r="Q128" i="3"/>
  <c r="U128" i="3"/>
  <c r="R128" i="3"/>
  <c r="O108" i="3"/>
  <c r="L108" i="3"/>
  <c r="W108" i="3"/>
  <c r="I108" i="3"/>
  <c r="V108" i="3"/>
  <c r="H108" i="3"/>
  <c r="T108" i="3"/>
  <c r="S108" i="3"/>
  <c r="M108" i="3"/>
  <c r="K108" i="3"/>
  <c r="J108" i="3"/>
  <c r="N108" i="3"/>
  <c r="Q108" i="3"/>
  <c r="P108" i="3"/>
  <c r="U18" i="3"/>
  <c r="I18" i="3"/>
  <c r="T18" i="3"/>
  <c r="H18" i="3"/>
  <c r="S18" i="3"/>
  <c r="R18" i="3"/>
  <c r="Q18" i="3"/>
  <c r="J18" i="3"/>
  <c r="W18" i="3"/>
  <c r="K18" i="3"/>
  <c r="L57" i="3"/>
  <c r="V57" i="3"/>
  <c r="I57" i="3"/>
  <c r="U57" i="3"/>
  <c r="H57" i="3"/>
  <c r="T57" i="3"/>
  <c r="S57" i="3"/>
  <c r="R57" i="3"/>
  <c r="W57" i="3"/>
  <c r="J57" i="3"/>
  <c r="N80" i="2"/>
  <c r="H86" i="2"/>
  <c r="U86" i="2"/>
  <c r="J89" i="2"/>
  <c r="J107" i="2"/>
  <c r="J125" i="2"/>
  <c r="J143" i="2"/>
  <c r="N173" i="2"/>
  <c r="L177" i="2"/>
  <c r="K177" i="2"/>
  <c r="U177" i="2"/>
  <c r="I177" i="2"/>
  <c r="H177" i="2"/>
  <c r="G177" i="2"/>
  <c r="F177" i="2"/>
  <c r="E177" i="2"/>
  <c r="S177" i="2"/>
  <c r="J177" i="2"/>
  <c r="P183" i="2"/>
  <c r="H193" i="2"/>
  <c r="S193" i="2"/>
  <c r="G193" i="2"/>
  <c r="Q193" i="2"/>
  <c r="E193" i="2"/>
  <c r="I193" i="2"/>
  <c r="F193" i="2"/>
  <c r="U193" i="2"/>
  <c r="R193" i="2"/>
  <c r="J193" i="2"/>
  <c r="J200" i="2"/>
  <c r="U200" i="2"/>
  <c r="I200" i="2"/>
  <c r="H200" i="2"/>
  <c r="S200" i="2"/>
  <c r="G200" i="2"/>
  <c r="R200" i="2"/>
  <c r="F200" i="2"/>
  <c r="L200" i="2"/>
  <c r="K200" i="2"/>
  <c r="E200" i="2"/>
  <c r="M200" i="2"/>
  <c r="T29" i="3"/>
  <c r="H29" i="3"/>
  <c r="S29" i="3"/>
  <c r="R29" i="3"/>
  <c r="Q29" i="3"/>
  <c r="P29" i="3"/>
  <c r="I29" i="3"/>
  <c r="W29" i="3"/>
  <c r="V29" i="3"/>
  <c r="J29" i="3"/>
  <c r="R75" i="3"/>
  <c r="O75" i="3"/>
  <c r="L75" i="3"/>
  <c r="K75" i="3"/>
  <c r="M75" i="3"/>
  <c r="J75" i="3"/>
  <c r="I75" i="3"/>
  <c r="H75" i="3"/>
  <c r="W75" i="3"/>
  <c r="N75" i="3"/>
  <c r="P75" i="3"/>
  <c r="P81" i="3"/>
  <c r="T125" i="3"/>
  <c r="H125" i="3"/>
  <c r="Q125" i="3"/>
  <c r="P125" i="3"/>
  <c r="W125" i="3"/>
  <c r="V125" i="3"/>
  <c r="S125" i="3"/>
  <c r="R125" i="3"/>
  <c r="K125" i="3"/>
  <c r="J125" i="3"/>
  <c r="I125" i="3"/>
  <c r="L125" i="3"/>
  <c r="U125" i="3"/>
  <c r="O125" i="3"/>
  <c r="N125" i="3"/>
  <c r="M125" i="3"/>
  <c r="M76" i="2"/>
  <c r="O80" i="2"/>
  <c r="I86" i="2"/>
  <c r="K89" i="2"/>
  <c r="S95" i="2"/>
  <c r="G95" i="2"/>
  <c r="R95" i="2"/>
  <c r="F95" i="2"/>
  <c r="O95" i="2"/>
  <c r="K107" i="2"/>
  <c r="S113" i="2"/>
  <c r="G113" i="2"/>
  <c r="R113" i="2"/>
  <c r="F113" i="2"/>
  <c r="O113" i="2"/>
  <c r="K125" i="2"/>
  <c r="S131" i="2"/>
  <c r="G131" i="2"/>
  <c r="R131" i="2"/>
  <c r="F131" i="2"/>
  <c r="O131" i="2"/>
  <c r="K143" i="2"/>
  <c r="S161" i="2"/>
  <c r="G161" i="2"/>
  <c r="R161" i="2"/>
  <c r="F161" i="2"/>
  <c r="Q161" i="2"/>
  <c r="E161" i="2"/>
  <c r="P161" i="2"/>
  <c r="O161" i="2"/>
  <c r="H161" i="2"/>
  <c r="Q173" i="2"/>
  <c r="Q183" i="2"/>
  <c r="R192" i="2"/>
  <c r="F192" i="2"/>
  <c r="Q192" i="2"/>
  <c r="E192" i="2"/>
  <c r="O192" i="2"/>
  <c r="M192" i="2"/>
  <c r="L192" i="2"/>
  <c r="K192" i="2"/>
  <c r="J192" i="2"/>
  <c r="I192" i="2"/>
  <c r="N192" i="2"/>
  <c r="U42" i="3"/>
  <c r="I42" i="3"/>
  <c r="T42" i="3"/>
  <c r="H42" i="3"/>
  <c r="S42" i="3"/>
  <c r="R42" i="3"/>
  <c r="Q42" i="3"/>
  <c r="L42" i="3"/>
  <c r="K42" i="3"/>
  <c r="J42" i="3"/>
  <c r="M42" i="3"/>
  <c r="L69" i="3"/>
  <c r="U69" i="3"/>
  <c r="I69" i="3"/>
  <c r="S69" i="3"/>
  <c r="K69" i="3"/>
  <c r="J69" i="3"/>
  <c r="H69" i="3"/>
  <c r="W69" i="3"/>
  <c r="V69" i="3"/>
  <c r="N69" i="3"/>
  <c r="M69" i="3"/>
  <c r="O69" i="3"/>
  <c r="Q81" i="3"/>
  <c r="M129" i="3"/>
  <c r="L129" i="3"/>
  <c r="V129" i="3"/>
  <c r="I129" i="3"/>
  <c r="U129" i="3"/>
  <c r="H129" i="3"/>
  <c r="T129" i="3"/>
  <c r="S129" i="3"/>
  <c r="Q129" i="3"/>
  <c r="P129" i="3"/>
  <c r="K129" i="3"/>
  <c r="J129" i="3"/>
  <c r="N129" i="3"/>
  <c r="W129" i="3"/>
  <c r="R129" i="3"/>
  <c r="O129" i="3"/>
  <c r="N76" i="2"/>
  <c r="P80" i="2"/>
  <c r="J86" i="2"/>
  <c r="O87" i="2"/>
  <c r="N87" i="2"/>
  <c r="M87" i="2"/>
  <c r="L89" i="2"/>
  <c r="P95" i="2"/>
  <c r="K97" i="2"/>
  <c r="J97" i="2"/>
  <c r="O97" i="2"/>
  <c r="Q100" i="2"/>
  <c r="E100" i="2"/>
  <c r="P100" i="2"/>
  <c r="N100" i="2"/>
  <c r="O105" i="2"/>
  <c r="N105" i="2"/>
  <c r="M105" i="2"/>
  <c r="L107" i="2"/>
  <c r="K115" i="2"/>
  <c r="J115" i="2"/>
  <c r="O115" i="2"/>
  <c r="Q118" i="2"/>
  <c r="E118" i="2"/>
  <c r="P118" i="2"/>
  <c r="N118" i="2"/>
  <c r="O123" i="2"/>
  <c r="N123" i="2"/>
  <c r="M123" i="2"/>
  <c r="L125" i="2"/>
  <c r="P131" i="2"/>
  <c r="K133" i="2"/>
  <c r="J133" i="2"/>
  <c r="O133" i="2"/>
  <c r="Q136" i="2"/>
  <c r="E136" i="2"/>
  <c r="P136" i="2"/>
  <c r="N136" i="2"/>
  <c r="O141" i="2"/>
  <c r="N141" i="2"/>
  <c r="M141" i="2"/>
  <c r="L143" i="2"/>
  <c r="Q151" i="2"/>
  <c r="U162" i="2"/>
  <c r="I162" i="2"/>
  <c r="H162" i="2"/>
  <c r="S162" i="2"/>
  <c r="G162" i="2"/>
  <c r="R162" i="2"/>
  <c r="F162" i="2"/>
  <c r="Q162" i="2"/>
  <c r="E162" i="2"/>
  <c r="J162" i="2"/>
  <c r="K163" i="2"/>
  <c r="J163" i="2"/>
  <c r="U163" i="2"/>
  <c r="I163" i="2"/>
  <c r="H163" i="2"/>
  <c r="S163" i="2"/>
  <c r="G163" i="2"/>
  <c r="L163" i="2"/>
  <c r="R173" i="2"/>
  <c r="H181" i="2"/>
  <c r="S181" i="2"/>
  <c r="G181" i="2"/>
  <c r="Q181" i="2"/>
  <c r="E181" i="2"/>
  <c r="I181" i="2"/>
  <c r="F181" i="2"/>
  <c r="U181" i="2"/>
  <c r="R181" i="2"/>
  <c r="J181" i="2"/>
  <c r="R183" i="2"/>
  <c r="R204" i="2"/>
  <c r="F204" i="2"/>
  <c r="Q204" i="2"/>
  <c r="E204" i="2"/>
  <c r="P204" i="2"/>
  <c r="O204" i="2"/>
  <c r="N204" i="2"/>
  <c r="L204" i="2"/>
  <c r="K204" i="2"/>
  <c r="J204" i="2"/>
  <c r="I204" i="2"/>
  <c r="H204" i="2"/>
  <c r="M204" i="2"/>
  <c r="R210" i="2"/>
  <c r="F210" i="2"/>
  <c r="Q210" i="2"/>
  <c r="E210" i="2"/>
  <c r="P210" i="2"/>
  <c r="O210" i="2"/>
  <c r="N210" i="2"/>
  <c r="J210" i="2"/>
  <c r="I210" i="2"/>
  <c r="H210" i="2"/>
  <c r="G210" i="2"/>
  <c r="K210" i="2"/>
  <c r="W32" i="3"/>
  <c r="K32" i="3"/>
  <c r="V32" i="3"/>
  <c r="J32" i="3"/>
  <c r="U32" i="3"/>
  <c r="I32" i="3"/>
  <c r="T32" i="3"/>
  <c r="H32" i="3"/>
  <c r="S32" i="3"/>
  <c r="L32" i="3"/>
  <c r="M32" i="3"/>
  <c r="T53" i="3"/>
  <c r="H53" i="3"/>
  <c r="W53" i="3"/>
  <c r="J53" i="3"/>
  <c r="V53" i="3"/>
  <c r="I53" i="3"/>
  <c r="U53" i="3"/>
  <c r="S53" i="3"/>
  <c r="R53" i="3"/>
  <c r="N53" i="3"/>
  <c r="M53" i="3"/>
  <c r="L53" i="3"/>
  <c r="K53" i="3"/>
  <c r="O53" i="3"/>
  <c r="R81" i="3"/>
  <c r="V91" i="3"/>
  <c r="J91" i="3"/>
  <c r="S91" i="3"/>
  <c r="W91" i="3"/>
  <c r="H91" i="3"/>
  <c r="U91" i="3"/>
  <c r="R91" i="3"/>
  <c r="K91" i="3"/>
  <c r="I91" i="3"/>
  <c r="L91" i="3"/>
  <c r="O91" i="3"/>
  <c r="N91" i="3"/>
  <c r="M91" i="3"/>
  <c r="Q91" i="3"/>
  <c r="P91" i="3"/>
  <c r="L75" i="2"/>
  <c r="O76" i="2"/>
  <c r="N79" i="2"/>
  <c r="Q80" i="2"/>
  <c r="R83" i="2"/>
  <c r="F83" i="2"/>
  <c r="N83" i="2"/>
  <c r="K86" i="2"/>
  <c r="P87" i="2"/>
  <c r="M89" i="2"/>
  <c r="Q95" i="2"/>
  <c r="P97" i="2"/>
  <c r="O100" i="2"/>
  <c r="U102" i="2"/>
  <c r="I102" i="2"/>
  <c r="H102" i="2"/>
  <c r="O102" i="2"/>
  <c r="P105" i="2"/>
  <c r="M107" i="2"/>
  <c r="Q113" i="2"/>
  <c r="P115" i="2"/>
  <c r="O118" i="2"/>
  <c r="U120" i="2"/>
  <c r="I120" i="2"/>
  <c r="H120" i="2"/>
  <c r="O120" i="2"/>
  <c r="P123" i="2"/>
  <c r="M125" i="2"/>
  <c r="Q131" i="2"/>
  <c r="P133" i="2"/>
  <c r="O136" i="2"/>
  <c r="U138" i="2"/>
  <c r="I138" i="2"/>
  <c r="H138" i="2"/>
  <c r="O138" i="2"/>
  <c r="P141" i="2"/>
  <c r="M143" i="2"/>
  <c r="S149" i="2"/>
  <c r="G149" i="2"/>
  <c r="R149" i="2"/>
  <c r="F149" i="2"/>
  <c r="Q149" i="2"/>
  <c r="E149" i="2"/>
  <c r="P149" i="2"/>
  <c r="O149" i="2"/>
  <c r="H149" i="2"/>
  <c r="R180" i="2"/>
  <c r="F180" i="2"/>
  <c r="Q180" i="2"/>
  <c r="E180" i="2"/>
  <c r="O180" i="2"/>
  <c r="M180" i="2"/>
  <c r="L180" i="2"/>
  <c r="K180" i="2"/>
  <c r="J180" i="2"/>
  <c r="I180" i="2"/>
  <c r="N180" i="2"/>
  <c r="L195" i="2"/>
  <c r="K195" i="2"/>
  <c r="U195" i="2"/>
  <c r="I195" i="2"/>
  <c r="H195" i="2"/>
  <c r="J195" i="2"/>
  <c r="G195" i="2"/>
  <c r="F195" i="2"/>
  <c r="E195" i="2"/>
  <c r="M195" i="2"/>
  <c r="S81" i="3"/>
  <c r="R108" i="3"/>
  <c r="M75" i="2"/>
  <c r="Q76" i="2"/>
  <c r="E80" i="2"/>
  <c r="R80" i="2"/>
  <c r="M86" i="2"/>
  <c r="Q87" i="2"/>
  <c r="N89" i="2"/>
  <c r="Q97" i="2"/>
  <c r="R100" i="2"/>
  <c r="Q105" i="2"/>
  <c r="N107" i="2"/>
  <c r="Q115" i="2"/>
  <c r="R118" i="2"/>
  <c r="Q123" i="2"/>
  <c r="N125" i="2"/>
  <c r="Q133" i="2"/>
  <c r="R136" i="2"/>
  <c r="Q141" i="2"/>
  <c r="N143" i="2"/>
  <c r="U150" i="2"/>
  <c r="I150" i="2"/>
  <c r="H150" i="2"/>
  <c r="S150" i="2"/>
  <c r="G150" i="2"/>
  <c r="R150" i="2"/>
  <c r="F150" i="2"/>
  <c r="Q150" i="2"/>
  <c r="E150" i="2"/>
  <c r="J150" i="2"/>
  <c r="K151" i="2"/>
  <c r="J151" i="2"/>
  <c r="U151" i="2"/>
  <c r="I151" i="2"/>
  <c r="H151" i="2"/>
  <c r="S151" i="2"/>
  <c r="G151" i="2"/>
  <c r="L151" i="2"/>
  <c r="M177" i="2"/>
  <c r="K193" i="2"/>
  <c r="H199" i="2"/>
  <c r="S199" i="2"/>
  <c r="G199" i="2"/>
  <c r="R199" i="2"/>
  <c r="F199" i="2"/>
  <c r="Q199" i="2"/>
  <c r="E199" i="2"/>
  <c r="P199" i="2"/>
  <c r="M199" i="2"/>
  <c r="L199" i="2"/>
  <c r="K199" i="2"/>
  <c r="J199" i="2"/>
  <c r="I199" i="2"/>
  <c r="N199" i="2"/>
  <c r="N200" i="2"/>
  <c r="L18" i="3"/>
  <c r="M22" i="3"/>
  <c r="L22" i="3"/>
  <c r="W22" i="3"/>
  <c r="K22" i="3"/>
  <c r="V22" i="3"/>
  <c r="J22" i="3"/>
  <c r="U22" i="3"/>
  <c r="I22" i="3"/>
  <c r="N22" i="3"/>
  <c r="H22" i="3"/>
  <c r="O22" i="3"/>
  <c r="V31" i="3"/>
  <c r="J31" i="3"/>
  <c r="U31" i="3"/>
  <c r="I31" i="3"/>
  <c r="T31" i="3"/>
  <c r="H31" i="3"/>
  <c r="S31" i="3"/>
  <c r="R31" i="3"/>
  <c r="N31" i="3"/>
  <c r="M31" i="3"/>
  <c r="L31" i="3"/>
  <c r="K31" i="3"/>
  <c r="O31" i="3"/>
  <c r="K57" i="3"/>
  <c r="V67" i="3"/>
  <c r="J67" i="3"/>
  <c r="S67" i="3"/>
  <c r="W67" i="3"/>
  <c r="H67" i="3"/>
  <c r="L67" i="3"/>
  <c r="K67" i="3"/>
  <c r="I67" i="3"/>
  <c r="U67" i="3"/>
  <c r="Q67" i="3"/>
  <c r="P67" i="3"/>
  <c r="O67" i="3"/>
  <c r="N67" i="3"/>
  <c r="M67" i="3"/>
  <c r="R67" i="3"/>
  <c r="T81" i="3"/>
  <c r="R99" i="3"/>
  <c r="O99" i="3"/>
  <c r="L99" i="3"/>
  <c r="K99" i="3"/>
  <c r="W99" i="3"/>
  <c r="I99" i="3"/>
  <c r="V99" i="3"/>
  <c r="H99" i="3"/>
  <c r="M99" i="3"/>
  <c r="J99" i="3"/>
  <c r="N99" i="3"/>
  <c r="T99" i="3"/>
  <c r="S99" i="3"/>
  <c r="Q99" i="3"/>
  <c r="P99" i="3"/>
  <c r="U99" i="3"/>
  <c r="U108" i="3"/>
  <c r="P147" i="2"/>
  <c r="F148" i="2"/>
  <c r="R148" i="2"/>
  <c r="P153" i="2"/>
  <c r="F154" i="2"/>
  <c r="R154" i="2"/>
  <c r="P159" i="2"/>
  <c r="F160" i="2"/>
  <c r="R160" i="2"/>
  <c r="P165" i="2"/>
  <c r="F166" i="2"/>
  <c r="R166" i="2"/>
  <c r="P171" i="2"/>
  <c r="R198" i="2"/>
  <c r="F198" i="2"/>
  <c r="Q198" i="2"/>
  <c r="E198" i="2"/>
  <c r="P198" i="2"/>
  <c r="O198" i="2"/>
  <c r="N198" i="2"/>
  <c r="T17" i="3"/>
  <c r="H17" i="3"/>
  <c r="S17" i="3"/>
  <c r="R17" i="3"/>
  <c r="Q17" i="3"/>
  <c r="P17" i="3"/>
  <c r="O17" i="3"/>
  <c r="W20" i="3"/>
  <c r="K20" i="3"/>
  <c r="V20" i="3"/>
  <c r="J20" i="3"/>
  <c r="U20" i="3"/>
  <c r="I20" i="3"/>
  <c r="T20" i="3"/>
  <c r="H20" i="3"/>
  <c r="S20" i="3"/>
  <c r="R20" i="3"/>
  <c r="L45" i="3"/>
  <c r="W45" i="3"/>
  <c r="K45" i="3"/>
  <c r="V45" i="3"/>
  <c r="J45" i="3"/>
  <c r="U45" i="3"/>
  <c r="I45" i="3"/>
  <c r="T45" i="3"/>
  <c r="H45" i="3"/>
  <c r="S45" i="3"/>
  <c r="P61" i="3"/>
  <c r="M61" i="3"/>
  <c r="L61" i="3"/>
  <c r="W61" i="3"/>
  <c r="H61" i="3"/>
  <c r="V61" i="3"/>
  <c r="U61" i="3"/>
  <c r="T61" i="3"/>
  <c r="S61" i="3"/>
  <c r="R61" i="3"/>
  <c r="R97" i="3"/>
  <c r="O109" i="3"/>
  <c r="U102" i="3"/>
  <c r="I102" i="3"/>
  <c r="R102" i="3"/>
  <c r="K102" i="3"/>
  <c r="J102" i="3"/>
  <c r="V102" i="3"/>
  <c r="T102" i="3"/>
  <c r="W102" i="3"/>
  <c r="S102" i="3"/>
  <c r="H102" i="3"/>
  <c r="U126" i="3"/>
  <c r="I126" i="3"/>
  <c r="R126" i="3"/>
  <c r="Q126" i="3"/>
  <c r="M126" i="3"/>
  <c r="L126" i="3"/>
  <c r="J126" i="3"/>
  <c r="H126" i="3"/>
  <c r="W126" i="3"/>
  <c r="K126" i="3"/>
  <c r="P97" i="3"/>
  <c r="M97" i="3"/>
  <c r="T97" i="3"/>
  <c r="S97" i="3"/>
  <c r="Q97" i="3"/>
  <c r="O97" i="3"/>
  <c r="K97" i="3"/>
  <c r="J97" i="3"/>
  <c r="I97" i="3"/>
  <c r="H97" i="3"/>
  <c r="L97" i="3"/>
  <c r="P109" i="3"/>
  <c r="M109" i="3"/>
  <c r="L109" i="3"/>
  <c r="K109" i="3"/>
  <c r="W109" i="3"/>
  <c r="I109" i="3"/>
  <c r="V109" i="3"/>
  <c r="H109" i="3"/>
  <c r="U109" i="3"/>
  <c r="J109" i="3"/>
  <c r="Q133" i="3"/>
  <c r="U133" i="3"/>
  <c r="H133" i="3"/>
  <c r="R133" i="3"/>
  <c r="P133" i="3"/>
  <c r="L133" i="3"/>
  <c r="K133" i="3"/>
  <c r="I133" i="3"/>
  <c r="S133" i="3"/>
  <c r="O133" i="3"/>
  <c r="N133" i="3"/>
  <c r="M133" i="3"/>
  <c r="J133" i="3"/>
  <c r="T133" i="3"/>
  <c r="K147" i="2"/>
  <c r="M148" i="2"/>
  <c r="K153" i="2"/>
  <c r="M154" i="2"/>
  <c r="K159" i="2"/>
  <c r="M160" i="2"/>
  <c r="K165" i="2"/>
  <c r="M166" i="2"/>
  <c r="K171" i="2"/>
  <c r="J198" i="2"/>
  <c r="L201" i="2"/>
  <c r="K201" i="2"/>
  <c r="J201" i="2"/>
  <c r="U201" i="2"/>
  <c r="I201" i="2"/>
  <c r="H201" i="2"/>
  <c r="R201" i="2"/>
  <c r="J206" i="2"/>
  <c r="U206" i="2"/>
  <c r="I206" i="2"/>
  <c r="H206" i="2"/>
  <c r="S206" i="2"/>
  <c r="G206" i="2"/>
  <c r="R206" i="2"/>
  <c r="F206" i="2"/>
  <c r="J17" i="3"/>
  <c r="M20" i="3"/>
  <c r="L33" i="3"/>
  <c r="W33" i="3"/>
  <c r="K33" i="3"/>
  <c r="V33" i="3"/>
  <c r="J33" i="3"/>
  <c r="U33" i="3"/>
  <c r="I33" i="3"/>
  <c r="T33" i="3"/>
  <c r="H33" i="3"/>
  <c r="S33" i="3"/>
  <c r="V43" i="3"/>
  <c r="J43" i="3"/>
  <c r="U43" i="3"/>
  <c r="I43" i="3"/>
  <c r="T43" i="3"/>
  <c r="H43" i="3"/>
  <c r="S43" i="3"/>
  <c r="R43" i="3"/>
  <c r="Q43" i="3"/>
  <c r="N45" i="3"/>
  <c r="J61" i="3"/>
  <c r="T65" i="3"/>
  <c r="H65" i="3"/>
  <c r="Q65" i="3"/>
  <c r="M65" i="3"/>
  <c r="N65" i="3"/>
  <c r="L65" i="3"/>
  <c r="K65" i="3"/>
  <c r="J65" i="3"/>
  <c r="I65" i="3"/>
  <c r="W65" i="3"/>
  <c r="L102" i="3"/>
  <c r="R123" i="3"/>
  <c r="O123" i="3"/>
  <c r="L123" i="3"/>
  <c r="K123" i="3"/>
  <c r="W123" i="3"/>
  <c r="I123" i="3"/>
  <c r="V123" i="3"/>
  <c r="H123" i="3"/>
  <c r="U123" i="3"/>
  <c r="J123" i="3"/>
  <c r="N126" i="3"/>
  <c r="L147" i="2"/>
  <c r="N148" i="2"/>
  <c r="L153" i="2"/>
  <c r="N154" i="2"/>
  <c r="L159" i="2"/>
  <c r="N160" i="2"/>
  <c r="L165" i="2"/>
  <c r="N166" i="2"/>
  <c r="L171" i="2"/>
  <c r="K198" i="2"/>
  <c r="S201" i="2"/>
  <c r="K17" i="3"/>
  <c r="N20" i="3"/>
  <c r="W43" i="3"/>
  <c r="O45" i="3"/>
  <c r="K61" i="3"/>
  <c r="M102" i="3"/>
  <c r="U114" i="3"/>
  <c r="I114" i="3"/>
  <c r="R114" i="3"/>
  <c r="Q114" i="3"/>
  <c r="P114" i="3"/>
  <c r="N114" i="3"/>
  <c r="M114" i="3"/>
  <c r="H114" i="3"/>
  <c r="W114" i="3"/>
  <c r="J114" i="3"/>
  <c r="O126" i="3"/>
  <c r="M141" i="3"/>
  <c r="V141" i="3"/>
  <c r="J141" i="3"/>
  <c r="O141" i="3"/>
  <c r="K141" i="3"/>
  <c r="I141" i="3"/>
  <c r="H141" i="3"/>
  <c r="W141" i="3"/>
  <c r="U141" i="3"/>
  <c r="N141" i="3"/>
  <c r="L141" i="3"/>
  <c r="Q141" i="3"/>
  <c r="P141" i="3"/>
  <c r="T150" i="3"/>
  <c r="H150" i="3"/>
  <c r="N150" i="3"/>
  <c r="K150" i="3"/>
  <c r="J150" i="3"/>
  <c r="V150" i="3"/>
  <c r="U150" i="3"/>
  <c r="Q150" i="3"/>
  <c r="P150" i="3"/>
  <c r="M150" i="3"/>
  <c r="L150" i="3"/>
  <c r="O150" i="3"/>
  <c r="I150" i="3"/>
  <c r="M147" i="2"/>
  <c r="O148" i="2"/>
  <c r="M153" i="2"/>
  <c r="O154" i="2"/>
  <c r="M159" i="2"/>
  <c r="O160" i="2"/>
  <c r="M165" i="2"/>
  <c r="O166" i="2"/>
  <c r="M171" i="2"/>
  <c r="L198" i="2"/>
  <c r="L207" i="2"/>
  <c r="K207" i="2"/>
  <c r="J207" i="2"/>
  <c r="U207" i="2"/>
  <c r="I207" i="2"/>
  <c r="H207" i="2"/>
  <c r="R207" i="2"/>
  <c r="L17" i="3"/>
  <c r="V19" i="3"/>
  <c r="J19" i="3"/>
  <c r="U19" i="3"/>
  <c r="I19" i="3"/>
  <c r="T19" i="3"/>
  <c r="H19" i="3"/>
  <c r="S19" i="3"/>
  <c r="R19" i="3"/>
  <c r="Q19" i="3"/>
  <c r="O20" i="3"/>
  <c r="M34" i="3"/>
  <c r="L34" i="3"/>
  <c r="W34" i="3"/>
  <c r="K34" i="3"/>
  <c r="V34" i="3"/>
  <c r="J34" i="3"/>
  <c r="U34" i="3"/>
  <c r="I34" i="3"/>
  <c r="S34" i="3"/>
  <c r="P45" i="3"/>
  <c r="S52" i="3"/>
  <c r="T52" i="3"/>
  <c r="R52" i="3"/>
  <c r="Q52" i="3"/>
  <c r="P52" i="3"/>
  <c r="O52" i="3"/>
  <c r="N52" i="3"/>
  <c r="M58" i="3"/>
  <c r="S58" i="3"/>
  <c r="K58" i="3"/>
  <c r="J58" i="3"/>
  <c r="W58" i="3"/>
  <c r="I58" i="3"/>
  <c r="V58" i="3"/>
  <c r="H58" i="3"/>
  <c r="U58" i="3"/>
  <c r="T58" i="3"/>
  <c r="N61" i="3"/>
  <c r="N102" i="3"/>
  <c r="P126" i="3"/>
  <c r="L92" i="2"/>
  <c r="L98" i="2"/>
  <c r="L104" i="2"/>
  <c r="L110" i="2"/>
  <c r="L116" i="2"/>
  <c r="L122" i="2"/>
  <c r="L128" i="2"/>
  <c r="L134" i="2"/>
  <c r="L140" i="2"/>
  <c r="L146" i="2"/>
  <c r="N147" i="2"/>
  <c r="P148" i="2"/>
  <c r="L152" i="2"/>
  <c r="N153" i="2"/>
  <c r="P154" i="2"/>
  <c r="L158" i="2"/>
  <c r="N159" i="2"/>
  <c r="P160" i="2"/>
  <c r="L164" i="2"/>
  <c r="N165" i="2"/>
  <c r="P166" i="2"/>
  <c r="L170" i="2"/>
  <c r="N171" i="2"/>
  <c r="M198" i="2"/>
  <c r="S207" i="2"/>
  <c r="M17" i="3"/>
  <c r="W19" i="3"/>
  <c r="P20" i="3"/>
  <c r="U30" i="3"/>
  <c r="I30" i="3"/>
  <c r="T30" i="3"/>
  <c r="H30" i="3"/>
  <c r="S30" i="3"/>
  <c r="R30" i="3"/>
  <c r="Q30" i="3"/>
  <c r="P30" i="3"/>
  <c r="T34" i="3"/>
  <c r="T41" i="3"/>
  <c r="H41" i="3"/>
  <c r="S41" i="3"/>
  <c r="R41" i="3"/>
  <c r="Q41" i="3"/>
  <c r="P41" i="3"/>
  <c r="O41" i="3"/>
  <c r="W44" i="3"/>
  <c r="K44" i="3"/>
  <c r="V44" i="3"/>
  <c r="J44" i="3"/>
  <c r="U44" i="3"/>
  <c r="I44" i="3"/>
  <c r="T44" i="3"/>
  <c r="H44" i="3"/>
  <c r="S44" i="3"/>
  <c r="R44" i="3"/>
  <c r="Q45" i="3"/>
  <c r="U52" i="3"/>
  <c r="O61" i="3"/>
  <c r="P85" i="3"/>
  <c r="M85" i="3"/>
  <c r="L85" i="3"/>
  <c r="K85" i="3"/>
  <c r="W85" i="3"/>
  <c r="I85" i="3"/>
  <c r="V85" i="3"/>
  <c r="U85" i="3"/>
  <c r="T85" i="3"/>
  <c r="H85" i="3"/>
  <c r="T89" i="3"/>
  <c r="H89" i="3"/>
  <c r="Q89" i="3"/>
  <c r="M89" i="3"/>
  <c r="L89" i="3"/>
  <c r="J89" i="3"/>
  <c r="W89" i="3"/>
  <c r="V89" i="3"/>
  <c r="U89" i="3"/>
  <c r="I89" i="3"/>
  <c r="O102" i="3"/>
  <c r="T113" i="3"/>
  <c r="H113" i="3"/>
  <c r="Q113" i="3"/>
  <c r="M113" i="3"/>
  <c r="L113" i="3"/>
  <c r="J113" i="3"/>
  <c r="W113" i="3"/>
  <c r="I113" i="3"/>
  <c r="P113" i="3"/>
  <c r="O113" i="3"/>
  <c r="N113" i="3"/>
  <c r="K113" i="3"/>
  <c r="R113" i="3"/>
  <c r="S126" i="3"/>
  <c r="R148" i="3"/>
  <c r="V148" i="3"/>
  <c r="I148" i="3"/>
  <c r="S148" i="3"/>
  <c r="L148" i="3"/>
  <c r="H148" i="3"/>
  <c r="W148" i="3"/>
  <c r="K148" i="3"/>
  <c r="J148" i="3"/>
  <c r="P148" i="3"/>
  <c r="O148" i="3"/>
  <c r="N148" i="3"/>
  <c r="M148" i="3"/>
  <c r="T148" i="3"/>
  <c r="Q148" i="3"/>
  <c r="V173" i="3"/>
  <c r="J173" i="3"/>
  <c r="S173" i="3"/>
  <c r="T173" i="3"/>
  <c r="P173" i="3"/>
  <c r="L173" i="3"/>
  <c r="H173" i="3"/>
  <c r="N173" i="3"/>
  <c r="M173" i="3"/>
  <c r="I173" i="3"/>
  <c r="O173" i="3"/>
  <c r="K173" i="3"/>
  <c r="R173" i="3"/>
  <c r="Q173" i="3"/>
  <c r="E148" i="2"/>
  <c r="E154" i="2"/>
  <c r="E160" i="2"/>
  <c r="E166" i="2"/>
  <c r="R174" i="2"/>
  <c r="F174" i="2"/>
  <c r="Q174" i="2"/>
  <c r="E174" i="2"/>
  <c r="O174" i="2"/>
  <c r="J176" i="2"/>
  <c r="U176" i="2"/>
  <c r="I176" i="2"/>
  <c r="S176" i="2"/>
  <c r="G176" i="2"/>
  <c r="P176" i="2"/>
  <c r="J182" i="2"/>
  <c r="U182" i="2"/>
  <c r="I182" i="2"/>
  <c r="S182" i="2"/>
  <c r="G182" i="2"/>
  <c r="P182" i="2"/>
  <c r="J188" i="2"/>
  <c r="U188" i="2"/>
  <c r="I188" i="2"/>
  <c r="S188" i="2"/>
  <c r="G188" i="2"/>
  <c r="P188" i="2"/>
  <c r="J194" i="2"/>
  <c r="U194" i="2"/>
  <c r="I194" i="2"/>
  <c r="S194" i="2"/>
  <c r="G194" i="2"/>
  <c r="P194" i="2"/>
  <c r="S198" i="2"/>
  <c r="E201" i="2"/>
  <c r="E206" i="2"/>
  <c r="N17" i="3"/>
  <c r="Q20" i="3"/>
  <c r="S28" i="3"/>
  <c r="R28" i="3"/>
  <c r="Q28" i="3"/>
  <c r="P28" i="3"/>
  <c r="O28" i="3"/>
  <c r="N28" i="3"/>
  <c r="R45" i="3"/>
  <c r="V52" i="3"/>
  <c r="Q61" i="3"/>
  <c r="O84" i="3"/>
  <c r="L84" i="3"/>
  <c r="W84" i="3"/>
  <c r="I84" i="3"/>
  <c r="V84" i="3"/>
  <c r="H84" i="3"/>
  <c r="T84" i="3"/>
  <c r="N84" i="3"/>
  <c r="M84" i="3"/>
  <c r="K84" i="3"/>
  <c r="J84" i="3"/>
  <c r="P84" i="3"/>
  <c r="S88" i="3"/>
  <c r="P88" i="3"/>
  <c r="W88" i="3"/>
  <c r="I88" i="3"/>
  <c r="V88" i="3"/>
  <c r="H88" i="3"/>
  <c r="T88" i="3"/>
  <c r="M88" i="3"/>
  <c r="L88" i="3"/>
  <c r="K88" i="3"/>
  <c r="J88" i="3"/>
  <c r="N88" i="3"/>
  <c r="M94" i="3"/>
  <c r="V94" i="3"/>
  <c r="J94" i="3"/>
  <c r="I94" i="3"/>
  <c r="W94" i="3"/>
  <c r="H94" i="3"/>
  <c r="T94" i="3"/>
  <c r="K94" i="3"/>
  <c r="U94" i="3"/>
  <c r="L94" i="3"/>
  <c r="N97" i="3"/>
  <c r="P102" i="3"/>
  <c r="N109" i="3"/>
  <c r="T126" i="3"/>
  <c r="O131" i="3"/>
  <c r="Q131" i="3"/>
  <c r="M131" i="3"/>
  <c r="L131" i="3"/>
  <c r="P131" i="3"/>
  <c r="N131" i="3"/>
  <c r="J131" i="3"/>
  <c r="I131" i="3"/>
  <c r="R131" i="3"/>
  <c r="K131" i="3"/>
  <c r="H131" i="3"/>
  <c r="S131" i="3"/>
  <c r="V133" i="3"/>
  <c r="L140" i="3"/>
  <c r="U140" i="3"/>
  <c r="I140" i="3"/>
  <c r="J140" i="3"/>
  <c r="T140" i="3"/>
  <c r="S140" i="3"/>
  <c r="P140" i="3"/>
  <c r="O140" i="3"/>
  <c r="M140" i="3"/>
  <c r="K140" i="3"/>
  <c r="Q140" i="3"/>
  <c r="N140" i="3"/>
  <c r="H140" i="3"/>
  <c r="R140" i="3"/>
  <c r="W116" i="3"/>
  <c r="K116" i="3"/>
  <c r="T116" i="3"/>
  <c r="H116" i="3"/>
  <c r="N116" i="3"/>
  <c r="M116" i="3"/>
  <c r="J116" i="3"/>
  <c r="I116" i="3"/>
  <c r="U116" i="3"/>
  <c r="S194" i="3"/>
  <c r="P194" i="3"/>
  <c r="W194" i="3"/>
  <c r="I194" i="3"/>
  <c r="T194" i="3"/>
  <c r="L194" i="3"/>
  <c r="H194" i="3"/>
  <c r="M194" i="3"/>
  <c r="K194" i="3"/>
  <c r="V194" i="3"/>
  <c r="W198" i="3"/>
  <c r="K198" i="3"/>
  <c r="T198" i="3"/>
  <c r="H198" i="3"/>
  <c r="N198" i="3"/>
  <c r="J198" i="3"/>
  <c r="P198" i="3"/>
  <c r="L198" i="3"/>
  <c r="I198" i="3"/>
  <c r="V198" i="3"/>
  <c r="S158" i="3"/>
  <c r="P158" i="3"/>
  <c r="L158" i="3"/>
  <c r="W158" i="3"/>
  <c r="I158" i="3"/>
  <c r="M158" i="3"/>
  <c r="H158" i="3"/>
  <c r="J158" i="3"/>
  <c r="V158" i="3"/>
  <c r="U158" i="3"/>
  <c r="O166" i="3"/>
  <c r="L166" i="3"/>
  <c r="V166" i="3"/>
  <c r="H166" i="3"/>
  <c r="S166" i="3"/>
  <c r="N166" i="3"/>
  <c r="J166" i="3"/>
  <c r="I166" i="3"/>
  <c r="Q166" i="3"/>
  <c r="P166" i="3"/>
  <c r="K166" i="3"/>
  <c r="L13" i="3"/>
  <c r="N15" i="3"/>
  <c r="L25" i="3"/>
  <c r="N27" i="3"/>
  <c r="L37" i="3"/>
  <c r="N39" i="3"/>
  <c r="L49" i="3"/>
  <c r="N51" i="3"/>
  <c r="W56" i="3"/>
  <c r="K56" i="3"/>
  <c r="O56" i="3"/>
  <c r="M60" i="3"/>
  <c r="O68" i="3"/>
  <c r="N115" i="3"/>
  <c r="O116" i="3"/>
  <c r="S135" i="3"/>
  <c r="P135" i="3"/>
  <c r="M135" i="3"/>
  <c r="J135" i="3"/>
  <c r="W135" i="3"/>
  <c r="I135" i="3"/>
  <c r="N135" i="3"/>
  <c r="L135" i="3"/>
  <c r="H135" i="3"/>
  <c r="V135" i="3"/>
  <c r="P144" i="3"/>
  <c r="M144" i="3"/>
  <c r="J144" i="3"/>
  <c r="U144" i="3"/>
  <c r="T144" i="3"/>
  <c r="L144" i="3"/>
  <c r="K144" i="3"/>
  <c r="H144" i="3"/>
  <c r="V144" i="3"/>
  <c r="R146" i="3"/>
  <c r="O146" i="3"/>
  <c r="Q146" i="3"/>
  <c r="M146" i="3"/>
  <c r="L146" i="3"/>
  <c r="H146" i="3"/>
  <c r="V146" i="3"/>
  <c r="U146" i="3"/>
  <c r="T146" i="3"/>
  <c r="K158" i="3"/>
  <c r="U160" i="3"/>
  <c r="I160" i="3"/>
  <c r="R160" i="3"/>
  <c r="V160" i="3"/>
  <c r="Q160" i="3"/>
  <c r="L160" i="3"/>
  <c r="H160" i="3"/>
  <c r="O160" i="3"/>
  <c r="N160" i="3"/>
  <c r="K160" i="3"/>
  <c r="J160" i="3"/>
  <c r="M166" i="3"/>
  <c r="N194" i="3"/>
  <c r="O198" i="3"/>
  <c r="T207" i="3"/>
  <c r="H207" i="3"/>
  <c r="Q207" i="3"/>
  <c r="V207" i="3"/>
  <c r="R207" i="3"/>
  <c r="K207" i="3"/>
  <c r="J207" i="3"/>
  <c r="W207" i="3"/>
  <c r="M207" i="3"/>
  <c r="I207" i="3"/>
  <c r="M179" i="2"/>
  <c r="M185" i="2"/>
  <c r="M191" i="2"/>
  <c r="M197" i="2"/>
  <c r="M203" i="2"/>
  <c r="M209" i="2"/>
  <c r="M13" i="3"/>
  <c r="N14" i="3"/>
  <c r="O15" i="3"/>
  <c r="M25" i="3"/>
  <c r="N26" i="3"/>
  <c r="O27" i="3"/>
  <c r="M37" i="3"/>
  <c r="N38" i="3"/>
  <c r="O39" i="3"/>
  <c r="M49" i="3"/>
  <c r="N50" i="3"/>
  <c r="O51" i="3"/>
  <c r="P56" i="3"/>
  <c r="U66" i="3"/>
  <c r="I66" i="3"/>
  <c r="R66" i="3"/>
  <c r="Q66" i="3"/>
  <c r="O66" i="3"/>
  <c r="R87" i="3"/>
  <c r="O87" i="3"/>
  <c r="T87" i="3"/>
  <c r="S87" i="3"/>
  <c r="P87" i="3"/>
  <c r="N87" i="3"/>
  <c r="W92" i="3"/>
  <c r="K92" i="3"/>
  <c r="T92" i="3"/>
  <c r="H92" i="3"/>
  <c r="N92" i="3"/>
  <c r="M92" i="3"/>
  <c r="J92" i="3"/>
  <c r="S92" i="3"/>
  <c r="L105" i="3"/>
  <c r="U105" i="3"/>
  <c r="I105" i="3"/>
  <c r="M105" i="3"/>
  <c r="K105" i="3"/>
  <c r="W105" i="3"/>
  <c r="H105" i="3"/>
  <c r="V105" i="3"/>
  <c r="S105" i="3"/>
  <c r="P116" i="3"/>
  <c r="M118" i="3"/>
  <c r="V118" i="3"/>
  <c r="J118" i="3"/>
  <c r="I118" i="3"/>
  <c r="W118" i="3"/>
  <c r="H118" i="3"/>
  <c r="T118" i="3"/>
  <c r="S118" i="3"/>
  <c r="R118" i="3"/>
  <c r="W144" i="3"/>
  <c r="W146" i="3"/>
  <c r="N158" i="3"/>
  <c r="R166" i="3"/>
  <c r="S170" i="3"/>
  <c r="P170" i="3"/>
  <c r="U170" i="3"/>
  <c r="Q170" i="3"/>
  <c r="W170" i="3"/>
  <c r="R170" i="3"/>
  <c r="O170" i="3"/>
  <c r="M170" i="3"/>
  <c r="L170" i="3"/>
  <c r="J170" i="3"/>
  <c r="I170" i="3"/>
  <c r="T171" i="3"/>
  <c r="H171" i="3"/>
  <c r="Q171" i="3"/>
  <c r="K171" i="3"/>
  <c r="V171" i="3"/>
  <c r="N171" i="3"/>
  <c r="J171" i="3"/>
  <c r="I171" i="3"/>
  <c r="M171" i="3"/>
  <c r="L171" i="3"/>
  <c r="L175" i="3"/>
  <c r="U175" i="3"/>
  <c r="I175" i="3"/>
  <c r="Q175" i="3"/>
  <c r="N175" i="3"/>
  <c r="O175" i="3"/>
  <c r="J175" i="3"/>
  <c r="H175" i="3"/>
  <c r="W175" i="3"/>
  <c r="T175" i="3"/>
  <c r="S175" i="3"/>
  <c r="O194" i="3"/>
  <c r="Q198" i="3"/>
  <c r="M200" i="3"/>
  <c r="V200" i="3"/>
  <c r="J200" i="3"/>
  <c r="I200" i="3"/>
  <c r="T200" i="3"/>
  <c r="P200" i="3"/>
  <c r="L200" i="3"/>
  <c r="K200" i="3"/>
  <c r="Q200" i="3"/>
  <c r="O200" i="3"/>
  <c r="H200" i="3"/>
  <c r="N13" i="3"/>
  <c r="N25" i="3"/>
  <c r="N37" i="3"/>
  <c r="N49" i="3"/>
  <c r="O60" i="3"/>
  <c r="W60" i="3"/>
  <c r="J60" i="3"/>
  <c r="P60" i="3"/>
  <c r="W68" i="3"/>
  <c r="K68" i="3"/>
  <c r="T68" i="3"/>
  <c r="H68" i="3"/>
  <c r="N68" i="3"/>
  <c r="Q68" i="3"/>
  <c r="V115" i="3"/>
  <c r="J115" i="3"/>
  <c r="S115" i="3"/>
  <c r="W115" i="3"/>
  <c r="H115" i="3"/>
  <c r="U115" i="3"/>
  <c r="R115" i="3"/>
  <c r="Q115" i="3"/>
  <c r="P115" i="3"/>
  <c r="Q116" i="3"/>
  <c r="O158" i="3"/>
  <c r="T166" i="3"/>
  <c r="Q194" i="3"/>
  <c r="R198" i="3"/>
  <c r="M172" i="2"/>
  <c r="M178" i="2"/>
  <c r="O179" i="2"/>
  <c r="M184" i="2"/>
  <c r="O185" i="2"/>
  <c r="M190" i="2"/>
  <c r="O191" i="2"/>
  <c r="M196" i="2"/>
  <c r="O197" i="2"/>
  <c r="M202" i="2"/>
  <c r="O203" i="2"/>
  <c r="M208" i="2"/>
  <c r="O209" i="2"/>
  <c r="N12" i="3"/>
  <c r="O13" i="3"/>
  <c r="P14" i="3"/>
  <c r="Q15" i="3"/>
  <c r="N24" i="3"/>
  <c r="O25" i="3"/>
  <c r="P26" i="3"/>
  <c r="Q27" i="3"/>
  <c r="N36" i="3"/>
  <c r="O37" i="3"/>
  <c r="P38" i="3"/>
  <c r="Q39" i="3"/>
  <c r="N48" i="3"/>
  <c r="O49" i="3"/>
  <c r="P50" i="3"/>
  <c r="Q51" i="3"/>
  <c r="V55" i="3"/>
  <c r="J55" i="3"/>
  <c r="O55" i="3"/>
  <c r="R56" i="3"/>
  <c r="Q60" i="3"/>
  <c r="R63" i="3"/>
  <c r="O63" i="3"/>
  <c r="T63" i="3"/>
  <c r="N63" i="3"/>
  <c r="S66" i="3"/>
  <c r="R68" i="3"/>
  <c r="M70" i="3"/>
  <c r="V70" i="3"/>
  <c r="J70" i="3"/>
  <c r="I70" i="3"/>
  <c r="Q70" i="3"/>
  <c r="P73" i="3"/>
  <c r="M73" i="3"/>
  <c r="T73" i="3"/>
  <c r="S73" i="3"/>
  <c r="O73" i="3"/>
  <c r="U78" i="3"/>
  <c r="I78" i="3"/>
  <c r="R78" i="3"/>
  <c r="K78" i="3"/>
  <c r="J78" i="3"/>
  <c r="Q78" i="3"/>
  <c r="U87" i="3"/>
  <c r="V92" i="3"/>
  <c r="T115" i="3"/>
  <c r="R116" i="3"/>
  <c r="Q158" i="3"/>
  <c r="U166" i="3"/>
  <c r="P179" i="3"/>
  <c r="M179" i="3"/>
  <c r="T179" i="3"/>
  <c r="Q179" i="3"/>
  <c r="I179" i="3"/>
  <c r="V179" i="3"/>
  <c r="U179" i="3"/>
  <c r="K179" i="3"/>
  <c r="J179" i="3"/>
  <c r="W179" i="3"/>
  <c r="R181" i="3"/>
  <c r="O181" i="3"/>
  <c r="K181" i="3"/>
  <c r="V181" i="3"/>
  <c r="H181" i="3"/>
  <c r="T181" i="3"/>
  <c r="P181" i="3"/>
  <c r="N181" i="3"/>
  <c r="I181" i="3"/>
  <c r="W181" i="3"/>
  <c r="P191" i="3"/>
  <c r="M191" i="3"/>
  <c r="N191" i="3"/>
  <c r="J191" i="3"/>
  <c r="L191" i="3"/>
  <c r="H191" i="3"/>
  <c r="W191" i="3"/>
  <c r="V191" i="3"/>
  <c r="U191" i="3"/>
  <c r="S191" i="3"/>
  <c r="R191" i="3"/>
  <c r="R194" i="3"/>
  <c r="S198" i="3"/>
  <c r="P55" i="3"/>
  <c r="S56" i="3"/>
  <c r="R60" i="3"/>
  <c r="P63" i="3"/>
  <c r="T66" i="3"/>
  <c r="S68" i="3"/>
  <c r="R70" i="3"/>
  <c r="Q73" i="3"/>
  <c r="S78" i="3"/>
  <c r="W80" i="3"/>
  <c r="K80" i="3"/>
  <c r="T80" i="3"/>
  <c r="H80" i="3"/>
  <c r="U80" i="3"/>
  <c r="S80" i="3"/>
  <c r="P80" i="3"/>
  <c r="V87" i="3"/>
  <c r="U90" i="3"/>
  <c r="I90" i="3"/>
  <c r="R90" i="3"/>
  <c r="Q90" i="3"/>
  <c r="P90" i="3"/>
  <c r="N90" i="3"/>
  <c r="S90" i="3"/>
  <c r="S112" i="3"/>
  <c r="P112" i="3"/>
  <c r="W112" i="3"/>
  <c r="I112" i="3"/>
  <c r="V112" i="3"/>
  <c r="H112" i="3"/>
  <c r="T112" i="3"/>
  <c r="R112" i="3"/>
  <c r="Q112" i="3"/>
  <c r="S116" i="3"/>
  <c r="U137" i="3"/>
  <c r="I137" i="3"/>
  <c r="R137" i="3"/>
  <c r="W137" i="3"/>
  <c r="H137" i="3"/>
  <c r="S137" i="3"/>
  <c r="Q137" i="3"/>
  <c r="O137" i="3"/>
  <c r="N137" i="3"/>
  <c r="L137" i="3"/>
  <c r="K137" i="3"/>
  <c r="V138" i="3"/>
  <c r="J138" i="3"/>
  <c r="S138" i="3"/>
  <c r="M138" i="3"/>
  <c r="I138" i="3"/>
  <c r="W138" i="3"/>
  <c r="H138" i="3"/>
  <c r="L138" i="3"/>
  <c r="K138" i="3"/>
  <c r="U138" i="3"/>
  <c r="R158" i="3"/>
  <c r="W166" i="3"/>
  <c r="U194" i="3"/>
  <c r="U198" i="3"/>
  <c r="T101" i="3"/>
  <c r="H101" i="3"/>
  <c r="Q101" i="3"/>
  <c r="O101" i="3"/>
  <c r="W104" i="3"/>
  <c r="K104" i="3"/>
  <c r="T104" i="3"/>
  <c r="H104" i="3"/>
  <c r="P104" i="3"/>
  <c r="R111" i="3"/>
  <c r="O111" i="3"/>
  <c r="N111" i="3"/>
  <c r="P121" i="3"/>
  <c r="M121" i="3"/>
  <c r="O121" i="3"/>
  <c r="T136" i="3"/>
  <c r="H136" i="3"/>
  <c r="Q136" i="3"/>
  <c r="R136" i="3"/>
  <c r="N136" i="3"/>
  <c r="M136" i="3"/>
  <c r="S136" i="3"/>
  <c r="U208" i="3"/>
  <c r="I208" i="3"/>
  <c r="R208" i="3"/>
  <c r="L208" i="3"/>
  <c r="W208" i="3"/>
  <c r="H208" i="3"/>
  <c r="T208" i="3"/>
  <c r="S208" i="3"/>
  <c r="P208" i="3"/>
  <c r="O208" i="3"/>
  <c r="L93" i="3"/>
  <c r="U93" i="3"/>
  <c r="I93" i="3"/>
  <c r="P93" i="3"/>
  <c r="P101" i="3"/>
  <c r="Q104" i="3"/>
  <c r="P111" i="3"/>
  <c r="L117" i="3"/>
  <c r="U117" i="3"/>
  <c r="I117" i="3"/>
  <c r="P117" i="3"/>
  <c r="Q121" i="3"/>
  <c r="V127" i="3"/>
  <c r="J127" i="3"/>
  <c r="S127" i="3"/>
  <c r="R127" i="3"/>
  <c r="O127" i="3"/>
  <c r="R134" i="3"/>
  <c r="O134" i="3"/>
  <c r="J134" i="3"/>
  <c r="U134" i="3"/>
  <c r="T134" i="3"/>
  <c r="P134" i="3"/>
  <c r="U136" i="3"/>
  <c r="W139" i="3"/>
  <c r="K139" i="3"/>
  <c r="T139" i="3"/>
  <c r="H139" i="3"/>
  <c r="R139" i="3"/>
  <c r="O139" i="3"/>
  <c r="N139" i="3"/>
  <c r="S139" i="3"/>
  <c r="O143" i="3"/>
  <c r="L143" i="3"/>
  <c r="U143" i="3"/>
  <c r="R143" i="3"/>
  <c r="Q143" i="3"/>
  <c r="P143" i="3"/>
  <c r="S149" i="3"/>
  <c r="K149" i="3"/>
  <c r="U149" i="3"/>
  <c r="H149" i="3"/>
  <c r="R149" i="3"/>
  <c r="O149" i="3"/>
  <c r="N149" i="3"/>
  <c r="T149" i="3"/>
  <c r="W162" i="3"/>
  <c r="K162" i="3"/>
  <c r="T162" i="3"/>
  <c r="H162" i="3"/>
  <c r="Q162" i="3"/>
  <c r="N162" i="3"/>
  <c r="O162" i="3"/>
  <c r="J162" i="3"/>
  <c r="I162" i="3"/>
  <c r="V162" i="3"/>
  <c r="P203" i="3"/>
  <c r="M203" i="3"/>
  <c r="V203" i="3"/>
  <c r="H203" i="3"/>
  <c r="S203" i="3"/>
  <c r="T203" i="3"/>
  <c r="O203" i="3"/>
  <c r="N203" i="3"/>
  <c r="U203" i="3"/>
  <c r="V209" i="3"/>
  <c r="J209" i="3"/>
  <c r="S209" i="3"/>
  <c r="P209" i="3"/>
  <c r="M209" i="3"/>
  <c r="L209" i="3"/>
  <c r="K209" i="3"/>
  <c r="H209" i="3"/>
  <c r="O209" i="3"/>
  <c r="W209" i="3"/>
  <c r="O72" i="3"/>
  <c r="L72" i="3"/>
  <c r="P72" i="3"/>
  <c r="S76" i="3"/>
  <c r="P76" i="3"/>
  <c r="N76" i="3"/>
  <c r="M82" i="3"/>
  <c r="V82" i="3"/>
  <c r="J82" i="3"/>
  <c r="P82" i="3"/>
  <c r="R93" i="3"/>
  <c r="O96" i="3"/>
  <c r="L96" i="3"/>
  <c r="P96" i="3"/>
  <c r="S100" i="3"/>
  <c r="P100" i="3"/>
  <c r="N100" i="3"/>
  <c r="S101" i="3"/>
  <c r="S104" i="3"/>
  <c r="M106" i="3"/>
  <c r="V106" i="3"/>
  <c r="J106" i="3"/>
  <c r="P106" i="3"/>
  <c r="S111" i="3"/>
  <c r="R117" i="3"/>
  <c r="O120" i="3"/>
  <c r="L120" i="3"/>
  <c r="P120" i="3"/>
  <c r="S121" i="3"/>
  <c r="S124" i="3"/>
  <c r="P124" i="3"/>
  <c r="O124" i="3"/>
  <c r="N124" i="3"/>
  <c r="Q127" i="3"/>
  <c r="S134" i="3"/>
  <c r="W136" i="3"/>
  <c r="V139" i="3"/>
  <c r="T143" i="3"/>
  <c r="W149" i="3"/>
  <c r="V152" i="3"/>
  <c r="J152" i="3"/>
  <c r="T152" i="3"/>
  <c r="Q152" i="3"/>
  <c r="W152" i="3"/>
  <c r="R152" i="3"/>
  <c r="P152" i="3"/>
  <c r="O152" i="3"/>
  <c r="L163" i="3"/>
  <c r="U163" i="3"/>
  <c r="I163" i="3"/>
  <c r="W163" i="3"/>
  <c r="H163" i="3"/>
  <c r="S163" i="3"/>
  <c r="T163" i="3"/>
  <c r="R163" i="3"/>
  <c r="Q163" i="3"/>
  <c r="U184" i="3"/>
  <c r="I184" i="3"/>
  <c r="R184" i="3"/>
  <c r="J184" i="3"/>
  <c r="T184" i="3"/>
  <c r="H184" i="3"/>
  <c r="V184" i="3"/>
  <c r="S184" i="3"/>
  <c r="Q184" i="3"/>
  <c r="Q72" i="3"/>
  <c r="O76" i="3"/>
  <c r="V79" i="3"/>
  <c r="J79" i="3"/>
  <c r="S79" i="3"/>
  <c r="O79" i="3"/>
  <c r="Q82" i="3"/>
  <c r="S93" i="3"/>
  <c r="Q96" i="3"/>
  <c r="O100" i="3"/>
  <c r="U101" i="3"/>
  <c r="V103" i="3"/>
  <c r="J103" i="3"/>
  <c r="S103" i="3"/>
  <c r="O103" i="3"/>
  <c r="U104" i="3"/>
  <c r="Q106" i="3"/>
  <c r="T111" i="3"/>
  <c r="S117" i="3"/>
  <c r="Q120" i="3"/>
  <c r="T121" i="3"/>
  <c r="Q124" i="3"/>
  <c r="T127" i="3"/>
  <c r="V134" i="3"/>
  <c r="V143" i="3"/>
  <c r="Q147" i="3"/>
  <c r="T147" i="3"/>
  <c r="P147" i="3"/>
  <c r="V147" i="3"/>
  <c r="R147" i="3"/>
  <c r="O147" i="3"/>
  <c r="N147" i="3"/>
  <c r="S152" i="3"/>
  <c r="P155" i="3"/>
  <c r="M155" i="3"/>
  <c r="R155" i="3"/>
  <c r="N155" i="3"/>
  <c r="J155" i="3"/>
  <c r="W155" i="3"/>
  <c r="V155" i="3"/>
  <c r="S155" i="3"/>
  <c r="V163" i="3"/>
  <c r="O178" i="3"/>
  <c r="L178" i="3"/>
  <c r="Q178" i="3"/>
  <c r="M178" i="3"/>
  <c r="T178" i="3"/>
  <c r="P178" i="3"/>
  <c r="N178" i="3"/>
  <c r="U178" i="3"/>
  <c r="W184" i="3"/>
  <c r="L187" i="3"/>
  <c r="U187" i="3"/>
  <c r="I187" i="3"/>
  <c r="K187" i="3"/>
  <c r="V187" i="3"/>
  <c r="R187" i="3"/>
  <c r="O187" i="3"/>
  <c r="N187" i="3"/>
  <c r="T187" i="3"/>
  <c r="U196" i="3"/>
  <c r="I196" i="3"/>
  <c r="R196" i="3"/>
  <c r="Q196" i="3"/>
  <c r="N196" i="3"/>
  <c r="L196" i="3"/>
  <c r="H196" i="3"/>
  <c r="T196" i="3"/>
  <c r="R205" i="3"/>
  <c r="O205" i="3"/>
  <c r="M205" i="3"/>
  <c r="J205" i="3"/>
  <c r="Q205" i="3"/>
  <c r="N132" i="3"/>
  <c r="P167" i="3"/>
  <c r="M167" i="3"/>
  <c r="K167" i="3"/>
  <c r="V167" i="3"/>
  <c r="H167" i="3"/>
  <c r="R167" i="3"/>
  <c r="M176" i="3"/>
  <c r="V176" i="3"/>
  <c r="J176" i="3"/>
  <c r="U176" i="3"/>
  <c r="R176" i="3"/>
  <c r="P176" i="3"/>
  <c r="O190" i="3"/>
  <c r="L190" i="3"/>
  <c r="J190" i="3"/>
  <c r="U190" i="3"/>
  <c r="Q190" i="3"/>
  <c r="R193" i="3"/>
  <c r="O193" i="3"/>
  <c r="T193" i="3"/>
  <c r="P193" i="3"/>
  <c r="N193" i="3"/>
  <c r="H205" i="3"/>
  <c r="N62" i="3"/>
  <c r="N74" i="3"/>
  <c r="N86" i="3"/>
  <c r="N98" i="3"/>
  <c r="N110" i="3"/>
  <c r="N122" i="3"/>
  <c r="O132" i="3"/>
  <c r="O154" i="3"/>
  <c r="L154" i="3"/>
  <c r="N154" i="3"/>
  <c r="J154" i="3"/>
  <c r="R154" i="3"/>
  <c r="R157" i="3"/>
  <c r="O157" i="3"/>
  <c r="W157" i="3"/>
  <c r="I157" i="3"/>
  <c r="T157" i="3"/>
  <c r="P157" i="3"/>
  <c r="T159" i="3"/>
  <c r="H159" i="3"/>
  <c r="Q159" i="3"/>
  <c r="P159" i="3"/>
  <c r="M159" i="3"/>
  <c r="R159" i="3"/>
  <c r="V161" i="3"/>
  <c r="J161" i="3"/>
  <c r="S161" i="3"/>
  <c r="L161" i="3"/>
  <c r="W161" i="3"/>
  <c r="H161" i="3"/>
  <c r="Q161" i="3"/>
  <c r="S167" i="3"/>
  <c r="W174" i="3"/>
  <c r="K174" i="3"/>
  <c r="T174" i="3"/>
  <c r="H174" i="3"/>
  <c r="L174" i="3"/>
  <c r="V174" i="3"/>
  <c r="Q174" i="3"/>
  <c r="Q176" i="3"/>
  <c r="R190" i="3"/>
  <c r="Q193" i="3"/>
  <c r="T195" i="3"/>
  <c r="H195" i="3"/>
  <c r="Q195" i="3"/>
  <c r="M195" i="3"/>
  <c r="J195" i="3"/>
  <c r="R195" i="3"/>
  <c r="V197" i="3"/>
  <c r="J197" i="3"/>
  <c r="S197" i="3"/>
  <c r="W197" i="3"/>
  <c r="H197" i="3"/>
  <c r="R197" i="3"/>
  <c r="P197" i="3"/>
  <c r="I205" i="3"/>
  <c r="S206" i="3"/>
  <c r="P206" i="3"/>
  <c r="Q206" i="3"/>
  <c r="M206" i="3"/>
  <c r="O206" i="3"/>
  <c r="W210" i="3"/>
  <c r="K210" i="3"/>
  <c r="T210" i="3"/>
  <c r="H210" i="3"/>
  <c r="V210" i="3"/>
  <c r="R210" i="3"/>
  <c r="P210" i="3"/>
  <c r="S132" i="3"/>
  <c r="U151" i="3"/>
  <c r="I151" i="3"/>
  <c r="Q151" i="3"/>
  <c r="N151" i="3"/>
  <c r="P151" i="3"/>
  <c r="U154" i="3"/>
  <c r="U157" i="3"/>
  <c r="V159" i="3"/>
  <c r="U161" i="3"/>
  <c r="M164" i="3"/>
  <c r="V164" i="3"/>
  <c r="J164" i="3"/>
  <c r="N164" i="3"/>
  <c r="I164" i="3"/>
  <c r="R164" i="3"/>
  <c r="W167" i="3"/>
  <c r="R169" i="3"/>
  <c r="O169" i="3"/>
  <c r="Q169" i="3"/>
  <c r="M169" i="3"/>
  <c r="P169" i="3"/>
  <c r="U174" i="3"/>
  <c r="W176" i="3"/>
  <c r="V185" i="3"/>
  <c r="J185" i="3"/>
  <c r="S185" i="3"/>
  <c r="N185" i="3"/>
  <c r="K185" i="3"/>
  <c r="Q185" i="3"/>
  <c r="V190" i="3"/>
  <c r="V193" i="3"/>
  <c r="V195" i="3"/>
  <c r="U197" i="3"/>
  <c r="N205" i="3"/>
  <c r="U206" i="3"/>
  <c r="U210" i="3"/>
  <c r="N145" i="3"/>
  <c r="T183" i="3"/>
  <c r="H183" i="3"/>
  <c r="Q183" i="3"/>
  <c r="O183" i="3"/>
  <c r="W186" i="3"/>
  <c r="K186" i="3"/>
  <c r="T186" i="3"/>
  <c r="H186" i="3"/>
  <c r="P186" i="3"/>
  <c r="L199" i="3"/>
  <c r="U199" i="3"/>
  <c r="I199" i="3"/>
  <c r="P199" i="3"/>
  <c r="O202" i="3"/>
  <c r="L202" i="3"/>
  <c r="P202" i="3"/>
  <c r="U172" i="3"/>
  <c r="I172" i="3"/>
  <c r="R172" i="3"/>
  <c r="O172" i="3"/>
  <c r="S182" i="3"/>
  <c r="P182" i="3"/>
  <c r="N182" i="3"/>
  <c r="S183" i="3"/>
  <c r="S186" i="3"/>
  <c r="M188" i="3"/>
  <c r="V188" i="3"/>
  <c r="J188" i="3"/>
  <c r="P188" i="3"/>
  <c r="S199" i="3"/>
  <c r="S202" i="3"/>
  <c r="K165" i="3"/>
  <c r="W165" i="3"/>
  <c r="K177" i="3"/>
  <c r="W177" i="3"/>
  <c r="K189" i="3"/>
  <c r="W189" i="3"/>
  <c r="K201" i="3"/>
  <c r="W201" i="3"/>
</calcChain>
</file>

<file path=xl/sharedStrings.xml><?xml version="1.0" encoding="utf-8"?>
<sst xmlns="http://schemas.openxmlformats.org/spreadsheetml/2006/main" count="936" uniqueCount="530">
  <si>
    <t>TEXNICA TPCS 1.0 — FABRIC CONTROL WORKBOOK</t>
  </si>
  <si>
    <t>Purpose</t>
  </si>
  <si>
    <t>Operational workbook for FGPO, fabric requirement, purchasing, mill production, shipment, Texnica receiving, testing, approval, inventory and cutting issuance.</t>
  </si>
  <si>
    <t>1. Start</t>
  </si>
  <si>
    <t>Create the customer order in FGPO Master. If no official number exists, select FGPO Pending and use a unique Temporary Order ID.</t>
  </si>
  <si>
    <t>2. Requirement</t>
  </si>
  <si>
    <t>Enter style consumption in Fabric Requirement. Gross and net purchase quantities calculate automatically.</t>
  </si>
  <si>
    <t>3. Purchase</t>
  </si>
  <si>
    <t>Create Fabric PO records and allocate ordered quantities to FGPOs.</t>
  </si>
  <si>
    <t>4. Mill</t>
  </si>
  <si>
    <t>Update production by Fabric PO, FGPO and Lot. Record the mill test separately.</t>
  </si>
  <si>
    <t>5. Logistics</t>
  </si>
  <si>
    <t>Record fabric shipment and In Transit quantities by Lot.</t>
  </si>
  <si>
    <t>6. Receiving</t>
  </si>
  <si>
    <t>Receive at Texnica by shipment and then by individual Roll.</t>
  </si>
  <si>
    <t>7. Quality</t>
  </si>
  <si>
    <t>Complete Four-Point, Internal Test and Shade Match records.</t>
  </si>
  <si>
    <t>8. Approval</t>
  </si>
  <si>
    <t>Fabric Approval calculates whether all gates are passed before Release for Cutting.</t>
  </si>
  <si>
    <t>9. Inventory</t>
  </si>
  <si>
    <t>Fabric Inventory consolidates approved, hold, reserved, issued, returned and available quantities.</t>
  </si>
  <si>
    <t>10. Cutting</t>
  </si>
  <si>
    <t>Issue only approved and available fabric to cutting.</t>
  </si>
  <si>
    <t>Shipment Variance</t>
  </si>
  <si>
    <t>Total Shipped Quantity − Order Quantity. Negative = pending; positive = over-shipment.</t>
  </si>
  <si>
    <t>Receiving Variance</t>
  </si>
  <si>
    <t>Actual Received Quantity − Shipped Quantity. Negative = shortage; positive = over quantity.</t>
  </si>
  <si>
    <t>Color Logic</t>
  </si>
  <si>
    <t>Green = completed/approved; Yellow = pending/hold; Red = failed/shortage; Gray = not started.</t>
  </si>
  <si>
    <t>Inputs</t>
  </si>
  <si>
    <t>Yellow cells are editable. Gray cells contain formulas and should not be overwritten.</t>
  </si>
  <si>
    <t>Ownership</t>
  </si>
  <si>
    <t>Each record includes Data Owner and Last Updated for traceability.</t>
  </si>
  <si>
    <t>Capacity</t>
  </si>
  <si>
    <t>Each operational sheet provides 300 working rows.</t>
  </si>
  <si>
    <t>TEXNICA PRODUCTION CONTROL SYSTEM — MASTER DASHBOARD</t>
  </si>
  <si>
    <t>Customer PO visibility from material development through shipment. Click sheet tabs for full operational detail.</t>
  </si>
  <si>
    <t>Open FGPO</t>
  </si>
  <si>
    <t>Order Quantity</t>
  </si>
  <si>
    <t>Cut Quantity</t>
  </si>
  <si>
    <t>Sewing Output</t>
  </si>
  <si>
    <t>Packed Quantity</t>
  </si>
  <si>
    <t>In Transit</t>
  </si>
  <si>
    <t>Customer Received</t>
  </si>
  <si>
    <t>FGPO</t>
  </si>
  <si>
    <t>Style</t>
  </si>
  <si>
    <t>Color</t>
  </si>
  <si>
    <t>Order Qty</t>
  </si>
  <si>
    <t>Fabric Status</t>
  </si>
  <si>
    <t>Trims Status</t>
  </si>
  <si>
    <t>PP Sample</t>
  </si>
  <si>
    <t>PRR</t>
  </si>
  <si>
    <t>Cutting Release</t>
  </si>
  <si>
    <t>Cut Qty</t>
  </si>
  <si>
    <t>TOP Sample</t>
  </si>
  <si>
    <t>Sewing Qty</t>
  </si>
  <si>
    <t>Inline QC</t>
  </si>
  <si>
    <t>Final QC</t>
  </si>
  <si>
    <t>Packed Qty</t>
  </si>
  <si>
    <t>Ready to Ship</t>
  </si>
  <si>
    <t>Received Qty</t>
  </si>
  <si>
    <t>Ship Date</t>
  </si>
  <si>
    <t>Risk</t>
  </si>
  <si>
    <t>Last Updated</t>
  </si>
  <si>
    <t>TEXNICA TPCS 1.0 — FGPO &amp; FABRIC CONTROL DASHBOARD</t>
  </si>
  <si>
    <t>Automatic summary by FGPO. Enter order and operational data in the detailed modules; do not type over dashboard formulas.</t>
  </si>
  <si>
    <t>Total FGPO</t>
  </si>
  <si>
    <t>Total Order Qty</t>
  </si>
  <si>
    <t>Fabric In Transit</t>
  </si>
  <si>
    <t>Fabric Received</t>
  </si>
  <si>
    <t>Fabric Approved</t>
  </si>
  <si>
    <t>Open Shortage</t>
  </si>
  <si>
    <t>Customer</t>
  </si>
  <si>
    <t>Status</t>
  </si>
  <si>
    <t>Fabric Required</t>
  </si>
  <si>
    <t>Fabric Ordered</t>
  </si>
  <si>
    <t>Mill Produced</t>
  </si>
  <si>
    <t>Mill Test</t>
  </si>
  <si>
    <t>Fabric Exported</t>
  </si>
  <si>
    <t>Texnica Received</t>
  </si>
  <si>
    <t>Four-Point</t>
  </si>
  <si>
    <t>Internal Test</t>
  </si>
  <si>
    <t>Shade Match</t>
  </si>
  <si>
    <t>Reserved</t>
  </si>
  <si>
    <t>Issued to Cutting</t>
  </si>
  <si>
    <t>Available</t>
  </si>
  <si>
    <t>Shortage</t>
  </si>
  <si>
    <t>TEXNICA TPCS 1.0 — FGPO MASTER</t>
  </si>
  <si>
    <t>Yellow cells = input | Gray cells = automatic formulas | Use one official record per transaction</t>
  </si>
  <si>
    <t>Record ID</t>
  </si>
  <si>
    <t>Temporary Order ID</t>
  </si>
  <si>
    <t>FGPO Status</t>
  </si>
  <si>
    <t>In Transit Qty</t>
  </si>
  <si>
    <t>Total Shipped Qty</t>
  </si>
  <si>
    <t>Pending to Ship</t>
  </si>
  <si>
    <t>Over-shipment Qty</t>
  </si>
  <si>
    <t>Produced Qty</t>
  </si>
  <si>
    <t>Production Variance</t>
  </si>
  <si>
    <t>Pending Production</t>
  </si>
  <si>
    <t>Overproduction Qty</t>
  </si>
  <si>
    <t>Data Owner</t>
  </si>
  <si>
    <t>Remarks</t>
  </si>
  <si>
    <t>TEXNICA TPCS 1.0 — FABRIC REQUIREMENT</t>
  </si>
  <si>
    <t>Requirement ID</t>
  </si>
  <si>
    <t>Fabric Component</t>
  </si>
  <si>
    <t>Fabric Description</t>
  </si>
  <si>
    <t>Composition</t>
  </si>
  <si>
    <t>GSM</t>
  </si>
  <si>
    <t>Required Width</t>
  </si>
  <si>
    <t>UOM</t>
  </si>
  <si>
    <t>Approved Yield</t>
  </si>
  <si>
    <t>Gross Requirement</t>
  </si>
  <si>
    <t>Allowance %</t>
  </si>
  <si>
    <t>Allowance Qty</t>
  </si>
  <si>
    <t>Available Inventory</t>
  </si>
  <si>
    <t>Net Purchase Requirement</t>
  </si>
  <si>
    <t>Required Date</t>
  </si>
  <si>
    <t>TEXNICA TPCS 1.0 — FABRIC PO</t>
  </si>
  <si>
    <t>Fabric PO Number</t>
  </si>
  <si>
    <t>Supplier</t>
  </si>
  <si>
    <t>Fabric Mill</t>
  </si>
  <si>
    <t>Ordered Quantity</t>
  </si>
  <si>
    <t>Unit Price</t>
  </si>
  <si>
    <t>PO Amount</t>
  </si>
  <si>
    <t>Order Date</t>
  </si>
  <si>
    <t>Required Completion</t>
  </si>
  <si>
    <t>Planned Export</t>
  </si>
  <si>
    <t>Planned Arrival</t>
  </si>
  <si>
    <t>PO Status</t>
  </si>
  <si>
    <t>Purchase Owner</t>
  </si>
  <si>
    <t>Approved By</t>
  </si>
  <si>
    <t>TEXNICA TPCS 1.0 — MILL PRODUCTION</t>
  </si>
  <si>
    <t>Production ID</t>
  </si>
  <si>
    <t>Planned Quantity</t>
  </si>
  <si>
    <t>Produced Quantity</t>
  </si>
  <si>
    <t>Completion %</t>
  </si>
  <si>
    <t>Lot Number</t>
  </si>
  <si>
    <t>Roll Quantity</t>
  </si>
  <si>
    <t>Yardage / Qty</t>
  </si>
  <si>
    <t>Weight</t>
  </si>
  <si>
    <t>Start Date</t>
  </si>
  <si>
    <t>Finish Date</t>
  </si>
  <si>
    <t>Actual Export</t>
  </si>
  <si>
    <t>TEXNICA TPCS 1.0 — MILL TEST</t>
  </si>
  <si>
    <t>Mill Test ID</t>
  </si>
  <si>
    <t>Roll Qty</t>
  </si>
  <si>
    <t>Actual Width</t>
  </si>
  <si>
    <t>Actual GSM</t>
  </si>
  <si>
    <t>Length Shrinkage %</t>
  </si>
  <si>
    <t>Width Shrinkage %</t>
  </si>
  <si>
    <t>Torque %</t>
  </si>
  <si>
    <t>Bowing %</t>
  </si>
  <si>
    <t>Skewing %</t>
  </si>
  <si>
    <t>Colorfastness</t>
  </si>
  <si>
    <t>Wash Appearance</t>
  </si>
  <si>
    <t>Hand Feel</t>
  </si>
  <si>
    <t>Test Date</t>
  </si>
  <si>
    <t>Tested By</t>
  </si>
  <si>
    <t>Test Result</t>
  </si>
  <si>
    <t>Approved for Export</t>
  </si>
  <si>
    <t>Report Link</t>
  </si>
  <si>
    <t>Comments</t>
  </si>
  <si>
    <t>TEXNICA TPCS 1.0 — FABRIC SHIPMENT</t>
  </si>
  <si>
    <t>Shipment Number</t>
  </si>
  <si>
    <t>Shipped Quantity</t>
  </si>
  <si>
    <t>Shipped Weight</t>
  </si>
  <si>
    <t>Packing List</t>
  </si>
  <si>
    <t>Invoice Number</t>
  </si>
  <si>
    <t>Container / AWB</t>
  </si>
  <si>
    <t>Shipping Method</t>
  </si>
  <si>
    <t>ETD</t>
  </si>
  <si>
    <t>ETA</t>
  </si>
  <si>
    <t>Shipment Status</t>
  </si>
  <si>
    <t>Delivered to Texnica Date</t>
  </si>
  <si>
    <t>In Transit Quantity</t>
  </si>
  <si>
    <t>Remaining to Deliver</t>
  </si>
  <si>
    <t>TEXNICA TPCS 1.0 — FABRIC RECEIVING</t>
  </si>
  <si>
    <t>Receiving Number</t>
  </si>
  <si>
    <t>Receiving Date</t>
  </si>
  <si>
    <t>Packing List Qty</t>
  </si>
  <si>
    <t>Actual Received Qty</t>
  </si>
  <si>
    <t>Receiving Shortage</t>
  </si>
  <si>
    <t>Receiving Over Qty</t>
  </si>
  <si>
    <t>Expected Rolls</t>
  </si>
  <si>
    <t>Received Rolls</t>
  </si>
  <si>
    <t>Missing Rolls</t>
  </si>
  <si>
    <t>Receiving Status</t>
  </si>
  <si>
    <t>Warehouse Location</t>
  </si>
  <si>
    <t>Received By</t>
  </si>
  <si>
    <t>TEXNICA TPCS 1.0 — ROLL RECEIVING</t>
  </si>
  <si>
    <t>Roll Record ID</t>
  </si>
  <si>
    <t>Roll Number</t>
  </si>
  <si>
    <t>Supplier Roll Number</t>
  </si>
  <si>
    <t>Gross Weight</t>
  </si>
  <si>
    <t>Net Weight</t>
  </si>
  <si>
    <t>Actual Yardage</t>
  </si>
  <si>
    <t>Shade Group</t>
  </si>
  <si>
    <t>Damaged Qty</t>
  </si>
  <si>
    <t>Condition</t>
  </si>
  <si>
    <t>Received Date</t>
  </si>
  <si>
    <t>TEXNICA TPCS 1.0 — FOUR-POINT</t>
  </si>
  <si>
    <t>Inspection ID</t>
  </si>
  <si>
    <t>Inspection Date</t>
  </si>
  <si>
    <t>Width (in)</t>
  </si>
  <si>
    <t>Inspected Length (yd)</t>
  </si>
  <si>
    <t>1-Point</t>
  </si>
  <si>
    <t>2-Point</t>
  </si>
  <si>
    <t>3-Point</t>
  </si>
  <si>
    <t>4-Point</t>
  </si>
  <si>
    <t>Total Points</t>
  </si>
  <si>
    <t>Points / 100 sq yd</t>
  </si>
  <si>
    <t>Max Allowed</t>
  </si>
  <si>
    <t>Accepted Qty</t>
  </si>
  <si>
    <t>Rejected Qty</t>
  </si>
  <si>
    <t>Hold Qty</t>
  </si>
  <si>
    <t>Result</t>
  </si>
  <si>
    <t>Inspector</t>
  </si>
  <si>
    <t>TEXNICA TPCS 1.0 — INTERNAL TEST</t>
  </si>
  <si>
    <t>Internal Test ID</t>
  </si>
  <si>
    <t>Specimen Area cm²</t>
  </si>
  <si>
    <t>Weight Before g</t>
  </si>
  <si>
    <t>GSM Before</t>
  </si>
  <si>
    <t>Weight After g</t>
  </si>
  <si>
    <t>GSM After</t>
  </si>
  <si>
    <t>Target GSM</t>
  </si>
  <si>
    <t>GSM Variance %</t>
  </si>
  <si>
    <t>Length Before</t>
  </si>
  <si>
    <t>Length After</t>
  </si>
  <si>
    <t>Width Before</t>
  </si>
  <si>
    <t>Width After</t>
  </si>
  <si>
    <t>Shade Result</t>
  </si>
  <si>
    <t>TEXNICA TPCS 1.0 — SHADE MATCH</t>
  </si>
  <si>
    <t>Match ID</t>
  </si>
  <si>
    <t>Review Date</t>
  </si>
  <si>
    <t>Body Fabric Lot</t>
  </si>
  <si>
    <t>Rib Lot</t>
  </si>
  <si>
    <t>Shoulder Tape Lot</t>
  </si>
  <si>
    <t>Body Shade Group</t>
  </si>
  <si>
    <t>Rib Shade Group</t>
  </si>
  <si>
    <t>Tape Shade Group</t>
  </si>
  <si>
    <t>Body vs Rib</t>
  </si>
  <si>
    <t>Body vs Tape</t>
  </si>
  <si>
    <t>Light Source</t>
  </si>
  <si>
    <t>Before Wash Result</t>
  </si>
  <si>
    <t>After Wash Result</t>
  </si>
  <si>
    <t>Overall Result</t>
  </si>
  <si>
    <t>TEXNICA TPCS 1.0 — FABRIC APPROVAL</t>
  </si>
  <si>
    <t>Approval ID</t>
  </si>
  <si>
    <t>Approval Date</t>
  </si>
  <si>
    <t>Receiving Completed</t>
  </si>
  <si>
    <t>Four-Point Result</t>
  </si>
  <si>
    <t>Internal Test Result</t>
  </si>
  <si>
    <t>Shade Match Result</t>
  </si>
  <si>
    <t>Shrinkage Status</t>
  </si>
  <si>
    <t>Torque Status</t>
  </si>
  <si>
    <t>GSM Status</t>
  </si>
  <si>
    <t>Width Status</t>
  </si>
  <si>
    <t>Authorized Quantity</t>
  </si>
  <si>
    <t>Exception Reason</t>
  </si>
  <si>
    <t>Final Status</t>
  </si>
  <si>
    <t>Released for Cutting Date</t>
  </si>
  <si>
    <t>TEXNICA TPCS 1.0 — FABRIC INVENTORY</t>
  </si>
  <si>
    <t>Inventory ID</t>
  </si>
  <si>
    <t>Received Quantity</t>
  </si>
  <si>
    <t>Approved Quantity</t>
  </si>
  <si>
    <t>Rejected Quantity</t>
  </si>
  <si>
    <t>Hold Quantity</t>
  </si>
  <si>
    <t>Reserved Quantity</t>
  </si>
  <si>
    <t>Issued Quantity</t>
  </si>
  <si>
    <t>Returned Quantity</t>
  </si>
  <si>
    <t>Available Quantity</t>
  </si>
  <si>
    <t>Shortage Quantity</t>
  </si>
  <si>
    <t>Inventory Status</t>
  </si>
  <si>
    <t>TEXNICA TPCS 1.0 — FABRIC RESERVATION</t>
  </si>
  <si>
    <t>Reservation ID</t>
  </si>
  <si>
    <t>Reservation Date</t>
  </si>
  <si>
    <t>Released Quantity</t>
  </si>
  <si>
    <t>Remaining Reservation</t>
  </si>
  <si>
    <t>Reserved By</t>
  </si>
  <si>
    <t>TEXNICA TPCS 1.0 — ISSUE TO CUTTING</t>
  </si>
  <si>
    <t>Issue Number</t>
  </si>
  <si>
    <t>Issue Date</t>
  </si>
  <si>
    <t>Issued Weight</t>
  </si>
  <si>
    <t>Marker Number</t>
  </si>
  <si>
    <t>Cutting Table</t>
  </si>
  <si>
    <t>Issued By</t>
  </si>
  <si>
    <t>Received By Cutting</t>
  </si>
  <si>
    <t>End Bits / Waste</t>
  </si>
  <si>
    <t>Net Consumption</t>
  </si>
  <si>
    <t>Approval Status</t>
  </si>
  <si>
    <t>TEXNICA TPCS 1.0 — TRIMS CONTROL</t>
  </si>
  <si>
    <t>Trim Record ID</t>
  </si>
  <si>
    <t>Trim Type</t>
  </si>
  <si>
    <t>Description</t>
  </si>
  <si>
    <t>Consumption / Garment</t>
  </si>
  <si>
    <t>Required Qty</t>
  </si>
  <si>
    <t>Ordered Qty</t>
  </si>
  <si>
    <t>Approved Qty</t>
  </si>
  <si>
    <t>Reserved Qty</t>
  </si>
  <si>
    <t>Issued Qty</t>
  </si>
  <si>
    <t>Available Qty</t>
  </si>
  <si>
    <t>Shortage Qty</t>
  </si>
  <si>
    <t>Development Status</t>
  </si>
  <si>
    <t>Availability Status</t>
  </si>
  <si>
    <t>TEXNICA TPCS 1.0 — PP SAMPLE</t>
  </si>
  <si>
    <t>Sample ID</t>
  </si>
  <si>
    <t>Size</t>
  </si>
  <si>
    <t>Sample Version</t>
  </si>
  <si>
    <t>Fabric Lot</t>
  </si>
  <si>
    <t>Trim Version</t>
  </si>
  <si>
    <t>Preparation Date</t>
  </si>
  <si>
    <t>Submission Date</t>
  </si>
  <si>
    <t>Measurement Result</t>
  </si>
  <si>
    <t>Construction Result</t>
  </si>
  <si>
    <t>Fit Result</t>
  </si>
  <si>
    <t>Fabric Result</t>
  </si>
  <si>
    <t>Trim Result</t>
  </si>
  <si>
    <t>Label Result</t>
  </si>
  <si>
    <t>Internal Review</t>
  </si>
  <si>
    <t>Customer Review</t>
  </si>
  <si>
    <t>Customer Comments</t>
  </si>
  <si>
    <t>Document Link</t>
  </si>
  <si>
    <t>Photo Link</t>
  </si>
  <si>
    <t>TEXNICA TPCS 1.0 — PRODUCTION READINESS</t>
  </si>
  <si>
    <t>PRR ID</t>
  </si>
  <si>
    <t>PO Confirmed</t>
  </si>
  <si>
    <t>Tech Pack Current</t>
  </si>
  <si>
    <t>Trims Approved</t>
  </si>
  <si>
    <t>Trims Available</t>
  </si>
  <si>
    <t>PP Sample Approved</t>
  </si>
  <si>
    <t>Pattern Approved</t>
  </si>
  <si>
    <t>Marker Approved</t>
  </si>
  <si>
    <t>Fabric Width Confirmed</t>
  </si>
  <si>
    <t>Shrinkage Approved</t>
  </si>
  <si>
    <t>Torque Approved</t>
  </si>
  <si>
    <t>Quality Standard Ready</t>
  </si>
  <si>
    <t>Line Planned</t>
  </si>
  <si>
    <t>Open Conditions</t>
  </si>
  <si>
    <t>Responsible Owner</t>
  </si>
  <si>
    <t>Due Date</t>
  </si>
  <si>
    <t>TEXNICA TPCS 1.0 — CUTTING RELEASE</t>
  </si>
  <si>
    <t>Release Number</t>
  </si>
  <si>
    <t>Release Date</t>
  </si>
  <si>
    <t>Approved Cut Qty</t>
  </si>
  <si>
    <t>Approved Width</t>
  </si>
  <si>
    <t>PRR Result</t>
  </si>
  <si>
    <t>Released By</t>
  </si>
  <si>
    <t>Reviewed By</t>
  </si>
  <si>
    <t>Exception</t>
  </si>
  <si>
    <t>Conditions</t>
  </si>
  <si>
    <t>Release Status</t>
  </si>
  <si>
    <t>TEXNICA TPCS 1.0 — CUTTING CONTROL</t>
  </si>
  <si>
    <t>Cut Record ID</t>
  </si>
  <si>
    <t>Date</t>
  </si>
  <si>
    <t>Planned Cut</t>
  </si>
  <si>
    <t>Actual Cut</t>
  </si>
  <si>
    <t>Good Cut</t>
  </si>
  <si>
    <t>Replacement Cut</t>
  </si>
  <si>
    <t>Sent to Sewing</t>
  </si>
  <si>
    <t>Cutting Variance</t>
  </si>
  <si>
    <t>Pending Cut</t>
  </si>
  <si>
    <t>Overcut Qty</t>
  </si>
  <si>
    <t>Cut-to-Sew Difference</t>
  </si>
  <si>
    <t>Responsible Person</t>
  </si>
  <si>
    <t>TEXNICA TPCS 1.0 — CUTTING PANEL QC</t>
  </si>
  <si>
    <t>Cut Lot / Lay</t>
  </si>
  <si>
    <t>Bundle No.</t>
  </si>
  <si>
    <t>Sample Qty</t>
  </si>
  <si>
    <t>Panel Defects</t>
  </si>
  <si>
    <t>Notches Defects</t>
  </si>
  <si>
    <t>Drill Mark Defects</t>
  </si>
  <si>
    <t>Shade Defects</t>
  </si>
  <si>
    <t>Measurement Defects</t>
  </si>
  <si>
    <t>Total Defects</t>
  </si>
  <si>
    <t>Defect Rate %</t>
  </si>
  <si>
    <t>Corrective Action</t>
  </si>
  <si>
    <t>TEXNICA TPCS 1.0 — TOP SAMPLE</t>
  </si>
  <si>
    <t>TOP ID</t>
  </si>
  <si>
    <t>Production Line</t>
  </si>
  <si>
    <t>Cut Lot / Bundle</t>
  </si>
  <si>
    <t>Thread Lot</t>
  </si>
  <si>
    <t>TOP Qty</t>
  </si>
  <si>
    <t>Production Date</t>
  </si>
  <si>
    <t>Workmanship Result</t>
  </si>
  <si>
    <t>Packing Result</t>
  </si>
  <si>
    <t>TEXNICA TPCS 1.0 — SEWING PRODUCTION</t>
  </si>
  <si>
    <t>Shift</t>
  </si>
  <si>
    <t>Line</t>
  </si>
  <si>
    <t>Sewing Input</t>
  </si>
  <si>
    <t>Daily Target</t>
  </si>
  <si>
    <t>Daily Output</t>
  </si>
  <si>
    <t>Cumulative Output</t>
  </si>
  <si>
    <t>WIP</t>
  </si>
  <si>
    <t>Rework</t>
  </si>
  <si>
    <t>Reject</t>
  </si>
  <si>
    <t>Downtime Minutes</t>
  </si>
  <si>
    <t>Target Achievement %</t>
  </si>
  <si>
    <t>Sewing Variance</t>
  </si>
  <si>
    <t>Pending Sewing</t>
  </si>
  <si>
    <t>Overproduction</t>
  </si>
  <si>
    <t>TOP Status</t>
  </si>
  <si>
    <t>Supervisor</t>
  </si>
  <si>
    <t>Problems / Remarks</t>
  </si>
  <si>
    <t>TEXNICA TPCS 1.0 — INLINE QUALITY</t>
  </si>
  <si>
    <t>Time</t>
  </si>
  <si>
    <t>Operation</t>
  </si>
  <si>
    <t>Operator</t>
  </si>
  <si>
    <t>Checked Qty</t>
  </si>
  <si>
    <t>Critical Defects</t>
  </si>
  <si>
    <t>Major Defects</t>
  </si>
  <si>
    <t>Minor Defects</t>
  </si>
  <si>
    <t>DHU %</t>
  </si>
  <si>
    <t>Defective Pieces</t>
  </si>
  <si>
    <t>Defective Rate %</t>
  </si>
  <si>
    <t>Immediate Correction</t>
  </si>
  <si>
    <t>Root Cause / Follow-up</t>
  </si>
  <si>
    <t>TEXNICA TPCS 1.0 — ENDLINE INSPECTION</t>
  </si>
  <si>
    <t>Lot / Shipment</t>
  </si>
  <si>
    <t>Lot Size</t>
  </si>
  <si>
    <t>Inspection Level</t>
  </si>
  <si>
    <t>AQL Major</t>
  </si>
  <si>
    <t>AQL Minor</t>
  </si>
  <si>
    <t>Sample Size</t>
  </si>
  <si>
    <t>Critical Ac</t>
  </si>
  <si>
    <t>Major Ac</t>
  </si>
  <si>
    <t>Minor Ac</t>
  </si>
  <si>
    <t>Critical Re</t>
  </si>
  <si>
    <t>Major Re</t>
  </si>
  <si>
    <t>Minor Re</t>
  </si>
  <si>
    <t>Disposition</t>
  </si>
  <si>
    <t>TEXNICA TPCS 1.0 — PRE-FINAL INSPECTION</t>
  </si>
  <si>
    <t>TEXNICA TPCS 1.0 — FINAL INSPECTION</t>
  </si>
  <si>
    <t>TEXNICA TPCS 1.0 — PACKING CONTROL</t>
  </si>
  <si>
    <t>Packing Record ID</t>
  </si>
  <si>
    <t>QC Passed Qty</t>
  </si>
  <si>
    <t>Received by Packing</t>
  </si>
  <si>
    <t>Folded Qty</t>
  </si>
  <si>
    <t>Polybagged Qty</t>
  </si>
  <si>
    <t>Full Cartons</t>
  </si>
  <si>
    <t>Partial Cartons</t>
  </si>
  <si>
    <t>Pcs per Carton</t>
  </si>
  <si>
    <t>Ready to Ship Qty</t>
  </si>
  <si>
    <t>Packing Variance</t>
  </si>
  <si>
    <t>Pending Packing</t>
  </si>
  <si>
    <t>Overpacked Qty</t>
  </si>
  <si>
    <t>TEXNICA TPCS 1.0 — FINISHED GOODS</t>
  </si>
  <si>
    <t>FG Record ID</t>
  </si>
  <si>
    <t>Receipt Date</t>
  </si>
  <si>
    <t>Warehouse Received</t>
  </si>
  <si>
    <t>Reserved for Shipment</t>
  </si>
  <si>
    <t>Loaded Qty</t>
  </si>
  <si>
    <t>Shipped Qty</t>
  </si>
  <si>
    <t>Warehouse Balance</t>
  </si>
  <si>
    <t>TEXNICA TPCS 1.0 — SHIPMENT CONTROL</t>
  </si>
  <si>
    <t>Planned Qty</t>
  </si>
  <si>
    <t>Actual Loaded Qty</t>
  </si>
  <si>
    <t>Customer Received Qty</t>
  </si>
  <si>
    <t>Container Type</t>
  </si>
  <si>
    <t>Container Number</t>
  </si>
  <si>
    <t>Booking Number</t>
  </si>
  <si>
    <t>Planned Loading Date</t>
  </si>
  <si>
    <t>Actual Loading Date</t>
  </si>
  <si>
    <t>Destination</t>
  </si>
  <si>
    <t>Load Plan</t>
  </si>
  <si>
    <t>TEXNICA TPCS 1.0 — OPEN ISSUES</t>
  </si>
  <si>
    <t>Issue ID</t>
  </si>
  <si>
    <t>Open Date</t>
  </si>
  <si>
    <t>Priority</t>
  </si>
  <si>
    <t>Area</t>
  </si>
  <si>
    <t>Issue Type</t>
  </si>
  <si>
    <t>Quantity Affected</t>
  </si>
  <si>
    <t>Ship Date Impact</t>
  </si>
  <si>
    <t>Immediate Action</t>
  </si>
  <si>
    <t>Owner</t>
  </si>
  <si>
    <t>Evidence Link</t>
  </si>
  <si>
    <t>Closing Date</t>
  </si>
  <si>
    <t>Verified By</t>
  </si>
  <si>
    <t>General Status</t>
  </si>
  <si>
    <t>Approval</t>
  </si>
  <si>
    <t>Threshold</t>
  </si>
  <si>
    <t>Value</t>
  </si>
  <si>
    <t>Not Started</t>
  </si>
  <si>
    <t>Pending</t>
  </si>
  <si>
    <t>Yards</t>
  </si>
  <si>
    <t>Body Fabric</t>
  </si>
  <si>
    <t>Planned</t>
  </si>
  <si>
    <t>Green</t>
  </si>
  <si>
    <t>4-Point Max / 100 sq yd</t>
  </si>
  <si>
    <t>Testing</t>
  </si>
  <si>
    <t>Approved</t>
  </si>
  <si>
    <t>Meters</t>
  </si>
  <si>
    <t>Rib</t>
  </si>
  <si>
    <t>Booking Confirmed</t>
  </si>
  <si>
    <t>Partially Received</t>
  </si>
  <si>
    <t>Yellow</t>
  </si>
  <si>
    <t>Length Shrinkage Limit</t>
  </si>
  <si>
    <t>In Progress</t>
  </si>
  <si>
    <t>Passed</t>
  </si>
  <si>
    <t>Conditionally Approved</t>
  </si>
  <si>
    <t>Kilograms</t>
  </si>
  <si>
    <t>Shoulder Tape</t>
  </si>
  <si>
    <t>Exported</t>
  </si>
  <si>
    <t>Fully Received</t>
  </si>
  <si>
    <t>Red</t>
  </si>
  <si>
    <t>Width Shrinkage Limit</t>
  </si>
  <si>
    <t>Partially Completed</t>
  </si>
  <si>
    <t>Conditionally Passed</t>
  </si>
  <si>
    <t>Rejected</t>
  </si>
  <si>
    <t>Pounds</t>
  </si>
  <si>
    <t>Neck Tape</t>
  </si>
  <si>
    <t>Quantity Difference</t>
  </si>
  <si>
    <t>Gray</t>
  </si>
  <si>
    <t>Torque Limit</t>
  </si>
  <si>
    <t>Completed</t>
  </si>
  <si>
    <t>Failed</t>
  </si>
  <si>
    <t>On Hold</t>
  </si>
  <si>
    <t>Rolls</t>
  </si>
  <si>
    <t>Pocketing</t>
  </si>
  <si>
    <t>Customs Processing</t>
  </si>
  <si>
    <t>GSM Variance Limit</t>
  </si>
  <si>
    <t>Retest Required</t>
  </si>
  <si>
    <t>Released for Cutting</t>
  </si>
  <si>
    <t>Pieces</t>
  </si>
  <si>
    <t>Other</t>
  </si>
  <si>
    <t>Arrived</t>
  </si>
  <si>
    <t>Closed</t>
  </si>
  <si>
    <t>Receiving Tolerance</t>
  </si>
  <si>
    <t>Delivered</t>
  </si>
  <si>
    <t>Cancelled</t>
  </si>
  <si>
    <t>FGPO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</si>
</sst>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0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6"/>
      <color rgb="FFFFFFFF"/>
      <name val="Carlito"/>
    </font>
    <font>
      <i/>
      <sz val="10"/>
      <color rgb="FF1F4E78"/>
      <name val="Carlito"/>
    </font>
    <font>
      <b/>
      <sz val="9"/>
      <color rgb="FFFFFFFF"/>
      <name val="Carlito"/>
    </font>
    <font>
      <sz val="9"/>
      <name val="Carlito"/>
    </font>
    <font>
      <i/>
      <sz val="11"/>
      <color rgb="FF1F4E78"/>
      <name val="Carlito"/>
    </font>
    <font>
      <b/>
      <sz val="22"/>
      <color rgb="FF17365D"/>
      <name val="Carlito"/>
    </font>
    <font>
      <b/>
      <sz val="21"/>
      <color rgb="FF17365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3F5F7"/>
      </patternFill>
    </fill>
    <fill>
      <patternFill patternType="solid">
        <fgColor rgb="FFDDEBF7"/>
      </patternFill>
    </fill>
    <fill>
      <patternFill patternType="solid">
        <fgColor rgb="FFFFF9E6"/>
      </patternFill>
    </fill>
    <fill>
      <patternFill patternType="solid">
        <fgColor rgb="FFE7E6E6"/>
      </patternFill>
    </fill>
  </fills>
  <borders count="11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E6EBF0"/>
      </left>
      <right style="thin">
        <color rgb="FFE6EBF0"/>
      </right>
      <top style="thin">
        <color rgb="FFE6EBF0"/>
      </top>
      <bottom style="thin">
        <color rgb="FFE6EBF0"/>
      </bottom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/>
      <diagonal/>
    </border>
    <border>
      <left/>
      <right style="thin">
        <color rgb="FFD9E1E8"/>
      </right>
      <top/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/>
      <top/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6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65" fontId="6" fillId="6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4" fontId="6" fillId="6" borderId="2" xfId="0" applyNumberFormat="1" applyFont="1" applyFill="1" applyBorder="1" applyAlignment="1">
      <alignment vertical="center"/>
    </xf>
    <xf numFmtId="4" fontId="6" fillId="7" borderId="2" xfId="0" applyNumberFormat="1" applyFont="1" applyFill="1" applyBorder="1" applyAlignment="1">
      <alignment vertical="center"/>
    </xf>
    <xf numFmtId="164" fontId="6" fillId="6" borderId="2" xfId="0" applyNumberFormat="1" applyFont="1" applyFill="1" applyBorder="1" applyAlignment="1">
      <alignment vertical="center"/>
    </xf>
    <xf numFmtId="164" fontId="6" fillId="7" borderId="2" xfId="0" applyNumberFormat="1" applyFont="1" applyFill="1" applyBorder="1" applyAlignment="1">
      <alignment vertical="center"/>
    </xf>
    <xf numFmtId="4" fontId="0" fillId="0" borderId="0" xfId="0" applyNumberFormat="1"/>
    <xf numFmtId="4" fontId="5" fillId="2" borderId="1" xfId="0" applyNumberFormat="1" applyFont="1" applyFill="1" applyBorder="1" applyAlignment="1">
      <alignment horizontal="center" wrapText="1"/>
    </xf>
    <xf numFmtId="4" fontId="6" fillId="0" borderId="2" xfId="0" applyNumberFormat="1" applyFont="1" applyBorder="1"/>
    <xf numFmtId="3" fontId="6" fillId="0" borderId="2" xfId="0" applyNumberFormat="1" applyFont="1" applyBorder="1"/>
    <xf numFmtId="165" fontId="6" fillId="0" borderId="2" xfId="0" applyNumberFormat="1" applyFont="1" applyBorder="1"/>
    <xf numFmtId="0" fontId="2" fillId="3" borderId="0" xfId="0" applyFont="1" applyFill="1"/>
    <xf numFmtId="0" fontId="7" fillId="5" borderId="0" xfId="0" applyFont="1" applyFill="1"/>
    <xf numFmtId="0" fontId="1" fillId="2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4" fontId="8" fillId="4" borderId="4" xfId="0" applyNumberFormat="1" applyFont="1" applyFill="1" applyBorder="1" applyAlignment="1">
      <alignment horizontal="center" vertical="center"/>
    </xf>
    <xf numFmtId="4" fontId="8" fillId="4" borderId="5" xfId="0" applyNumberFormat="1" applyFont="1" applyFill="1" applyBorder="1" applyAlignment="1">
      <alignment horizontal="center" vertical="center"/>
    </xf>
    <xf numFmtId="4" fontId="8" fillId="4" borderId="0" xfId="0" applyNumberFormat="1" applyFont="1" applyFill="1" applyAlignment="1">
      <alignment horizontal="center" vertical="center"/>
    </xf>
    <xf numFmtId="4" fontId="8" fillId="4" borderId="7" xfId="0" applyNumberFormat="1" applyFont="1" applyFill="1" applyBorder="1" applyAlignment="1">
      <alignment horizontal="center" vertical="center"/>
    </xf>
    <xf numFmtId="4" fontId="8" fillId="4" borderId="9" xfId="0" applyNumberFormat="1" applyFont="1" applyFill="1" applyBorder="1" applyAlignment="1">
      <alignment horizontal="center" vertical="center"/>
    </xf>
    <xf numFmtId="4" fontId="8" fillId="4" borderId="10" xfId="0" applyNumberFormat="1" applyFont="1" applyFill="1" applyBorder="1" applyAlignment="1">
      <alignment horizontal="center" vertical="center"/>
    </xf>
    <xf numFmtId="4" fontId="8" fillId="4" borderId="3" xfId="0" applyNumberFormat="1" applyFont="1" applyFill="1" applyBorder="1" applyAlignment="1">
      <alignment horizontal="center" vertical="center"/>
    </xf>
    <xf numFmtId="4" fontId="8" fillId="4" borderId="6" xfId="0" applyNumberFormat="1" applyFont="1" applyFill="1" applyBorder="1" applyAlignment="1">
      <alignment horizontal="center" vertical="center"/>
    </xf>
    <xf numFmtId="4" fontId="8" fillId="4" borderId="8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5" borderId="0" xfId="0" applyFont="1" applyFill="1"/>
  </cellXfs>
  <cellStyles count="1">
    <cellStyle name="Normal" xfId="0" builtinId="0"/>
  </cellStyles>
  <dxfs count="134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GPOMasterTable" displayName="FGPOMasterTable" ref="A4:V304" totalsRowShown="0">
  <tableColumns count="22">
    <tableColumn id="1" xr3:uid="{00000000-0010-0000-0000-000001000000}" name="Record ID"/>
    <tableColumn id="2" xr3:uid="{00000000-0010-0000-0000-000002000000}" name="FGPO"/>
    <tableColumn id="3" xr3:uid="{00000000-0010-0000-0000-000003000000}" name="Temporary Order ID"/>
    <tableColumn id="4" xr3:uid="{00000000-0010-0000-0000-000004000000}" name="FGPO Status"/>
    <tableColumn id="5" xr3:uid="{00000000-0010-0000-0000-000005000000}" name="Customer"/>
    <tableColumn id="6" xr3:uid="{00000000-0010-0000-0000-000006000000}" name="Style"/>
    <tableColumn id="7" xr3:uid="{00000000-0010-0000-0000-000007000000}" name="Color"/>
    <tableColumn id="8" xr3:uid="{00000000-0010-0000-0000-000008000000}" name="Order Quantity"/>
    <tableColumn id="9" xr3:uid="{00000000-0010-0000-0000-000009000000}" name="Ship Date"/>
    <tableColumn id="10" xr3:uid="{00000000-0010-0000-0000-00000A000000}" name="In Transit Qty"/>
    <tableColumn id="11" xr3:uid="{00000000-0010-0000-0000-00000B000000}" name="Received Qty"/>
    <tableColumn id="12" xr3:uid="{00000000-0010-0000-0000-00000C000000}" name="Total Shipped Qty"/>
    <tableColumn id="13" xr3:uid="{00000000-0010-0000-0000-00000D000000}" name="Shipment Variance"/>
    <tableColumn id="14" xr3:uid="{00000000-0010-0000-0000-00000E000000}" name="Pending to Ship"/>
    <tableColumn id="15" xr3:uid="{00000000-0010-0000-0000-00000F000000}" name="Over-shipment Qty"/>
    <tableColumn id="16" xr3:uid="{00000000-0010-0000-0000-000010000000}" name="Produced Qty"/>
    <tableColumn id="17" xr3:uid="{00000000-0010-0000-0000-000011000000}" name="Production Variance"/>
    <tableColumn id="18" xr3:uid="{00000000-0010-0000-0000-000012000000}" name="Pending Production"/>
    <tableColumn id="19" xr3:uid="{00000000-0010-0000-0000-000013000000}" name="Overproduction Qty"/>
    <tableColumn id="20" xr3:uid="{00000000-0010-0000-0000-000014000000}" name="Data Owner"/>
    <tableColumn id="21" xr3:uid="{00000000-0010-0000-0000-000015000000}" name="Last Updated"/>
    <tableColumn id="22" xr3:uid="{00000000-0010-0000-0000-000016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bricRequirementTable" displayName="FabricRequirementTable" ref="A4:V304" totalsRowShown="0">
  <tableColumns count="22">
    <tableColumn id="1" xr3:uid="{00000000-0010-0000-0100-000001000000}" name="Requirement ID"/>
    <tableColumn id="2" xr3:uid="{00000000-0010-0000-0100-000002000000}" name="FGPO"/>
    <tableColumn id="3" xr3:uid="{00000000-0010-0000-0100-000003000000}" name="Style"/>
    <tableColumn id="4" xr3:uid="{00000000-0010-0000-0100-000004000000}" name="Color"/>
    <tableColumn id="5" xr3:uid="{00000000-0010-0000-0100-000005000000}" name="Fabric Component"/>
    <tableColumn id="6" xr3:uid="{00000000-0010-0000-0100-000006000000}" name="Fabric Description"/>
    <tableColumn id="7" xr3:uid="{00000000-0010-0000-0100-000007000000}" name="Composition"/>
    <tableColumn id="8" xr3:uid="{00000000-0010-0000-0100-000008000000}" name="GSM"/>
    <tableColumn id="9" xr3:uid="{00000000-0010-0000-0100-000009000000}" name="Required Width"/>
    <tableColumn id="10" xr3:uid="{00000000-0010-0000-0100-00000A000000}" name="UOM"/>
    <tableColumn id="11" xr3:uid="{00000000-0010-0000-0100-00000B000000}" name="Order Quantity"/>
    <tableColumn id="12" xr3:uid="{00000000-0010-0000-0100-00000C000000}" name="Approved Yield"/>
    <tableColumn id="13" xr3:uid="{00000000-0010-0000-0100-00000D000000}" name="Gross Requirement"/>
    <tableColumn id="14" xr3:uid="{00000000-0010-0000-0100-00000E000000}" name="Allowance %"/>
    <tableColumn id="15" xr3:uid="{00000000-0010-0000-0100-00000F000000}" name="Allowance Qty"/>
    <tableColumn id="16" xr3:uid="{00000000-0010-0000-0100-000010000000}" name="Available Inventory"/>
    <tableColumn id="17" xr3:uid="{00000000-0010-0000-0100-000011000000}" name="Net Purchase Requirement"/>
    <tableColumn id="18" xr3:uid="{00000000-0010-0000-0100-000012000000}" name="Required Date"/>
    <tableColumn id="19" xr3:uid="{00000000-0010-0000-0100-000013000000}" name="Status"/>
    <tableColumn id="20" xr3:uid="{00000000-0010-0000-0100-000014000000}" name="Data Owner"/>
    <tableColumn id="21" xr3:uid="{00000000-0010-0000-0100-000015000000}" name="Last Updated"/>
    <tableColumn id="22" xr3:uid="{00000000-0010-0000-0100-000016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bricPOTable" displayName="FabricPOTable" ref="A4:T304" totalsRowShown="0">
  <tableColumns count="20">
    <tableColumn id="1" xr3:uid="{00000000-0010-0000-0200-000001000000}" name="Fabric PO Number"/>
    <tableColumn id="2" xr3:uid="{00000000-0010-0000-0200-000002000000}" name="FGPO"/>
    <tableColumn id="3" xr3:uid="{00000000-0010-0000-0200-000003000000}" name="Supplier"/>
    <tableColumn id="4" xr3:uid="{00000000-0010-0000-0200-000004000000}" name="Fabric Mill"/>
    <tableColumn id="5" xr3:uid="{00000000-0010-0000-0200-000005000000}" name="Fabric Component"/>
    <tableColumn id="6" xr3:uid="{00000000-0010-0000-0200-000006000000}" name="Style"/>
    <tableColumn id="7" xr3:uid="{00000000-0010-0000-0200-000007000000}" name="Color"/>
    <tableColumn id="8" xr3:uid="{00000000-0010-0000-0200-000008000000}" name="Ordered Quantity"/>
    <tableColumn id="9" xr3:uid="{00000000-0010-0000-0200-000009000000}" name="UOM"/>
    <tableColumn id="10" xr3:uid="{00000000-0010-0000-0200-00000A000000}" name="Unit Price"/>
    <tableColumn id="11" xr3:uid="{00000000-0010-0000-0200-00000B000000}" name="PO Amount"/>
    <tableColumn id="12" xr3:uid="{00000000-0010-0000-0200-00000C000000}" name="Order Date"/>
    <tableColumn id="13" xr3:uid="{00000000-0010-0000-0200-00000D000000}" name="Required Completion"/>
    <tableColumn id="14" xr3:uid="{00000000-0010-0000-0200-00000E000000}" name="Planned Export"/>
    <tableColumn id="15" xr3:uid="{00000000-0010-0000-0200-00000F000000}" name="Planned Arrival"/>
    <tableColumn id="16" xr3:uid="{00000000-0010-0000-0200-000010000000}" name="PO Status"/>
    <tableColumn id="17" xr3:uid="{00000000-0010-0000-0200-000011000000}" name="Purchase Owner"/>
    <tableColumn id="18" xr3:uid="{00000000-0010-0000-0200-000012000000}" name="Approved By"/>
    <tableColumn id="19" xr3:uid="{00000000-0010-0000-0200-000013000000}" name="Last Updated"/>
    <tableColumn id="20" xr3:uid="{00000000-0010-0000-0200-000014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llProductionTable" displayName="MillProductionTable" ref="A4:V304" totalsRowShown="0">
  <tableColumns count="22">
    <tableColumn id="1" xr3:uid="{00000000-0010-0000-0300-000001000000}" name="Production ID"/>
    <tableColumn id="2" xr3:uid="{00000000-0010-0000-0300-000002000000}" name="Fabric PO Number"/>
    <tableColumn id="3" xr3:uid="{00000000-0010-0000-0300-000003000000}" name="FGPO"/>
    <tableColumn id="4" xr3:uid="{00000000-0010-0000-0300-000004000000}" name="Supplier"/>
    <tableColumn id="5" xr3:uid="{00000000-0010-0000-0300-000005000000}" name="Fabric Component"/>
    <tableColumn id="6" xr3:uid="{00000000-0010-0000-0300-000006000000}" name="Style"/>
    <tableColumn id="7" xr3:uid="{00000000-0010-0000-0300-000007000000}" name="Color"/>
    <tableColumn id="8" xr3:uid="{00000000-0010-0000-0300-000008000000}" name="Planned Quantity"/>
    <tableColumn id="9" xr3:uid="{00000000-0010-0000-0300-000009000000}" name="Produced Quantity"/>
    <tableColumn id="10" xr3:uid="{00000000-0010-0000-0300-00000A000000}" name="Completion %"/>
    <tableColumn id="11" xr3:uid="{00000000-0010-0000-0300-00000B000000}" name="Lot Number"/>
    <tableColumn id="12" xr3:uid="{00000000-0010-0000-0300-00000C000000}" name="Roll Quantity"/>
    <tableColumn id="13" xr3:uid="{00000000-0010-0000-0300-00000D000000}" name="Yardage / Qty"/>
    <tableColumn id="14" xr3:uid="{00000000-0010-0000-0300-00000E000000}" name="Weight"/>
    <tableColumn id="15" xr3:uid="{00000000-0010-0000-0300-00000F000000}" name="Start Date"/>
    <tableColumn id="16" xr3:uid="{00000000-0010-0000-0300-000010000000}" name="Finish Date"/>
    <tableColumn id="17" xr3:uid="{00000000-0010-0000-0300-000011000000}" name="Planned Export"/>
    <tableColumn id="18" xr3:uid="{00000000-0010-0000-0300-000012000000}" name="Actual Export"/>
    <tableColumn id="19" xr3:uid="{00000000-0010-0000-0300-000013000000}" name="Status"/>
    <tableColumn id="20" xr3:uid="{00000000-0010-0000-0300-000014000000}" name="Data Owner"/>
    <tableColumn id="21" xr3:uid="{00000000-0010-0000-0300-000015000000}" name="Last Updated"/>
    <tableColumn id="22" xr3:uid="{00000000-0010-0000-0300-00001600000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llTestTable" displayName="MillTestTable" ref="A4:X304" totalsRowShown="0">
  <tableColumns count="24">
    <tableColumn id="1" xr3:uid="{00000000-0010-0000-0400-000001000000}" name="Mill Test ID"/>
    <tableColumn id="2" xr3:uid="{00000000-0010-0000-0400-000002000000}" name="Fabric PO Number"/>
    <tableColumn id="3" xr3:uid="{00000000-0010-0000-0400-000003000000}" name="FGPO"/>
    <tableColumn id="4" xr3:uid="{00000000-0010-0000-0400-000004000000}" name="Supplier"/>
    <tableColumn id="5" xr3:uid="{00000000-0010-0000-0400-000005000000}" name="Lot Number"/>
    <tableColumn id="6" xr3:uid="{00000000-0010-0000-0400-000006000000}" name="Color"/>
    <tableColumn id="7" xr3:uid="{00000000-0010-0000-0400-000007000000}" name="Roll Qty"/>
    <tableColumn id="8" xr3:uid="{00000000-0010-0000-0400-000008000000}" name="Actual Width"/>
    <tableColumn id="9" xr3:uid="{00000000-0010-0000-0400-000009000000}" name="Actual GSM"/>
    <tableColumn id="10" xr3:uid="{00000000-0010-0000-0400-00000A000000}" name="Length Shrinkage %"/>
    <tableColumn id="11" xr3:uid="{00000000-0010-0000-0400-00000B000000}" name="Width Shrinkage %"/>
    <tableColumn id="12" xr3:uid="{00000000-0010-0000-0400-00000C000000}" name="Torque %"/>
    <tableColumn id="13" xr3:uid="{00000000-0010-0000-0400-00000D000000}" name="Bowing %"/>
    <tableColumn id="14" xr3:uid="{00000000-0010-0000-0400-00000E000000}" name="Skewing %"/>
    <tableColumn id="15" xr3:uid="{00000000-0010-0000-0400-00000F000000}" name="Colorfastness"/>
    <tableColumn id="16" xr3:uid="{00000000-0010-0000-0400-000010000000}" name="Wash Appearance"/>
    <tableColumn id="17" xr3:uid="{00000000-0010-0000-0400-000011000000}" name="Hand Feel"/>
    <tableColumn id="18" xr3:uid="{00000000-0010-0000-0400-000012000000}" name="Test Date"/>
    <tableColumn id="19" xr3:uid="{00000000-0010-0000-0400-000013000000}" name="Tested By"/>
    <tableColumn id="20" xr3:uid="{00000000-0010-0000-0400-000014000000}" name="Test Result"/>
    <tableColumn id="21" xr3:uid="{00000000-0010-0000-0400-000015000000}" name="Approved for Export"/>
    <tableColumn id="22" xr3:uid="{00000000-0010-0000-0400-000016000000}" name="Report Link"/>
    <tableColumn id="23" xr3:uid="{00000000-0010-0000-0400-000017000000}" name="Last Updated"/>
    <tableColumn id="24" xr3:uid="{00000000-0010-0000-0400-000018000000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bricShipmentTable" displayName="FabricShipmentTable" ref="A4:V304" totalsRowShown="0">
  <tableColumns count="22">
    <tableColumn id="1" xr3:uid="{00000000-0010-0000-0500-000001000000}" name="Shipment Number"/>
    <tableColumn id="2" xr3:uid="{00000000-0010-0000-0500-000002000000}" name="Fabric PO Number"/>
    <tableColumn id="3" xr3:uid="{00000000-0010-0000-0500-000003000000}" name="FGPO"/>
    <tableColumn id="4" xr3:uid="{00000000-0010-0000-0500-000004000000}" name="Supplier"/>
    <tableColumn id="5" xr3:uid="{00000000-0010-0000-0500-000005000000}" name="Lot Number"/>
    <tableColumn id="6" xr3:uid="{00000000-0010-0000-0500-000006000000}" name="Roll Qty"/>
    <tableColumn id="7" xr3:uid="{00000000-0010-0000-0500-000007000000}" name="Shipped Quantity"/>
    <tableColumn id="8" xr3:uid="{00000000-0010-0000-0500-000008000000}" name="UOM"/>
    <tableColumn id="9" xr3:uid="{00000000-0010-0000-0500-000009000000}" name="Shipped Weight"/>
    <tableColumn id="10" xr3:uid="{00000000-0010-0000-0500-00000A000000}" name="Packing List"/>
    <tableColumn id="11" xr3:uid="{00000000-0010-0000-0500-00000B000000}" name="Invoice Number"/>
    <tableColumn id="12" xr3:uid="{00000000-0010-0000-0500-00000C000000}" name="Container / AWB"/>
    <tableColumn id="13" xr3:uid="{00000000-0010-0000-0500-00000D000000}" name="Shipping Method"/>
    <tableColumn id="14" xr3:uid="{00000000-0010-0000-0500-00000E000000}" name="ETD"/>
    <tableColumn id="15" xr3:uid="{00000000-0010-0000-0500-00000F000000}" name="ETA"/>
    <tableColumn id="16" xr3:uid="{00000000-0010-0000-0500-000010000000}" name="Shipment Status"/>
    <tableColumn id="17" xr3:uid="{00000000-0010-0000-0500-000011000000}" name="Delivered to Texnica Date"/>
    <tableColumn id="18" xr3:uid="{00000000-0010-0000-0500-000012000000}" name="In Transit Quantity"/>
    <tableColumn id="19" xr3:uid="{00000000-0010-0000-0500-000013000000}" name="Remaining to Deliver"/>
    <tableColumn id="20" xr3:uid="{00000000-0010-0000-0500-000014000000}" name="Data Owner"/>
    <tableColumn id="21" xr3:uid="{00000000-0010-0000-0500-000015000000}" name="Last Updated"/>
    <tableColumn id="22" xr3:uid="{00000000-0010-0000-0500-000016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bricReceivingTable" displayName="FabricReceivingTable" ref="A4:T304" totalsRowShown="0">
  <tableColumns count="20">
    <tableColumn id="1" xr3:uid="{00000000-0010-0000-0600-000001000000}" name="Receiving Number"/>
    <tableColumn id="2" xr3:uid="{00000000-0010-0000-0600-000002000000}" name="Receiving Date"/>
    <tableColumn id="3" xr3:uid="{00000000-0010-0000-0600-000003000000}" name="Shipment Number"/>
    <tableColumn id="4" xr3:uid="{00000000-0010-0000-0600-000004000000}" name="Fabric PO Number"/>
    <tableColumn id="5" xr3:uid="{00000000-0010-0000-0600-000005000000}" name="FGPO"/>
    <tableColumn id="6" xr3:uid="{00000000-0010-0000-0600-000006000000}" name="Supplier"/>
    <tableColumn id="7" xr3:uid="{00000000-0010-0000-0600-000007000000}" name="Packing List Qty"/>
    <tableColumn id="8" xr3:uid="{00000000-0010-0000-0600-000008000000}" name="Actual Received Qty"/>
    <tableColumn id="9" xr3:uid="{00000000-0010-0000-0600-000009000000}" name="Receiving Variance"/>
    <tableColumn id="10" xr3:uid="{00000000-0010-0000-0600-00000A000000}" name="Receiving Shortage"/>
    <tableColumn id="11" xr3:uid="{00000000-0010-0000-0600-00000B000000}" name="Receiving Over Qty"/>
    <tableColumn id="12" xr3:uid="{00000000-0010-0000-0600-00000C000000}" name="Expected Rolls"/>
    <tableColumn id="13" xr3:uid="{00000000-0010-0000-0600-00000D000000}" name="Received Rolls"/>
    <tableColumn id="14" xr3:uid="{00000000-0010-0000-0600-00000E000000}" name="Missing Rolls"/>
    <tableColumn id="15" xr3:uid="{00000000-0010-0000-0600-00000F000000}" name="Receiving Status"/>
    <tableColumn id="16" xr3:uid="{00000000-0010-0000-0600-000010000000}" name="Warehouse Location"/>
    <tableColumn id="17" xr3:uid="{00000000-0010-0000-0600-000011000000}" name="Received By"/>
    <tableColumn id="18" xr3:uid="{00000000-0010-0000-0600-000012000000}" name="Data Owner"/>
    <tableColumn id="19" xr3:uid="{00000000-0010-0000-0600-000013000000}" name="Last Updated"/>
    <tableColumn id="20" xr3:uid="{00000000-0010-0000-0600-000014000000}" name="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ollReceivingTable" displayName="RollReceivingTable" ref="A4:V304" totalsRowShown="0">
  <tableColumns count="22">
    <tableColumn id="1" xr3:uid="{00000000-0010-0000-0700-000001000000}" name="Roll Record ID"/>
    <tableColumn id="2" xr3:uid="{00000000-0010-0000-0700-000002000000}" name="Receiving Number"/>
    <tableColumn id="3" xr3:uid="{00000000-0010-0000-0700-000003000000}" name="Fabric PO Number"/>
    <tableColumn id="4" xr3:uid="{00000000-0010-0000-0700-000004000000}" name="FGPO"/>
    <tableColumn id="5" xr3:uid="{00000000-0010-0000-0700-000005000000}" name="Supplier"/>
    <tableColumn id="6" xr3:uid="{00000000-0010-0000-0700-000006000000}" name="Lot Number"/>
    <tableColumn id="7" xr3:uid="{00000000-0010-0000-0700-000007000000}" name="Roll Number"/>
    <tableColumn id="8" xr3:uid="{00000000-0010-0000-0700-000008000000}" name="Supplier Roll Number"/>
    <tableColumn id="9" xr3:uid="{00000000-0010-0000-0700-000009000000}" name="Color"/>
    <tableColumn id="10" xr3:uid="{00000000-0010-0000-0700-00000A000000}" name="Gross Weight"/>
    <tableColumn id="11" xr3:uid="{00000000-0010-0000-0700-00000B000000}" name="Net Weight"/>
    <tableColumn id="12" xr3:uid="{00000000-0010-0000-0700-00000C000000}" name="Actual Yardage"/>
    <tableColumn id="13" xr3:uid="{00000000-0010-0000-0700-00000D000000}" name="Actual Width"/>
    <tableColumn id="14" xr3:uid="{00000000-0010-0000-0700-00000E000000}" name="Actual GSM"/>
    <tableColumn id="15" xr3:uid="{00000000-0010-0000-0700-00000F000000}" name="Shade Group"/>
    <tableColumn id="16" xr3:uid="{00000000-0010-0000-0700-000010000000}" name="Damaged Qty"/>
    <tableColumn id="17" xr3:uid="{00000000-0010-0000-0700-000011000000}" name="Condition"/>
    <tableColumn id="18" xr3:uid="{00000000-0010-0000-0700-000012000000}" name="Warehouse Location"/>
    <tableColumn id="19" xr3:uid="{00000000-0010-0000-0700-000013000000}" name="Received Date"/>
    <tableColumn id="20" xr3:uid="{00000000-0010-0000-0700-000014000000}" name="Data Owner"/>
    <tableColumn id="21" xr3:uid="{00000000-0010-0000-0700-000015000000}" name="Last Updated"/>
    <tableColumn id="22" xr3:uid="{00000000-0010-0000-0700-000016000000}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urPointTable" displayName="FourPointTable" ref="A4:X304" totalsRowShown="0">
  <tableColumns count="24">
    <tableColumn id="1" xr3:uid="{00000000-0010-0000-0800-000001000000}" name="Inspection ID"/>
    <tableColumn id="2" xr3:uid="{00000000-0010-0000-0800-000002000000}" name="Inspection Date"/>
    <tableColumn id="3" xr3:uid="{00000000-0010-0000-0800-000003000000}" name="Receiving Number"/>
    <tableColumn id="4" xr3:uid="{00000000-0010-0000-0800-000004000000}" name="Fabric PO Number"/>
    <tableColumn id="5" xr3:uid="{00000000-0010-0000-0800-000005000000}" name="FGPO"/>
    <tableColumn id="6" xr3:uid="{00000000-0010-0000-0800-000006000000}" name="Lot Number"/>
    <tableColumn id="7" xr3:uid="{00000000-0010-0000-0800-000007000000}" name="Roll Number"/>
    <tableColumn id="8" xr3:uid="{00000000-0010-0000-0800-000008000000}" name="Width (in)"/>
    <tableColumn id="9" xr3:uid="{00000000-0010-0000-0800-000009000000}" name="Inspected Length (yd)"/>
    <tableColumn id="10" xr3:uid="{00000000-0010-0000-0800-00000A000000}" name="1-Point"/>
    <tableColumn id="11" xr3:uid="{00000000-0010-0000-0800-00000B000000}" name="2-Point"/>
    <tableColumn id="12" xr3:uid="{00000000-0010-0000-0800-00000C000000}" name="3-Point"/>
    <tableColumn id="13" xr3:uid="{00000000-0010-0000-0800-00000D000000}" name="4-Point"/>
    <tableColumn id="14" xr3:uid="{00000000-0010-0000-0800-00000E000000}" name="Total Points"/>
    <tableColumn id="15" xr3:uid="{00000000-0010-0000-0800-00000F000000}" name="Points / 100 sq yd"/>
    <tableColumn id="16" xr3:uid="{00000000-0010-0000-0800-000010000000}" name="Max Allowed"/>
    <tableColumn id="17" xr3:uid="{00000000-0010-0000-0800-000011000000}" name="Accepted Qty"/>
    <tableColumn id="18" xr3:uid="{00000000-0010-0000-0800-000012000000}" name="Rejected Qty"/>
    <tableColumn id="19" xr3:uid="{00000000-0010-0000-0800-000013000000}" name="Hold Qty"/>
    <tableColumn id="20" xr3:uid="{00000000-0010-0000-0800-000014000000}" name="Result"/>
    <tableColumn id="21" xr3:uid="{00000000-0010-0000-0800-000015000000}" name="Inspector"/>
    <tableColumn id="22" xr3:uid="{00000000-0010-0000-0800-000016000000}" name="Report Link"/>
    <tableColumn id="23" xr3:uid="{00000000-0010-0000-0800-000017000000}" name="Last Updated"/>
    <tableColumn id="24" xr3:uid="{00000000-0010-0000-0800-000018000000}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ternalTestTable" displayName="InternalTestTable" ref="A4:AF304" totalsRowShown="0">
  <tableColumns count="32">
    <tableColumn id="1" xr3:uid="{00000000-0010-0000-0900-000001000000}" name="Internal Test ID"/>
    <tableColumn id="2" xr3:uid="{00000000-0010-0000-0900-000002000000}" name="Test Date"/>
    <tableColumn id="3" xr3:uid="{00000000-0010-0000-0900-000003000000}" name="Fabric PO Number"/>
    <tableColumn id="4" xr3:uid="{00000000-0010-0000-0900-000004000000}" name="FGPO"/>
    <tableColumn id="5" xr3:uid="{00000000-0010-0000-0900-000005000000}" name="Lot Number"/>
    <tableColumn id="6" xr3:uid="{00000000-0010-0000-0900-000006000000}" name="Color"/>
    <tableColumn id="7" xr3:uid="{00000000-0010-0000-0900-000007000000}" name="Actual Width"/>
    <tableColumn id="8" xr3:uid="{00000000-0010-0000-0900-000008000000}" name="Specimen Area cm²"/>
    <tableColumn id="9" xr3:uid="{00000000-0010-0000-0900-000009000000}" name="Weight Before g"/>
    <tableColumn id="10" xr3:uid="{00000000-0010-0000-0900-00000A000000}" name="GSM Before"/>
    <tableColumn id="11" xr3:uid="{00000000-0010-0000-0900-00000B000000}" name="Weight After g"/>
    <tableColumn id="12" xr3:uid="{00000000-0010-0000-0900-00000C000000}" name="GSM After"/>
    <tableColumn id="13" xr3:uid="{00000000-0010-0000-0900-00000D000000}" name="Target GSM"/>
    <tableColumn id="14" xr3:uid="{00000000-0010-0000-0900-00000E000000}" name="GSM Variance %"/>
    <tableColumn id="15" xr3:uid="{00000000-0010-0000-0900-00000F000000}" name="Length Before"/>
    <tableColumn id="16" xr3:uid="{00000000-0010-0000-0900-000010000000}" name="Length After"/>
    <tableColumn id="17" xr3:uid="{00000000-0010-0000-0900-000011000000}" name="Length Shrinkage %"/>
    <tableColumn id="18" xr3:uid="{00000000-0010-0000-0900-000012000000}" name="Width Before"/>
    <tableColumn id="19" xr3:uid="{00000000-0010-0000-0900-000013000000}" name="Width After"/>
    <tableColumn id="20" xr3:uid="{00000000-0010-0000-0900-000014000000}" name="Width Shrinkage %"/>
    <tableColumn id="21" xr3:uid="{00000000-0010-0000-0900-000015000000}" name="Torque %"/>
    <tableColumn id="22" xr3:uid="{00000000-0010-0000-0900-000016000000}" name="Bowing %"/>
    <tableColumn id="23" xr3:uid="{00000000-0010-0000-0900-000017000000}" name="Skewing %"/>
    <tableColumn id="24" xr3:uid="{00000000-0010-0000-0900-000018000000}" name="Shade Result"/>
    <tableColumn id="25" xr3:uid="{00000000-0010-0000-0900-000019000000}" name="Wash Appearance"/>
    <tableColumn id="26" xr3:uid="{00000000-0010-0000-0900-00001A000000}" name="Hand Feel"/>
    <tableColumn id="27" xr3:uid="{00000000-0010-0000-0900-00001B000000}" name="Test Result"/>
    <tableColumn id="28" xr3:uid="{00000000-0010-0000-0900-00001C000000}" name="Tested By"/>
    <tableColumn id="29" xr3:uid="{00000000-0010-0000-0900-00001D000000}" name="Approved By"/>
    <tableColumn id="30" xr3:uid="{00000000-0010-0000-0900-00001E000000}" name="Report Link"/>
    <tableColumn id="31" xr3:uid="{00000000-0010-0000-0900-00001F000000}" name="Last Updated"/>
    <tableColumn id="32" xr3:uid="{00000000-0010-0000-0900-000020000000}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hadeMatchTable" displayName="ShadeMatchTable" ref="A4:U304" totalsRowShown="0">
  <tableColumns count="21">
    <tableColumn id="1" xr3:uid="{00000000-0010-0000-0A00-000001000000}" name="Match ID"/>
    <tableColumn id="2" xr3:uid="{00000000-0010-0000-0A00-000002000000}" name="Review Date"/>
    <tableColumn id="3" xr3:uid="{00000000-0010-0000-0A00-000003000000}" name="FGPO"/>
    <tableColumn id="4" xr3:uid="{00000000-0010-0000-0A00-000004000000}" name="Style"/>
    <tableColumn id="5" xr3:uid="{00000000-0010-0000-0A00-000005000000}" name="Color"/>
    <tableColumn id="6" xr3:uid="{00000000-0010-0000-0A00-000006000000}" name="Body Fabric Lot"/>
    <tableColumn id="7" xr3:uid="{00000000-0010-0000-0A00-000007000000}" name="Rib Lot"/>
    <tableColumn id="8" xr3:uid="{00000000-0010-0000-0A00-000008000000}" name="Shoulder Tape Lot"/>
    <tableColumn id="9" xr3:uid="{00000000-0010-0000-0A00-000009000000}" name="Body Shade Group"/>
    <tableColumn id="10" xr3:uid="{00000000-0010-0000-0A00-00000A000000}" name="Rib Shade Group"/>
    <tableColumn id="11" xr3:uid="{00000000-0010-0000-0A00-00000B000000}" name="Tape Shade Group"/>
    <tableColumn id="12" xr3:uid="{00000000-0010-0000-0A00-00000C000000}" name="Body vs Rib"/>
    <tableColumn id="13" xr3:uid="{00000000-0010-0000-0A00-00000D000000}" name="Body vs Tape"/>
    <tableColumn id="14" xr3:uid="{00000000-0010-0000-0A00-00000E000000}" name="Light Source"/>
    <tableColumn id="15" xr3:uid="{00000000-0010-0000-0A00-00000F000000}" name="Before Wash Result"/>
    <tableColumn id="16" xr3:uid="{00000000-0010-0000-0A00-000010000000}" name="After Wash Result"/>
    <tableColumn id="17" xr3:uid="{00000000-0010-0000-0A00-000011000000}" name="Overall Result"/>
    <tableColumn id="18" xr3:uid="{00000000-0010-0000-0A00-000012000000}" name="Approved By"/>
    <tableColumn id="19" xr3:uid="{00000000-0010-0000-0A00-000013000000}" name="Report Link"/>
    <tableColumn id="20" xr3:uid="{00000000-0010-0000-0A00-000014000000}" name="Last Updated"/>
    <tableColumn id="21" xr3:uid="{00000000-0010-0000-0A00-000015000000}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abricApprovalTable" displayName="FabricApprovalTable" ref="A4:U304" totalsRowShown="0">
  <tableColumns count="21">
    <tableColumn id="1" xr3:uid="{00000000-0010-0000-0B00-000001000000}" name="Approval ID"/>
    <tableColumn id="2" xr3:uid="{00000000-0010-0000-0B00-000002000000}" name="Approval Date"/>
    <tableColumn id="3" xr3:uid="{00000000-0010-0000-0B00-000003000000}" name="Fabric PO Number"/>
    <tableColumn id="4" xr3:uid="{00000000-0010-0000-0B00-000004000000}" name="FGPO"/>
    <tableColumn id="5" xr3:uid="{00000000-0010-0000-0B00-000005000000}" name="Lot Number"/>
    <tableColumn id="6" xr3:uid="{00000000-0010-0000-0B00-000006000000}" name="Receiving Completed"/>
    <tableColumn id="7" xr3:uid="{00000000-0010-0000-0B00-000007000000}" name="Four-Point Result"/>
    <tableColumn id="8" xr3:uid="{00000000-0010-0000-0B00-000008000000}" name="Internal Test Result"/>
    <tableColumn id="9" xr3:uid="{00000000-0010-0000-0B00-000009000000}" name="Shade Match Result"/>
    <tableColumn id="10" xr3:uid="{00000000-0010-0000-0B00-00000A000000}" name="Shrinkage Status"/>
    <tableColumn id="11" xr3:uid="{00000000-0010-0000-0B00-00000B000000}" name="Torque Status"/>
    <tableColumn id="12" xr3:uid="{00000000-0010-0000-0B00-00000C000000}" name="GSM Status"/>
    <tableColumn id="13" xr3:uid="{00000000-0010-0000-0B00-00000D000000}" name="Width Status"/>
    <tableColumn id="14" xr3:uid="{00000000-0010-0000-0B00-00000E000000}" name="Authorized Quantity"/>
    <tableColumn id="15" xr3:uid="{00000000-0010-0000-0B00-00000F000000}" name="Exception Reason"/>
    <tableColumn id="16" xr3:uid="{00000000-0010-0000-0B00-000010000000}" name="Approved By"/>
    <tableColumn id="17" xr3:uid="{00000000-0010-0000-0B00-000011000000}" name="Final Status"/>
    <tableColumn id="18" xr3:uid="{00000000-0010-0000-0B00-000012000000}" name="Released for Cutting Date"/>
    <tableColumn id="19" xr3:uid="{00000000-0010-0000-0B00-000013000000}" name="Data Owner"/>
    <tableColumn id="20" xr3:uid="{00000000-0010-0000-0B00-000014000000}" name="Last Updated"/>
    <tableColumn id="21" xr3:uid="{00000000-0010-0000-0B00-000015000000}" name="Comme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abricInventoryTable" displayName="FabricInventoryTable" ref="A4:T304" totalsRowShown="0">
  <tableColumns count="20">
    <tableColumn id="1" xr3:uid="{00000000-0010-0000-0C00-000001000000}" name="Inventory ID"/>
    <tableColumn id="2" xr3:uid="{00000000-0010-0000-0C00-000002000000}" name="Fabric PO Number"/>
    <tableColumn id="3" xr3:uid="{00000000-0010-0000-0C00-000003000000}" name="FGPO"/>
    <tableColumn id="4" xr3:uid="{00000000-0010-0000-0C00-000004000000}" name="Fabric Component"/>
    <tableColumn id="5" xr3:uid="{00000000-0010-0000-0C00-000005000000}" name="Lot Number"/>
    <tableColumn id="6" xr3:uid="{00000000-0010-0000-0C00-000006000000}" name="UOM"/>
    <tableColumn id="7" xr3:uid="{00000000-0010-0000-0C00-000007000000}" name="Received Quantity"/>
    <tableColumn id="8" xr3:uid="{00000000-0010-0000-0C00-000008000000}" name="Approved Quantity"/>
    <tableColumn id="9" xr3:uid="{00000000-0010-0000-0C00-000009000000}" name="Rejected Quantity"/>
    <tableColumn id="10" xr3:uid="{00000000-0010-0000-0C00-00000A000000}" name="Hold Quantity"/>
    <tableColumn id="11" xr3:uid="{00000000-0010-0000-0C00-00000B000000}" name="Reserved Quantity"/>
    <tableColumn id="12" xr3:uid="{00000000-0010-0000-0C00-00000C000000}" name="Issued Quantity"/>
    <tableColumn id="13" xr3:uid="{00000000-0010-0000-0C00-00000D000000}" name="Returned Quantity"/>
    <tableColumn id="14" xr3:uid="{00000000-0010-0000-0C00-00000E000000}" name="Available Quantity"/>
    <tableColumn id="15" xr3:uid="{00000000-0010-0000-0C00-00000F000000}" name="Shortage Quantity"/>
    <tableColumn id="16" xr3:uid="{00000000-0010-0000-0C00-000010000000}" name="Warehouse Location"/>
    <tableColumn id="17" xr3:uid="{00000000-0010-0000-0C00-000011000000}" name="Inventory Status"/>
    <tableColumn id="18" xr3:uid="{00000000-0010-0000-0C00-000012000000}" name="Data Owner"/>
    <tableColumn id="19" xr3:uid="{00000000-0010-0000-0C00-000013000000}" name="Last Updated"/>
    <tableColumn id="20" xr3:uid="{00000000-0010-0000-0C00-000014000000}" name="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abricReservationTable" displayName="FabricReservationTable" ref="A4:O304" totalsRowShown="0">
  <tableColumns count="15">
    <tableColumn id="1" xr3:uid="{00000000-0010-0000-0D00-000001000000}" name="Reservation ID"/>
    <tableColumn id="2" xr3:uid="{00000000-0010-0000-0D00-000002000000}" name="Reservation Date"/>
    <tableColumn id="3" xr3:uid="{00000000-0010-0000-0D00-000003000000}" name="Fabric PO Number"/>
    <tableColumn id="4" xr3:uid="{00000000-0010-0000-0D00-000004000000}" name="FGPO"/>
    <tableColumn id="5" xr3:uid="{00000000-0010-0000-0D00-000005000000}" name="Fabric Component"/>
    <tableColumn id="6" xr3:uid="{00000000-0010-0000-0D00-000006000000}" name="Lot Number"/>
    <tableColumn id="7" xr3:uid="{00000000-0010-0000-0D00-000007000000}" name="Reserved Quantity"/>
    <tableColumn id="8" xr3:uid="{00000000-0010-0000-0D00-000008000000}" name="UOM"/>
    <tableColumn id="9" xr3:uid="{00000000-0010-0000-0D00-000009000000}" name="Released Quantity"/>
    <tableColumn id="10" xr3:uid="{00000000-0010-0000-0D00-00000A000000}" name="Remaining Reservation"/>
    <tableColumn id="11" xr3:uid="{00000000-0010-0000-0D00-00000B000000}" name="Status"/>
    <tableColumn id="12" xr3:uid="{00000000-0010-0000-0D00-00000C000000}" name="Reserved By"/>
    <tableColumn id="13" xr3:uid="{00000000-0010-0000-0D00-00000D000000}" name="Approved By"/>
    <tableColumn id="14" xr3:uid="{00000000-0010-0000-0D00-00000E000000}" name="Last Updated"/>
    <tableColumn id="15" xr3:uid="{00000000-0010-0000-0D00-00000F000000}" name="Commen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IssueToCuttingTable" displayName="IssueToCuttingTable" ref="A4:W304" totalsRowShown="0">
  <tableColumns count="23">
    <tableColumn id="1" xr3:uid="{00000000-0010-0000-0E00-000001000000}" name="Issue Number"/>
    <tableColumn id="2" xr3:uid="{00000000-0010-0000-0E00-000002000000}" name="Issue Date"/>
    <tableColumn id="3" xr3:uid="{00000000-0010-0000-0E00-000003000000}" name="FGPO"/>
    <tableColumn id="4" xr3:uid="{00000000-0010-0000-0E00-000004000000}" name="Fabric PO Number"/>
    <tableColumn id="5" xr3:uid="{00000000-0010-0000-0E00-000005000000}" name="Style"/>
    <tableColumn id="6" xr3:uid="{00000000-0010-0000-0E00-000006000000}" name="Color"/>
    <tableColumn id="7" xr3:uid="{00000000-0010-0000-0E00-000007000000}" name="Fabric Component"/>
    <tableColumn id="8" xr3:uid="{00000000-0010-0000-0E00-000008000000}" name="Lot Number"/>
    <tableColumn id="9" xr3:uid="{00000000-0010-0000-0E00-000009000000}" name="Roll Number"/>
    <tableColumn id="10" xr3:uid="{00000000-0010-0000-0E00-00000A000000}" name="Issued Quantity"/>
    <tableColumn id="11" xr3:uid="{00000000-0010-0000-0E00-00000B000000}" name="UOM"/>
    <tableColumn id="12" xr3:uid="{00000000-0010-0000-0E00-00000C000000}" name="Issued Weight"/>
    <tableColumn id="13" xr3:uid="{00000000-0010-0000-0E00-00000D000000}" name="Marker Number"/>
    <tableColumn id="14" xr3:uid="{00000000-0010-0000-0E00-00000E000000}" name="Cutting Table"/>
    <tableColumn id="15" xr3:uid="{00000000-0010-0000-0E00-00000F000000}" name="Issued By"/>
    <tableColumn id="16" xr3:uid="{00000000-0010-0000-0E00-000010000000}" name="Received By Cutting"/>
    <tableColumn id="17" xr3:uid="{00000000-0010-0000-0E00-000011000000}" name="Returned Quantity"/>
    <tableColumn id="18" xr3:uid="{00000000-0010-0000-0E00-000012000000}" name="End Bits / Waste"/>
    <tableColumn id="19" xr3:uid="{00000000-0010-0000-0E00-000013000000}" name="Net Consumption"/>
    <tableColumn id="20" xr3:uid="{00000000-0010-0000-0E00-000014000000}" name="Approval Status"/>
    <tableColumn id="21" xr3:uid="{00000000-0010-0000-0E00-000015000000}" name="Data Owner"/>
    <tableColumn id="22" xr3:uid="{00000000-0010-0000-0E00-000016000000}" name="Last Updated"/>
    <tableColumn id="23" xr3:uid="{00000000-0010-0000-0E00-000017000000}" name="Remark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rimsControlTable" displayName="TrimsControlTable" ref="A4:Y304" totalsRowShown="0">
  <tableColumns count="25">
    <tableColumn id="1" xr3:uid="{00000000-0010-0000-0F00-000001000000}" name="Trim Record ID"/>
    <tableColumn id="2" xr3:uid="{00000000-0010-0000-0F00-000002000000}" name="FGPO"/>
    <tableColumn id="3" xr3:uid="{00000000-0010-0000-0F00-000003000000}" name="Style"/>
    <tableColumn id="4" xr3:uid="{00000000-0010-0000-0F00-000004000000}" name="Color"/>
    <tableColumn id="5" xr3:uid="{00000000-0010-0000-0F00-000005000000}" name="Trim Type"/>
    <tableColumn id="6" xr3:uid="{00000000-0010-0000-0F00-000006000000}" name="Description"/>
    <tableColumn id="7" xr3:uid="{00000000-0010-0000-0F00-000007000000}" name="Supplier"/>
    <tableColumn id="8" xr3:uid="{00000000-0010-0000-0F00-000008000000}" name="UOM"/>
    <tableColumn id="9" xr3:uid="{00000000-0010-0000-0F00-000009000000}" name="Consumption / Garment"/>
    <tableColumn id="10" xr3:uid="{00000000-0010-0000-0F00-00000A000000}" name="Required Qty"/>
    <tableColumn id="11" xr3:uid="{00000000-0010-0000-0F00-00000B000000}" name="Ordered Qty"/>
    <tableColumn id="12" xr3:uid="{00000000-0010-0000-0F00-00000C000000}" name="Received Qty"/>
    <tableColumn id="13" xr3:uid="{00000000-0010-0000-0F00-00000D000000}" name="Approved Qty"/>
    <tableColumn id="14" xr3:uid="{00000000-0010-0000-0F00-00000E000000}" name="Rejected Qty"/>
    <tableColumn id="15" xr3:uid="{00000000-0010-0000-0F00-00000F000000}" name="Reserved Qty"/>
    <tableColumn id="16" xr3:uid="{00000000-0010-0000-0F00-000010000000}" name="Issued Qty"/>
    <tableColumn id="17" xr3:uid="{00000000-0010-0000-0F00-000011000000}" name="Available Qty"/>
    <tableColumn id="18" xr3:uid="{00000000-0010-0000-0F00-000012000000}" name="Shortage Qty"/>
    <tableColumn id="19" xr3:uid="{00000000-0010-0000-0F00-000013000000}" name="ETA"/>
    <tableColumn id="20" xr3:uid="{00000000-0010-0000-0F00-000014000000}" name="Development Status"/>
    <tableColumn id="21" xr3:uid="{00000000-0010-0000-0F00-000015000000}" name="Approval Status"/>
    <tableColumn id="22" xr3:uid="{00000000-0010-0000-0F00-000016000000}" name="Availability Status"/>
    <tableColumn id="23" xr3:uid="{00000000-0010-0000-0F00-000017000000}" name="Data Owner"/>
    <tableColumn id="24" xr3:uid="{00000000-0010-0000-0F00-000018000000}" name="Last Updated"/>
    <tableColumn id="25" xr3:uid="{00000000-0010-0000-0F00-000019000000}" name="Comme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PSampleTable" displayName="PPSampleTable" ref="A4:Y304" totalsRowShown="0">
  <tableColumns count="25">
    <tableColumn id="1" xr3:uid="{00000000-0010-0000-1000-000001000000}" name="Sample ID"/>
    <tableColumn id="2" xr3:uid="{00000000-0010-0000-1000-000002000000}" name="FGPO"/>
    <tableColumn id="3" xr3:uid="{00000000-0010-0000-1000-000003000000}" name="Style"/>
    <tableColumn id="4" xr3:uid="{00000000-0010-0000-1000-000004000000}" name="Color"/>
    <tableColumn id="5" xr3:uid="{00000000-0010-0000-1000-000005000000}" name="Size"/>
    <tableColumn id="6" xr3:uid="{00000000-0010-0000-1000-000006000000}" name="Sample Version"/>
    <tableColumn id="7" xr3:uid="{00000000-0010-0000-1000-000007000000}" name="Fabric Lot"/>
    <tableColumn id="8" xr3:uid="{00000000-0010-0000-1000-000008000000}" name="Trim Version"/>
    <tableColumn id="9" xr3:uid="{00000000-0010-0000-1000-000009000000}" name="Preparation Date"/>
    <tableColumn id="10" xr3:uid="{00000000-0010-0000-1000-00000A000000}" name="Submission Date"/>
    <tableColumn id="11" xr3:uid="{00000000-0010-0000-1000-00000B000000}" name="Measurement Result"/>
    <tableColumn id="12" xr3:uid="{00000000-0010-0000-1000-00000C000000}" name="Construction Result"/>
    <tableColumn id="13" xr3:uid="{00000000-0010-0000-1000-00000D000000}" name="Fit Result"/>
    <tableColumn id="14" xr3:uid="{00000000-0010-0000-1000-00000E000000}" name="Fabric Result"/>
    <tableColumn id="15" xr3:uid="{00000000-0010-0000-1000-00000F000000}" name="Trim Result"/>
    <tableColumn id="16" xr3:uid="{00000000-0010-0000-1000-000010000000}" name="Label Result"/>
    <tableColumn id="17" xr3:uid="{00000000-0010-0000-1000-000011000000}" name="Internal Review"/>
    <tableColumn id="18" xr3:uid="{00000000-0010-0000-1000-000012000000}" name="Customer Review"/>
    <tableColumn id="19" xr3:uid="{00000000-0010-0000-1000-000013000000}" name="Customer Comments"/>
    <tableColumn id="20" xr3:uid="{00000000-0010-0000-1000-000014000000}" name="Approval Date"/>
    <tableColumn id="21" xr3:uid="{00000000-0010-0000-1000-000015000000}" name="Approved By"/>
    <tableColumn id="22" xr3:uid="{00000000-0010-0000-1000-000016000000}" name="Status"/>
    <tableColumn id="23" xr3:uid="{00000000-0010-0000-1000-000017000000}" name="Document Link"/>
    <tableColumn id="24" xr3:uid="{00000000-0010-0000-1000-000018000000}" name="Photo Link"/>
    <tableColumn id="25" xr3:uid="{00000000-0010-0000-1000-000019000000}" name="Last Update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roductionReadinessTable" displayName="ProductionReadinessTable" ref="A4:X304" totalsRowShown="0">
  <tableColumns count="24">
    <tableColumn id="1" xr3:uid="{00000000-0010-0000-1100-000001000000}" name="PRR ID"/>
    <tableColumn id="2" xr3:uid="{00000000-0010-0000-1100-000002000000}" name="Review Date"/>
    <tableColumn id="3" xr3:uid="{00000000-0010-0000-1100-000003000000}" name="FGPO"/>
    <tableColumn id="4" xr3:uid="{00000000-0010-0000-1100-000004000000}" name="Style"/>
    <tableColumn id="5" xr3:uid="{00000000-0010-0000-1100-000005000000}" name="Color"/>
    <tableColumn id="6" xr3:uid="{00000000-0010-0000-1100-000006000000}" name="PO Confirmed"/>
    <tableColumn id="7" xr3:uid="{00000000-0010-0000-1100-000007000000}" name="Tech Pack Current"/>
    <tableColumn id="8" xr3:uid="{00000000-0010-0000-1100-000008000000}" name="Fabric Approved"/>
    <tableColumn id="9" xr3:uid="{00000000-0010-0000-1100-000009000000}" name="Trims Approved"/>
    <tableColumn id="10" xr3:uid="{00000000-0010-0000-1100-00000A000000}" name="Trims Available"/>
    <tableColumn id="11" xr3:uid="{00000000-0010-0000-1100-00000B000000}" name="PP Sample Approved"/>
    <tableColumn id="12" xr3:uid="{00000000-0010-0000-1100-00000C000000}" name="Pattern Approved"/>
    <tableColumn id="13" xr3:uid="{00000000-0010-0000-1100-00000D000000}" name="Marker Approved"/>
    <tableColumn id="14" xr3:uid="{00000000-0010-0000-1100-00000E000000}" name="Fabric Width Confirmed"/>
    <tableColumn id="15" xr3:uid="{00000000-0010-0000-1100-00000F000000}" name="Shrinkage Approved"/>
    <tableColumn id="16" xr3:uid="{00000000-0010-0000-1100-000010000000}" name="Torque Approved"/>
    <tableColumn id="17" xr3:uid="{00000000-0010-0000-1100-000011000000}" name="Quality Standard Ready"/>
    <tableColumn id="18" xr3:uid="{00000000-0010-0000-1100-000012000000}" name="Line Planned"/>
    <tableColumn id="19" xr3:uid="{00000000-0010-0000-1100-000013000000}" name="Overall Result"/>
    <tableColumn id="20" xr3:uid="{00000000-0010-0000-1100-000014000000}" name="Open Conditions"/>
    <tableColumn id="21" xr3:uid="{00000000-0010-0000-1100-000015000000}" name="Responsible Owner"/>
    <tableColumn id="22" xr3:uid="{00000000-0010-0000-1100-000016000000}" name="Due Date"/>
    <tableColumn id="23" xr3:uid="{00000000-0010-0000-1100-000017000000}" name="Approved By"/>
    <tableColumn id="24" xr3:uid="{00000000-0010-0000-1100-000018000000}" name="Last Update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uttingReleaseTable" displayName="CuttingReleaseTable" ref="A4:R304" totalsRowShown="0">
  <tableColumns count="18">
    <tableColumn id="1" xr3:uid="{00000000-0010-0000-1200-000001000000}" name="Release Number"/>
    <tableColumn id="2" xr3:uid="{00000000-0010-0000-1200-000002000000}" name="Release Date"/>
    <tableColumn id="3" xr3:uid="{00000000-0010-0000-1200-000003000000}" name="FGPO"/>
    <tableColumn id="4" xr3:uid="{00000000-0010-0000-1200-000004000000}" name="Style"/>
    <tableColumn id="5" xr3:uid="{00000000-0010-0000-1200-000005000000}" name="Color"/>
    <tableColumn id="6" xr3:uid="{00000000-0010-0000-1200-000006000000}" name="Fabric Lot"/>
    <tableColumn id="7" xr3:uid="{00000000-0010-0000-1200-000007000000}" name="Approved Cut Qty"/>
    <tableColumn id="8" xr3:uid="{00000000-0010-0000-1200-000008000000}" name="Approved Width"/>
    <tableColumn id="9" xr3:uid="{00000000-0010-0000-1200-000009000000}" name="Marker Number"/>
    <tableColumn id="10" xr3:uid="{00000000-0010-0000-1200-00000A000000}" name="Approved Yield"/>
    <tableColumn id="11" xr3:uid="{00000000-0010-0000-1200-00000B000000}" name="PRR Result"/>
    <tableColumn id="12" xr3:uid="{00000000-0010-0000-1200-00000C000000}" name="Released By"/>
    <tableColumn id="13" xr3:uid="{00000000-0010-0000-1200-00000D000000}" name="Reviewed By"/>
    <tableColumn id="14" xr3:uid="{00000000-0010-0000-1200-00000E000000}" name="Exception"/>
    <tableColumn id="15" xr3:uid="{00000000-0010-0000-1200-00000F000000}" name="Conditions"/>
    <tableColumn id="16" xr3:uid="{00000000-0010-0000-1200-000010000000}" name="Release Status"/>
    <tableColumn id="17" xr3:uid="{00000000-0010-0000-1200-000011000000}" name="Last Updated"/>
    <tableColumn id="18" xr3:uid="{00000000-0010-0000-1200-000012000000}" name="Commen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uttingControlTable" displayName="CuttingControlTable" ref="A4:V304" totalsRowShown="0">
  <tableColumns count="22">
    <tableColumn id="1" xr3:uid="{00000000-0010-0000-1300-000001000000}" name="Cut Record ID"/>
    <tableColumn id="2" xr3:uid="{00000000-0010-0000-1300-000002000000}" name="Date"/>
    <tableColumn id="3" xr3:uid="{00000000-0010-0000-1300-000003000000}" name="FGPO"/>
    <tableColumn id="4" xr3:uid="{00000000-0010-0000-1300-000004000000}" name="Style"/>
    <tableColumn id="5" xr3:uid="{00000000-0010-0000-1300-000005000000}" name="Color"/>
    <tableColumn id="6" xr3:uid="{00000000-0010-0000-1300-000006000000}" name="Size"/>
    <tableColumn id="7" xr3:uid="{00000000-0010-0000-1300-000007000000}" name="Fabric Lot"/>
    <tableColumn id="8" xr3:uid="{00000000-0010-0000-1300-000008000000}" name="Marker Number"/>
    <tableColumn id="9" xr3:uid="{00000000-0010-0000-1300-000009000000}" name="Planned Cut"/>
    <tableColumn id="10" xr3:uid="{00000000-0010-0000-1300-00000A000000}" name="Actual Cut"/>
    <tableColumn id="11" xr3:uid="{00000000-0010-0000-1300-00000B000000}" name="Good Cut"/>
    <tableColumn id="12" xr3:uid="{00000000-0010-0000-1300-00000C000000}" name="Damaged Qty"/>
    <tableColumn id="13" xr3:uid="{00000000-0010-0000-1300-00000D000000}" name="Replacement Cut"/>
    <tableColumn id="14" xr3:uid="{00000000-0010-0000-1300-00000E000000}" name="Sent to Sewing"/>
    <tableColumn id="15" xr3:uid="{00000000-0010-0000-1300-00000F000000}" name="Cutting Variance"/>
    <tableColumn id="16" xr3:uid="{00000000-0010-0000-1300-000010000000}" name="Pending Cut"/>
    <tableColumn id="17" xr3:uid="{00000000-0010-0000-1300-000011000000}" name="Overcut Qty"/>
    <tableColumn id="18" xr3:uid="{00000000-0010-0000-1300-000012000000}" name="Cut-to-Sew Difference"/>
    <tableColumn id="19" xr3:uid="{00000000-0010-0000-1300-000013000000}" name="Release Status"/>
    <tableColumn id="20" xr3:uid="{00000000-0010-0000-1300-000014000000}" name="Responsible Person"/>
    <tableColumn id="21" xr3:uid="{00000000-0010-0000-1300-000015000000}" name="Last Updated"/>
    <tableColumn id="22" xr3:uid="{00000000-0010-0000-1300-000016000000}" name="Comment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uttingPanelQCTable" displayName="CuttingPanelQCTable" ref="A4:W304" totalsRowShown="0">
  <tableColumns count="23">
    <tableColumn id="1" xr3:uid="{00000000-0010-0000-1400-000001000000}" name="Inspection ID"/>
    <tableColumn id="2" xr3:uid="{00000000-0010-0000-1400-000002000000}" name="Date"/>
    <tableColumn id="3" xr3:uid="{00000000-0010-0000-1400-000003000000}" name="FGPO"/>
    <tableColumn id="4" xr3:uid="{00000000-0010-0000-1400-000004000000}" name="Style"/>
    <tableColumn id="5" xr3:uid="{00000000-0010-0000-1400-000005000000}" name="Color"/>
    <tableColumn id="6" xr3:uid="{00000000-0010-0000-1400-000006000000}" name="Size"/>
    <tableColumn id="7" xr3:uid="{00000000-0010-0000-1400-000007000000}" name="Fabric Lot"/>
    <tableColumn id="8" xr3:uid="{00000000-0010-0000-1400-000008000000}" name="Cut Lot / Lay"/>
    <tableColumn id="9" xr3:uid="{00000000-0010-0000-1400-000009000000}" name="Bundle No."/>
    <tableColumn id="10" xr3:uid="{00000000-0010-0000-1400-00000A000000}" name="Sample Qty"/>
    <tableColumn id="11" xr3:uid="{00000000-0010-0000-1400-00000B000000}" name="Panel Defects"/>
    <tableColumn id="12" xr3:uid="{00000000-0010-0000-1400-00000C000000}" name="Notches Defects"/>
    <tableColumn id="13" xr3:uid="{00000000-0010-0000-1400-00000D000000}" name="Drill Mark Defects"/>
    <tableColumn id="14" xr3:uid="{00000000-0010-0000-1400-00000E000000}" name="Shade Defects"/>
    <tableColumn id="15" xr3:uid="{00000000-0010-0000-1400-00000F000000}" name="Measurement Defects"/>
    <tableColumn id="16" xr3:uid="{00000000-0010-0000-1400-000010000000}" name="Total Defects"/>
    <tableColumn id="17" xr3:uid="{00000000-0010-0000-1400-000011000000}" name="Defect Rate %"/>
    <tableColumn id="18" xr3:uid="{00000000-0010-0000-1400-000012000000}" name="Max Allowed"/>
    <tableColumn id="19" xr3:uid="{00000000-0010-0000-1400-000013000000}" name="Result"/>
    <tableColumn id="20" xr3:uid="{00000000-0010-0000-1400-000014000000}" name="Inspector"/>
    <tableColumn id="21" xr3:uid="{00000000-0010-0000-1400-000015000000}" name="Corrective Action"/>
    <tableColumn id="22" xr3:uid="{00000000-0010-0000-1400-000016000000}" name="Last Updated"/>
    <tableColumn id="23" xr3:uid="{00000000-0010-0000-1400-000017000000}" name="Comment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OPSampleTable" displayName="TOPSampleTable" ref="A4:Z304" totalsRowShown="0">
  <tableColumns count="26">
    <tableColumn id="1" xr3:uid="{00000000-0010-0000-1500-000001000000}" name="TOP ID"/>
    <tableColumn id="2" xr3:uid="{00000000-0010-0000-1500-000002000000}" name="FGPO"/>
    <tableColumn id="3" xr3:uid="{00000000-0010-0000-1500-000003000000}" name="Style"/>
    <tableColumn id="4" xr3:uid="{00000000-0010-0000-1500-000004000000}" name="Color"/>
    <tableColumn id="5" xr3:uid="{00000000-0010-0000-1500-000005000000}" name="Size"/>
    <tableColumn id="6" xr3:uid="{00000000-0010-0000-1500-000006000000}" name="Production Line"/>
    <tableColumn id="7" xr3:uid="{00000000-0010-0000-1500-000007000000}" name="Fabric Lot"/>
    <tableColumn id="8" xr3:uid="{00000000-0010-0000-1500-000008000000}" name="Cut Lot / Bundle"/>
    <tableColumn id="9" xr3:uid="{00000000-0010-0000-1500-000009000000}" name="Trim Version"/>
    <tableColumn id="10" xr3:uid="{00000000-0010-0000-1500-00000A000000}" name="Thread Lot"/>
    <tableColumn id="11" xr3:uid="{00000000-0010-0000-1500-00000B000000}" name="TOP Qty"/>
    <tableColumn id="12" xr3:uid="{00000000-0010-0000-1500-00000C000000}" name="Production Date"/>
    <tableColumn id="13" xr3:uid="{00000000-0010-0000-1500-00000D000000}" name="Measurement Result"/>
    <tableColumn id="14" xr3:uid="{00000000-0010-0000-1500-00000E000000}" name="Construction Result"/>
    <tableColumn id="15" xr3:uid="{00000000-0010-0000-1500-00000F000000}" name="Workmanship Result"/>
    <tableColumn id="16" xr3:uid="{00000000-0010-0000-1500-000010000000}" name="Label Result"/>
    <tableColumn id="17" xr3:uid="{00000000-0010-0000-1500-000011000000}" name="Packing Result"/>
    <tableColumn id="18" xr3:uid="{00000000-0010-0000-1500-000012000000}" name="Internal Review"/>
    <tableColumn id="19" xr3:uid="{00000000-0010-0000-1500-000013000000}" name="Customer Review"/>
    <tableColumn id="20" xr3:uid="{00000000-0010-0000-1500-000014000000}" name="Corrective Action"/>
    <tableColumn id="21" xr3:uid="{00000000-0010-0000-1500-000015000000}" name="Approval Date"/>
    <tableColumn id="22" xr3:uid="{00000000-0010-0000-1500-000016000000}" name="Approved By"/>
    <tableColumn id="23" xr3:uid="{00000000-0010-0000-1500-000017000000}" name="Status"/>
    <tableColumn id="24" xr3:uid="{00000000-0010-0000-1500-000018000000}" name="Document Link"/>
    <tableColumn id="25" xr3:uid="{00000000-0010-0000-1500-000019000000}" name="Photo Link"/>
    <tableColumn id="26" xr3:uid="{00000000-0010-0000-1500-00001A000000}" name="Last Update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SewingProductionTable" displayName="SewingProductionTable" ref="A4:X304" totalsRowShown="0">
  <tableColumns count="24">
    <tableColumn id="1" xr3:uid="{00000000-0010-0000-1600-000001000000}" name="Record ID"/>
    <tableColumn id="2" xr3:uid="{00000000-0010-0000-1600-000002000000}" name="Date"/>
    <tableColumn id="3" xr3:uid="{00000000-0010-0000-1600-000003000000}" name="Shift"/>
    <tableColumn id="4" xr3:uid="{00000000-0010-0000-1600-000004000000}" name="Line"/>
    <tableColumn id="5" xr3:uid="{00000000-0010-0000-1600-000005000000}" name="FGPO"/>
    <tableColumn id="6" xr3:uid="{00000000-0010-0000-1600-000006000000}" name="Style"/>
    <tableColumn id="7" xr3:uid="{00000000-0010-0000-1600-000007000000}" name="Color"/>
    <tableColumn id="8" xr3:uid="{00000000-0010-0000-1600-000008000000}" name="Size"/>
    <tableColumn id="9" xr3:uid="{00000000-0010-0000-1600-000009000000}" name="Sewing Input"/>
    <tableColumn id="10" xr3:uid="{00000000-0010-0000-1600-00000A000000}" name="Daily Target"/>
    <tableColumn id="11" xr3:uid="{00000000-0010-0000-1600-00000B000000}" name="Daily Output"/>
    <tableColumn id="12" xr3:uid="{00000000-0010-0000-1600-00000C000000}" name="Cumulative Output"/>
    <tableColumn id="13" xr3:uid="{00000000-0010-0000-1600-00000D000000}" name="WIP"/>
    <tableColumn id="14" xr3:uid="{00000000-0010-0000-1600-00000E000000}" name="Rework"/>
    <tableColumn id="15" xr3:uid="{00000000-0010-0000-1600-00000F000000}" name="Reject"/>
    <tableColumn id="16" xr3:uid="{00000000-0010-0000-1600-000010000000}" name="Downtime Minutes"/>
    <tableColumn id="17" xr3:uid="{00000000-0010-0000-1600-000011000000}" name="Target Achievement %"/>
    <tableColumn id="18" xr3:uid="{00000000-0010-0000-1600-000012000000}" name="Sewing Variance"/>
    <tableColumn id="19" xr3:uid="{00000000-0010-0000-1600-000013000000}" name="Pending Sewing"/>
    <tableColumn id="20" xr3:uid="{00000000-0010-0000-1600-000014000000}" name="Overproduction"/>
    <tableColumn id="21" xr3:uid="{00000000-0010-0000-1600-000015000000}" name="TOP Status"/>
    <tableColumn id="22" xr3:uid="{00000000-0010-0000-1600-000016000000}" name="Supervisor"/>
    <tableColumn id="23" xr3:uid="{00000000-0010-0000-1600-000017000000}" name="Last Updated"/>
    <tableColumn id="24" xr3:uid="{00000000-0010-0000-1600-000018000000}" name="Problems / Remark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InlineQualityTable2" displayName="InlineQualityTable2" ref="A4:W304" totalsRowShown="0">
  <tableColumns count="23">
    <tableColumn id="1" xr3:uid="{00000000-0010-0000-1700-000001000000}" name="Inspection ID"/>
    <tableColumn id="2" xr3:uid="{00000000-0010-0000-1700-000002000000}" name="Date"/>
    <tableColumn id="3" xr3:uid="{00000000-0010-0000-1700-000003000000}" name="Time"/>
    <tableColumn id="4" xr3:uid="{00000000-0010-0000-1700-000004000000}" name="Line"/>
    <tableColumn id="5" xr3:uid="{00000000-0010-0000-1700-000005000000}" name="FGPO"/>
    <tableColumn id="6" xr3:uid="{00000000-0010-0000-1700-000006000000}" name="Style"/>
    <tableColumn id="7" xr3:uid="{00000000-0010-0000-1700-000007000000}" name="Color"/>
    <tableColumn id="8" xr3:uid="{00000000-0010-0000-1700-000008000000}" name="Operation"/>
    <tableColumn id="9" xr3:uid="{00000000-0010-0000-1700-000009000000}" name="Operator"/>
    <tableColumn id="10" xr3:uid="{00000000-0010-0000-1700-00000A000000}" name="Checked Qty"/>
    <tableColumn id="11" xr3:uid="{00000000-0010-0000-1700-00000B000000}" name="Critical Defects"/>
    <tableColumn id="12" xr3:uid="{00000000-0010-0000-1700-00000C000000}" name="Major Defects"/>
    <tableColumn id="13" xr3:uid="{00000000-0010-0000-1700-00000D000000}" name="Minor Defects"/>
    <tableColumn id="14" xr3:uid="{00000000-0010-0000-1700-00000E000000}" name="Total Defects"/>
    <tableColumn id="15" xr3:uid="{00000000-0010-0000-1700-00000F000000}" name="DHU %"/>
    <tableColumn id="16" xr3:uid="{00000000-0010-0000-1700-000010000000}" name="Defective Pieces"/>
    <tableColumn id="17" xr3:uid="{00000000-0010-0000-1700-000011000000}" name="Defective Rate %"/>
    <tableColumn id="18" xr3:uid="{00000000-0010-0000-1700-000012000000}" name="Max Allowed"/>
    <tableColumn id="19" xr3:uid="{00000000-0010-0000-1700-000013000000}" name="Result"/>
    <tableColumn id="20" xr3:uid="{00000000-0010-0000-1700-000014000000}" name="Inspector"/>
    <tableColumn id="21" xr3:uid="{00000000-0010-0000-1700-000015000000}" name="Immediate Correction"/>
    <tableColumn id="22" xr3:uid="{00000000-0010-0000-1700-000016000000}" name="Root Cause / Follow-up"/>
    <tableColumn id="23" xr3:uid="{00000000-0010-0000-1700-000017000000}" name="Last Update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EndlineInspectionTable2" displayName="EndlineInspectionTable2" ref="A4:Z304" totalsRowShown="0">
  <tableColumns count="26">
    <tableColumn id="1" xr3:uid="{00000000-0010-0000-1800-000001000000}" name="Inspection ID"/>
    <tableColumn id="2" xr3:uid="{00000000-0010-0000-1800-000002000000}" name="Inspection Date"/>
    <tableColumn id="3" xr3:uid="{00000000-0010-0000-1800-000003000000}" name="FGPO"/>
    <tableColumn id="4" xr3:uid="{00000000-0010-0000-1800-000004000000}" name="Style"/>
    <tableColumn id="5" xr3:uid="{00000000-0010-0000-1800-000005000000}" name="Color"/>
    <tableColumn id="6" xr3:uid="{00000000-0010-0000-1800-000006000000}" name="Lot / Shipment"/>
    <tableColumn id="7" xr3:uid="{00000000-0010-0000-1800-000007000000}" name="Lot Size"/>
    <tableColumn id="8" xr3:uid="{00000000-0010-0000-1800-000008000000}" name="Inspection Level"/>
    <tableColumn id="9" xr3:uid="{00000000-0010-0000-1800-000009000000}" name="AQL Major"/>
    <tableColumn id="10" xr3:uid="{00000000-0010-0000-1800-00000A000000}" name="AQL Minor"/>
    <tableColumn id="11" xr3:uid="{00000000-0010-0000-1800-00000B000000}" name="Sample Size"/>
    <tableColumn id="12" xr3:uid="{00000000-0010-0000-1800-00000C000000}" name="Critical Defects"/>
    <tableColumn id="13" xr3:uid="{00000000-0010-0000-1800-00000D000000}" name="Major Defects"/>
    <tableColumn id="14" xr3:uid="{00000000-0010-0000-1800-00000E000000}" name="Minor Defects"/>
    <tableColumn id="15" xr3:uid="{00000000-0010-0000-1800-00000F000000}" name="Critical Ac"/>
    <tableColumn id="16" xr3:uid="{00000000-0010-0000-1800-000010000000}" name="Major Ac"/>
    <tableColumn id="17" xr3:uid="{00000000-0010-0000-1800-000011000000}" name="Minor Ac"/>
    <tableColumn id="18" xr3:uid="{00000000-0010-0000-1800-000012000000}" name="Critical Re"/>
    <tableColumn id="19" xr3:uid="{00000000-0010-0000-1800-000013000000}" name="Major Re"/>
    <tableColumn id="20" xr3:uid="{00000000-0010-0000-1800-000014000000}" name="Minor Re"/>
    <tableColumn id="21" xr3:uid="{00000000-0010-0000-1800-000015000000}" name="Result"/>
    <tableColumn id="22" xr3:uid="{00000000-0010-0000-1800-000016000000}" name="Inspector"/>
    <tableColumn id="23" xr3:uid="{00000000-0010-0000-1800-000017000000}" name="Disposition"/>
    <tableColumn id="24" xr3:uid="{00000000-0010-0000-1800-000018000000}" name="Report Link"/>
    <tableColumn id="25" xr3:uid="{00000000-0010-0000-1800-000019000000}" name="Last Updated"/>
    <tableColumn id="26" xr3:uid="{00000000-0010-0000-1800-00001A000000}" name="Comment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reFinalInspectionTable2" displayName="PreFinalInspectionTable2" ref="A4:Z304" totalsRowShown="0">
  <tableColumns count="26">
    <tableColumn id="1" xr3:uid="{00000000-0010-0000-1900-000001000000}" name="Inspection ID"/>
    <tableColumn id="2" xr3:uid="{00000000-0010-0000-1900-000002000000}" name="Inspection Date"/>
    <tableColumn id="3" xr3:uid="{00000000-0010-0000-1900-000003000000}" name="FGPO"/>
    <tableColumn id="4" xr3:uid="{00000000-0010-0000-1900-000004000000}" name="Style"/>
    <tableColumn id="5" xr3:uid="{00000000-0010-0000-1900-000005000000}" name="Color"/>
    <tableColumn id="6" xr3:uid="{00000000-0010-0000-1900-000006000000}" name="Lot / Shipment"/>
    <tableColumn id="7" xr3:uid="{00000000-0010-0000-1900-000007000000}" name="Lot Size"/>
    <tableColumn id="8" xr3:uid="{00000000-0010-0000-1900-000008000000}" name="Inspection Level"/>
    <tableColumn id="9" xr3:uid="{00000000-0010-0000-1900-000009000000}" name="AQL Major"/>
    <tableColumn id="10" xr3:uid="{00000000-0010-0000-1900-00000A000000}" name="AQL Minor"/>
    <tableColumn id="11" xr3:uid="{00000000-0010-0000-1900-00000B000000}" name="Sample Size"/>
    <tableColumn id="12" xr3:uid="{00000000-0010-0000-1900-00000C000000}" name="Critical Defects"/>
    <tableColumn id="13" xr3:uid="{00000000-0010-0000-1900-00000D000000}" name="Major Defects"/>
    <tableColumn id="14" xr3:uid="{00000000-0010-0000-1900-00000E000000}" name="Minor Defects"/>
    <tableColumn id="15" xr3:uid="{00000000-0010-0000-1900-00000F000000}" name="Critical Ac"/>
    <tableColumn id="16" xr3:uid="{00000000-0010-0000-1900-000010000000}" name="Major Ac"/>
    <tableColumn id="17" xr3:uid="{00000000-0010-0000-1900-000011000000}" name="Minor Ac"/>
    <tableColumn id="18" xr3:uid="{00000000-0010-0000-1900-000012000000}" name="Critical Re"/>
    <tableColumn id="19" xr3:uid="{00000000-0010-0000-1900-000013000000}" name="Major Re"/>
    <tableColumn id="20" xr3:uid="{00000000-0010-0000-1900-000014000000}" name="Minor Re"/>
    <tableColumn id="21" xr3:uid="{00000000-0010-0000-1900-000015000000}" name="Result"/>
    <tableColumn id="22" xr3:uid="{00000000-0010-0000-1900-000016000000}" name="Inspector"/>
    <tableColumn id="23" xr3:uid="{00000000-0010-0000-1900-000017000000}" name="Disposition"/>
    <tableColumn id="24" xr3:uid="{00000000-0010-0000-1900-000018000000}" name="Report Link"/>
    <tableColumn id="25" xr3:uid="{00000000-0010-0000-1900-000019000000}" name="Last Updated"/>
    <tableColumn id="26" xr3:uid="{00000000-0010-0000-1900-00001A000000}" name="Comment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inalInspectionTable2" displayName="FinalInspectionTable2" ref="A4:Z304" totalsRowShown="0">
  <tableColumns count="26">
    <tableColumn id="1" xr3:uid="{00000000-0010-0000-1A00-000001000000}" name="Inspection ID"/>
    <tableColumn id="2" xr3:uid="{00000000-0010-0000-1A00-000002000000}" name="Inspection Date"/>
    <tableColumn id="3" xr3:uid="{00000000-0010-0000-1A00-000003000000}" name="FGPO"/>
    <tableColumn id="4" xr3:uid="{00000000-0010-0000-1A00-000004000000}" name="Style"/>
    <tableColumn id="5" xr3:uid="{00000000-0010-0000-1A00-000005000000}" name="Color"/>
    <tableColumn id="6" xr3:uid="{00000000-0010-0000-1A00-000006000000}" name="Lot / Shipment"/>
    <tableColumn id="7" xr3:uid="{00000000-0010-0000-1A00-000007000000}" name="Lot Size"/>
    <tableColumn id="8" xr3:uid="{00000000-0010-0000-1A00-000008000000}" name="Inspection Level"/>
    <tableColumn id="9" xr3:uid="{00000000-0010-0000-1A00-000009000000}" name="AQL Major"/>
    <tableColumn id="10" xr3:uid="{00000000-0010-0000-1A00-00000A000000}" name="AQL Minor"/>
    <tableColumn id="11" xr3:uid="{00000000-0010-0000-1A00-00000B000000}" name="Sample Size"/>
    <tableColumn id="12" xr3:uid="{00000000-0010-0000-1A00-00000C000000}" name="Critical Defects"/>
    <tableColumn id="13" xr3:uid="{00000000-0010-0000-1A00-00000D000000}" name="Major Defects"/>
    <tableColumn id="14" xr3:uid="{00000000-0010-0000-1A00-00000E000000}" name="Minor Defects"/>
    <tableColumn id="15" xr3:uid="{00000000-0010-0000-1A00-00000F000000}" name="Critical Ac"/>
    <tableColumn id="16" xr3:uid="{00000000-0010-0000-1A00-000010000000}" name="Major Ac"/>
    <tableColumn id="17" xr3:uid="{00000000-0010-0000-1A00-000011000000}" name="Minor Ac"/>
    <tableColumn id="18" xr3:uid="{00000000-0010-0000-1A00-000012000000}" name="Critical Re"/>
    <tableColumn id="19" xr3:uid="{00000000-0010-0000-1A00-000013000000}" name="Major Re"/>
    <tableColumn id="20" xr3:uid="{00000000-0010-0000-1A00-000014000000}" name="Minor Re"/>
    <tableColumn id="21" xr3:uid="{00000000-0010-0000-1A00-000015000000}" name="Result"/>
    <tableColumn id="22" xr3:uid="{00000000-0010-0000-1A00-000016000000}" name="Inspector"/>
    <tableColumn id="23" xr3:uid="{00000000-0010-0000-1A00-000017000000}" name="Disposition"/>
    <tableColumn id="24" xr3:uid="{00000000-0010-0000-1A00-000018000000}" name="Report Link"/>
    <tableColumn id="25" xr3:uid="{00000000-0010-0000-1A00-000019000000}" name="Last Updated"/>
    <tableColumn id="26" xr3:uid="{00000000-0010-0000-1A00-00001A000000}" name="Comment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PackingControlTable" displayName="PackingControlTable" ref="A4:U304" totalsRowShown="0">
  <tableColumns count="21">
    <tableColumn id="1" xr3:uid="{00000000-0010-0000-1B00-000001000000}" name="Packing Record ID"/>
    <tableColumn id="2" xr3:uid="{00000000-0010-0000-1B00-000002000000}" name="Date"/>
    <tableColumn id="3" xr3:uid="{00000000-0010-0000-1B00-000003000000}" name="FGPO"/>
    <tableColumn id="4" xr3:uid="{00000000-0010-0000-1B00-000004000000}" name="Style"/>
    <tableColumn id="5" xr3:uid="{00000000-0010-0000-1B00-000005000000}" name="Color"/>
    <tableColumn id="6" xr3:uid="{00000000-0010-0000-1B00-000006000000}" name="Size"/>
    <tableColumn id="7" xr3:uid="{00000000-0010-0000-1B00-000007000000}" name="QC Passed Qty"/>
    <tableColumn id="8" xr3:uid="{00000000-0010-0000-1B00-000008000000}" name="Received by Packing"/>
    <tableColumn id="9" xr3:uid="{00000000-0010-0000-1B00-000009000000}" name="Folded Qty"/>
    <tableColumn id="10" xr3:uid="{00000000-0010-0000-1B00-00000A000000}" name="Polybagged Qty"/>
    <tableColumn id="11" xr3:uid="{00000000-0010-0000-1B00-00000B000000}" name="Packed Qty"/>
    <tableColumn id="12" xr3:uid="{00000000-0010-0000-1B00-00000C000000}" name="Full Cartons"/>
    <tableColumn id="13" xr3:uid="{00000000-0010-0000-1B00-00000D000000}" name="Partial Cartons"/>
    <tableColumn id="14" xr3:uid="{00000000-0010-0000-1B00-00000E000000}" name="Pcs per Carton"/>
    <tableColumn id="15" xr3:uid="{00000000-0010-0000-1B00-00000F000000}" name="Ready to Ship Qty"/>
    <tableColumn id="16" xr3:uid="{00000000-0010-0000-1B00-000010000000}" name="Packing Variance"/>
    <tableColumn id="17" xr3:uid="{00000000-0010-0000-1B00-000011000000}" name="Pending Packing"/>
    <tableColumn id="18" xr3:uid="{00000000-0010-0000-1B00-000012000000}" name="Overpacked Qty"/>
    <tableColumn id="19" xr3:uid="{00000000-0010-0000-1B00-000013000000}" name="Responsible Person"/>
    <tableColumn id="20" xr3:uid="{00000000-0010-0000-1B00-000014000000}" name="Last Updated"/>
    <tableColumn id="21" xr3:uid="{00000000-0010-0000-1B00-000015000000}" name="Remark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inishedGoodsTable" displayName="FinishedGoodsTable" ref="A4:R304" totalsRowShown="0">
  <tableColumns count="18">
    <tableColumn id="1" xr3:uid="{00000000-0010-0000-1C00-000001000000}" name="FG Record ID"/>
    <tableColumn id="2" xr3:uid="{00000000-0010-0000-1C00-000002000000}" name="Receipt Date"/>
    <tableColumn id="3" xr3:uid="{00000000-0010-0000-1C00-000003000000}" name="FGPO"/>
    <tableColumn id="4" xr3:uid="{00000000-0010-0000-1C00-000004000000}" name="Style"/>
    <tableColumn id="5" xr3:uid="{00000000-0010-0000-1C00-000005000000}" name="Color"/>
    <tableColumn id="6" xr3:uid="{00000000-0010-0000-1C00-000006000000}" name="Size"/>
    <tableColumn id="7" xr3:uid="{00000000-0010-0000-1C00-000007000000}" name="Packed Qty"/>
    <tableColumn id="8" xr3:uid="{00000000-0010-0000-1C00-000008000000}" name="Warehouse Received"/>
    <tableColumn id="9" xr3:uid="{00000000-0010-0000-1C00-000009000000}" name="Reserved for Shipment"/>
    <tableColumn id="10" xr3:uid="{00000000-0010-0000-1C00-00000A000000}" name="Ready to Ship"/>
    <tableColumn id="11" xr3:uid="{00000000-0010-0000-1C00-00000B000000}" name="Loaded Qty"/>
    <tableColumn id="12" xr3:uid="{00000000-0010-0000-1C00-00000C000000}" name="Shipped Qty"/>
    <tableColumn id="13" xr3:uid="{00000000-0010-0000-1C00-00000D000000}" name="Warehouse Balance"/>
    <tableColumn id="14" xr3:uid="{00000000-0010-0000-1C00-00000E000000}" name="Warehouse Location"/>
    <tableColumn id="15" xr3:uid="{00000000-0010-0000-1C00-00000F000000}" name="Status"/>
    <tableColumn id="16" xr3:uid="{00000000-0010-0000-1C00-000010000000}" name="Data Owner"/>
    <tableColumn id="17" xr3:uid="{00000000-0010-0000-1C00-000011000000}" name="Last Updated"/>
    <tableColumn id="18" xr3:uid="{00000000-0010-0000-1C00-000012000000}" name="Remark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ShipmentControlTable" displayName="ShipmentControlTable" ref="A4:AC304" totalsRowShown="0">
  <tableColumns count="29">
    <tableColumn id="1" xr3:uid="{00000000-0010-0000-1D00-000001000000}" name="Shipment Number"/>
    <tableColumn id="2" xr3:uid="{00000000-0010-0000-1D00-000002000000}" name="Customer"/>
    <tableColumn id="3" xr3:uid="{00000000-0010-0000-1D00-000003000000}" name="FGPO"/>
    <tableColumn id="4" xr3:uid="{00000000-0010-0000-1D00-000004000000}" name="Style"/>
    <tableColumn id="5" xr3:uid="{00000000-0010-0000-1D00-000005000000}" name="Color"/>
    <tableColumn id="6" xr3:uid="{00000000-0010-0000-1D00-000006000000}" name="Size"/>
    <tableColumn id="7" xr3:uid="{00000000-0010-0000-1D00-000007000000}" name="Planned Qty"/>
    <tableColumn id="8" xr3:uid="{00000000-0010-0000-1D00-000008000000}" name="Actual Loaded Qty"/>
    <tableColumn id="9" xr3:uid="{00000000-0010-0000-1D00-000009000000}" name="In Transit Qty"/>
    <tableColumn id="10" xr3:uid="{00000000-0010-0000-1D00-00000A000000}" name="Customer Received Qty"/>
    <tableColumn id="11" xr3:uid="{00000000-0010-0000-1D00-00000B000000}" name="Total Shipped Qty"/>
    <tableColumn id="12" xr3:uid="{00000000-0010-0000-1D00-00000C000000}" name="Shipment Variance"/>
    <tableColumn id="13" xr3:uid="{00000000-0010-0000-1D00-00000D000000}" name="Pending to Ship"/>
    <tableColumn id="14" xr3:uid="{00000000-0010-0000-1D00-00000E000000}" name="Over-shipment Qty"/>
    <tableColumn id="15" xr3:uid="{00000000-0010-0000-1D00-00000F000000}" name="Container Type"/>
    <tableColumn id="16" xr3:uid="{00000000-0010-0000-1D00-000010000000}" name="Container Number"/>
    <tableColumn id="17" xr3:uid="{00000000-0010-0000-1D00-000011000000}" name="Booking Number"/>
    <tableColumn id="18" xr3:uid="{00000000-0010-0000-1D00-000012000000}" name="Planned Loading Date"/>
    <tableColumn id="19" xr3:uid="{00000000-0010-0000-1D00-000013000000}" name="Actual Loading Date"/>
    <tableColumn id="20" xr3:uid="{00000000-0010-0000-1D00-000014000000}" name="ETD"/>
    <tableColumn id="21" xr3:uid="{00000000-0010-0000-1D00-000015000000}" name="ETA"/>
    <tableColumn id="22" xr3:uid="{00000000-0010-0000-1D00-000016000000}" name="Destination"/>
    <tableColumn id="23" xr3:uid="{00000000-0010-0000-1D00-000017000000}" name="Shipment Status"/>
    <tableColumn id="24" xr3:uid="{00000000-0010-0000-1D00-000018000000}" name="Packing List"/>
    <tableColumn id="25" xr3:uid="{00000000-0010-0000-1D00-000019000000}" name="Invoice Number"/>
    <tableColumn id="26" xr3:uid="{00000000-0010-0000-1D00-00001A000000}" name="Load Plan"/>
    <tableColumn id="27" xr3:uid="{00000000-0010-0000-1D00-00001B000000}" name="Data Owner"/>
    <tableColumn id="28" xr3:uid="{00000000-0010-0000-1D00-00001C000000}" name="Last Updated"/>
    <tableColumn id="29" xr3:uid="{00000000-0010-0000-1D00-00001D000000}" name="Remark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OpenIssuesTable" displayName="OpenIssuesTable" ref="A4:T304" totalsRowShown="0">
  <tableColumns count="20">
    <tableColumn id="1" xr3:uid="{00000000-0010-0000-1E00-000001000000}" name="Issue ID"/>
    <tableColumn id="2" xr3:uid="{00000000-0010-0000-1E00-000002000000}" name="Open Date"/>
    <tableColumn id="3" xr3:uid="{00000000-0010-0000-1E00-000003000000}" name="Priority"/>
    <tableColumn id="4" xr3:uid="{00000000-0010-0000-1E00-000004000000}" name="FGPO"/>
    <tableColumn id="5" xr3:uid="{00000000-0010-0000-1E00-000005000000}" name="Style"/>
    <tableColumn id="6" xr3:uid="{00000000-0010-0000-1E00-000006000000}" name="Color"/>
    <tableColumn id="7" xr3:uid="{00000000-0010-0000-1E00-000007000000}" name="Area"/>
    <tableColumn id="8" xr3:uid="{00000000-0010-0000-1E00-000008000000}" name="Issue Type"/>
    <tableColumn id="9" xr3:uid="{00000000-0010-0000-1E00-000009000000}" name="Description"/>
    <tableColumn id="10" xr3:uid="{00000000-0010-0000-1E00-00000A000000}" name="Quantity Affected"/>
    <tableColumn id="11" xr3:uid="{00000000-0010-0000-1E00-00000B000000}" name="Ship Date Impact"/>
    <tableColumn id="12" xr3:uid="{00000000-0010-0000-1E00-00000C000000}" name="Immediate Action"/>
    <tableColumn id="13" xr3:uid="{00000000-0010-0000-1E00-00000D000000}" name="Corrective Action"/>
    <tableColumn id="14" xr3:uid="{00000000-0010-0000-1E00-00000E000000}" name="Owner"/>
    <tableColumn id="15" xr3:uid="{00000000-0010-0000-1E00-00000F000000}" name="Due Date"/>
    <tableColumn id="16" xr3:uid="{00000000-0010-0000-1E00-000010000000}" name="Status"/>
    <tableColumn id="17" xr3:uid="{00000000-0010-0000-1E00-000011000000}" name="Evidence Link"/>
    <tableColumn id="18" xr3:uid="{00000000-0010-0000-1E00-000012000000}" name="Closing Date"/>
    <tableColumn id="19" xr3:uid="{00000000-0010-0000-1E00-000013000000}" name="Verified By"/>
    <tableColumn id="20" xr3:uid="{00000000-0010-0000-1E00-000014000000}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sqref="A1:H1"/>
    </sheetView>
  </sheetViews>
  <sheetFormatPr baseColWidth="10" defaultColWidth="8.83203125" defaultRowHeight="14"/>
  <cols>
    <col min="1" max="1" width="23" customWidth="1"/>
    <col min="2" max="2" width="92" customWidth="1"/>
  </cols>
  <sheetData>
    <row r="1" spans="1:8" ht="36" customHeight="1">
      <c r="A1" s="22" t="s">
        <v>0</v>
      </c>
      <c r="B1" s="22"/>
      <c r="C1" s="22"/>
      <c r="D1" s="22"/>
      <c r="E1" s="22"/>
      <c r="F1" s="22"/>
      <c r="G1" s="22"/>
      <c r="H1" s="22"/>
    </row>
    <row r="3" spans="1:8" ht="35" customHeight="1">
      <c r="A3" s="3" t="s">
        <v>1</v>
      </c>
      <c r="B3" s="4" t="s">
        <v>2</v>
      </c>
    </row>
    <row r="4" spans="1:8" ht="35" customHeight="1">
      <c r="A4" s="3" t="s">
        <v>3</v>
      </c>
      <c r="B4" s="4" t="s">
        <v>4</v>
      </c>
    </row>
    <row r="5" spans="1:8" ht="35" customHeight="1">
      <c r="A5" s="3" t="s">
        <v>5</v>
      </c>
      <c r="B5" s="4" t="s">
        <v>6</v>
      </c>
    </row>
    <row r="6" spans="1:8" ht="35" customHeight="1">
      <c r="A6" s="3" t="s">
        <v>7</v>
      </c>
      <c r="B6" s="4" t="s">
        <v>8</v>
      </c>
    </row>
    <row r="7" spans="1:8" ht="35" customHeight="1">
      <c r="A7" s="3" t="s">
        <v>9</v>
      </c>
      <c r="B7" s="4" t="s">
        <v>10</v>
      </c>
    </row>
    <row r="8" spans="1:8" ht="35" customHeight="1">
      <c r="A8" s="3" t="s">
        <v>11</v>
      </c>
      <c r="B8" s="4" t="s">
        <v>12</v>
      </c>
    </row>
    <row r="9" spans="1:8" ht="35" customHeight="1">
      <c r="A9" s="3" t="s">
        <v>13</v>
      </c>
      <c r="B9" s="4" t="s">
        <v>14</v>
      </c>
    </row>
    <row r="10" spans="1:8" ht="35" customHeight="1">
      <c r="A10" s="3" t="s">
        <v>15</v>
      </c>
      <c r="B10" s="4" t="s">
        <v>16</v>
      </c>
    </row>
    <row r="11" spans="1:8" ht="35" customHeight="1">
      <c r="A11" s="3" t="s">
        <v>17</v>
      </c>
      <c r="B11" s="4" t="s">
        <v>18</v>
      </c>
    </row>
    <row r="12" spans="1:8" ht="35" customHeight="1">
      <c r="A12" s="3" t="s">
        <v>19</v>
      </c>
      <c r="B12" s="4" t="s">
        <v>20</v>
      </c>
    </row>
    <row r="13" spans="1:8" ht="35" customHeight="1">
      <c r="A13" s="3" t="s">
        <v>21</v>
      </c>
      <c r="B13" s="4" t="s">
        <v>22</v>
      </c>
    </row>
    <row r="14" spans="1:8" ht="35" customHeight="1">
      <c r="A14" s="3" t="s">
        <v>23</v>
      </c>
      <c r="B14" s="4" t="s">
        <v>24</v>
      </c>
    </row>
    <row r="15" spans="1:8" ht="35" customHeight="1">
      <c r="A15" s="3" t="s">
        <v>25</v>
      </c>
      <c r="B15" s="4" t="s">
        <v>26</v>
      </c>
    </row>
    <row r="16" spans="1:8" ht="35" customHeight="1">
      <c r="A16" s="3" t="s">
        <v>27</v>
      </c>
      <c r="B16" s="4" t="s">
        <v>28</v>
      </c>
    </row>
    <row r="17" spans="1:2" ht="35" customHeight="1">
      <c r="A17" s="3" t="s">
        <v>29</v>
      </c>
      <c r="B17" s="4" t="s">
        <v>30</v>
      </c>
    </row>
    <row r="18" spans="1:2" ht="35" customHeight="1">
      <c r="A18" s="3" t="s">
        <v>31</v>
      </c>
      <c r="B18" s="4" t="s">
        <v>32</v>
      </c>
    </row>
    <row r="19" spans="1:2" ht="35" customHeight="1">
      <c r="A19" s="3" t="s">
        <v>33</v>
      </c>
      <c r="B19" s="4" t="s">
        <v>34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0"/>
  <sheetViews>
    <sheetView showGridLines="0" workbookViewId="0">
      <selection sqref="A1:V1"/>
    </sheetView>
  </sheetViews>
  <sheetFormatPr baseColWidth="10" defaultColWidth="8.83203125" defaultRowHeight="14"/>
  <cols>
    <col min="1" max="1" width="15" customWidth="1"/>
    <col min="2" max="3" width="13" customWidth="1"/>
    <col min="4" max="4" width="14" customWidth="1"/>
    <col min="5" max="6" width="15" customWidth="1"/>
    <col min="7" max="8" width="14" customWidth="1"/>
    <col min="9" max="9" width="17" customWidth="1"/>
    <col min="10" max="10" width="13" customWidth="1"/>
    <col min="11" max="12" width="14" customWidth="1"/>
    <col min="13" max="14" width="13" customWidth="1"/>
    <col min="15" max="15" width="14" customWidth="1"/>
    <col min="16" max="16" width="16" customWidth="1"/>
    <col min="17" max="17" width="14" customWidth="1"/>
    <col min="18" max="18" width="15" customWidth="1"/>
    <col min="19" max="19" width="17" customWidth="1"/>
    <col min="20" max="20" width="14" customWidth="1"/>
    <col min="21" max="21" width="11" customWidth="1"/>
    <col min="22" max="22" width="15" customWidth="1"/>
  </cols>
  <sheetData>
    <row r="1" spans="1:22" ht="34" customHeight="1">
      <c r="A1" s="22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2" customHeight="1">
      <c r="A2" s="2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4" spans="1:22" ht="15">
      <c r="A4" s="24" t="s">
        <v>37</v>
      </c>
      <c r="B4" s="24"/>
      <c r="C4" s="24"/>
      <c r="D4" s="24" t="s">
        <v>38</v>
      </c>
      <c r="E4" s="24"/>
      <c r="F4" s="24"/>
      <c r="G4" s="24" t="s">
        <v>39</v>
      </c>
      <c r="H4" s="24"/>
      <c r="I4" s="24"/>
      <c r="J4" s="24" t="s">
        <v>40</v>
      </c>
      <c r="K4" s="24"/>
      <c r="L4" s="24"/>
      <c r="M4" s="24" t="s">
        <v>41</v>
      </c>
      <c r="N4" s="24"/>
      <c r="O4" s="24"/>
      <c r="P4" s="24" t="s">
        <v>42</v>
      </c>
      <c r="Q4" s="24"/>
      <c r="R4" s="24"/>
      <c r="S4" s="24" t="s">
        <v>43</v>
      </c>
      <c r="T4" s="24"/>
      <c r="U4" s="24"/>
      <c r="V4" s="24"/>
    </row>
    <row r="5" spans="1:22">
      <c r="A5" s="25">
        <f>COUNTA('FGPO Master'!A5:A304)-COUNTIF('FGPO Master'!D5:D304,"Closed")</f>
        <v>0</v>
      </c>
      <c r="B5" s="26"/>
      <c r="C5" s="27"/>
      <c r="D5" s="25">
        <f>SUM('FGPO Master'!H5:H304)</f>
        <v>0</v>
      </c>
      <c r="E5" s="26"/>
      <c r="F5" s="27"/>
      <c r="G5" s="25">
        <f>SUM('Cutting Control'!K5:K304)</f>
        <v>0</v>
      </c>
      <c r="H5" s="26"/>
      <c r="I5" s="27"/>
      <c r="J5" s="25">
        <f>SUM('Sewing Production'!L5:L304)</f>
        <v>0</v>
      </c>
      <c r="K5" s="26"/>
      <c r="L5" s="27"/>
      <c r="M5" s="25">
        <f>SUM('Packing Control'!K5:K304)</f>
        <v>0</v>
      </c>
      <c r="N5" s="26"/>
      <c r="O5" s="27"/>
      <c r="P5" s="25">
        <f>SUM('Shipment Control'!I5:I304)</f>
        <v>0</v>
      </c>
      <c r="Q5" s="26"/>
      <c r="R5" s="27"/>
      <c r="S5" s="25">
        <f>SUM('Shipment Control'!J5:J304)</f>
        <v>0</v>
      </c>
      <c r="T5" s="26"/>
      <c r="U5" s="26"/>
      <c r="V5" s="27"/>
    </row>
    <row r="6" spans="1:22">
      <c r="A6" s="28"/>
      <c r="B6" s="29"/>
      <c r="C6" s="30"/>
      <c r="D6" s="28"/>
      <c r="E6" s="29"/>
      <c r="F6" s="30"/>
      <c r="G6" s="28"/>
      <c r="H6" s="29"/>
      <c r="I6" s="30"/>
      <c r="J6" s="28"/>
      <c r="K6" s="29"/>
      <c r="L6" s="30"/>
      <c r="M6" s="28"/>
      <c r="N6" s="29"/>
      <c r="O6" s="30"/>
      <c r="P6" s="28"/>
      <c r="Q6" s="29"/>
      <c r="R6" s="30"/>
      <c r="S6" s="28"/>
      <c r="T6" s="29"/>
      <c r="U6" s="29"/>
      <c r="V6" s="30"/>
    </row>
    <row r="7" spans="1:22">
      <c r="A7" s="31"/>
      <c r="B7" s="32"/>
      <c r="C7" s="33"/>
      <c r="D7" s="31"/>
      <c r="E7" s="32"/>
      <c r="F7" s="33"/>
      <c r="G7" s="31"/>
      <c r="H7" s="32"/>
      <c r="I7" s="33"/>
      <c r="J7" s="31"/>
      <c r="K7" s="32"/>
      <c r="L7" s="33"/>
      <c r="M7" s="31"/>
      <c r="N7" s="32"/>
      <c r="O7" s="33"/>
      <c r="P7" s="31"/>
      <c r="Q7" s="32"/>
      <c r="R7" s="33"/>
      <c r="S7" s="31"/>
      <c r="T7" s="32"/>
      <c r="U7" s="32"/>
      <c r="V7" s="33"/>
    </row>
    <row r="10" spans="1:22" ht="43" customHeight="1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  <c r="H10" s="5" t="s">
        <v>51</v>
      </c>
      <c r="I10" s="5" t="s">
        <v>52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57</v>
      </c>
      <c r="O10" s="5" t="s">
        <v>58</v>
      </c>
      <c r="P10" s="5" t="s">
        <v>59</v>
      </c>
      <c r="Q10" s="5" t="s">
        <v>42</v>
      </c>
      <c r="R10" s="5" t="s">
        <v>60</v>
      </c>
      <c r="S10" s="5" t="s">
        <v>23</v>
      </c>
      <c r="T10" s="5" t="s">
        <v>61</v>
      </c>
      <c r="U10" s="5" t="s">
        <v>62</v>
      </c>
      <c r="V10" s="5" t="s">
        <v>63</v>
      </c>
    </row>
    <row r="11" spans="1:22">
      <c r="A11" s="7" t="str">
        <f>IF('FGPO Master'!A5="","",IF('FGPO Master'!D5="FGPO Pending","FGPO Pending",'FGPO Master'!B5))</f>
        <v/>
      </c>
      <c r="B11" s="7" t="str">
        <f>IF('FGPO Master'!A5="","",'FGPO Master'!F5)</f>
        <v/>
      </c>
      <c r="C11" s="7" t="str">
        <f>IF('FGPO Master'!A5="","",'FGPO Master'!G5)</f>
        <v/>
      </c>
      <c r="D11" s="20" t="str">
        <f>IF('FGPO Master'!A5="","",'FGPO Master'!H5)</f>
        <v/>
      </c>
      <c r="E11" s="20" t="str">
        <f>IF(A11="","",IF(SUMIF('Fabric Inventory'!$C$5:$C$304,A11,'Fabric Inventory'!$O$5:$O$304)&gt;0,"Shortage",IF(SUMIF('Fabric Inventory'!$C$5:$C$304,A11,'Fabric Inventory'!$H$5:$H$304)&gt;0,"Approved","Pending")))</f>
        <v/>
      </c>
      <c r="F11" s="20" t="str">
        <f>IF(A11="","",IF(SUMIF('Trims Control'!$B$5:$B$304,A11,'Trims Control'!$R$5:$R$304)&gt;0,"Shortage",IF(COUNTIFS('Trims Control'!$B$5:$B$304,A11,'Trims Control'!$V$5:$V$304,"Ready")&gt;0,"Ready","Pending")))</f>
        <v/>
      </c>
      <c r="G11" s="20" t="str">
        <f>IF(A11="","",IFERROR(INDEX('PP Sample'!$V$5:$V$304,MATCH(A11,'PP Sample'!$B$5:$B$304,0)),"Pending"))</f>
        <v/>
      </c>
      <c r="H11" s="20" t="str">
        <f>IF(A11="","",IFERROR(INDEX('Production Readiness'!$S$5:$S$304,MATCH(A11,'Production Readiness'!$C$5:$C$304,0)),"Pending"))</f>
        <v/>
      </c>
      <c r="I11" s="20" t="str">
        <f>IF(A11="","",IFERROR(INDEX('Cutting Release'!$P$5:$P$304,MATCH(A11,'Cutting Release'!$C$5:$C$304,0)),"Pending"))</f>
        <v/>
      </c>
      <c r="J11" s="20" t="str">
        <f>IF(A11="","",SUMIF('Cutting Control'!$C$5:$C$304,A11,'Cutting Control'!$K$5:$K$304))</f>
        <v/>
      </c>
      <c r="K11" s="20" t="str">
        <f>IF(A11="","",IFERROR(INDEX('TOP Sample'!$W$5:$W$304,MATCH(A11,'TOP Sample'!$B$5:$B$304,0)),"Pending"))</f>
        <v/>
      </c>
      <c r="L11" s="20" t="str">
        <f>IF(A11="","",SUMIF('Sewing Production'!$E$5:$E$304,A11,'Sewing Production'!$L$5:$L$304))</f>
        <v/>
      </c>
      <c r="M11" s="20" t="str">
        <f>IF(A11="","",IFERROR(INDEX('Inline Quality'!$S$5:$S$304,MATCH(A11,'Inline Quality'!$E$5:$E$304,0)),"Pending"))</f>
        <v/>
      </c>
      <c r="N11" s="20" t="str">
        <f>IF(A11="","",IFERROR(INDEX('Final Inspection'!$U$5:$U$304,MATCH(A11,'Final Inspection'!$C$5:$C$304,0)),"Pending"))</f>
        <v/>
      </c>
      <c r="O11" s="20" t="str">
        <f>IF(A11="","",SUMIF('Packing Control'!$C$5:$C$304,A11,'Packing Control'!$K$5:$K$304))</f>
        <v/>
      </c>
      <c r="P11" s="20" t="str">
        <f>IF(A11="","",SUMIF('Finished Goods'!$C$5:$C$304,A11,'Finished Goods'!$J$5:$J$304))</f>
        <v/>
      </c>
      <c r="Q11" s="20" t="str">
        <f>IF(A11="","",SUMIF('Shipment Control'!$C$5:$C$304,A11,'Shipment Control'!$I$5:$I$304))</f>
        <v/>
      </c>
      <c r="R11" s="20" t="str">
        <f>IF(A11="","",SUMIF('Shipment Control'!$C$5:$C$304,A11,'Shipment Control'!$J$5:$J$304))</f>
        <v/>
      </c>
      <c r="S11" s="20" t="str">
        <f t="shared" ref="S11:S42" si="0">IF(A11="","",Q11+R11-D11)</f>
        <v/>
      </c>
      <c r="T11" s="21" t="str">
        <f>IF('FGPO Master'!A5="","",'FGPO Master'!I5)</f>
        <v/>
      </c>
      <c r="U11" s="7" t="str">
        <f>IF(A11="","",IF(COUNTIF('Open Issues'!$D$5:$D$304,A11)&gt;0,"Yellow","Green"))</f>
        <v/>
      </c>
      <c r="V11" s="7" t="str">
        <f>IF('FGPO Master'!A5="","",'FGPO Master'!U5)</f>
        <v/>
      </c>
    </row>
    <row r="12" spans="1:22">
      <c r="A12" s="7" t="str">
        <f>IF('FGPO Master'!A6="","",IF('FGPO Master'!D6="FGPO Pending","FGPO Pending",'FGPO Master'!B6))</f>
        <v/>
      </c>
      <c r="B12" s="7" t="str">
        <f>IF('FGPO Master'!A6="","",'FGPO Master'!F6)</f>
        <v/>
      </c>
      <c r="C12" s="7" t="str">
        <f>IF('FGPO Master'!A6="","",'FGPO Master'!G6)</f>
        <v/>
      </c>
      <c r="D12" s="20" t="str">
        <f>IF('FGPO Master'!A6="","",'FGPO Master'!H6)</f>
        <v/>
      </c>
      <c r="E12" s="20" t="str">
        <f>IF(A12="","",IF(SUMIF('Fabric Inventory'!$C$5:$C$304,A12,'Fabric Inventory'!$O$5:$O$304)&gt;0,"Shortage",IF(SUMIF('Fabric Inventory'!$C$5:$C$304,A12,'Fabric Inventory'!$H$5:$H$304)&gt;0,"Approved","Pending")))</f>
        <v/>
      </c>
      <c r="F12" s="20" t="str">
        <f>IF(A12="","",IF(SUMIF('Trims Control'!$B$5:$B$304,A12,'Trims Control'!$R$5:$R$304)&gt;0,"Shortage",IF(COUNTIFS('Trims Control'!$B$5:$B$304,A12,'Trims Control'!$V$5:$V$304,"Ready")&gt;0,"Ready","Pending")))</f>
        <v/>
      </c>
      <c r="G12" s="20" t="str">
        <f>IF(A12="","",IFERROR(INDEX('PP Sample'!$V$5:$V$304,MATCH(A12,'PP Sample'!$B$5:$B$304,0)),"Pending"))</f>
        <v/>
      </c>
      <c r="H12" s="20" t="str">
        <f>IF(A12="","",IFERROR(INDEX('Production Readiness'!$S$5:$S$304,MATCH(A12,'Production Readiness'!$C$5:$C$304,0)),"Pending"))</f>
        <v/>
      </c>
      <c r="I12" s="20" t="str">
        <f>IF(A12="","",IFERROR(INDEX('Cutting Release'!$P$5:$P$304,MATCH(A12,'Cutting Release'!$C$5:$C$304,0)),"Pending"))</f>
        <v/>
      </c>
      <c r="J12" s="20" t="str">
        <f>IF(A12="","",SUMIF('Cutting Control'!$C$5:$C$304,A12,'Cutting Control'!$K$5:$K$304))</f>
        <v/>
      </c>
      <c r="K12" s="20" t="str">
        <f>IF(A12="","",IFERROR(INDEX('TOP Sample'!$W$5:$W$304,MATCH(A12,'TOP Sample'!$B$5:$B$304,0)),"Pending"))</f>
        <v/>
      </c>
      <c r="L12" s="20" t="str">
        <f>IF(A12="","",SUMIF('Sewing Production'!$E$5:$E$304,A12,'Sewing Production'!$L$5:$L$304))</f>
        <v/>
      </c>
      <c r="M12" s="20" t="str">
        <f>IF(A12="","",IFERROR(INDEX('Inline Quality'!$S$5:$S$304,MATCH(A12,'Inline Quality'!$E$5:$E$304,0)),"Pending"))</f>
        <v/>
      </c>
      <c r="N12" s="20" t="str">
        <f>IF(A12="","",IFERROR(INDEX('Final Inspection'!$U$5:$U$304,MATCH(A12,'Final Inspection'!$C$5:$C$304,0)),"Pending"))</f>
        <v/>
      </c>
      <c r="O12" s="20" t="str">
        <f>IF(A12="","",SUMIF('Packing Control'!$C$5:$C$304,A12,'Packing Control'!$K$5:$K$304))</f>
        <v/>
      </c>
      <c r="P12" s="20" t="str">
        <f>IF(A12="","",SUMIF('Finished Goods'!$C$5:$C$304,A12,'Finished Goods'!$J$5:$J$304))</f>
        <v/>
      </c>
      <c r="Q12" s="20" t="str">
        <f>IF(A12="","",SUMIF('Shipment Control'!$C$5:$C$304,A12,'Shipment Control'!$I$5:$I$304))</f>
        <v/>
      </c>
      <c r="R12" s="20" t="str">
        <f>IF(A12="","",SUMIF('Shipment Control'!$C$5:$C$304,A12,'Shipment Control'!$J$5:$J$304))</f>
        <v/>
      </c>
      <c r="S12" s="20" t="str">
        <f t="shared" si="0"/>
        <v/>
      </c>
      <c r="T12" s="21" t="str">
        <f>IF('FGPO Master'!A6="","",'FGPO Master'!I6)</f>
        <v/>
      </c>
      <c r="U12" s="7" t="str">
        <f>IF(A12="","",IF(COUNTIF('Open Issues'!$D$5:$D$304,A12)&gt;0,"Yellow","Green"))</f>
        <v/>
      </c>
      <c r="V12" s="7" t="str">
        <f>IF('FGPO Master'!A6="","",'FGPO Master'!U6)</f>
        <v/>
      </c>
    </row>
    <row r="13" spans="1:22">
      <c r="A13" s="7" t="str">
        <f>IF('FGPO Master'!A7="","",IF('FGPO Master'!D7="FGPO Pending","FGPO Pending",'FGPO Master'!B7))</f>
        <v/>
      </c>
      <c r="B13" s="7" t="str">
        <f>IF('FGPO Master'!A7="","",'FGPO Master'!F7)</f>
        <v/>
      </c>
      <c r="C13" s="7" t="str">
        <f>IF('FGPO Master'!A7="","",'FGPO Master'!G7)</f>
        <v/>
      </c>
      <c r="D13" s="20" t="str">
        <f>IF('FGPO Master'!A7="","",'FGPO Master'!H7)</f>
        <v/>
      </c>
      <c r="E13" s="20" t="str">
        <f>IF(A13="","",IF(SUMIF('Fabric Inventory'!$C$5:$C$304,A13,'Fabric Inventory'!$O$5:$O$304)&gt;0,"Shortage",IF(SUMIF('Fabric Inventory'!$C$5:$C$304,A13,'Fabric Inventory'!$H$5:$H$304)&gt;0,"Approved","Pending")))</f>
        <v/>
      </c>
      <c r="F13" s="20" t="str">
        <f>IF(A13="","",IF(SUMIF('Trims Control'!$B$5:$B$304,A13,'Trims Control'!$R$5:$R$304)&gt;0,"Shortage",IF(COUNTIFS('Trims Control'!$B$5:$B$304,A13,'Trims Control'!$V$5:$V$304,"Ready")&gt;0,"Ready","Pending")))</f>
        <v/>
      </c>
      <c r="G13" s="20" t="str">
        <f>IF(A13="","",IFERROR(INDEX('PP Sample'!$V$5:$V$304,MATCH(A13,'PP Sample'!$B$5:$B$304,0)),"Pending"))</f>
        <v/>
      </c>
      <c r="H13" s="20" t="str">
        <f>IF(A13="","",IFERROR(INDEX('Production Readiness'!$S$5:$S$304,MATCH(A13,'Production Readiness'!$C$5:$C$304,0)),"Pending"))</f>
        <v/>
      </c>
      <c r="I13" s="20" t="str">
        <f>IF(A13="","",IFERROR(INDEX('Cutting Release'!$P$5:$P$304,MATCH(A13,'Cutting Release'!$C$5:$C$304,0)),"Pending"))</f>
        <v/>
      </c>
      <c r="J13" s="20" t="str">
        <f>IF(A13="","",SUMIF('Cutting Control'!$C$5:$C$304,A13,'Cutting Control'!$K$5:$K$304))</f>
        <v/>
      </c>
      <c r="K13" s="20" t="str">
        <f>IF(A13="","",IFERROR(INDEX('TOP Sample'!$W$5:$W$304,MATCH(A13,'TOP Sample'!$B$5:$B$304,0)),"Pending"))</f>
        <v/>
      </c>
      <c r="L13" s="20" t="str">
        <f>IF(A13="","",SUMIF('Sewing Production'!$E$5:$E$304,A13,'Sewing Production'!$L$5:$L$304))</f>
        <v/>
      </c>
      <c r="M13" s="20" t="str">
        <f>IF(A13="","",IFERROR(INDEX('Inline Quality'!$S$5:$S$304,MATCH(A13,'Inline Quality'!$E$5:$E$304,0)),"Pending"))</f>
        <v/>
      </c>
      <c r="N13" s="20" t="str">
        <f>IF(A13="","",IFERROR(INDEX('Final Inspection'!$U$5:$U$304,MATCH(A13,'Final Inspection'!$C$5:$C$304,0)),"Pending"))</f>
        <v/>
      </c>
      <c r="O13" s="20" t="str">
        <f>IF(A13="","",SUMIF('Packing Control'!$C$5:$C$304,A13,'Packing Control'!$K$5:$K$304))</f>
        <v/>
      </c>
      <c r="P13" s="20" t="str">
        <f>IF(A13="","",SUMIF('Finished Goods'!$C$5:$C$304,A13,'Finished Goods'!$J$5:$J$304))</f>
        <v/>
      </c>
      <c r="Q13" s="20" t="str">
        <f>IF(A13="","",SUMIF('Shipment Control'!$C$5:$C$304,A13,'Shipment Control'!$I$5:$I$304))</f>
        <v/>
      </c>
      <c r="R13" s="20" t="str">
        <f>IF(A13="","",SUMIF('Shipment Control'!$C$5:$C$304,A13,'Shipment Control'!$J$5:$J$304))</f>
        <v/>
      </c>
      <c r="S13" s="20" t="str">
        <f t="shared" si="0"/>
        <v/>
      </c>
      <c r="T13" s="21" t="str">
        <f>IF('FGPO Master'!A7="","",'FGPO Master'!I7)</f>
        <v/>
      </c>
      <c r="U13" s="7" t="str">
        <f>IF(A13="","",IF(COUNTIF('Open Issues'!$D$5:$D$304,A13)&gt;0,"Yellow","Green"))</f>
        <v/>
      </c>
      <c r="V13" s="7" t="str">
        <f>IF('FGPO Master'!A7="","",'FGPO Master'!U7)</f>
        <v/>
      </c>
    </row>
    <row r="14" spans="1:22">
      <c r="A14" s="7" t="str">
        <f>IF('FGPO Master'!A8="","",IF('FGPO Master'!D8="FGPO Pending","FGPO Pending",'FGPO Master'!B8))</f>
        <v/>
      </c>
      <c r="B14" s="7" t="str">
        <f>IF('FGPO Master'!A8="","",'FGPO Master'!F8)</f>
        <v/>
      </c>
      <c r="C14" s="7" t="str">
        <f>IF('FGPO Master'!A8="","",'FGPO Master'!G8)</f>
        <v/>
      </c>
      <c r="D14" s="20" t="str">
        <f>IF('FGPO Master'!A8="","",'FGPO Master'!H8)</f>
        <v/>
      </c>
      <c r="E14" s="20" t="str">
        <f>IF(A14="","",IF(SUMIF('Fabric Inventory'!$C$5:$C$304,A14,'Fabric Inventory'!$O$5:$O$304)&gt;0,"Shortage",IF(SUMIF('Fabric Inventory'!$C$5:$C$304,A14,'Fabric Inventory'!$H$5:$H$304)&gt;0,"Approved","Pending")))</f>
        <v/>
      </c>
      <c r="F14" s="20" t="str">
        <f>IF(A14="","",IF(SUMIF('Trims Control'!$B$5:$B$304,A14,'Trims Control'!$R$5:$R$304)&gt;0,"Shortage",IF(COUNTIFS('Trims Control'!$B$5:$B$304,A14,'Trims Control'!$V$5:$V$304,"Ready")&gt;0,"Ready","Pending")))</f>
        <v/>
      </c>
      <c r="G14" s="20" t="str">
        <f>IF(A14="","",IFERROR(INDEX('PP Sample'!$V$5:$V$304,MATCH(A14,'PP Sample'!$B$5:$B$304,0)),"Pending"))</f>
        <v/>
      </c>
      <c r="H14" s="20" t="str">
        <f>IF(A14="","",IFERROR(INDEX('Production Readiness'!$S$5:$S$304,MATCH(A14,'Production Readiness'!$C$5:$C$304,0)),"Pending"))</f>
        <v/>
      </c>
      <c r="I14" s="20" t="str">
        <f>IF(A14="","",IFERROR(INDEX('Cutting Release'!$P$5:$P$304,MATCH(A14,'Cutting Release'!$C$5:$C$304,0)),"Pending"))</f>
        <v/>
      </c>
      <c r="J14" s="20" t="str">
        <f>IF(A14="","",SUMIF('Cutting Control'!$C$5:$C$304,A14,'Cutting Control'!$K$5:$K$304))</f>
        <v/>
      </c>
      <c r="K14" s="20" t="str">
        <f>IF(A14="","",IFERROR(INDEX('TOP Sample'!$W$5:$W$304,MATCH(A14,'TOP Sample'!$B$5:$B$304,0)),"Pending"))</f>
        <v/>
      </c>
      <c r="L14" s="20" t="str">
        <f>IF(A14="","",SUMIF('Sewing Production'!$E$5:$E$304,A14,'Sewing Production'!$L$5:$L$304))</f>
        <v/>
      </c>
      <c r="M14" s="20" t="str">
        <f>IF(A14="","",IFERROR(INDEX('Inline Quality'!$S$5:$S$304,MATCH(A14,'Inline Quality'!$E$5:$E$304,0)),"Pending"))</f>
        <v/>
      </c>
      <c r="N14" s="20" t="str">
        <f>IF(A14="","",IFERROR(INDEX('Final Inspection'!$U$5:$U$304,MATCH(A14,'Final Inspection'!$C$5:$C$304,0)),"Pending"))</f>
        <v/>
      </c>
      <c r="O14" s="20" t="str">
        <f>IF(A14="","",SUMIF('Packing Control'!$C$5:$C$304,A14,'Packing Control'!$K$5:$K$304))</f>
        <v/>
      </c>
      <c r="P14" s="20" t="str">
        <f>IF(A14="","",SUMIF('Finished Goods'!$C$5:$C$304,A14,'Finished Goods'!$J$5:$J$304))</f>
        <v/>
      </c>
      <c r="Q14" s="20" t="str">
        <f>IF(A14="","",SUMIF('Shipment Control'!$C$5:$C$304,A14,'Shipment Control'!$I$5:$I$304))</f>
        <v/>
      </c>
      <c r="R14" s="20" t="str">
        <f>IF(A14="","",SUMIF('Shipment Control'!$C$5:$C$304,A14,'Shipment Control'!$J$5:$J$304))</f>
        <v/>
      </c>
      <c r="S14" s="20" t="str">
        <f t="shared" si="0"/>
        <v/>
      </c>
      <c r="T14" s="21" t="str">
        <f>IF('FGPO Master'!A8="","",'FGPO Master'!I8)</f>
        <v/>
      </c>
      <c r="U14" s="7" t="str">
        <f>IF(A14="","",IF(COUNTIF('Open Issues'!$D$5:$D$304,A14)&gt;0,"Yellow","Green"))</f>
        <v/>
      </c>
      <c r="V14" s="7" t="str">
        <f>IF('FGPO Master'!A8="","",'FGPO Master'!U8)</f>
        <v/>
      </c>
    </row>
    <row r="15" spans="1:22">
      <c r="A15" s="7" t="str">
        <f>IF('FGPO Master'!A9="","",IF('FGPO Master'!D9="FGPO Pending","FGPO Pending",'FGPO Master'!B9))</f>
        <v/>
      </c>
      <c r="B15" s="7" t="str">
        <f>IF('FGPO Master'!A9="","",'FGPO Master'!F9)</f>
        <v/>
      </c>
      <c r="C15" s="7" t="str">
        <f>IF('FGPO Master'!A9="","",'FGPO Master'!G9)</f>
        <v/>
      </c>
      <c r="D15" s="20" t="str">
        <f>IF('FGPO Master'!A9="","",'FGPO Master'!H9)</f>
        <v/>
      </c>
      <c r="E15" s="20" t="str">
        <f>IF(A15="","",IF(SUMIF('Fabric Inventory'!$C$5:$C$304,A15,'Fabric Inventory'!$O$5:$O$304)&gt;0,"Shortage",IF(SUMIF('Fabric Inventory'!$C$5:$C$304,A15,'Fabric Inventory'!$H$5:$H$304)&gt;0,"Approved","Pending")))</f>
        <v/>
      </c>
      <c r="F15" s="20" t="str">
        <f>IF(A15="","",IF(SUMIF('Trims Control'!$B$5:$B$304,A15,'Trims Control'!$R$5:$R$304)&gt;0,"Shortage",IF(COUNTIFS('Trims Control'!$B$5:$B$304,A15,'Trims Control'!$V$5:$V$304,"Ready")&gt;0,"Ready","Pending")))</f>
        <v/>
      </c>
      <c r="G15" s="20" t="str">
        <f>IF(A15="","",IFERROR(INDEX('PP Sample'!$V$5:$V$304,MATCH(A15,'PP Sample'!$B$5:$B$304,0)),"Pending"))</f>
        <v/>
      </c>
      <c r="H15" s="20" t="str">
        <f>IF(A15="","",IFERROR(INDEX('Production Readiness'!$S$5:$S$304,MATCH(A15,'Production Readiness'!$C$5:$C$304,0)),"Pending"))</f>
        <v/>
      </c>
      <c r="I15" s="20" t="str">
        <f>IF(A15="","",IFERROR(INDEX('Cutting Release'!$P$5:$P$304,MATCH(A15,'Cutting Release'!$C$5:$C$304,0)),"Pending"))</f>
        <v/>
      </c>
      <c r="J15" s="20" t="str">
        <f>IF(A15="","",SUMIF('Cutting Control'!$C$5:$C$304,A15,'Cutting Control'!$K$5:$K$304))</f>
        <v/>
      </c>
      <c r="K15" s="20" t="str">
        <f>IF(A15="","",IFERROR(INDEX('TOP Sample'!$W$5:$W$304,MATCH(A15,'TOP Sample'!$B$5:$B$304,0)),"Pending"))</f>
        <v/>
      </c>
      <c r="L15" s="20" t="str">
        <f>IF(A15="","",SUMIF('Sewing Production'!$E$5:$E$304,A15,'Sewing Production'!$L$5:$L$304))</f>
        <v/>
      </c>
      <c r="M15" s="20" t="str">
        <f>IF(A15="","",IFERROR(INDEX('Inline Quality'!$S$5:$S$304,MATCH(A15,'Inline Quality'!$E$5:$E$304,0)),"Pending"))</f>
        <v/>
      </c>
      <c r="N15" s="20" t="str">
        <f>IF(A15="","",IFERROR(INDEX('Final Inspection'!$U$5:$U$304,MATCH(A15,'Final Inspection'!$C$5:$C$304,0)),"Pending"))</f>
        <v/>
      </c>
      <c r="O15" s="20" t="str">
        <f>IF(A15="","",SUMIF('Packing Control'!$C$5:$C$304,A15,'Packing Control'!$K$5:$K$304))</f>
        <v/>
      </c>
      <c r="P15" s="20" t="str">
        <f>IF(A15="","",SUMIF('Finished Goods'!$C$5:$C$304,A15,'Finished Goods'!$J$5:$J$304))</f>
        <v/>
      </c>
      <c r="Q15" s="20" t="str">
        <f>IF(A15="","",SUMIF('Shipment Control'!$C$5:$C$304,A15,'Shipment Control'!$I$5:$I$304))</f>
        <v/>
      </c>
      <c r="R15" s="20" t="str">
        <f>IF(A15="","",SUMIF('Shipment Control'!$C$5:$C$304,A15,'Shipment Control'!$J$5:$J$304))</f>
        <v/>
      </c>
      <c r="S15" s="20" t="str">
        <f t="shared" si="0"/>
        <v/>
      </c>
      <c r="T15" s="21" t="str">
        <f>IF('FGPO Master'!A9="","",'FGPO Master'!I9)</f>
        <v/>
      </c>
      <c r="U15" s="7" t="str">
        <f>IF(A15="","",IF(COUNTIF('Open Issues'!$D$5:$D$304,A15)&gt;0,"Yellow","Green"))</f>
        <v/>
      </c>
      <c r="V15" s="7" t="str">
        <f>IF('FGPO Master'!A9="","",'FGPO Master'!U9)</f>
        <v/>
      </c>
    </row>
    <row r="16" spans="1:22">
      <c r="A16" s="7" t="str">
        <f>IF('FGPO Master'!A10="","",IF('FGPO Master'!D10="FGPO Pending","FGPO Pending",'FGPO Master'!B10))</f>
        <v/>
      </c>
      <c r="B16" s="7" t="str">
        <f>IF('FGPO Master'!A10="","",'FGPO Master'!F10)</f>
        <v/>
      </c>
      <c r="C16" s="7" t="str">
        <f>IF('FGPO Master'!A10="","",'FGPO Master'!G10)</f>
        <v/>
      </c>
      <c r="D16" s="20" t="str">
        <f>IF('FGPO Master'!A10="","",'FGPO Master'!H10)</f>
        <v/>
      </c>
      <c r="E16" s="20" t="str">
        <f>IF(A16="","",IF(SUMIF('Fabric Inventory'!$C$5:$C$304,A16,'Fabric Inventory'!$O$5:$O$304)&gt;0,"Shortage",IF(SUMIF('Fabric Inventory'!$C$5:$C$304,A16,'Fabric Inventory'!$H$5:$H$304)&gt;0,"Approved","Pending")))</f>
        <v/>
      </c>
      <c r="F16" s="20" t="str">
        <f>IF(A16="","",IF(SUMIF('Trims Control'!$B$5:$B$304,A16,'Trims Control'!$R$5:$R$304)&gt;0,"Shortage",IF(COUNTIFS('Trims Control'!$B$5:$B$304,A16,'Trims Control'!$V$5:$V$304,"Ready")&gt;0,"Ready","Pending")))</f>
        <v/>
      </c>
      <c r="G16" s="20" t="str">
        <f>IF(A16="","",IFERROR(INDEX('PP Sample'!$V$5:$V$304,MATCH(A16,'PP Sample'!$B$5:$B$304,0)),"Pending"))</f>
        <v/>
      </c>
      <c r="H16" s="20" t="str">
        <f>IF(A16="","",IFERROR(INDEX('Production Readiness'!$S$5:$S$304,MATCH(A16,'Production Readiness'!$C$5:$C$304,0)),"Pending"))</f>
        <v/>
      </c>
      <c r="I16" s="20" t="str">
        <f>IF(A16="","",IFERROR(INDEX('Cutting Release'!$P$5:$P$304,MATCH(A16,'Cutting Release'!$C$5:$C$304,0)),"Pending"))</f>
        <v/>
      </c>
      <c r="J16" s="20" t="str">
        <f>IF(A16="","",SUMIF('Cutting Control'!$C$5:$C$304,A16,'Cutting Control'!$K$5:$K$304))</f>
        <v/>
      </c>
      <c r="K16" s="20" t="str">
        <f>IF(A16="","",IFERROR(INDEX('TOP Sample'!$W$5:$W$304,MATCH(A16,'TOP Sample'!$B$5:$B$304,0)),"Pending"))</f>
        <v/>
      </c>
      <c r="L16" s="20" t="str">
        <f>IF(A16="","",SUMIF('Sewing Production'!$E$5:$E$304,A16,'Sewing Production'!$L$5:$L$304))</f>
        <v/>
      </c>
      <c r="M16" s="20" t="str">
        <f>IF(A16="","",IFERROR(INDEX('Inline Quality'!$S$5:$S$304,MATCH(A16,'Inline Quality'!$E$5:$E$304,0)),"Pending"))</f>
        <v/>
      </c>
      <c r="N16" s="20" t="str">
        <f>IF(A16="","",IFERROR(INDEX('Final Inspection'!$U$5:$U$304,MATCH(A16,'Final Inspection'!$C$5:$C$304,0)),"Pending"))</f>
        <v/>
      </c>
      <c r="O16" s="20" t="str">
        <f>IF(A16="","",SUMIF('Packing Control'!$C$5:$C$304,A16,'Packing Control'!$K$5:$K$304))</f>
        <v/>
      </c>
      <c r="P16" s="20" t="str">
        <f>IF(A16="","",SUMIF('Finished Goods'!$C$5:$C$304,A16,'Finished Goods'!$J$5:$J$304))</f>
        <v/>
      </c>
      <c r="Q16" s="20" t="str">
        <f>IF(A16="","",SUMIF('Shipment Control'!$C$5:$C$304,A16,'Shipment Control'!$I$5:$I$304))</f>
        <v/>
      </c>
      <c r="R16" s="20" t="str">
        <f>IF(A16="","",SUMIF('Shipment Control'!$C$5:$C$304,A16,'Shipment Control'!$J$5:$J$304))</f>
        <v/>
      </c>
      <c r="S16" s="20" t="str">
        <f t="shared" si="0"/>
        <v/>
      </c>
      <c r="T16" s="21" t="str">
        <f>IF('FGPO Master'!A10="","",'FGPO Master'!I10)</f>
        <v/>
      </c>
      <c r="U16" s="7" t="str">
        <f>IF(A16="","",IF(COUNTIF('Open Issues'!$D$5:$D$304,A16)&gt;0,"Yellow","Green"))</f>
        <v/>
      </c>
      <c r="V16" s="7" t="str">
        <f>IF('FGPO Master'!A10="","",'FGPO Master'!U10)</f>
        <v/>
      </c>
    </row>
    <row r="17" spans="1:22">
      <c r="A17" s="7" t="str">
        <f>IF('FGPO Master'!A11="","",IF('FGPO Master'!D11="FGPO Pending","FGPO Pending",'FGPO Master'!B11))</f>
        <v/>
      </c>
      <c r="B17" s="7" t="str">
        <f>IF('FGPO Master'!A11="","",'FGPO Master'!F11)</f>
        <v/>
      </c>
      <c r="C17" s="7" t="str">
        <f>IF('FGPO Master'!A11="","",'FGPO Master'!G11)</f>
        <v/>
      </c>
      <c r="D17" s="20" t="str">
        <f>IF('FGPO Master'!A11="","",'FGPO Master'!H11)</f>
        <v/>
      </c>
      <c r="E17" s="20" t="str">
        <f>IF(A17="","",IF(SUMIF('Fabric Inventory'!$C$5:$C$304,A17,'Fabric Inventory'!$O$5:$O$304)&gt;0,"Shortage",IF(SUMIF('Fabric Inventory'!$C$5:$C$304,A17,'Fabric Inventory'!$H$5:$H$304)&gt;0,"Approved","Pending")))</f>
        <v/>
      </c>
      <c r="F17" s="20" t="str">
        <f>IF(A17="","",IF(SUMIF('Trims Control'!$B$5:$B$304,A17,'Trims Control'!$R$5:$R$304)&gt;0,"Shortage",IF(COUNTIFS('Trims Control'!$B$5:$B$304,A17,'Trims Control'!$V$5:$V$304,"Ready")&gt;0,"Ready","Pending")))</f>
        <v/>
      </c>
      <c r="G17" s="20" t="str">
        <f>IF(A17="","",IFERROR(INDEX('PP Sample'!$V$5:$V$304,MATCH(A17,'PP Sample'!$B$5:$B$304,0)),"Pending"))</f>
        <v/>
      </c>
      <c r="H17" s="20" t="str">
        <f>IF(A17="","",IFERROR(INDEX('Production Readiness'!$S$5:$S$304,MATCH(A17,'Production Readiness'!$C$5:$C$304,0)),"Pending"))</f>
        <v/>
      </c>
      <c r="I17" s="20" t="str">
        <f>IF(A17="","",IFERROR(INDEX('Cutting Release'!$P$5:$P$304,MATCH(A17,'Cutting Release'!$C$5:$C$304,0)),"Pending"))</f>
        <v/>
      </c>
      <c r="J17" s="20" t="str">
        <f>IF(A17="","",SUMIF('Cutting Control'!$C$5:$C$304,A17,'Cutting Control'!$K$5:$K$304))</f>
        <v/>
      </c>
      <c r="K17" s="20" t="str">
        <f>IF(A17="","",IFERROR(INDEX('TOP Sample'!$W$5:$W$304,MATCH(A17,'TOP Sample'!$B$5:$B$304,0)),"Pending"))</f>
        <v/>
      </c>
      <c r="L17" s="20" t="str">
        <f>IF(A17="","",SUMIF('Sewing Production'!$E$5:$E$304,A17,'Sewing Production'!$L$5:$L$304))</f>
        <v/>
      </c>
      <c r="M17" s="20" t="str">
        <f>IF(A17="","",IFERROR(INDEX('Inline Quality'!$S$5:$S$304,MATCH(A17,'Inline Quality'!$E$5:$E$304,0)),"Pending"))</f>
        <v/>
      </c>
      <c r="N17" s="20" t="str">
        <f>IF(A17="","",IFERROR(INDEX('Final Inspection'!$U$5:$U$304,MATCH(A17,'Final Inspection'!$C$5:$C$304,0)),"Pending"))</f>
        <v/>
      </c>
      <c r="O17" s="20" t="str">
        <f>IF(A17="","",SUMIF('Packing Control'!$C$5:$C$304,A17,'Packing Control'!$K$5:$K$304))</f>
        <v/>
      </c>
      <c r="P17" s="20" t="str">
        <f>IF(A17="","",SUMIF('Finished Goods'!$C$5:$C$304,A17,'Finished Goods'!$J$5:$J$304))</f>
        <v/>
      </c>
      <c r="Q17" s="20" t="str">
        <f>IF(A17="","",SUMIF('Shipment Control'!$C$5:$C$304,A17,'Shipment Control'!$I$5:$I$304))</f>
        <v/>
      </c>
      <c r="R17" s="20" t="str">
        <f>IF(A17="","",SUMIF('Shipment Control'!$C$5:$C$304,A17,'Shipment Control'!$J$5:$J$304))</f>
        <v/>
      </c>
      <c r="S17" s="20" t="str">
        <f t="shared" si="0"/>
        <v/>
      </c>
      <c r="T17" s="21" t="str">
        <f>IF('FGPO Master'!A11="","",'FGPO Master'!I11)</f>
        <v/>
      </c>
      <c r="U17" s="7" t="str">
        <f>IF(A17="","",IF(COUNTIF('Open Issues'!$D$5:$D$304,A17)&gt;0,"Yellow","Green"))</f>
        <v/>
      </c>
      <c r="V17" s="7" t="str">
        <f>IF('FGPO Master'!A11="","",'FGPO Master'!U11)</f>
        <v/>
      </c>
    </row>
    <row r="18" spans="1:22">
      <c r="A18" s="7" t="str">
        <f>IF('FGPO Master'!A12="","",IF('FGPO Master'!D12="FGPO Pending","FGPO Pending",'FGPO Master'!B12))</f>
        <v/>
      </c>
      <c r="B18" s="7" t="str">
        <f>IF('FGPO Master'!A12="","",'FGPO Master'!F12)</f>
        <v/>
      </c>
      <c r="C18" s="7" t="str">
        <f>IF('FGPO Master'!A12="","",'FGPO Master'!G12)</f>
        <v/>
      </c>
      <c r="D18" s="20" t="str">
        <f>IF('FGPO Master'!A12="","",'FGPO Master'!H12)</f>
        <v/>
      </c>
      <c r="E18" s="20" t="str">
        <f>IF(A18="","",IF(SUMIF('Fabric Inventory'!$C$5:$C$304,A18,'Fabric Inventory'!$O$5:$O$304)&gt;0,"Shortage",IF(SUMIF('Fabric Inventory'!$C$5:$C$304,A18,'Fabric Inventory'!$H$5:$H$304)&gt;0,"Approved","Pending")))</f>
        <v/>
      </c>
      <c r="F18" s="20" t="str">
        <f>IF(A18="","",IF(SUMIF('Trims Control'!$B$5:$B$304,A18,'Trims Control'!$R$5:$R$304)&gt;0,"Shortage",IF(COUNTIFS('Trims Control'!$B$5:$B$304,A18,'Trims Control'!$V$5:$V$304,"Ready")&gt;0,"Ready","Pending")))</f>
        <v/>
      </c>
      <c r="G18" s="20" t="str">
        <f>IF(A18="","",IFERROR(INDEX('PP Sample'!$V$5:$V$304,MATCH(A18,'PP Sample'!$B$5:$B$304,0)),"Pending"))</f>
        <v/>
      </c>
      <c r="H18" s="20" t="str">
        <f>IF(A18="","",IFERROR(INDEX('Production Readiness'!$S$5:$S$304,MATCH(A18,'Production Readiness'!$C$5:$C$304,0)),"Pending"))</f>
        <v/>
      </c>
      <c r="I18" s="20" t="str">
        <f>IF(A18="","",IFERROR(INDEX('Cutting Release'!$P$5:$P$304,MATCH(A18,'Cutting Release'!$C$5:$C$304,0)),"Pending"))</f>
        <v/>
      </c>
      <c r="J18" s="20" t="str">
        <f>IF(A18="","",SUMIF('Cutting Control'!$C$5:$C$304,A18,'Cutting Control'!$K$5:$K$304))</f>
        <v/>
      </c>
      <c r="K18" s="20" t="str">
        <f>IF(A18="","",IFERROR(INDEX('TOP Sample'!$W$5:$W$304,MATCH(A18,'TOP Sample'!$B$5:$B$304,0)),"Pending"))</f>
        <v/>
      </c>
      <c r="L18" s="20" t="str">
        <f>IF(A18="","",SUMIF('Sewing Production'!$E$5:$E$304,A18,'Sewing Production'!$L$5:$L$304))</f>
        <v/>
      </c>
      <c r="M18" s="20" t="str">
        <f>IF(A18="","",IFERROR(INDEX('Inline Quality'!$S$5:$S$304,MATCH(A18,'Inline Quality'!$E$5:$E$304,0)),"Pending"))</f>
        <v/>
      </c>
      <c r="N18" s="20" t="str">
        <f>IF(A18="","",IFERROR(INDEX('Final Inspection'!$U$5:$U$304,MATCH(A18,'Final Inspection'!$C$5:$C$304,0)),"Pending"))</f>
        <v/>
      </c>
      <c r="O18" s="20" t="str">
        <f>IF(A18="","",SUMIF('Packing Control'!$C$5:$C$304,A18,'Packing Control'!$K$5:$K$304))</f>
        <v/>
      </c>
      <c r="P18" s="20" t="str">
        <f>IF(A18="","",SUMIF('Finished Goods'!$C$5:$C$304,A18,'Finished Goods'!$J$5:$J$304))</f>
        <v/>
      </c>
      <c r="Q18" s="20" t="str">
        <f>IF(A18="","",SUMIF('Shipment Control'!$C$5:$C$304,A18,'Shipment Control'!$I$5:$I$304))</f>
        <v/>
      </c>
      <c r="R18" s="20" t="str">
        <f>IF(A18="","",SUMIF('Shipment Control'!$C$5:$C$304,A18,'Shipment Control'!$J$5:$J$304))</f>
        <v/>
      </c>
      <c r="S18" s="20" t="str">
        <f t="shared" si="0"/>
        <v/>
      </c>
      <c r="T18" s="21" t="str">
        <f>IF('FGPO Master'!A12="","",'FGPO Master'!I12)</f>
        <v/>
      </c>
      <c r="U18" s="7" t="str">
        <f>IF(A18="","",IF(COUNTIF('Open Issues'!$D$5:$D$304,A18)&gt;0,"Yellow","Green"))</f>
        <v/>
      </c>
      <c r="V18" s="7" t="str">
        <f>IF('FGPO Master'!A12="","",'FGPO Master'!U12)</f>
        <v/>
      </c>
    </row>
    <row r="19" spans="1:22">
      <c r="A19" s="7" t="str">
        <f>IF('FGPO Master'!A13="","",IF('FGPO Master'!D13="FGPO Pending","FGPO Pending",'FGPO Master'!B13))</f>
        <v/>
      </c>
      <c r="B19" s="7" t="str">
        <f>IF('FGPO Master'!A13="","",'FGPO Master'!F13)</f>
        <v/>
      </c>
      <c r="C19" s="7" t="str">
        <f>IF('FGPO Master'!A13="","",'FGPO Master'!G13)</f>
        <v/>
      </c>
      <c r="D19" s="20" t="str">
        <f>IF('FGPO Master'!A13="","",'FGPO Master'!H13)</f>
        <v/>
      </c>
      <c r="E19" s="20" t="str">
        <f>IF(A19="","",IF(SUMIF('Fabric Inventory'!$C$5:$C$304,A19,'Fabric Inventory'!$O$5:$O$304)&gt;0,"Shortage",IF(SUMIF('Fabric Inventory'!$C$5:$C$304,A19,'Fabric Inventory'!$H$5:$H$304)&gt;0,"Approved","Pending")))</f>
        <v/>
      </c>
      <c r="F19" s="20" t="str">
        <f>IF(A19="","",IF(SUMIF('Trims Control'!$B$5:$B$304,A19,'Trims Control'!$R$5:$R$304)&gt;0,"Shortage",IF(COUNTIFS('Trims Control'!$B$5:$B$304,A19,'Trims Control'!$V$5:$V$304,"Ready")&gt;0,"Ready","Pending")))</f>
        <v/>
      </c>
      <c r="G19" s="20" t="str">
        <f>IF(A19="","",IFERROR(INDEX('PP Sample'!$V$5:$V$304,MATCH(A19,'PP Sample'!$B$5:$B$304,0)),"Pending"))</f>
        <v/>
      </c>
      <c r="H19" s="20" t="str">
        <f>IF(A19="","",IFERROR(INDEX('Production Readiness'!$S$5:$S$304,MATCH(A19,'Production Readiness'!$C$5:$C$304,0)),"Pending"))</f>
        <v/>
      </c>
      <c r="I19" s="20" t="str">
        <f>IF(A19="","",IFERROR(INDEX('Cutting Release'!$P$5:$P$304,MATCH(A19,'Cutting Release'!$C$5:$C$304,0)),"Pending"))</f>
        <v/>
      </c>
      <c r="J19" s="20" t="str">
        <f>IF(A19="","",SUMIF('Cutting Control'!$C$5:$C$304,A19,'Cutting Control'!$K$5:$K$304))</f>
        <v/>
      </c>
      <c r="K19" s="20" t="str">
        <f>IF(A19="","",IFERROR(INDEX('TOP Sample'!$W$5:$W$304,MATCH(A19,'TOP Sample'!$B$5:$B$304,0)),"Pending"))</f>
        <v/>
      </c>
      <c r="L19" s="20" t="str">
        <f>IF(A19="","",SUMIF('Sewing Production'!$E$5:$E$304,A19,'Sewing Production'!$L$5:$L$304))</f>
        <v/>
      </c>
      <c r="M19" s="20" t="str">
        <f>IF(A19="","",IFERROR(INDEX('Inline Quality'!$S$5:$S$304,MATCH(A19,'Inline Quality'!$E$5:$E$304,0)),"Pending"))</f>
        <v/>
      </c>
      <c r="N19" s="20" t="str">
        <f>IF(A19="","",IFERROR(INDEX('Final Inspection'!$U$5:$U$304,MATCH(A19,'Final Inspection'!$C$5:$C$304,0)),"Pending"))</f>
        <v/>
      </c>
      <c r="O19" s="20" t="str">
        <f>IF(A19="","",SUMIF('Packing Control'!$C$5:$C$304,A19,'Packing Control'!$K$5:$K$304))</f>
        <v/>
      </c>
      <c r="P19" s="20" t="str">
        <f>IF(A19="","",SUMIF('Finished Goods'!$C$5:$C$304,A19,'Finished Goods'!$J$5:$J$304))</f>
        <v/>
      </c>
      <c r="Q19" s="20" t="str">
        <f>IF(A19="","",SUMIF('Shipment Control'!$C$5:$C$304,A19,'Shipment Control'!$I$5:$I$304))</f>
        <v/>
      </c>
      <c r="R19" s="20" t="str">
        <f>IF(A19="","",SUMIF('Shipment Control'!$C$5:$C$304,A19,'Shipment Control'!$J$5:$J$304))</f>
        <v/>
      </c>
      <c r="S19" s="20" t="str">
        <f t="shared" si="0"/>
        <v/>
      </c>
      <c r="T19" s="21" t="str">
        <f>IF('FGPO Master'!A13="","",'FGPO Master'!I13)</f>
        <v/>
      </c>
      <c r="U19" s="7" t="str">
        <f>IF(A19="","",IF(COUNTIF('Open Issues'!$D$5:$D$304,A19)&gt;0,"Yellow","Green"))</f>
        <v/>
      </c>
      <c r="V19" s="7" t="str">
        <f>IF('FGPO Master'!A13="","",'FGPO Master'!U13)</f>
        <v/>
      </c>
    </row>
    <row r="20" spans="1:22">
      <c r="A20" s="7" t="str">
        <f>IF('FGPO Master'!A14="","",IF('FGPO Master'!D14="FGPO Pending","FGPO Pending",'FGPO Master'!B14))</f>
        <v/>
      </c>
      <c r="B20" s="7" t="str">
        <f>IF('FGPO Master'!A14="","",'FGPO Master'!F14)</f>
        <v/>
      </c>
      <c r="C20" s="7" t="str">
        <f>IF('FGPO Master'!A14="","",'FGPO Master'!G14)</f>
        <v/>
      </c>
      <c r="D20" s="20" t="str">
        <f>IF('FGPO Master'!A14="","",'FGPO Master'!H14)</f>
        <v/>
      </c>
      <c r="E20" s="20" t="str">
        <f>IF(A20="","",IF(SUMIF('Fabric Inventory'!$C$5:$C$304,A20,'Fabric Inventory'!$O$5:$O$304)&gt;0,"Shortage",IF(SUMIF('Fabric Inventory'!$C$5:$C$304,A20,'Fabric Inventory'!$H$5:$H$304)&gt;0,"Approved","Pending")))</f>
        <v/>
      </c>
      <c r="F20" s="20" t="str">
        <f>IF(A20="","",IF(SUMIF('Trims Control'!$B$5:$B$304,A20,'Trims Control'!$R$5:$R$304)&gt;0,"Shortage",IF(COUNTIFS('Trims Control'!$B$5:$B$304,A20,'Trims Control'!$V$5:$V$304,"Ready")&gt;0,"Ready","Pending")))</f>
        <v/>
      </c>
      <c r="G20" s="20" t="str">
        <f>IF(A20="","",IFERROR(INDEX('PP Sample'!$V$5:$V$304,MATCH(A20,'PP Sample'!$B$5:$B$304,0)),"Pending"))</f>
        <v/>
      </c>
      <c r="H20" s="20" t="str">
        <f>IF(A20="","",IFERROR(INDEX('Production Readiness'!$S$5:$S$304,MATCH(A20,'Production Readiness'!$C$5:$C$304,0)),"Pending"))</f>
        <v/>
      </c>
      <c r="I20" s="20" t="str">
        <f>IF(A20="","",IFERROR(INDEX('Cutting Release'!$P$5:$P$304,MATCH(A20,'Cutting Release'!$C$5:$C$304,0)),"Pending"))</f>
        <v/>
      </c>
      <c r="J20" s="20" t="str">
        <f>IF(A20="","",SUMIF('Cutting Control'!$C$5:$C$304,A20,'Cutting Control'!$K$5:$K$304))</f>
        <v/>
      </c>
      <c r="K20" s="20" t="str">
        <f>IF(A20="","",IFERROR(INDEX('TOP Sample'!$W$5:$W$304,MATCH(A20,'TOP Sample'!$B$5:$B$304,0)),"Pending"))</f>
        <v/>
      </c>
      <c r="L20" s="20" t="str">
        <f>IF(A20="","",SUMIF('Sewing Production'!$E$5:$E$304,A20,'Sewing Production'!$L$5:$L$304))</f>
        <v/>
      </c>
      <c r="M20" s="20" t="str">
        <f>IF(A20="","",IFERROR(INDEX('Inline Quality'!$S$5:$S$304,MATCH(A20,'Inline Quality'!$E$5:$E$304,0)),"Pending"))</f>
        <v/>
      </c>
      <c r="N20" s="20" t="str">
        <f>IF(A20="","",IFERROR(INDEX('Final Inspection'!$U$5:$U$304,MATCH(A20,'Final Inspection'!$C$5:$C$304,0)),"Pending"))</f>
        <v/>
      </c>
      <c r="O20" s="20" t="str">
        <f>IF(A20="","",SUMIF('Packing Control'!$C$5:$C$304,A20,'Packing Control'!$K$5:$K$304))</f>
        <v/>
      </c>
      <c r="P20" s="20" t="str">
        <f>IF(A20="","",SUMIF('Finished Goods'!$C$5:$C$304,A20,'Finished Goods'!$J$5:$J$304))</f>
        <v/>
      </c>
      <c r="Q20" s="20" t="str">
        <f>IF(A20="","",SUMIF('Shipment Control'!$C$5:$C$304,A20,'Shipment Control'!$I$5:$I$304))</f>
        <v/>
      </c>
      <c r="R20" s="20" t="str">
        <f>IF(A20="","",SUMIF('Shipment Control'!$C$5:$C$304,A20,'Shipment Control'!$J$5:$J$304))</f>
        <v/>
      </c>
      <c r="S20" s="20" t="str">
        <f t="shared" si="0"/>
        <v/>
      </c>
      <c r="T20" s="21" t="str">
        <f>IF('FGPO Master'!A14="","",'FGPO Master'!I14)</f>
        <v/>
      </c>
      <c r="U20" s="7" t="str">
        <f>IF(A20="","",IF(COUNTIF('Open Issues'!$D$5:$D$304,A20)&gt;0,"Yellow","Green"))</f>
        <v/>
      </c>
      <c r="V20" s="7" t="str">
        <f>IF('FGPO Master'!A14="","",'FGPO Master'!U14)</f>
        <v/>
      </c>
    </row>
    <row r="21" spans="1:22">
      <c r="A21" s="7" t="str">
        <f>IF('FGPO Master'!A15="","",IF('FGPO Master'!D15="FGPO Pending","FGPO Pending",'FGPO Master'!B15))</f>
        <v/>
      </c>
      <c r="B21" s="7" t="str">
        <f>IF('FGPO Master'!A15="","",'FGPO Master'!F15)</f>
        <v/>
      </c>
      <c r="C21" s="7" t="str">
        <f>IF('FGPO Master'!A15="","",'FGPO Master'!G15)</f>
        <v/>
      </c>
      <c r="D21" s="20" t="str">
        <f>IF('FGPO Master'!A15="","",'FGPO Master'!H15)</f>
        <v/>
      </c>
      <c r="E21" s="20" t="str">
        <f>IF(A21="","",IF(SUMIF('Fabric Inventory'!$C$5:$C$304,A21,'Fabric Inventory'!$O$5:$O$304)&gt;0,"Shortage",IF(SUMIF('Fabric Inventory'!$C$5:$C$304,A21,'Fabric Inventory'!$H$5:$H$304)&gt;0,"Approved","Pending")))</f>
        <v/>
      </c>
      <c r="F21" s="20" t="str">
        <f>IF(A21="","",IF(SUMIF('Trims Control'!$B$5:$B$304,A21,'Trims Control'!$R$5:$R$304)&gt;0,"Shortage",IF(COUNTIFS('Trims Control'!$B$5:$B$304,A21,'Trims Control'!$V$5:$V$304,"Ready")&gt;0,"Ready","Pending")))</f>
        <v/>
      </c>
      <c r="G21" s="20" t="str">
        <f>IF(A21="","",IFERROR(INDEX('PP Sample'!$V$5:$V$304,MATCH(A21,'PP Sample'!$B$5:$B$304,0)),"Pending"))</f>
        <v/>
      </c>
      <c r="H21" s="20" t="str">
        <f>IF(A21="","",IFERROR(INDEX('Production Readiness'!$S$5:$S$304,MATCH(A21,'Production Readiness'!$C$5:$C$304,0)),"Pending"))</f>
        <v/>
      </c>
      <c r="I21" s="20" t="str">
        <f>IF(A21="","",IFERROR(INDEX('Cutting Release'!$P$5:$P$304,MATCH(A21,'Cutting Release'!$C$5:$C$304,0)),"Pending"))</f>
        <v/>
      </c>
      <c r="J21" s="20" t="str">
        <f>IF(A21="","",SUMIF('Cutting Control'!$C$5:$C$304,A21,'Cutting Control'!$K$5:$K$304))</f>
        <v/>
      </c>
      <c r="K21" s="20" t="str">
        <f>IF(A21="","",IFERROR(INDEX('TOP Sample'!$W$5:$W$304,MATCH(A21,'TOP Sample'!$B$5:$B$304,0)),"Pending"))</f>
        <v/>
      </c>
      <c r="L21" s="20" t="str">
        <f>IF(A21="","",SUMIF('Sewing Production'!$E$5:$E$304,A21,'Sewing Production'!$L$5:$L$304))</f>
        <v/>
      </c>
      <c r="M21" s="20" t="str">
        <f>IF(A21="","",IFERROR(INDEX('Inline Quality'!$S$5:$S$304,MATCH(A21,'Inline Quality'!$E$5:$E$304,0)),"Pending"))</f>
        <v/>
      </c>
      <c r="N21" s="20" t="str">
        <f>IF(A21="","",IFERROR(INDEX('Final Inspection'!$U$5:$U$304,MATCH(A21,'Final Inspection'!$C$5:$C$304,0)),"Pending"))</f>
        <v/>
      </c>
      <c r="O21" s="20" t="str">
        <f>IF(A21="","",SUMIF('Packing Control'!$C$5:$C$304,A21,'Packing Control'!$K$5:$K$304))</f>
        <v/>
      </c>
      <c r="P21" s="20" t="str">
        <f>IF(A21="","",SUMIF('Finished Goods'!$C$5:$C$304,A21,'Finished Goods'!$J$5:$J$304))</f>
        <v/>
      </c>
      <c r="Q21" s="20" t="str">
        <f>IF(A21="","",SUMIF('Shipment Control'!$C$5:$C$304,A21,'Shipment Control'!$I$5:$I$304))</f>
        <v/>
      </c>
      <c r="R21" s="20" t="str">
        <f>IF(A21="","",SUMIF('Shipment Control'!$C$5:$C$304,A21,'Shipment Control'!$J$5:$J$304))</f>
        <v/>
      </c>
      <c r="S21" s="20" t="str">
        <f t="shared" si="0"/>
        <v/>
      </c>
      <c r="T21" s="21" t="str">
        <f>IF('FGPO Master'!A15="","",'FGPO Master'!I15)</f>
        <v/>
      </c>
      <c r="U21" s="7" t="str">
        <f>IF(A21="","",IF(COUNTIF('Open Issues'!$D$5:$D$304,A21)&gt;0,"Yellow","Green"))</f>
        <v/>
      </c>
      <c r="V21" s="7" t="str">
        <f>IF('FGPO Master'!A15="","",'FGPO Master'!U15)</f>
        <v/>
      </c>
    </row>
    <row r="22" spans="1:22">
      <c r="A22" s="7" t="str">
        <f>IF('FGPO Master'!A16="","",IF('FGPO Master'!D16="FGPO Pending","FGPO Pending",'FGPO Master'!B16))</f>
        <v/>
      </c>
      <c r="B22" s="7" t="str">
        <f>IF('FGPO Master'!A16="","",'FGPO Master'!F16)</f>
        <v/>
      </c>
      <c r="C22" s="7" t="str">
        <f>IF('FGPO Master'!A16="","",'FGPO Master'!G16)</f>
        <v/>
      </c>
      <c r="D22" s="20" t="str">
        <f>IF('FGPO Master'!A16="","",'FGPO Master'!H16)</f>
        <v/>
      </c>
      <c r="E22" s="20" t="str">
        <f>IF(A22="","",IF(SUMIF('Fabric Inventory'!$C$5:$C$304,A22,'Fabric Inventory'!$O$5:$O$304)&gt;0,"Shortage",IF(SUMIF('Fabric Inventory'!$C$5:$C$304,A22,'Fabric Inventory'!$H$5:$H$304)&gt;0,"Approved","Pending")))</f>
        <v/>
      </c>
      <c r="F22" s="20" t="str">
        <f>IF(A22="","",IF(SUMIF('Trims Control'!$B$5:$B$304,A22,'Trims Control'!$R$5:$R$304)&gt;0,"Shortage",IF(COUNTIFS('Trims Control'!$B$5:$B$304,A22,'Trims Control'!$V$5:$V$304,"Ready")&gt;0,"Ready","Pending")))</f>
        <v/>
      </c>
      <c r="G22" s="20" t="str">
        <f>IF(A22="","",IFERROR(INDEX('PP Sample'!$V$5:$V$304,MATCH(A22,'PP Sample'!$B$5:$B$304,0)),"Pending"))</f>
        <v/>
      </c>
      <c r="H22" s="20" t="str">
        <f>IF(A22="","",IFERROR(INDEX('Production Readiness'!$S$5:$S$304,MATCH(A22,'Production Readiness'!$C$5:$C$304,0)),"Pending"))</f>
        <v/>
      </c>
      <c r="I22" s="20" t="str">
        <f>IF(A22="","",IFERROR(INDEX('Cutting Release'!$P$5:$P$304,MATCH(A22,'Cutting Release'!$C$5:$C$304,0)),"Pending"))</f>
        <v/>
      </c>
      <c r="J22" s="20" t="str">
        <f>IF(A22="","",SUMIF('Cutting Control'!$C$5:$C$304,A22,'Cutting Control'!$K$5:$K$304))</f>
        <v/>
      </c>
      <c r="K22" s="20" t="str">
        <f>IF(A22="","",IFERROR(INDEX('TOP Sample'!$W$5:$W$304,MATCH(A22,'TOP Sample'!$B$5:$B$304,0)),"Pending"))</f>
        <v/>
      </c>
      <c r="L22" s="20" t="str">
        <f>IF(A22="","",SUMIF('Sewing Production'!$E$5:$E$304,A22,'Sewing Production'!$L$5:$L$304))</f>
        <v/>
      </c>
      <c r="M22" s="20" t="str">
        <f>IF(A22="","",IFERROR(INDEX('Inline Quality'!$S$5:$S$304,MATCH(A22,'Inline Quality'!$E$5:$E$304,0)),"Pending"))</f>
        <v/>
      </c>
      <c r="N22" s="20" t="str">
        <f>IF(A22="","",IFERROR(INDEX('Final Inspection'!$U$5:$U$304,MATCH(A22,'Final Inspection'!$C$5:$C$304,0)),"Pending"))</f>
        <v/>
      </c>
      <c r="O22" s="20" t="str">
        <f>IF(A22="","",SUMIF('Packing Control'!$C$5:$C$304,A22,'Packing Control'!$K$5:$K$304))</f>
        <v/>
      </c>
      <c r="P22" s="20" t="str">
        <f>IF(A22="","",SUMIF('Finished Goods'!$C$5:$C$304,A22,'Finished Goods'!$J$5:$J$304))</f>
        <v/>
      </c>
      <c r="Q22" s="20" t="str">
        <f>IF(A22="","",SUMIF('Shipment Control'!$C$5:$C$304,A22,'Shipment Control'!$I$5:$I$304))</f>
        <v/>
      </c>
      <c r="R22" s="20" t="str">
        <f>IF(A22="","",SUMIF('Shipment Control'!$C$5:$C$304,A22,'Shipment Control'!$J$5:$J$304))</f>
        <v/>
      </c>
      <c r="S22" s="20" t="str">
        <f t="shared" si="0"/>
        <v/>
      </c>
      <c r="T22" s="21" t="str">
        <f>IF('FGPO Master'!A16="","",'FGPO Master'!I16)</f>
        <v/>
      </c>
      <c r="U22" s="7" t="str">
        <f>IF(A22="","",IF(COUNTIF('Open Issues'!$D$5:$D$304,A22)&gt;0,"Yellow","Green"))</f>
        <v/>
      </c>
      <c r="V22" s="7" t="str">
        <f>IF('FGPO Master'!A16="","",'FGPO Master'!U16)</f>
        <v/>
      </c>
    </row>
    <row r="23" spans="1:22">
      <c r="A23" s="7" t="str">
        <f>IF('FGPO Master'!A17="","",IF('FGPO Master'!D17="FGPO Pending","FGPO Pending",'FGPO Master'!B17))</f>
        <v/>
      </c>
      <c r="B23" s="7" t="str">
        <f>IF('FGPO Master'!A17="","",'FGPO Master'!F17)</f>
        <v/>
      </c>
      <c r="C23" s="7" t="str">
        <f>IF('FGPO Master'!A17="","",'FGPO Master'!G17)</f>
        <v/>
      </c>
      <c r="D23" s="20" t="str">
        <f>IF('FGPO Master'!A17="","",'FGPO Master'!H17)</f>
        <v/>
      </c>
      <c r="E23" s="20" t="str">
        <f>IF(A23="","",IF(SUMIF('Fabric Inventory'!$C$5:$C$304,A23,'Fabric Inventory'!$O$5:$O$304)&gt;0,"Shortage",IF(SUMIF('Fabric Inventory'!$C$5:$C$304,A23,'Fabric Inventory'!$H$5:$H$304)&gt;0,"Approved","Pending")))</f>
        <v/>
      </c>
      <c r="F23" s="20" t="str">
        <f>IF(A23="","",IF(SUMIF('Trims Control'!$B$5:$B$304,A23,'Trims Control'!$R$5:$R$304)&gt;0,"Shortage",IF(COUNTIFS('Trims Control'!$B$5:$B$304,A23,'Trims Control'!$V$5:$V$304,"Ready")&gt;0,"Ready","Pending")))</f>
        <v/>
      </c>
      <c r="G23" s="20" t="str">
        <f>IF(A23="","",IFERROR(INDEX('PP Sample'!$V$5:$V$304,MATCH(A23,'PP Sample'!$B$5:$B$304,0)),"Pending"))</f>
        <v/>
      </c>
      <c r="H23" s="20" t="str">
        <f>IF(A23="","",IFERROR(INDEX('Production Readiness'!$S$5:$S$304,MATCH(A23,'Production Readiness'!$C$5:$C$304,0)),"Pending"))</f>
        <v/>
      </c>
      <c r="I23" s="20" t="str">
        <f>IF(A23="","",IFERROR(INDEX('Cutting Release'!$P$5:$P$304,MATCH(A23,'Cutting Release'!$C$5:$C$304,0)),"Pending"))</f>
        <v/>
      </c>
      <c r="J23" s="20" t="str">
        <f>IF(A23="","",SUMIF('Cutting Control'!$C$5:$C$304,A23,'Cutting Control'!$K$5:$K$304))</f>
        <v/>
      </c>
      <c r="K23" s="20" t="str">
        <f>IF(A23="","",IFERROR(INDEX('TOP Sample'!$W$5:$W$304,MATCH(A23,'TOP Sample'!$B$5:$B$304,0)),"Pending"))</f>
        <v/>
      </c>
      <c r="L23" s="20" t="str">
        <f>IF(A23="","",SUMIF('Sewing Production'!$E$5:$E$304,A23,'Sewing Production'!$L$5:$L$304))</f>
        <v/>
      </c>
      <c r="M23" s="20" t="str">
        <f>IF(A23="","",IFERROR(INDEX('Inline Quality'!$S$5:$S$304,MATCH(A23,'Inline Quality'!$E$5:$E$304,0)),"Pending"))</f>
        <v/>
      </c>
      <c r="N23" s="20" t="str">
        <f>IF(A23="","",IFERROR(INDEX('Final Inspection'!$U$5:$U$304,MATCH(A23,'Final Inspection'!$C$5:$C$304,0)),"Pending"))</f>
        <v/>
      </c>
      <c r="O23" s="20" t="str">
        <f>IF(A23="","",SUMIF('Packing Control'!$C$5:$C$304,A23,'Packing Control'!$K$5:$K$304))</f>
        <v/>
      </c>
      <c r="P23" s="20" t="str">
        <f>IF(A23="","",SUMIF('Finished Goods'!$C$5:$C$304,A23,'Finished Goods'!$J$5:$J$304))</f>
        <v/>
      </c>
      <c r="Q23" s="20" t="str">
        <f>IF(A23="","",SUMIF('Shipment Control'!$C$5:$C$304,A23,'Shipment Control'!$I$5:$I$304))</f>
        <v/>
      </c>
      <c r="R23" s="20" t="str">
        <f>IF(A23="","",SUMIF('Shipment Control'!$C$5:$C$304,A23,'Shipment Control'!$J$5:$J$304))</f>
        <v/>
      </c>
      <c r="S23" s="20" t="str">
        <f t="shared" si="0"/>
        <v/>
      </c>
      <c r="T23" s="21" t="str">
        <f>IF('FGPO Master'!A17="","",'FGPO Master'!I17)</f>
        <v/>
      </c>
      <c r="U23" s="7" t="str">
        <f>IF(A23="","",IF(COUNTIF('Open Issues'!$D$5:$D$304,A23)&gt;0,"Yellow","Green"))</f>
        <v/>
      </c>
      <c r="V23" s="7" t="str">
        <f>IF('FGPO Master'!A17="","",'FGPO Master'!U17)</f>
        <v/>
      </c>
    </row>
    <row r="24" spans="1:22">
      <c r="A24" s="7" t="str">
        <f>IF('FGPO Master'!A18="","",IF('FGPO Master'!D18="FGPO Pending","FGPO Pending",'FGPO Master'!B18))</f>
        <v/>
      </c>
      <c r="B24" s="7" t="str">
        <f>IF('FGPO Master'!A18="","",'FGPO Master'!F18)</f>
        <v/>
      </c>
      <c r="C24" s="7" t="str">
        <f>IF('FGPO Master'!A18="","",'FGPO Master'!G18)</f>
        <v/>
      </c>
      <c r="D24" s="20" t="str">
        <f>IF('FGPO Master'!A18="","",'FGPO Master'!H18)</f>
        <v/>
      </c>
      <c r="E24" s="20" t="str">
        <f>IF(A24="","",IF(SUMIF('Fabric Inventory'!$C$5:$C$304,A24,'Fabric Inventory'!$O$5:$O$304)&gt;0,"Shortage",IF(SUMIF('Fabric Inventory'!$C$5:$C$304,A24,'Fabric Inventory'!$H$5:$H$304)&gt;0,"Approved","Pending")))</f>
        <v/>
      </c>
      <c r="F24" s="20" t="str">
        <f>IF(A24="","",IF(SUMIF('Trims Control'!$B$5:$B$304,A24,'Trims Control'!$R$5:$R$304)&gt;0,"Shortage",IF(COUNTIFS('Trims Control'!$B$5:$B$304,A24,'Trims Control'!$V$5:$V$304,"Ready")&gt;0,"Ready","Pending")))</f>
        <v/>
      </c>
      <c r="G24" s="20" t="str">
        <f>IF(A24="","",IFERROR(INDEX('PP Sample'!$V$5:$V$304,MATCH(A24,'PP Sample'!$B$5:$B$304,0)),"Pending"))</f>
        <v/>
      </c>
      <c r="H24" s="20" t="str">
        <f>IF(A24="","",IFERROR(INDEX('Production Readiness'!$S$5:$S$304,MATCH(A24,'Production Readiness'!$C$5:$C$304,0)),"Pending"))</f>
        <v/>
      </c>
      <c r="I24" s="20" t="str">
        <f>IF(A24="","",IFERROR(INDEX('Cutting Release'!$P$5:$P$304,MATCH(A24,'Cutting Release'!$C$5:$C$304,0)),"Pending"))</f>
        <v/>
      </c>
      <c r="J24" s="20" t="str">
        <f>IF(A24="","",SUMIF('Cutting Control'!$C$5:$C$304,A24,'Cutting Control'!$K$5:$K$304))</f>
        <v/>
      </c>
      <c r="K24" s="20" t="str">
        <f>IF(A24="","",IFERROR(INDEX('TOP Sample'!$W$5:$W$304,MATCH(A24,'TOP Sample'!$B$5:$B$304,0)),"Pending"))</f>
        <v/>
      </c>
      <c r="L24" s="20" t="str">
        <f>IF(A24="","",SUMIF('Sewing Production'!$E$5:$E$304,A24,'Sewing Production'!$L$5:$L$304))</f>
        <v/>
      </c>
      <c r="M24" s="20" t="str">
        <f>IF(A24="","",IFERROR(INDEX('Inline Quality'!$S$5:$S$304,MATCH(A24,'Inline Quality'!$E$5:$E$304,0)),"Pending"))</f>
        <v/>
      </c>
      <c r="N24" s="20" t="str">
        <f>IF(A24="","",IFERROR(INDEX('Final Inspection'!$U$5:$U$304,MATCH(A24,'Final Inspection'!$C$5:$C$304,0)),"Pending"))</f>
        <v/>
      </c>
      <c r="O24" s="20" t="str">
        <f>IF(A24="","",SUMIF('Packing Control'!$C$5:$C$304,A24,'Packing Control'!$K$5:$K$304))</f>
        <v/>
      </c>
      <c r="P24" s="20" t="str">
        <f>IF(A24="","",SUMIF('Finished Goods'!$C$5:$C$304,A24,'Finished Goods'!$J$5:$J$304))</f>
        <v/>
      </c>
      <c r="Q24" s="20" t="str">
        <f>IF(A24="","",SUMIF('Shipment Control'!$C$5:$C$304,A24,'Shipment Control'!$I$5:$I$304))</f>
        <v/>
      </c>
      <c r="R24" s="20" t="str">
        <f>IF(A24="","",SUMIF('Shipment Control'!$C$5:$C$304,A24,'Shipment Control'!$J$5:$J$304))</f>
        <v/>
      </c>
      <c r="S24" s="20" t="str">
        <f t="shared" si="0"/>
        <v/>
      </c>
      <c r="T24" s="21" t="str">
        <f>IF('FGPO Master'!A18="","",'FGPO Master'!I18)</f>
        <v/>
      </c>
      <c r="U24" s="7" t="str">
        <f>IF(A24="","",IF(COUNTIF('Open Issues'!$D$5:$D$304,A24)&gt;0,"Yellow","Green"))</f>
        <v/>
      </c>
      <c r="V24" s="7" t="str">
        <f>IF('FGPO Master'!A18="","",'FGPO Master'!U18)</f>
        <v/>
      </c>
    </row>
    <row r="25" spans="1:22">
      <c r="A25" s="7" t="str">
        <f>IF('FGPO Master'!A19="","",IF('FGPO Master'!D19="FGPO Pending","FGPO Pending",'FGPO Master'!B19))</f>
        <v/>
      </c>
      <c r="B25" s="7" t="str">
        <f>IF('FGPO Master'!A19="","",'FGPO Master'!F19)</f>
        <v/>
      </c>
      <c r="C25" s="7" t="str">
        <f>IF('FGPO Master'!A19="","",'FGPO Master'!G19)</f>
        <v/>
      </c>
      <c r="D25" s="20" t="str">
        <f>IF('FGPO Master'!A19="","",'FGPO Master'!H19)</f>
        <v/>
      </c>
      <c r="E25" s="20" t="str">
        <f>IF(A25="","",IF(SUMIF('Fabric Inventory'!$C$5:$C$304,A25,'Fabric Inventory'!$O$5:$O$304)&gt;0,"Shortage",IF(SUMIF('Fabric Inventory'!$C$5:$C$304,A25,'Fabric Inventory'!$H$5:$H$304)&gt;0,"Approved","Pending")))</f>
        <v/>
      </c>
      <c r="F25" s="20" t="str">
        <f>IF(A25="","",IF(SUMIF('Trims Control'!$B$5:$B$304,A25,'Trims Control'!$R$5:$R$304)&gt;0,"Shortage",IF(COUNTIFS('Trims Control'!$B$5:$B$304,A25,'Trims Control'!$V$5:$V$304,"Ready")&gt;0,"Ready","Pending")))</f>
        <v/>
      </c>
      <c r="G25" s="20" t="str">
        <f>IF(A25="","",IFERROR(INDEX('PP Sample'!$V$5:$V$304,MATCH(A25,'PP Sample'!$B$5:$B$304,0)),"Pending"))</f>
        <v/>
      </c>
      <c r="H25" s="20" t="str">
        <f>IF(A25="","",IFERROR(INDEX('Production Readiness'!$S$5:$S$304,MATCH(A25,'Production Readiness'!$C$5:$C$304,0)),"Pending"))</f>
        <v/>
      </c>
      <c r="I25" s="20" t="str">
        <f>IF(A25="","",IFERROR(INDEX('Cutting Release'!$P$5:$P$304,MATCH(A25,'Cutting Release'!$C$5:$C$304,0)),"Pending"))</f>
        <v/>
      </c>
      <c r="J25" s="20" t="str">
        <f>IF(A25="","",SUMIF('Cutting Control'!$C$5:$C$304,A25,'Cutting Control'!$K$5:$K$304))</f>
        <v/>
      </c>
      <c r="K25" s="20" t="str">
        <f>IF(A25="","",IFERROR(INDEX('TOP Sample'!$W$5:$W$304,MATCH(A25,'TOP Sample'!$B$5:$B$304,0)),"Pending"))</f>
        <v/>
      </c>
      <c r="L25" s="20" t="str">
        <f>IF(A25="","",SUMIF('Sewing Production'!$E$5:$E$304,A25,'Sewing Production'!$L$5:$L$304))</f>
        <v/>
      </c>
      <c r="M25" s="20" t="str">
        <f>IF(A25="","",IFERROR(INDEX('Inline Quality'!$S$5:$S$304,MATCH(A25,'Inline Quality'!$E$5:$E$304,0)),"Pending"))</f>
        <v/>
      </c>
      <c r="N25" s="20" t="str">
        <f>IF(A25="","",IFERROR(INDEX('Final Inspection'!$U$5:$U$304,MATCH(A25,'Final Inspection'!$C$5:$C$304,0)),"Pending"))</f>
        <v/>
      </c>
      <c r="O25" s="20" t="str">
        <f>IF(A25="","",SUMIF('Packing Control'!$C$5:$C$304,A25,'Packing Control'!$K$5:$K$304))</f>
        <v/>
      </c>
      <c r="P25" s="20" t="str">
        <f>IF(A25="","",SUMIF('Finished Goods'!$C$5:$C$304,A25,'Finished Goods'!$J$5:$J$304))</f>
        <v/>
      </c>
      <c r="Q25" s="20" t="str">
        <f>IF(A25="","",SUMIF('Shipment Control'!$C$5:$C$304,A25,'Shipment Control'!$I$5:$I$304))</f>
        <v/>
      </c>
      <c r="R25" s="20" t="str">
        <f>IF(A25="","",SUMIF('Shipment Control'!$C$5:$C$304,A25,'Shipment Control'!$J$5:$J$304))</f>
        <v/>
      </c>
      <c r="S25" s="20" t="str">
        <f t="shared" si="0"/>
        <v/>
      </c>
      <c r="T25" s="21" t="str">
        <f>IF('FGPO Master'!A19="","",'FGPO Master'!I19)</f>
        <v/>
      </c>
      <c r="U25" s="7" t="str">
        <f>IF(A25="","",IF(COUNTIF('Open Issues'!$D$5:$D$304,A25)&gt;0,"Yellow","Green"))</f>
        <v/>
      </c>
      <c r="V25" s="7" t="str">
        <f>IF('FGPO Master'!A19="","",'FGPO Master'!U19)</f>
        <v/>
      </c>
    </row>
    <row r="26" spans="1:22">
      <c r="A26" s="7" t="str">
        <f>IF('FGPO Master'!A20="","",IF('FGPO Master'!D20="FGPO Pending","FGPO Pending",'FGPO Master'!B20))</f>
        <v/>
      </c>
      <c r="B26" s="7" t="str">
        <f>IF('FGPO Master'!A20="","",'FGPO Master'!F20)</f>
        <v/>
      </c>
      <c r="C26" s="7" t="str">
        <f>IF('FGPO Master'!A20="","",'FGPO Master'!G20)</f>
        <v/>
      </c>
      <c r="D26" s="20" t="str">
        <f>IF('FGPO Master'!A20="","",'FGPO Master'!H20)</f>
        <v/>
      </c>
      <c r="E26" s="20" t="str">
        <f>IF(A26="","",IF(SUMIF('Fabric Inventory'!$C$5:$C$304,A26,'Fabric Inventory'!$O$5:$O$304)&gt;0,"Shortage",IF(SUMIF('Fabric Inventory'!$C$5:$C$304,A26,'Fabric Inventory'!$H$5:$H$304)&gt;0,"Approved","Pending")))</f>
        <v/>
      </c>
      <c r="F26" s="20" t="str">
        <f>IF(A26="","",IF(SUMIF('Trims Control'!$B$5:$B$304,A26,'Trims Control'!$R$5:$R$304)&gt;0,"Shortage",IF(COUNTIFS('Trims Control'!$B$5:$B$304,A26,'Trims Control'!$V$5:$V$304,"Ready")&gt;0,"Ready","Pending")))</f>
        <v/>
      </c>
      <c r="G26" s="20" t="str">
        <f>IF(A26="","",IFERROR(INDEX('PP Sample'!$V$5:$V$304,MATCH(A26,'PP Sample'!$B$5:$B$304,0)),"Pending"))</f>
        <v/>
      </c>
      <c r="H26" s="20" t="str">
        <f>IF(A26="","",IFERROR(INDEX('Production Readiness'!$S$5:$S$304,MATCH(A26,'Production Readiness'!$C$5:$C$304,0)),"Pending"))</f>
        <v/>
      </c>
      <c r="I26" s="20" t="str">
        <f>IF(A26="","",IFERROR(INDEX('Cutting Release'!$P$5:$P$304,MATCH(A26,'Cutting Release'!$C$5:$C$304,0)),"Pending"))</f>
        <v/>
      </c>
      <c r="J26" s="20" t="str">
        <f>IF(A26="","",SUMIF('Cutting Control'!$C$5:$C$304,A26,'Cutting Control'!$K$5:$K$304))</f>
        <v/>
      </c>
      <c r="K26" s="20" t="str">
        <f>IF(A26="","",IFERROR(INDEX('TOP Sample'!$W$5:$W$304,MATCH(A26,'TOP Sample'!$B$5:$B$304,0)),"Pending"))</f>
        <v/>
      </c>
      <c r="L26" s="20" t="str">
        <f>IF(A26="","",SUMIF('Sewing Production'!$E$5:$E$304,A26,'Sewing Production'!$L$5:$L$304))</f>
        <v/>
      </c>
      <c r="M26" s="20" t="str">
        <f>IF(A26="","",IFERROR(INDEX('Inline Quality'!$S$5:$S$304,MATCH(A26,'Inline Quality'!$E$5:$E$304,0)),"Pending"))</f>
        <v/>
      </c>
      <c r="N26" s="20" t="str">
        <f>IF(A26="","",IFERROR(INDEX('Final Inspection'!$U$5:$U$304,MATCH(A26,'Final Inspection'!$C$5:$C$304,0)),"Pending"))</f>
        <v/>
      </c>
      <c r="O26" s="20" t="str">
        <f>IF(A26="","",SUMIF('Packing Control'!$C$5:$C$304,A26,'Packing Control'!$K$5:$K$304))</f>
        <v/>
      </c>
      <c r="P26" s="20" t="str">
        <f>IF(A26="","",SUMIF('Finished Goods'!$C$5:$C$304,A26,'Finished Goods'!$J$5:$J$304))</f>
        <v/>
      </c>
      <c r="Q26" s="20" t="str">
        <f>IF(A26="","",SUMIF('Shipment Control'!$C$5:$C$304,A26,'Shipment Control'!$I$5:$I$304))</f>
        <v/>
      </c>
      <c r="R26" s="20" t="str">
        <f>IF(A26="","",SUMIF('Shipment Control'!$C$5:$C$304,A26,'Shipment Control'!$J$5:$J$304))</f>
        <v/>
      </c>
      <c r="S26" s="20" t="str">
        <f t="shared" si="0"/>
        <v/>
      </c>
      <c r="T26" s="21" t="str">
        <f>IF('FGPO Master'!A20="","",'FGPO Master'!I20)</f>
        <v/>
      </c>
      <c r="U26" s="7" t="str">
        <f>IF(A26="","",IF(COUNTIF('Open Issues'!$D$5:$D$304,A26)&gt;0,"Yellow","Green"))</f>
        <v/>
      </c>
      <c r="V26" s="7" t="str">
        <f>IF('FGPO Master'!A20="","",'FGPO Master'!U20)</f>
        <v/>
      </c>
    </row>
    <row r="27" spans="1:22">
      <c r="A27" s="7" t="str">
        <f>IF('FGPO Master'!A21="","",IF('FGPO Master'!D21="FGPO Pending","FGPO Pending",'FGPO Master'!B21))</f>
        <v/>
      </c>
      <c r="B27" s="7" t="str">
        <f>IF('FGPO Master'!A21="","",'FGPO Master'!F21)</f>
        <v/>
      </c>
      <c r="C27" s="7" t="str">
        <f>IF('FGPO Master'!A21="","",'FGPO Master'!G21)</f>
        <v/>
      </c>
      <c r="D27" s="20" t="str">
        <f>IF('FGPO Master'!A21="","",'FGPO Master'!H21)</f>
        <v/>
      </c>
      <c r="E27" s="20" t="str">
        <f>IF(A27="","",IF(SUMIF('Fabric Inventory'!$C$5:$C$304,A27,'Fabric Inventory'!$O$5:$O$304)&gt;0,"Shortage",IF(SUMIF('Fabric Inventory'!$C$5:$C$304,A27,'Fabric Inventory'!$H$5:$H$304)&gt;0,"Approved","Pending")))</f>
        <v/>
      </c>
      <c r="F27" s="20" t="str">
        <f>IF(A27="","",IF(SUMIF('Trims Control'!$B$5:$B$304,A27,'Trims Control'!$R$5:$R$304)&gt;0,"Shortage",IF(COUNTIFS('Trims Control'!$B$5:$B$304,A27,'Trims Control'!$V$5:$V$304,"Ready")&gt;0,"Ready","Pending")))</f>
        <v/>
      </c>
      <c r="G27" s="20" t="str">
        <f>IF(A27="","",IFERROR(INDEX('PP Sample'!$V$5:$V$304,MATCH(A27,'PP Sample'!$B$5:$B$304,0)),"Pending"))</f>
        <v/>
      </c>
      <c r="H27" s="20" t="str">
        <f>IF(A27="","",IFERROR(INDEX('Production Readiness'!$S$5:$S$304,MATCH(A27,'Production Readiness'!$C$5:$C$304,0)),"Pending"))</f>
        <v/>
      </c>
      <c r="I27" s="20" t="str">
        <f>IF(A27="","",IFERROR(INDEX('Cutting Release'!$P$5:$P$304,MATCH(A27,'Cutting Release'!$C$5:$C$304,0)),"Pending"))</f>
        <v/>
      </c>
      <c r="J27" s="20" t="str">
        <f>IF(A27="","",SUMIF('Cutting Control'!$C$5:$C$304,A27,'Cutting Control'!$K$5:$K$304))</f>
        <v/>
      </c>
      <c r="K27" s="20" t="str">
        <f>IF(A27="","",IFERROR(INDEX('TOP Sample'!$W$5:$W$304,MATCH(A27,'TOP Sample'!$B$5:$B$304,0)),"Pending"))</f>
        <v/>
      </c>
      <c r="L27" s="20" t="str">
        <f>IF(A27="","",SUMIF('Sewing Production'!$E$5:$E$304,A27,'Sewing Production'!$L$5:$L$304))</f>
        <v/>
      </c>
      <c r="M27" s="20" t="str">
        <f>IF(A27="","",IFERROR(INDEX('Inline Quality'!$S$5:$S$304,MATCH(A27,'Inline Quality'!$E$5:$E$304,0)),"Pending"))</f>
        <v/>
      </c>
      <c r="N27" s="20" t="str">
        <f>IF(A27="","",IFERROR(INDEX('Final Inspection'!$U$5:$U$304,MATCH(A27,'Final Inspection'!$C$5:$C$304,0)),"Pending"))</f>
        <v/>
      </c>
      <c r="O27" s="20" t="str">
        <f>IF(A27="","",SUMIF('Packing Control'!$C$5:$C$304,A27,'Packing Control'!$K$5:$K$304))</f>
        <v/>
      </c>
      <c r="P27" s="20" t="str">
        <f>IF(A27="","",SUMIF('Finished Goods'!$C$5:$C$304,A27,'Finished Goods'!$J$5:$J$304))</f>
        <v/>
      </c>
      <c r="Q27" s="20" t="str">
        <f>IF(A27="","",SUMIF('Shipment Control'!$C$5:$C$304,A27,'Shipment Control'!$I$5:$I$304))</f>
        <v/>
      </c>
      <c r="R27" s="20" t="str">
        <f>IF(A27="","",SUMIF('Shipment Control'!$C$5:$C$304,A27,'Shipment Control'!$J$5:$J$304))</f>
        <v/>
      </c>
      <c r="S27" s="20" t="str">
        <f t="shared" si="0"/>
        <v/>
      </c>
      <c r="T27" s="21" t="str">
        <f>IF('FGPO Master'!A21="","",'FGPO Master'!I21)</f>
        <v/>
      </c>
      <c r="U27" s="7" t="str">
        <f>IF(A27="","",IF(COUNTIF('Open Issues'!$D$5:$D$304,A27)&gt;0,"Yellow","Green"))</f>
        <v/>
      </c>
      <c r="V27" s="7" t="str">
        <f>IF('FGPO Master'!A21="","",'FGPO Master'!U21)</f>
        <v/>
      </c>
    </row>
    <row r="28" spans="1:22">
      <c r="A28" s="7" t="str">
        <f>IF('FGPO Master'!A22="","",IF('FGPO Master'!D22="FGPO Pending","FGPO Pending",'FGPO Master'!B22))</f>
        <v/>
      </c>
      <c r="B28" s="7" t="str">
        <f>IF('FGPO Master'!A22="","",'FGPO Master'!F22)</f>
        <v/>
      </c>
      <c r="C28" s="7" t="str">
        <f>IF('FGPO Master'!A22="","",'FGPO Master'!G22)</f>
        <v/>
      </c>
      <c r="D28" s="20" t="str">
        <f>IF('FGPO Master'!A22="","",'FGPO Master'!H22)</f>
        <v/>
      </c>
      <c r="E28" s="20" t="str">
        <f>IF(A28="","",IF(SUMIF('Fabric Inventory'!$C$5:$C$304,A28,'Fabric Inventory'!$O$5:$O$304)&gt;0,"Shortage",IF(SUMIF('Fabric Inventory'!$C$5:$C$304,A28,'Fabric Inventory'!$H$5:$H$304)&gt;0,"Approved","Pending")))</f>
        <v/>
      </c>
      <c r="F28" s="20" t="str">
        <f>IF(A28="","",IF(SUMIF('Trims Control'!$B$5:$B$304,A28,'Trims Control'!$R$5:$R$304)&gt;0,"Shortage",IF(COUNTIFS('Trims Control'!$B$5:$B$304,A28,'Trims Control'!$V$5:$V$304,"Ready")&gt;0,"Ready","Pending")))</f>
        <v/>
      </c>
      <c r="G28" s="20" t="str">
        <f>IF(A28="","",IFERROR(INDEX('PP Sample'!$V$5:$V$304,MATCH(A28,'PP Sample'!$B$5:$B$304,0)),"Pending"))</f>
        <v/>
      </c>
      <c r="H28" s="20" t="str">
        <f>IF(A28="","",IFERROR(INDEX('Production Readiness'!$S$5:$S$304,MATCH(A28,'Production Readiness'!$C$5:$C$304,0)),"Pending"))</f>
        <v/>
      </c>
      <c r="I28" s="20" t="str">
        <f>IF(A28="","",IFERROR(INDEX('Cutting Release'!$P$5:$P$304,MATCH(A28,'Cutting Release'!$C$5:$C$304,0)),"Pending"))</f>
        <v/>
      </c>
      <c r="J28" s="20" t="str">
        <f>IF(A28="","",SUMIF('Cutting Control'!$C$5:$C$304,A28,'Cutting Control'!$K$5:$K$304))</f>
        <v/>
      </c>
      <c r="K28" s="20" t="str">
        <f>IF(A28="","",IFERROR(INDEX('TOP Sample'!$W$5:$W$304,MATCH(A28,'TOP Sample'!$B$5:$B$304,0)),"Pending"))</f>
        <v/>
      </c>
      <c r="L28" s="20" t="str">
        <f>IF(A28="","",SUMIF('Sewing Production'!$E$5:$E$304,A28,'Sewing Production'!$L$5:$L$304))</f>
        <v/>
      </c>
      <c r="M28" s="20" t="str">
        <f>IF(A28="","",IFERROR(INDEX('Inline Quality'!$S$5:$S$304,MATCH(A28,'Inline Quality'!$E$5:$E$304,0)),"Pending"))</f>
        <v/>
      </c>
      <c r="N28" s="20" t="str">
        <f>IF(A28="","",IFERROR(INDEX('Final Inspection'!$U$5:$U$304,MATCH(A28,'Final Inspection'!$C$5:$C$304,0)),"Pending"))</f>
        <v/>
      </c>
      <c r="O28" s="20" t="str">
        <f>IF(A28="","",SUMIF('Packing Control'!$C$5:$C$304,A28,'Packing Control'!$K$5:$K$304))</f>
        <v/>
      </c>
      <c r="P28" s="20" t="str">
        <f>IF(A28="","",SUMIF('Finished Goods'!$C$5:$C$304,A28,'Finished Goods'!$J$5:$J$304))</f>
        <v/>
      </c>
      <c r="Q28" s="20" t="str">
        <f>IF(A28="","",SUMIF('Shipment Control'!$C$5:$C$304,A28,'Shipment Control'!$I$5:$I$304))</f>
        <v/>
      </c>
      <c r="R28" s="20" t="str">
        <f>IF(A28="","",SUMIF('Shipment Control'!$C$5:$C$304,A28,'Shipment Control'!$J$5:$J$304))</f>
        <v/>
      </c>
      <c r="S28" s="20" t="str">
        <f t="shared" si="0"/>
        <v/>
      </c>
      <c r="T28" s="21" t="str">
        <f>IF('FGPO Master'!A22="","",'FGPO Master'!I22)</f>
        <v/>
      </c>
      <c r="U28" s="7" t="str">
        <f>IF(A28="","",IF(COUNTIF('Open Issues'!$D$5:$D$304,A28)&gt;0,"Yellow","Green"))</f>
        <v/>
      </c>
      <c r="V28" s="7" t="str">
        <f>IF('FGPO Master'!A22="","",'FGPO Master'!U22)</f>
        <v/>
      </c>
    </row>
    <row r="29" spans="1:22">
      <c r="A29" s="7" t="str">
        <f>IF('FGPO Master'!A23="","",IF('FGPO Master'!D23="FGPO Pending","FGPO Pending",'FGPO Master'!B23))</f>
        <v/>
      </c>
      <c r="B29" s="7" t="str">
        <f>IF('FGPO Master'!A23="","",'FGPO Master'!F23)</f>
        <v/>
      </c>
      <c r="C29" s="7" t="str">
        <f>IF('FGPO Master'!A23="","",'FGPO Master'!G23)</f>
        <v/>
      </c>
      <c r="D29" s="20" t="str">
        <f>IF('FGPO Master'!A23="","",'FGPO Master'!H23)</f>
        <v/>
      </c>
      <c r="E29" s="20" t="str">
        <f>IF(A29="","",IF(SUMIF('Fabric Inventory'!$C$5:$C$304,A29,'Fabric Inventory'!$O$5:$O$304)&gt;0,"Shortage",IF(SUMIF('Fabric Inventory'!$C$5:$C$304,A29,'Fabric Inventory'!$H$5:$H$304)&gt;0,"Approved","Pending")))</f>
        <v/>
      </c>
      <c r="F29" s="20" t="str">
        <f>IF(A29="","",IF(SUMIF('Trims Control'!$B$5:$B$304,A29,'Trims Control'!$R$5:$R$304)&gt;0,"Shortage",IF(COUNTIFS('Trims Control'!$B$5:$B$304,A29,'Trims Control'!$V$5:$V$304,"Ready")&gt;0,"Ready","Pending")))</f>
        <v/>
      </c>
      <c r="G29" s="20" t="str">
        <f>IF(A29="","",IFERROR(INDEX('PP Sample'!$V$5:$V$304,MATCH(A29,'PP Sample'!$B$5:$B$304,0)),"Pending"))</f>
        <v/>
      </c>
      <c r="H29" s="20" t="str">
        <f>IF(A29="","",IFERROR(INDEX('Production Readiness'!$S$5:$S$304,MATCH(A29,'Production Readiness'!$C$5:$C$304,0)),"Pending"))</f>
        <v/>
      </c>
      <c r="I29" s="20" t="str">
        <f>IF(A29="","",IFERROR(INDEX('Cutting Release'!$P$5:$P$304,MATCH(A29,'Cutting Release'!$C$5:$C$304,0)),"Pending"))</f>
        <v/>
      </c>
      <c r="J29" s="20" t="str">
        <f>IF(A29="","",SUMIF('Cutting Control'!$C$5:$C$304,A29,'Cutting Control'!$K$5:$K$304))</f>
        <v/>
      </c>
      <c r="K29" s="20" t="str">
        <f>IF(A29="","",IFERROR(INDEX('TOP Sample'!$W$5:$W$304,MATCH(A29,'TOP Sample'!$B$5:$B$304,0)),"Pending"))</f>
        <v/>
      </c>
      <c r="L29" s="20" t="str">
        <f>IF(A29="","",SUMIF('Sewing Production'!$E$5:$E$304,A29,'Sewing Production'!$L$5:$L$304))</f>
        <v/>
      </c>
      <c r="M29" s="20" t="str">
        <f>IF(A29="","",IFERROR(INDEX('Inline Quality'!$S$5:$S$304,MATCH(A29,'Inline Quality'!$E$5:$E$304,0)),"Pending"))</f>
        <v/>
      </c>
      <c r="N29" s="20" t="str">
        <f>IF(A29="","",IFERROR(INDEX('Final Inspection'!$U$5:$U$304,MATCH(A29,'Final Inspection'!$C$5:$C$304,0)),"Pending"))</f>
        <v/>
      </c>
      <c r="O29" s="20" t="str">
        <f>IF(A29="","",SUMIF('Packing Control'!$C$5:$C$304,A29,'Packing Control'!$K$5:$K$304))</f>
        <v/>
      </c>
      <c r="P29" s="20" t="str">
        <f>IF(A29="","",SUMIF('Finished Goods'!$C$5:$C$304,A29,'Finished Goods'!$J$5:$J$304))</f>
        <v/>
      </c>
      <c r="Q29" s="20" t="str">
        <f>IF(A29="","",SUMIF('Shipment Control'!$C$5:$C$304,A29,'Shipment Control'!$I$5:$I$304))</f>
        <v/>
      </c>
      <c r="R29" s="20" t="str">
        <f>IF(A29="","",SUMIF('Shipment Control'!$C$5:$C$304,A29,'Shipment Control'!$J$5:$J$304))</f>
        <v/>
      </c>
      <c r="S29" s="20" t="str">
        <f t="shared" si="0"/>
        <v/>
      </c>
      <c r="T29" s="21" t="str">
        <f>IF('FGPO Master'!A23="","",'FGPO Master'!I23)</f>
        <v/>
      </c>
      <c r="U29" s="7" t="str">
        <f>IF(A29="","",IF(COUNTIF('Open Issues'!$D$5:$D$304,A29)&gt;0,"Yellow","Green"))</f>
        <v/>
      </c>
      <c r="V29" s="7" t="str">
        <f>IF('FGPO Master'!A23="","",'FGPO Master'!U23)</f>
        <v/>
      </c>
    </row>
    <row r="30" spans="1:22">
      <c r="A30" s="7" t="str">
        <f>IF('FGPO Master'!A24="","",IF('FGPO Master'!D24="FGPO Pending","FGPO Pending",'FGPO Master'!B24))</f>
        <v/>
      </c>
      <c r="B30" s="7" t="str">
        <f>IF('FGPO Master'!A24="","",'FGPO Master'!F24)</f>
        <v/>
      </c>
      <c r="C30" s="7" t="str">
        <f>IF('FGPO Master'!A24="","",'FGPO Master'!G24)</f>
        <v/>
      </c>
      <c r="D30" s="20" t="str">
        <f>IF('FGPO Master'!A24="","",'FGPO Master'!H24)</f>
        <v/>
      </c>
      <c r="E30" s="20" t="str">
        <f>IF(A30="","",IF(SUMIF('Fabric Inventory'!$C$5:$C$304,A30,'Fabric Inventory'!$O$5:$O$304)&gt;0,"Shortage",IF(SUMIF('Fabric Inventory'!$C$5:$C$304,A30,'Fabric Inventory'!$H$5:$H$304)&gt;0,"Approved","Pending")))</f>
        <v/>
      </c>
      <c r="F30" s="20" t="str">
        <f>IF(A30="","",IF(SUMIF('Trims Control'!$B$5:$B$304,A30,'Trims Control'!$R$5:$R$304)&gt;0,"Shortage",IF(COUNTIFS('Trims Control'!$B$5:$B$304,A30,'Trims Control'!$V$5:$V$304,"Ready")&gt;0,"Ready","Pending")))</f>
        <v/>
      </c>
      <c r="G30" s="20" t="str">
        <f>IF(A30="","",IFERROR(INDEX('PP Sample'!$V$5:$V$304,MATCH(A30,'PP Sample'!$B$5:$B$304,0)),"Pending"))</f>
        <v/>
      </c>
      <c r="H30" s="20" t="str">
        <f>IF(A30="","",IFERROR(INDEX('Production Readiness'!$S$5:$S$304,MATCH(A30,'Production Readiness'!$C$5:$C$304,0)),"Pending"))</f>
        <v/>
      </c>
      <c r="I30" s="20" t="str">
        <f>IF(A30="","",IFERROR(INDEX('Cutting Release'!$P$5:$P$304,MATCH(A30,'Cutting Release'!$C$5:$C$304,0)),"Pending"))</f>
        <v/>
      </c>
      <c r="J30" s="20" t="str">
        <f>IF(A30="","",SUMIF('Cutting Control'!$C$5:$C$304,A30,'Cutting Control'!$K$5:$K$304))</f>
        <v/>
      </c>
      <c r="K30" s="20" t="str">
        <f>IF(A30="","",IFERROR(INDEX('TOP Sample'!$W$5:$W$304,MATCH(A30,'TOP Sample'!$B$5:$B$304,0)),"Pending"))</f>
        <v/>
      </c>
      <c r="L30" s="20" t="str">
        <f>IF(A30="","",SUMIF('Sewing Production'!$E$5:$E$304,A30,'Sewing Production'!$L$5:$L$304))</f>
        <v/>
      </c>
      <c r="M30" s="20" t="str">
        <f>IF(A30="","",IFERROR(INDEX('Inline Quality'!$S$5:$S$304,MATCH(A30,'Inline Quality'!$E$5:$E$304,0)),"Pending"))</f>
        <v/>
      </c>
      <c r="N30" s="20" t="str">
        <f>IF(A30="","",IFERROR(INDEX('Final Inspection'!$U$5:$U$304,MATCH(A30,'Final Inspection'!$C$5:$C$304,0)),"Pending"))</f>
        <v/>
      </c>
      <c r="O30" s="20" t="str">
        <f>IF(A30="","",SUMIF('Packing Control'!$C$5:$C$304,A30,'Packing Control'!$K$5:$K$304))</f>
        <v/>
      </c>
      <c r="P30" s="20" t="str">
        <f>IF(A30="","",SUMIF('Finished Goods'!$C$5:$C$304,A30,'Finished Goods'!$J$5:$J$304))</f>
        <v/>
      </c>
      <c r="Q30" s="20" t="str">
        <f>IF(A30="","",SUMIF('Shipment Control'!$C$5:$C$304,A30,'Shipment Control'!$I$5:$I$304))</f>
        <v/>
      </c>
      <c r="R30" s="20" t="str">
        <f>IF(A30="","",SUMIF('Shipment Control'!$C$5:$C$304,A30,'Shipment Control'!$J$5:$J$304))</f>
        <v/>
      </c>
      <c r="S30" s="20" t="str">
        <f t="shared" si="0"/>
        <v/>
      </c>
      <c r="T30" s="21" t="str">
        <f>IF('FGPO Master'!A24="","",'FGPO Master'!I24)</f>
        <v/>
      </c>
      <c r="U30" s="7" t="str">
        <f>IF(A30="","",IF(COUNTIF('Open Issues'!$D$5:$D$304,A30)&gt;0,"Yellow","Green"))</f>
        <v/>
      </c>
      <c r="V30" s="7" t="str">
        <f>IF('FGPO Master'!A24="","",'FGPO Master'!U24)</f>
        <v/>
      </c>
    </row>
    <row r="31" spans="1:22">
      <c r="A31" s="7" t="str">
        <f>IF('FGPO Master'!A25="","",IF('FGPO Master'!D25="FGPO Pending","FGPO Pending",'FGPO Master'!B25))</f>
        <v/>
      </c>
      <c r="B31" s="7" t="str">
        <f>IF('FGPO Master'!A25="","",'FGPO Master'!F25)</f>
        <v/>
      </c>
      <c r="C31" s="7" t="str">
        <f>IF('FGPO Master'!A25="","",'FGPO Master'!G25)</f>
        <v/>
      </c>
      <c r="D31" s="20" t="str">
        <f>IF('FGPO Master'!A25="","",'FGPO Master'!H25)</f>
        <v/>
      </c>
      <c r="E31" s="20" t="str">
        <f>IF(A31="","",IF(SUMIF('Fabric Inventory'!$C$5:$C$304,A31,'Fabric Inventory'!$O$5:$O$304)&gt;0,"Shortage",IF(SUMIF('Fabric Inventory'!$C$5:$C$304,A31,'Fabric Inventory'!$H$5:$H$304)&gt;0,"Approved","Pending")))</f>
        <v/>
      </c>
      <c r="F31" s="20" t="str">
        <f>IF(A31="","",IF(SUMIF('Trims Control'!$B$5:$B$304,A31,'Trims Control'!$R$5:$R$304)&gt;0,"Shortage",IF(COUNTIFS('Trims Control'!$B$5:$B$304,A31,'Trims Control'!$V$5:$V$304,"Ready")&gt;0,"Ready","Pending")))</f>
        <v/>
      </c>
      <c r="G31" s="20" t="str">
        <f>IF(A31="","",IFERROR(INDEX('PP Sample'!$V$5:$V$304,MATCH(A31,'PP Sample'!$B$5:$B$304,0)),"Pending"))</f>
        <v/>
      </c>
      <c r="H31" s="20" t="str">
        <f>IF(A31="","",IFERROR(INDEX('Production Readiness'!$S$5:$S$304,MATCH(A31,'Production Readiness'!$C$5:$C$304,0)),"Pending"))</f>
        <v/>
      </c>
      <c r="I31" s="20" t="str">
        <f>IF(A31="","",IFERROR(INDEX('Cutting Release'!$P$5:$P$304,MATCH(A31,'Cutting Release'!$C$5:$C$304,0)),"Pending"))</f>
        <v/>
      </c>
      <c r="J31" s="20" t="str">
        <f>IF(A31="","",SUMIF('Cutting Control'!$C$5:$C$304,A31,'Cutting Control'!$K$5:$K$304))</f>
        <v/>
      </c>
      <c r="K31" s="20" t="str">
        <f>IF(A31="","",IFERROR(INDEX('TOP Sample'!$W$5:$W$304,MATCH(A31,'TOP Sample'!$B$5:$B$304,0)),"Pending"))</f>
        <v/>
      </c>
      <c r="L31" s="20" t="str">
        <f>IF(A31="","",SUMIF('Sewing Production'!$E$5:$E$304,A31,'Sewing Production'!$L$5:$L$304))</f>
        <v/>
      </c>
      <c r="M31" s="20" t="str">
        <f>IF(A31="","",IFERROR(INDEX('Inline Quality'!$S$5:$S$304,MATCH(A31,'Inline Quality'!$E$5:$E$304,0)),"Pending"))</f>
        <v/>
      </c>
      <c r="N31" s="20" t="str">
        <f>IF(A31="","",IFERROR(INDEX('Final Inspection'!$U$5:$U$304,MATCH(A31,'Final Inspection'!$C$5:$C$304,0)),"Pending"))</f>
        <v/>
      </c>
      <c r="O31" s="20" t="str">
        <f>IF(A31="","",SUMIF('Packing Control'!$C$5:$C$304,A31,'Packing Control'!$K$5:$K$304))</f>
        <v/>
      </c>
      <c r="P31" s="20" t="str">
        <f>IF(A31="","",SUMIF('Finished Goods'!$C$5:$C$304,A31,'Finished Goods'!$J$5:$J$304))</f>
        <v/>
      </c>
      <c r="Q31" s="20" t="str">
        <f>IF(A31="","",SUMIF('Shipment Control'!$C$5:$C$304,A31,'Shipment Control'!$I$5:$I$304))</f>
        <v/>
      </c>
      <c r="R31" s="20" t="str">
        <f>IF(A31="","",SUMIF('Shipment Control'!$C$5:$C$304,A31,'Shipment Control'!$J$5:$J$304))</f>
        <v/>
      </c>
      <c r="S31" s="20" t="str">
        <f t="shared" si="0"/>
        <v/>
      </c>
      <c r="T31" s="21" t="str">
        <f>IF('FGPO Master'!A25="","",'FGPO Master'!I25)</f>
        <v/>
      </c>
      <c r="U31" s="7" t="str">
        <f>IF(A31="","",IF(COUNTIF('Open Issues'!$D$5:$D$304,A31)&gt;0,"Yellow","Green"))</f>
        <v/>
      </c>
      <c r="V31" s="7" t="str">
        <f>IF('FGPO Master'!A25="","",'FGPO Master'!U25)</f>
        <v/>
      </c>
    </row>
    <row r="32" spans="1:22">
      <c r="A32" s="7" t="str">
        <f>IF('FGPO Master'!A26="","",IF('FGPO Master'!D26="FGPO Pending","FGPO Pending",'FGPO Master'!B26))</f>
        <v/>
      </c>
      <c r="B32" s="7" t="str">
        <f>IF('FGPO Master'!A26="","",'FGPO Master'!F26)</f>
        <v/>
      </c>
      <c r="C32" s="7" t="str">
        <f>IF('FGPO Master'!A26="","",'FGPO Master'!G26)</f>
        <v/>
      </c>
      <c r="D32" s="20" t="str">
        <f>IF('FGPO Master'!A26="","",'FGPO Master'!H26)</f>
        <v/>
      </c>
      <c r="E32" s="20" t="str">
        <f>IF(A32="","",IF(SUMIF('Fabric Inventory'!$C$5:$C$304,A32,'Fabric Inventory'!$O$5:$O$304)&gt;0,"Shortage",IF(SUMIF('Fabric Inventory'!$C$5:$C$304,A32,'Fabric Inventory'!$H$5:$H$304)&gt;0,"Approved","Pending")))</f>
        <v/>
      </c>
      <c r="F32" s="20" t="str">
        <f>IF(A32="","",IF(SUMIF('Trims Control'!$B$5:$B$304,A32,'Trims Control'!$R$5:$R$304)&gt;0,"Shortage",IF(COUNTIFS('Trims Control'!$B$5:$B$304,A32,'Trims Control'!$V$5:$V$304,"Ready")&gt;0,"Ready","Pending")))</f>
        <v/>
      </c>
      <c r="G32" s="20" t="str">
        <f>IF(A32="","",IFERROR(INDEX('PP Sample'!$V$5:$V$304,MATCH(A32,'PP Sample'!$B$5:$B$304,0)),"Pending"))</f>
        <v/>
      </c>
      <c r="H32" s="20" t="str">
        <f>IF(A32="","",IFERROR(INDEX('Production Readiness'!$S$5:$S$304,MATCH(A32,'Production Readiness'!$C$5:$C$304,0)),"Pending"))</f>
        <v/>
      </c>
      <c r="I32" s="20" t="str">
        <f>IF(A32="","",IFERROR(INDEX('Cutting Release'!$P$5:$P$304,MATCH(A32,'Cutting Release'!$C$5:$C$304,0)),"Pending"))</f>
        <v/>
      </c>
      <c r="J32" s="20" t="str">
        <f>IF(A32="","",SUMIF('Cutting Control'!$C$5:$C$304,A32,'Cutting Control'!$K$5:$K$304))</f>
        <v/>
      </c>
      <c r="K32" s="20" t="str">
        <f>IF(A32="","",IFERROR(INDEX('TOP Sample'!$W$5:$W$304,MATCH(A32,'TOP Sample'!$B$5:$B$304,0)),"Pending"))</f>
        <v/>
      </c>
      <c r="L32" s="20" t="str">
        <f>IF(A32="","",SUMIF('Sewing Production'!$E$5:$E$304,A32,'Sewing Production'!$L$5:$L$304))</f>
        <v/>
      </c>
      <c r="M32" s="20" t="str">
        <f>IF(A32="","",IFERROR(INDEX('Inline Quality'!$S$5:$S$304,MATCH(A32,'Inline Quality'!$E$5:$E$304,0)),"Pending"))</f>
        <v/>
      </c>
      <c r="N32" s="20" t="str">
        <f>IF(A32="","",IFERROR(INDEX('Final Inspection'!$U$5:$U$304,MATCH(A32,'Final Inspection'!$C$5:$C$304,0)),"Pending"))</f>
        <v/>
      </c>
      <c r="O32" s="20" t="str">
        <f>IF(A32="","",SUMIF('Packing Control'!$C$5:$C$304,A32,'Packing Control'!$K$5:$K$304))</f>
        <v/>
      </c>
      <c r="P32" s="20" t="str">
        <f>IF(A32="","",SUMIF('Finished Goods'!$C$5:$C$304,A32,'Finished Goods'!$J$5:$J$304))</f>
        <v/>
      </c>
      <c r="Q32" s="20" t="str">
        <f>IF(A32="","",SUMIF('Shipment Control'!$C$5:$C$304,A32,'Shipment Control'!$I$5:$I$304))</f>
        <v/>
      </c>
      <c r="R32" s="20" t="str">
        <f>IF(A32="","",SUMIF('Shipment Control'!$C$5:$C$304,A32,'Shipment Control'!$J$5:$J$304))</f>
        <v/>
      </c>
      <c r="S32" s="20" t="str">
        <f t="shared" si="0"/>
        <v/>
      </c>
      <c r="T32" s="21" t="str">
        <f>IF('FGPO Master'!A26="","",'FGPO Master'!I26)</f>
        <v/>
      </c>
      <c r="U32" s="7" t="str">
        <f>IF(A32="","",IF(COUNTIF('Open Issues'!$D$5:$D$304,A32)&gt;0,"Yellow","Green"))</f>
        <v/>
      </c>
      <c r="V32" s="7" t="str">
        <f>IF('FGPO Master'!A26="","",'FGPO Master'!U26)</f>
        <v/>
      </c>
    </row>
    <row r="33" spans="1:22">
      <c r="A33" s="7" t="str">
        <f>IF('FGPO Master'!A27="","",IF('FGPO Master'!D27="FGPO Pending","FGPO Pending",'FGPO Master'!B27))</f>
        <v/>
      </c>
      <c r="B33" s="7" t="str">
        <f>IF('FGPO Master'!A27="","",'FGPO Master'!F27)</f>
        <v/>
      </c>
      <c r="C33" s="7" t="str">
        <f>IF('FGPO Master'!A27="","",'FGPO Master'!G27)</f>
        <v/>
      </c>
      <c r="D33" s="20" t="str">
        <f>IF('FGPO Master'!A27="","",'FGPO Master'!H27)</f>
        <v/>
      </c>
      <c r="E33" s="20" t="str">
        <f>IF(A33="","",IF(SUMIF('Fabric Inventory'!$C$5:$C$304,A33,'Fabric Inventory'!$O$5:$O$304)&gt;0,"Shortage",IF(SUMIF('Fabric Inventory'!$C$5:$C$304,A33,'Fabric Inventory'!$H$5:$H$304)&gt;0,"Approved","Pending")))</f>
        <v/>
      </c>
      <c r="F33" s="20" t="str">
        <f>IF(A33="","",IF(SUMIF('Trims Control'!$B$5:$B$304,A33,'Trims Control'!$R$5:$R$304)&gt;0,"Shortage",IF(COUNTIFS('Trims Control'!$B$5:$B$304,A33,'Trims Control'!$V$5:$V$304,"Ready")&gt;0,"Ready","Pending")))</f>
        <v/>
      </c>
      <c r="G33" s="20" t="str">
        <f>IF(A33="","",IFERROR(INDEX('PP Sample'!$V$5:$V$304,MATCH(A33,'PP Sample'!$B$5:$B$304,0)),"Pending"))</f>
        <v/>
      </c>
      <c r="H33" s="20" t="str">
        <f>IF(A33="","",IFERROR(INDEX('Production Readiness'!$S$5:$S$304,MATCH(A33,'Production Readiness'!$C$5:$C$304,0)),"Pending"))</f>
        <v/>
      </c>
      <c r="I33" s="20" t="str">
        <f>IF(A33="","",IFERROR(INDEX('Cutting Release'!$P$5:$P$304,MATCH(A33,'Cutting Release'!$C$5:$C$304,0)),"Pending"))</f>
        <v/>
      </c>
      <c r="J33" s="20" t="str">
        <f>IF(A33="","",SUMIF('Cutting Control'!$C$5:$C$304,A33,'Cutting Control'!$K$5:$K$304))</f>
        <v/>
      </c>
      <c r="K33" s="20" t="str">
        <f>IF(A33="","",IFERROR(INDEX('TOP Sample'!$W$5:$W$304,MATCH(A33,'TOP Sample'!$B$5:$B$304,0)),"Pending"))</f>
        <v/>
      </c>
      <c r="L33" s="20" t="str">
        <f>IF(A33="","",SUMIF('Sewing Production'!$E$5:$E$304,A33,'Sewing Production'!$L$5:$L$304))</f>
        <v/>
      </c>
      <c r="M33" s="20" t="str">
        <f>IF(A33="","",IFERROR(INDEX('Inline Quality'!$S$5:$S$304,MATCH(A33,'Inline Quality'!$E$5:$E$304,0)),"Pending"))</f>
        <v/>
      </c>
      <c r="N33" s="20" t="str">
        <f>IF(A33="","",IFERROR(INDEX('Final Inspection'!$U$5:$U$304,MATCH(A33,'Final Inspection'!$C$5:$C$304,0)),"Pending"))</f>
        <v/>
      </c>
      <c r="O33" s="20" t="str">
        <f>IF(A33="","",SUMIF('Packing Control'!$C$5:$C$304,A33,'Packing Control'!$K$5:$K$304))</f>
        <v/>
      </c>
      <c r="P33" s="20" t="str">
        <f>IF(A33="","",SUMIF('Finished Goods'!$C$5:$C$304,A33,'Finished Goods'!$J$5:$J$304))</f>
        <v/>
      </c>
      <c r="Q33" s="20" t="str">
        <f>IF(A33="","",SUMIF('Shipment Control'!$C$5:$C$304,A33,'Shipment Control'!$I$5:$I$304))</f>
        <v/>
      </c>
      <c r="R33" s="20" t="str">
        <f>IF(A33="","",SUMIF('Shipment Control'!$C$5:$C$304,A33,'Shipment Control'!$J$5:$J$304))</f>
        <v/>
      </c>
      <c r="S33" s="20" t="str">
        <f t="shared" si="0"/>
        <v/>
      </c>
      <c r="T33" s="21" t="str">
        <f>IF('FGPO Master'!A27="","",'FGPO Master'!I27)</f>
        <v/>
      </c>
      <c r="U33" s="7" t="str">
        <f>IF(A33="","",IF(COUNTIF('Open Issues'!$D$5:$D$304,A33)&gt;0,"Yellow","Green"))</f>
        <v/>
      </c>
      <c r="V33" s="7" t="str">
        <f>IF('FGPO Master'!A27="","",'FGPO Master'!U27)</f>
        <v/>
      </c>
    </row>
    <row r="34" spans="1:22">
      <c r="A34" s="7" t="str">
        <f>IF('FGPO Master'!A28="","",IF('FGPO Master'!D28="FGPO Pending","FGPO Pending",'FGPO Master'!B28))</f>
        <v/>
      </c>
      <c r="B34" s="7" t="str">
        <f>IF('FGPO Master'!A28="","",'FGPO Master'!F28)</f>
        <v/>
      </c>
      <c r="C34" s="7" t="str">
        <f>IF('FGPO Master'!A28="","",'FGPO Master'!G28)</f>
        <v/>
      </c>
      <c r="D34" s="20" t="str">
        <f>IF('FGPO Master'!A28="","",'FGPO Master'!H28)</f>
        <v/>
      </c>
      <c r="E34" s="20" t="str">
        <f>IF(A34="","",IF(SUMIF('Fabric Inventory'!$C$5:$C$304,A34,'Fabric Inventory'!$O$5:$O$304)&gt;0,"Shortage",IF(SUMIF('Fabric Inventory'!$C$5:$C$304,A34,'Fabric Inventory'!$H$5:$H$304)&gt;0,"Approved","Pending")))</f>
        <v/>
      </c>
      <c r="F34" s="20" t="str">
        <f>IF(A34="","",IF(SUMIF('Trims Control'!$B$5:$B$304,A34,'Trims Control'!$R$5:$R$304)&gt;0,"Shortage",IF(COUNTIFS('Trims Control'!$B$5:$B$304,A34,'Trims Control'!$V$5:$V$304,"Ready")&gt;0,"Ready","Pending")))</f>
        <v/>
      </c>
      <c r="G34" s="20" t="str">
        <f>IF(A34="","",IFERROR(INDEX('PP Sample'!$V$5:$V$304,MATCH(A34,'PP Sample'!$B$5:$B$304,0)),"Pending"))</f>
        <v/>
      </c>
      <c r="H34" s="20" t="str">
        <f>IF(A34="","",IFERROR(INDEX('Production Readiness'!$S$5:$S$304,MATCH(A34,'Production Readiness'!$C$5:$C$304,0)),"Pending"))</f>
        <v/>
      </c>
      <c r="I34" s="20" t="str">
        <f>IF(A34="","",IFERROR(INDEX('Cutting Release'!$P$5:$P$304,MATCH(A34,'Cutting Release'!$C$5:$C$304,0)),"Pending"))</f>
        <v/>
      </c>
      <c r="J34" s="20" t="str">
        <f>IF(A34="","",SUMIF('Cutting Control'!$C$5:$C$304,A34,'Cutting Control'!$K$5:$K$304))</f>
        <v/>
      </c>
      <c r="K34" s="20" t="str">
        <f>IF(A34="","",IFERROR(INDEX('TOP Sample'!$W$5:$W$304,MATCH(A34,'TOP Sample'!$B$5:$B$304,0)),"Pending"))</f>
        <v/>
      </c>
      <c r="L34" s="20" t="str">
        <f>IF(A34="","",SUMIF('Sewing Production'!$E$5:$E$304,A34,'Sewing Production'!$L$5:$L$304))</f>
        <v/>
      </c>
      <c r="M34" s="20" t="str">
        <f>IF(A34="","",IFERROR(INDEX('Inline Quality'!$S$5:$S$304,MATCH(A34,'Inline Quality'!$E$5:$E$304,0)),"Pending"))</f>
        <v/>
      </c>
      <c r="N34" s="20" t="str">
        <f>IF(A34="","",IFERROR(INDEX('Final Inspection'!$U$5:$U$304,MATCH(A34,'Final Inspection'!$C$5:$C$304,0)),"Pending"))</f>
        <v/>
      </c>
      <c r="O34" s="20" t="str">
        <f>IF(A34="","",SUMIF('Packing Control'!$C$5:$C$304,A34,'Packing Control'!$K$5:$K$304))</f>
        <v/>
      </c>
      <c r="P34" s="20" t="str">
        <f>IF(A34="","",SUMIF('Finished Goods'!$C$5:$C$304,A34,'Finished Goods'!$J$5:$J$304))</f>
        <v/>
      </c>
      <c r="Q34" s="20" t="str">
        <f>IF(A34="","",SUMIF('Shipment Control'!$C$5:$C$304,A34,'Shipment Control'!$I$5:$I$304))</f>
        <v/>
      </c>
      <c r="R34" s="20" t="str">
        <f>IF(A34="","",SUMIF('Shipment Control'!$C$5:$C$304,A34,'Shipment Control'!$J$5:$J$304))</f>
        <v/>
      </c>
      <c r="S34" s="20" t="str">
        <f t="shared" si="0"/>
        <v/>
      </c>
      <c r="T34" s="21" t="str">
        <f>IF('FGPO Master'!A28="","",'FGPO Master'!I28)</f>
        <v/>
      </c>
      <c r="U34" s="7" t="str">
        <f>IF(A34="","",IF(COUNTIF('Open Issues'!$D$5:$D$304,A34)&gt;0,"Yellow","Green"))</f>
        <v/>
      </c>
      <c r="V34" s="7" t="str">
        <f>IF('FGPO Master'!A28="","",'FGPO Master'!U28)</f>
        <v/>
      </c>
    </row>
    <row r="35" spans="1:22">
      <c r="A35" s="7" t="str">
        <f>IF('FGPO Master'!A29="","",IF('FGPO Master'!D29="FGPO Pending","FGPO Pending",'FGPO Master'!B29))</f>
        <v/>
      </c>
      <c r="B35" s="7" t="str">
        <f>IF('FGPO Master'!A29="","",'FGPO Master'!F29)</f>
        <v/>
      </c>
      <c r="C35" s="7" t="str">
        <f>IF('FGPO Master'!A29="","",'FGPO Master'!G29)</f>
        <v/>
      </c>
      <c r="D35" s="20" t="str">
        <f>IF('FGPO Master'!A29="","",'FGPO Master'!H29)</f>
        <v/>
      </c>
      <c r="E35" s="20" t="str">
        <f>IF(A35="","",IF(SUMIF('Fabric Inventory'!$C$5:$C$304,A35,'Fabric Inventory'!$O$5:$O$304)&gt;0,"Shortage",IF(SUMIF('Fabric Inventory'!$C$5:$C$304,A35,'Fabric Inventory'!$H$5:$H$304)&gt;0,"Approved","Pending")))</f>
        <v/>
      </c>
      <c r="F35" s="20" t="str">
        <f>IF(A35="","",IF(SUMIF('Trims Control'!$B$5:$B$304,A35,'Trims Control'!$R$5:$R$304)&gt;0,"Shortage",IF(COUNTIFS('Trims Control'!$B$5:$B$304,A35,'Trims Control'!$V$5:$V$304,"Ready")&gt;0,"Ready","Pending")))</f>
        <v/>
      </c>
      <c r="G35" s="20" t="str">
        <f>IF(A35="","",IFERROR(INDEX('PP Sample'!$V$5:$V$304,MATCH(A35,'PP Sample'!$B$5:$B$304,0)),"Pending"))</f>
        <v/>
      </c>
      <c r="H35" s="20" t="str">
        <f>IF(A35="","",IFERROR(INDEX('Production Readiness'!$S$5:$S$304,MATCH(A35,'Production Readiness'!$C$5:$C$304,0)),"Pending"))</f>
        <v/>
      </c>
      <c r="I35" s="20" t="str">
        <f>IF(A35="","",IFERROR(INDEX('Cutting Release'!$P$5:$P$304,MATCH(A35,'Cutting Release'!$C$5:$C$304,0)),"Pending"))</f>
        <v/>
      </c>
      <c r="J35" s="20" t="str">
        <f>IF(A35="","",SUMIF('Cutting Control'!$C$5:$C$304,A35,'Cutting Control'!$K$5:$K$304))</f>
        <v/>
      </c>
      <c r="K35" s="20" t="str">
        <f>IF(A35="","",IFERROR(INDEX('TOP Sample'!$W$5:$W$304,MATCH(A35,'TOP Sample'!$B$5:$B$304,0)),"Pending"))</f>
        <v/>
      </c>
      <c r="L35" s="20" t="str">
        <f>IF(A35="","",SUMIF('Sewing Production'!$E$5:$E$304,A35,'Sewing Production'!$L$5:$L$304))</f>
        <v/>
      </c>
      <c r="M35" s="20" t="str">
        <f>IF(A35="","",IFERROR(INDEX('Inline Quality'!$S$5:$S$304,MATCH(A35,'Inline Quality'!$E$5:$E$304,0)),"Pending"))</f>
        <v/>
      </c>
      <c r="N35" s="20" t="str">
        <f>IF(A35="","",IFERROR(INDEX('Final Inspection'!$U$5:$U$304,MATCH(A35,'Final Inspection'!$C$5:$C$304,0)),"Pending"))</f>
        <v/>
      </c>
      <c r="O35" s="20" t="str">
        <f>IF(A35="","",SUMIF('Packing Control'!$C$5:$C$304,A35,'Packing Control'!$K$5:$K$304))</f>
        <v/>
      </c>
      <c r="P35" s="20" t="str">
        <f>IF(A35="","",SUMIF('Finished Goods'!$C$5:$C$304,A35,'Finished Goods'!$J$5:$J$304))</f>
        <v/>
      </c>
      <c r="Q35" s="20" t="str">
        <f>IF(A35="","",SUMIF('Shipment Control'!$C$5:$C$304,A35,'Shipment Control'!$I$5:$I$304))</f>
        <v/>
      </c>
      <c r="R35" s="20" t="str">
        <f>IF(A35="","",SUMIF('Shipment Control'!$C$5:$C$304,A35,'Shipment Control'!$J$5:$J$304))</f>
        <v/>
      </c>
      <c r="S35" s="20" t="str">
        <f t="shared" si="0"/>
        <v/>
      </c>
      <c r="T35" s="21" t="str">
        <f>IF('FGPO Master'!A29="","",'FGPO Master'!I29)</f>
        <v/>
      </c>
      <c r="U35" s="7" t="str">
        <f>IF(A35="","",IF(COUNTIF('Open Issues'!$D$5:$D$304,A35)&gt;0,"Yellow","Green"))</f>
        <v/>
      </c>
      <c r="V35" s="7" t="str">
        <f>IF('FGPO Master'!A29="","",'FGPO Master'!U29)</f>
        <v/>
      </c>
    </row>
    <row r="36" spans="1:22">
      <c r="A36" s="7" t="str">
        <f>IF('FGPO Master'!A30="","",IF('FGPO Master'!D30="FGPO Pending","FGPO Pending",'FGPO Master'!B30))</f>
        <v/>
      </c>
      <c r="B36" s="7" t="str">
        <f>IF('FGPO Master'!A30="","",'FGPO Master'!F30)</f>
        <v/>
      </c>
      <c r="C36" s="7" t="str">
        <f>IF('FGPO Master'!A30="","",'FGPO Master'!G30)</f>
        <v/>
      </c>
      <c r="D36" s="20" t="str">
        <f>IF('FGPO Master'!A30="","",'FGPO Master'!H30)</f>
        <v/>
      </c>
      <c r="E36" s="20" t="str">
        <f>IF(A36="","",IF(SUMIF('Fabric Inventory'!$C$5:$C$304,A36,'Fabric Inventory'!$O$5:$O$304)&gt;0,"Shortage",IF(SUMIF('Fabric Inventory'!$C$5:$C$304,A36,'Fabric Inventory'!$H$5:$H$304)&gt;0,"Approved","Pending")))</f>
        <v/>
      </c>
      <c r="F36" s="20" t="str">
        <f>IF(A36="","",IF(SUMIF('Trims Control'!$B$5:$B$304,A36,'Trims Control'!$R$5:$R$304)&gt;0,"Shortage",IF(COUNTIFS('Trims Control'!$B$5:$B$304,A36,'Trims Control'!$V$5:$V$304,"Ready")&gt;0,"Ready","Pending")))</f>
        <v/>
      </c>
      <c r="G36" s="20" t="str">
        <f>IF(A36="","",IFERROR(INDEX('PP Sample'!$V$5:$V$304,MATCH(A36,'PP Sample'!$B$5:$B$304,0)),"Pending"))</f>
        <v/>
      </c>
      <c r="H36" s="20" t="str">
        <f>IF(A36="","",IFERROR(INDEX('Production Readiness'!$S$5:$S$304,MATCH(A36,'Production Readiness'!$C$5:$C$304,0)),"Pending"))</f>
        <v/>
      </c>
      <c r="I36" s="20" t="str">
        <f>IF(A36="","",IFERROR(INDEX('Cutting Release'!$P$5:$P$304,MATCH(A36,'Cutting Release'!$C$5:$C$304,0)),"Pending"))</f>
        <v/>
      </c>
      <c r="J36" s="20" t="str">
        <f>IF(A36="","",SUMIF('Cutting Control'!$C$5:$C$304,A36,'Cutting Control'!$K$5:$K$304))</f>
        <v/>
      </c>
      <c r="K36" s="20" t="str">
        <f>IF(A36="","",IFERROR(INDEX('TOP Sample'!$W$5:$W$304,MATCH(A36,'TOP Sample'!$B$5:$B$304,0)),"Pending"))</f>
        <v/>
      </c>
      <c r="L36" s="20" t="str">
        <f>IF(A36="","",SUMIF('Sewing Production'!$E$5:$E$304,A36,'Sewing Production'!$L$5:$L$304))</f>
        <v/>
      </c>
      <c r="M36" s="20" t="str">
        <f>IF(A36="","",IFERROR(INDEX('Inline Quality'!$S$5:$S$304,MATCH(A36,'Inline Quality'!$E$5:$E$304,0)),"Pending"))</f>
        <v/>
      </c>
      <c r="N36" s="20" t="str">
        <f>IF(A36="","",IFERROR(INDEX('Final Inspection'!$U$5:$U$304,MATCH(A36,'Final Inspection'!$C$5:$C$304,0)),"Pending"))</f>
        <v/>
      </c>
      <c r="O36" s="20" t="str">
        <f>IF(A36="","",SUMIF('Packing Control'!$C$5:$C$304,A36,'Packing Control'!$K$5:$K$304))</f>
        <v/>
      </c>
      <c r="P36" s="20" t="str">
        <f>IF(A36="","",SUMIF('Finished Goods'!$C$5:$C$304,A36,'Finished Goods'!$J$5:$J$304))</f>
        <v/>
      </c>
      <c r="Q36" s="20" t="str">
        <f>IF(A36="","",SUMIF('Shipment Control'!$C$5:$C$304,A36,'Shipment Control'!$I$5:$I$304))</f>
        <v/>
      </c>
      <c r="R36" s="20" t="str">
        <f>IF(A36="","",SUMIF('Shipment Control'!$C$5:$C$304,A36,'Shipment Control'!$J$5:$J$304))</f>
        <v/>
      </c>
      <c r="S36" s="20" t="str">
        <f t="shared" si="0"/>
        <v/>
      </c>
      <c r="T36" s="21" t="str">
        <f>IF('FGPO Master'!A30="","",'FGPO Master'!I30)</f>
        <v/>
      </c>
      <c r="U36" s="7" t="str">
        <f>IF(A36="","",IF(COUNTIF('Open Issues'!$D$5:$D$304,A36)&gt;0,"Yellow","Green"))</f>
        <v/>
      </c>
      <c r="V36" s="7" t="str">
        <f>IF('FGPO Master'!A30="","",'FGPO Master'!U30)</f>
        <v/>
      </c>
    </row>
    <row r="37" spans="1:22">
      <c r="A37" s="7" t="str">
        <f>IF('FGPO Master'!A31="","",IF('FGPO Master'!D31="FGPO Pending","FGPO Pending",'FGPO Master'!B31))</f>
        <v/>
      </c>
      <c r="B37" s="7" t="str">
        <f>IF('FGPO Master'!A31="","",'FGPO Master'!F31)</f>
        <v/>
      </c>
      <c r="C37" s="7" t="str">
        <f>IF('FGPO Master'!A31="","",'FGPO Master'!G31)</f>
        <v/>
      </c>
      <c r="D37" s="20" t="str">
        <f>IF('FGPO Master'!A31="","",'FGPO Master'!H31)</f>
        <v/>
      </c>
      <c r="E37" s="20" t="str">
        <f>IF(A37="","",IF(SUMIF('Fabric Inventory'!$C$5:$C$304,A37,'Fabric Inventory'!$O$5:$O$304)&gt;0,"Shortage",IF(SUMIF('Fabric Inventory'!$C$5:$C$304,A37,'Fabric Inventory'!$H$5:$H$304)&gt;0,"Approved","Pending")))</f>
        <v/>
      </c>
      <c r="F37" s="20" t="str">
        <f>IF(A37="","",IF(SUMIF('Trims Control'!$B$5:$B$304,A37,'Trims Control'!$R$5:$R$304)&gt;0,"Shortage",IF(COUNTIFS('Trims Control'!$B$5:$B$304,A37,'Trims Control'!$V$5:$V$304,"Ready")&gt;0,"Ready","Pending")))</f>
        <v/>
      </c>
      <c r="G37" s="20" t="str">
        <f>IF(A37="","",IFERROR(INDEX('PP Sample'!$V$5:$V$304,MATCH(A37,'PP Sample'!$B$5:$B$304,0)),"Pending"))</f>
        <v/>
      </c>
      <c r="H37" s="20" t="str">
        <f>IF(A37="","",IFERROR(INDEX('Production Readiness'!$S$5:$S$304,MATCH(A37,'Production Readiness'!$C$5:$C$304,0)),"Pending"))</f>
        <v/>
      </c>
      <c r="I37" s="20" t="str">
        <f>IF(A37="","",IFERROR(INDEX('Cutting Release'!$P$5:$P$304,MATCH(A37,'Cutting Release'!$C$5:$C$304,0)),"Pending"))</f>
        <v/>
      </c>
      <c r="J37" s="20" t="str">
        <f>IF(A37="","",SUMIF('Cutting Control'!$C$5:$C$304,A37,'Cutting Control'!$K$5:$K$304))</f>
        <v/>
      </c>
      <c r="K37" s="20" t="str">
        <f>IF(A37="","",IFERROR(INDEX('TOP Sample'!$W$5:$W$304,MATCH(A37,'TOP Sample'!$B$5:$B$304,0)),"Pending"))</f>
        <v/>
      </c>
      <c r="L37" s="20" t="str">
        <f>IF(A37="","",SUMIF('Sewing Production'!$E$5:$E$304,A37,'Sewing Production'!$L$5:$L$304))</f>
        <v/>
      </c>
      <c r="M37" s="20" t="str">
        <f>IF(A37="","",IFERROR(INDEX('Inline Quality'!$S$5:$S$304,MATCH(A37,'Inline Quality'!$E$5:$E$304,0)),"Pending"))</f>
        <v/>
      </c>
      <c r="N37" s="20" t="str">
        <f>IF(A37="","",IFERROR(INDEX('Final Inspection'!$U$5:$U$304,MATCH(A37,'Final Inspection'!$C$5:$C$304,0)),"Pending"))</f>
        <v/>
      </c>
      <c r="O37" s="20" t="str">
        <f>IF(A37="","",SUMIF('Packing Control'!$C$5:$C$304,A37,'Packing Control'!$K$5:$K$304))</f>
        <v/>
      </c>
      <c r="P37" s="20" t="str">
        <f>IF(A37="","",SUMIF('Finished Goods'!$C$5:$C$304,A37,'Finished Goods'!$J$5:$J$304))</f>
        <v/>
      </c>
      <c r="Q37" s="20" t="str">
        <f>IF(A37="","",SUMIF('Shipment Control'!$C$5:$C$304,A37,'Shipment Control'!$I$5:$I$304))</f>
        <v/>
      </c>
      <c r="R37" s="20" t="str">
        <f>IF(A37="","",SUMIF('Shipment Control'!$C$5:$C$304,A37,'Shipment Control'!$J$5:$J$304))</f>
        <v/>
      </c>
      <c r="S37" s="20" t="str">
        <f t="shared" si="0"/>
        <v/>
      </c>
      <c r="T37" s="21" t="str">
        <f>IF('FGPO Master'!A31="","",'FGPO Master'!I31)</f>
        <v/>
      </c>
      <c r="U37" s="7" t="str">
        <f>IF(A37="","",IF(COUNTIF('Open Issues'!$D$5:$D$304,A37)&gt;0,"Yellow","Green"))</f>
        <v/>
      </c>
      <c r="V37" s="7" t="str">
        <f>IF('FGPO Master'!A31="","",'FGPO Master'!U31)</f>
        <v/>
      </c>
    </row>
    <row r="38" spans="1:22">
      <c r="A38" s="7" t="str">
        <f>IF('FGPO Master'!A32="","",IF('FGPO Master'!D32="FGPO Pending","FGPO Pending",'FGPO Master'!B32))</f>
        <v/>
      </c>
      <c r="B38" s="7" t="str">
        <f>IF('FGPO Master'!A32="","",'FGPO Master'!F32)</f>
        <v/>
      </c>
      <c r="C38" s="7" t="str">
        <f>IF('FGPO Master'!A32="","",'FGPO Master'!G32)</f>
        <v/>
      </c>
      <c r="D38" s="20" t="str">
        <f>IF('FGPO Master'!A32="","",'FGPO Master'!H32)</f>
        <v/>
      </c>
      <c r="E38" s="20" t="str">
        <f>IF(A38="","",IF(SUMIF('Fabric Inventory'!$C$5:$C$304,A38,'Fabric Inventory'!$O$5:$O$304)&gt;0,"Shortage",IF(SUMIF('Fabric Inventory'!$C$5:$C$304,A38,'Fabric Inventory'!$H$5:$H$304)&gt;0,"Approved","Pending")))</f>
        <v/>
      </c>
      <c r="F38" s="20" t="str">
        <f>IF(A38="","",IF(SUMIF('Trims Control'!$B$5:$B$304,A38,'Trims Control'!$R$5:$R$304)&gt;0,"Shortage",IF(COUNTIFS('Trims Control'!$B$5:$B$304,A38,'Trims Control'!$V$5:$V$304,"Ready")&gt;0,"Ready","Pending")))</f>
        <v/>
      </c>
      <c r="G38" s="20" t="str">
        <f>IF(A38="","",IFERROR(INDEX('PP Sample'!$V$5:$V$304,MATCH(A38,'PP Sample'!$B$5:$B$304,0)),"Pending"))</f>
        <v/>
      </c>
      <c r="H38" s="20" t="str">
        <f>IF(A38="","",IFERROR(INDEX('Production Readiness'!$S$5:$S$304,MATCH(A38,'Production Readiness'!$C$5:$C$304,0)),"Pending"))</f>
        <v/>
      </c>
      <c r="I38" s="20" t="str">
        <f>IF(A38="","",IFERROR(INDEX('Cutting Release'!$P$5:$P$304,MATCH(A38,'Cutting Release'!$C$5:$C$304,0)),"Pending"))</f>
        <v/>
      </c>
      <c r="J38" s="20" t="str">
        <f>IF(A38="","",SUMIF('Cutting Control'!$C$5:$C$304,A38,'Cutting Control'!$K$5:$K$304))</f>
        <v/>
      </c>
      <c r="K38" s="20" t="str">
        <f>IF(A38="","",IFERROR(INDEX('TOP Sample'!$W$5:$W$304,MATCH(A38,'TOP Sample'!$B$5:$B$304,0)),"Pending"))</f>
        <v/>
      </c>
      <c r="L38" s="20" t="str">
        <f>IF(A38="","",SUMIF('Sewing Production'!$E$5:$E$304,A38,'Sewing Production'!$L$5:$L$304))</f>
        <v/>
      </c>
      <c r="M38" s="20" t="str">
        <f>IF(A38="","",IFERROR(INDEX('Inline Quality'!$S$5:$S$304,MATCH(A38,'Inline Quality'!$E$5:$E$304,0)),"Pending"))</f>
        <v/>
      </c>
      <c r="N38" s="20" t="str">
        <f>IF(A38="","",IFERROR(INDEX('Final Inspection'!$U$5:$U$304,MATCH(A38,'Final Inspection'!$C$5:$C$304,0)),"Pending"))</f>
        <v/>
      </c>
      <c r="O38" s="20" t="str">
        <f>IF(A38="","",SUMIF('Packing Control'!$C$5:$C$304,A38,'Packing Control'!$K$5:$K$304))</f>
        <v/>
      </c>
      <c r="P38" s="20" t="str">
        <f>IF(A38="","",SUMIF('Finished Goods'!$C$5:$C$304,A38,'Finished Goods'!$J$5:$J$304))</f>
        <v/>
      </c>
      <c r="Q38" s="20" t="str">
        <f>IF(A38="","",SUMIF('Shipment Control'!$C$5:$C$304,A38,'Shipment Control'!$I$5:$I$304))</f>
        <v/>
      </c>
      <c r="R38" s="20" t="str">
        <f>IF(A38="","",SUMIF('Shipment Control'!$C$5:$C$304,A38,'Shipment Control'!$J$5:$J$304))</f>
        <v/>
      </c>
      <c r="S38" s="20" t="str">
        <f t="shared" si="0"/>
        <v/>
      </c>
      <c r="T38" s="21" t="str">
        <f>IF('FGPO Master'!A32="","",'FGPO Master'!I32)</f>
        <v/>
      </c>
      <c r="U38" s="7" t="str">
        <f>IF(A38="","",IF(COUNTIF('Open Issues'!$D$5:$D$304,A38)&gt;0,"Yellow","Green"))</f>
        <v/>
      </c>
      <c r="V38" s="7" t="str">
        <f>IF('FGPO Master'!A32="","",'FGPO Master'!U32)</f>
        <v/>
      </c>
    </row>
    <row r="39" spans="1:22">
      <c r="A39" s="7" t="str">
        <f>IF('FGPO Master'!A33="","",IF('FGPO Master'!D33="FGPO Pending","FGPO Pending",'FGPO Master'!B33))</f>
        <v/>
      </c>
      <c r="B39" s="7" t="str">
        <f>IF('FGPO Master'!A33="","",'FGPO Master'!F33)</f>
        <v/>
      </c>
      <c r="C39" s="7" t="str">
        <f>IF('FGPO Master'!A33="","",'FGPO Master'!G33)</f>
        <v/>
      </c>
      <c r="D39" s="20" t="str">
        <f>IF('FGPO Master'!A33="","",'FGPO Master'!H33)</f>
        <v/>
      </c>
      <c r="E39" s="20" t="str">
        <f>IF(A39="","",IF(SUMIF('Fabric Inventory'!$C$5:$C$304,A39,'Fabric Inventory'!$O$5:$O$304)&gt;0,"Shortage",IF(SUMIF('Fabric Inventory'!$C$5:$C$304,A39,'Fabric Inventory'!$H$5:$H$304)&gt;0,"Approved","Pending")))</f>
        <v/>
      </c>
      <c r="F39" s="20" t="str">
        <f>IF(A39="","",IF(SUMIF('Trims Control'!$B$5:$B$304,A39,'Trims Control'!$R$5:$R$304)&gt;0,"Shortage",IF(COUNTIFS('Trims Control'!$B$5:$B$304,A39,'Trims Control'!$V$5:$V$304,"Ready")&gt;0,"Ready","Pending")))</f>
        <v/>
      </c>
      <c r="G39" s="20" t="str">
        <f>IF(A39="","",IFERROR(INDEX('PP Sample'!$V$5:$V$304,MATCH(A39,'PP Sample'!$B$5:$B$304,0)),"Pending"))</f>
        <v/>
      </c>
      <c r="H39" s="20" t="str">
        <f>IF(A39="","",IFERROR(INDEX('Production Readiness'!$S$5:$S$304,MATCH(A39,'Production Readiness'!$C$5:$C$304,0)),"Pending"))</f>
        <v/>
      </c>
      <c r="I39" s="20" t="str">
        <f>IF(A39="","",IFERROR(INDEX('Cutting Release'!$P$5:$P$304,MATCH(A39,'Cutting Release'!$C$5:$C$304,0)),"Pending"))</f>
        <v/>
      </c>
      <c r="J39" s="20" t="str">
        <f>IF(A39="","",SUMIF('Cutting Control'!$C$5:$C$304,A39,'Cutting Control'!$K$5:$K$304))</f>
        <v/>
      </c>
      <c r="K39" s="20" t="str">
        <f>IF(A39="","",IFERROR(INDEX('TOP Sample'!$W$5:$W$304,MATCH(A39,'TOP Sample'!$B$5:$B$304,0)),"Pending"))</f>
        <v/>
      </c>
      <c r="L39" s="20" t="str">
        <f>IF(A39="","",SUMIF('Sewing Production'!$E$5:$E$304,A39,'Sewing Production'!$L$5:$L$304))</f>
        <v/>
      </c>
      <c r="M39" s="20" t="str">
        <f>IF(A39="","",IFERROR(INDEX('Inline Quality'!$S$5:$S$304,MATCH(A39,'Inline Quality'!$E$5:$E$304,0)),"Pending"))</f>
        <v/>
      </c>
      <c r="N39" s="20" t="str">
        <f>IF(A39="","",IFERROR(INDEX('Final Inspection'!$U$5:$U$304,MATCH(A39,'Final Inspection'!$C$5:$C$304,0)),"Pending"))</f>
        <v/>
      </c>
      <c r="O39" s="20" t="str">
        <f>IF(A39="","",SUMIF('Packing Control'!$C$5:$C$304,A39,'Packing Control'!$K$5:$K$304))</f>
        <v/>
      </c>
      <c r="P39" s="20" t="str">
        <f>IF(A39="","",SUMIF('Finished Goods'!$C$5:$C$304,A39,'Finished Goods'!$J$5:$J$304))</f>
        <v/>
      </c>
      <c r="Q39" s="20" t="str">
        <f>IF(A39="","",SUMIF('Shipment Control'!$C$5:$C$304,A39,'Shipment Control'!$I$5:$I$304))</f>
        <v/>
      </c>
      <c r="R39" s="20" t="str">
        <f>IF(A39="","",SUMIF('Shipment Control'!$C$5:$C$304,A39,'Shipment Control'!$J$5:$J$304))</f>
        <v/>
      </c>
      <c r="S39" s="20" t="str">
        <f t="shared" si="0"/>
        <v/>
      </c>
      <c r="T39" s="21" t="str">
        <f>IF('FGPO Master'!A33="","",'FGPO Master'!I33)</f>
        <v/>
      </c>
      <c r="U39" s="7" t="str">
        <f>IF(A39="","",IF(COUNTIF('Open Issues'!$D$5:$D$304,A39)&gt;0,"Yellow","Green"))</f>
        <v/>
      </c>
      <c r="V39" s="7" t="str">
        <f>IF('FGPO Master'!A33="","",'FGPO Master'!U33)</f>
        <v/>
      </c>
    </row>
    <row r="40" spans="1:22">
      <c r="A40" s="7" t="str">
        <f>IF('FGPO Master'!A34="","",IF('FGPO Master'!D34="FGPO Pending","FGPO Pending",'FGPO Master'!B34))</f>
        <v/>
      </c>
      <c r="B40" s="7" t="str">
        <f>IF('FGPO Master'!A34="","",'FGPO Master'!F34)</f>
        <v/>
      </c>
      <c r="C40" s="7" t="str">
        <f>IF('FGPO Master'!A34="","",'FGPO Master'!G34)</f>
        <v/>
      </c>
      <c r="D40" s="20" t="str">
        <f>IF('FGPO Master'!A34="","",'FGPO Master'!H34)</f>
        <v/>
      </c>
      <c r="E40" s="20" t="str">
        <f>IF(A40="","",IF(SUMIF('Fabric Inventory'!$C$5:$C$304,A40,'Fabric Inventory'!$O$5:$O$304)&gt;0,"Shortage",IF(SUMIF('Fabric Inventory'!$C$5:$C$304,A40,'Fabric Inventory'!$H$5:$H$304)&gt;0,"Approved","Pending")))</f>
        <v/>
      </c>
      <c r="F40" s="20" t="str">
        <f>IF(A40="","",IF(SUMIF('Trims Control'!$B$5:$B$304,A40,'Trims Control'!$R$5:$R$304)&gt;0,"Shortage",IF(COUNTIFS('Trims Control'!$B$5:$B$304,A40,'Trims Control'!$V$5:$V$304,"Ready")&gt;0,"Ready","Pending")))</f>
        <v/>
      </c>
      <c r="G40" s="20" t="str">
        <f>IF(A40="","",IFERROR(INDEX('PP Sample'!$V$5:$V$304,MATCH(A40,'PP Sample'!$B$5:$B$304,0)),"Pending"))</f>
        <v/>
      </c>
      <c r="H40" s="20" t="str">
        <f>IF(A40="","",IFERROR(INDEX('Production Readiness'!$S$5:$S$304,MATCH(A40,'Production Readiness'!$C$5:$C$304,0)),"Pending"))</f>
        <v/>
      </c>
      <c r="I40" s="20" t="str">
        <f>IF(A40="","",IFERROR(INDEX('Cutting Release'!$P$5:$P$304,MATCH(A40,'Cutting Release'!$C$5:$C$304,0)),"Pending"))</f>
        <v/>
      </c>
      <c r="J40" s="20" t="str">
        <f>IF(A40="","",SUMIF('Cutting Control'!$C$5:$C$304,A40,'Cutting Control'!$K$5:$K$304))</f>
        <v/>
      </c>
      <c r="K40" s="20" t="str">
        <f>IF(A40="","",IFERROR(INDEX('TOP Sample'!$W$5:$W$304,MATCH(A40,'TOP Sample'!$B$5:$B$304,0)),"Pending"))</f>
        <v/>
      </c>
      <c r="L40" s="20" t="str">
        <f>IF(A40="","",SUMIF('Sewing Production'!$E$5:$E$304,A40,'Sewing Production'!$L$5:$L$304))</f>
        <v/>
      </c>
      <c r="M40" s="20" t="str">
        <f>IF(A40="","",IFERROR(INDEX('Inline Quality'!$S$5:$S$304,MATCH(A40,'Inline Quality'!$E$5:$E$304,0)),"Pending"))</f>
        <v/>
      </c>
      <c r="N40" s="20" t="str">
        <f>IF(A40="","",IFERROR(INDEX('Final Inspection'!$U$5:$U$304,MATCH(A40,'Final Inspection'!$C$5:$C$304,0)),"Pending"))</f>
        <v/>
      </c>
      <c r="O40" s="20" t="str">
        <f>IF(A40="","",SUMIF('Packing Control'!$C$5:$C$304,A40,'Packing Control'!$K$5:$K$304))</f>
        <v/>
      </c>
      <c r="P40" s="20" t="str">
        <f>IF(A40="","",SUMIF('Finished Goods'!$C$5:$C$304,A40,'Finished Goods'!$J$5:$J$304))</f>
        <v/>
      </c>
      <c r="Q40" s="20" t="str">
        <f>IF(A40="","",SUMIF('Shipment Control'!$C$5:$C$304,A40,'Shipment Control'!$I$5:$I$304))</f>
        <v/>
      </c>
      <c r="R40" s="20" t="str">
        <f>IF(A40="","",SUMIF('Shipment Control'!$C$5:$C$304,A40,'Shipment Control'!$J$5:$J$304))</f>
        <v/>
      </c>
      <c r="S40" s="20" t="str">
        <f t="shared" si="0"/>
        <v/>
      </c>
      <c r="T40" s="21" t="str">
        <f>IF('FGPO Master'!A34="","",'FGPO Master'!I34)</f>
        <v/>
      </c>
      <c r="U40" s="7" t="str">
        <f>IF(A40="","",IF(COUNTIF('Open Issues'!$D$5:$D$304,A40)&gt;0,"Yellow","Green"))</f>
        <v/>
      </c>
      <c r="V40" s="7" t="str">
        <f>IF('FGPO Master'!A34="","",'FGPO Master'!U34)</f>
        <v/>
      </c>
    </row>
    <row r="41" spans="1:22">
      <c r="A41" s="7" t="str">
        <f>IF('FGPO Master'!A35="","",IF('FGPO Master'!D35="FGPO Pending","FGPO Pending",'FGPO Master'!B35))</f>
        <v/>
      </c>
      <c r="B41" s="7" t="str">
        <f>IF('FGPO Master'!A35="","",'FGPO Master'!F35)</f>
        <v/>
      </c>
      <c r="C41" s="7" t="str">
        <f>IF('FGPO Master'!A35="","",'FGPO Master'!G35)</f>
        <v/>
      </c>
      <c r="D41" s="20" t="str">
        <f>IF('FGPO Master'!A35="","",'FGPO Master'!H35)</f>
        <v/>
      </c>
      <c r="E41" s="20" t="str">
        <f>IF(A41="","",IF(SUMIF('Fabric Inventory'!$C$5:$C$304,A41,'Fabric Inventory'!$O$5:$O$304)&gt;0,"Shortage",IF(SUMIF('Fabric Inventory'!$C$5:$C$304,A41,'Fabric Inventory'!$H$5:$H$304)&gt;0,"Approved","Pending")))</f>
        <v/>
      </c>
      <c r="F41" s="20" t="str">
        <f>IF(A41="","",IF(SUMIF('Trims Control'!$B$5:$B$304,A41,'Trims Control'!$R$5:$R$304)&gt;0,"Shortage",IF(COUNTIFS('Trims Control'!$B$5:$B$304,A41,'Trims Control'!$V$5:$V$304,"Ready")&gt;0,"Ready","Pending")))</f>
        <v/>
      </c>
      <c r="G41" s="20" t="str">
        <f>IF(A41="","",IFERROR(INDEX('PP Sample'!$V$5:$V$304,MATCH(A41,'PP Sample'!$B$5:$B$304,0)),"Pending"))</f>
        <v/>
      </c>
      <c r="H41" s="20" t="str">
        <f>IF(A41="","",IFERROR(INDEX('Production Readiness'!$S$5:$S$304,MATCH(A41,'Production Readiness'!$C$5:$C$304,0)),"Pending"))</f>
        <v/>
      </c>
      <c r="I41" s="20" t="str">
        <f>IF(A41="","",IFERROR(INDEX('Cutting Release'!$P$5:$P$304,MATCH(A41,'Cutting Release'!$C$5:$C$304,0)),"Pending"))</f>
        <v/>
      </c>
      <c r="J41" s="20" t="str">
        <f>IF(A41="","",SUMIF('Cutting Control'!$C$5:$C$304,A41,'Cutting Control'!$K$5:$K$304))</f>
        <v/>
      </c>
      <c r="K41" s="20" t="str">
        <f>IF(A41="","",IFERROR(INDEX('TOP Sample'!$W$5:$W$304,MATCH(A41,'TOP Sample'!$B$5:$B$304,0)),"Pending"))</f>
        <v/>
      </c>
      <c r="L41" s="20" t="str">
        <f>IF(A41="","",SUMIF('Sewing Production'!$E$5:$E$304,A41,'Sewing Production'!$L$5:$L$304))</f>
        <v/>
      </c>
      <c r="M41" s="20" t="str">
        <f>IF(A41="","",IFERROR(INDEX('Inline Quality'!$S$5:$S$304,MATCH(A41,'Inline Quality'!$E$5:$E$304,0)),"Pending"))</f>
        <v/>
      </c>
      <c r="N41" s="20" t="str">
        <f>IF(A41="","",IFERROR(INDEX('Final Inspection'!$U$5:$U$304,MATCH(A41,'Final Inspection'!$C$5:$C$304,0)),"Pending"))</f>
        <v/>
      </c>
      <c r="O41" s="20" t="str">
        <f>IF(A41="","",SUMIF('Packing Control'!$C$5:$C$304,A41,'Packing Control'!$K$5:$K$304))</f>
        <v/>
      </c>
      <c r="P41" s="20" t="str">
        <f>IF(A41="","",SUMIF('Finished Goods'!$C$5:$C$304,A41,'Finished Goods'!$J$5:$J$304))</f>
        <v/>
      </c>
      <c r="Q41" s="20" t="str">
        <f>IF(A41="","",SUMIF('Shipment Control'!$C$5:$C$304,A41,'Shipment Control'!$I$5:$I$304))</f>
        <v/>
      </c>
      <c r="R41" s="20" t="str">
        <f>IF(A41="","",SUMIF('Shipment Control'!$C$5:$C$304,A41,'Shipment Control'!$J$5:$J$304))</f>
        <v/>
      </c>
      <c r="S41" s="20" t="str">
        <f t="shared" si="0"/>
        <v/>
      </c>
      <c r="T41" s="21" t="str">
        <f>IF('FGPO Master'!A35="","",'FGPO Master'!I35)</f>
        <v/>
      </c>
      <c r="U41" s="7" t="str">
        <f>IF(A41="","",IF(COUNTIF('Open Issues'!$D$5:$D$304,A41)&gt;0,"Yellow","Green"))</f>
        <v/>
      </c>
      <c r="V41" s="7" t="str">
        <f>IF('FGPO Master'!A35="","",'FGPO Master'!U35)</f>
        <v/>
      </c>
    </row>
    <row r="42" spans="1:22">
      <c r="A42" s="7" t="str">
        <f>IF('FGPO Master'!A36="","",IF('FGPO Master'!D36="FGPO Pending","FGPO Pending",'FGPO Master'!B36))</f>
        <v/>
      </c>
      <c r="B42" s="7" t="str">
        <f>IF('FGPO Master'!A36="","",'FGPO Master'!F36)</f>
        <v/>
      </c>
      <c r="C42" s="7" t="str">
        <f>IF('FGPO Master'!A36="","",'FGPO Master'!G36)</f>
        <v/>
      </c>
      <c r="D42" s="20" t="str">
        <f>IF('FGPO Master'!A36="","",'FGPO Master'!H36)</f>
        <v/>
      </c>
      <c r="E42" s="20" t="str">
        <f>IF(A42="","",IF(SUMIF('Fabric Inventory'!$C$5:$C$304,A42,'Fabric Inventory'!$O$5:$O$304)&gt;0,"Shortage",IF(SUMIF('Fabric Inventory'!$C$5:$C$304,A42,'Fabric Inventory'!$H$5:$H$304)&gt;0,"Approved","Pending")))</f>
        <v/>
      </c>
      <c r="F42" s="20" t="str">
        <f>IF(A42="","",IF(SUMIF('Trims Control'!$B$5:$B$304,A42,'Trims Control'!$R$5:$R$304)&gt;0,"Shortage",IF(COUNTIFS('Trims Control'!$B$5:$B$304,A42,'Trims Control'!$V$5:$V$304,"Ready")&gt;0,"Ready","Pending")))</f>
        <v/>
      </c>
      <c r="G42" s="20" t="str">
        <f>IF(A42="","",IFERROR(INDEX('PP Sample'!$V$5:$V$304,MATCH(A42,'PP Sample'!$B$5:$B$304,0)),"Pending"))</f>
        <v/>
      </c>
      <c r="H42" s="20" t="str">
        <f>IF(A42="","",IFERROR(INDEX('Production Readiness'!$S$5:$S$304,MATCH(A42,'Production Readiness'!$C$5:$C$304,0)),"Pending"))</f>
        <v/>
      </c>
      <c r="I42" s="20" t="str">
        <f>IF(A42="","",IFERROR(INDEX('Cutting Release'!$P$5:$P$304,MATCH(A42,'Cutting Release'!$C$5:$C$304,0)),"Pending"))</f>
        <v/>
      </c>
      <c r="J42" s="20" t="str">
        <f>IF(A42="","",SUMIF('Cutting Control'!$C$5:$C$304,A42,'Cutting Control'!$K$5:$K$304))</f>
        <v/>
      </c>
      <c r="K42" s="20" t="str">
        <f>IF(A42="","",IFERROR(INDEX('TOP Sample'!$W$5:$W$304,MATCH(A42,'TOP Sample'!$B$5:$B$304,0)),"Pending"))</f>
        <v/>
      </c>
      <c r="L42" s="20" t="str">
        <f>IF(A42="","",SUMIF('Sewing Production'!$E$5:$E$304,A42,'Sewing Production'!$L$5:$L$304))</f>
        <v/>
      </c>
      <c r="M42" s="20" t="str">
        <f>IF(A42="","",IFERROR(INDEX('Inline Quality'!$S$5:$S$304,MATCH(A42,'Inline Quality'!$E$5:$E$304,0)),"Pending"))</f>
        <v/>
      </c>
      <c r="N42" s="20" t="str">
        <f>IF(A42="","",IFERROR(INDEX('Final Inspection'!$U$5:$U$304,MATCH(A42,'Final Inspection'!$C$5:$C$304,0)),"Pending"))</f>
        <v/>
      </c>
      <c r="O42" s="20" t="str">
        <f>IF(A42="","",SUMIF('Packing Control'!$C$5:$C$304,A42,'Packing Control'!$K$5:$K$304))</f>
        <v/>
      </c>
      <c r="P42" s="20" t="str">
        <f>IF(A42="","",SUMIF('Finished Goods'!$C$5:$C$304,A42,'Finished Goods'!$J$5:$J$304))</f>
        <v/>
      </c>
      <c r="Q42" s="20" t="str">
        <f>IF(A42="","",SUMIF('Shipment Control'!$C$5:$C$304,A42,'Shipment Control'!$I$5:$I$304))</f>
        <v/>
      </c>
      <c r="R42" s="20" t="str">
        <f>IF(A42="","",SUMIF('Shipment Control'!$C$5:$C$304,A42,'Shipment Control'!$J$5:$J$304))</f>
        <v/>
      </c>
      <c r="S42" s="20" t="str">
        <f t="shared" si="0"/>
        <v/>
      </c>
      <c r="T42" s="21" t="str">
        <f>IF('FGPO Master'!A36="","",'FGPO Master'!I36)</f>
        <v/>
      </c>
      <c r="U42" s="7" t="str">
        <f>IF(A42="","",IF(COUNTIF('Open Issues'!$D$5:$D$304,A42)&gt;0,"Yellow","Green"))</f>
        <v/>
      </c>
      <c r="V42" s="7" t="str">
        <f>IF('FGPO Master'!A36="","",'FGPO Master'!U36)</f>
        <v/>
      </c>
    </row>
    <row r="43" spans="1:22">
      <c r="A43" s="7" t="str">
        <f>IF('FGPO Master'!A37="","",IF('FGPO Master'!D37="FGPO Pending","FGPO Pending",'FGPO Master'!B37))</f>
        <v/>
      </c>
      <c r="B43" s="7" t="str">
        <f>IF('FGPO Master'!A37="","",'FGPO Master'!F37)</f>
        <v/>
      </c>
      <c r="C43" s="7" t="str">
        <f>IF('FGPO Master'!A37="","",'FGPO Master'!G37)</f>
        <v/>
      </c>
      <c r="D43" s="20" t="str">
        <f>IF('FGPO Master'!A37="","",'FGPO Master'!H37)</f>
        <v/>
      </c>
      <c r="E43" s="20" t="str">
        <f>IF(A43="","",IF(SUMIF('Fabric Inventory'!$C$5:$C$304,A43,'Fabric Inventory'!$O$5:$O$304)&gt;0,"Shortage",IF(SUMIF('Fabric Inventory'!$C$5:$C$304,A43,'Fabric Inventory'!$H$5:$H$304)&gt;0,"Approved","Pending")))</f>
        <v/>
      </c>
      <c r="F43" s="20" t="str">
        <f>IF(A43="","",IF(SUMIF('Trims Control'!$B$5:$B$304,A43,'Trims Control'!$R$5:$R$304)&gt;0,"Shortage",IF(COUNTIFS('Trims Control'!$B$5:$B$304,A43,'Trims Control'!$V$5:$V$304,"Ready")&gt;0,"Ready","Pending")))</f>
        <v/>
      </c>
      <c r="G43" s="20" t="str">
        <f>IF(A43="","",IFERROR(INDEX('PP Sample'!$V$5:$V$304,MATCH(A43,'PP Sample'!$B$5:$B$304,0)),"Pending"))</f>
        <v/>
      </c>
      <c r="H43" s="20" t="str">
        <f>IF(A43="","",IFERROR(INDEX('Production Readiness'!$S$5:$S$304,MATCH(A43,'Production Readiness'!$C$5:$C$304,0)),"Pending"))</f>
        <v/>
      </c>
      <c r="I43" s="20" t="str">
        <f>IF(A43="","",IFERROR(INDEX('Cutting Release'!$P$5:$P$304,MATCH(A43,'Cutting Release'!$C$5:$C$304,0)),"Pending"))</f>
        <v/>
      </c>
      <c r="J43" s="20" t="str">
        <f>IF(A43="","",SUMIF('Cutting Control'!$C$5:$C$304,A43,'Cutting Control'!$K$5:$K$304))</f>
        <v/>
      </c>
      <c r="K43" s="20" t="str">
        <f>IF(A43="","",IFERROR(INDEX('TOP Sample'!$W$5:$W$304,MATCH(A43,'TOP Sample'!$B$5:$B$304,0)),"Pending"))</f>
        <v/>
      </c>
      <c r="L43" s="20" t="str">
        <f>IF(A43="","",SUMIF('Sewing Production'!$E$5:$E$304,A43,'Sewing Production'!$L$5:$L$304))</f>
        <v/>
      </c>
      <c r="M43" s="20" t="str">
        <f>IF(A43="","",IFERROR(INDEX('Inline Quality'!$S$5:$S$304,MATCH(A43,'Inline Quality'!$E$5:$E$304,0)),"Pending"))</f>
        <v/>
      </c>
      <c r="N43" s="20" t="str">
        <f>IF(A43="","",IFERROR(INDEX('Final Inspection'!$U$5:$U$304,MATCH(A43,'Final Inspection'!$C$5:$C$304,0)),"Pending"))</f>
        <v/>
      </c>
      <c r="O43" s="20" t="str">
        <f>IF(A43="","",SUMIF('Packing Control'!$C$5:$C$304,A43,'Packing Control'!$K$5:$K$304))</f>
        <v/>
      </c>
      <c r="P43" s="20" t="str">
        <f>IF(A43="","",SUMIF('Finished Goods'!$C$5:$C$304,A43,'Finished Goods'!$J$5:$J$304))</f>
        <v/>
      </c>
      <c r="Q43" s="20" t="str">
        <f>IF(A43="","",SUMIF('Shipment Control'!$C$5:$C$304,A43,'Shipment Control'!$I$5:$I$304))</f>
        <v/>
      </c>
      <c r="R43" s="20" t="str">
        <f>IF(A43="","",SUMIF('Shipment Control'!$C$5:$C$304,A43,'Shipment Control'!$J$5:$J$304))</f>
        <v/>
      </c>
      <c r="S43" s="20" t="str">
        <f t="shared" ref="S43:S74" si="1">IF(A43="","",Q43+R43-D43)</f>
        <v/>
      </c>
      <c r="T43" s="21" t="str">
        <f>IF('FGPO Master'!A37="","",'FGPO Master'!I37)</f>
        <v/>
      </c>
      <c r="U43" s="7" t="str">
        <f>IF(A43="","",IF(COUNTIF('Open Issues'!$D$5:$D$304,A43)&gt;0,"Yellow","Green"))</f>
        <v/>
      </c>
      <c r="V43" s="7" t="str">
        <f>IF('FGPO Master'!A37="","",'FGPO Master'!U37)</f>
        <v/>
      </c>
    </row>
    <row r="44" spans="1:22">
      <c r="A44" s="7" t="str">
        <f>IF('FGPO Master'!A38="","",IF('FGPO Master'!D38="FGPO Pending","FGPO Pending",'FGPO Master'!B38))</f>
        <v/>
      </c>
      <c r="B44" s="7" t="str">
        <f>IF('FGPO Master'!A38="","",'FGPO Master'!F38)</f>
        <v/>
      </c>
      <c r="C44" s="7" t="str">
        <f>IF('FGPO Master'!A38="","",'FGPO Master'!G38)</f>
        <v/>
      </c>
      <c r="D44" s="20" t="str">
        <f>IF('FGPO Master'!A38="","",'FGPO Master'!H38)</f>
        <v/>
      </c>
      <c r="E44" s="20" t="str">
        <f>IF(A44="","",IF(SUMIF('Fabric Inventory'!$C$5:$C$304,A44,'Fabric Inventory'!$O$5:$O$304)&gt;0,"Shortage",IF(SUMIF('Fabric Inventory'!$C$5:$C$304,A44,'Fabric Inventory'!$H$5:$H$304)&gt;0,"Approved","Pending")))</f>
        <v/>
      </c>
      <c r="F44" s="20" t="str">
        <f>IF(A44="","",IF(SUMIF('Trims Control'!$B$5:$B$304,A44,'Trims Control'!$R$5:$R$304)&gt;0,"Shortage",IF(COUNTIFS('Trims Control'!$B$5:$B$304,A44,'Trims Control'!$V$5:$V$304,"Ready")&gt;0,"Ready","Pending")))</f>
        <v/>
      </c>
      <c r="G44" s="20" t="str">
        <f>IF(A44="","",IFERROR(INDEX('PP Sample'!$V$5:$V$304,MATCH(A44,'PP Sample'!$B$5:$B$304,0)),"Pending"))</f>
        <v/>
      </c>
      <c r="H44" s="20" t="str">
        <f>IF(A44="","",IFERROR(INDEX('Production Readiness'!$S$5:$S$304,MATCH(A44,'Production Readiness'!$C$5:$C$304,0)),"Pending"))</f>
        <v/>
      </c>
      <c r="I44" s="20" t="str">
        <f>IF(A44="","",IFERROR(INDEX('Cutting Release'!$P$5:$P$304,MATCH(A44,'Cutting Release'!$C$5:$C$304,0)),"Pending"))</f>
        <v/>
      </c>
      <c r="J44" s="20" t="str">
        <f>IF(A44="","",SUMIF('Cutting Control'!$C$5:$C$304,A44,'Cutting Control'!$K$5:$K$304))</f>
        <v/>
      </c>
      <c r="K44" s="20" t="str">
        <f>IF(A44="","",IFERROR(INDEX('TOP Sample'!$W$5:$W$304,MATCH(A44,'TOP Sample'!$B$5:$B$304,0)),"Pending"))</f>
        <v/>
      </c>
      <c r="L44" s="20" t="str">
        <f>IF(A44="","",SUMIF('Sewing Production'!$E$5:$E$304,A44,'Sewing Production'!$L$5:$L$304))</f>
        <v/>
      </c>
      <c r="M44" s="20" t="str">
        <f>IF(A44="","",IFERROR(INDEX('Inline Quality'!$S$5:$S$304,MATCH(A44,'Inline Quality'!$E$5:$E$304,0)),"Pending"))</f>
        <v/>
      </c>
      <c r="N44" s="20" t="str">
        <f>IF(A44="","",IFERROR(INDEX('Final Inspection'!$U$5:$U$304,MATCH(A44,'Final Inspection'!$C$5:$C$304,0)),"Pending"))</f>
        <v/>
      </c>
      <c r="O44" s="20" t="str">
        <f>IF(A44="","",SUMIF('Packing Control'!$C$5:$C$304,A44,'Packing Control'!$K$5:$K$304))</f>
        <v/>
      </c>
      <c r="P44" s="20" t="str">
        <f>IF(A44="","",SUMIF('Finished Goods'!$C$5:$C$304,A44,'Finished Goods'!$J$5:$J$304))</f>
        <v/>
      </c>
      <c r="Q44" s="20" t="str">
        <f>IF(A44="","",SUMIF('Shipment Control'!$C$5:$C$304,A44,'Shipment Control'!$I$5:$I$304))</f>
        <v/>
      </c>
      <c r="R44" s="20" t="str">
        <f>IF(A44="","",SUMIF('Shipment Control'!$C$5:$C$304,A44,'Shipment Control'!$J$5:$J$304))</f>
        <v/>
      </c>
      <c r="S44" s="20" t="str">
        <f t="shared" si="1"/>
        <v/>
      </c>
      <c r="T44" s="21" t="str">
        <f>IF('FGPO Master'!A38="","",'FGPO Master'!I38)</f>
        <v/>
      </c>
      <c r="U44" s="7" t="str">
        <f>IF(A44="","",IF(COUNTIF('Open Issues'!$D$5:$D$304,A44)&gt;0,"Yellow","Green"))</f>
        <v/>
      </c>
      <c r="V44" s="7" t="str">
        <f>IF('FGPO Master'!A38="","",'FGPO Master'!U38)</f>
        <v/>
      </c>
    </row>
    <row r="45" spans="1:22">
      <c r="A45" s="7" t="str">
        <f>IF('FGPO Master'!A39="","",IF('FGPO Master'!D39="FGPO Pending","FGPO Pending",'FGPO Master'!B39))</f>
        <v/>
      </c>
      <c r="B45" s="7" t="str">
        <f>IF('FGPO Master'!A39="","",'FGPO Master'!F39)</f>
        <v/>
      </c>
      <c r="C45" s="7" t="str">
        <f>IF('FGPO Master'!A39="","",'FGPO Master'!G39)</f>
        <v/>
      </c>
      <c r="D45" s="20" t="str">
        <f>IF('FGPO Master'!A39="","",'FGPO Master'!H39)</f>
        <v/>
      </c>
      <c r="E45" s="20" t="str">
        <f>IF(A45="","",IF(SUMIF('Fabric Inventory'!$C$5:$C$304,A45,'Fabric Inventory'!$O$5:$O$304)&gt;0,"Shortage",IF(SUMIF('Fabric Inventory'!$C$5:$C$304,A45,'Fabric Inventory'!$H$5:$H$304)&gt;0,"Approved","Pending")))</f>
        <v/>
      </c>
      <c r="F45" s="20" t="str">
        <f>IF(A45="","",IF(SUMIF('Trims Control'!$B$5:$B$304,A45,'Trims Control'!$R$5:$R$304)&gt;0,"Shortage",IF(COUNTIFS('Trims Control'!$B$5:$B$304,A45,'Trims Control'!$V$5:$V$304,"Ready")&gt;0,"Ready","Pending")))</f>
        <v/>
      </c>
      <c r="G45" s="20" t="str">
        <f>IF(A45="","",IFERROR(INDEX('PP Sample'!$V$5:$V$304,MATCH(A45,'PP Sample'!$B$5:$B$304,0)),"Pending"))</f>
        <v/>
      </c>
      <c r="H45" s="20" t="str">
        <f>IF(A45="","",IFERROR(INDEX('Production Readiness'!$S$5:$S$304,MATCH(A45,'Production Readiness'!$C$5:$C$304,0)),"Pending"))</f>
        <v/>
      </c>
      <c r="I45" s="20" t="str">
        <f>IF(A45="","",IFERROR(INDEX('Cutting Release'!$P$5:$P$304,MATCH(A45,'Cutting Release'!$C$5:$C$304,0)),"Pending"))</f>
        <v/>
      </c>
      <c r="J45" s="20" t="str">
        <f>IF(A45="","",SUMIF('Cutting Control'!$C$5:$C$304,A45,'Cutting Control'!$K$5:$K$304))</f>
        <v/>
      </c>
      <c r="K45" s="20" t="str">
        <f>IF(A45="","",IFERROR(INDEX('TOP Sample'!$W$5:$W$304,MATCH(A45,'TOP Sample'!$B$5:$B$304,0)),"Pending"))</f>
        <v/>
      </c>
      <c r="L45" s="20" t="str">
        <f>IF(A45="","",SUMIF('Sewing Production'!$E$5:$E$304,A45,'Sewing Production'!$L$5:$L$304))</f>
        <v/>
      </c>
      <c r="M45" s="20" t="str">
        <f>IF(A45="","",IFERROR(INDEX('Inline Quality'!$S$5:$S$304,MATCH(A45,'Inline Quality'!$E$5:$E$304,0)),"Pending"))</f>
        <v/>
      </c>
      <c r="N45" s="20" t="str">
        <f>IF(A45="","",IFERROR(INDEX('Final Inspection'!$U$5:$U$304,MATCH(A45,'Final Inspection'!$C$5:$C$304,0)),"Pending"))</f>
        <v/>
      </c>
      <c r="O45" s="20" t="str">
        <f>IF(A45="","",SUMIF('Packing Control'!$C$5:$C$304,A45,'Packing Control'!$K$5:$K$304))</f>
        <v/>
      </c>
      <c r="P45" s="20" t="str">
        <f>IF(A45="","",SUMIF('Finished Goods'!$C$5:$C$304,A45,'Finished Goods'!$J$5:$J$304))</f>
        <v/>
      </c>
      <c r="Q45" s="20" t="str">
        <f>IF(A45="","",SUMIF('Shipment Control'!$C$5:$C$304,A45,'Shipment Control'!$I$5:$I$304))</f>
        <v/>
      </c>
      <c r="R45" s="20" t="str">
        <f>IF(A45="","",SUMIF('Shipment Control'!$C$5:$C$304,A45,'Shipment Control'!$J$5:$J$304))</f>
        <v/>
      </c>
      <c r="S45" s="20" t="str">
        <f t="shared" si="1"/>
        <v/>
      </c>
      <c r="T45" s="21" t="str">
        <f>IF('FGPO Master'!A39="","",'FGPO Master'!I39)</f>
        <v/>
      </c>
      <c r="U45" s="7" t="str">
        <f>IF(A45="","",IF(COUNTIF('Open Issues'!$D$5:$D$304,A45)&gt;0,"Yellow","Green"))</f>
        <v/>
      </c>
      <c r="V45" s="7" t="str">
        <f>IF('FGPO Master'!A39="","",'FGPO Master'!U39)</f>
        <v/>
      </c>
    </row>
    <row r="46" spans="1:22">
      <c r="A46" s="7" t="str">
        <f>IF('FGPO Master'!A40="","",IF('FGPO Master'!D40="FGPO Pending","FGPO Pending",'FGPO Master'!B40))</f>
        <v/>
      </c>
      <c r="B46" s="7" t="str">
        <f>IF('FGPO Master'!A40="","",'FGPO Master'!F40)</f>
        <v/>
      </c>
      <c r="C46" s="7" t="str">
        <f>IF('FGPO Master'!A40="","",'FGPO Master'!G40)</f>
        <v/>
      </c>
      <c r="D46" s="20" t="str">
        <f>IF('FGPO Master'!A40="","",'FGPO Master'!H40)</f>
        <v/>
      </c>
      <c r="E46" s="20" t="str">
        <f>IF(A46="","",IF(SUMIF('Fabric Inventory'!$C$5:$C$304,A46,'Fabric Inventory'!$O$5:$O$304)&gt;0,"Shortage",IF(SUMIF('Fabric Inventory'!$C$5:$C$304,A46,'Fabric Inventory'!$H$5:$H$304)&gt;0,"Approved","Pending")))</f>
        <v/>
      </c>
      <c r="F46" s="20" t="str">
        <f>IF(A46="","",IF(SUMIF('Trims Control'!$B$5:$B$304,A46,'Trims Control'!$R$5:$R$304)&gt;0,"Shortage",IF(COUNTIFS('Trims Control'!$B$5:$B$304,A46,'Trims Control'!$V$5:$V$304,"Ready")&gt;0,"Ready","Pending")))</f>
        <v/>
      </c>
      <c r="G46" s="20" t="str">
        <f>IF(A46="","",IFERROR(INDEX('PP Sample'!$V$5:$V$304,MATCH(A46,'PP Sample'!$B$5:$B$304,0)),"Pending"))</f>
        <v/>
      </c>
      <c r="H46" s="20" t="str">
        <f>IF(A46="","",IFERROR(INDEX('Production Readiness'!$S$5:$S$304,MATCH(A46,'Production Readiness'!$C$5:$C$304,0)),"Pending"))</f>
        <v/>
      </c>
      <c r="I46" s="20" t="str">
        <f>IF(A46="","",IFERROR(INDEX('Cutting Release'!$P$5:$P$304,MATCH(A46,'Cutting Release'!$C$5:$C$304,0)),"Pending"))</f>
        <v/>
      </c>
      <c r="J46" s="20" t="str">
        <f>IF(A46="","",SUMIF('Cutting Control'!$C$5:$C$304,A46,'Cutting Control'!$K$5:$K$304))</f>
        <v/>
      </c>
      <c r="K46" s="20" t="str">
        <f>IF(A46="","",IFERROR(INDEX('TOP Sample'!$W$5:$W$304,MATCH(A46,'TOP Sample'!$B$5:$B$304,0)),"Pending"))</f>
        <v/>
      </c>
      <c r="L46" s="20" t="str">
        <f>IF(A46="","",SUMIF('Sewing Production'!$E$5:$E$304,A46,'Sewing Production'!$L$5:$L$304))</f>
        <v/>
      </c>
      <c r="M46" s="20" t="str">
        <f>IF(A46="","",IFERROR(INDEX('Inline Quality'!$S$5:$S$304,MATCH(A46,'Inline Quality'!$E$5:$E$304,0)),"Pending"))</f>
        <v/>
      </c>
      <c r="N46" s="20" t="str">
        <f>IF(A46="","",IFERROR(INDEX('Final Inspection'!$U$5:$U$304,MATCH(A46,'Final Inspection'!$C$5:$C$304,0)),"Pending"))</f>
        <v/>
      </c>
      <c r="O46" s="20" t="str">
        <f>IF(A46="","",SUMIF('Packing Control'!$C$5:$C$304,A46,'Packing Control'!$K$5:$K$304))</f>
        <v/>
      </c>
      <c r="P46" s="20" t="str">
        <f>IF(A46="","",SUMIF('Finished Goods'!$C$5:$C$304,A46,'Finished Goods'!$J$5:$J$304))</f>
        <v/>
      </c>
      <c r="Q46" s="20" t="str">
        <f>IF(A46="","",SUMIF('Shipment Control'!$C$5:$C$304,A46,'Shipment Control'!$I$5:$I$304))</f>
        <v/>
      </c>
      <c r="R46" s="20" t="str">
        <f>IF(A46="","",SUMIF('Shipment Control'!$C$5:$C$304,A46,'Shipment Control'!$J$5:$J$304))</f>
        <v/>
      </c>
      <c r="S46" s="20" t="str">
        <f t="shared" si="1"/>
        <v/>
      </c>
      <c r="T46" s="21" t="str">
        <f>IF('FGPO Master'!A40="","",'FGPO Master'!I40)</f>
        <v/>
      </c>
      <c r="U46" s="7" t="str">
        <f>IF(A46="","",IF(COUNTIF('Open Issues'!$D$5:$D$304,A46)&gt;0,"Yellow","Green"))</f>
        <v/>
      </c>
      <c r="V46" s="7" t="str">
        <f>IF('FGPO Master'!A40="","",'FGPO Master'!U40)</f>
        <v/>
      </c>
    </row>
    <row r="47" spans="1:22">
      <c r="A47" s="7" t="str">
        <f>IF('FGPO Master'!A41="","",IF('FGPO Master'!D41="FGPO Pending","FGPO Pending",'FGPO Master'!B41))</f>
        <v/>
      </c>
      <c r="B47" s="7" t="str">
        <f>IF('FGPO Master'!A41="","",'FGPO Master'!F41)</f>
        <v/>
      </c>
      <c r="C47" s="7" t="str">
        <f>IF('FGPO Master'!A41="","",'FGPO Master'!G41)</f>
        <v/>
      </c>
      <c r="D47" s="20" t="str">
        <f>IF('FGPO Master'!A41="","",'FGPO Master'!H41)</f>
        <v/>
      </c>
      <c r="E47" s="20" t="str">
        <f>IF(A47="","",IF(SUMIF('Fabric Inventory'!$C$5:$C$304,A47,'Fabric Inventory'!$O$5:$O$304)&gt;0,"Shortage",IF(SUMIF('Fabric Inventory'!$C$5:$C$304,A47,'Fabric Inventory'!$H$5:$H$304)&gt;0,"Approved","Pending")))</f>
        <v/>
      </c>
      <c r="F47" s="20" t="str">
        <f>IF(A47="","",IF(SUMIF('Trims Control'!$B$5:$B$304,A47,'Trims Control'!$R$5:$R$304)&gt;0,"Shortage",IF(COUNTIFS('Trims Control'!$B$5:$B$304,A47,'Trims Control'!$V$5:$V$304,"Ready")&gt;0,"Ready","Pending")))</f>
        <v/>
      </c>
      <c r="G47" s="20" t="str">
        <f>IF(A47="","",IFERROR(INDEX('PP Sample'!$V$5:$V$304,MATCH(A47,'PP Sample'!$B$5:$B$304,0)),"Pending"))</f>
        <v/>
      </c>
      <c r="H47" s="20" t="str">
        <f>IF(A47="","",IFERROR(INDEX('Production Readiness'!$S$5:$S$304,MATCH(A47,'Production Readiness'!$C$5:$C$304,0)),"Pending"))</f>
        <v/>
      </c>
      <c r="I47" s="20" t="str">
        <f>IF(A47="","",IFERROR(INDEX('Cutting Release'!$P$5:$P$304,MATCH(A47,'Cutting Release'!$C$5:$C$304,0)),"Pending"))</f>
        <v/>
      </c>
      <c r="J47" s="20" t="str">
        <f>IF(A47="","",SUMIF('Cutting Control'!$C$5:$C$304,A47,'Cutting Control'!$K$5:$K$304))</f>
        <v/>
      </c>
      <c r="K47" s="20" t="str">
        <f>IF(A47="","",IFERROR(INDEX('TOP Sample'!$W$5:$W$304,MATCH(A47,'TOP Sample'!$B$5:$B$304,0)),"Pending"))</f>
        <v/>
      </c>
      <c r="L47" s="20" t="str">
        <f>IF(A47="","",SUMIF('Sewing Production'!$E$5:$E$304,A47,'Sewing Production'!$L$5:$L$304))</f>
        <v/>
      </c>
      <c r="M47" s="20" t="str">
        <f>IF(A47="","",IFERROR(INDEX('Inline Quality'!$S$5:$S$304,MATCH(A47,'Inline Quality'!$E$5:$E$304,0)),"Pending"))</f>
        <v/>
      </c>
      <c r="N47" s="20" t="str">
        <f>IF(A47="","",IFERROR(INDEX('Final Inspection'!$U$5:$U$304,MATCH(A47,'Final Inspection'!$C$5:$C$304,0)),"Pending"))</f>
        <v/>
      </c>
      <c r="O47" s="20" t="str">
        <f>IF(A47="","",SUMIF('Packing Control'!$C$5:$C$304,A47,'Packing Control'!$K$5:$K$304))</f>
        <v/>
      </c>
      <c r="P47" s="20" t="str">
        <f>IF(A47="","",SUMIF('Finished Goods'!$C$5:$C$304,A47,'Finished Goods'!$J$5:$J$304))</f>
        <v/>
      </c>
      <c r="Q47" s="20" t="str">
        <f>IF(A47="","",SUMIF('Shipment Control'!$C$5:$C$304,A47,'Shipment Control'!$I$5:$I$304))</f>
        <v/>
      </c>
      <c r="R47" s="20" t="str">
        <f>IF(A47="","",SUMIF('Shipment Control'!$C$5:$C$304,A47,'Shipment Control'!$J$5:$J$304))</f>
        <v/>
      </c>
      <c r="S47" s="20" t="str">
        <f t="shared" si="1"/>
        <v/>
      </c>
      <c r="T47" s="21" t="str">
        <f>IF('FGPO Master'!A41="","",'FGPO Master'!I41)</f>
        <v/>
      </c>
      <c r="U47" s="7" t="str">
        <f>IF(A47="","",IF(COUNTIF('Open Issues'!$D$5:$D$304,A47)&gt;0,"Yellow","Green"))</f>
        <v/>
      </c>
      <c r="V47" s="7" t="str">
        <f>IF('FGPO Master'!A41="","",'FGPO Master'!U41)</f>
        <v/>
      </c>
    </row>
    <row r="48" spans="1:22">
      <c r="A48" s="7" t="str">
        <f>IF('FGPO Master'!A42="","",IF('FGPO Master'!D42="FGPO Pending","FGPO Pending",'FGPO Master'!B42))</f>
        <v/>
      </c>
      <c r="B48" s="7" t="str">
        <f>IF('FGPO Master'!A42="","",'FGPO Master'!F42)</f>
        <v/>
      </c>
      <c r="C48" s="7" t="str">
        <f>IF('FGPO Master'!A42="","",'FGPO Master'!G42)</f>
        <v/>
      </c>
      <c r="D48" s="20" t="str">
        <f>IF('FGPO Master'!A42="","",'FGPO Master'!H42)</f>
        <v/>
      </c>
      <c r="E48" s="20" t="str">
        <f>IF(A48="","",IF(SUMIF('Fabric Inventory'!$C$5:$C$304,A48,'Fabric Inventory'!$O$5:$O$304)&gt;0,"Shortage",IF(SUMIF('Fabric Inventory'!$C$5:$C$304,A48,'Fabric Inventory'!$H$5:$H$304)&gt;0,"Approved","Pending")))</f>
        <v/>
      </c>
      <c r="F48" s="20" t="str">
        <f>IF(A48="","",IF(SUMIF('Trims Control'!$B$5:$B$304,A48,'Trims Control'!$R$5:$R$304)&gt;0,"Shortage",IF(COUNTIFS('Trims Control'!$B$5:$B$304,A48,'Trims Control'!$V$5:$V$304,"Ready")&gt;0,"Ready","Pending")))</f>
        <v/>
      </c>
      <c r="G48" s="20" t="str">
        <f>IF(A48="","",IFERROR(INDEX('PP Sample'!$V$5:$V$304,MATCH(A48,'PP Sample'!$B$5:$B$304,0)),"Pending"))</f>
        <v/>
      </c>
      <c r="H48" s="20" t="str">
        <f>IF(A48="","",IFERROR(INDEX('Production Readiness'!$S$5:$S$304,MATCH(A48,'Production Readiness'!$C$5:$C$304,0)),"Pending"))</f>
        <v/>
      </c>
      <c r="I48" s="20" t="str">
        <f>IF(A48="","",IFERROR(INDEX('Cutting Release'!$P$5:$P$304,MATCH(A48,'Cutting Release'!$C$5:$C$304,0)),"Pending"))</f>
        <v/>
      </c>
      <c r="J48" s="20" t="str">
        <f>IF(A48="","",SUMIF('Cutting Control'!$C$5:$C$304,A48,'Cutting Control'!$K$5:$K$304))</f>
        <v/>
      </c>
      <c r="K48" s="20" t="str">
        <f>IF(A48="","",IFERROR(INDEX('TOP Sample'!$W$5:$W$304,MATCH(A48,'TOP Sample'!$B$5:$B$304,0)),"Pending"))</f>
        <v/>
      </c>
      <c r="L48" s="20" t="str">
        <f>IF(A48="","",SUMIF('Sewing Production'!$E$5:$E$304,A48,'Sewing Production'!$L$5:$L$304))</f>
        <v/>
      </c>
      <c r="M48" s="20" t="str">
        <f>IF(A48="","",IFERROR(INDEX('Inline Quality'!$S$5:$S$304,MATCH(A48,'Inline Quality'!$E$5:$E$304,0)),"Pending"))</f>
        <v/>
      </c>
      <c r="N48" s="20" t="str">
        <f>IF(A48="","",IFERROR(INDEX('Final Inspection'!$U$5:$U$304,MATCH(A48,'Final Inspection'!$C$5:$C$304,0)),"Pending"))</f>
        <v/>
      </c>
      <c r="O48" s="20" t="str">
        <f>IF(A48="","",SUMIF('Packing Control'!$C$5:$C$304,A48,'Packing Control'!$K$5:$K$304))</f>
        <v/>
      </c>
      <c r="P48" s="20" t="str">
        <f>IF(A48="","",SUMIF('Finished Goods'!$C$5:$C$304,A48,'Finished Goods'!$J$5:$J$304))</f>
        <v/>
      </c>
      <c r="Q48" s="20" t="str">
        <f>IF(A48="","",SUMIF('Shipment Control'!$C$5:$C$304,A48,'Shipment Control'!$I$5:$I$304))</f>
        <v/>
      </c>
      <c r="R48" s="20" t="str">
        <f>IF(A48="","",SUMIF('Shipment Control'!$C$5:$C$304,A48,'Shipment Control'!$J$5:$J$304))</f>
        <v/>
      </c>
      <c r="S48" s="20" t="str">
        <f t="shared" si="1"/>
        <v/>
      </c>
      <c r="T48" s="21" t="str">
        <f>IF('FGPO Master'!A42="","",'FGPO Master'!I42)</f>
        <v/>
      </c>
      <c r="U48" s="7" t="str">
        <f>IF(A48="","",IF(COUNTIF('Open Issues'!$D$5:$D$304,A48)&gt;0,"Yellow","Green"))</f>
        <v/>
      </c>
      <c r="V48" s="7" t="str">
        <f>IF('FGPO Master'!A42="","",'FGPO Master'!U42)</f>
        <v/>
      </c>
    </row>
    <row r="49" spans="1:22">
      <c r="A49" s="7" t="str">
        <f>IF('FGPO Master'!A43="","",IF('FGPO Master'!D43="FGPO Pending","FGPO Pending",'FGPO Master'!B43))</f>
        <v/>
      </c>
      <c r="B49" s="7" t="str">
        <f>IF('FGPO Master'!A43="","",'FGPO Master'!F43)</f>
        <v/>
      </c>
      <c r="C49" s="7" t="str">
        <f>IF('FGPO Master'!A43="","",'FGPO Master'!G43)</f>
        <v/>
      </c>
      <c r="D49" s="20" t="str">
        <f>IF('FGPO Master'!A43="","",'FGPO Master'!H43)</f>
        <v/>
      </c>
      <c r="E49" s="20" t="str">
        <f>IF(A49="","",IF(SUMIF('Fabric Inventory'!$C$5:$C$304,A49,'Fabric Inventory'!$O$5:$O$304)&gt;0,"Shortage",IF(SUMIF('Fabric Inventory'!$C$5:$C$304,A49,'Fabric Inventory'!$H$5:$H$304)&gt;0,"Approved","Pending")))</f>
        <v/>
      </c>
      <c r="F49" s="20" t="str">
        <f>IF(A49="","",IF(SUMIF('Trims Control'!$B$5:$B$304,A49,'Trims Control'!$R$5:$R$304)&gt;0,"Shortage",IF(COUNTIFS('Trims Control'!$B$5:$B$304,A49,'Trims Control'!$V$5:$V$304,"Ready")&gt;0,"Ready","Pending")))</f>
        <v/>
      </c>
      <c r="G49" s="20" t="str">
        <f>IF(A49="","",IFERROR(INDEX('PP Sample'!$V$5:$V$304,MATCH(A49,'PP Sample'!$B$5:$B$304,0)),"Pending"))</f>
        <v/>
      </c>
      <c r="H49" s="20" t="str">
        <f>IF(A49="","",IFERROR(INDEX('Production Readiness'!$S$5:$S$304,MATCH(A49,'Production Readiness'!$C$5:$C$304,0)),"Pending"))</f>
        <v/>
      </c>
      <c r="I49" s="20" t="str">
        <f>IF(A49="","",IFERROR(INDEX('Cutting Release'!$P$5:$P$304,MATCH(A49,'Cutting Release'!$C$5:$C$304,0)),"Pending"))</f>
        <v/>
      </c>
      <c r="J49" s="20" t="str">
        <f>IF(A49="","",SUMIF('Cutting Control'!$C$5:$C$304,A49,'Cutting Control'!$K$5:$K$304))</f>
        <v/>
      </c>
      <c r="K49" s="20" t="str">
        <f>IF(A49="","",IFERROR(INDEX('TOP Sample'!$W$5:$W$304,MATCH(A49,'TOP Sample'!$B$5:$B$304,0)),"Pending"))</f>
        <v/>
      </c>
      <c r="L49" s="20" t="str">
        <f>IF(A49="","",SUMIF('Sewing Production'!$E$5:$E$304,A49,'Sewing Production'!$L$5:$L$304))</f>
        <v/>
      </c>
      <c r="M49" s="20" t="str">
        <f>IF(A49="","",IFERROR(INDEX('Inline Quality'!$S$5:$S$304,MATCH(A49,'Inline Quality'!$E$5:$E$304,0)),"Pending"))</f>
        <v/>
      </c>
      <c r="N49" s="20" t="str">
        <f>IF(A49="","",IFERROR(INDEX('Final Inspection'!$U$5:$U$304,MATCH(A49,'Final Inspection'!$C$5:$C$304,0)),"Pending"))</f>
        <v/>
      </c>
      <c r="O49" s="20" t="str">
        <f>IF(A49="","",SUMIF('Packing Control'!$C$5:$C$304,A49,'Packing Control'!$K$5:$K$304))</f>
        <v/>
      </c>
      <c r="P49" s="20" t="str">
        <f>IF(A49="","",SUMIF('Finished Goods'!$C$5:$C$304,A49,'Finished Goods'!$J$5:$J$304))</f>
        <v/>
      </c>
      <c r="Q49" s="20" t="str">
        <f>IF(A49="","",SUMIF('Shipment Control'!$C$5:$C$304,A49,'Shipment Control'!$I$5:$I$304))</f>
        <v/>
      </c>
      <c r="R49" s="20" t="str">
        <f>IF(A49="","",SUMIF('Shipment Control'!$C$5:$C$304,A49,'Shipment Control'!$J$5:$J$304))</f>
        <v/>
      </c>
      <c r="S49" s="20" t="str">
        <f t="shared" si="1"/>
        <v/>
      </c>
      <c r="T49" s="21" t="str">
        <f>IF('FGPO Master'!A43="","",'FGPO Master'!I43)</f>
        <v/>
      </c>
      <c r="U49" s="7" t="str">
        <f>IF(A49="","",IF(COUNTIF('Open Issues'!$D$5:$D$304,A49)&gt;0,"Yellow","Green"))</f>
        <v/>
      </c>
      <c r="V49" s="7" t="str">
        <f>IF('FGPO Master'!A43="","",'FGPO Master'!U43)</f>
        <v/>
      </c>
    </row>
    <row r="50" spans="1:22">
      <c r="A50" s="7" t="str">
        <f>IF('FGPO Master'!A44="","",IF('FGPO Master'!D44="FGPO Pending","FGPO Pending",'FGPO Master'!B44))</f>
        <v/>
      </c>
      <c r="B50" s="7" t="str">
        <f>IF('FGPO Master'!A44="","",'FGPO Master'!F44)</f>
        <v/>
      </c>
      <c r="C50" s="7" t="str">
        <f>IF('FGPO Master'!A44="","",'FGPO Master'!G44)</f>
        <v/>
      </c>
      <c r="D50" s="20" t="str">
        <f>IF('FGPO Master'!A44="","",'FGPO Master'!H44)</f>
        <v/>
      </c>
      <c r="E50" s="20" t="str">
        <f>IF(A50="","",IF(SUMIF('Fabric Inventory'!$C$5:$C$304,A50,'Fabric Inventory'!$O$5:$O$304)&gt;0,"Shortage",IF(SUMIF('Fabric Inventory'!$C$5:$C$304,A50,'Fabric Inventory'!$H$5:$H$304)&gt;0,"Approved","Pending")))</f>
        <v/>
      </c>
      <c r="F50" s="20" t="str">
        <f>IF(A50="","",IF(SUMIF('Trims Control'!$B$5:$B$304,A50,'Trims Control'!$R$5:$R$304)&gt;0,"Shortage",IF(COUNTIFS('Trims Control'!$B$5:$B$304,A50,'Trims Control'!$V$5:$V$304,"Ready")&gt;0,"Ready","Pending")))</f>
        <v/>
      </c>
      <c r="G50" s="20" t="str">
        <f>IF(A50="","",IFERROR(INDEX('PP Sample'!$V$5:$V$304,MATCH(A50,'PP Sample'!$B$5:$B$304,0)),"Pending"))</f>
        <v/>
      </c>
      <c r="H50" s="20" t="str">
        <f>IF(A50="","",IFERROR(INDEX('Production Readiness'!$S$5:$S$304,MATCH(A50,'Production Readiness'!$C$5:$C$304,0)),"Pending"))</f>
        <v/>
      </c>
      <c r="I50" s="20" t="str">
        <f>IF(A50="","",IFERROR(INDEX('Cutting Release'!$P$5:$P$304,MATCH(A50,'Cutting Release'!$C$5:$C$304,0)),"Pending"))</f>
        <v/>
      </c>
      <c r="J50" s="20" t="str">
        <f>IF(A50="","",SUMIF('Cutting Control'!$C$5:$C$304,A50,'Cutting Control'!$K$5:$K$304))</f>
        <v/>
      </c>
      <c r="K50" s="20" t="str">
        <f>IF(A50="","",IFERROR(INDEX('TOP Sample'!$W$5:$W$304,MATCH(A50,'TOP Sample'!$B$5:$B$304,0)),"Pending"))</f>
        <v/>
      </c>
      <c r="L50" s="20" t="str">
        <f>IF(A50="","",SUMIF('Sewing Production'!$E$5:$E$304,A50,'Sewing Production'!$L$5:$L$304))</f>
        <v/>
      </c>
      <c r="M50" s="20" t="str">
        <f>IF(A50="","",IFERROR(INDEX('Inline Quality'!$S$5:$S$304,MATCH(A50,'Inline Quality'!$E$5:$E$304,0)),"Pending"))</f>
        <v/>
      </c>
      <c r="N50" s="20" t="str">
        <f>IF(A50="","",IFERROR(INDEX('Final Inspection'!$U$5:$U$304,MATCH(A50,'Final Inspection'!$C$5:$C$304,0)),"Pending"))</f>
        <v/>
      </c>
      <c r="O50" s="20" t="str">
        <f>IF(A50="","",SUMIF('Packing Control'!$C$5:$C$304,A50,'Packing Control'!$K$5:$K$304))</f>
        <v/>
      </c>
      <c r="P50" s="20" t="str">
        <f>IF(A50="","",SUMIF('Finished Goods'!$C$5:$C$304,A50,'Finished Goods'!$J$5:$J$304))</f>
        <v/>
      </c>
      <c r="Q50" s="20" t="str">
        <f>IF(A50="","",SUMIF('Shipment Control'!$C$5:$C$304,A50,'Shipment Control'!$I$5:$I$304))</f>
        <v/>
      </c>
      <c r="R50" s="20" t="str">
        <f>IF(A50="","",SUMIF('Shipment Control'!$C$5:$C$304,A50,'Shipment Control'!$J$5:$J$304))</f>
        <v/>
      </c>
      <c r="S50" s="20" t="str">
        <f t="shared" si="1"/>
        <v/>
      </c>
      <c r="T50" s="21" t="str">
        <f>IF('FGPO Master'!A44="","",'FGPO Master'!I44)</f>
        <v/>
      </c>
      <c r="U50" s="7" t="str">
        <f>IF(A50="","",IF(COUNTIF('Open Issues'!$D$5:$D$304,A50)&gt;0,"Yellow","Green"))</f>
        <v/>
      </c>
      <c r="V50" s="7" t="str">
        <f>IF('FGPO Master'!A44="","",'FGPO Master'!U44)</f>
        <v/>
      </c>
    </row>
    <row r="51" spans="1:22">
      <c r="A51" s="7" t="str">
        <f>IF('FGPO Master'!A45="","",IF('FGPO Master'!D45="FGPO Pending","FGPO Pending",'FGPO Master'!B45))</f>
        <v/>
      </c>
      <c r="B51" s="7" t="str">
        <f>IF('FGPO Master'!A45="","",'FGPO Master'!F45)</f>
        <v/>
      </c>
      <c r="C51" s="7" t="str">
        <f>IF('FGPO Master'!A45="","",'FGPO Master'!G45)</f>
        <v/>
      </c>
      <c r="D51" s="20" t="str">
        <f>IF('FGPO Master'!A45="","",'FGPO Master'!H45)</f>
        <v/>
      </c>
      <c r="E51" s="20" t="str">
        <f>IF(A51="","",IF(SUMIF('Fabric Inventory'!$C$5:$C$304,A51,'Fabric Inventory'!$O$5:$O$304)&gt;0,"Shortage",IF(SUMIF('Fabric Inventory'!$C$5:$C$304,A51,'Fabric Inventory'!$H$5:$H$304)&gt;0,"Approved","Pending")))</f>
        <v/>
      </c>
      <c r="F51" s="20" t="str">
        <f>IF(A51="","",IF(SUMIF('Trims Control'!$B$5:$B$304,A51,'Trims Control'!$R$5:$R$304)&gt;0,"Shortage",IF(COUNTIFS('Trims Control'!$B$5:$B$304,A51,'Trims Control'!$V$5:$V$304,"Ready")&gt;0,"Ready","Pending")))</f>
        <v/>
      </c>
      <c r="G51" s="20" t="str">
        <f>IF(A51="","",IFERROR(INDEX('PP Sample'!$V$5:$V$304,MATCH(A51,'PP Sample'!$B$5:$B$304,0)),"Pending"))</f>
        <v/>
      </c>
      <c r="H51" s="20" t="str">
        <f>IF(A51="","",IFERROR(INDEX('Production Readiness'!$S$5:$S$304,MATCH(A51,'Production Readiness'!$C$5:$C$304,0)),"Pending"))</f>
        <v/>
      </c>
      <c r="I51" s="20" t="str">
        <f>IF(A51="","",IFERROR(INDEX('Cutting Release'!$P$5:$P$304,MATCH(A51,'Cutting Release'!$C$5:$C$304,0)),"Pending"))</f>
        <v/>
      </c>
      <c r="J51" s="20" t="str">
        <f>IF(A51="","",SUMIF('Cutting Control'!$C$5:$C$304,A51,'Cutting Control'!$K$5:$K$304))</f>
        <v/>
      </c>
      <c r="K51" s="20" t="str">
        <f>IF(A51="","",IFERROR(INDEX('TOP Sample'!$W$5:$W$304,MATCH(A51,'TOP Sample'!$B$5:$B$304,0)),"Pending"))</f>
        <v/>
      </c>
      <c r="L51" s="20" t="str">
        <f>IF(A51="","",SUMIF('Sewing Production'!$E$5:$E$304,A51,'Sewing Production'!$L$5:$L$304))</f>
        <v/>
      </c>
      <c r="M51" s="20" t="str">
        <f>IF(A51="","",IFERROR(INDEX('Inline Quality'!$S$5:$S$304,MATCH(A51,'Inline Quality'!$E$5:$E$304,0)),"Pending"))</f>
        <v/>
      </c>
      <c r="N51" s="20" t="str">
        <f>IF(A51="","",IFERROR(INDEX('Final Inspection'!$U$5:$U$304,MATCH(A51,'Final Inspection'!$C$5:$C$304,0)),"Pending"))</f>
        <v/>
      </c>
      <c r="O51" s="20" t="str">
        <f>IF(A51="","",SUMIF('Packing Control'!$C$5:$C$304,A51,'Packing Control'!$K$5:$K$304))</f>
        <v/>
      </c>
      <c r="P51" s="20" t="str">
        <f>IF(A51="","",SUMIF('Finished Goods'!$C$5:$C$304,A51,'Finished Goods'!$J$5:$J$304))</f>
        <v/>
      </c>
      <c r="Q51" s="20" t="str">
        <f>IF(A51="","",SUMIF('Shipment Control'!$C$5:$C$304,A51,'Shipment Control'!$I$5:$I$304))</f>
        <v/>
      </c>
      <c r="R51" s="20" t="str">
        <f>IF(A51="","",SUMIF('Shipment Control'!$C$5:$C$304,A51,'Shipment Control'!$J$5:$J$304))</f>
        <v/>
      </c>
      <c r="S51" s="20" t="str">
        <f t="shared" si="1"/>
        <v/>
      </c>
      <c r="T51" s="21" t="str">
        <f>IF('FGPO Master'!A45="","",'FGPO Master'!I45)</f>
        <v/>
      </c>
      <c r="U51" s="7" t="str">
        <f>IF(A51="","",IF(COUNTIF('Open Issues'!$D$5:$D$304,A51)&gt;0,"Yellow","Green"))</f>
        <v/>
      </c>
      <c r="V51" s="7" t="str">
        <f>IF('FGPO Master'!A45="","",'FGPO Master'!U45)</f>
        <v/>
      </c>
    </row>
    <row r="52" spans="1:22">
      <c r="A52" s="7" t="str">
        <f>IF('FGPO Master'!A46="","",IF('FGPO Master'!D46="FGPO Pending","FGPO Pending",'FGPO Master'!B46))</f>
        <v/>
      </c>
      <c r="B52" s="7" t="str">
        <f>IF('FGPO Master'!A46="","",'FGPO Master'!F46)</f>
        <v/>
      </c>
      <c r="C52" s="7" t="str">
        <f>IF('FGPO Master'!A46="","",'FGPO Master'!G46)</f>
        <v/>
      </c>
      <c r="D52" s="20" t="str">
        <f>IF('FGPO Master'!A46="","",'FGPO Master'!H46)</f>
        <v/>
      </c>
      <c r="E52" s="20" t="str">
        <f>IF(A52="","",IF(SUMIF('Fabric Inventory'!$C$5:$C$304,A52,'Fabric Inventory'!$O$5:$O$304)&gt;0,"Shortage",IF(SUMIF('Fabric Inventory'!$C$5:$C$304,A52,'Fabric Inventory'!$H$5:$H$304)&gt;0,"Approved","Pending")))</f>
        <v/>
      </c>
      <c r="F52" s="20" t="str">
        <f>IF(A52="","",IF(SUMIF('Trims Control'!$B$5:$B$304,A52,'Trims Control'!$R$5:$R$304)&gt;0,"Shortage",IF(COUNTIFS('Trims Control'!$B$5:$B$304,A52,'Trims Control'!$V$5:$V$304,"Ready")&gt;0,"Ready","Pending")))</f>
        <v/>
      </c>
      <c r="G52" s="20" t="str">
        <f>IF(A52="","",IFERROR(INDEX('PP Sample'!$V$5:$V$304,MATCH(A52,'PP Sample'!$B$5:$B$304,0)),"Pending"))</f>
        <v/>
      </c>
      <c r="H52" s="20" t="str">
        <f>IF(A52="","",IFERROR(INDEX('Production Readiness'!$S$5:$S$304,MATCH(A52,'Production Readiness'!$C$5:$C$304,0)),"Pending"))</f>
        <v/>
      </c>
      <c r="I52" s="20" t="str">
        <f>IF(A52="","",IFERROR(INDEX('Cutting Release'!$P$5:$P$304,MATCH(A52,'Cutting Release'!$C$5:$C$304,0)),"Pending"))</f>
        <v/>
      </c>
      <c r="J52" s="20" t="str">
        <f>IF(A52="","",SUMIF('Cutting Control'!$C$5:$C$304,A52,'Cutting Control'!$K$5:$K$304))</f>
        <v/>
      </c>
      <c r="K52" s="20" t="str">
        <f>IF(A52="","",IFERROR(INDEX('TOP Sample'!$W$5:$W$304,MATCH(A52,'TOP Sample'!$B$5:$B$304,0)),"Pending"))</f>
        <v/>
      </c>
      <c r="L52" s="20" t="str">
        <f>IF(A52="","",SUMIF('Sewing Production'!$E$5:$E$304,A52,'Sewing Production'!$L$5:$L$304))</f>
        <v/>
      </c>
      <c r="M52" s="20" t="str">
        <f>IF(A52="","",IFERROR(INDEX('Inline Quality'!$S$5:$S$304,MATCH(A52,'Inline Quality'!$E$5:$E$304,0)),"Pending"))</f>
        <v/>
      </c>
      <c r="N52" s="20" t="str">
        <f>IF(A52="","",IFERROR(INDEX('Final Inspection'!$U$5:$U$304,MATCH(A52,'Final Inspection'!$C$5:$C$304,0)),"Pending"))</f>
        <v/>
      </c>
      <c r="O52" s="20" t="str">
        <f>IF(A52="","",SUMIF('Packing Control'!$C$5:$C$304,A52,'Packing Control'!$K$5:$K$304))</f>
        <v/>
      </c>
      <c r="P52" s="20" t="str">
        <f>IF(A52="","",SUMIF('Finished Goods'!$C$5:$C$304,A52,'Finished Goods'!$J$5:$J$304))</f>
        <v/>
      </c>
      <c r="Q52" s="20" t="str">
        <f>IF(A52="","",SUMIF('Shipment Control'!$C$5:$C$304,A52,'Shipment Control'!$I$5:$I$304))</f>
        <v/>
      </c>
      <c r="R52" s="20" t="str">
        <f>IF(A52="","",SUMIF('Shipment Control'!$C$5:$C$304,A52,'Shipment Control'!$J$5:$J$304))</f>
        <v/>
      </c>
      <c r="S52" s="20" t="str">
        <f t="shared" si="1"/>
        <v/>
      </c>
      <c r="T52" s="21" t="str">
        <f>IF('FGPO Master'!A46="","",'FGPO Master'!I46)</f>
        <v/>
      </c>
      <c r="U52" s="7" t="str">
        <f>IF(A52="","",IF(COUNTIF('Open Issues'!$D$5:$D$304,A52)&gt;0,"Yellow","Green"))</f>
        <v/>
      </c>
      <c r="V52" s="7" t="str">
        <f>IF('FGPO Master'!A46="","",'FGPO Master'!U46)</f>
        <v/>
      </c>
    </row>
    <row r="53" spans="1:22">
      <c r="A53" s="7" t="str">
        <f>IF('FGPO Master'!A47="","",IF('FGPO Master'!D47="FGPO Pending","FGPO Pending",'FGPO Master'!B47))</f>
        <v/>
      </c>
      <c r="B53" s="7" t="str">
        <f>IF('FGPO Master'!A47="","",'FGPO Master'!F47)</f>
        <v/>
      </c>
      <c r="C53" s="7" t="str">
        <f>IF('FGPO Master'!A47="","",'FGPO Master'!G47)</f>
        <v/>
      </c>
      <c r="D53" s="20" t="str">
        <f>IF('FGPO Master'!A47="","",'FGPO Master'!H47)</f>
        <v/>
      </c>
      <c r="E53" s="20" t="str">
        <f>IF(A53="","",IF(SUMIF('Fabric Inventory'!$C$5:$C$304,A53,'Fabric Inventory'!$O$5:$O$304)&gt;0,"Shortage",IF(SUMIF('Fabric Inventory'!$C$5:$C$304,A53,'Fabric Inventory'!$H$5:$H$304)&gt;0,"Approved","Pending")))</f>
        <v/>
      </c>
      <c r="F53" s="20" t="str">
        <f>IF(A53="","",IF(SUMIF('Trims Control'!$B$5:$B$304,A53,'Trims Control'!$R$5:$R$304)&gt;0,"Shortage",IF(COUNTIFS('Trims Control'!$B$5:$B$304,A53,'Trims Control'!$V$5:$V$304,"Ready")&gt;0,"Ready","Pending")))</f>
        <v/>
      </c>
      <c r="G53" s="20" t="str">
        <f>IF(A53="","",IFERROR(INDEX('PP Sample'!$V$5:$V$304,MATCH(A53,'PP Sample'!$B$5:$B$304,0)),"Pending"))</f>
        <v/>
      </c>
      <c r="H53" s="20" t="str">
        <f>IF(A53="","",IFERROR(INDEX('Production Readiness'!$S$5:$S$304,MATCH(A53,'Production Readiness'!$C$5:$C$304,0)),"Pending"))</f>
        <v/>
      </c>
      <c r="I53" s="20" t="str">
        <f>IF(A53="","",IFERROR(INDEX('Cutting Release'!$P$5:$P$304,MATCH(A53,'Cutting Release'!$C$5:$C$304,0)),"Pending"))</f>
        <v/>
      </c>
      <c r="J53" s="20" t="str">
        <f>IF(A53="","",SUMIF('Cutting Control'!$C$5:$C$304,A53,'Cutting Control'!$K$5:$K$304))</f>
        <v/>
      </c>
      <c r="K53" s="20" t="str">
        <f>IF(A53="","",IFERROR(INDEX('TOP Sample'!$W$5:$W$304,MATCH(A53,'TOP Sample'!$B$5:$B$304,0)),"Pending"))</f>
        <v/>
      </c>
      <c r="L53" s="20" t="str">
        <f>IF(A53="","",SUMIF('Sewing Production'!$E$5:$E$304,A53,'Sewing Production'!$L$5:$L$304))</f>
        <v/>
      </c>
      <c r="M53" s="20" t="str">
        <f>IF(A53="","",IFERROR(INDEX('Inline Quality'!$S$5:$S$304,MATCH(A53,'Inline Quality'!$E$5:$E$304,0)),"Pending"))</f>
        <v/>
      </c>
      <c r="N53" s="20" t="str">
        <f>IF(A53="","",IFERROR(INDEX('Final Inspection'!$U$5:$U$304,MATCH(A53,'Final Inspection'!$C$5:$C$304,0)),"Pending"))</f>
        <v/>
      </c>
      <c r="O53" s="20" t="str">
        <f>IF(A53="","",SUMIF('Packing Control'!$C$5:$C$304,A53,'Packing Control'!$K$5:$K$304))</f>
        <v/>
      </c>
      <c r="P53" s="20" t="str">
        <f>IF(A53="","",SUMIF('Finished Goods'!$C$5:$C$304,A53,'Finished Goods'!$J$5:$J$304))</f>
        <v/>
      </c>
      <c r="Q53" s="20" t="str">
        <f>IF(A53="","",SUMIF('Shipment Control'!$C$5:$C$304,A53,'Shipment Control'!$I$5:$I$304))</f>
        <v/>
      </c>
      <c r="R53" s="20" t="str">
        <f>IF(A53="","",SUMIF('Shipment Control'!$C$5:$C$304,A53,'Shipment Control'!$J$5:$J$304))</f>
        <v/>
      </c>
      <c r="S53" s="20" t="str">
        <f t="shared" si="1"/>
        <v/>
      </c>
      <c r="T53" s="21" t="str">
        <f>IF('FGPO Master'!A47="","",'FGPO Master'!I47)</f>
        <v/>
      </c>
      <c r="U53" s="7" t="str">
        <f>IF(A53="","",IF(COUNTIF('Open Issues'!$D$5:$D$304,A53)&gt;0,"Yellow","Green"))</f>
        <v/>
      </c>
      <c r="V53" s="7" t="str">
        <f>IF('FGPO Master'!A47="","",'FGPO Master'!U47)</f>
        <v/>
      </c>
    </row>
    <row r="54" spans="1:22">
      <c r="A54" s="7" t="str">
        <f>IF('FGPO Master'!A48="","",IF('FGPO Master'!D48="FGPO Pending","FGPO Pending",'FGPO Master'!B48))</f>
        <v/>
      </c>
      <c r="B54" s="7" t="str">
        <f>IF('FGPO Master'!A48="","",'FGPO Master'!F48)</f>
        <v/>
      </c>
      <c r="C54" s="7" t="str">
        <f>IF('FGPO Master'!A48="","",'FGPO Master'!G48)</f>
        <v/>
      </c>
      <c r="D54" s="20" t="str">
        <f>IF('FGPO Master'!A48="","",'FGPO Master'!H48)</f>
        <v/>
      </c>
      <c r="E54" s="20" t="str">
        <f>IF(A54="","",IF(SUMIF('Fabric Inventory'!$C$5:$C$304,A54,'Fabric Inventory'!$O$5:$O$304)&gt;0,"Shortage",IF(SUMIF('Fabric Inventory'!$C$5:$C$304,A54,'Fabric Inventory'!$H$5:$H$304)&gt;0,"Approved","Pending")))</f>
        <v/>
      </c>
      <c r="F54" s="20" t="str">
        <f>IF(A54="","",IF(SUMIF('Trims Control'!$B$5:$B$304,A54,'Trims Control'!$R$5:$R$304)&gt;0,"Shortage",IF(COUNTIFS('Trims Control'!$B$5:$B$304,A54,'Trims Control'!$V$5:$V$304,"Ready")&gt;0,"Ready","Pending")))</f>
        <v/>
      </c>
      <c r="G54" s="20" t="str">
        <f>IF(A54="","",IFERROR(INDEX('PP Sample'!$V$5:$V$304,MATCH(A54,'PP Sample'!$B$5:$B$304,0)),"Pending"))</f>
        <v/>
      </c>
      <c r="H54" s="20" t="str">
        <f>IF(A54="","",IFERROR(INDEX('Production Readiness'!$S$5:$S$304,MATCH(A54,'Production Readiness'!$C$5:$C$304,0)),"Pending"))</f>
        <v/>
      </c>
      <c r="I54" s="20" t="str">
        <f>IF(A54="","",IFERROR(INDEX('Cutting Release'!$P$5:$P$304,MATCH(A54,'Cutting Release'!$C$5:$C$304,0)),"Pending"))</f>
        <v/>
      </c>
      <c r="J54" s="20" t="str">
        <f>IF(A54="","",SUMIF('Cutting Control'!$C$5:$C$304,A54,'Cutting Control'!$K$5:$K$304))</f>
        <v/>
      </c>
      <c r="K54" s="20" t="str">
        <f>IF(A54="","",IFERROR(INDEX('TOP Sample'!$W$5:$W$304,MATCH(A54,'TOP Sample'!$B$5:$B$304,0)),"Pending"))</f>
        <v/>
      </c>
      <c r="L54" s="20" t="str">
        <f>IF(A54="","",SUMIF('Sewing Production'!$E$5:$E$304,A54,'Sewing Production'!$L$5:$L$304))</f>
        <v/>
      </c>
      <c r="M54" s="20" t="str">
        <f>IF(A54="","",IFERROR(INDEX('Inline Quality'!$S$5:$S$304,MATCH(A54,'Inline Quality'!$E$5:$E$304,0)),"Pending"))</f>
        <v/>
      </c>
      <c r="N54" s="20" t="str">
        <f>IF(A54="","",IFERROR(INDEX('Final Inspection'!$U$5:$U$304,MATCH(A54,'Final Inspection'!$C$5:$C$304,0)),"Pending"))</f>
        <v/>
      </c>
      <c r="O54" s="20" t="str">
        <f>IF(A54="","",SUMIF('Packing Control'!$C$5:$C$304,A54,'Packing Control'!$K$5:$K$304))</f>
        <v/>
      </c>
      <c r="P54" s="20" t="str">
        <f>IF(A54="","",SUMIF('Finished Goods'!$C$5:$C$304,A54,'Finished Goods'!$J$5:$J$304))</f>
        <v/>
      </c>
      <c r="Q54" s="20" t="str">
        <f>IF(A54="","",SUMIF('Shipment Control'!$C$5:$C$304,A54,'Shipment Control'!$I$5:$I$304))</f>
        <v/>
      </c>
      <c r="R54" s="20" t="str">
        <f>IF(A54="","",SUMIF('Shipment Control'!$C$5:$C$304,A54,'Shipment Control'!$J$5:$J$304))</f>
        <v/>
      </c>
      <c r="S54" s="20" t="str">
        <f t="shared" si="1"/>
        <v/>
      </c>
      <c r="T54" s="21" t="str">
        <f>IF('FGPO Master'!A48="","",'FGPO Master'!I48)</f>
        <v/>
      </c>
      <c r="U54" s="7" t="str">
        <f>IF(A54="","",IF(COUNTIF('Open Issues'!$D$5:$D$304,A54)&gt;0,"Yellow","Green"))</f>
        <v/>
      </c>
      <c r="V54" s="7" t="str">
        <f>IF('FGPO Master'!A48="","",'FGPO Master'!U48)</f>
        <v/>
      </c>
    </row>
    <row r="55" spans="1:22">
      <c r="A55" s="7" t="str">
        <f>IF('FGPO Master'!A49="","",IF('FGPO Master'!D49="FGPO Pending","FGPO Pending",'FGPO Master'!B49))</f>
        <v/>
      </c>
      <c r="B55" s="7" t="str">
        <f>IF('FGPO Master'!A49="","",'FGPO Master'!F49)</f>
        <v/>
      </c>
      <c r="C55" s="7" t="str">
        <f>IF('FGPO Master'!A49="","",'FGPO Master'!G49)</f>
        <v/>
      </c>
      <c r="D55" s="20" t="str">
        <f>IF('FGPO Master'!A49="","",'FGPO Master'!H49)</f>
        <v/>
      </c>
      <c r="E55" s="20" t="str">
        <f>IF(A55="","",IF(SUMIF('Fabric Inventory'!$C$5:$C$304,A55,'Fabric Inventory'!$O$5:$O$304)&gt;0,"Shortage",IF(SUMIF('Fabric Inventory'!$C$5:$C$304,A55,'Fabric Inventory'!$H$5:$H$304)&gt;0,"Approved","Pending")))</f>
        <v/>
      </c>
      <c r="F55" s="20" t="str">
        <f>IF(A55="","",IF(SUMIF('Trims Control'!$B$5:$B$304,A55,'Trims Control'!$R$5:$R$304)&gt;0,"Shortage",IF(COUNTIFS('Trims Control'!$B$5:$B$304,A55,'Trims Control'!$V$5:$V$304,"Ready")&gt;0,"Ready","Pending")))</f>
        <v/>
      </c>
      <c r="G55" s="20" t="str">
        <f>IF(A55="","",IFERROR(INDEX('PP Sample'!$V$5:$V$304,MATCH(A55,'PP Sample'!$B$5:$B$304,0)),"Pending"))</f>
        <v/>
      </c>
      <c r="H55" s="20" t="str">
        <f>IF(A55="","",IFERROR(INDEX('Production Readiness'!$S$5:$S$304,MATCH(A55,'Production Readiness'!$C$5:$C$304,0)),"Pending"))</f>
        <v/>
      </c>
      <c r="I55" s="20" t="str">
        <f>IF(A55="","",IFERROR(INDEX('Cutting Release'!$P$5:$P$304,MATCH(A55,'Cutting Release'!$C$5:$C$304,0)),"Pending"))</f>
        <v/>
      </c>
      <c r="J55" s="20" t="str">
        <f>IF(A55="","",SUMIF('Cutting Control'!$C$5:$C$304,A55,'Cutting Control'!$K$5:$K$304))</f>
        <v/>
      </c>
      <c r="K55" s="20" t="str">
        <f>IF(A55="","",IFERROR(INDEX('TOP Sample'!$W$5:$W$304,MATCH(A55,'TOP Sample'!$B$5:$B$304,0)),"Pending"))</f>
        <v/>
      </c>
      <c r="L55" s="20" t="str">
        <f>IF(A55="","",SUMIF('Sewing Production'!$E$5:$E$304,A55,'Sewing Production'!$L$5:$L$304))</f>
        <v/>
      </c>
      <c r="M55" s="20" t="str">
        <f>IF(A55="","",IFERROR(INDEX('Inline Quality'!$S$5:$S$304,MATCH(A55,'Inline Quality'!$E$5:$E$304,0)),"Pending"))</f>
        <v/>
      </c>
      <c r="N55" s="20" t="str">
        <f>IF(A55="","",IFERROR(INDEX('Final Inspection'!$U$5:$U$304,MATCH(A55,'Final Inspection'!$C$5:$C$304,0)),"Pending"))</f>
        <v/>
      </c>
      <c r="O55" s="20" t="str">
        <f>IF(A55="","",SUMIF('Packing Control'!$C$5:$C$304,A55,'Packing Control'!$K$5:$K$304))</f>
        <v/>
      </c>
      <c r="P55" s="20" t="str">
        <f>IF(A55="","",SUMIF('Finished Goods'!$C$5:$C$304,A55,'Finished Goods'!$J$5:$J$304))</f>
        <v/>
      </c>
      <c r="Q55" s="20" t="str">
        <f>IF(A55="","",SUMIF('Shipment Control'!$C$5:$C$304,A55,'Shipment Control'!$I$5:$I$304))</f>
        <v/>
      </c>
      <c r="R55" s="20" t="str">
        <f>IF(A55="","",SUMIF('Shipment Control'!$C$5:$C$304,A55,'Shipment Control'!$J$5:$J$304))</f>
        <v/>
      </c>
      <c r="S55" s="20" t="str">
        <f t="shared" si="1"/>
        <v/>
      </c>
      <c r="T55" s="21" t="str">
        <f>IF('FGPO Master'!A49="","",'FGPO Master'!I49)</f>
        <v/>
      </c>
      <c r="U55" s="7" t="str">
        <f>IF(A55="","",IF(COUNTIF('Open Issues'!$D$5:$D$304,A55)&gt;0,"Yellow","Green"))</f>
        <v/>
      </c>
      <c r="V55" s="7" t="str">
        <f>IF('FGPO Master'!A49="","",'FGPO Master'!U49)</f>
        <v/>
      </c>
    </row>
    <row r="56" spans="1:22">
      <c r="A56" s="7" t="str">
        <f>IF('FGPO Master'!A50="","",IF('FGPO Master'!D50="FGPO Pending","FGPO Pending",'FGPO Master'!B50))</f>
        <v/>
      </c>
      <c r="B56" s="7" t="str">
        <f>IF('FGPO Master'!A50="","",'FGPO Master'!F50)</f>
        <v/>
      </c>
      <c r="C56" s="7" t="str">
        <f>IF('FGPO Master'!A50="","",'FGPO Master'!G50)</f>
        <v/>
      </c>
      <c r="D56" s="20" t="str">
        <f>IF('FGPO Master'!A50="","",'FGPO Master'!H50)</f>
        <v/>
      </c>
      <c r="E56" s="20" t="str">
        <f>IF(A56="","",IF(SUMIF('Fabric Inventory'!$C$5:$C$304,A56,'Fabric Inventory'!$O$5:$O$304)&gt;0,"Shortage",IF(SUMIF('Fabric Inventory'!$C$5:$C$304,A56,'Fabric Inventory'!$H$5:$H$304)&gt;0,"Approved","Pending")))</f>
        <v/>
      </c>
      <c r="F56" s="20" t="str">
        <f>IF(A56="","",IF(SUMIF('Trims Control'!$B$5:$B$304,A56,'Trims Control'!$R$5:$R$304)&gt;0,"Shortage",IF(COUNTIFS('Trims Control'!$B$5:$B$304,A56,'Trims Control'!$V$5:$V$304,"Ready")&gt;0,"Ready","Pending")))</f>
        <v/>
      </c>
      <c r="G56" s="20" t="str">
        <f>IF(A56="","",IFERROR(INDEX('PP Sample'!$V$5:$V$304,MATCH(A56,'PP Sample'!$B$5:$B$304,0)),"Pending"))</f>
        <v/>
      </c>
      <c r="H56" s="20" t="str">
        <f>IF(A56="","",IFERROR(INDEX('Production Readiness'!$S$5:$S$304,MATCH(A56,'Production Readiness'!$C$5:$C$304,0)),"Pending"))</f>
        <v/>
      </c>
      <c r="I56" s="20" t="str">
        <f>IF(A56="","",IFERROR(INDEX('Cutting Release'!$P$5:$P$304,MATCH(A56,'Cutting Release'!$C$5:$C$304,0)),"Pending"))</f>
        <v/>
      </c>
      <c r="J56" s="20" t="str">
        <f>IF(A56="","",SUMIF('Cutting Control'!$C$5:$C$304,A56,'Cutting Control'!$K$5:$K$304))</f>
        <v/>
      </c>
      <c r="K56" s="20" t="str">
        <f>IF(A56="","",IFERROR(INDEX('TOP Sample'!$W$5:$W$304,MATCH(A56,'TOP Sample'!$B$5:$B$304,0)),"Pending"))</f>
        <v/>
      </c>
      <c r="L56" s="20" t="str">
        <f>IF(A56="","",SUMIF('Sewing Production'!$E$5:$E$304,A56,'Sewing Production'!$L$5:$L$304))</f>
        <v/>
      </c>
      <c r="M56" s="20" t="str">
        <f>IF(A56="","",IFERROR(INDEX('Inline Quality'!$S$5:$S$304,MATCH(A56,'Inline Quality'!$E$5:$E$304,0)),"Pending"))</f>
        <v/>
      </c>
      <c r="N56" s="20" t="str">
        <f>IF(A56="","",IFERROR(INDEX('Final Inspection'!$U$5:$U$304,MATCH(A56,'Final Inspection'!$C$5:$C$304,0)),"Pending"))</f>
        <v/>
      </c>
      <c r="O56" s="20" t="str">
        <f>IF(A56="","",SUMIF('Packing Control'!$C$5:$C$304,A56,'Packing Control'!$K$5:$K$304))</f>
        <v/>
      </c>
      <c r="P56" s="20" t="str">
        <f>IF(A56="","",SUMIF('Finished Goods'!$C$5:$C$304,A56,'Finished Goods'!$J$5:$J$304))</f>
        <v/>
      </c>
      <c r="Q56" s="20" t="str">
        <f>IF(A56="","",SUMIF('Shipment Control'!$C$5:$C$304,A56,'Shipment Control'!$I$5:$I$304))</f>
        <v/>
      </c>
      <c r="R56" s="20" t="str">
        <f>IF(A56="","",SUMIF('Shipment Control'!$C$5:$C$304,A56,'Shipment Control'!$J$5:$J$304))</f>
        <v/>
      </c>
      <c r="S56" s="20" t="str">
        <f t="shared" si="1"/>
        <v/>
      </c>
      <c r="T56" s="21" t="str">
        <f>IF('FGPO Master'!A50="","",'FGPO Master'!I50)</f>
        <v/>
      </c>
      <c r="U56" s="7" t="str">
        <f>IF(A56="","",IF(COUNTIF('Open Issues'!$D$5:$D$304,A56)&gt;0,"Yellow","Green"))</f>
        <v/>
      </c>
      <c r="V56" s="7" t="str">
        <f>IF('FGPO Master'!A50="","",'FGPO Master'!U50)</f>
        <v/>
      </c>
    </row>
    <row r="57" spans="1:22">
      <c r="A57" s="7" t="str">
        <f>IF('FGPO Master'!A51="","",IF('FGPO Master'!D51="FGPO Pending","FGPO Pending",'FGPO Master'!B51))</f>
        <v/>
      </c>
      <c r="B57" s="7" t="str">
        <f>IF('FGPO Master'!A51="","",'FGPO Master'!F51)</f>
        <v/>
      </c>
      <c r="C57" s="7" t="str">
        <f>IF('FGPO Master'!A51="","",'FGPO Master'!G51)</f>
        <v/>
      </c>
      <c r="D57" s="20" t="str">
        <f>IF('FGPO Master'!A51="","",'FGPO Master'!H51)</f>
        <v/>
      </c>
      <c r="E57" s="20" t="str">
        <f>IF(A57="","",IF(SUMIF('Fabric Inventory'!$C$5:$C$304,A57,'Fabric Inventory'!$O$5:$O$304)&gt;0,"Shortage",IF(SUMIF('Fabric Inventory'!$C$5:$C$304,A57,'Fabric Inventory'!$H$5:$H$304)&gt;0,"Approved","Pending")))</f>
        <v/>
      </c>
      <c r="F57" s="20" t="str">
        <f>IF(A57="","",IF(SUMIF('Trims Control'!$B$5:$B$304,A57,'Trims Control'!$R$5:$R$304)&gt;0,"Shortage",IF(COUNTIFS('Trims Control'!$B$5:$B$304,A57,'Trims Control'!$V$5:$V$304,"Ready")&gt;0,"Ready","Pending")))</f>
        <v/>
      </c>
      <c r="G57" s="20" t="str">
        <f>IF(A57="","",IFERROR(INDEX('PP Sample'!$V$5:$V$304,MATCH(A57,'PP Sample'!$B$5:$B$304,0)),"Pending"))</f>
        <v/>
      </c>
      <c r="H57" s="20" t="str">
        <f>IF(A57="","",IFERROR(INDEX('Production Readiness'!$S$5:$S$304,MATCH(A57,'Production Readiness'!$C$5:$C$304,0)),"Pending"))</f>
        <v/>
      </c>
      <c r="I57" s="20" t="str">
        <f>IF(A57="","",IFERROR(INDEX('Cutting Release'!$P$5:$P$304,MATCH(A57,'Cutting Release'!$C$5:$C$304,0)),"Pending"))</f>
        <v/>
      </c>
      <c r="J57" s="20" t="str">
        <f>IF(A57="","",SUMIF('Cutting Control'!$C$5:$C$304,A57,'Cutting Control'!$K$5:$K$304))</f>
        <v/>
      </c>
      <c r="K57" s="20" t="str">
        <f>IF(A57="","",IFERROR(INDEX('TOP Sample'!$W$5:$W$304,MATCH(A57,'TOP Sample'!$B$5:$B$304,0)),"Pending"))</f>
        <v/>
      </c>
      <c r="L57" s="20" t="str">
        <f>IF(A57="","",SUMIF('Sewing Production'!$E$5:$E$304,A57,'Sewing Production'!$L$5:$L$304))</f>
        <v/>
      </c>
      <c r="M57" s="20" t="str">
        <f>IF(A57="","",IFERROR(INDEX('Inline Quality'!$S$5:$S$304,MATCH(A57,'Inline Quality'!$E$5:$E$304,0)),"Pending"))</f>
        <v/>
      </c>
      <c r="N57" s="20" t="str">
        <f>IF(A57="","",IFERROR(INDEX('Final Inspection'!$U$5:$U$304,MATCH(A57,'Final Inspection'!$C$5:$C$304,0)),"Pending"))</f>
        <v/>
      </c>
      <c r="O57" s="20" t="str">
        <f>IF(A57="","",SUMIF('Packing Control'!$C$5:$C$304,A57,'Packing Control'!$K$5:$K$304))</f>
        <v/>
      </c>
      <c r="P57" s="20" t="str">
        <f>IF(A57="","",SUMIF('Finished Goods'!$C$5:$C$304,A57,'Finished Goods'!$J$5:$J$304))</f>
        <v/>
      </c>
      <c r="Q57" s="20" t="str">
        <f>IF(A57="","",SUMIF('Shipment Control'!$C$5:$C$304,A57,'Shipment Control'!$I$5:$I$304))</f>
        <v/>
      </c>
      <c r="R57" s="20" t="str">
        <f>IF(A57="","",SUMIF('Shipment Control'!$C$5:$C$304,A57,'Shipment Control'!$J$5:$J$304))</f>
        <v/>
      </c>
      <c r="S57" s="20" t="str">
        <f t="shared" si="1"/>
        <v/>
      </c>
      <c r="T57" s="21" t="str">
        <f>IF('FGPO Master'!A51="","",'FGPO Master'!I51)</f>
        <v/>
      </c>
      <c r="U57" s="7" t="str">
        <f>IF(A57="","",IF(COUNTIF('Open Issues'!$D$5:$D$304,A57)&gt;0,"Yellow","Green"))</f>
        <v/>
      </c>
      <c r="V57" s="7" t="str">
        <f>IF('FGPO Master'!A51="","",'FGPO Master'!U51)</f>
        <v/>
      </c>
    </row>
    <row r="58" spans="1:22">
      <c r="A58" s="7" t="str">
        <f>IF('FGPO Master'!A52="","",IF('FGPO Master'!D52="FGPO Pending","FGPO Pending",'FGPO Master'!B52))</f>
        <v/>
      </c>
      <c r="B58" s="7" t="str">
        <f>IF('FGPO Master'!A52="","",'FGPO Master'!F52)</f>
        <v/>
      </c>
      <c r="C58" s="7" t="str">
        <f>IF('FGPO Master'!A52="","",'FGPO Master'!G52)</f>
        <v/>
      </c>
      <c r="D58" s="20" t="str">
        <f>IF('FGPO Master'!A52="","",'FGPO Master'!H52)</f>
        <v/>
      </c>
      <c r="E58" s="20" t="str">
        <f>IF(A58="","",IF(SUMIF('Fabric Inventory'!$C$5:$C$304,A58,'Fabric Inventory'!$O$5:$O$304)&gt;0,"Shortage",IF(SUMIF('Fabric Inventory'!$C$5:$C$304,A58,'Fabric Inventory'!$H$5:$H$304)&gt;0,"Approved","Pending")))</f>
        <v/>
      </c>
      <c r="F58" s="20" t="str">
        <f>IF(A58="","",IF(SUMIF('Trims Control'!$B$5:$B$304,A58,'Trims Control'!$R$5:$R$304)&gt;0,"Shortage",IF(COUNTIFS('Trims Control'!$B$5:$B$304,A58,'Trims Control'!$V$5:$V$304,"Ready")&gt;0,"Ready","Pending")))</f>
        <v/>
      </c>
      <c r="G58" s="20" t="str">
        <f>IF(A58="","",IFERROR(INDEX('PP Sample'!$V$5:$V$304,MATCH(A58,'PP Sample'!$B$5:$B$304,0)),"Pending"))</f>
        <v/>
      </c>
      <c r="H58" s="20" t="str">
        <f>IF(A58="","",IFERROR(INDEX('Production Readiness'!$S$5:$S$304,MATCH(A58,'Production Readiness'!$C$5:$C$304,0)),"Pending"))</f>
        <v/>
      </c>
      <c r="I58" s="20" t="str">
        <f>IF(A58="","",IFERROR(INDEX('Cutting Release'!$P$5:$P$304,MATCH(A58,'Cutting Release'!$C$5:$C$304,0)),"Pending"))</f>
        <v/>
      </c>
      <c r="J58" s="20" t="str">
        <f>IF(A58="","",SUMIF('Cutting Control'!$C$5:$C$304,A58,'Cutting Control'!$K$5:$K$304))</f>
        <v/>
      </c>
      <c r="K58" s="20" t="str">
        <f>IF(A58="","",IFERROR(INDEX('TOP Sample'!$W$5:$W$304,MATCH(A58,'TOP Sample'!$B$5:$B$304,0)),"Pending"))</f>
        <v/>
      </c>
      <c r="L58" s="20" t="str">
        <f>IF(A58="","",SUMIF('Sewing Production'!$E$5:$E$304,A58,'Sewing Production'!$L$5:$L$304))</f>
        <v/>
      </c>
      <c r="M58" s="20" t="str">
        <f>IF(A58="","",IFERROR(INDEX('Inline Quality'!$S$5:$S$304,MATCH(A58,'Inline Quality'!$E$5:$E$304,0)),"Pending"))</f>
        <v/>
      </c>
      <c r="N58" s="20" t="str">
        <f>IF(A58="","",IFERROR(INDEX('Final Inspection'!$U$5:$U$304,MATCH(A58,'Final Inspection'!$C$5:$C$304,0)),"Pending"))</f>
        <v/>
      </c>
      <c r="O58" s="20" t="str">
        <f>IF(A58="","",SUMIF('Packing Control'!$C$5:$C$304,A58,'Packing Control'!$K$5:$K$304))</f>
        <v/>
      </c>
      <c r="P58" s="20" t="str">
        <f>IF(A58="","",SUMIF('Finished Goods'!$C$5:$C$304,A58,'Finished Goods'!$J$5:$J$304))</f>
        <v/>
      </c>
      <c r="Q58" s="20" t="str">
        <f>IF(A58="","",SUMIF('Shipment Control'!$C$5:$C$304,A58,'Shipment Control'!$I$5:$I$304))</f>
        <v/>
      </c>
      <c r="R58" s="20" t="str">
        <f>IF(A58="","",SUMIF('Shipment Control'!$C$5:$C$304,A58,'Shipment Control'!$J$5:$J$304))</f>
        <v/>
      </c>
      <c r="S58" s="20" t="str">
        <f t="shared" si="1"/>
        <v/>
      </c>
      <c r="T58" s="21" t="str">
        <f>IF('FGPO Master'!A52="","",'FGPO Master'!I52)</f>
        <v/>
      </c>
      <c r="U58" s="7" t="str">
        <f>IF(A58="","",IF(COUNTIF('Open Issues'!$D$5:$D$304,A58)&gt;0,"Yellow","Green"))</f>
        <v/>
      </c>
      <c r="V58" s="7" t="str">
        <f>IF('FGPO Master'!A52="","",'FGPO Master'!U52)</f>
        <v/>
      </c>
    </row>
    <row r="59" spans="1:22">
      <c r="A59" s="7" t="str">
        <f>IF('FGPO Master'!A53="","",IF('FGPO Master'!D53="FGPO Pending","FGPO Pending",'FGPO Master'!B53))</f>
        <v/>
      </c>
      <c r="B59" s="7" t="str">
        <f>IF('FGPO Master'!A53="","",'FGPO Master'!F53)</f>
        <v/>
      </c>
      <c r="C59" s="7" t="str">
        <f>IF('FGPO Master'!A53="","",'FGPO Master'!G53)</f>
        <v/>
      </c>
      <c r="D59" s="20" t="str">
        <f>IF('FGPO Master'!A53="","",'FGPO Master'!H53)</f>
        <v/>
      </c>
      <c r="E59" s="20" t="str">
        <f>IF(A59="","",IF(SUMIF('Fabric Inventory'!$C$5:$C$304,A59,'Fabric Inventory'!$O$5:$O$304)&gt;0,"Shortage",IF(SUMIF('Fabric Inventory'!$C$5:$C$304,A59,'Fabric Inventory'!$H$5:$H$304)&gt;0,"Approved","Pending")))</f>
        <v/>
      </c>
      <c r="F59" s="20" t="str">
        <f>IF(A59="","",IF(SUMIF('Trims Control'!$B$5:$B$304,A59,'Trims Control'!$R$5:$R$304)&gt;0,"Shortage",IF(COUNTIFS('Trims Control'!$B$5:$B$304,A59,'Trims Control'!$V$5:$V$304,"Ready")&gt;0,"Ready","Pending")))</f>
        <v/>
      </c>
      <c r="G59" s="20" t="str">
        <f>IF(A59="","",IFERROR(INDEX('PP Sample'!$V$5:$V$304,MATCH(A59,'PP Sample'!$B$5:$B$304,0)),"Pending"))</f>
        <v/>
      </c>
      <c r="H59" s="20" t="str">
        <f>IF(A59="","",IFERROR(INDEX('Production Readiness'!$S$5:$S$304,MATCH(A59,'Production Readiness'!$C$5:$C$304,0)),"Pending"))</f>
        <v/>
      </c>
      <c r="I59" s="20" t="str">
        <f>IF(A59="","",IFERROR(INDEX('Cutting Release'!$P$5:$P$304,MATCH(A59,'Cutting Release'!$C$5:$C$304,0)),"Pending"))</f>
        <v/>
      </c>
      <c r="J59" s="20" t="str">
        <f>IF(A59="","",SUMIF('Cutting Control'!$C$5:$C$304,A59,'Cutting Control'!$K$5:$K$304))</f>
        <v/>
      </c>
      <c r="K59" s="20" t="str">
        <f>IF(A59="","",IFERROR(INDEX('TOP Sample'!$W$5:$W$304,MATCH(A59,'TOP Sample'!$B$5:$B$304,0)),"Pending"))</f>
        <v/>
      </c>
      <c r="L59" s="20" t="str">
        <f>IF(A59="","",SUMIF('Sewing Production'!$E$5:$E$304,A59,'Sewing Production'!$L$5:$L$304))</f>
        <v/>
      </c>
      <c r="M59" s="20" t="str">
        <f>IF(A59="","",IFERROR(INDEX('Inline Quality'!$S$5:$S$304,MATCH(A59,'Inline Quality'!$E$5:$E$304,0)),"Pending"))</f>
        <v/>
      </c>
      <c r="N59" s="20" t="str">
        <f>IF(A59="","",IFERROR(INDEX('Final Inspection'!$U$5:$U$304,MATCH(A59,'Final Inspection'!$C$5:$C$304,0)),"Pending"))</f>
        <v/>
      </c>
      <c r="O59" s="20" t="str">
        <f>IF(A59="","",SUMIF('Packing Control'!$C$5:$C$304,A59,'Packing Control'!$K$5:$K$304))</f>
        <v/>
      </c>
      <c r="P59" s="20" t="str">
        <f>IF(A59="","",SUMIF('Finished Goods'!$C$5:$C$304,A59,'Finished Goods'!$J$5:$J$304))</f>
        <v/>
      </c>
      <c r="Q59" s="20" t="str">
        <f>IF(A59="","",SUMIF('Shipment Control'!$C$5:$C$304,A59,'Shipment Control'!$I$5:$I$304))</f>
        <v/>
      </c>
      <c r="R59" s="20" t="str">
        <f>IF(A59="","",SUMIF('Shipment Control'!$C$5:$C$304,A59,'Shipment Control'!$J$5:$J$304))</f>
        <v/>
      </c>
      <c r="S59" s="20" t="str">
        <f t="shared" si="1"/>
        <v/>
      </c>
      <c r="T59" s="21" t="str">
        <f>IF('FGPO Master'!A53="","",'FGPO Master'!I53)</f>
        <v/>
      </c>
      <c r="U59" s="7" t="str">
        <f>IF(A59="","",IF(COUNTIF('Open Issues'!$D$5:$D$304,A59)&gt;0,"Yellow","Green"))</f>
        <v/>
      </c>
      <c r="V59" s="7" t="str">
        <f>IF('FGPO Master'!A53="","",'FGPO Master'!U53)</f>
        <v/>
      </c>
    </row>
    <row r="60" spans="1:22">
      <c r="A60" s="7" t="str">
        <f>IF('FGPO Master'!A54="","",IF('FGPO Master'!D54="FGPO Pending","FGPO Pending",'FGPO Master'!B54))</f>
        <v/>
      </c>
      <c r="B60" s="7" t="str">
        <f>IF('FGPO Master'!A54="","",'FGPO Master'!F54)</f>
        <v/>
      </c>
      <c r="C60" s="7" t="str">
        <f>IF('FGPO Master'!A54="","",'FGPO Master'!G54)</f>
        <v/>
      </c>
      <c r="D60" s="20" t="str">
        <f>IF('FGPO Master'!A54="","",'FGPO Master'!H54)</f>
        <v/>
      </c>
      <c r="E60" s="20" t="str">
        <f>IF(A60="","",IF(SUMIF('Fabric Inventory'!$C$5:$C$304,A60,'Fabric Inventory'!$O$5:$O$304)&gt;0,"Shortage",IF(SUMIF('Fabric Inventory'!$C$5:$C$304,A60,'Fabric Inventory'!$H$5:$H$304)&gt;0,"Approved","Pending")))</f>
        <v/>
      </c>
      <c r="F60" s="20" t="str">
        <f>IF(A60="","",IF(SUMIF('Trims Control'!$B$5:$B$304,A60,'Trims Control'!$R$5:$R$304)&gt;0,"Shortage",IF(COUNTIFS('Trims Control'!$B$5:$B$304,A60,'Trims Control'!$V$5:$V$304,"Ready")&gt;0,"Ready","Pending")))</f>
        <v/>
      </c>
      <c r="G60" s="20" t="str">
        <f>IF(A60="","",IFERROR(INDEX('PP Sample'!$V$5:$V$304,MATCH(A60,'PP Sample'!$B$5:$B$304,0)),"Pending"))</f>
        <v/>
      </c>
      <c r="H60" s="20" t="str">
        <f>IF(A60="","",IFERROR(INDEX('Production Readiness'!$S$5:$S$304,MATCH(A60,'Production Readiness'!$C$5:$C$304,0)),"Pending"))</f>
        <v/>
      </c>
      <c r="I60" s="20" t="str">
        <f>IF(A60="","",IFERROR(INDEX('Cutting Release'!$P$5:$P$304,MATCH(A60,'Cutting Release'!$C$5:$C$304,0)),"Pending"))</f>
        <v/>
      </c>
      <c r="J60" s="20" t="str">
        <f>IF(A60="","",SUMIF('Cutting Control'!$C$5:$C$304,A60,'Cutting Control'!$K$5:$K$304))</f>
        <v/>
      </c>
      <c r="K60" s="20" t="str">
        <f>IF(A60="","",IFERROR(INDEX('TOP Sample'!$W$5:$W$304,MATCH(A60,'TOP Sample'!$B$5:$B$304,0)),"Pending"))</f>
        <v/>
      </c>
      <c r="L60" s="20" t="str">
        <f>IF(A60="","",SUMIF('Sewing Production'!$E$5:$E$304,A60,'Sewing Production'!$L$5:$L$304))</f>
        <v/>
      </c>
      <c r="M60" s="20" t="str">
        <f>IF(A60="","",IFERROR(INDEX('Inline Quality'!$S$5:$S$304,MATCH(A60,'Inline Quality'!$E$5:$E$304,0)),"Pending"))</f>
        <v/>
      </c>
      <c r="N60" s="20" t="str">
        <f>IF(A60="","",IFERROR(INDEX('Final Inspection'!$U$5:$U$304,MATCH(A60,'Final Inspection'!$C$5:$C$304,0)),"Pending"))</f>
        <v/>
      </c>
      <c r="O60" s="20" t="str">
        <f>IF(A60="","",SUMIF('Packing Control'!$C$5:$C$304,A60,'Packing Control'!$K$5:$K$304))</f>
        <v/>
      </c>
      <c r="P60" s="20" t="str">
        <f>IF(A60="","",SUMIF('Finished Goods'!$C$5:$C$304,A60,'Finished Goods'!$J$5:$J$304))</f>
        <v/>
      </c>
      <c r="Q60" s="20" t="str">
        <f>IF(A60="","",SUMIF('Shipment Control'!$C$5:$C$304,A60,'Shipment Control'!$I$5:$I$304))</f>
        <v/>
      </c>
      <c r="R60" s="20" t="str">
        <f>IF(A60="","",SUMIF('Shipment Control'!$C$5:$C$304,A60,'Shipment Control'!$J$5:$J$304))</f>
        <v/>
      </c>
      <c r="S60" s="20" t="str">
        <f t="shared" si="1"/>
        <v/>
      </c>
      <c r="T60" s="21" t="str">
        <f>IF('FGPO Master'!A54="","",'FGPO Master'!I54)</f>
        <v/>
      </c>
      <c r="U60" s="7" t="str">
        <f>IF(A60="","",IF(COUNTIF('Open Issues'!$D$5:$D$304,A60)&gt;0,"Yellow","Green"))</f>
        <v/>
      </c>
      <c r="V60" s="7" t="str">
        <f>IF('FGPO Master'!A54="","",'FGPO Master'!U54)</f>
        <v/>
      </c>
    </row>
    <row r="61" spans="1:22">
      <c r="A61" s="7" t="str">
        <f>IF('FGPO Master'!A55="","",IF('FGPO Master'!D55="FGPO Pending","FGPO Pending",'FGPO Master'!B55))</f>
        <v/>
      </c>
      <c r="B61" s="7" t="str">
        <f>IF('FGPO Master'!A55="","",'FGPO Master'!F55)</f>
        <v/>
      </c>
      <c r="C61" s="7" t="str">
        <f>IF('FGPO Master'!A55="","",'FGPO Master'!G55)</f>
        <v/>
      </c>
      <c r="D61" s="20" t="str">
        <f>IF('FGPO Master'!A55="","",'FGPO Master'!H55)</f>
        <v/>
      </c>
      <c r="E61" s="20" t="str">
        <f>IF(A61="","",IF(SUMIF('Fabric Inventory'!$C$5:$C$304,A61,'Fabric Inventory'!$O$5:$O$304)&gt;0,"Shortage",IF(SUMIF('Fabric Inventory'!$C$5:$C$304,A61,'Fabric Inventory'!$H$5:$H$304)&gt;0,"Approved","Pending")))</f>
        <v/>
      </c>
      <c r="F61" s="20" t="str">
        <f>IF(A61="","",IF(SUMIF('Trims Control'!$B$5:$B$304,A61,'Trims Control'!$R$5:$R$304)&gt;0,"Shortage",IF(COUNTIFS('Trims Control'!$B$5:$B$304,A61,'Trims Control'!$V$5:$V$304,"Ready")&gt;0,"Ready","Pending")))</f>
        <v/>
      </c>
      <c r="G61" s="20" t="str">
        <f>IF(A61="","",IFERROR(INDEX('PP Sample'!$V$5:$V$304,MATCH(A61,'PP Sample'!$B$5:$B$304,0)),"Pending"))</f>
        <v/>
      </c>
      <c r="H61" s="20" t="str">
        <f>IF(A61="","",IFERROR(INDEX('Production Readiness'!$S$5:$S$304,MATCH(A61,'Production Readiness'!$C$5:$C$304,0)),"Pending"))</f>
        <v/>
      </c>
      <c r="I61" s="20" t="str">
        <f>IF(A61="","",IFERROR(INDEX('Cutting Release'!$P$5:$P$304,MATCH(A61,'Cutting Release'!$C$5:$C$304,0)),"Pending"))</f>
        <v/>
      </c>
      <c r="J61" s="20" t="str">
        <f>IF(A61="","",SUMIF('Cutting Control'!$C$5:$C$304,A61,'Cutting Control'!$K$5:$K$304))</f>
        <v/>
      </c>
      <c r="K61" s="20" t="str">
        <f>IF(A61="","",IFERROR(INDEX('TOP Sample'!$W$5:$W$304,MATCH(A61,'TOP Sample'!$B$5:$B$304,0)),"Pending"))</f>
        <v/>
      </c>
      <c r="L61" s="20" t="str">
        <f>IF(A61="","",SUMIF('Sewing Production'!$E$5:$E$304,A61,'Sewing Production'!$L$5:$L$304))</f>
        <v/>
      </c>
      <c r="M61" s="20" t="str">
        <f>IF(A61="","",IFERROR(INDEX('Inline Quality'!$S$5:$S$304,MATCH(A61,'Inline Quality'!$E$5:$E$304,0)),"Pending"))</f>
        <v/>
      </c>
      <c r="N61" s="20" t="str">
        <f>IF(A61="","",IFERROR(INDEX('Final Inspection'!$U$5:$U$304,MATCH(A61,'Final Inspection'!$C$5:$C$304,0)),"Pending"))</f>
        <v/>
      </c>
      <c r="O61" s="20" t="str">
        <f>IF(A61="","",SUMIF('Packing Control'!$C$5:$C$304,A61,'Packing Control'!$K$5:$K$304))</f>
        <v/>
      </c>
      <c r="P61" s="20" t="str">
        <f>IF(A61="","",SUMIF('Finished Goods'!$C$5:$C$304,A61,'Finished Goods'!$J$5:$J$304))</f>
        <v/>
      </c>
      <c r="Q61" s="20" t="str">
        <f>IF(A61="","",SUMIF('Shipment Control'!$C$5:$C$304,A61,'Shipment Control'!$I$5:$I$304))</f>
        <v/>
      </c>
      <c r="R61" s="20" t="str">
        <f>IF(A61="","",SUMIF('Shipment Control'!$C$5:$C$304,A61,'Shipment Control'!$J$5:$J$304))</f>
        <v/>
      </c>
      <c r="S61" s="20" t="str">
        <f t="shared" si="1"/>
        <v/>
      </c>
      <c r="T61" s="21" t="str">
        <f>IF('FGPO Master'!A55="","",'FGPO Master'!I55)</f>
        <v/>
      </c>
      <c r="U61" s="7" t="str">
        <f>IF(A61="","",IF(COUNTIF('Open Issues'!$D$5:$D$304,A61)&gt;0,"Yellow","Green"))</f>
        <v/>
      </c>
      <c r="V61" s="7" t="str">
        <f>IF('FGPO Master'!A55="","",'FGPO Master'!U55)</f>
        <v/>
      </c>
    </row>
    <row r="62" spans="1:22">
      <c r="A62" s="7" t="str">
        <f>IF('FGPO Master'!A56="","",IF('FGPO Master'!D56="FGPO Pending","FGPO Pending",'FGPO Master'!B56))</f>
        <v/>
      </c>
      <c r="B62" s="7" t="str">
        <f>IF('FGPO Master'!A56="","",'FGPO Master'!F56)</f>
        <v/>
      </c>
      <c r="C62" s="7" t="str">
        <f>IF('FGPO Master'!A56="","",'FGPO Master'!G56)</f>
        <v/>
      </c>
      <c r="D62" s="20" t="str">
        <f>IF('FGPO Master'!A56="","",'FGPO Master'!H56)</f>
        <v/>
      </c>
      <c r="E62" s="20" t="str">
        <f>IF(A62="","",IF(SUMIF('Fabric Inventory'!$C$5:$C$304,A62,'Fabric Inventory'!$O$5:$O$304)&gt;0,"Shortage",IF(SUMIF('Fabric Inventory'!$C$5:$C$304,A62,'Fabric Inventory'!$H$5:$H$304)&gt;0,"Approved","Pending")))</f>
        <v/>
      </c>
      <c r="F62" s="20" t="str">
        <f>IF(A62="","",IF(SUMIF('Trims Control'!$B$5:$B$304,A62,'Trims Control'!$R$5:$R$304)&gt;0,"Shortage",IF(COUNTIFS('Trims Control'!$B$5:$B$304,A62,'Trims Control'!$V$5:$V$304,"Ready")&gt;0,"Ready","Pending")))</f>
        <v/>
      </c>
      <c r="G62" s="20" t="str">
        <f>IF(A62="","",IFERROR(INDEX('PP Sample'!$V$5:$V$304,MATCH(A62,'PP Sample'!$B$5:$B$304,0)),"Pending"))</f>
        <v/>
      </c>
      <c r="H62" s="20" t="str">
        <f>IF(A62="","",IFERROR(INDEX('Production Readiness'!$S$5:$S$304,MATCH(A62,'Production Readiness'!$C$5:$C$304,0)),"Pending"))</f>
        <v/>
      </c>
      <c r="I62" s="20" t="str">
        <f>IF(A62="","",IFERROR(INDEX('Cutting Release'!$P$5:$P$304,MATCH(A62,'Cutting Release'!$C$5:$C$304,0)),"Pending"))</f>
        <v/>
      </c>
      <c r="J62" s="20" t="str">
        <f>IF(A62="","",SUMIF('Cutting Control'!$C$5:$C$304,A62,'Cutting Control'!$K$5:$K$304))</f>
        <v/>
      </c>
      <c r="K62" s="20" t="str">
        <f>IF(A62="","",IFERROR(INDEX('TOP Sample'!$W$5:$W$304,MATCH(A62,'TOP Sample'!$B$5:$B$304,0)),"Pending"))</f>
        <v/>
      </c>
      <c r="L62" s="20" t="str">
        <f>IF(A62="","",SUMIF('Sewing Production'!$E$5:$E$304,A62,'Sewing Production'!$L$5:$L$304))</f>
        <v/>
      </c>
      <c r="M62" s="20" t="str">
        <f>IF(A62="","",IFERROR(INDEX('Inline Quality'!$S$5:$S$304,MATCH(A62,'Inline Quality'!$E$5:$E$304,0)),"Pending"))</f>
        <v/>
      </c>
      <c r="N62" s="20" t="str">
        <f>IF(A62="","",IFERROR(INDEX('Final Inspection'!$U$5:$U$304,MATCH(A62,'Final Inspection'!$C$5:$C$304,0)),"Pending"))</f>
        <v/>
      </c>
      <c r="O62" s="20" t="str">
        <f>IF(A62="","",SUMIF('Packing Control'!$C$5:$C$304,A62,'Packing Control'!$K$5:$K$304))</f>
        <v/>
      </c>
      <c r="P62" s="20" t="str">
        <f>IF(A62="","",SUMIF('Finished Goods'!$C$5:$C$304,A62,'Finished Goods'!$J$5:$J$304))</f>
        <v/>
      </c>
      <c r="Q62" s="20" t="str">
        <f>IF(A62="","",SUMIF('Shipment Control'!$C$5:$C$304,A62,'Shipment Control'!$I$5:$I$304))</f>
        <v/>
      </c>
      <c r="R62" s="20" t="str">
        <f>IF(A62="","",SUMIF('Shipment Control'!$C$5:$C$304,A62,'Shipment Control'!$J$5:$J$304))</f>
        <v/>
      </c>
      <c r="S62" s="20" t="str">
        <f t="shared" si="1"/>
        <v/>
      </c>
      <c r="T62" s="21" t="str">
        <f>IF('FGPO Master'!A56="","",'FGPO Master'!I56)</f>
        <v/>
      </c>
      <c r="U62" s="7" t="str">
        <f>IF(A62="","",IF(COUNTIF('Open Issues'!$D$5:$D$304,A62)&gt;0,"Yellow","Green"))</f>
        <v/>
      </c>
      <c r="V62" s="7" t="str">
        <f>IF('FGPO Master'!A56="","",'FGPO Master'!U56)</f>
        <v/>
      </c>
    </row>
    <row r="63" spans="1:22">
      <c r="A63" s="7" t="str">
        <f>IF('FGPO Master'!A57="","",IF('FGPO Master'!D57="FGPO Pending","FGPO Pending",'FGPO Master'!B57))</f>
        <v/>
      </c>
      <c r="B63" s="7" t="str">
        <f>IF('FGPO Master'!A57="","",'FGPO Master'!F57)</f>
        <v/>
      </c>
      <c r="C63" s="7" t="str">
        <f>IF('FGPO Master'!A57="","",'FGPO Master'!G57)</f>
        <v/>
      </c>
      <c r="D63" s="20" t="str">
        <f>IF('FGPO Master'!A57="","",'FGPO Master'!H57)</f>
        <v/>
      </c>
      <c r="E63" s="20" t="str">
        <f>IF(A63="","",IF(SUMIF('Fabric Inventory'!$C$5:$C$304,A63,'Fabric Inventory'!$O$5:$O$304)&gt;0,"Shortage",IF(SUMIF('Fabric Inventory'!$C$5:$C$304,A63,'Fabric Inventory'!$H$5:$H$304)&gt;0,"Approved","Pending")))</f>
        <v/>
      </c>
      <c r="F63" s="20" t="str">
        <f>IF(A63="","",IF(SUMIF('Trims Control'!$B$5:$B$304,A63,'Trims Control'!$R$5:$R$304)&gt;0,"Shortage",IF(COUNTIFS('Trims Control'!$B$5:$B$304,A63,'Trims Control'!$V$5:$V$304,"Ready")&gt;0,"Ready","Pending")))</f>
        <v/>
      </c>
      <c r="G63" s="20" t="str">
        <f>IF(A63="","",IFERROR(INDEX('PP Sample'!$V$5:$V$304,MATCH(A63,'PP Sample'!$B$5:$B$304,0)),"Pending"))</f>
        <v/>
      </c>
      <c r="H63" s="20" t="str">
        <f>IF(A63="","",IFERROR(INDEX('Production Readiness'!$S$5:$S$304,MATCH(A63,'Production Readiness'!$C$5:$C$304,0)),"Pending"))</f>
        <v/>
      </c>
      <c r="I63" s="20" t="str">
        <f>IF(A63="","",IFERROR(INDEX('Cutting Release'!$P$5:$P$304,MATCH(A63,'Cutting Release'!$C$5:$C$304,0)),"Pending"))</f>
        <v/>
      </c>
      <c r="J63" s="20" t="str">
        <f>IF(A63="","",SUMIF('Cutting Control'!$C$5:$C$304,A63,'Cutting Control'!$K$5:$K$304))</f>
        <v/>
      </c>
      <c r="K63" s="20" t="str">
        <f>IF(A63="","",IFERROR(INDEX('TOP Sample'!$W$5:$W$304,MATCH(A63,'TOP Sample'!$B$5:$B$304,0)),"Pending"))</f>
        <v/>
      </c>
      <c r="L63" s="20" t="str">
        <f>IF(A63="","",SUMIF('Sewing Production'!$E$5:$E$304,A63,'Sewing Production'!$L$5:$L$304))</f>
        <v/>
      </c>
      <c r="M63" s="20" t="str">
        <f>IF(A63="","",IFERROR(INDEX('Inline Quality'!$S$5:$S$304,MATCH(A63,'Inline Quality'!$E$5:$E$304,0)),"Pending"))</f>
        <v/>
      </c>
      <c r="N63" s="20" t="str">
        <f>IF(A63="","",IFERROR(INDEX('Final Inspection'!$U$5:$U$304,MATCH(A63,'Final Inspection'!$C$5:$C$304,0)),"Pending"))</f>
        <v/>
      </c>
      <c r="O63" s="20" t="str">
        <f>IF(A63="","",SUMIF('Packing Control'!$C$5:$C$304,A63,'Packing Control'!$K$5:$K$304))</f>
        <v/>
      </c>
      <c r="P63" s="20" t="str">
        <f>IF(A63="","",SUMIF('Finished Goods'!$C$5:$C$304,A63,'Finished Goods'!$J$5:$J$304))</f>
        <v/>
      </c>
      <c r="Q63" s="20" t="str">
        <f>IF(A63="","",SUMIF('Shipment Control'!$C$5:$C$304,A63,'Shipment Control'!$I$5:$I$304))</f>
        <v/>
      </c>
      <c r="R63" s="20" t="str">
        <f>IF(A63="","",SUMIF('Shipment Control'!$C$5:$C$304,A63,'Shipment Control'!$J$5:$J$304))</f>
        <v/>
      </c>
      <c r="S63" s="20" t="str">
        <f t="shared" si="1"/>
        <v/>
      </c>
      <c r="T63" s="21" t="str">
        <f>IF('FGPO Master'!A57="","",'FGPO Master'!I57)</f>
        <v/>
      </c>
      <c r="U63" s="7" t="str">
        <f>IF(A63="","",IF(COUNTIF('Open Issues'!$D$5:$D$304,A63)&gt;0,"Yellow","Green"))</f>
        <v/>
      </c>
      <c r="V63" s="7" t="str">
        <f>IF('FGPO Master'!A57="","",'FGPO Master'!U57)</f>
        <v/>
      </c>
    </row>
    <row r="64" spans="1:22">
      <c r="A64" s="7" t="str">
        <f>IF('FGPO Master'!A58="","",IF('FGPO Master'!D58="FGPO Pending","FGPO Pending",'FGPO Master'!B58))</f>
        <v/>
      </c>
      <c r="B64" s="7" t="str">
        <f>IF('FGPO Master'!A58="","",'FGPO Master'!F58)</f>
        <v/>
      </c>
      <c r="C64" s="7" t="str">
        <f>IF('FGPO Master'!A58="","",'FGPO Master'!G58)</f>
        <v/>
      </c>
      <c r="D64" s="20" t="str">
        <f>IF('FGPO Master'!A58="","",'FGPO Master'!H58)</f>
        <v/>
      </c>
      <c r="E64" s="20" t="str">
        <f>IF(A64="","",IF(SUMIF('Fabric Inventory'!$C$5:$C$304,A64,'Fabric Inventory'!$O$5:$O$304)&gt;0,"Shortage",IF(SUMIF('Fabric Inventory'!$C$5:$C$304,A64,'Fabric Inventory'!$H$5:$H$304)&gt;0,"Approved","Pending")))</f>
        <v/>
      </c>
      <c r="F64" s="20" t="str">
        <f>IF(A64="","",IF(SUMIF('Trims Control'!$B$5:$B$304,A64,'Trims Control'!$R$5:$R$304)&gt;0,"Shortage",IF(COUNTIFS('Trims Control'!$B$5:$B$304,A64,'Trims Control'!$V$5:$V$304,"Ready")&gt;0,"Ready","Pending")))</f>
        <v/>
      </c>
      <c r="G64" s="20" t="str">
        <f>IF(A64="","",IFERROR(INDEX('PP Sample'!$V$5:$V$304,MATCH(A64,'PP Sample'!$B$5:$B$304,0)),"Pending"))</f>
        <v/>
      </c>
      <c r="H64" s="20" t="str">
        <f>IF(A64="","",IFERROR(INDEX('Production Readiness'!$S$5:$S$304,MATCH(A64,'Production Readiness'!$C$5:$C$304,0)),"Pending"))</f>
        <v/>
      </c>
      <c r="I64" s="20" t="str">
        <f>IF(A64="","",IFERROR(INDEX('Cutting Release'!$P$5:$P$304,MATCH(A64,'Cutting Release'!$C$5:$C$304,0)),"Pending"))</f>
        <v/>
      </c>
      <c r="J64" s="20" t="str">
        <f>IF(A64="","",SUMIF('Cutting Control'!$C$5:$C$304,A64,'Cutting Control'!$K$5:$K$304))</f>
        <v/>
      </c>
      <c r="K64" s="20" t="str">
        <f>IF(A64="","",IFERROR(INDEX('TOP Sample'!$W$5:$W$304,MATCH(A64,'TOP Sample'!$B$5:$B$304,0)),"Pending"))</f>
        <v/>
      </c>
      <c r="L64" s="20" t="str">
        <f>IF(A64="","",SUMIF('Sewing Production'!$E$5:$E$304,A64,'Sewing Production'!$L$5:$L$304))</f>
        <v/>
      </c>
      <c r="M64" s="20" t="str">
        <f>IF(A64="","",IFERROR(INDEX('Inline Quality'!$S$5:$S$304,MATCH(A64,'Inline Quality'!$E$5:$E$304,0)),"Pending"))</f>
        <v/>
      </c>
      <c r="N64" s="20" t="str">
        <f>IF(A64="","",IFERROR(INDEX('Final Inspection'!$U$5:$U$304,MATCH(A64,'Final Inspection'!$C$5:$C$304,0)),"Pending"))</f>
        <v/>
      </c>
      <c r="O64" s="20" t="str">
        <f>IF(A64="","",SUMIF('Packing Control'!$C$5:$C$304,A64,'Packing Control'!$K$5:$K$304))</f>
        <v/>
      </c>
      <c r="P64" s="20" t="str">
        <f>IF(A64="","",SUMIF('Finished Goods'!$C$5:$C$304,A64,'Finished Goods'!$J$5:$J$304))</f>
        <v/>
      </c>
      <c r="Q64" s="20" t="str">
        <f>IF(A64="","",SUMIF('Shipment Control'!$C$5:$C$304,A64,'Shipment Control'!$I$5:$I$304))</f>
        <v/>
      </c>
      <c r="R64" s="20" t="str">
        <f>IF(A64="","",SUMIF('Shipment Control'!$C$5:$C$304,A64,'Shipment Control'!$J$5:$J$304))</f>
        <v/>
      </c>
      <c r="S64" s="20" t="str">
        <f t="shared" si="1"/>
        <v/>
      </c>
      <c r="T64" s="21" t="str">
        <f>IF('FGPO Master'!A58="","",'FGPO Master'!I58)</f>
        <v/>
      </c>
      <c r="U64" s="7" t="str">
        <f>IF(A64="","",IF(COUNTIF('Open Issues'!$D$5:$D$304,A64)&gt;0,"Yellow","Green"))</f>
        <v/>
      </c>
      <c r="V64" s="7" t="str">
        <f>IF('FGPO Master'!A58="","",'FGPO Master'!U58)</f>
        <v/>
      </c>
    </row>
    <row r="65" spans="1:22">
      <c r="A65" s="7" t="str">
        <f>IF('FGPO Master'!A59="","",IF('FGPO Master'!D59="FGPO Pending","FGPO Pending",'FGPO Master'!B59))</f>
        <v/>
      </c>
      <c r="B65" s="7" t="str">
        <f>IF('FGPO Master'!A59="","",'FGPO Master'!F59)</f>
        <v/>
      </c>
      <c r="C65" s="7" t="str">
        <f>IF('FGPO Master'!A59="","",'FGPO Master'!G59)</f>
        <v/>
      </c>
      <c r="D65" s="20" t="str">
        <f>IF('FGPO Master'!A59="","",'FGPO Master'!H59)</f>
        <v/>
      </c>
      <c r="E65" s="20" t="str">
        <f>IF(A65="","",IF(SUMIF('Fabric Inventory'!$C$5:$C$304,A65,'Fabric Inventory'!$O$5:$O$304)&gt;0,"Shortage",IF(SUMIF('Fabric Inventory'!$C$5:$C$304,A65,'Fabric Inventory'!$H$5:$H$304)&gt;0,"Approved","Pending")))</f>
        <v/>
      </c>
      <c r="F65" s="20" t="str">
        <f>IF(A65="","",IF(SUMIF('Trims Control'!$B$5:$B$304,A65,'Trims Control'!$R$5:$R$304)&gt;0,"Shortage",IF(COUNTIFS('Trims Control'!$B$5:$B$304,A65,'Trims Control'!$V$5:$V$304,"Ready")&gt;0,"Ready","Pending")))</f>
        <v/>
      </c>
      <c r="G65" s="20" t="str">
        <f>IF(A65="","",IFERROR(INDEX('PP Sample'!$V$5:$V$304,MATCH(A65,'PP Sample'!$B$5:$B$304,0)),"Pending"))</f>
        <v/>
      </c>
      <c r="H65" s="20" t="str">
        <f>IF(A65="","",IFERROR(INDEX('Production Readiness'!$S$5:$S$304,MATCH(A65,'Production Readiness'!$C$5:$C$304,0)),"Pending"))</f>
        <v/>
      </c>
      <c r="I65" s="20" t="str">
        <f>IF(A65="","",IFERROR(INDEX('Cutting Release'!$P$5:$P$304,MATCH(A65,'Cutting Release'!$C$5:$C$304,0)),"Pending"))</f>
        <v/>
      </c>
      <c r="J65" s="20" t="str">
        <f>IF(A65="","",SUMIF('Cutting Control'!$C$5:$C$304,A65,'Cutting Control'!$K$5:$K$304))</f>
        <v/>
      </c>
      <c r="K65" s="20" t="str">
        <f>IF(A65="","",IFERROR(INDEX('TOP Sample'!$W$5:$W$304,MATCH(A65,'TOP Sample'!$B$5:$B$304,0)),"Pending"))</f>
        <v/>
      </c>
      <c r="L65" s="20" t="str">
        <f>IF(A65="","",SUMIF('Sewing Production'!$E$5:$E$304,A65,'Sewing Production'!$L$5:$L$304))</f>
        <v/>
      </c>
      <c r="M65" s="20" t="str">
        <f>IF(A65="","",IFERROR(INDEX('Inline Quality'!$S$5:$S$304,MATCH(A65,'Inline Quality'!$E$5:$E$304,0)),"Pending"))</f>
        <v/>
      </c>
      <c r="N65" s="20" t="str">
        <f>IF(A65="","",IFERROR(INDEX('Final Inspection'!$U$5:$U$304,MATCH(A65,'Final Inspection'!$C$5:$C$304,0)),"Pending"))</f>
        <v/>
      </c>
      <c r="O65" s="20" t="str">
        <f>IF(A65="","",SUMIF('Packing Control'!$C$5:$C$304,A65,'Packing Control'!$K$5:$K$304))</f>
        <v/>
      </c>
      <c r="P65" s="20" t="str">
        <f>IF(A65="","",SUMIF('Finished Goods'!$C$5:$C$304,A65,'Finished Goods'!$J$5:$J$304))</f>
        <v/>
      </c>
      <c r="Q65" s="20" t="str">
        <f>IF(A65="","",SUMIF('Shipment Control'!$C$5:$C$304,A65,'Shipment Control'!$I$5:$I$304))</f>
        <v/>
      </c>
      <c r="R65" s="20" t="str">
        <f>IF(A65="","",SUMIF('Shipment Control'!$C$5:$C$304,A65,'Shipment Control'!$J$5:$J$304))</f>
        <v/>
      </c>
      <c r="S65" s="20" t="str">
        <f t="shared" si="1"/>
        <v/>
      </c>
      <c r="T65" s="21" t="str">
        <f>IF('FGPO Master'!A59="","",'FGPO Master'!I59)</f>
        <v/>
      </c>
      <c r="U65" s="7" t="str">
        <f>IF(A65="","",IF(COUNTIF('Open Issues'!$D$5:$D$304,A65)&gt;0,"Yellow","Green"))</f>
        <v/>
      </c>
      <c r="V65" s="7" t="str">
        <f>IF('FGPO Master'!A59="","",'FGPO Master'!U59)</f>
        <v/>
      </c>
    </row>
    <row r="66" spans="1:22">
      <c r="A66" s="7" t="str">
        <f>IF('FGPO Master'!A60="","",IF('FGPO Master'!D60="FGPO Pending","FGPO Pending",'FGPO Master'!B60))</f>
        <v/>
      </c>
      <c r="B66" s="7" t="str">
        <f>IF('FGPO Master'!A60="","",'FGPO Master'!F60)</f>
        <v/>
      </c>
      <c r="C66" s="7" t="str">
        <f>IF('FGPO Master'!A60="","",'FGPO Master'!G60)</f>
        <v/>
      </c>
      <c r="D66" s="20" t="str">
        <f>IF('FGPO Master'!A60="","",'FGPO Master'!H60)</f>
        <v/>
      </c>
      <c r="E66" s="20" t="str">
        <f>IF(A66="","",IF(SUMIF('Fabric Inventory'!$C$5:$C$304,A66,'Fabric Inventory'!$O$5:$O$304)&gt;0,"Shortage",IF(SUMIF('Fabric Inventory'!$C$5:$C$304,A66,'Fabric Inventory'!$H$5:$H$304)&gt;0,"Approved","Pending")))</f>
        <v/>
      </c>
      <c r="F66" s="20" t="str">
        <f>IF(A66="","",IF(SUMIF('Trims Control'!$B$5:$B$304,A66,'Trims Control'!$R$5:$R$304)&gt;0,"Shortage",IF(COUNTIFS('Trims Control'!$B$5:$B$304,A66,'Trims Control'!$V$5:$V$304,"Ready")&gt;0,"Ready","Pending")))</f>
        <v/>
      </c>
      <c r="G66" s="20" t="str">
        <f>IF(A66="","",IFERROR(INDEX('PP Sample'!$V$5:$V$304,MATCH(A66,'PP Sample'!$B$5:$B$304,0)),"Pending"))</f>
        <v/>
      </c>
      <c r="H66" s="20" t="str">
        <f>IF(A66="","",IFERROR(INDEX('Production Readiness'!$S$5:$S$304,MATCH(A66,'Production Readiness'!$C$5:$C$304,0)),"Pending"))</f>
        <v/>
      </c>
      <c r="I66" s="20" t="str">
        <f>IF(A66="","",IFERROR(INDEX('Cutting Release'!$P$5:$P$304,MATCH(A66,'Cutting Release'!$C$5:$C$304,0)),"Pending"))</f>
        <v/>
      </c>
      <c r="J66" s="20" t="str">
        <f>IF(A66="","",SUMIF('Cutting Control'!$C$5:$C$304,A66,'Cutting Control'!$K$5:$K$304))</f>
        <v/>
      </c>
      <c r="K66" s="20" t="str">
        <f>IF(A66="","",IFERROR(INDEX('TOP Sample'!$W$5:$W$304,MATCH(A66,'TOP Sample'!$B$5:$B$304,0)),"Pending"))</f>
        <v/>
      </c>
      <c r="L66" s="20" t="str">
        <f>IF(A66="","",SUMIF('Sewing Production'!$E$5:$E$304,A66,'Sewing Production'!$L$5:$L$304))</f>
        <v/>
      </c>
      <c r="M66" s="20" t="str">
        <f>IF(A66="","",IFERROR(INDEX('Inline Quality'!$S$5:$S$304,MATCH(A66,'Inline Quality'!$E$5:$E$304,0)),"Pending"))</f>
        <v/>
      </c>
      <c r="N66" s="20" t="str">
        <f>IF(A66="","",IFERROR(INDEX('Final Inspection'!$U$5:$U$304,MATCH(A66,'Final Inspection'!$C$5:$C$304,0)),"Pending"))</f>
        <v/>
      </c>
      <c r="O66" s="20" t="str">
        <f>IF(A66="","",SUMIF('Packing Control'!$C$5:$C$304,A66,'Packing Control'!$K$5:$K$304))</f>
        <v/>
      </c>
      <c r="P66" s="20" t="str">
        <f>IF(A66="","",SUMIF('Finished Goods'!$C$5:$C$304,A66,'Finished Goods'!$J$5:$J$304))</f>
        <v/>
      </c>
      <c r="Q66" s="20" t="str">
        <f>IF(A66="","",SUMIF('Shipment Control'!$C$5:$C$304,A66,'Shipment Control'!$I$5:$I$304))</f>
        <v/>
      </c>
      <c r="R66" s="20" t="str">
        <f>IF(A66="","",SUMIF('Shipment Control'!$C$5:$C$304,A66,'Shipment Control'!$J$5:$J$304))</f>
        <v/>
      </c>
      <c r="S66" s="20" t="str">
        <f t="shared" si="1"/>
        <v/>
      </c>
      <c r="T66" s="21" t="str">
        <f>IF('FGPO Master'!A60="","",'FGPO Master'!I60)</f>
        <v/>
      </c>
      <c r="U66" s="7" t="str">
        <f>IF(A66="","",IF(COUNTIF('Open Issues'!$D$5:$D$304,A66)&gt;0,"Yellow","Green"))</f>
        <v/>
      </c>
      <c r="V66" s="7" t="str">
        <f>IF('FGPO Master'!A60="","",'FGPO Master'!U60)</f>
        <v/>
      </c>
    </row>
    <row r="67" spans="1:22">
      <c r="A67" s="7" t="str">
        <f>IF('FGPO Master'!A61="","",IF('FGPO Master'!D61="FGPO Pending","FGPO Pending",'FGPO Master'!B61))</f>
        <v/>
      </c>
      <c r="B67" s="7" t="str">
        <f>IF('FGPO Master'!A61="","",'FGPO Master'!F61)</f>
        <v/>
      </c>
      <c r="C67" s="7" t="str">
        <f>IF('FGPO Master'!A61="","",'FGPO Master'!G61)</f>
        <v/>
      </c>
      <c r="D67" s="20" t="str">
        <f>IF('FGPO Master'!A61="","",'FGPO Master'!H61)</f>
        <v/>
      </c>
      <c r="E67" s="20" t="str">
        <f>IF(A67="","",IF(SUMIF('Fabric Inventory'!$C$5:$C$304,A67,'Fabric Inventory'!$O$5:$O$304)&gt;0,"Shortage",IF(SUMIF('Fabric Inventory'!$C$5:$C$304,A67,'Fabric Inventory'!$H$5:$H$304)&gt;0,"Approved","Pending")))</f>
        <v/>
      </c>
      <c r="F67" s="20" t="str">
        <f>IF(A67="","",IF(SUMIF('Trims Control'!$B$5:$B$304,A67,'Trims Control'!$R$5:$R$304)&gt;0,"Shortage",IF(COUNTIFS('Trims Control'!$B$5:$B$304,A67,'Trims Control'!$V$5:$V$304,"Ready")&gt;0,"Ready","Pending")))</f>
        <v/>
      </c>
      <c r="G67" s="20" t="str">
        <f>IF(A67="","",IFERROR(INDEX('PP Sample'!$V$5:$V$304,MATCH(A67,'PP Sample'!$B$5:$B$304,0)),"Pending"))</f>
        <v/>
      </c>
      <c r="H67" s="20" t="str">
        <f>IF(A67="","",IFERROR(INDEX('Production Readiness'!$S$5:$S$304,MATCH(A67,'Production Readiness'!$C$5:$C$304,0)),"Pending"))</f>
        <v/>
      </c>
      <c r="I67" s="20" t="str">
        <f>IF(A67="","",IFERROR(INDEX('Cutting Release'!$P$5:$P$304,MATCH(A67,'Cutting Release'!$C$5:$C$304,0)),"Pending"))</f>
        <v/>
      </c>
      <c r="J67" s="20" t="str">
        <f>IF(A67="","",SUMIF('Cutting Control'!$C$5:$C$304,A67,'Cutting Control'!$K$5:$K$304))</f>
        <v/>
      </c>
      <c r="K67" s="20" t="str">
        <f>IF(A67="","",IFERROR(INDEX('TOP Sample'!$W$5:$W$304,MATCH(A67,'TOP Sample'!$B$5:$B$304,0)),"Pending"))</f>
        <v/>
      </c>
      <c r="L67" s="20" t="str">
        <f>IF(A67="","",SUMIF('Sewing Production'!$E$5:$E$304,A67,'Sewing Production'!$L$5:$L$304))</f>
        <v/>
      </c>
      <c r="M67" s="20" t="str">
        <f>IF(A67="","",IFERROR(INDEX('Inline Quality'!$S$5:$S$304,MATCH(A67,'Inline Quality'!$E$5:$E$304,0)),"Pending"))</f>
        <v/>
      </c>
      <c r="N67" s="20" t="str">
        <f>IF(A67="","",IFERROR(INDEX('Final Inspection'!$U$5:$U$304,MATCH(A67,'Final Inspection'!$C$5:$C$304,0)),"Pending"))</f>
        <v/>
      </c>
      <c r="O67" s="20" t="str">
        <f>IF(A67="","",SUMIF('Packing Control'!$C$5:$C$304,A67,'Packing Control'!$K$5:$K$304))</f>
        <v/>
      </c>
      <c r="P67" s="20" t="str">
        <f>IF(A67="","",SUMIF('Finished Goods'!$C$5:$C$304,A67,'Finished Goods'!$J$5:$J$304))</f>
        <v/>
      </c>
      <c r="Q67" s="20" t="str">
        <f>IF(A67="","",SUMIF('Shipment Control'!$C$5:$C$304,A67,'Shipment Control'!$I$5:$I$304))</f>
        <v/>
      </c>
      <c r="R67" s="20" t="str">
        <f>IF(A67="","",SUMIF('Shipment Control'!$C$5:$C$304,A67,'Shipment Control'!$J$5:$J$304))</f>
        <v/>
      </c>
      <c r="S67" s="20" t="str">
        <f t="shared" si="1"/>
        <v/>
      </c>
      <c r="T67" s="21" t="str">
        <f>IF('FGPO Master'!A61="","",'FGPO Master'!I61)</f>
        <v/>
      </c>
      <c r="U67" s="7" t="str">
        <f>IF(A67="","",IF(COUNTIF('Open Issues'!$D$5:$D$304,A67)&gt;0,"Yellow","Green"))</f>
        <v/>
      </c>
      <c r="V67" s="7" t="str">
        <f>IF('FGPO Master'!A61="","",'FGPO Master'!U61)</f>
        <v/>
      </c>
    </row>
    <row r="68" spans="1:22">
      <c r="A68" s="7" t="str">
        <f>IF('FGPO Master'!A62="","",IF('FGPO Master'!D62="FGPO Pending","FGPO Pending",'FGPO Master'!B62))</f>
        <v/>
      </c>
      <c r="B68" s="7" t="str">
        <f>IF('FGPO Master'!A62="","",'FGPO Master'!F62)</f>
        <v/>
      </c>
      <c r="C68" s="7" t="str">
        <f>IF('FGPO Master'!A62="","",'FGPO Master'!G62)</f>
        <v/>
      </c>
      <c r="D68" s="20" t="str">
        <f>IF('FGPO Master'!A62="","",'FGPO Master'!H62)</f>
        <v/>
      </c>
      <c r="E68" s="20" t="str">
        <f>IF(A68="","",IF(SUMIF('Fabric Inventory'!$C$5:$C$304,A68,'Fabric Inventory'!$O$5:$O$304)&gt;0,"Shortage",IF(SUMIF('Fabric Inventory'!$C$5:$C$304,A68,'Fabric Inventory'!$H$5:$H$304)&gt;0,"Approved","Pending")))</f>
        <v/>
      </c>
      <c r="F68" s="20" t="str">
        <f>IF(A68="","",IF(SUMIF('Trims Control'!$B$5:$B$304,A68,'Trims Control'!$R$5:$R$304)&gt;0,"Shortage",IF(COUNTIFS('Trims Control'!$B$5:$B$304,A68,'Trims Control'!$V$5:$V$304,"Ready")&gt;0,"Ready","Pending")))</f>
        <v/>
      </c>
      <c r="G68" s="20" t="str">
        <f>IF(A68="","",IFERROR(INDEX('PP Sample'!$V$5:$V$304,MATCH(A68,'PP Sample'!$B$5:$B$304,0)),"Pending"))</f>
        <v/>
      </c>
      <c r="H68" s="20" t="str">
        <f>IF(A68="","",IFERROR(INDEX('Production Readiness'!$S$5:$S$304,MATCH(A68,'Production Readiness'!$C$5:$C$304,0)),"Pending"))</f>
        <v/>
      </c>
      <c r="I68" s="20" t="str">
        <f>IF(A68="","",IFERROR(INDEX('Cutting Release'!$P$5:$P$304,MATCH(A68,'Cutting Release'!$C$5:$C$304,0)),"Pending"))</f>
        <v/>
      </c>
      <c r="J68" s="20" t="str">
        <f>IF(A68="","",SUMIF('Cutting Control'!$C$5:$C$304,A68,'Cutting Control'!$K$5:$K$304))</f>
        <v/>
      </c>
      <c r="K68" s="20" t="str">
        <f>IF(A68="","",IFERROR(INDEX('TOP Sample'!$W$5:$W$304,MATCH(A68,'TOP Sample'!$B$5:$B$304,0)),"Pending"))</f>
        <v/>
      </c>
      <c r="L68" s="20" t="str">
        <f>IF(A68="","",SUMIF('Sewing Production'!$E$5:$E$304,A68,'Sewing Production'!$L$5:$L$304))</f>
        <v/>
      </c>
      <c r="M68" s="20" t="str">
        <f>IF(A68="","",IFERROR(INDEX('Inline Quality'!$S$5:$S$304,MATCH(A68,'Inline Quality'!$E$5:$E$304,0)),"Pending"))</f>
        <v/>
      </c>
      <c r="N68" s="20" t="str">
        <f>IF(A68="","",IFERROR(INDEX('Final Inspection'!$U$5:$U$304,MATCH(A68,'Final Inspection'!$C$5:$C$304,0)),"Pending"))</f>
        <v/>
      </c>
      <c r="O68" s="20" t="str">
        <f>IF(A68="","",SUMIF('Packing Control'!$C$5:$C$304,A68,'Packing Control'!$K$5:$K$304))</f>
        <v/>
      </c>
      <c r="P68" s="20" t="str">
        <f>IF(A68="","",SUMIF('Finished Goods'!$C$5:$C$304,A68,'Finished Goods'!$J$5:$J$304))</f>
        <v/>
      </c>
      <c r="Q68" s="20" t="str">
        <f>IF(A68="","",SUMIF('Shipment Control'!$C$5:$C$304,A68,'Shipment Control'!$I$5:$I$304))</f>
        <v/>
      </c>
      <c r="R68" s="20" t="str">
        <f>IF(A68="","",SUMIF('Shipment Control'!$C$5:$C$304,A68,'Shipment Control'!$J$5:$J$304))</f>
        <v/>
      </c>
      <c r="S68" s="20" t="str">
        <f t="shared" si="1"/>
        <v/>
      </c>
      <c r="T68" s="21" t="str">
        <f>IF('FGPO Master'!A62="","",'FGPO Master'!I62)</f>
        <v/>
      </c>
      <c r="U68" s="7" t="str">
        <f>IF(A68="","",IF(COUNTIF('Open Issues'!$D$5:$D$304,A68)&gt;0,"Yellow","Green"))</f>
        <v/>
      </c>
      <c r="V68" s="7" t="str">
        <f>IF('FGPO Master'!A62="","",'FGPO Master'!U62)</f>
        <v/>
      </c>
    </row>
    <row r="69" spans="1:22">
      <c r="A69" s="7" t="str">
        <f>IF('FGPO Master'!A63="","",IF('FGPO Master'!D63="FGPO Pending","FGPO Pending",'FGPO Master'!B63))</f>
        <v/>
      </c>
      <c r="B69" s="7" t="str">
        <f>IF('FGPO Master'!A63="","",'FGPO Master'!F63)</f>
        <v/>
      </c>
      <c r="C69" s="7" t="str">
        <f>IF('FGPO Master'!A63="","",'FGPO Master'!G63)</f>
        <v/>
      </c>
      <c r="D69" s="20" t="str">
        <f>IF('FGPO Master'!A63="","",'FGPO Master'!H63)</f>
        <v/>
      </c>
      <c r="E69" s="20" t="str">
        <f>IF(A69="","",IF(SUMIF('Fabric Inventory'!$C$5:$C$304,A69,'Fabric Inventory'!$O$5:$O$304)&gt;0,"Shortage",IF(SUMIF('Fabric Inventory'!$C$5:$C$304,A69,'Fabric Inventory'!$H$5:$H$304)&gt;0,"Approved","Pending")))</f>
        <v/>
      </c>
      <c r="F69" s="20" t="str">
        <f>IF(A69="","",IF(SUMIF('Trims Control'!$B$5:$B$304,A69,'Trims Control'!$R$5:$R$304)&gt;0,"Shortage",IF(COUNTIFS('Trims Control'!$B$5:$B$304,A69,'Trims Control'!$V$5:$V$304,"Ready")&gt;0,"Ready","Pending")))</f>
        <v/>
      </c>
      <c r="G69" s="20" t="str">
        <f>IF(A69="","",IFERROR(INDEX('PP Sample'!$V$5:$V$304,MATCH(A69,'PP Sample'!$B$5:$B$304,0)),"Pending"))</f>
        <v/>
      </c>
      <c r="H69" s="20" t="str">
        <f>IF(A69="","",IFERROR(INDEX('Production Readiness'!$S$5:$S$304,MATCH(A69,'Production Readiness'!$C$5:$C$304,0)),"Pending"))</f>
        <v/>
      </c>
      <c r="I69" s="20" t="str">
        <f>IF(A69="","",IFERROR(INDEX('Cutting Release'!$P$5:$P$304,MATCH(A69,'Cutting Release'!$C$5:$C$304,0)),"Pending"))</f>
        <v/>
      </c>
      <c r="J69" s="20" t="str">
        <f>IF(A69="","",SUMIF('Cutting Control'!$C$5:$C$304,A69,'Cutting Control'!$K$5:$K$304))</f>
        <v/>
      </c>
      <c r="K69" s="20" t="str">
        <f>IF(A69="","",IFERROR(INDEX('TOP Sample'!$W$5:$W$304,MATCH(A69,'TOP Sample'!$B$5:$B$304,0)),"Pending"))</f>
        <v/>
      </c>
      <c r="L69" s="20" t="str">
        <f>IF(A69="","",SUMIF('Sewing Production'!$E$5:$E$304,A69,'Sewing Production'!$L$5:$L$304))</f>
        <v/>
      </c>
      <c r="M69" s="20" t="str">
        <f>IF(A69="","",IFERROR(INDEX('Inline Quality'!$S$5:$S$304,MATCH(A69,'Inline Quality'!$E$5:$E$304,0)),"Pending"))</f>
        <v/>
      </c>
      <c r="N69" s="20" t="str">
        <f>IF(A69="","",IFERROR(INDEX('Final Inspection'!$U$5:$U$304,MATCH(A69,'Final Inspection'!$C$5:$C$304,0)),"Pending"))</f>
        <v/>
      </c>
      <c r="O69" s="20" t="str">
        <f>IF(A69="","",SUMIF('Packing Control'!$C$5:$C$304,A69,'Packing Control'!$K$5:$K$304))</f>
        <v/>
      </c>
      <c r="P69" s="20" t="str">
        <f>IF(A69="","",SUMIF('Finished Goods'!$C$5:$C$304,A69,'Finished Goods'!$J$5:$J$304))</f>
        <v/>
      </c>
      <c r="Q69" s="20" t="str">
        <f>IF(A69="","",SUMIF('Shipment Control'!$C$5:$C$304,A69,'Shipment Control'!$I$5:$I$304))</f>
        <v/>
      </c>
      <c r="R69" s="20" t="str">
        <f>IF(A69="","",SUMIF('Shipment Control'!$C$5:$C$304,A69,'Shipment Control'!$J$5:$J$304))</f>
        <v/>
      </c>
      <c r="S69" s="20" t="str">
        <f t="shared" si="1"/>
        <v/>
      </c>
      <c r="T69" s="21" t="str">
        <f>IF('FGPO Master'!A63="","",'FGPO Master'!I63)</f>
        <v/>
      </c>
      <c r="U69" s="7" t="str">
        <f>IF(A69="","",IF(COUNTIF('Open Issues'!$D$5:$D$304,A69)&gt;0,"Yellow","Green"))</f>
        <v/>
      </c>
      <c r="V69" s="7" t="str">
        <f>IF('FGPO Master'!A63="","",'FGPO Master'!U63)</f>
        <v/>
      </c>
    </row>
    <row r="70" spans="1:22">
      <c r="A70" s="7" t="str">
        <f>IF('FGPO Master'!A64="","",IF('FGPO Master'!D64="FGPO Pending","FGPO Pending",'FGPO Master'!B64))</f>
        <v/>
      </c>
      <c r="B70" s="7" t="str">
        <f>IF('FGPO Master'!A64="","",'FGPO Master'!F64)</f>
        <v/>
      </c>
      <c r="C70" s="7" t="str">
        <f>IF('FGPO Master'!A64="","",'FGPO Master'!G64)</f>
        <v/>
      </c>
      <c r="D70" s="20" t="str">
        <f>IF('FGPO Master'!A64="","",'FGPO Master'!H64)</f>
        <v/>
      </c>
      <c r="E70" s="20" t="str">
        <f>IF(A70="","",IF(SUMIF('Fabric Inventory'!$C$5:$C$304,A70,'Fabric Inventory'!$O$5:$O$304)&gt;0,"Shortage",IF(SUMIF('Fabric Inventory'!$C$5:$C$304,A70,'Fabric Inventory'!$H$5:$H$304)&gt;0,"Approved","Pending")))</f>
        <v/>
      </c>
      <c r="F70" s="20" t="str">
        <f>IF(A70="","",IF(SUMIF('Trims Control'!$B$5:$B$304,A70,'Trims Control'!$R$5:$R$304)&gt;0,"Shortage",IF(COUNTIFS('Trims Control'!$B$5:$B$304,A70,'Trims Control'!$V$5:$V$304,"Ready")&gt;0,"Ready","Pending")))</f>
        <v/>
      </c>
      <c r="G70" s="20" t="str">
        <f>IF(A70="","",IFERROR(INDEX('PP Sample'!$V$5:$V$304,MATCH(A70,'PP Sample'!$B$5:$B$304,0)),"Pending"))</f>
        <v/>
      </c>
      <c r="H70" s="20" t="str">
        <f>IF(A70="","",IFERROR(INDEX('Production Readiness'!$S$5:$S$304,MATCH(A70,'Production Readiness'!$C$5:$C$304,0)),"Pending"))</f>
        <v/>
      </c>
      <c r="I70" s="20" t="str">
        <f>IF(A70="","",IFERROR(INDEX('Cutting Release'!$P$5:$P$304,MATCH(A70,'Cutting Release'!$C$5:$C$304,0)),"Pending"))</f>
        <v/>
      </c>
      <c r="J70" s="20" t="str">
        <f>IF(A70="","",SUMIF('Cutting Control'!$C$5:$C$304,A70,'Cutting Control'!$K$5:$K$304))</f>
        <v/>
      </c>
      <c r="K70" s="20" t="str">
        <f>IF(A70="","",IFERROR(INDEX('TOP Sample'!$W$5:$W$304,MATCH(A70,'TOP Sample'!$B$5:$B$304,0)),"Pending"))</f>
        <v/>
      </c>
      <c r="L70" s="20" t="str">
        <f>IF(A70="","",SUMIF('Sewing Production'!$E$5:$E$304,A70,'Sewing Production'!$L$5:$L$304))</f>
        <v/>
      </c>
      <c r="M70" s="20" t="str">
        <f>IF(A70="","",IFERROR(INDEX('Inline Quality'!$S$5:$S$304,MATCH(A70,'Inline Quality'!$E$5:$E$304,0)),"Pending"))</f>
        <v/>
      </c>
      <c r="N70" s="20" t="str">
        <f>IF(A70="","",IFERROR(INDEX('Final Inspection'!$U$5:$U$304,MATCH(A70,'Final Inspection'!$C$5:$C$304,0)),"Pending"))</f>
        <v/>
      </c>
      <c r="O70" s="20" t="str">
        <f>IF(A70="","",SUMIF('Packing Control'!$C$5:$C$304,A70,'Packing Control'!$K$5:$K$304))</f>
        <v/>
      </c>
      <c r="P70" s="20" t="str">
        <f>IF(A70="","",SUMIF('Finished Goods'!$C$5:$C$304,A70,'Finished Goods'!$J$5:$J$304))</f>
        <v/>
      </c>
      <c r="Q70" s="20" t="str">
        <f>IF(A70="","",SUMIF('Shipment Control'!$C$5:$C$304,A70,'Shipment Control'!$I$5:$I$304))</f>
        <v/>
      </c>
      <c r="R70" s="20" t="str">
        <f>IF(A70="","",SUMIF('Shipment Control'!$C$5:$C$304,A70,'Shipment Control'!$J$5:$J$304))</f>
        <v/>
      </c>
      <c r="S70" s="20" t="str">
        <f t="shared" si="1"/>
        <v/>
      </c>
      <c r="T70" s="21" t="str">
        <f>IF('FGPO Master'!A64="","",'FGPO Master'!I64)</f>
        <v/>
      </c>
      <c r="U70" s="7" t="str">
        <f>IF(A70="","",IF(COUNTIF('Open Issues'!$D$5:$D$304,A70)&gt;0,"Yellow","Green"))</f>
        <v/>
      </c>
      <c r="V70" s="7" t="str">
        <f>IF('FGPO Master'!A64="","",'FGPO Master'!U64)</f>
        <v/>
      </c>
    </row>
    <row r="71" spans="1:22">
      <c r="A71" s="7" t="str">
        <f>IF('FGPO Master'!A65="","",IF('FGPO Master'!D65="FGPO Pending","FGPO Pending",'FGPO Master'!B65))</f>
        <v/>
      </c>
      <c r="B71" s="7" t="str">
        <f>IF('FGPO Master'!A65="","",'FGPO Master'!F65)</f>
        <v/>
      </c>
      <c r="C71" s="7" t="str">
        <f>IF('FGPO Master'!A65="","",'FGPO Master'!G65)</f>
        <v/>
      </c>
      <c r="D71" s="20" t="str">
        <f>IF('FGPO Master'!A65="","",'FGPO Master'!H65)</f>
        <v/>
      </c>
      <c r="E71" s="20" t="str">
        <f>IF(A71="","",IF(SUMIF('Fabric Inventory'!$C$5:$C$304,A71,'Fabric Inventory'!$O$5:$O$304)&gt;0,"Shortage",IF(SUMIF('Fabric Inventory'!$C$5:$C$304,A71,'Fabric Inventory'!$H$5:$H$304)&gt;0,"Approved","Pending")))</f>
        <v/>
      </c>
      <c r="F71" s="20" t="str">
        <f>IF(A71="","",IF(SUMIF('Trims Control'!$B$5:$B$304,A71,'Trims Control'!$R$5:$R$304)&gt;0,"Shortage",IF(COUNTIFS('Trims Control'!$B$5:$B$304,A71,'Trims Control'!$V$5:$V$304,"Ready")&gt;0,"Ready","Pending")))</f>
        <v/>
      </c>
      <c r="G71" s="20" t="str">
        <f>IF(A71="","",IFERROR(INDEX('PP Sample'!$V$5:$V$304,MATCH(A71,'PP Sample'!$B$5:$B$304,0)),"Pending"))</f>
        <v/>
      </c>
      <c r="H71" s="20" t="str">
        <f>IF(A71="","",IFERROR(INDEX('Production Readiness'!$S$5:$S$304,MATCH(A71,'Production Readiness'!$C$5:$C$304,0)),"Pending"))</f>
        <v/>
      </c>
      <c r="I71" s="20" t="str">
        <f>IF(A71="","",IFERROR(INDEX('Cutting Release'!$P$5:$P$304,MATCH(A71,'Cutting Release'!$C$5:$C$304,0)),"Pending"))</f>
        <v/>
      </c>
      <c r="J71" s="20" t="str">
        <f>IF(A71="","",SUMIF('Cutting Control'!$C$5:$C$304,A71,'Cutting Control'!$K$5:$K$304))</f>
        <v/>
      </c>
      <c r="K71" s="20" t="str">
        <f>IF(A71="","",IFERROR(INDEX('TOP Sample'!$W$5:$W$304,MATCH(A71,'TOP Sample'!$B$5:$B$304,0)),"Pending"))</f>
        <v/>
      </c>
      <c r="L71" s="20" t="str">
        <f>IF(A71="","",SUMIF('Sewing Production'!$E$5:$E$304,A71,'Sewing Production'!$L$5:$L$304))</f>
        <v/>
      </c>
      <c r="M71" s="20" t="str">
        <f>IF(A71="","",IFERROR(INDEX('Inline Quality'!$S$5:$S$304,MATCH(A71,'Inline Quality'!$E$5:$E$304,0)),"Pending"))</f>
        <v/>
      </c>
      <c r="N71" s="20" t="str">
        <f>IF(A71="","",IFERROR(INDEX('Final Inspection'!$U$5:$U$304,MATCH(A71,'Final Inspection'!$C$5:$C$304,0)),"Pending"))</f>
        <v/>
      </c>
      <c r="O71" s="20" t="str">
        <f>IF(A71="","",SUMIF('Packing Control'!$C$5:$C$304,A71,'Packing Control'!$K$5:$K$304))</f>
        <v/>
      </c>
      <c r="P71" s="20" t="str">
        <f>IF(A71="","",SUMIF('Finished Goods'!$C$5:$C$304,A71,'Finished Goods'!$J$5:$J$304))</f>
        <v/>
      </c>
      <c r="Q71" s="20" t="str">
        <f>IF(A71="","",SUMIF('Shipment Control'!$C$5:$C$304,A71,'Shipment Control'!$I$5:$I$304))</f>
        <v/>
      </c>
      <c r="R71" s="20" t="str">
        <f>IF(A71="","",SUMIF('Shipment Control'!$C$5:$C$304,A71,'Shipment Control'!$J$5:$J$304))</f>
        <v/>
      </c>
      <c r="S71" s="20" t="str">
        <f t="shared" si="1"/>
        <v/>
      </c>
      <c r="T71" s="21" t="str">
        <f>IF('FGPO Master'!A65="","",'FGPO Master'!I65)</f>
        <v/>
      </c>
      <c r="U71" s="7" t="str">
        <f>IF(A71="","",IF(COUNTIF('Open Issues'!$D$5:$D$304,A71)&gt;0,"Yellow","Green"))</f>
        <v/>
      </c>
      <c r="V71" s="7" t="str">
        <f>IF('FGPO Master'!A65="","",'FGPO Master'!U65)</f>
        <v/>
      </c>
    </row>
    <row r="72" spans="1:22">
      <c r="A72" s="7" t="str">
        <f>IF('FGPO Master'!A66="","",IF('FGPO Master'!D66="FGPO Pending","FGPO Pending",'FGPO Master'!B66))</f>
        <v/>
      </c>
      <c r="B72" s="7" t="str">
        <f>IF('FGPO Master'!A66="","",'FGPO Master'!F66)</f>
        <v/>
      </c>
      <c r="C72" s="7" t="str">
        <f>IF('FGPO Master'!A66="","",'FGPO Master'!G66)</f>
        <v/>
      </c>
      <c r="D72" s="20" t="str">
        <f>IF('FGPO Master'!A66="","",'FGPO Master'!H66)</f>
        <v/>
      </c>
      <c r="E72" s="20" t="str">
        <f>IF(A72="","",IF(SUMIF('Fabric Inventory'!$C$5:$C$304,A72,'Fabric Inventory'!$O$5:$O$304)&gt;0,"Shortage",IF(SUMIF('Fabric Inventory'!$C$5:$C$304,A72,'Fabric Inventory'!$H$5:$H$304)&gt;0,"Approved","Pending")))</f>
        <v/>
      </c>
      <c r="F72" s="20" t="str">
        <f>IF(A72="","",IF(SUMIF('Trims Control'!$B$5:$B$304,A72,'Trims Control'!$R$5:$R$304)&gt;0,"Shortage",IF(COUNTIFS('Trims Control'!$B$5:$B$304,A72,'Trims Control'!$V$5:$V$304,"Ready")&gt;0,"Ready","Pending")))</f>
        <v/>
      </c>
      <c r="G72" s="20" t="str">
        <f>IF(A72="","",IFERROR(INDEX('PP Sample'!$V$5:$V$304,MATCH(A72,'PP Sample'!$B$5:$B$304,0)),"Pending"))</f>
        <v/>
      </c>
      <c r="H72" s="20" t="str">
        <f>IF(A72="","",IFERROR(INDEX('Production Readiness'!$S$5:$S$304,MATCH(A72,'Production Readiness'!$C$5:$C$304,0)),"Pending"))</f>
        <v/>
      </c>
      <c r="I72" s="20" t="str">
        <f>IF(A72="","",IFERROR(INDEX('Cutting Release'!$P$5:$P$304,MATCH(A72,'Cutting Release'!$C$5:$C$304,0)),"Pending"))</f>
        <v/>
      </c>
      <c r="J72" s="20" t="str">
        <f>IF(A72="","",SUMIF('Cutting Control'!$C$5:$C$304,A72,'Cutting Control'!$K$5:$K$304))</f>
        <v/>
      </c>
      <c r="K72" s="20" t="str">
        <f>IF(A72="","",IFERROR(INDEX('TOP Sample'!$W$5:$W$304,MATCH(A72,'TOP Sample'!$B$5:$B$304,0)),"Pending"))</f>
        <v/>
      </c>
      <c r="L72" s="20" t="str">
        <f>IF(A72="","",SUMIF('Sewing Production'!$E$5:$E$304,A72,'Sewing Production'!$L$5:$L$304))</f>
        <v/>
      </c>
      <c r="M72" s="20" t="str">
        <f>IF(A72="","",IFERROR(INDEX('Inline Quality'!$S$5:$S$304,MATCH(A72,'Inline Quality'!$E$5:$E$304,0)),"Pending"))</f>
        <v/>
      </c>
      <c r="N72" s="20" t="str">
        <f>IF(A72="","",IFERROR(INDEX('Final Inspection'!$U$5:$U$304,MATCH(A72,'Final Inspection'!$C$5:$C$304,0)),"Pending"))</f>
        <v/>
      </c>
      <c r="O72" s="20" t="str">
        <f>IF(A72="","",SUMIF('Packing Control'!$C$5:$C$304,A72,'Packing Control'!$K$5:$K$304))</f>
        <v/>
      </c>
      <c r="P72" s="20" t="str">
        <f>IF(A72="","",SUMIF('Finished Goods'!$C$5:$C$304,A72,'Finished Goods'!$J$5:$J$304))</f>
        <v/>
      </c>
      <c r="Q72" s="20" t="str">
        <f>IF(A72="","",SUMIF('Shipment Control'!$C$5:$C$304,A72,'Shipment Control'!$I$5:$I$304))</f>
        <v/>
      </c>
      <c r="R72" s="20" t="str">
        <f>IF(A72="","",SUMIF('Shipment Control'!$C$5:$C$304,A72,'Shipment Control'!$J$5:$J$304))</f>
        <v/>
      </c>
      <c r="S72" s="20" t="str">
        <f t="shared" si="1"/>
        <v/>
      </c>
      <c r="T72" s="21" t="str">
        <f>IF('FGPO Master'!A66="","",'FGPO Master'!I66)</f>
        <v/>
      </c>
      <c r="U72" s="7" t="str">
        <f>IF(A72="","",IF(COUNTIF('Open Issues'!$D$5:$D$304,A72)&gt;0,"Yellow","Green"))</f>
        <v/>
      </c>
      <c r="V72" s="7" t="str">
        <f>IF('FGPO Master'!A66="","",'FGPO Master'!U66)</f>
        <v/>
      </c>
    </row>
    <row r="73" spans="1:22">
      <c r="A73" s="7" t="str">
        <f>IF('FGPO Master'!A67="","",IF('FGPO Master'!D67="FGPO Pending","FGPO Pending",'FGPO Master'!B67))</f>
        <v/>
      </c>
      <c r="B73" s="7" t="str">
        <f>IF('FGPO Master'!A67="","",'FGPO Master'!F67)</f>
        <v/>
      </c>
      <c r="C73" s="7" t="str">
        <f>IF('FGPO Master'!A67="","",'FGPO Master'!G67)</f>
        <v/>
      </c>
      <c r="D73" s="20" t="str">
        <f>IF('FGPO Master'!A67="","",'FGPO Master'!H67)</f>
        <v/>
      </c>
      <c r="E73" s="20" t="str">
        <f>IF(A73="","",IF(SUMIF('Fabric Inventory'!$C$5:$C$304,A73,'Fabric Inventory'!$O$5:$O$304)&gt;0,"Shortage",IF(SUMIF('Fabric Inventory'!$C$5:$C$304,A73,'Fabric Inventory'!$H$5:$H$304)&gt;0,"Approved","Pending")))</f>
        <v/>
      </c>
      <c r="F73" s="20" t="str">
        <f>IF(A73="","",IF(SUMIF('Trims Control'!$B$5:$B$304,A73,'Trims Control'!$R$5:$R$304)&gt;0,"Shortage",IF(COUNTIFS('Trims Control'!$B$5:$B$304,A73,'Trims Control'!$V$5:$V$304,"Ready")&gt;0,"Ready","Pending")))</f>
        <v/>
      </c>
      <c r="G73" s="20" t="str">
        <f>IF(A73="","",IFERROR(INDEX('PP Sample'!$V$5:$V$304,MATCH(A73,'PP Sample'!$B$5:$B$304,0)),"Pending"))</f>
        <v/>
      </c>
      <c r="H73" s="20" t="str">
        <f>IF(A73="","",IFERROR(INDEX('Production Readiness'!$S$5:$S$304,MATCH(A73,'Production Readiness'!$C$5:$C$304,0)),"Pending"))</f>
        <v/>
      </c>
      <c r="I73" s="20" t="str">
        <f>IF(A73="","",IFERROR(INDEX('Cutting Release'!$P$5:$P$304,MATCH(A73,'Cutting Release'!$C$5:$C$304,0)),"Pending"))</f>
        <v/>
      </c>
      <c r="J73" s="20" t="str">
        <f>IF(A73="","",SUMIF('Cutting Control'!$C$5:$C$304,A73,'Cutting Control'!$K$5:$K$304))</f>
        <v/>
      </c>
      <c r="K73" s="20" t="str">
        <f>IF(A73="","",IFERROR(INDEX('TOP Sample'!$W$5:$W$304,MATCH(A73,'TOP Sample'!$B$5:$B$304,0)),"Pending"))</f>
        <v/>
      </c>
      <c r="L73" s="20" t="str">
        <f>IF(A73="","",SUMIF('Sewing Production'!$E$5:$E$304,A73,'Sewing Production'!$L$5:$L$304))</f>
        <v/>
      </c>
      <c r="M73" s="20" t="str">
        <f>IF(A73="","",IFERROR(INDEX('Inline Quality'!$S$5:$S$304,MATCH(A73,'Inline Quality'!$E$5:$E$304,0)),"Pending"))</f>
        <v/>
      </c>
      <c r="N73" s="20" t="str">
        <f>IF(A73="","",IFERROR(INDEX('Final Inspection'!$U$5:$U$304,MATCH(A73,'Final Inspection'!$C$5:$C$304,0)),"Pending"))</f>
        <v/>
      </c>
      <c r="O73" s="20" t="str">
        <f>IF(A73="","",SUMIF('Packing Control'!$C$5:$C$304,A73,'Packing Control'!$K$5:$K$304))</f>
        <v/>
      </c>
      <c r="P73" s="20" t="str">
        <f>IF(A73="","",SUMIF('Finished Goods'!$C$5:$C$304,A73,'Finished Goods'!$J$5:$J$304))</f>
        <v/>
      </c>
      <c r="Q73" s="20" t="str">
        <f>IF(A73="","",SUMIF('Shipment Control'!$C$5:$C$304,A73,'Shipment Control'!$I$5:$I$304))</f>
        <v/>
      </c>
      <c r="R73" s="20" t="str">
        <f>IF(A73="","",SUMIF('Shipment Control'!$C$5:$C$304,A73,'Shipment Control'!$J$5:$J$304))</f>
        <v/>
      </c>
      <c r="S73" s="20" t="str">
        <f t="shared" si="1"/>
        <v/>
      </c>
      <c r="T73" s="21" t="str">
        <f>IF('FGPO Master'!A67="","",'FGPO Master'!I67)</f>
        <v/>
      </c>
      <c r="U73" s="7" t="str">
        <f>IF(A73="","",IF(COUNTIF('Open Issues'!$D$5:$D$304,A73)&gt;0,"Yellow","Green"))</f>
        <v/>
      </c>
      <c r="V73" s="7" t="str">
        <f>IF('FGPO Master'!A67="","",'FGPO Master'!U67)</f>
        <v/>
      </c>
    </row>
    <row r="74" spans="1:22">
      <c r="A74" s="7" t="str">
        <f>IF('FGPO Master'!A68="","",IF('FGPO Master'!D68="FGPO Pending","FGPO Pending",'FGPO Master'!B68))</f>
        <v/>
      </c>
      <c r="B74" s="7" t="str">
        <f>IF('FGPO Master'!A68="","",'FGPO Master'!F68)</f>
        <v/>
      </c>
      <c r="C74" s="7" t="str">
        <f>IF('FGPO Master'!A68="","",'FGPO Master'!G68)</f>
        <v/>
      </c>
      <c r="D74" s="20" t="str">
        <f>IF('FGPO Master'!A68="","",'FGPO Master'!H68)</f>
        <v/>
      </c>
      <c r="E74" s="20" t="str">
        <f>IF(A74="","",IF(SUMIF('Fabric Inventory'!$C$5:$C$304,A74,'Fabric Inventory'!$O$5:$O$304)&gt;0,"Shortage",IF(SUMIF('Fabric Inventory'!$C$5:$C$304,A74,'Fabric Inventory'!$H$5:$H$304)&gt;0,"Approved","Pending")))</f>
        <v/>
      </c>
      <c r="F74" s="20" t="str">
        <f>IF(A74="","",IF(SUMIF('Trims Control'!$B$5:$B$304,A74,'Trims Control'!$R$5:$R$304)&gt;0,"Shortage",IF(COUNTIFS('Trims Control'!$B$5:$B$304,A74,'Trims Control'!$V$5:$V$304,"Ready")&gt;0,"Ready","Pending")))</f>
        <v/>
      </c>
      <c r="G74" s="20" t="str">
        <f>IF(A74="","",IFERROR(INDEX('PP Sample'!$V$5:$V$304,MATCH(A74,'PP Sample'!$B$5:$B$304,0)),"Pending"))</f>
        <v/>
      </c>
      <c r="H74" s="20" t="str">
        <f>IF(A74="","",IFERROR(INDEX('Production Readiness'!$S$5:$S$304,MATCH(A74,'Production Readiness'!$C$5:$C$304,0)),"Pending"))</f>
        <v/>
      </c>
      <c r="I74" s="20" t="str">
        <f>IF(A74="","",IFERROR(INDEX('Cutting Release'!$P$5:$P$304,MATCH(A74,'Cutting Release'!$C$5:$C$304,0)),"Pending"))</f>
        <v/>
      </c>
      <c r="J74" s="20" t="str">
        <f>IF(A74="","",SUMIF('Cutting Control'!$C$5:$C$304,A74,'Cutting Control'!$K$5:$K$304))</f>
        <v/>
      </c>
      <c r="K74" s="20" t="str">
        <f>IF(A74="","",IFERROR(INDEX('TOP Sample'!$W$5:$W$304,MATCH(A74,'TOP Sample'!$B$5:$B$304,0)),"Pending"))</f>
        <v/>
      </c>
      <c r="L74" s="20" t="str">
        <f>IF(A74="","",SUMIF('Sewing Production'!$E$5:$E$304,A74,'Sewing Production'!$L$5:$L$304))</f>
        <v/>
      </c>
      <c r="M74" s="20" t="str">
        <f>IF(A74="","",IFERROR(INDEX('Inline Quality'!$S$5:$S$304,MATCH(A74,'Inline Quality'!$E$5:$E$304,0)),"Pending"))</f>
        <v/>
      </c>
      <c r="N74" s="20" t="str">
        <f>IF(A74="","",IFERROR(INDEX('Final Inspection'!$U$5:$U$304,MATCH(A74,'Final Inspection'!$C$5:$C$304,0)),"Pending"))</f>
        <v/>
      </c>
      <c r="O74" s="20" t="str">
        <f>IF(A74="","",SUMIF('Packing Control'!$C$5:$C$304,A74,'Packing Control'!$K$5:$K$304))</f>
        <v/>
      </c>
      <c r="P74" s="20" t="str">
        <f>IF(A74="","",SUMIF('Finished Goods'!$C$5:$C$304,A74,'Finished Goods'!$J$5:$J$304))</f>
        <v/>
      </c>
      <c r="Q74" s="20" t="str">
        <f>IF(A74="","",SUMIF('Shipment Control'!$C$5:$C$304,A74,'Shipment Control'!$I$5:$I$304))</f>
        <v/>
      </c>
      <c r="R74" s="20" t="str">
        <f>IF(A74="","",SUMIF('Shipment Control'!$C$5:$C$304,A74,'Shipment Control'!$J$5:$J$304))</f>
        <v/>
      </c>
      <c r="S74" s="20" t="str">
        <f t="shared" si="1"/>
        <v/>
      </c>
      <c r="T74" s="21" t="str">
        <f>IF('FGPO Master'!A68="","",'FGPO Master'!I68)</f>
        <v/>
      </c>
      <c r="U74" s="7" t="str">
        <f>IF(A74="","",IF(COUNTIF('Open Issues'!$D$5:$D$304,A74)&gt;0,"Yellow","Green"))</f>
        <v/>
      </c>
      <c r="V74" s="7" t="str">
        <f>IF('FGPO Master'!A68="","",'FGPO Master'!U68)</f>
        <v/>
      </c>
    </row>
    <row r="75" spans="1:22">
      <c r="A75" s="7" t="str">
        <f>IF('FGPO Master'!A69="","",IF('FGPO Master'!D69="FGPO Pending","FGPO Pending",'FGPO Master'!B69))</f>
        <v/>
      </c>
      <c r="B75" s="7" t="str">
        <f>IF('FGPO Master'!A69="","",'FGPO Master'!F69)</f>
        <v/>
      </c>
      <c r="C75" s="7" t="str">
        <f>IF('FGPO Master'!A69="","",'FGPO Master'!G69)</f>
        <v/>
      </c>
      <c r="D75" s="20" t="str">
        <f>IF('FGPO Master'!A69="","",'FGPO Master'!H69)</f>
        <v/>
      </c>
      <c r="E75" s="20" t="str">
        <f>IF(A75="","",IF(SUMIF('Fabric Inventory'!$C$5:$C$304,A75,'Fabric Inventory'!$O$5:$O$304)&gt;0,"Shortage",IF(SUMIF('Fabric Inventory'!$C$5:$C$304,A75,'Fabric Inventory'!$H$5:$H$304)&gt;0,"Approved","Pending")))</f>
        <v/>
      </c>
      <c r="F75" s="20" t="str">
        <f>IF(A75="","",IF(SUMIF('Trims Control'!$B$5:$B$304,A75,'Trims Control'!$R$5:$R$304)&gt;0,"Shortage",IF(COUNTIFS('Trims Control'!$B$5:$B$304,A75,'Trims Control'!$V$5:$V$304,"Ready")&gt;0,"Ready","Pending")))</f>
        <v/>
      </c>
      <c r="G75" s="20" t="str">
        <f>IF(A75="","",IFERROR(INDEX('PP Sample'!$V$5:$V$304,MATCH(A75,'PP Sample'!$B$5:$B$304,0)),"Pending"))</f>
        <v/>
      </c>
      <c r="H75" s="20" t="str">
        <f>IF(A75="","",IFERROR(INDEX('Production Readiness'!$S$5:$S$304,MATCH(A75,'Production Readiness'!$C$5:$C$304,0)),"Pending"))</f>
        <v/>
      </c>
      <c r="I75" s="20" t="str">
        <f>IF(A75="","",IFERROR(INDEX('Cutting Release'!$P$5:$P$304,MATCH(A75,'Cutting Release'!$C$5:$C$304,0)),"Pending"))</f>
        <v/>
      </c>
      <c r="J75" s="20" t="str">
        <f>IF(A75="","",SUMIF('Cutting Control'!$C$5:$C$304,A75,'Cutting Control'!$K$5:$K$304))</f>
        <v/>
      </c>
      <c r="K75" s="20" t="str">
        <f>IF(A75="","",IFERROR(INDEX('TOP Sample'!$W$5:$W$304,MATCH(A75,'TOP Sample'!$B$5:$B$304,0)),"Pending"))</f>
        <v/>
      </c>
      <c r="L75" s="20" t="str">
        <f>IF(A75="","",SUMIF('Sewing Production'!$E$5:$E$304,A75,'Sewing Production'!$L$5:$L$304))</f>
        <v/>
      </c>
      <c r="M75" s="20" t="str">
        <f>IF(A75="","",IFERROR(INDEX('Inline Quality'!$S$5:$S$304,MATCH(A75,'Inline Quality'!$E$5:$E$304,0)),"Pending"))</f>
        <v/>
      </c>
      <c r="N75" s="20" t="str">
        <f>IF(A75="","",IFERROR(INDEX('Final Inspection'!$U$5:$U$304,MATCH(A75,'Final Inspection'!$C$5:$C$304,0)),"Pending"))</f>
        <v/>
      </c>
      <c r="O75" s="20" t="str">
        <f>IF(A75="","",SUMIF('Packing Control'!$C$5:$C$304,A75,'Packing Control'!$K$5:$K$304))</f>
        <v/>
      </c>
      <c r="P75" s="20" t="str">
        <f>IF(A75="","",SUMIF('Finished Goods'!$C$5:$C$304,A75,'Finished Goods'!$J$5:$J$304))</f>
        <v/>
      </c>
      <c r="Q75" s="20" t="str">
        <f>IF(A75="","",SUMIF('Shipment Control'!$C$5:$C$304,A75,'Shipment Control'!$I$5:$I$304))</f>
        <v/>
      </c>
      <c r="R75" s="20" t="str">
        <f>IF(A75="","",SUMIF('Shipment Control'!$C$5:$C$304,A75,'Shipment Control'!$J$5:$J$304))</f>
        <v/>
      </c>
      <c r="S75" s="20" t="str">
        <f t="shared" ref="S75:S106" si="2">IF(A75="","",Q75+R75-D75)</f>
        <v/>
      </c>
      <c r="T75" s="21" t="str">
        <f>IF('FGPO Master'!A69="","",'FGPO Master'!I69)</f>
        <v/>
      </c>
      <c r="U75" s="7" t="str">
        <f>IF(A75="","",IF(COUNTIF('Open Issues'!$D$5:$D$304,A75)&gt;0,"Yellow","Green"))</f>
        <v/>
      </c>
      <c r="V75" s="7" t="str">
        <f>IF('FGPO Master'!A69="","",'FGPO Master'!U69)</f>
        <v/>
      </c>
    </row>
    <row r="76" spans="1:22">
      <c r="A76" s="7" t="str">
        <f>IF('FGPO Master'!A70="","",IF('FGPO Master'!D70="FGPO Pending","FGPO Pending",'FGPO Master'!B70))</f>
        <v/>
      </c>
      <c r="B76" s="7" t="str">
        <f>IF('FGPO Master'!A70="","",'FGPO Master'!F70)</f>
        <v/>
      </c>
      <c r="C76" s="7" t="str">
        <f>IF('FGPO Master'!A70="","",'FGPO Master'!G70)</f>
        <v/>
      </c>
      <c r="D76" s="20" t="str">
        <f>IF('FGPO Master'!A70="","",'FGPO Master'!H70)</f>
        <v/>
      </c>
      <c r="E76" s="20" t="str">
        <f>IF(A76="","",IF(SUMIF('Fabric Inventory'!$C$5:$C$304,A76,'Fabric Inventory'!$O$5:$O$304)&gt;0,"Shortage",IF(SUMIF('Fabric Inventory'!$C$5:$C$304,A76,'Fabric Inventory'!$H$5:$H$304)&gt;0,"Approved","Pending")))</f>
        <v/>
      </c>
      <c r="F76" s="20" t="str">
        <f>IF(A76="","",IF(SUMIF('Trims Control'!$B$5:$B$304,A76,'Trims Control'!$R$5:$R$304)&gt;0,"Shortage",IF(COUNTIFS('Trims Control'!$B$5:$B$304,A76,'Trims Control'!$V$5:$V$304,"Ready")&gt;0,"Ready","Pending")))</f>
        <v/>
      </c>
      <c r="G76" s="20" t="str">
        <f>IF(A76="","",IFERROR(INDEX('PP Sample'!$V$5:$V$304,MATCH(A76,'PP Sample'!$B$5:$B$304,0)),"Pending"))</f>
        <v/>
      </c>
      <c r="H76" s="20" t="str">
        <f>IF(A76="","",IFERROR(INDEX('Production Readiness'!$S$5:$S$304,MATCH(A76,'Production Readiness'!$C$5:$C$304,0)),"Pending"))</f>
        <v/>
      </c>
      <c r="I76" s="20" t="str">
        <f>IF(A76="","",IFERROR(INDEX('Cutting Release'!$P$5:$P$304,MATCH(A76,'Cutting Release'!$C$5:$C$304,0)),"Pending"))</f>
        <v/>
      </c>
      <c r="J76" s="20" t="str">
        <f>IF(A76="","",SUMIF('Cutting Control'!$C$5:$C$304,A76,'Cutting Control'!$K$5:$K$304))</f>
        <v/>
      </c>
      <c r="K76" s="20" t="str">
        <f>IF(A76="","",IFERROR(INDEX('TOP Sample'!$W$5:$W$304,MATCH(A76,'TOP Sample'!$B$5:$B$304,0)),"Pending"))</f>
        <v/>
      </c>
      <c r="L76" s="20" t="str">
        <f>IF(A76="","",SUMIF('Sewing Production'!$E$5:$E$304,A76,'Sewing Production'!$L$5:$L$304))</f>
        <v/>
      </c>
      <c r="M76" s="20" t="str">
        <f>IF(A76="","",IFERROR(INDEX('Inline Quality'!$S$5:$S$304,MATCH(A76,'Inline Quality'!$E$5:$E$304,0)),"Pending"))</f>
        <v/>
      </c>
      <c r="N76" s="20" t="str">
        <f>IF(A76="","",IFERROR(INDEX('Final Inspection'!$U$5:$U$304,MATCH(A76,'Final Inspection'!$C$5:$C$304,0)),"Pending"))</f>
        <v/>
      </c>
      <c r="O76" s="20" t="str">
        <f>IF(A76="","",SUMIF('Packing Control'!$C$5:$C$304,A76,'Packing Control'!$K$5:$K$304))</f>
        <v/>
      </c>
      <c r="P76" s="20" t="str">
        <f>IF(A76="","",SUMIF('Finished Goods'!$C$5:$C$304,A76,'Finished Goods'!$J$5:$J$304))</f>
        <v/>
      </c>
      <c r="Q76" s="20" t="str">
        <f>IF(A76="","",SUMIF('Shipment Control'!$C$5:$C$304,A76,'Shipment Control'!$I$5:$I$304))</f>
        <v/>
      </c>
      <c r="R76" s="20" t="str">
        <f>IF(A76="","",SUMIF('Shipment Control'!$C$5:$C$304,A76,'Shipment Control'!$J$5:$J$304))</f>
        <v/>
      </c>
      <c r="S76" s="20" t="str">
        <f t="shared" si="2"/>
        <v/>
      </c>
      <c r="T76" s="21" t="str">
        <f>IF('FGPO Master'!A70="","",'FGPO Master'!I70)</f>
        <v/>
      </c>
      <c r="U76" s="7" t="str">
        <f>IF(A76="","",IF(COUNTIF('Open Issues'!$D$5:$D$304,A76)&gt;0,"Yellow","Green"))</f>
        <v/>
      </c>
      <c r="V76" s="7" t="str">
        <f>IF('FGPO Master'!A70="","",'FGPO Master'!U70)</f>
        <v/>
      </c>
    </row>
    <row r="77" spans="1:22">
      <c r="A77" s="7" t="str">
        <f>IF('FGPO Master'!A71="","",IF('FGPO Master'!D71="FGPO Pending","FGPO Pending",'FGPO Master'!B71))</f>
        <v/>
      </c>
      <c r="B77" s="7" t="str">
        <f>IF('FGPO Master'!A71="","",'FGPO Master'!F71)</f>
        <v/>
      </c>
      <c r="C77" s="7" t="str">
        <f>IF('FGPO Master'!A71="","",'FGPO Master'!G71)</f>
        <v/>
      </c>
      <c r="D77" s="20" t="str">
        <f>IF('FGPO Master'!A71="","",'FGPO Master'!H71)</f>
        <v/>
      </c>
      <c r="E77" s="20" t="str">
        <f>IF(A77="","",IF(SUMIF('Fabric Inventory'!$C$5:$C$304,A77,'Fabric Inventory'!$O$5:$O$304)&gt;0,"Shortage",IF(SUMIF('Fabric Inventory'!$C$5:$C$304,A77,'Fabric Inventory'!$H$5:$H$304)&gt;0,"Approved","Pending")))</f>
        <v/>
      </c>
      <c r="F77" s="20" t="str">
        <f>IF(A77="","",IF(SUMIF('Trims Control'!$B$5:$B$304,A77,'Trims Control'!$R$5:$R$304)&gt;0,"Shortage",IF(COUNTIFS('Trims Control'!$B$5:$B$304,A77,'Trims Control'!$V$5:$V$304,"Ready")&gt;0,"Ready","Pending")))</f>
        <v/>
      </c>
      <c r="G77" s="20" t="str">
        <f>IF(A77="","",IFERROR(INDEX('PP Sample'!$V$5:$V$304,MATCH(A77,'PP Sample'!$B$5:$B$304,0)),"Pending"))</f>
        <v/>
      </c>
      <c r="H77" s="20" t="str">
        <f>IF(A77="","",IFERROR(INDEX('Production Readiness'!$S$5:$S$304,MATCH(A77,'Production Readiness'!$C$5:$C$304,0)),"Pending"))</f>
        <v/>
      </c>
      <c r="I77" s="20" t="str">
        <f>IF(A77="","",IFERROR(INDEX('Cutting Release'!$P$5:$P$304,MATCH(A77,'Cutting Release'!$C$5:$C$304,0)),"Pending"))</f>
        <v/>
      </c>
      <c r="J77" s="20" t="str">
        <f>IF(A77="","",SUMIF('Cutting Control'!$C$5:$C$304,A77,'Cutting Control'!$K$5:$K$304))</f>
        <v/>
      </c>
      <c r="K77" s="20" t="str">
        <f>IF(A77="","",IFERROR(INDEX('TOP Sample'!$W$5:$W$304,MATCH(A77,'TOP Sample'!$B$5:$B$304,0)),"Pending"))</f>
        <v/>
      </c>
      <c r="L77" s="20" t="str">
        <f>IF(A77="","",SUMIF('Sewing Production'!$E$5:$E$304,A77,'Sewing Production'!$L$5:$L$304))</f>
        <v/>
      </c>
      <c r="M77" s="20" t="str">
        <f>IF(A77="","",IFERROR(INDEX('Inline Quality'!$S$5:$S$304,MATCH(A77,'Inline Quality'!$E$5:$E$304,0)),"Pending"))</f>
        <v/>
      </c>
      <c r="N77" s="20" t="str">
        <f>IF(A77="","",IFERROR(INDEX('Final Inspection'!$U$5:$U$304,MATCH(A77,'Final Inspection'!$C$5:$C$304,0)),"Pending"))</f>
        <v/>
      </c>
      <c r="O77" s="20" t="str">
        <f>IF(A77="","",SUMIF('Packing Control'!$C$5:$C$304,A77,'Packing Control'!$K$5:$K$304))</f>
        <v/>
      </c>
      <c r="P77" s="20" t="str">
        <f>IF(A77="","",SUMIF('Finished Goods'!$C$5:$C$304,A77,'Finished Goods'!$J$5:$J$304))</f>
        <v/>
      </c>
      <c r="Q77" s="20" t="str">
        <f>IF(A77="","",SUMIF('Shipment Control'!$C$5:$C$304,A77,'Shipment Control'!$I$5:$I$304))</f>
        <v/>
      </c>
      <c r="R77" s="20" t="str">
        <f>IF(A77="","",SUMIF('Shipment Control'!$C$5:$C$304,A77,'Shipment Control'!$J$5:$J$304))</f>
        <v/>
      </c>
      <c r="S77" s="20" t="str">
        <f t="shared" si="2"/>
        <v/>
      </c>
      <c r="T77" s="21" t="str">
        <f>IF('FGPO Master'!A71="","",'FGPO Master'!I71)</f>
        <v/>
      </c>
      <c r="U77" s="7" t="str">
        <f>IF(A77="","",IF(COUNTIF('Open Issues'!$D$5:$D$304,A77)&gt;0,"Yellow","Green"))</f>
        <v/>
      </c>
      <c r="V77" s="7" t="str">
        <f>IF('FGPO Master'!A71="","",'FGPO Master'!U71)</f>
        <v/>
      </c>
    </row>
    <row r="78" spans="1:22">
      <c r="A78" s="7" t="str">
        <f>IF('FGPO Master'!A72="","",IF('FGPO Master'!D72="FGPO Pending","FGPO Pending",'FGPO Master'!B72))</f>
        <v/>
      </c>
      <c r="B78" s="7" t="str">
        <f>IF('FGPO Master'!A72="","",'FGPO Master'!F72)</f>
        <v/>
      </c>
      <c r="C78" s="7" t="str">
        <f>IF('FGPO Master'!A72="","",'FGPO Master'!G72)</f>
        <v/>
      </c>
      <c r="D78" s="20" t="str">
        <f>IF('FGPO Master'!A72="","",'FGPO Master'!H72)</f>
        <v/>
      </c>
      <c r="E78" s="20" t="str">
        <f>IF(A78="","",IF(SUMIF('Fabric Inventory'!$C$5:$C$304,A78,'Fabric Inventory'!$O$5:$O$304)&gt;0,"Shortage",IF(SUMIF('Fabric Inventory'!$C$5:$C$304,A78,'Fabric Inventory'!$H$5:$H$304)&gt;0,"Approved","Pending")))</f>
        <v/>
      </c>
      <c r="F78" s="20" t="str">
        <f>IF(A78="","",IF(SUMIF('Trims Control'!$B$5:$B$304,A78,'Trims Control'!$R$5:$R$304)&gt;0,"Shortage",IF(COUNTIFS('Trims Control'!$B$5:$B$304,A78,'Trims Control'!$V$5:$V$304,"Ready")&gt;0,"Ready","Pending")))</f>
        <v/>
      </c>
      <c r="G78" s="20" t="str">
        <f>IF(A78="","",IFERROR(INDEX('PP Sample'!$V$5:$V$304,MATCH(A78,'PP Sample'!$B$5:$B$304,0)),"Pending"))</f>
        <v/>
      </c>
      <c r="H78" s="20" t="str">
        <f>IF(A78="","",IFERROR(INDEX('Production Readiness'!$S$5:$S$304,MATCH(A78,'Production Readiness'!$C$5:$C$304,0)),"Pending"))</f>
        <v/>
      </c>
      <c r="I78" s="20" t="str">
        <f>IF(A78="","",IFERROR(INDEX('Cutting Release'!$P$5:$P$304,MATCH(A78,'Cutting Release'!$C$5:$C$304,0)),"Pending"))</f>
        <v/>
      </c>
      <c r="J78" s="20" t="str">
        <f>IF(A78="","",SUMIF('Cutting Control'!$C$5:$C$304,A78,'Cutting Control'!$K$5:$K$304))</f>
        <v/>
      </c>
      <c r="K78" s="20" t="str">
        <f>IF(A78="","",IFERROR(INDEX('TOP Sample'!$W$5:$W$304,MATCH(A78,'TOP Sample'!$B$5:$B$304,0)),"Pending"))</f>
        <v/>
      </c>
      <c r="L78" s="20" t="str">
        <f>IF(A78="","",SUMIF('Sewing Production'!$E$5:$E$304,A78,'Sewing Production'!$L$5:$L$304))</f>
        <v/>
      </c>
      <c r="M78" s="20" t="str">
        <f>IF(A78="","",IFERROR(INDEX('Inline Quality'!$S$5:$S$304,MATCH(A78,'Inline Quality'!$E$5:$E$304,0)),"Pending"))</f>
        <v/>
      </c>
      <c r="N78" s="20" t="str">
        <f>IF(A78="","",IFERROR(INDEX('Final Inspection'!$U$5:$U$304,MATCH(A78,'Final Inspection'!$C$5:$C$304,0)),"Pending"))</f>
        <v/>
      </c>
      <c r="O78" s="20" t="str">
        <f>IF(A78="","",SUMIF('Packing Control'!$C$5:$C$304,A78,'Packing Control'!$K$5:$K$304))</f>
        <v/>
      </c>
      <c r="P78" s="20" t="str">
        <f>IF(A78="","",SUMIF('Finished Goods'!$C$5:$C$304,A78,'Finished Goods'!$J$5:$J$304))</f>
        <v/>
      </c>
      <c r="Q78" s="20" t="str">
        <f>IF(A78="","",SUMIF('Shipment Control'!$C$5:$C$304,A78,'Shipment Control'!$I$5:$I$304))</f>
        <v/>
      </c>
      <c r="R78" s="20" t="str">
        <f>IF(A78="","",SUMIF('Shipment Control'!$C$5:$C$304,A78,'Shipment Control'!$J$5:$J$304))</f>
        <v/>
      </c>
      <c r="S78" s="20" t="str">
        <f t="shared" si="2"/>
        <v/>
      </c>
      <c r="T78" s="21" t="str">
        <f>IF('FGPO Master'!A72="","",'FGPO Master'!I72)</f>
        <v/>
      </c>
      <c r="U78" s="7" t="str">
        <f>IF(A78="","",IF(COUNTIF('Open Issues'!$D$5:$D$304,A78)&gt;0,"Yellow","Green"))</f>
        <v/>
      </c>
      <c r="V78" s="7" t="str">
        <f>IF('FGPO Master'!A72="","",'FGPO Master'!U72)</f>
        <v/>
      </c>
    </row>
    <row r="79" spans="1:22">
      <c r="A79" s="7" t="str">
        <f>IF('FGPO Master'!A73="","",IF('FGPO Master'!D73="FGPO Pending","FGPO Pending",'FGPO Master'!B73))</f>
        <v/>
      </c>
      <c r="B79" s="7" t="str">
        <f>IF('FGPO Master'!A73="","",'FGPO Master'!F73)</f>
        <v/>
      </c>
      <c r="C79" s="7" t="str">
        <f>IF('FGPO Master'!A73="","",'FGPO Master'!G73)</f>
        <v/>
      </c>
      <c r="D79" s="20" t="str">
        <f>IF('FGPO Master'!A73="","",'FGPO Master'!H73)</f>
        <v/>
      </c>
      <c r="E79" s="20" t="str">
        <f>IF(A79="","",IF(SUMIF('Fabric Inventory'!$C$5:$C$304,A79,'Fabric Inventory'!$O$5:$O$304)&gt;0,"Shortage",IF(SUMIF('Fabric Inventory'!$C$5:$C$304,A79,'Fabric Inventory'!$H$5:$H$304)&gt;0,"Approved","Pending")))</f>
        <v/>
      </c>
      <c r="F79" s="20" t="str">
        <f>IF(A79="","",IF(SUMIF('Trims Control'!$B$5:$B$304,A79,'Trims Control'!$R$5:$R$304)&gt;0,"Shortage",IF(COUNTIFS('Trims Control'!$B$5:$B$304,A79,'Trims Control'!$V$5:$V$304,"Ready")&gt;0,"Ready","Pending")))</f>
        <v/>
      </c>
      <c r="G79" s="20" t="str">
        <f>IF(A79="","",IFERROR(INDEX('PP Sample'!$V$5:$V$304,MATCH(A79,'PP Sample'!$B$5:$B$304,0)),"Pending"))</f>
        <v/>
      </c>
      <c r="H79" s="20" t="str">
        <f>IF(A79="","",IFERROR(INDEX('Production Readiness'!$S$5:$S$304,MATCH(A79,'Production Readiness'!$C$5:$C$304,0)),"Pending"))</f>
        <v/>
      </c>
      <c r="I79" s="20" t="str">
        <f>IF(A79="","",IFERROR(INDEX('Cutting Release'!$P$5:$P$304,MATCH(A79,'Cutting Release'!$C$5:$C$304,0)),"Pending"))</f>
        <v/>
      </c>
      <c r="J79" s="20" t="str">
        <f>IF(A79="","",SUMIF('Cutting Control'!$C$5:$C$304,A79,'Cutting Control'!$K$5:$K$304))</f>
        <v/>
      </c>
      <c r="K79" s="20" t="str">
        <f>IF(A79="","",IFERROR(INDEX('TOP Sample'!$W$5:$W$304,MATCH(A79,'TOP Sample'!$B$5:$B$304,0)),"Pending"))</f>
        <v/>
      </c>
      <c r="L79" s="20" t="str">
        <f>IF(A79="","",SUMIF('Sewing Production'!$E$5:$E$304,A79,'Sewing Production'!$L$5:$L$304))</f>
        <v/>
      </c>
      <c r="M79" s="20" t="str">
        <f>IF(A79="","",IFERROR(INDEX('Inline Quality'!$S$5:$S$304,MATCH(A79,'Inline Quality'!$E$5:$E$304,0)),"Pending"))</f>
        <v/>
      </c>
      <c r="N79" s="20" t="str">
        <f>IF(A79="","",IFERROR(INDEX('Final Inspection'!$U$5:$U$304,MATCH(A79,'Final Inspection'!$C$5:$C$304,0)),"Pending"))</f>
        <v/>
      </c>
      <c r="O79" s="20" t="str">
        <f>IF(A79="","",SUMIF('Packing Control'!$C$5:$C$304,A79,'Packing Control'!$K$5:$K$304))</f>
        <v/>
      </c>
      <c r="P79" s="20" t="str">
        <f>IF(A79="","",SUMIF('Finished Goods'!$C$5:$C$304,A79,'Finished Goods'!$J$5:$J$304))</f>
        <v/>
      </c>
      <c r="Q79" s="20" t="str">
        <f>IF(A79="","",SUMIF('Shipment Control'!$C$5:$C$304,A79,'Shipment Control'!$I$5:$I$304))</f>
        <v/>
      </c>
      <c r="R79" s="20" t="str">
        <f>IF(A79="","",SUMIF('Shipment Control'!$C$5:$C$304,A79,'Shipment Control'!$J$5:$J$304))</f>
        <v/>
      </c>
      <c r="S79" s="20" t="str">
        <f t="shared" si="2"/>
        <v/>
      </c>
      <c r="T79" s="21" t="str">
        <f>IF('FGPO Master'!A73="","",'FGPO Master'!I73)</f>
        <v/>
      </c>
      <c r="U79" s="7" t="str">
        <f>IF(A79="","",IF(COUNTIF('Open Issues'!$D$5:$D$304,A79)&gt;0,"Yellow","Green"))</f>
        <v/>
      </c>
      <c r="V79" s="7" t="str">
        <f>IF('FGPO Master'!A73="","",'FGPO Master'!U73)</f>
        <v/>
      </c>
    </row>
    <row r="80" spans="1:22">
      <c r="A80" s="7" t="str">
        <f>IF('FGPO Master'!A74="","",IF('FGPO Master'!D74="FGPO Pending","FGPO Pending",'FGPO Master'!B74))</f>
        <v/>
      </c>
      <c r="B80" s="7" t="str">
        <f>IF('FGPO Master'!A74="","",'FGPO Master'!F74)</f>
        <v/>
      </c>
      <c r="C80" s="7" t="str">
        <f>IF('FGPO Master'!A74="","",'FGPO Master'!G74)</f>
        <v/>
      </c>
      <c r="D80" s="20" t="str">
        <f>IF('FGPO Master'!A74="","",'FGPO Master'!H74)</f>
        <v/>
      </c>
      <c r="E80" s="20" t="str">
        <f>IF(A80="","",IF(SUMIF('Fabric Inventory'!$C$5:$C$304,A80,'Fabric Inventory'!$O$5:$O$304)&gt;0,"Shortage",IF(SUMIF('Fabric Inventory'!$C$5:$C$304,A80,'Fabric Inventory'!$H$5:$H$304)&gt;0,"Approved","Pending")))</f>
        <v/>
      </c>
      <c r="F80" s="20" t="str">
        <f>IF(A80="","",IF(SUMIF('Trims Control'!$B$5:$B$304,A80,'Trims Control'!$R$5:$R$304)&gt;0,"Shortage",IF(COUNTIFS('Trims Control'!$B$5:$B$304,A80,'Trims Control'!$V$5:$V$304,"Ready")&gt;0,"Ready","Pending")))</f>
        <v/>
      </c>
      <c r="G80" s="20" t="str">
        <f>IF(A80="","",IFERROR(INDEX('PP Sample'!$V$5:$V$304,MATCH(A80,'PP Sample'!$B$5:$B$304,0)),"Pending"))</f>
        <v/>
      </c>
      <c r="H80" s="20" t="str">
        <f>IF(A80="","",IFERROR(INDEX('Production Readiness'!$S$5:$S$304,MATCH(A80,'Production Readiness'!$C$5:$C$304,0)),"Pending"))</f>
        <v/>
      </c>
      <c r="I80" s="20" t="str">
        <f>IF(A80="","",IFERROR(INDEX('Cutting Release'!$P$5:$P$304,MATCH(A80,'Cutting Release'!$C$5:$C$304,0)),"Pending"))</f>
        <v/>
      </c>
      <c r="J80" s="20" t="str">
        <f>IF(A80="","",SUMIF('Cutting Control'!$C$5:$C$304,A80,'Cutting Control'!$K$5:$K$304))</f>
        <v/>
      </c>
      <c r="K80" s="20" t="str">
        <f>IF(A80="","",IFERROR(INDEX('TOP Sample'!$W$5:$W$304,MATCH(A80,'TOP Sample'!$B$5:$B$304,0)),"Pending"))</f>
        <v/>
      </c>
      <c r="L80" s="20" t="str">
        <f>IF(A80="","",SUMIF('Sewing Production'!$E$5:$E$304,A80,'Sewing Production'!$L$5:$L$304))</f>
        <v/>
      </c>
      <c r="M80" s="20" t="str">
        <f>IF(A80="","",IFERROR(INDEX('Inline Quality'!$S$5:$S$304,MATCH(A80,'Inline Quality'!$E$5:$E$304,0)),"Pending"))</f>
        <v/>
      </c>
      <c r="N80" s="20" t="str">
        <f>IF(A80="","",IFERROR(INDEX('Final Inspection'!$U$5:$U$304,MATCH(A80,'Final Inspection'!$C$5:$C$304,0)),"Pending"))</f>
        <v/>
      </c>
      <c r="O80" s="20" t="str">
        <f>IF(A80="","",SUMIF('Packing Control'!$C$5:$C$304,A80,'Packing Control'!$K$5:$K$304))</f>
        <v/>
      </c>
      <c r="P80" s="20" t="str">
        <f>IF(A80="","",SUMIF('Finished Goods'!$C$5:$C$304,A80,'Finished Goods'!$J$5:$J$304))</f>
        <v/>
      </c>
      <c r="Q80" s="20" t="str">
        <f>IF(A80="","",SUMIF('Shipment Control'!$C$5:$C$304,A80,'Shipment Control'!$I$5:$I$304))</f>
        <v/>
      </c>
      <c r="R80" s="20" t="str">
        <f>IF(A80="","",SUMIF('Shipment Control'!$C$5:$C$304,A80,'Shipment Control'!$J$5:$J$304))</f>
        <v/>
      </c>
      <c r="S80" s="20" t="str">
        <f t="shared" si="2"/>
        <v/>
      </c>
      <c r="T80" s="21" t="str">
        <f>IF('FGPO Master'!A74="","",'FGPO Master'!I74)</f>
        <v/>
      </c>
      <c r="U80" s="7" t="str">
        <f>IF(A80="","",IF(COUNTIF('Open Issues'!$D$5:$D$304,A80)&gt;0,"Yellow","Green"))</f>
        <v/>
      </c>
      <c r="V80" s="7" t="str">
        <f>IF('FGPO Master'!A74="","",'FGPO Master'!U74)</f>
        <v/>
      </c>
    </row>
    <row r="81" spans="1:22">
      <c r="A81" s="7" t="str">
        <f>IF('FGPO Master'!A75="","",IF('FGPO Master'!D75="FGPO Pending","FGPO Pending",'FGPO Master'!B75))</f>
        <v/>
      </c>
      <c r="B81" s="7" t="str">
        <f>IF('FGPO Master'!A75="","",'FGPO Master'!F75)</f>
        <v/>
      </c>
      <c r="C81" s="7" t="str">
        <f>IF('FGPO Master'!A75="","",'FGPO Master'!G75)</f>
        <v/>
      </c>
      <c r="D81" s="20" t="str">
        <f>IF('FGPO Master'!A75="","",'FGPO Master'!H75)</f>
        <v/>
      </c>
      <c r="E81" s="20" t="str">
        <f>IF(A81="","",IF(SUMIF('Fabric Inventory'!$C$5:$C$304,A81,'Fabric Inventory'!$O$5:$O$304)&gt;0,"Shortage",IF(SUMIF('Fabric Inventory'!$C$5:$C$304,A81,'Fabric Inventory'!$H$5:$H$304)&gt;0,"Approved","Pending")))</f>
        <v/>
      </c>
      <c r="F81" s="20" t="str">
        <f>IF(A81="","",IF(SUMIF('Trims Control'!$B$5:$B$304,A81,'Trims Control'!$R$5:$R$304)&gt;0,"Shortage",IF(COUNTIFS('Trims Control'!$B$5:$B$304,A81,'Trims Control'!$V$5:$V$304,"Ready")&gt;0,"Ready","Pending")))</f>
        <v/>
      </c>
      <c r="G81" s="20" t="str">
        <f>IF(A81="","",IFERROR(INDEX('PP Sample'!$V$5:$V$304,MATCH(A81,'PP Sample'!$B$5:$B$304,0)),"Pending"))</f>
        <v/>
      </c>
      <c r="H81" s="20" t="str">
        <f>IF(A81="","",IFERROR(INDEX('Production Readiness'!$S$5:$S$304,MATCH(A81,'Production Readiness'!$C$5:$C$304,0)),"Pending"))</f>
        <v/>
      </c>
      <c r="I81" s="20" t="str">
        <f>IF(A81="","",IFERROR(INDEX('Cutting Release'!$P$5:$P$304,MATCH(A81,'Cutting Release'!$C$5:$C$304,0)),"Pending"))</f>
        <v/>
      </c>
      <c r="J81" s="20" t="str">
        <f>IF(A81="","",SUMIF('Cutting Control'!$C$5:$C$304,A81,'Cutting Control'!$K$5:$K$304))</f>
        <v/>
      </c>
      <c r="K81" s="20" t="str">
        <f>IF(A81="","",IFERROR(INDEX('TOP Sample'!$W$5:$W$304,MATCH(A81,'TOP Sample'!$B$5:$B$304,0)),"Pending"))</f>
        <v/>
      </c>
      <c r="L81" s="20" t="str">
        <f>IF(A81="","",SUMIF('Sewing Production'!$E$5:$E$304,A81,'Sewing Production'!$L$5:$L$304))</f>
        <v/>
      </c>
      <c r="M81" s="20" t="str">
        <f>IF(A81="","",IFERROR(INDEX('Inline Quality'!$S$5:$S$304,MATCH(A81,'Inline Quality'!$E$5:$E$304,0)),"Pending"))</f>
        <v/>
      </c>
      <c r="N81" s="20" t="str">
        <f>IF(A81="","",IFERROR(INDEX('Final Inspection'!$U$5:$U$304,MATCH(A81,'Final Inspection'!$C$5:$C$304,0)),"Pending"))</f>
        <v/>
      </c>
      <c r="O81" s="20" t="str">
        <f>IF(A81="","",SUMIF('Packing Control'!$C$5:$C$304,A81,'Packing Control'!$K$5:$K$304))</f>
        <v/>
      </c>
      <c r="P81" s="20" t="str">
        <f>IF(A81="","",SUMIF('Finished Goods'!$C$5:$C$304,A81,'Finished Goods'!$J$5:$J$304))</f>
        <v/>
      </c>
      <c r="Q81" s="20" t="str">
        <f>IF(A81="","",SUMIF('Shipment Control'!$C$5:$C$304,A81,'Shipment Control'!$I$5:$I$304))</f>
        <v/>
      </c>
      <c r="R81" s="20" t="str">
        <f>IF(A81="","",SUMIF('Shipment Control'!$C$5:$C$304,A81,'Shipment Control'!$J$5:$J$304))</f>
        <v/>
      </c>
      <c r="S81" s="20" t="str">
        <f t="shared" si="2"/>
        <v/>
      </c>
      <c r="T81" s="21" t="str">
        <f>IF('FGPO Master'!A75="","",'FGPO Master'!I75)</f>
        <v/>
      </c>
      <c r="U81" s="7" t="str">
        <f>IF(A81="","",IF(COUNTIF('Open Issues'!$D$5:$D$304,A81)&gt;0,"Yellow","Green"))</f>
        <v/>
      </c>
      <c r="V81" s="7" t="str">
        <f>IF('FGPO Master'!A75="","",'FGPO Master'!U75)</f>
        <v/>
      </c>
    </row>
    <row r="82" spans="1:22">
      <c r="A82" s="7" t="str">
        <f>IF('FGPO Master'!A76="","",IF('FGPO Master'!D76="FGPO Pending","FGPO Pending",'FGPO Master'!B76))</f>
        <v/>
      </c>
      <c r="B82" s="7" t="str">
        <f>IF('FGPO Master'!A76="","",'FGPO Master'!F76)</f>
        <v/>
      </c>
      <c r="C82" s="7" t="str">
        <f>IF('FGPO Master'!A76="","",'FGPO Master'!G76)</f>
        <v/>
      </c>
      <c r="D82" s="20" t="str">
        <f>IF('FGPO Master'!A76="","",'FGPO Master'!H76)</f>
        <v/>
      </c>
      <c r="E82" s="20" t="str">
        <f>IF(A82="","",IF(SUMIF('Fabric Inventory'!$C$5:$C$304,A82,'Fabric Inventory'!$O$5:$O$304)&gt;0,"Shortage",IF(SUMIF('Fabric Inventory'!$C$5:$C$304,A82,'Fabric Inventory'!$H$5:$H$304)&gt;0,"Approved","Pending")))</f>
        <v/>
      </c>
      <c r="F82" s="20" t="str">
        <f>IF(A82="","",IF(SUMIF('Trims Control'!$B$5:$B$304,A82,'Trims Control'!$R$5:$R$304)&gt;0,"Shortage",IF(COUNTIFS('Trims Control'!$B$5:$B$304,A82,'Trims Control'!$V$5:$V$304,"Ready")&gt;0,"Ready","Pending")))</f>
        <v/>
      </c>
      <c r="G82" s="20" t="str">
        <f>IF(A82="","",IFERROR(INDEX('PP Sample'!$V$5:$V$304,MATCH(A82,'PP Sample'!$B$5:$B$304,0)),"Pending"))</f>
        <v/>
      </c>
      <c r="H82" s="20" t="str">
        <f>IF(A82="","",IFERROR(INDEX('Production Readiness'!$S$5:$S$304,MATCH(A82,'Production Readiness'!$C$5:$C$304,0)),"Pending"))</f>
        <v/>
      </c>
      <c r="I82" s="20" t="str">
        <f>IF(A82="","",IFERROR(INDEX('Cutting Release'!$P$5:$P$304,MATCH(A82,'Cutting Release'!$C$5:$C$304,0)),"Pending"))</f>
        <v/>
      </c>
      <c r="J82" s="20" t="str">
        <f>IF(A82="","",SUMIF('Cutting Control'!$C$5:$C$304,A82,'Cutting Control'!$K$5:$K$304))</f>
        <v/>
      </c>
      <c r="K82" s="20" t="str">
        <f>IF(A82="","",IFERROR(INDEX('TOP Sample'!$W$5:$W$304,MATCH(A82,'TOP Sample'!$B$5:$B$304,0)),"Pending"))</f>
        <v/>
      </c>
      <c r="L82" s="20" t="str">
        <f>IF(A82="","",SUMIF('Sewing Production'!$E$5:$E$304,A82,'Sewing Production'!$L$5:$L$304))</f>
        <v/>
      </c>
      <c r="M82" s="20" t="str">
        <f>IF(A82="","",IFERROR(INDEX('Inline Quality'!$S$5:$S$304,MATCH(A82,'Inline Quality'!$E$5:$E$304,0)),"Pending"))</f>
        <v/>
      </c>
      <c r="N82" s="20" t="str">
        <f>IF(A82="","",IFERROR(INDEX('Final Inspection'!$U$5:$U$304,MATCH(A82,'Final Inspection'!$C$5:$C$304,0)),"Pending"))</f>
        <v/>
      </c>
      <c r="O82" s="20" t="str">
        <f>IF(A82="","",SUMIF('Packing Control'!$C$5:$C$304,A82,'Packing Control'!$K$5:$K$304))</f>
        <v/>
      </c>
      <c r="P82" s="20" t="str">
        <f>IF(A82="","",SUMIF('Finished Goods'!$C$5:$C$304,A82,'Finished Goods'!$J$5:$J$304))</f>
        <v/>
      </c>
      <c r="Q82" s="20" t="str">
        <f>IF(A82="","",SUMIF('Shipment Control'!$C$5:$C$304,A82,'Shipment Control'!$I$5:$I$304))</f>
        <v/>
      </c>
      <c r="R82" s="20" t="str">
        <f>IF(A82="","",SUMIF('Shipment Control'!$C$5:$C$304,A82,'Shipment Control'!$J$5:$J$304))</f>
        <v/>
      </c>
      <c r="S82" s="20" t="str">
        <f t="shared" si="2"/>
        <v/>
      </c>
      <c r="T82" s="21" t="str">
        <f>IF('FGPO Master'!A76="","",'FGPO Master'!I76)</f>
        <v/>
      </c>
      <c r="U82" s="7" t="str">
        <f>IF(A82="","",IF(COUNTIF('Open Issues'!$D$5:$D$304,A82)&gt;0,"Yellow","Green"))</f>
        <v/>
      </c>
      <c r="V82" s="7" t="str">
        <f>IF('FGPO Master'!A76="","",'FGPO Master'!U76)</f>
        <v/>
      </c>
    </row>
    <row r="83" spans="1:22">
      <c r="A83" s="7" t="str">
        <f>IF('FGPO Master'!A77="","",IF('FGPO Master'!D77="FGPO Pending","FGPO Pending",'FGPO Master'!B77))</f>
        <v/>
      </c>
      <c r="B83" s="7" t="str">
        <f>IF('FGPO Master'!A77="","",'FGPO Master'!F77)</f>
        <v/>
      </c>
      <c r="C83" s="7" t="str">
        <f>IF('FGPO Master'!A77="","",'FGPO Master'!G77)</f>
        <v/>
      </c>
      <c r="D83" s="20" t="str">
        <f>IF('FGPO Master'!A77="","",'FGPO Master'!H77)</f>
        <v/>
      </c>
      <c r="E83" s="20" t="str">
        <f>IF(A83="","",IF(SUMIF('Fabric Inventory'!$C$5:$C$304,A83,'Fabric Inventory'!$O$5:$O$304)&gt;0,"Shortage",IF(SUMIF('Fabric Inventory'!$C$5:$C$304,A83,'Fabric Inventory'!$H$5:$H$304)&gt;0,"Approved","Pending")))</f>
        <v/>
      </c>
      <c r="F83" s="20" t="str">
        <f>IF(A83="","",IF(SUMIF('Trims Control'!$B$5:$B$304,A83,'Trims Control'!$R$5:$R$304)&gt;0,"Shortage",IF(COUNTIFS('Trims Control'!$B$5:$B$304,A83,'Trims Control'!$V$5:$V$304,"Ready")&gt;0,"Ready","Pending")))</f>
        <v/>
      </c>
      <c r="G83" s="20" t="str">
        <f>IF(A83="","",IFERROR(INDEX('PP Sample'!$V$5:$V$304,MATCH(A83,'PP Sample'!$B$5:$B$304,0)),"Pending"))</f>
        <v/>
      </c>
      <c r="H83" s="20" t="str">
        <f>IF(A83="","",IFERROR(INDEX('Production Readiness'!$S$5:$S$304,MATCH(A83,'Production Readiness'!$C$5:$C$304,0)),"Pending"))</f>
        <v/>
      </c>
      <c r="I83" s="20" t="str">
        <f>IF(A83="","",IFERROR(INDEX('Cutting Release'!$P$5:$P$304,MATCH(A83,'Cutting Release'!$C$5:$C$304,0)),"Pending"))</f>
        <v/>
      </c>
      <c r="J83" s="20" t="str">
        <f>IF(A83="","",SUMIF('Cutting Control'!$C$5:$C$304,A83,'Cutting Control'!$K$5:$K$304))</f>
        <v/>
      </c>
      <c r="K83" s="20" t="str">
        <f>IF(A83="","",IFERROR(INDEX('TOP Sample'!$W$5:$W$304,MATCH(A83,'TOP Sample'!$B$5:$B$304,0)),"Pending"))</f>
        <v/>
      </c>
      <c r="L83" s="20" t="str">
        <f>IF(A83="","",SUMIF('Sewing Production'!$E$5:$E$304,A83,'Sewing Production'!$L$5:$L$304))</f>
        <v/>
      </c>
      <c r="M83" s="20" t="str">
        <f>IF(A83="","",IFERROR(INDEX('Inline Quality'!$S$5:$S$304,MATCH(A83,'Inline Quality'!$E$5:$E$304,0)),"Pending"))</f>
        <v/>
      </c>
      <c r="N83" s="20" t="str">
        <f>IF(A83="","",IFERROR(INDEX('Final Inspection'!$U$5:$U$304,MATCH(A83,'Final Inspection'!$C$5:$C$304,0)),"Pending"))</f>
        <v/>
      </c>
      <c r="O83" s="20" t="str">
        <f>IF(A83="","",SUMIF('Packing Control'!$C$5:$C$304,A83,'Packing Control'!$K$5:$K$304))</f>
        <v/>
      </c>
      <c r="P83" s="20" t="str">
        <f>IF(A83="","",SUMIF('Finished Goods'!$C$5:$C$304,A83,'Finished Goods'!$J$5:$J$304))</f>
        <v/>
      </c>
      <c r="Q83" s="20" t="str">
        <f>IF(A83="","",SUMIF('Shipment Control'!$C$5:$C$304,A83,'Shipment Control'!$I$5:$I$304))</f>
        <v/>
      </c>
      <c r="R83" s="20" t="str">
        <f>IF(A83="","",SUMIF('Shipment Control'!$C$5:$C$304,A83,'Shipment Control'!$J$5:$J$304))</f>
        <v/>
      </c>
      <c r="S83" s="20" t="str">
        <f t="shared" si="2"/>
        <v/>
      </c>
      <c r="T83" s="21" t="str">
        <f>IF('FGPO Master'!A77="","",'FGPO Master'!I77)</f>
        <v/>
      </c>
      <c r="U83" s="7" t="str">
        <f>IF(A83="","",IF(COUNTIF('Open Issues'!$D$5:$D$304,A83)&gt;0,"Yellow","Green"))</f>
        <v/>
      </c>
      <c r="V83" s="7" t="str">
        <f>IF('FGPO Master'!A77="","",'FGPO Master'!U77)</f>
        <v/>
      </c>
    </row>
    <row r="84" spans="1:22">
      <c r="A84" s="7" t="str">
        <f>IF('FGPO Master'!A78="","",IF('FGPO Master'!D78="FGPO Pending","FGPO Pending",'FGPO Master'!B78))</f>
        <v/>
      </c>
      <c r="B84" s="7" t="str">
        <f>IF('FGPO Master'!A78="","",'FGPO Master'!F78)</f>
        <v/>
      </c>
      <c r="C84" s="7" t="str">
        <f>IF('FGPO Master'!A78="","",'FGPO Master'!G78)</f>
        <v/>
      </c>
      <c r="D84" s="20" t="str">
        <f>IF('FGPO Master'!A78="","",'FGPO Master'!H78)</f>
        <v/>
      </c>
      <c r="E84" s="20" t="str">
        <f>IF(A84="","",IF(SUMIF('Fabric Inventory'!$C$5:$C$304,A84,'Fabric Inventory'!$O$5:$O$304)&gt;0,"Shortage",IF(SUMIF('Fabric Inventory'!$C$5:$C$304,A84,'Fabric Inventory'!$H$5:$H$304)&gt;0,"Approved","Pending")))</f>
        <v/>
      </c>
      <c r="F84" s="20" t="str">
        <f>IF(A84="","",IF(SUMIF('Trims Control'!$B$5:$B$304,A84,'Trims Control'!$R$5:$R$304)&gt;0,"Shortage",IF(COUNTIFS('Trims Control'!$B$5:$B$304,A84,'Trims Control'!$V$5:$V$304,"Ready")&gt;0,"Ready","Pending")))</f>
        <v/>
      </c>
      <c r="G84" s="20" t="str">
        <f>IF(A84="","",IFERROR(INDEX('PP Sample'!$V$5:$V$304,MATCH(A84,'PP Sample'!$B$5:$B$304,0)),"Pending"))</f>
        <v/>
      </c>
      <c r="H84" s="20" t="str">
        <f>IF(A84="","",IFERROR(INDEX('Production Readiness'!$S$5:$S$304,MATCH(A84,'Production Readiness'!$C$5:$C$304,0)),"Pending"))</f>
        <v/>
      </c>
      <c r="I84" s="20" t="str">
        <f>IF(A84="","",IFERROR(INDEX('Cutting Release'!$P$5:$P$304,MATCH(A84,'Cutting Release'!$C$5:$C$304,0)),"Pending"))</f>
        <v/>
      </c>
      <c r="J84" s="20" t="str">
        <f>IF(A84="","",SUMIF('Cutting Control'!$C$5:$C$304,A84,'Cutting Control'!$K$5:$K$304))</f>
        <v/>
      </c>
      <c r="K84" s="20" t="str">
        <f>IF(A84="","",IFERROR(INDEX('TOP Sample'!$W$5:$W$304,MATCH(A84,'TOP Sample'!$B$5:$B$304,0)),"Pending"))</f>
        <v/>
      </c>
      <c r="L84" s="20" t="str">
        <f>IF(A84="","",SUMIF('Sewing Production'!$E$5:$E$304,A84,'Sewing Production'!$L$5:$L$304))</f>
        <v/>
      </c>
      <c r="M84" s="20" t="str">
        <f>IF(A84="","",IFERROR(INDEX('Inline Quality'!$S$5:$S$304,MATCH(A84,'Inline Quality'!$E$5:$E$304,0)),"Pending"))</f>
        <v/>
      </c>
      <c r="N84" s="20" t="str">
        <f>IF(A84="","",IFERROR(INDEX('Final Inspection'!$U$5:$U$304,MATCH(A84,'Final Inspection'!$C$5:$C$304,0)),"Pending"))</f>
        <v/>
      </c>
      <c r="O84" s="20" t="str">
        <f>IF(A84="","",SUMIF('Packing Control'!$C$5:$C$304,A84,'Packing Control'!$K$5:$K$304))</f>
        <v/>
      </c>
      <c r="P84" s="20" t="str">
        <f>IF(A84="","",SUMIF('Finished Goods'!$C$5:$C$304,A84,'Finished Goods'!$J$5:$J$304))</f>
        <v/>
      </c>
      <c r="Q84" s="20" t="str">
        <f>IF(A84="","",SUMIF('Shipment Control'!$C$5:$C$304,A84,'Shipment Control'!$I$5:$I$304))</f>
        <v/>
      </c>
      <c r="R84" s="20" t="str">
        <f>IF(A84="","",SUMIF('Shipment Control'!$C$5:$C$304,A84,'Shipment Control'!$J$5:$J$304))</f>
        <v/>
      </c>
      <c r="S84" s="20" t="str">
        <f t="shared" si="2"/>
        <v/>
      </c>
      <c r="T84" s="21" t="str">
        <f>IF('FGPO Master'!A78="","",'FGPO Master'!I78)</f>
        <v/>
      </c>
      <c r="U84" s="7" t="str">
        <f>IF(A84="","",IF(COUNTIF('Open Issues'!$D$5:$D$304,A84)&gt;0,"Yellow","Green"))</f>
        <v/>
      </c>
      <c r="V84" s="7" t="str">
        <f>IF('FGPO Master'!A78="","",'FGPO Master'!U78)</f>
        <v/>
      </c>
    </row>
    <row r="85" spans="1:22">
      <c r="A85" s="7" t="str">
        <f>IF('FGPO Master'!A79="","",IF('FGPO Master'!D79="FGPO Pending","FGPO Pending",'FGPO Master'!B79))</f>
        <v/>
      </c>
      <c r="B85" s="7" t="str">
        <f>IF('FGPO Master'!A79="","",'FGPO Master'!F79)</f>
        <v/>
      </c>
      <c r="C85" s="7" t="str">
        <f>IF('FGPO Master'!A79="","",'FGPO Master'!G79)</f>
        <v/>
      </c>
      <c r="D85" s="20" t="str">
        <f>IF('FGPO Master'!A79="","",'FGPO Master'!H79)</f>
        <v/>
      </c>
      <c r="E85" s="20" t="str">
        <f>IF(A85="","",IF(SUMIF('Fabric Inventory'!$C$5:$C$304,A85,'Fabric Inventory'!$O$5:$O$304)&gt;0,"Shortage",IF(SUMIF('Fabric Inventory'!$C$5:$C$304,A85,'Fabric Inventory'!$H$5:$H$304)&gt;0,"Approved","Pending")))</f>
        <v/>
      </c>
      <c r="F85" s="20" t="str">
        <f>IF(A85="","",IF(SUMIF('Trims Control'!$B$5:$B$304,A85,'Trims Control'!$R$5:$R$304)&gt;0,"Shortage",IF(COUNTIFS('Trims Control'!$B$5:$B$304,A85,'Trims Control'!$V$5:$V$304,"Ready")&gt;0,"Ready","Pending")))</f>
        <v/>
      </c>
      <c r="G85" s="20" t="str">
        <f>IF(A85="","",IFERROR(INDEX('PP Sample'!$V$5:$V$304,MATCH(A85,'PP Sample'!$B$5:$B$304,0)),"Pending"))</f>
        <v/>
      </c>
      <c r="H85" s="20" t="str">
        <f>IF(A85="","",IFERROR(INDEX('Production Readiness'!$S$5:$S$304,MATCH(A85,'Production Readiness'!$C$5:$C$304,0)),"Pending"))</f>
        <v/>
      </c>
      <c r="I85" s="20" t="str">
        <f>IF(A85="","",IFERROR(INDEX('Cutting Release'!$P$5:$P$304,MATCH(A85,'Cutting Release'!$C$5:$C$304,0)),"Pending"))</f>
        <v/>
      </c>
      <c r="J85" s="20" t="str">
        <f>IF(A85="","",SUMIF('Cutting Control'!$C$5:$C$304,A85,'Cutting Control'!$K$5:$K$304))</f>
        <v/>
      </c>
      <c r="K85" s="20" t="str">
        <f>IF(A85="","",IFERROR(INDEX('TOP Sample'!$W$5:$W$304,MATCH(A85,'TOP Sample'!$B$5:$B$304,0)),"Pending"))</f>
        <v/>
      </c>
      <c r="L85" s="20" t="str">
        <f>IF(A85="","",SUMIF('Sewing Production'!$E$5:$E$304,A85,'Sewing Production'!$L$5:$L$304))</f>
        <v/>
      </c>
      <c r="M85" s="20" t="str">
        <f>IF(A85="","",IFERROR(INDEX('Inline Quality'!$S$5:$S$304,MATCH(A85,'Inline Quality'!$E$5:$E$304,0)),"Pending"))</f>
        <v/>
      </c>
      <c r="N85" s="20" t="str">
        <f>IF(A85="","",IFERROR(INDEX('Final Inspection'!$U$5:$U$304,MATCH(A85,'Final Inspection'!$C$5:$C$304,0)),"Pending"))</f>
        <v/>
      </c>
      <c r="O85" s="20" t="str">
        <f>IF(A85="","",SUMIF('Packing Control'!$C$5:$C$304,A85,'Packing Control'!$K$5:$K$304))</f>
        <v/>
      </c>
      <c r="P85" s="20" t="str">
        <f>IF(A85="","",SUMIF('Finished Goods'!$C$5:$C$304,A85,'Finished Goods'!$J$5:$J$304))</f>
        <v/>
      </c>
      <c r="Q85" s="20" t="str">
        <f>IF(A85="","",SUMIF('Shipment Control'!$C$5:$C$304,A85,'Shipment Control'!$I$5:$I$304))</f>
        <v/>
      </c>
      <c r="R85" s="20" t="str">
        <f>IF(A85="","",SUMIF('Shipment Control'!$C$5:$C$304,A85,'Shipment Control'!$J$5:$J$304))</f>
        <v/>
      </c>
      <c r="S85" s="20" t="str">
        <f t="shared" si="2"/>
        <v/>
      </c>
      <c r="T85" s="21" t="str">
        <f>IF('FGPO Master'!A79="","",'FGPO Master'!I79)</f>
        <v/>
      </c>
      <c r="U85" s="7" t="str">
        <f>IF(A85="","",IF(COUNTIF('Open Issues'!$D$5:$D$304,A85)&gt;0,"Yellow","Green"))</f>
        <v/>
      </c>
      <c r="V85" s="7" t="str">
        <f>IF('FGPO Master'!A79="","",'FGPO Master'!U79)</f>
        <v/>
      </c>
    </row>
    <row r="86" spans="1:22">
      <c r="A86" s="7" t="str">
        <f>IF('FGPO Master'!A80="","",IF('FGPO Master'!D80="FGPO Pending","FGPO Pending",'FGPO Master'!B80))</f>
        <v/>
      </c>
      <c r="B86" s="7" t="str">
        <f>IF('FGPO Master'!A80="","",'FGPO Master'!F80)</f>
        <v/>
      </c>
      <c r="C86" s="7" t="str">
        <f>IF('FGPO Master'!A80="","",'FGPO Master'!G80)</f>
        <v/>
      </c>
      <c r="D86" s="20" t="str">
        <f>IF('FGPO Master'!A80="","",'FGPO Master'!H80)</f>
        <v/>
      </c>
      <c r="E86" s="20" t="str">
        <f>IF(A86="","",IF(SUMIF('Fabric Inventory'!$C$5:$C$304,A86,'Fabric Inventory'!$O$5:$O$304)&gt;0,"Shortage",IF(SUMIF('Fabric Inventory'!$C$5:$C$304,A86,'Fabric Inventory'!$H$5:$H$304)&gt;0,"Approved","Pending")))</f>
        <v/>
      </c>
      <c r="F86" s="20" t="str">
        <f>IF(A86="","",IF(SUMIF('Trims Control'!$B$5:$B$304,A86,'Trims Control'!$R$5:$R$304)&gt;0,"Shortage",IF(COUNTIFS('Trims Control'!$B$5:$B$304,A86,'Trims Control'!$V$5:$V$304,"Ready")&gt;0,"Ready","Pending")))</f>
        <v/>
      </c>
      <c r="G86" s="20" t="str">
        <f>IF(A86="","",IFERROR(INDEX('PP Sample'!$V$5:$V$304,MATCH(A86,'PP Sample'!$B$5:$B$304,0)),"Pending"))</f>
        <v/>
      </c>
      <c r="H86" s="20" t="str">
        <f>IF(A86="","",IFERROR(INDEX('Production Readiness'!$S$5:$S$304,MATCH(A86,'Production Readiness'!$C$5:$C$304,0)),"Pending"))</f>
        <v/>
      </c>
      <c r="I86" s="20" t="str">
        <f>IF(A86="","",IFERROR(INDEX('Cutting Release'!$P$5:$P$304,MATCH(A86,'Cutting Release'!$C$5:$C$304,0)),"Pending"))</f>
        <v/>
      </c>
      <c r="J86" s="20" t="str">
        <f>IF(A86="","",SUMIF('Cutting Control'!$C$5:$C$304,A86,'Cutting Control'!$K$5:$K$304))</f>
        <v/>
      </c>
      <c r="K86" s="20" t="str">
        <f>IF(A86="","",IFERROR(INDEX('TOP Sample'!$W$5:$W$304,MATCH(A86,'TOP Sample'!$B$5:$B$304,0)),"Pending"))</f>
        <v/>
      </c>
      <c r="L86" s="20" t="str">
        <f>IF(A86="","",SUMIF('Sewing Production'!$E$5:$E$304,A86,'Sewing Production'!$L$5:$L$304))</f>
        <v/>
      </c>
      <c r="M86" s="20" t="str">
        <f>IF(A86="","",IFERROR(INDEX('Inline Quality'!$S$5:$S$304,MATCH(A86,'Inline Quality'!$E$5:$E$304,0)),"Pending"))</f>
        <v/>
      </c>
      <c r="N86" s="20" t="str">
        <f>IF(A86="","",IFERROR(INDEX('Final Inspection'!$U$5:$U$304,MATCH(A86,'Final Inspection'!$C$5:$C$304,0)),"Pending"))</f>
        <v/>
      </c>
      <c r="O86" s="20" t="str">
        <f>IF(A86="","",SUMIF('Packing Control'!$C$5:$C$304,A86,'Packing Control'!$K$5:$K$304))</f>
        <v/>
      </c>
      <c r="P86" s="20" t="str">
        <f>IF(A86="","",SUMIF('Finished Goods'!$C$5:$C$304,A86,'Finished Goods'!$J$5:$J$304))</f>
        <v/>
      </c>
      <c r="Q86" s="20" t="str">
        <f>IF(A86="","",SUMIF('Shipment Control'!$C$5:$C$304,A86,'Shipment Control'!$I$5:$I$304))</f>
        <v/>
      </c>
      <c r="R86" s="20" t="str">
        <f>IF(A86="","",SUMIF('Shipment Control'!$C$5:$C$304,A86,'Shipment Control'!$J$5:$J$304))</f>
        <v/>
      </c>
      <c r="S86" s="20" t="str">
        <f t="shared" si="2"/>
        <v/>
      </c>
      <c r="T86" s="21" t="str">
        <f>IF('FGPO Master'!A80="","",'FGPO Master'!I80)</f>
        <v/>
      </c>
      <c r="U86" s="7" t="str">
        <f>IF(A86="","",IF(COUNTIF('Open Issues'!$D$5:$D$304,A86)&gt;0,"Yellow","Green"))</f>
        <v/>
      </c>
      <c r="V86" s="7" t="str">
        <f>IF('FGPO Master'!A80="","",'FGPO Master'!U80)</f>
        <v/>
      </c>
    </row>
    <row r="87" spans="1:22">
      <c r="A87" s="7" t="str">
        <f>IF('FGPO Master'!A81="","",IF('FGPO Master'!D81="FGPO Pending","FGPO Pending",'FGPO Master'!B81))</f>
        <v/>
      </c>
      <c r="B87" s="7" t="str">
        <f>IF('FGPO Master'!A81="","",'FGPO Master'!F81)</f>
        <v/>
      </c>
      <c r="C87" s="7" t="str">
        <f>IF('FGPO Master'!A81="","",'FGPO Master'!G81)</f>
        <v/>
      </c>
      <c r="D87" s="20" t="str">
        <f>IF('FGPO Master'!A81="","",'FGPO Master'!H81)</f>
        <v/>
      </c>
      <c r="E87" s="20" t="str">
        <f>IF(A87="","",IF(SUMIF('Fabric Inventory'!$C$5:$C$304,A87,'Fabric Inventory'!$O$5:$O$304)&gt;0,"Shortage",IF(SUMIF('Fabric Inventory'!$C$5:$C$304,A87,'Fabric Inventory'!$H$5:$H$304)&gt;0,"Approved","Pending")))</f>
        <v/>
      </c>
      <c r="F87" s="20" t="str">
        <f>IF(A87="","",IF(SUMIF('Trims Control'!$B$5:$B$304,A87,'Trims Control'!$R$5:$R$304)&gt;0,"Shortage",IF(COUNTIFS('Trims Control'!$B$5:$B$304,A87,'Trims Control'!$V$5:$V$304,"Ready")&gt;0,"Ready","Pending")))</f>
        <v/>
      </c>
      <c r="G87" s="20" t="str">
        <f>IF(A87="","",IFERROR(INDEX('PP Sample'!$V$5:$V$304,MATCH(A87,'PP Sample'!$B$5:$B$304,0)),"Pending"))</f>
        <v/>
      </c>
      <c r="H87" s="20" t="str">
        <f>IF(A87="","",IFERROR(INDEX('Production Readiness'!$S$5:$S$304,MATCH(A87,'Production Readiness'!$C$5:$C$304,0)),"Pending"))</f>
        <v/>
      </c>
      <c r="I87" s="20" t="str">
        <f>IF(A87="","",IFERROR(INDEX('Cutting Release'!$P$5:$P$304,MATCH(A87,'Cutting Release'!$C$5:$C$304,0)),"Pending"))</f>
        <v/>
      </c>
      <c r="J87" s="20" t="str">
        <f>IF(A87="","",SUMIF('Cutting Control'!$C$5:$C$304,A87,'Cutting Control'!$K$5:$K$304))</f>
        <v/>
      </c>
      <c r="K87" s="20" t="str">
        <f>IF(A87="","",IFERROR(INDEX('TOP Sample'!$W$5:$W$304,MATCH(A87,'TOP Sample'!$B$5:$B$304,0)),"Pending"))</f>
        <v/>
      </c>
      <c r="L87" s="20" t="str">
        <f>IF(A87="","",SUMIF('Sewing Production'!$E$5:$E$304,A87,'Sewing Production'!$L$5:$L$304))</f>
        <v/>
      </c>
      <c r="M87" s="20" t="str">
        <f>IF(A87="","",IFERROR(INDEX('Inline Quality'!$S$5:$S$304,MATCH(A87,'Inline Quality'!$E$5:$E$304,0)),"Pending"))</f>
        <v/>
      </c>
      <c r="N87" s="20" t="str">
        <f>IF(A87="","",IFERROR(INDEX('Final Inspection'!$U$5:$U$304,MATCH(A87,'Final Inspection'!$C$5:$C$304,0)),"Pending"))</f>
        <v/>
      </c>
      <c r="O87" s="20" t="str">
        <f>IF(A87="","",SUMIF('Packing Control'!$C$5:$C$304,A87,'Packing Control'!$K$5:$K$304))</f>
        <v/>
      </c>
      <c r="P87" s="20" t="str">
        <f>IF(A87="","",SUMIF('Finished Goods'!$C$5:$C$304,A87,'Finished Goods'!$J$5:$J$304))</f>
        <v/>
      </c>
      <c r="Q87" s="20" t="str">
        <f>IF(A87="","",SUMIF('Shipment Control'!$C$5:$C$304,A87,'Shipment Control'!$I$5:$I$304))</f>
        <v/>
      </c>
      <c r="R87" s="20" t="str">
        <f>IF(A87="","",SUMIF('Shipment Control'!$C$5:$C$304,A87,'Shipment Control'!$J$5:$J$304))</f>
        <v/>
      </c>
      <c r="S87" s="20" t="str">
        <f t="shared" si="2"/>
        <v/>
      </c>
      <c r="T87" s="21" t="str">
        <f>IF('FGPO Master'!A81="","",'FGPO Master'!I81)</f>
        <v/>
      </c>
      <c r="U87" s="7" t="str">
        <f>IF(A87="","",IF(COUNTIF('Open Issues'!$D$5:$D$304,A87)&gt;0,"Yellow","Green"))</f>
        <v/>
      </c>
      <c r="V87" s="7" t="str">
        <f>IF('FGPO Master'!A81="","",'FGPO Master'!U81)</f>
        <v/>
      </c>
    </row>
    <row r="88" spans="1:22">
      <c r="A88" s="7" t="str">
        <f>IF('FGPO Master'!A82="","",IF('FGPO Master'!D82="FGPO Pending","FGPO Pending",'FGPO Master'!B82))</f>
        <v/>
      </c>
      <c r="B88" s="7" t="str">
        <f>IF('FGPO Master'!A82="","",'FGPO Master'!F82)</f>
        <v/>
      </c>
      <c r="C88" s="7" t="str">
        <f>IF('FGPO Master'!A82="","",'FGPO Master'!G82)</f>
        <v/>
      </c>
      <c r="D88" s="20" t="str">
        <f>IF('FGPO Master'!A82="","",'FGPO Master'!H82)</f>
        <v/>
      </c>
      <c r="E88" s="20" t="str">
        <f>IF(A88="","",IF(SUMIF('Fabric Inventory'!$C$5:$C$304,A88,'Fabric Inventory'!$O$5:$O$304)&gt;0,"Shortage",IF(SUMIF('Fabric Inventory'!$C$5:$C$304,A88,'Fabric Inventory'!$H$5:$H$304)&gt;0,"Approved","Pending")))</f>
        <v/>
      </c>
      <c r="F88" s="20" t="str">
        <f>IF(A88="","",IF(SUMIF('Trims Control'!$B$5:$B$304,A88,'Trims Control'!$R$5:$R$304)&gt;0,"Shortage",IF(COUNTIFS('Trims Control'!$B$5:$B$304,A88,'Trims Control'!$V$5:$V$304,"Ready")&gt;0,"Ready","Pending")))</f>
        <v/>
      </c>
      <c r="G88" s="20" t="str">
        <f>IF(A88="","",IFERROR(INDEX('PP Sample'!$V$5:$V$304,MATCH(A88,'PP Sample'!$B$5:$B$304,0)),"Pending"))</f>
        <v/>
      </c>
      <c r="H88" s="20" t="str">
        <f>IF(A88="","",IFERROR(INDEX('Production Readiness'!$S$5:$S$304,MATCH(A88,'Production Readiness'!$C$5:$C$304,0)),"Pending"))</f>
        <v/>
      </c>
      <c r="I88" s="20" t="str">
        <f>IF(A88="","",IFERROR(INDEX('Cutting Release'!$P$5:$P$304,MATCH(A88,'Cutting Release'!$C$5:$C$304,0)),"Pending"))</f>
        <v/>
      </c>
      <c r="J88" s="20" t="str">
        <f>IF(A88="","",SUMIF('Cutting Control'!$C$5:$C$304,A88,'Cutting Control'!$K$5:$K$304))</f>
        <v/>
      </c>
      <c r="K88" s="20" t="str">
        <f>IF(A88="","",IFERROR(INDEX('TOP Sample'!$W$5:$W$304,MATCH(A88,'TOP Sample'!$B$5:$B$304,0)),"Pending"))</f>
        <v/>
      </c>
      <c r="L88" s="20" t="str">
        <f>IF(A88="","",SUMIF('Sewing Production'!$E$5:$E$304,A88,'Sewing Production'!$L$5:$L$304))</f>
        <v/>
      </c>
      <c r="M88" s="20" t="str">
        <f>IF(A88="","",IFERROR(INDEX('Inline Quality'!$S$5:$S$304,MATCH(A88,'Inline Quality'!$E$5:$E$304,0)),"Pending"))</f>
        <v/>
      </c>
      <c r="N88" s="20" t="str">
        <f>IF(A88="","",IFERROR(INDEX('Final Inspection'!$U$5:$U$304,MATCH(A88,'Final Inspection'!$C$5:$C$304,0)),"Pending"))</f>
        <v/>
      </c>
      <c r="O88" s="20" t="str">
        <f>IF(A88="","",SUMIF('Packing Control'!$C$5:$C$304,A88,'Packing Control'!$K$5:$K$304))</f>
        <v/>
      </c>
      <c r="P88" s="20" t="str">
        <f>IF(A88="","",SUMIF('Finished Goods'!$C$5:$C$304,A88,'Finished Goods'!$J$5:$J$304))</f>
        <v/>
      </c>
      <c r="Q88" s="20" t="str">
        <f>IF(A88="","",SUMIF('Shipment Control'!$C$5:$C$304,A88,'Shipment Control'!$I$5:$I$304))</f>
        <v/>
      </c>
      <c r="R88" s="20" t="str">
        <f>IF(A88="","",SUMIF('Shipment Control'!$C$5:$C$304,A88,'Shipment Control'!$J$5:$J$304))</f>
        <v/>
      </c>
      <c r="S88" s="20" t="str">
        <f t="shared" si="2"/>
        <v/>
      </c>
      <c r="T88" s="21" t="str">
        <f>IF('FGPO Master'!A82="","",'FGPO Master'!I82)</f>
        <v/>
      </c>
      <c r="U88" s="7" t="str">
        <f>IF(A88="","",IF(COUNTIF('Open Issues'!$D$5:$D$304,A88)&gt;0,"Yellow","Green"))</f>
        <v/>
      </c>
      <c r="V88" s="7" t="str">
        <f>IF('FGPO Master'!A82="","",'FGPO Master'!U82)</f>
        <v/>
      </c>
    </row>
    <row r="89" spans="1:22">
      <c r="A89" s="7" t="str">
        <f>IF('FGPO Master'!A83="","",IF('FGPO Master'!D83="FGPO Pending","FGPO Pending",'FGPO Master'!B83))</f>
        <v/>
      </c>
      <c r="B89" s="7" t="str">
        <f>IF('FGPO Master'!A83="","",'FGPO Master'!F83)</f>
        <v/>
      </c>
      <c r="C89" s="7" t="str">
        <f>IF('FGPO Master'!A83="","",'FGPO Master'!G83)</f>
        <v/>
      </c>
      <c r="D89" s="20" t="str">
        <f>IF('FGPO Master'!A83="","",'FGPO Master'!H83)</f>
        <v/>
      </c>
      <c r="E89" s="20" t="str">
        <f>IF(A89="","",IF(SUMIF('Fabric Inventory'!$C$5:$C$304,A89,'Fabric Inventory'!$O$5:$O$304)&gt;0,"Shortage",IF(SUMIF('Fabric Inventory'!$C$5:$C$304,A89,'Fabric Inventory'!$H$5:$H$304)&gt;0,"Approved","Pending")))</f>
        <v/>
      </c>
      <c r="F89" s="20" t="str">
        <f>IF(A89="","",IF(SUMIF('Trims Control'!$B$5:$B$304,A89,'Trims Control'!$R$5:$R$304)&gt;0,"Shortage",IF(COUNTIFS('Trims Control'!$B$5:$B$304,A89,'Trims Control'!$V$5:$V$304,"Ready")&gt;0,"Ready","Pending")))</f>
        <v/>
      </c>
      <c r="G89" s="20" t="str">
        <f>IF(A89="","",IFERROR(INDEX('PP Sample'!$V$5:$V$304,MATCH(A89,'PP Sample'!$B$5:$B$304,0)),"Pending"))</f>
        <v/>
      </c>
      <c r="H89" s="20" t="str">
        <f>IF(A89="","",IFERROR(INDEX('Production Readiness'!$S$5:$S$304,MATCH(A89,'Production Readiness'!$C$5:$C$304,0)),"Pending"))</f>
        <v/>
      </c>
      <c r="I89" s="20" t="str">
        <f>IF(A89="","",IFERROR(INDEX('Cutting Release'!$P$5:$P$304,MATCH(A89,'Cutting Release'!$C$5:$C$304,0)),"Pending"))</f>
        <v/>
      </c>
      <c r="J89" s="20" t="str">
        <f>IF(A89="","",SUMIF('Cutting Control'!$C$5:$C$304,A89,'Cutting Control'!$K$5:$K$304))</f>
        <v/>
      </c>
      <c r="K89" s="20" t="str">
        <f>IF(A89="","",IFERROR(INDEX('TOP Sample'!$W$5:$W$304,MATCH(A89,'TOP Sample'!$B$5:$B$304,0)),"Pending"))</f>
        <v/>
      </c>
      <c r="L89" s="20" t="str">
        <f>IF(A89="","",SUMIF('Sewing Production'!$E$5:$E$304,A89,'Sewing Production'!$L$5:$L$304))</f>
        <v/>
      </c>
      <c r="M89" s="20" t="str">
        <f>IF(A89="","",IFERROR(INDEX('Inline Quality'!$S$5:$S$304,MATCH(A89,'Inline Quality'!$E$5:$E$304,0)),"Pending"))</f>
        <v/>
      </c>
      <c r="N89" s="20" t="str">
        <f>IF(A89="","",IFERROR(INDEX('Final Inspection'!$U$5:$U$304,MATCH(A89,'Final Inspection'!$C$5:$C$304,0)),"Pending"))</f>
        <v/>
      </c>
      <c r="O89" s="20" t="str">
        <f>IF(A89="","",SUMIF('Packing Control'!$C$5:$C$304,A89,'Packing Control'!$K$5:$K$304))</f>
        <v/>
      </c>
      <c r="P89" s="20" t="str">
        <f>IF(A89="","",SUMIF('Finished Goods'!$C$5:$C$304,A89,'Finished Goods'!$J$5:$J$304))</f>
        <v/>
      </c>
      <c r="Q89" s="20" t="str">
        <f>IF(A89="","",SUMIF('Shipment Control'!$C$5:$C$304,A89,'Shipment Control'!$I$5:$I$304))</f>
        <v/>
      </c>
      <c r="R89" s="20" t="str">
        <f>IF(A89="","",SUMIF('Shipment Control'!$C$5:$C$304,A89,'Shipment Control'!$J$5:$J$304))</f>
        <v/>
      </c>
      <c r="S89" s="20" t="str">
        <f t="shared" si="2"/>
        <v/>
      </c>
      <c r="T89" s="21" t="str">
        <f>IF('FGPO Master'!A83="","",'FGPO Master'!I83)</f>
        <v/>
      </c>
      <c r="U89" s="7" t="str">
        <f>IF(A89="","",IF(COUNTIF('Open Issues'!$D$5:$D$304,A89)&gt;0,"Yellow","Green"))</f>
        <v/>
      </c>
      <c r="V89" s="7" t="str">
        <f>IF('FGPO Master'!A83="","",'FGPO Master'!U83)</f>
        <v/>
      </c>
    </row>
    <row r="90" spans="1:22">
      <c r="A90" s="7" t="str">
        <f>IF('FGPO Master'!A84="","",IF('FGPO Master'!D84="FGPO Pending","FGPO Pending",'FGPO Master'!B84))</f>
        <v/>
      </c>
      <c r="B90" s="7" t="str">
        <f>IF('FGPO Master'!A84="","",'FGPO Master'!F84)</f>
        <v/>
      </c>
      <c r="C90" s="7" t="str">
        <f>IF('FGPO Master'!A84="","",'FGPO Master'!G84)</f>
        <v/>
      </c>
      <c r="D90" s="20" t="str">
        <f>IF('FGPO Master'!A84="","",'FGPO Master'!H84)</f>
        <v/>
      </c>
      <c r="E90" s="20" t="str">
        <f>IF(A90="","",IF(SUMIF('Fabric Inventory'!$C$5:$C$304,A90,'Fabric Inventory'!$O$5:$O$304)&gt;0,"Shortage",IF(SUMIF('Fabric Inventory'!$C$5:$C$304,A90,'Fabric Inventory'!$H$5:$H$304)&gt;0,"Approved","Pending")))</f>
        <v/>
      </c>
      <c r="F90" s="20" t="str">
        <f>IF(A90="","",IF(SUMIF('Trims Control'!$B$5:$B$304,A90,'Trims Control'!$R$5:$R$304)&gt;0,"Shortage",IF(COUNTIFS('Trims Control'!$B$5:$B$304,A90,'Trims Control'!$V$5:$V$304,"Ready")&gt;0,"Ready","Pending")))</f>
        <v/>
      </c>
      <c r="G90" s="20" t="str">
        <f>IF(A90="","",IFERROR(INDEX('PP Sample'!$V$5:$V$304,MATCH(A90,'PP Sample'!$B$5:$B$304,0)),"Pending"))</f>
        <v/>
      </c>
      <c r="H90" s="20" t="str">
        <f>IF(A90="","",IFERROR(INDEX('Production Readiness'!$S$5:$S$304,MATCH(A90,'Production Readiness'!$C$5:$C$304,0)),"Pending"))</f>
        <v/>
      </c>
      <c r="I90" s="20" t="str">
        <f>IF(A90="","",IFERROR(INDEX('Cutting Release'!$P$5:$P$304,MATCH(A90,'Cutting Release'!$C$5:$C$304,0)),"Pending"))</f>
        <v/>
      </c>
      <c r="J90" s="20" t="str">
        <f>IF(A90="","",SUMIF('Cutting Control'!$C$5:$C$304,A90,'Cutting Control'!$K$5:$K$304))</f>
        <v/>
      </c>
      <c r="K90" s="20" t="str">
        <f>IF(A90="","",IFERROR(INDEX('TOP Sample'!$W$5:$W$304,MATCH(A90,'TOP Sample'!$B$5:$B$304,0)),"Pending"))</f>
        <v/>
      </c>
      <c r="L90" s="20" t="str">
        <f>IF(A90="","",SUMIF('Sewing Production'!$E$5:$E$304,A90,'Sewing Production'!$L$5:$L$304))</f>
        <v/>
      </c>
      <c r="M90" s="20" t="str">
        <f>IF(A90="","",IFERROR(INDEX('Inline Quality'!$S$5:$S$304,MATCH(A90,'Inline Quality'!$E$5:$E$304,0)),"Pending"))</f>
        <v/>
      </c>
      <c r="N90" s="20" t="str">
        <f>IF(A90="","",IFERROR(INDEX('Final Inspection'!$U$5:$U$304,MATCH(A90,'Final Inspection'!$C$5:$C$304,0)),"Pending"))</f>
        <v/>
      </c>
      <c r="O90" s="20" t="str">
        <f>IF(A90="","",SUMIF('Packing Control'!$C$5:$C$304,A90,'Packing Control'!$K$5:$K$304))</f>
        <v/>
      </c>
      <c r="P90" s="20" t="str">
        <f>IF(A90="","",SUMIF('Finished Goods'!$C$5:$C$304,A90,'Finished Goods'!$J$5:$J$304))</f>
        <v/>
      </c>
      <c r="Q90" s="20" t="str">
        <f>IF(A90="","",SUMIF('Shipment Control'!$C$5:$C$304,A90,'Shipment Control'!$I$5:$I$304))</f>
        <v/>
      </c>
      <c r="R90" s="20" t="str">
        <f>IF(A90="","",SUMIF('Shipment Control'!$C$5:$C$304,A90,'Shipment Control'!$J$5:$J$304))</f>
        <v/>
      </c>
      <c r="S90" s="20" t="str">
        <f t="shared" si="2"/>
        <v/>
      </c>
      <c r="T90" s="21" t="str">
        <f>IF('FGPO Master'!A84="","",'FGPO Master'!I84)</f>
        <v/>
      </c>
      <c r="U90" s="7" t="str">
        <f>IF(A90="","",IF(COUNTIF('Open Issues'!$D$5:$D$304,A90)&gt;0,"Yellow","Green"))</f>
        <v/>
      </c>
      <c r="V90" s="7" t="str">
        <f>IF('FGPO Master'!A84="","",'FGPO Master'!U84)</f>
        <v/>
      </c>
    </row>
    <row r="91" spans="1:22">
      <c r="A91" s="7" t="str">
        <f>IF('FGPO Master'!A85="","",IF('FGPO Master'!D85="FGPO Pending","FGPO Pending",'FGPO Master'!B85))</f>
        <v/>
      </c>
      <c r="B91" s="7" t="str">
        <f>IF('FGPO Master'!A85="","",'FGPO Master'!F85)</f>
        <v/>
      </c>
      <c r="C91" s="7" t="str">
        <f>IF('FGPO Master'!A85="","",'FGPO Master'!G85)</f>
        <v/>
      </c>
      <c r="D91" s="20" t="str">
        <f>IF('FGPO Master'!A85="","",'FGPO Master'!H85)</f>
        <v/>
      </c>
      <c r="E91" s="20" t="str">
        <f>IF(A91="","",IF(SUMIF('Fabric Inventory'!$C$5:$C$304,A91,'Fabric Inventory'!$O$5:$O$304)&gt;0,"Shortage",IF(SUMIF('Fabric Inventory'!$C$5:$C$304,A91,'Fabric Inventory'!$H$5:$H$304)&gt;0,"Approved","Pending")))</f>
        <v/>
      </c>
      <c r="F91" s="20" t="str">
        <f>IF(A91="","",IF(SUMIF('Trims Control'!$B$5:$B$304,A91,'Trims Control'!$R$5:$R$304)&gt;0,"Shortage",IF(COUNTIFS('Trims Control'!$B$5:$B$304,A91,'Trims Control'!$V$5:$V$304,"Ready")&gt;0,"Ready","Pending")))</f>
        <v/>
      </c>
      <c r="G91" s="20" t="str">
        <f>IF(A91="","",IFERROR(INDEX('PP Sample'!$V$5:$V$304,MATCH(A91,'PP Sample'!$B$5:$B$304,0)),"Pending"))</f>
        <v/>
      </c>
      <c r="H91" s="20" t="str">
        <f>IF(A91="","",IFERROR(INDEX('Production Readiness'!$S$5:$S$304,MATCH(A91,'Production Readiness'!$C$5:$C$304,0)),"Pending"))</f>
        <v/>
      </c>
      <c r="I91" s="20" t="str">
        <f>IF(A91="","",IFERROR(INDEX('Cutting Release'!$P$5:$P$304,MATCH(A91,'Cutting Release'!$C$5:$C$304,0)),"Pending"))</f>
        <v/>
      </c>
      <c r="J91" s="20" t="str">
        <f>IF(A91="","",SUMIF('Cutting Control'!$C$5:$C$304,A91,'Cutting Control'!$K$5:$K$304))</f>
        <v/>
      </c>
      <c r="K91" s="20" t="str">
        <f>IF(A91="","",IFERROR(INDEX('TOP Sample'!$W$5:$W$304,MATCH(A91,'TOP Sample'!$B$5:$B$304,0)),"Pending"))</f>
        <v/>
      </c>
      <c r="L91" s="20" t="str">
        <f>IF(A91="","",SUMIF('Sewing Production'!$E$5:$E$304,A91,'Sewing Production'!$L$5:$L$304))</f>
        <v/>
      </c>
      <c r="M91" s="20" t="str">
        <f>IF(A91="","",IFERROR(INDEX('Inline Quality'!$S$5:$S$304,MATCH(A91,'Inline Quality'!$E$5:$E$304,0)),"Pending"))</f>
        <v/>
      </c>
      <c r="N91" s="20" t="str">
        <f>IF(A91="","",IFERROR(INDEX('Final Inspection'!$U$5:$U$304,MATCH(A91,'Final Inspection'!$C$5:$C$304,0)),"Pending"))</f>
        <v/>
      </c>
      <c r="O91" s="20" t="str">
        <f>IF(A91="","",SUMIF('Packing Control'!$C$5:$C$304,A91,'Packing Control'!$K$5:$K$304))</f>
        <v/>
      </c>
      <c r="P91" s="20" t="str">
        <f>IF(A91="","",SUMIF('Finished Goods'!$C$5:$C$304,A91,'Finished Goods'!$J$5:$J$304))</f>
        <v/>
      </c>
      <c r="Q91" s="20" t="str">
        <f>IF(A91="","",SUMIF('Shipment Control'!$C$5:$C$304,A91,'Shipment Control'!$I$5:$I$304))</f>
        <v/>
      </c>
      <c r="R91" s="20" t="str">
        <f>IF(A91="","",SUMIF('Shipment Control'!$C$5:$C$304,A91,'Shipment Control'!$J$5:$J$304))</f>
        <v/>
      </c>
      <c r="S91" s="20" t="str">
        <f t="shared" si="2"/>
        <v/>
      </c>
      <c r="T91" s="21" t="str">
        <f>IF('FGPO Master'!A85="","",'FGPO Master'!I85)</f>
        <v/>
      </c>
      <c r="U91" s="7" t="str">
        <f>IF(A91="","",IF(COUNTIF('Open Issues'!$D$5:$D$304,A91)&gt;0,"Yellow","Green"))</f>
        <v/>
      </c>
      <c r="V91" s="7" t="str">
        <f>IF('FGPO Master'!A85="","",'FGPO Master'!U85)</f>
        <v/>
      </c>
    </row>
    <row r="92" spans="1:22">
      <c r="A92" s="7" t="str">
        <f>IF('FGPO Master'!A86="","",IF('FGPO Master'!D86="FGPO Pending","FGPO Pending",'FGPO Master'!B86))</f>
        <v/>
      </c>
      <c r="B92" s="7" t="str">
        <f>IF('FGPO Master'!A86="","",'FGPO Master'!F86)</f>
        <v/>
      </c>
      <c r="C92" s="7" t="str">
        <f>IF('FGPO Master'!A86="","",'FGPO Master'!G86)</f>
        <v/>
      </c>
      <c r="D92" s="20" t="str">
        <f>IF('FGPO Master'!A86="","",'FGPO Master'!H86)</f>
        <v/>
      </c>
      <c r="E92" s="20" t="str">
        <f>IF(A92="","",IF(SUMIF('Fabric Inventory'!$C$5:$C$304,A92,'Fabric Inventory'!$O$5:$O$304)&gt;0,"Shortage",IF(SUMIF('Fabric Inventory'!$C$5:$C$304,A92,'Fabric Inventory'!$H$5:$H$304)&gt;0,"Approved","Pending")))</f>
        <v/>
      </c>
      <c r="F92" s="20" t="str">
        <f>IF(A92="","",IF(SUMIF('Trims Control'!$B$5:$B$304,A92,'Trims Control'!$R$5:$R$304)&gt;0,"Shortage",IF(COUNTIFS('Trims Control'!$B$5:$B$304,A92,'Trims Control'!$V$5:$V$304,"Ready")&gt;0,"Ready","Pending")))</f>
        <v/>
      </c>
      <c r="G92" s="20" t="str">
        <f>IF(A92="","",IFERROR(INDEX('PP Sample'!$V$5:$V$304,MATCH(A92,'PP Sample'!$B$5:$B$304,0)),"Pending"))</f>
        <v/>
      </c>
      <c r="H92" s="20" t="str">
        <f>IF(A92="","",IFERROR(INDEX('Production Readiness'!$S$5:$S$304,MATCH(A92,'Production Readiness'!$C$5:$C$304,0)),"Pending"))</f>
        <v/>
      </c>
      <c r="I92" s="20" t="str">
        <f>IF(A92="","",IFERROR(INDEX('Cutting Release'!$P$5:$P$304,MATCH(A92,'Cutting Release'!$C$5:$C$304,0)),"Pending"))</f>
        <v/>
      </c>
      <c r="J92" s="20" t="str">
        <f>IF(A92="","",SUMIF('Cutting Control'!$C$5:$C$304,A92,'Cutting Control'!$K$5:$K$304))</f>
        <v/>
      </c>
      <c r="K92" s="20" t="str">
        <f>IF(A92="","",IFERROR(INDEX('TOP Sample'!$W$5:$W$304,MATCH(A92,'TOP Sample'!$B$5:$B$304,0)),"Pending"))</f>
        <v/>
      </c>
      <c r="L92" s="20" t="str">
        <f>IF(A92="","",SUMIF('Sewing Production'!$E$5:$E$304,A92,'Sewing Production'!$L$5:$L$304))</f>
        <v/>
      </c>
      <c r="M92" s="20" t="str">
        <f>IF(A92="","",IFERROR(INDEX('Inline Quality'!$S$5:$S$304,MATCH(A92,'Inline Quality'!$E$5:$E$304,0)),"Pending"))</f>
        <v/>
      </c>
      <c r="N92" s="20" t="str">
        <f>IF(A92="","",IFERROR(INDEX('Final Inspection'!$U$5:$U$304,MATCH(A92,'Final Inspection'!$C$5:$C$304,0)),"Pending"))</f>
        <v/>
      </c>
      <c r="O92" s="20" t="str">
        <f>IF(A92="","",SUMIF('Packing Control'!$C$5:$C$304,A92,'Packing Control'!$K$5:$K$304))</f>
        <v/>
      </c>
      <c r="P92" s="20" t="str">
        <f>IF(A92="","",SUMIF('Finished Goods'!$C$5:$C$304,A92,'Finished Goods'!$J$5:$J$304))</f>
        <v/>
      </c>
      <c r="Q92" s="20" t="str">
        <f>IF(A92="","",SUMIF('Shipment Control'!$C$5:$C$304,A92,'Shipment Control'!$I$5:$I$304))</f>
        <v/>
      </c>
      <c r="R92" s="20" t="str">
        <f>IF(A92="","",SUMIF('Shipment Control'!$C$5:$C$304,A92,'Shipment Control'!$J$5:$J$304))</f>
        <v/>
      </c>
      <c r="S92" s="20" t="str">
        <f t="shared" si="2"/>
        <v/>
      </c>
      <c r="T92" s="21" t="str">
        <f>IF('FGPO Master'!A86="","",'FGPO Master'!I86)</f>
        <v/>
      </c>
      <c r="U92" s="7" t="str">
        <f>IF(A92="","",IF(COUNTIF('Open Issues'!$D$5:$D$304,A92)&gt;0,"Yellow","Green"))</f>
        <v/>
      </c>
      <c r="V92" s="7" t="str">
        <f>IF('FGPO Master'!A86="","",'FGPO Master'!U86)</f>
        <v/>
      </c>
    </row>
    <row r="93" spans="1:22">
      <c r="A93" s="7" t="str">
        <f>IF('FGPO Master'!A87="","",IF('FGPO Master'!D87="FGPO Pending","FGPO Pending",'FGPO Master'!B87))</f>
        <v/>
      </c>
      <c r="B93" s="7" t="str">
        <f>IF('FGPO Master'!A87="","",'FGPO Master'!F87)</f>
        <v/>
      </c>
      <c r="C93" s="7" t="str">
        <f>IF('FGPO Master'!A87="","",'FGPO Master'!G87)</f>
        <v/>
      </c>
      <c r="D93" s="20" t="str">
        <f>IF('FGPO Master'!A87="","",'FGPO Master'!H87)</f>
        <v/>
      </c>
      <c r="E93" s="20" t="str">
        <f>IF(A93="","",IF(SUMIF('Fabric Inventory'!$C$5:$C$304,A93,'Fabric Inventory'!$O$5:$O$304)&gt;0,"Shortage",IF(SUMIF('Fabric Inventory'!$C$5:$C$304,A93,'Fabric Inventory'!$H$5:$H$304)&gt;0,"Approved","Pending")))</f>
        <v/>
      </c>
      <c r="F93" s="20" t="str">
        <f>IF(A93="","",IF(SUMIF('Trims Control'!$B$5:$B$304,A93,'Trims Control'!$R$5:$R$304)&gt;0,"Shortage",IF(COUNTIFS('Trims Control'!$B$5:$B$304,A93,'Trims Control'!$V$5:$V$304,"Ready")&gt;0,"Ready","Pending")))</f>
        <v/>
      </c>
      <c r="G93" s="20" t="str">
        <f>IF(A93="","",IFERROR(INDEX('PP Sample'!$V$5:$V$304,MATCH(A93,'PP Sample'!$B$5:$B$304,0)),"Pending"))</f>
        <v/>
      </c>
      <c r="H93" s="20" t="str">
        <f>IF(A93="","",IFERROR(INDEX('Production Readiness'!$S$5:$S$304,MATCH(A93,'Production Readiness'!$C$5:$C$304,0)),"Pending"))</f>
        <v/>
      </c>
      <c r="I93" s="20" t="str">
        <f>IF(A93="","",IFERROR(INDEX('Cutting Release'!$P$5:$P$304,MATCH(A93,'Cutting Release'!$C$5:$C$304,0)),"Pending"))</f>
        <v/>
      </c>
      <c r="J93" s="20" t="str">
        <f>IF(A93="","",SUMIF('Cutting Control'!$C$5:$C$304,A93,'Cutting Control'!$K$5:$K$304))</f>
        <v/>
      </c>
      <c r="K93" s="20" t="str">
        <f>IF(A93="","",IFERROR(INDEX('TOP Sample'!$W$5:$W$304,MATCH(A93,'TOP Sample'!$B$5:$B$304,0)),"Pending"))</f>
        <v/>
      </c>
      <c r="L93" s="20" t="str">
        <f>IF(A93="","",SUMIF('Sewing Production'!$E$5:$E$304,A93,'Sewing Production'!$L$5:$L$304))</f>
        <v/>
      </c>
      <c r="M93" s="20" t="str">
        <f>IF(A93="","",IFERROR(INDEX('Inline Quality'!$S$5:$S$304,MATCH(A93,'Inline Quality'!$E$5:$E$304,0)),"Pending"))</f>
        <v/>
      </c>
      <c r="N93" s="20" t="str">
        <f>IF(A93="","",IFERROR(INDEX('Final Inspection'!$U$5:$U$304,MATCH(A93,'Final Inspection'!$C$5:$C$304,0)),"Pending"))</f>
        <v/>
      </c>
      <c r="O93" s="20" t="str">
        <f>IF(A93="","",SUMIF('Packing Control'!$C$5:$C$304,A93,'Packing Control'!$K$5:$K$304))</f>
        <v/>
      </c>
      <c r="P93" s="20" t="str">
        <f>IF(A93="","",SUMIF('Finished Goods'!$C$5:$C$304,A93,'Finished Goods'!$J$5:$J$304))</f>
        <v/>
      </c>
      <c r="Q93" s="20" t="str">
        <f>IF(A93="","",SUMIF('Shipment Control'!$C$5:$C$304,A93,'Shipment Control'!$I$5:$I$304))</f>
        <v/>
      </c>
      <c r="R93" s="20" t="str">
        <f>IF(A93="","",SUMIF('Shipment Control'!$C$5:$C$304,A93,'Shipment Control'!$J$5:$J$304))</f>
        <v/>
      </c>
      <c r="S93" s="20" t="str">
        <f t="shared" si="2"/>
        <v/>
      </c>
      <c r="T93" s="21" t="str">
        <f>IF('FGPO Master'!A87="","",'FGPO Master'!I87)</f>
        <v/>
      </c>
      <c r="U93" s="7" t="str">
        <f>IF(A93="","",IF(COUNTIF('Open Issues'!$D$5:$D$304,A93)&gt;0,"Yellow","Green"))</f>
        <v/>
      </c>
      <c r="V93" s="7" t="str">
        <f>IF('FGPO Master'!A87="","",'FGPO Master'!U87)</f>
        <v/>
      </c>
    </row>
    <row r="94" spans="1:22">
      <c r="A94" s="7" t="str">
        <f>IF('FGPO Master'!A88="","",IF('FGPO Master'!D88="FGPO Pending","FGPO Pending",'FGPO Master'!B88))</f>
        <v/>
      </c>
      <c r="B94" s="7" t="str">
        <f>IF('FGPO Master'!A88="","",'FGPO Master'!F88)</f>
        <v/>
      </c>
      <c r="C94" s="7" t="str">
        <f>IF('FGPO Master'!A88="","",'FGPO Master'!G88)</f>
        <v/>
      </c>
      <c r="D94" s="20" t="str">
        <f>IF('FGPO Master'!A88="","",'FGPO Master'!H88)</f>
        <v/>
      </c>
      <c r="E94" s="20" t="str">
        <f>IF(A94="","",IF(SUMIF('Fabric Inventory'!$C$5:$C$304,A94,'Fabric Inventory'!$O$5:$O$304)&gt;0,"Shortage",IF(SUMIF('Fabric Inventory'!$C$5:$C$304,A94,'Fabric Inventory'!$H$5:$H$304)&gt;0,"Approved","Pending")))</f>
        <v/>
      </c>
      <c r="F94" s="20" t="str">
        <f>IF(A94="","",IF(SUMIF('Trims Control'!$B$5:$B$304,A94,'Trims Control'!$R$5:$R$304)&gt;0,"Shortage",IF(COUNTIFS('Trims Control'!$B$5:$B$304,A94,'Trims Control'!$V$5:$V$304,"Ready")&gt;0,"Ready","Pending")))</f>
        <v/>
      </c>
      <c r="G94" s="20" t="str">
        <f>IF(A94="","",IFERROR(INDEX('PP Sample'!$V$5:$V$304,MATCH(A94,'PP Sample'!$B$5:$B$304,0)),"Pending"))</f>
        <v/>
      </c>
      <c r="H94" s="20" t="str">
        <f>IF(A94="","",IFERROR(INDEX('Production Readiness'!$S$5:$S$304,MATCH(A94,'Production Readiness'!$C$5:$C$304,0)),"Pending"))</f>
        <v/>
      </c>
      <c r="I94" s="20" t="str">
        <f>IF(A94="","",IFERROR(INDEX('Cutting Release'!$P$5:$P$304,MATCH(A94,'Cutting Release'!$C$5:$C$304,0)),"Pending"))</f>
        <v/>
      </c>
      <c r="J94" s="20" t="str">
        <f>IF(A94="","",SUMIF('Cutting Control'!$C$5:$C$304,A94,'Cutting Control'!$K$5:$K$304))</f>
        <v/>
      </c>
      <c r="K94" s="20" t="str">
        <f>IF(A94="","",IFERROR(INDEX('TOP Sample'!$W$5:$W$304,MATCH(A94,'TOP Sample'!$B$5:$B$304,0)),"Pending"))</f>
        <v/>
      </c>
      <c r="L94" s="20" t="str">
        <f>IF(A94="","",SUMIF('Sewing Production'!$E$5:$E$304,A94,'Sewing Production'!$L$5:$L$304))</f>
        <v/>
      </c>
      <c r="M94" s="20" t="str">
        <f>IF(A94="","",IFERROR(INDEX('Inline Quality'!$S$5:$S$304,MATCH(A94,'Inline Quality'!$E$5:$E$304,0)),"Pending"))</f>
        <v/>
      </c>
      <c r="N94" s="20" t="str">
        <f>IF(A94="","",IFERROR(INDEX('Final Inspection'!$U$5:$U$304,MATCH(A94,'Final Inspection'!$C$5:$C$304,0)),"Pending"))</f>
        <v/>
      </c>
      <c r="O94" s="20" t="str">
        <f>IF(A94="","",SUMIF('Packing Control'!$C$5:$C$304,A94,'Packing Control'!$K$5:$K$304))</f>
        <v/>
      </c>
      <c r="P94" s="20" t="str">
        <f>IF(A94="","",SUMIF('Finished Goods'!$C$5:$C$304,A94,'Finished Goods'!$J$5:$J$304))</f>
        <v/>
      </c>
      <c r="Q94" s="20" t="str">
        <f>IF(A94="","",SUMIF('Shipment Control'!$C$5:$C$304,A94,'Shipment Control'!$I$5:$I$304))</f>
        <v/>
      </c>
      <c r="R94" s="20" t="str">
        <f>IF(A94="","",SUMIF('Shipment Control'!$C$5:$C$304,A94,'Shipment Control'!$J$5:$J$304))</f>
        <v/>
      </c>
      <c r="S94" s="20" t="str">
        <f t="shared" si="2"/>
        <v/>
      </c>
      <c r="T94" s="21" t="str">
        <f>IF('FGPO Master'!A88="","",'FGPO Master'!I88)</f>
        <v/>
      </c>
      <c r="U94" s="7" t="str">
        <f>IF(A94="","",IF(COUNTIF('Open Issues'!$D$5:$D$304,A94)&gt;0,"Yellow","Green"))</f>
        <v/>
      </c>
      <c r="V94" s="7" t="str">
        <f>IF('FGPO Master'!A88="","",'FGPO Master'!U88)</f>
        <v/>
      </c>
    </row>
    <row r="95" spans="1:22">
      <c r="A95" s="7" t="str">
        <f>IF('FGPO Master'!A89="","",IF('FGPO Master'!D89="FGPO Pending","FGPO Pending",'FGPO Master'!B89))</f>
        <v/>
      </c>
      <c r="B95" s="7" t="str">
        <f>IF('FGPO Master'!A89="","",'FGPO Master'!F89)</f>
        <v/>
      </c>
      <c r="C95" s="7" t="str">
        <f>IF('FGPO Master'!A89="","",'FGPO Master'!G89)</f>
        <v/>
      </c>
      <c r="D95" s="20" t="str">
        <f>IF('FGPO Master'!A89="","",'FGPO Master'!H89)</f>
        <v/>
      </c>
      <c r="E95" s="20" t="str">
        <f>IF(A95="","",IF(SUMIF('Fabric Inventory'!$C$5:$C$304,A95,'Fabric Inventory'!$O$5:$O$304)&gt;0,"Shortage",IF(SUMIF('Fabric Inventory'!$C$5:$C$304,A95,'Fabric Inventory'!$H$5:$H$304)&gt;0,"Approved","Pending")))</f>
        <v/>
      </c>
      <c r="F95" s="20" t="str">
        <f>IF(A95="","",IF(SUMIF('Trims Control'!$B$5:$B$304,A95,'Trims Control'!$R$5:$R$304)&gt;0,"Shortage",IF(COUNTIFS('Trims Control'!$B$5:$B$304,A95,'Trims Control'!$V$5:$V$304,"Ready")&gt;0,"Ready","Pending")))</f>
        <v/>
      </c>
      <c r="G95" s="20" t="str">
        <f>IF(A95="","",IFERROR(INDEX('PP Sample'!$V$5:$V$304,MATCH(A95,'PP Sample'!$B$5:$B$304,0)),"Pending"))</f>
        <v/>
      </c>
      <c r="H95" s="20" t="str">
        <f>IF(A95="","",IFERROR(INDEX('Production Readiness'!$S$5:$S$304,MATCH(A95,'Production Readiness'!$C$5:$C$304,0)),"Pending"))</f>
        <v/>
      </c>
      <c r="I95" s="20" t="str">
        <f>IF(A95="","",IFERROR(INDEX('Cutting Release'!$P$5:$P$304,MATCH(A95,'Cutting Release'!$C$5:$C$304,0)),"Pending"))</f>
        <v/>
      </c>
      <c r="J95" s="20" t="str">
        <f>IF(A95="","",SUMIF('Cutting Control'!$C$5:$C$304,A95,'Cutting Control'!$K$5:$K$304))</f>
        <v/>
      </c>
      <c r="K95" s="20" t="str">
        <f>IF(A95="","",IFERROR(INDEX('TOP Sample'!$W$5:$W$304,MATCH(A95,'TOP Sample'!$B$5:$B$304,0)),"Pending"))</f>
        <v/>
      </c>
      <c r="L95" s="20" t="str">
        <f>IF(A95="","",SUMIF('Sewing Production'!$E$5:$E$304,A95,'Sewing Production'!$L$5:$L$304))</f>
        <v/>
      </c>
      <c r="M95" s="20" t="str">
        <f>IF(A95="","",IFERROR(INDEX('Inline Quality'!$S$5:$S$304,MATCH(A95,'Inline Quality'!$E$5:$E$304,0)),"Pending"))</f>
        <v/>
      </c>
      <c r="N95" s="20" t="str">
        <f>IF(A95="","",IFERROR(INDEX('Final Inspection'!$U$5:$U$304,MATCH(A95,'Final Inspection'!$C$5:$C$304,0)),"Pending"))</f>
        <v/>
      </c>
      <c r="O95" s="20" t="str">
        <f>IF(A95="","",SUMIF('Packing Control'!$C$5:$C$304,A95,'Packing Control'!$K$5:$K$304))</f>
        <v/>
      </c>
      <c r="P95" s="20" t="str">
        <f>IF(A95="","",SUMIF('Finished Goods'!$C$5:$C$304,A95,'Finished Goods'!$J$5:$J$304))</f>
        <v/>
      </c>
      <c r="Q95" s="20" t="str">
        <f>IF(A95="","",SUMIF('Shipment Control'!$C$5:$C$304,A95,'Shipment Control'!$I$5:$I$304))</f>
        <v/>
      </c>
      <c r="R95" s="20" t="str">
        <f>IF(A95="","",SUMIF('Shipment Control'!$C$5:$C$304,A95,'Shipment Control'!$J$5:$J$304))</f>
        <v/>
      </c>
      <c r="S95" s="20" t="str">
        <f t="shared" si="2"/>
        <v/>
      </c>
      <c r="T95" s="21" t="str">
        <f>IF('FGPO Master'!A89="","",'FGPO Master'!I89)</f>
        <v/>
      </c>
      <c r="U95" s="7" t="str">
        <f>IF(A95="","",IF(COUNTIF('Open Issues'!$D$5:$D$304,A95)&gt;0,"Yellow","Green"))</f>
        <v/>
      </c>
      <c r="V95" s="7" t="str">
        <f>IF('FGPO Master'!A89="","",'FGPO Master'!U89)</f>
        <v/>
      </c>
    </row>
    <row r="96" spans="1:22">
      <c r="A96" s="7" t="str">
        <f>IF('FGPO Master'!A90="","",IF('FGPO Master'!D90="FGPO Pending","FGPO Pending",'FGPO Master'!B90))</f>
        <v/>
      </c>
      <c r="B96" s="7" t="str">
        <f>IF('FGPO Master'!A90="","",'FGPO Master'!F90)</f>
        <v/>
      </c>
      <c r="C96" s="7" t="str">
        <f>IF('FGPO Master'!A90="","",'FGPO Master'!G90)</f>
        <v/>
      </c>
      <c r="D96" s="20" t="str">
        <f>IF('FGPO Master'!A90="","",'FGPO Master'!H90)</f>
        <v/>
      </c>
      <c r="E96" s="20" t="str">
        <f>IF(A96="","",IF(SUMIF('Fabric Inventory'!$C$5:$C$304,A96,'Fabric Inventory'!$O$5:$O$304)&gt;0,"Shortage",IF(SUMIF('Fabric Inventory'!$C$5:$C$304,A96,'Fabric Inventory'!$H$5:$H$304)&gt;0,"Approved","Pending")))</f>
        <v/>
      </c>
      <c r="F96" s="20" t="str">
        <f>IF(A96="","",IF(SUMIF('Trims Control'!$B$5:$B$304,A96,'Trims Control'!$R$5:$R$304)&gt;0,"Shortage",IF(COUNTIFS('Trims Control'!$B$5:$B$304,A96,'Trims Control'!$V$5:$V$304,"Ready")&gt;0,"Ready","Pending")))</f>
        <v/>
      </c>
      <c r="G96" s="20" t="str">
        <f>IF(A96="","",IFERROR(INDEX('PP Sample'!$V$5:$V$304,MATCH(A96,'PP Sample'!$B$5:$B$304,0)),"Pending"))</f>
        <v/>
      </c>
      <c r="H96" s="20" t="str">
        <f>IF(A96="","",IFERROR(INDEX('Production Readiness'!$S$5:$S$304,MATCH(A96,'Production Readiness'!$C$5:$C$304,0)),"Pending"))</f>
        <v/>
      </c>
      <c r="I96" s="20" t="str">
        <f>IF(A96="","",IFERROR(INDEX('Cutting Release'!$P$5:$P$304,MATCH(A96,'Cutting Release'!$C$5:$C$304,0)),"Pending"))</f>
        <v/>
      </c>
      <c r="J96" s="20" t="str">
        <f>IF(A96="","",SUMIF('Cutting Control'!$C$5:$C$304,A96,'Cutting Control'!$K$5:$K$304))</f>
        <v/>
      </c>
      <c r="K96" s="20" t="str">
        <f>IF(A96="","",IFERROR(INDEX('TOP Sample'!$W$5:$W$304,MATCH(A96,'TOP Sample'!$B$5:$B$304,0)),"Pending"))</f>
        <v/>
      </c>
      <c r="L96" s="20" t="str">
        <f>IF(A96="","",SUMIF('Sewing Production'!$E$5:$E$304,A96,'Sewing Production'!$L$5:$L$304))</f>
        <v/>
      </c>
      <c r="M96" s="20" t="str">
        <f>IF(A96="","",IFERROR(INDEX('Inline Quality'!$S$5:$S$304,MATCH(A96,'Inline Quality'!$E$5:$E$304,0)),"Pending"))</f>
        <v/>
      </c>
      <c r="N96" s="20" t="str">
        <f>IF(A96="","",IFERROR(INDEX('Final Inspection'!$U$5:$U$304,MATCH(A96,'Final Inspection'!$C$5:$C$304,0)),"Pending"))</f>
        <v/>
      </c>
      <c r="O96" s="20" t="str">
        <f>IF(A96="","",SUMIF('Packing Control'!$C$5:$C$304,A96,'Packing Control'!$K$5:$K$304))</f>
        <v/>
      </c>
      <c r="P96" s="20" t="str">
        <f>IF(A96="","",SUMIF('Finished Goods'!$C$5:$C$304,A96,'Finished Goods'!$J$5:$J$304))</f>
        <v/>
      </c>
      <c r="Q96" s="20" t="str">
        <f>IF(A96="","",SUMIF('Shipment Control'!$C$5:$C$304,A96,'Shipment Control'!$I$5:$I$304))</f>
        <v/>
      </c>
      <c r="R96" s="20" t="str">
        <f>IF(A96="","",SUMIF('Shipment Control'!$C$5:$C$304,A96,'Shipment Control'!$J$5:$J$304))</f>
        <v/>
      </c>
      <c r="S96" s="20" t="str">
        <f t="shared" si="2"/>
        <v/>
      </c>
      <c r="T96" s="21" t="str">
        <f>IF('FGPO Master'!A90="","",'FGPO Master'!I90)</f>
        <v/>
      </c>
      <c r="U96" s="7" t="str">
        <f>IF(A96="","",IF(COUNTIF('Open Issues'!$D$5:$D$304,A96)&gt;0,"Yellow","Green"))</f>
        <v/>
      </c>
      <c r="V96" s="7" t="str">
        <f>IF('FGPO Master'!A90="","",'FGPO Master'!U90)</f>
        <v/>
      </c>
    </row>
    <row r="97" spans="1:22">
      <c r="A97" s="7" t="str">
        <f>IF('FGPO Master'!A91="","",IF('FGPO Master'!D91="FGPO Pending","FGPO Pending",'FGPO Master'!B91))</f>
        <v/>
      </c>
      <c r="B97" s="7" t="str">
        <f>IF('FGPO Master'!A91="","",'FGPO Master'!F91)</f>
        <v/>
      </c>
      <c r="C97" s="7" t="str">
        <f>IF('FGPO Master'!A91="","",'FGPO Master'!G91)</f>
        <v/>
      </c>
      <c r="D97" s="20" t="str">
        <f>IF('FGPO Master'!A91="","",'FGPO Master'!H91)</f>
        <v/>
      </c>
      <c r="E97" s="20" t="str">
        <f>IF(A97="","",IF(SUMIF('Fabric Inventory'!$C$5:$C$304,A97,'Fabric Inventory'!$O$5:$O$304)&gt;0,"Shortage",IF(SUMIF('Fabric Inventory'!$C$5:$C$304,A97,'Fabric Inventory'!$H$5:$H$304)&gt;0,"Approved","Pending")))</f>
        <v/>
      </c>
      <c r="F97" s="20" t="str">
        <f>IF(A97="","",IF(SUMIF('Trims Control'!$B$5:$B$304,A97,'Trims Control'!$R$5:$R$304)&gt;0,"Shortage",IF(COUNTIFS('Trims Control'!$B$5:$B$304,A97,'Trims Control'!$V$5:$V$304,"Ready")&gt;0,"Ready","Pending")))</f>
        <v/>
      </c>
      <c r="G97" s="20" t="str">
        <f>IF(A97="","",IFERROR(INDEX('PP Sample'!$V$5:$V$304,MATCH(A97,'PP Sample'!$B$5:$B$304,0)),"Pending"))</f>
        <v/>
      </c>
      <c r="H97" s="20" t="str">
        <f>IF(A97="","",IFERROR(INDEX('Production Readiness'!$S$5:$S$304,MATCH(A97,'Production Readiness'!$C$5:$C$304,0)),"Pending"))</f>
        <v/>
      </c>
      <c r="I97" s="20" t="str">
        <f>IF(A97="","",IFERROR(INDEX('Cutting Release'!$P$5:$P$304,MATCH(A97,'Cutting Release'!$C$5:$C$304,0)),"Pending"))</f>
        <v/>
      </c>
      <c r="J97" s="20" t="str">
        <f>IF(A97="","",SUMIF('Cutting Control'!$C$5:$C$304,A97,'Cutting Control'!$K$5:$K$304))</f>
        <v/>
      </c>
      <c r="K97" s="20" t="str">
        <f>IF(A97="","",IFERROR(INDEX('TOP Sample'!$W$5:$W$304,MATCH(A97,'TOP Sample'!$B$5:$B$304,0)),"Pending"))</f>
        <v/>
      </c>
      <c r="L97" s="20" t="str">
        <f>IF(A97="","",SUMIF('Sewing Production'!$E$5:$E$304,A97,'Sewing Production'!$L$5:$L$304))</f>
        <v/>
      </c>
      <c r="M97" s="20" t="str">
        <f>IF(A97="","",IFERROR(INDEX('Inline Quality'!$S$5:$S$304,MATCH(A97,'Inline Quality'!$E$5:$E$304,0)),"Pending"))</f>
        <v/>
      </c>
      <c r="N97" s="20" t="str">
        <f>IF(A97="","",IFERROR(INDEX('Final Inspection'!$U$5:$U$304,MATCH(A97,'Final Inspection'!$C$5:$C$304,0)),"Pending"))</f>
        <v/>
      </c>
      <c r="O97" s="20" t="str">
        <f>IF(A97="","",SUMIF('Packing Control'!$C$5:$C$304,A97,'Packing Control'!$K$5:$K$304))</f>
        <v/>
      </c>
      <c r="P97" s="20" t="str">
        <f>IF(A97="","",SUMIF('Finished Goods'!$C$5:$C$304,A97,'Finished Goods'!$J$5:$J$304))</f>
        <v/>
      </c>
      <c r="Q97" s="20" t="str">
        <f>IF(A97="","",SUMIF('Shipment Control'!$C$5:$C$304,A97,'Shipment Control'!$I$5:$I$304))</f>
        <v/>
      </c>
      <c r="R97" s="20" t="str">
        <f>IF(A97="","",SUMIF('Shipment Control'!$C$5:$C$304,A97,'Shipment Control'!$J$5:$J$304))</f>
        <v/>
      </c>
      <c r="S97" s="20" t="str">
        <f t="shared" si="2"/>
        <v/>
      </c>
      <c r="T97" s="21" t="str">
        <f>IF('FGPO Master'!A91="","",'FGPO Master'!I91)</f>
        <v/>
      </c>
      <c r="U97" s="7" t="str">
        <f>IF(A97="","",IF(COUNTIF('Open Issues'!$D$5:$D$304,A97)&gt;0,"Yellow","Green"))</f>
        <v/>
      </c>
      <c r="V97" s="7" t="str">
        <f>IF('FGPO Master'!A91="","",'FGPO Master'!U91)</f>
        <v/>
      </c>
    </row>
    <row r="98" spans="1:22">
      <c r="A98" s="7" t="str">
        <f>IF('FGPO Master'!A92="","",IF('FGPO Master'!D92="FGPO Pending","FGPO Pending",'FGPO Master'!B92))</f>
        <v/>
      </c>
      <c r="B98" s="7" t="str">
        <f>IF('FGPO Master'!A92="","",'FGPO Master'!F92)</f>
        <v/>
      </c>
      <c r="C98" s="7" t="str">
        <f>IF('FGPO Master'!A92="","",'FGPO Master'!G92)</f>
        <v/>
      </c>
      <c r="D98" s="20" t="str">
        <f>IF('FGPO Master'!A92="","",'FGPO Master'!H92)</f>
        <v/>
      </c>
      <c r="E98" s="20" t="str">
        <f>IF(A98="","",IF(SUMIF('Fabric Inventory'!$C$5:$C$304,A98,'Fabric Inventory'!$O$5:$O$304)&gt;0,"Shortage",IF(SUMIF('Fabric Inventory'!$C$5:$C$304,A98,'Fabric Inventory'!$H$5:$H$304)&gt;0,"Approved","Pending")))</f>
        <v/>
      </c>
      <c r="F98" s="20" t="str">
        <f>IF(A98="","",IF(SUMIF('Trims Control'!$B$5:$B$304,A98,'Trims Control'!$R$5:$R$304)&gt;0,"Shortage",IF(COUNTIFS('Trims Control'!$B$5:$B$304,A98,'Trims Control'!$V$5:$V$304,"Ready")&gt;0,"Ready","Pending")))</f>
        <v/>
      </c>
      <c r="G98" s="20" t="str">
        <f>IF(A98="","",IFERROR(INDEX('PP Sample'!$V$5:$V$304,MATCH(A98,'PP Sample'!$B$5:$B$304,0)),"Pending"))</f>
        <v/>
      </c>
      <c r="H98" s="20" t="str">
        <f>IF(A98="","",IFERROR(INDEX('Production Readiness'!$S$5:$S$304,MATCH(A98,'Production Readiness'!$C$5:$C$304,0)),"Pending"))</f>
        <v/>
      </c>
      <c r="I98" s="20" t="str">
        <f>IF(A98="","",IFERROR(INDEX('Cutting Release'!$P$5:$P$304,MATCH(A98,'Cutting Release'!$C$5:$C$304,0)),"Pending"))</f>
        <v/>
      </c>
      <c r="J98" s="20" t="str">
        <f>IF(A98="","",SUMIF('Cutting Control'!$C$5:$C$304,A98,'Cutting Control'!$K$5:$K$304))</f>
        <v/>
      </c>
      <c r="K98" s="20" t="str">
        <f>IF(A98="","",IFERROR(INDEX('TOP Sample'!$W$5:$W$304,MATCH(A98,'TOP Sample'!$B$5:$B$304,0)),"Pending"))</f>
        <v/>
      </c>
      <c r="L98" s="20" t="str">
        <f>IF(A98="","",SUMIF('Sewing Production'!$E$5:$E$304,A98,'Sewing Production'!$L$5:$L$304))</f>
        <v/>
      </c>
      <c r="M98" s="20" t="str">
        <f>IF(A98="","",IFERROR(INDEX('Inline Quality'!$S$5:$S$304,MATCH(A98,'Inline Quality'!$E$5:$E$304,0)),"Pending"))</f>
        <v/>
      </c>
      <c r="N98" s="20" t="str">
        <f>IF(A98="","",IFERROR(INDEX('Final Inspection'!$U$5:$U$304,MATCH(A98,'Final Inspection'!$C$5:$C$304,0)),"Pending"))</f>
        <v/>
      </c>
      <c r="O98" s="20" t="str">
        <f>IF(A98="","",SUMIF('Packing Control'!$C$5:$C$304,A98,'Packing Control'!$K$5:$K$304))</f>
        <v/>
      </c>
      <c r="P98" s="20" t="str">
        <f>IF(A98="","",SUMIF('Finished Goods'!$C$5:$C$304,A98,'Finished Goods'!$J$5:$J$304))</f>
        <v/>
      </c>
      <c r="Q98" s="20" t="str">
        <f>IF(A98="","",SUMIF('Shipment Control'!$C$5:$C$304,A98,'Shipment Control'!$I$5:$I$304))</f>
        <v/>
      </c>
      <c r="R98" s="20" t="str">
        <f>IF(A98="","",SUMIF('Shipment Control'!$C$5:$C$304,A98,'Shipment Control'!$J$5:$J$304))</f>
        <v/>
      </c>
      <c r="S98" s="20" t="str">
        <f t="shared" si="2"/>
        <v/>
      </c>
      <c r="T98" s="21" t="str">
        <f>IF('FGPO Master'!A92="","",'FGPO Master'!I92)</f>
        <v/>
      </c>
      <c r="U98" s="7" t="str">
        <f>IF(A98="","",IF(COUNTIF('Open Issues'!$D$5:$D$304,A98)&gt;0,"Yellow","Green"))</f>
        <v/>
      </c>
      <c r="V98" s="7" t="str">
        <f>IF('FGPO Master'!A92="","",'FGPO Master'!U92)</f>
        <v/>
      </c>
    </row>
    <row r="99" spans="1:22">
      <c r="A99" s="7" t="str">
        <f>IF('FGPO Master'!A93="","",IF('FGPO Master'!D93="FGPO Pending","FGPO Pending",'FGPO Master'!B93))</f>
        <v/>
      </c>
      <c r="B99" s="7" t="str">
        <f>IF('FGPO Master'!A93="","",'FGPO Master'!F93)</f>
        <v/>
      </c>
      <c r="C99" s="7" t="str">
        <f>IF('FGPO Master'!A93="","",'FGPO Master'!G93)</f>
        <v/>
      </c>
      <c r="D99" s="20" t="str">
        <f>IF('FGPO Master'!A93="","",'FGPO Master'!H93)</f>
        <v/>
      </c>
      <c r="E99" s="20" t="str">
        <f>IF(A99="","",IF(SUMIF('Fabric Inventory'!$C$5:$C$304,A99,'Fabric Inventory'!$O$5:$O$304)&gt;0,"Shortage",IF(SUMIF('Fabric Inventory'!$C$5:$C$304,A99,'Fabric Inventory'!$H$5:$H$304)&gt;0,"Approved","Pending")))</f>
        <v/>
      </c>
      <c r="F99" s="20" t="str">
        <f>IF(A99="","",IF(SUMIF('Trims Control'!$B$5:$B$304,A99,'Trims Control'!$R$5:$R$304)&gt;0,"Shortage",IF(COUNTIFS('Trims Control'!$B$5:$B$304,A99,'Trims Control'!$V$5:$V$304,"Ready")&gt;0,"Ready","Pending")))</f>
        <v/>
      </c>
      <c r="G99" s="20" t="str">
        <f>IF(A99="","",IFERROR(INDEX('PP Sample'!$V$5:$V$304,MATCH(A99,'PP Sample'!$B$5:$B$304,0)),"Pending"))</f>
        <v/>
      </c>
      <c r="H99" s="20" t="str">
        <f>IF(A99="","",IFERROR(INDEX('Production Readiness'!$S$5:$S$304,MATCH(A99,'Production Readiness'!$C$5:$C$304,0)),"Pending"))</f>
        <v/>
      </c>
      <c r="I99" s="20" t="str">
        <f>IF(A99="","",IFERROR(INDEX('Cutting Release'!$P$5:$P$304,MATCH(A99,'Cutting Release'!$C$5:$C$304,0)),"Pending"))</f>
        <v/>
      </c>
      <c r="J99" s="20" t="str">
        <f>IF(A99="","",SUMIF('Cutting Control'!$C$5:$C$304,A99,'Cutting Control'!$K$5:$K$304))</f>
        <v/>
      </c>
      <c r="K99" s="20" t="str">
        <f>IF(A99="","",IFERROR(INDEX('TOP Sample'!$W$5:$W$304,MATCH(A99,'TOP Sample'!$B$5:$B$304,0)),"Pending"))</f>
        <v/>
      </c>
      <c r="L99" s="20" t="str">
        <f>IF(A99="","",SUMIF('Sewing Production'!$E$5:$E$304,A99,'Sewing Production'!$L$5:$L$304))</f>
        <v/>
      </c>
      <c r="M99" s="20" t="str">
        <f>IF(A99="","",IFERROR(INDEX('Inline Quality'!$S$5:$S$304,MATCH(A99,'Inline Quality'!$E$5:$E$304,0)),"Pending"))</f>
        <v/>
      </c>
      <c r="N99" s="20" t="str">
        <f>IF(A99="","",IFERROR(INDEX('Final Inspection'!$U$5:$U$304,MATCH(A99,'Final Inspection'!$C$5:$C$304,0)),"Pending"))</f>
        <v/>
      </c>
      <c r="O99" s="20" t="str">
        <f>IF(A99="","",SUMIF('Packing Control'!$C$5:$C$304,A99,'Packing Control'!$K$5:$K$304))</f>
        <v/>
      </c>
      <c r="P99" s="20" t="str">
        <f>IF(A99="","",SUMIF('Finished Goods'!$C$5:$C$304,A99,'Finished Goods'!$J$5:$J$304))</f>
        <v/>
      </c>
      <c r="Q99" s="20" t="str">
        <f>IF(A99="","",SUMIF('Shipment Control'!$C$5:$C$304,A99,'Shipment Control'!$I$5:$I$304))</f>
        <v/>
      </c>
      <c r="R99" s="20" t="str">
        <f>IF(A99="","",SUMIF('Shipment Control'!$C$5:$C$304,A99,'Shipment Control'!$J$5:$J$304))</f>
        <v/>
      </c>
      <c r="S99" s="20" t="str">
        <f t="shared" si="2"/>
        <v/>
      </c>
      <c r="T99" s="21" t="str">
        <f>IF('FGPO Master'!A93="","",'FGPO Master'!I93)</f>
        <v/>
      </c>
      <c r="U99" s="7" t="str">
        <f>IF(A99="","",IF(COUNTIF('Open Issues'!$D$5:$D$304,A99)&gt;0,"Yellow","Green"))</f>
        <v/>
      </c>
      <c r="V99" s="7" t="str">
        <f>IF('FGPO Master'!A93="","",'FGPO Master'!U93)</f>
        <v/>
      </c>
    </row>
    <row r="100" spans="1:22">
      <c r="A100" s="7" t="str">
        <f>IF('FGPO Master'!A94="","",IF('FGPO Master'!D94="FGPO Pending","FGPO Pending",'FGPO Master'!B94))</f>
        <v/>
      </c>
      <c r="B100" s="7" t="str">
        <f>IF('FGPO Master'!A94="","",'FGPO Master'!F94)</f>
        <v/>
      </c>
      <c r="C100" s="7" t="str">
        <f>IF('FGPO Master'!A94="","",'FGPO Master'!G94)</f>
        <v/>
      </c>
      <c r="D100" s="20" t="str">
        <f>IF('FGPO Master'!A94="","",'FGPO Master'!H94)</f>
        <v/>
      </c>
      <c r="E100" s="20" t="str">
        <f>IF(A100="","",IF(SUMIF('Fabric Inventory'!$C$5:$C$304,A100,'Fabric Inventory'!$O$5:$O$304)&gt;0,"Shortage",IF(SUMIF('Fabric Inventory'!$C$5:$C$304,A100,'Fabric Inventory'!$H$5:$H$304)&gt;0,"Approved","Pending")))</f>
        <v/>
      </c>
      <c r="F100" s="20" t="str">
        <f>IF(A100="","",IF(SUMIF('Trims Control'!$B$5:$B$304,A100,'Trims Control'!$R$5:$R$304)&gt;0,"Shortage",IF(COUNTIFS('Trims Control'!$B$5:$B$304,A100,'Trims Control'!$V$5:$V$304,"Ready")&gt;0,"Ready","Pending")))</f>
        <v/>
      </c>
      <c r="G100" s="20" t="str">
        <f>IF(A100="","",IFERROR(INDEX('PP Sample'!$V$5:$V$304,MATCH(A100,'PP Sample'!$B$5:$B$304,0)),"Pending"))</f>
        <v/>
      </c>
      <c r="H100" s="20" t="str">
        <f>IF(A100="","",IFERROR(INDEX('Production Readiness'!$S$5:$S$304,MATCH(A100,'Production Readiness'!$C$5:$C$304,0)),"Pending"))</f>
        <v/>
      </c>
      <c r="I100" s="20" t="str">
        <f>IF(A100="","",IFERROR(INDEX('Cutting Release'!$P$5:$P$304,MATCH(A100,'Cutting Release'!$C$5:$C$304,0)),"Pending"))</f>
        <v/>
      </c>
      <c r="J100" s="20" t="str">
        <f>IF(A100="","",SUMIF('Cutting Control'!$C$5:$C$304,A100,'Cutting Control'!$K$5:$K$304))</f>
        <v/>
      </c>
      <c r="K100" s="20" t="str">
        <f>IF(A100="","",IFERROR(INDEX('TOP Sample'!$W$5:$W$304,MATCH(A100,'TOP Sample'!$B$5:$B$304,0)),"Pending"))</f>
        <v/>
      </c>
      <c r="L100" s="20" t="str">
        <f>IF(A100="","",SUMIF('Sewing Production'!$E$5:$E$304,A100,'Sewing Production'!$L$5:$L$304))</f>
        <v/>
      </c>
      <c r="M100" s="20" t="str">
        <f>IF(A100="","",IFERROR(INDEX('Inline Quality'!$S$5:$S$304,MATCH(A100,'Inline Quality'!$E$5:$E$304,0)),"Pending"))</f>
        <v/>
      </c>
      <c r="N100" s="20" t="str">
        <f>IF(A100="","",IFERROR(INDEX('Final Inspection'!$U$5:$U$304,MATCH(A100,'Final Inspection'!$C$5:$C$304,0)),"Pending"))</f>
        <v/>
      </c>
      <c r="O100" s="20" t="str">
        <f>IF(A100="","",SUMIF('Packing Control'!$C$5:$C$304,A100,'Packing Control'!$K$5:$K$304))</f>
        <v/>
      </c>
      <c r="P100" s="20" t="str">
        <f>IF(A100="","",SUMIF('Finished Goods'!$C$5:$C$304,A100,'Finished Goods'!$J$5:$J$304))</f>
        <v/>
      </c>
      <c r="Q100" s="20" t="str">
        <f>IF(A100="","",SUMIF('Shipment Control'!$C$5:$C$304,A100,'Shipment Control'!$I$5:$I$304))</f>
        <v/>
      </c>
      <c r="R100" s="20" t="str">
        <f>IF(A100="","",SUMIF('Shipment Control'!$C$5:$C$304,A100,'Shipment Control'!$J$5:$J$304))</f>
        <v/>
      </c>
      <c r="S100" s="20" t="str">
        <f t="shared" si="2"/>
        <v/>
      </c>
      <c r="T100" s="21" t="str">
        <f>IF('FGPO Master'!A94="","",'FGPO Master'!I94)</f>
        <v/>
      </c>
      <c r="U100" s="7" t="str">
        <f>IF(A100="","",IF(COUNTIF('Open Issues'!$D$5:$D$304,A100)&gt;0,"Yellow","Green"))</f>
        <v/>
      </c>
      <c r="V100" s="7" t="str">
        <f>IF('FGPO Master'!A94="","",'FGPO Master'!U94)</f>
        <v/>
      </c>
    </row>
    <row r="101" spans="1:22">
      <c r="A101" s="7" t="str">
        <f>IF('FGPO Master'!A95="","",IF('FGPO Master'!D95="FGPO Pending","FGPO Pending",'FGPO Master'!B95))</f>
        <v/>
      </c>
      <c r="B101" s="7" t="str">
        <f>IF('FGPO Master'!A95="","",'FGPO Master'!F95)</f>
        <v/>
      </c>
      <c r="C101" s="7" t="str">
        <f>IF('FGPO Master'!A95="","",'FGPO Master'!G95)</f>
        <v/>
      </c>
      <c r="D101" s="20" t="str">
        <f>IF('FGPO Master'!A95="","",'FGPO Master'!H95)</f>
        <v/>
      </c>
      <c r="E101" s="20" t="str">
        <f>IF(A101="","",IF(SUMIF('Fabric Inventory'!$C$5:$C$304,A101,'Fabric Inventory'!$O$5:$O$304)&gt;0,"Shortage",IF(SUMIF('Fabric Inventory'!$C$5:$C$304,A101,'Fabric Inventory'!$H$5:$H$304)&gt;0,"Approved","Pending")))</f>
        <v/>
      </c>
      <c r="F101" s="20" t="str">
        <f>IF(A101="","",IF(SUMIF('Trims Control'!$B$5:$B$304,A101,'Trims Control'!$R$5:$R$304)&gt;0,"Shortage",IF(COUNTIFS('Trims Control'!$B$5:$B$304,A101,'Trims Control'!$V$5:$V$304,"Ready")&gt;0,"Ready","Pending")))</f>
        <v/>
      </c>
      <c r="G101" s="20" t="str">
        <f>IF(A101="","",IFERROR(INDEX('PP Sample'!$V$5:$V$304,MATCH(A101,'PP Sample'!$B$5:$B$304,0)),"Pending"))</f>
        <v/>
      </c>
      <c r="H101" s="20" t="str">
        <f>IF(A101="","",IFERROR(INDEX('Production Readiness'!$S$5:$S$304,MATCH(A101,'Production Readiness'!$C$5:$C$304,0)),"Pending"))</f>
        <v/>
      </c>
      <c r="I101" s="20" t="str">
        <f>IF(A101="","",IFERROR(INDEX('Cutting Release'!$P$5:$P$304,MATCH(A101,'Cutting Release'!$C$5:$C$304,0)),"Pending"))</f>
        <v/>
      </c>
      <c r="J101" s="20" t="str">
        <f>IF(A101="","",SUMIF('Cutting Control'!$C$5:$C$304,A101,'Cutting Control'!$K$5:$K$304))</f>
        <v/>
      </c>
      <c r="K101" s="20" t="str">
        <f>IF(A101="","",IFERROR(INDEX('TOP Sample'!$W$5:$W$304,MATCH(A101,'TOP Sample'!$B$5:$B$304,0)),"Pending"))</f>
        <v/>
      </c>
      <c r="L101" s="20" t="str">
        <f>IF(A101="","",SUMIF('Sewing Production'!$E$5:$E$304,A101,'Sewing Production'!$L$5:$L$304))</f>
        <v/>
      </c>
      <c r="M101" s="20" t="str">
        <f>IF(A101="","",IFERROR(INDEX('Inline Quality'!$S$5:$S$304,MATCH(A101,'Inline Quality'!$E$5:$E$304,0)),"Pending"))</f>
        <v/>
      </c>
      <c r="N101" s="20" t="str">
        <f>IF(A101="","",IFERROR(INDEX('Final Inspection'!$U$5:$U$304,MATCH(A101,'Final Inspection'!$C$5:$C$304,0)),"Pending"))</f>
        <v/>
      </c>
      <c r="O101" s="20" t="str">
        <f>IF(A101="","",SUMIF('Packing Control'!$C$5:$C$304,A101,'Packing Control'!$K$5:$K$304))</f>
        <v/>
      </c>
      <c r="P101" s="20" t="str">
        <f>IF(A101="","",SUMIF('Finished Goods'!$C$5:$C$304,A101,'Finished Goods'!$J$5:$J$304))</f>
        <v/>
      </c>
      <c r="Q101" s="20" t="str">
        <f>IF(A101="","",SUMIF('Shipment Control'!$C$5:$C$304,A101,'Shipment Control'!$I$5:$I$304))</f>
        <v/>
      </c>
      <c r="R101" s="20" t="str">
        <f>IF(A101="","",SUMIF('Shipment Control'!$C$5:$C$304,A101,'Shipment Control'!$J$5:$J$304))</f>
        <v/>
      </c>
      <c r="S101" s="20" t="str">
        <f t="shared" si="2"/>
        <v/>
      </c>
      <c r="T101" s="21" t="str">
        <f>IF('FGPO Master'!A95="","",'FGPO Master'!I95)</f>
        <v/>
      </c>
      <c r="U101" s="7" t="str">
        <f>IF(A101="","",IF(COUNTIF('Open Issues'!$D$5:$D$304,A101)&gt;0,"Yellow","Green"))</f>
        <v/>
      </c>
      <c r="V101" s="7" t="str">
        <f>IF('FGPO Master'!A95="","",'FGPO Master'!U95)</f>
        <v/>
      </c>
    </row>
    <row r="102" spans="1:22">
      <c r="A102" s="7" t="str">
        <f>IF('FGPO Master'!A96="","",IF('FGPO Master'!D96="FGPO Pending","FGPO Pending",'FGPO Master'!B96))</f>
        <v/>
      </c>
      <c r="B102" s="7" t="str">
        <f>IF('FGPO Master'!A96="","",'FGPO Master'!F96)</f>
        <v/>
      </c>
      <c r="C102" s="7" t="str">
        <f>IF('FGPO Master'!A96="","",'FGPO Master'!G96)</f>
        <v/>
      </c>
      <c r="D102" s="20" t="str">
        <f>IF('FGPO Master'!A96="","",'FGPO Master'!H96)</f>
        <v/>
      </c>
      <c r="E102" s="20" t="str">
        <f>IF(A102="","",IF(SUMIF('Fabric Inventory'!$C$5:$C$304,A102,'Fabric Inventory'!$O$5:$O$304)&gt;0,"Shortage",IF(SUMIF('Fabric Inventory'!$C$5:$C$304,A102,'Fabric Inventory'!$H$5:$H$304)&gt;0,"Approved","Pending")))</f>
        <v/>
      </c>
      <c r="F102" s="20" t="str">
        <f>IF(A102="","",IF(SUMIF('Trims Control'!$B$5:$B$304,A102,'Trims Control'!$R$5:$R$304)&gt;0,"Shortage",IF(COUNTIFS('Trims Control'!$B$5:$B$304,A102,'Trims Control'!$V$5:$V$304,"Ready")&gt;0,"Ready","Pending")))</f>
        <v/>
      </c>
      <c r="G102" s="20" t="str">
        <f>IF(A102="","",IFERROR(INDEX('PP Sample'!$V$5:$V$304,MATCH(A102,'PP Sample'!$B$5:$B$304,0)),"Pending"))</f>
        <v/>
      </c>
      <c r="H102" s="20" t="str">
        <f>IF(A102="","",IFERROR(INDEX('Production Readiness'!$S$5:$S$304,MATCH(A102,'Production Readiness'!$C$5:$C$304,0)),"Pending"))</f>
        <v/>
      </c>
      <c r="I102" s="20" t="str">
        <f>IF(A102="","",IFERROR(INDEX('Cutting Release'!$P$5:$P$304,MATCH(A102,'Cutting Release'!$C$5:$C$304,0)),"Pending"))</f>
        <v/>
      </c>
      <c r="J102" s="20" t="str">
        <f>IF(A102="","",SUMIF('Cutting Control'!$C$5:$C$304,A102,'Cutting Control'!$K$5:$K$304))</f>
        <v/>
      </c>
      <c r="K102" s="20" t="str">
        <f>IF(A102="","",IFERROR(INDEX('TOP Sample'!$W$5:$W$304,MATCH(A102,'TOP Sample'!$B$5:$B$304,0)),"Pending"))</f>
        <v/>
      </c>
      <c r="L102" s="20" t="str">
        <f>IF(A102="","",SUMIF('Sewing Production'!$E$5:$E$304,A102,'Sewing Production'!$L$5:$L$304))</f>
        <v/>
      </c>
      <c r="M102" s="20" t="str">
        <f>IF(A102="","",IFERROR(INDEX('Inline Quality'!$S$5:$S$304,MATCH(A102,'Inline Quality'!$E$5:$E$304,0)),"Pending"))</f>
        <v/>
      </c>
      <c r="N102" s="20" t="str">
        <f>IF(A102="","",IFERROR(INDEX('Final Inspection'!$U$5:$U$304,MATCH(A102,'Final Inspection'!$C$5:$C$304,0)),"Pending"))</f>
        <v/>
      </c>
      <c r="O102" s="20" t="str">
        <f>IF(A102="","",SUMIF('Packing Control'!$C$5:$C$304,A102,'Packing Control'!$K$5:$K$304))</f>
        <v/>
      </c>
      <c r="P102" s="20" t="str">
        <f>IF(A102="","",SUMIF('Finished Goods'!$C$5:$C$304,A102,'Finished Goods'!$J$5:$J$304))</f>
        <v/>
      </c>
      <c r="Q102" s="20" t="str">
        <f>IF(A102="","",SUMIF('Shipment Control'!$C$5:$C$304,A102,'Shipment Control'!$I$5:$I$304))</f>
        <v/>
      </c>
      <c r="R102" s="20" t="str">
        <f>IF(A102="","",SUMIF('Shipment Control'!$C$5:$C$304,A102,'Shipment Control'!$J$5:$J$304))</f>
        <v/>
      </c>
      <c r="S102" s="20" t="str">
        <f t="shared" si="2"/>
        <v/>
      </c>
      <c r="T102" s="21" t="str">
        <f>IF('FGPO Master'!A96="","",'FGPO Master'!I96)</f>
        <v/>
      </c>
      <c r="U102" s="7" t="str">
        <f>IF(A102="","",IF(COUNTIF('Open Issues'!$D$5:$D$304,A102)&gt;0,"Yellow","Green"))</f>
        <v/>
      </c>
      <c r="V102" s="7" t="str">
        <f>IF('FGPO Master'!A96="","",'FGPO Master'!U96)</f>
        <v/>
      </c>
    </row>
    <row r="103" spans="1:22">
      <c r="A103" s="7" t="str">
        <f>IF('FGPO Master'!A97="","",IF('FGPO Master'!D97="FGPO Pending","FGPO Pending",'FGPO Master'!B97))</f>
        <v/>
      </c>
      <c r="B103" s="7" t="str">
        <f>IF('FGPO Master'!A97="","",'FGPO Master'!F97)</f>
        <v/>
      </c>
      <c r="C103" s="7" t="str">
        <f>IF('FGPO Master'!A97="","",'FGPO Master'!G97)</f>
        <v/>
      </c>
      <c r="D103" s="20" t="str">
        <f>IF('FGPO Master'!A97="","",'FGPO Master'!H97)</f>
        <v/>
      </c>
      <c r="E103" s="20" t="str">
        <f>IF(A103="","",IF(SUMIF('Fabric Inventory'!$C$5:$C$304,A103,'Fabric Inventory'!$O$5:$O$304)&gt;0,"Shortage",IF(SUMIF('Fabric Inventory'!$C$5:$C$304,A103,'Fabric Inventory'!$H$5:$H$304)&gt;0,"Approved","Pending")))</f>
        <v/>
      </c>
      <c r="F103" s="20" t="str">
        <f>IF(A103="","",IF(SUMIF('Trims Control'!$B$5:$B$304,A103,'Trims Control'!$R$5:$R$304)&gt;0,"Shortage",IF(COUNTIFS('Trims Control'!$B$5:$B$304,A103,'Trims Control'!$V$5:$V$304,"Ready")&gt;0,"Ready","Pending")))</f>
        <v/>
      </c>
      <c r="G103" s="20" t="str">
        <f>IF(A103="","",IFERROR(INDEX('PP Sample'!$V$5:$V$304,MATCH(A103,'PP Sample'!$B$5:$B$304,0)),"Pending"))</f>
        <v/>
      </c>
      <c r="H103" s="20" t="str">
        <f>IF(A103="","",IFERROR(INDEX('Production Readiness'!$S$5:$S$304,MATCH(A103,'Production Readiness'!$C$5:$C$304,0)),"Pending"))</f>
        <v/>
      </c>
      <c r="I103" s="20" t="str">
        <f>IF(A103="","",IFERROR(INDEX('Cutting Release'!$P$5:$P$304,MATCH(A103,'Cutting Release'!$C$5:$C$304,0)),"Pending"))</f>
        <v/>
      </c>
      <c r="J103" s="20" t="str">
        <f>IF(A103="","",SUMIF('Cutting Control'!$C$5:$C$304,A103,'Cutting Control'!$K$5:$K$304))</f>
        <v/>
      </c>
      <c r="K103" s="20" t="str">
        <f>IF(A103="","",IFERROR(INDEX('TOP Sample'!$W$5:$W$304,MATCH(A103,'TOP Sample'!$B$5:$B$304,0)),"Pending"))</f>
        <v/>
      </c>
      <c r="L103" s="20" t="str">
        <f>IF(A103="","",SUMIF('Sewing Production'!$E$5:$E$304,A103,'Sewing Production'!$L$5:$L$304))</f>
        <v/>
      </c>
      <c r="M103" s="20" t="str">
        <f>IF(A103="","",IFERROR(INDEX('Inline Quality'!$S$5:$S$304,MATCH(A103,'Inline Quality'!$E$5:$E$304,0)),"Pending"))</f>
        <v/>
      </c>
      <c r="N103" s="20" t="str">
        <f>IF(A103="","",IFERROR(INDEX('Final Inspection'!$U$5:$U$304,MATCH(A103,'Final Inspection'!$C$5:$C$304,0)),"Pending"))</f>
        <v/>
      </c>
      <c r="O103" s="20" t="str">
        <f>IF(A103="","",SUMIF('Packing Control'!$C$5:$C$304,A103,'Packing Control'!$K$5:$K$304))</f>
        <v/>
      </c>
      <c r="P103" s="20" t="str">
        <f>IF(A103="","",SUMIF('Finished Goods'!$C$5:$C$304,A103,'Finished Goods'!$J$5:$J$304))</f>
        <v/>
      </c>
      <c r="Q103" s="20" t="str">
        <f>IF(A103="","",SUMIF('Shipment Control'!$C$5:$C$304,A103,'Shipment Control'!$I$5:$I$304))</f>
        <v/>
      </c>
      <c r="R103" s="20" t="str">
        <f>IF(A103="","",SUMIF('Shipment Control'!$C$5:$C$304,A103,'Shipment Control'!$J$5:$J$304))</f>
        <v/>
      </c>
      <c r="S103" s="20" t="str">
        <f t="shared" si="2"/>
        <v/>
      </c>
      <c r="T103" s="21" t="str">
        <f>IF('FGPO Master'!A97="","",'FGPO Master'!I97)</f>
        <v/>
      </c>
      <c r="U103" s="7" t="str">
        <f>IF(A103="","",IF(COUNTIF('Open Issues'!$D$5:$D$304,A103)&gt;0,"Yellow","Green"))</f>
        <v/>
      </c>
      <c r="V103" s="7" t="str">
        <f>IF('FGPO Master'!A97="","",'FGPO Master'!U97)</f>
        <v/>
      </c>
    </row>
    <row r="104" spans="1:22">
      <c r="A104" s="7" t="str">
        <f>IF('FGPO Master'!A98="","",IF('FGPO Master'!D98="FGPO Pending","FGPO Pending",'FGPO Master'!B98))</f>
        <v/>
      </c>
      <c r="B104" s="7" t="str">
        <f>IF('FGPO Master'!A98="","",'FGPO Master'!F98)</f>
        <v/>
      </c>
      <c r="C104" s="7" t="str">
        <f>IF('FGPO Master'!A98="","",'FGPO Master'!G98)</f>
        <v/>
      </c>
      <c r="D104" s="20" t="str">
        <f>IF('FGPO Master'!A98="","",'FGPO Master'!H98)</f>
        <v/>
      </c>
      <c r="E104" s="20" t="str">
        <f>IF(A104="","",IF(SUMIF('Fabric Inventory'!$C$5:$C$304,A104,'Fabric Inventory'!$O$5:$O$304)&gt;0,"Shortage",IF(SUMIF('Fabric Inventory'!$C$5:$C$304,A104,'Fabric Inventory'!$H$5:$H$304)&gt;0,"Approved","Pending")))</f>
        <v/>
      </c>
      <c r="F104" s="20" t="str">
        <f>IF(A104="","",IF(SUMIF('Trims Control'!$B$5:$B$304,A104,'Trims Control'!$R$5:$R$304)&gt;0,"Shortage",IF(COUNTIFS('Trims Control'!$B$5:$B$304,A104,'Trims Control'!$V$5:$V$304,"Ready")&gt;0,"Ready","Pending")))</f>
        <v/>
      </c>
      <c r="G104" s="20" t="str">
        <f>IF(A104="","",IFERROR(INDEX('PP Sample'!$V$5:$V$304,MATCH(A104,'PP Sample'!$B$5:$B$304,0)),"Pending"))</f>
        <v/>
      </c>
      <c r="H104" s="20" t="str">
        <f>IF(A104="","",IFERROR(INDEX('Production Readiness'!$S$5:$S$304,MATCH(A104,'Production Readiness'!$C$5:$C$304,0)),"Pending"))</f>
        <v/>
      </c>
      <c r="I104" s="20" t="str">
        <f>IF(A104="","",IFERROR(INDEX('Cutting Release'!$P$5:$P$304,MATCH(A104,'Cutting Release'!$C$5:$C$304,0)),"Pending"))</f>
        <v/>
      </c>
      <c r="J104" s="20" t="str">
        <f>IF(A104="","",SUMIF('Cutting Control'!$C$5:$C$304,A104,'Cutting Control'!$K$5:$K$304))</f>
        <v/>
      </c>
      <c r="K104" s="20" t="str">
        <f>IF(A104="","",IFERROR(INDEX('TOP Sample'!$W$5:$W$304,MATCH(A104,'TOP Sample'!$B$5:$B$304,0)),"Pending"))</f>
        <v/>
      </c>
      <c r="L104" s="20" t="str">
        <f>IF(A104="","",SUMIF('Sewing Production'!$E$5:$E$304,A104,'Sewing Production'!$L$5:$L$304))</f>
        <v/>
      </c>
      <c r="M104" s="20" t="str">
        <f>IF(A104="","",IFERROR(INDEX('Inline Quality'!$S$5:$S$304,MATCH(A104,'Inline Quality'!$E$5:$E$304,0)),"Pending"))</f>
        <v/>
      </c>
      <c r="N104" s="20" t="str">
        <f>IF(A104="","",IFERROR(INDEX('Final Inspection'!$U$5:$U$304,MATCH(A104,'Final Inspection'!$C$5:$C$304,0)),"Pending"))</f>
        <v/>
      </c>
      <c r="O104" s="20" t="str">
        <f>IF(A104="","",SUMIF('Packing Control'!$C$5:$C$304,A104,'Packing Control'!$K$5:$K$304))</f>
        <v/>
      </c>
      <c r="P104" s="20" t="str">
        <f>IF(A104="","",SUMIF('Finished Goods'!$C$5:$C$304,A104,'Finished Goods'!$J$5:$J$304))</f>
        <v/>
      </c>
      <c r="Q104" s="20" t="str">
        <f>IF(A104="","",SUMIF('Shipment Control'!$C$5:$C$304,A104,'Shipment Control'!$I$5:$I$304))</f>
        <v/>
      </c>
      <c r="R104" s="20" t="str">
        <f>IF(A104="","",SUMIF('Shipment Control'!$C$5:$C$304,A104,'Shipment Control'!$J$5:$J$304))</f>
        <v/>
      </c>
      <c r="S104" s="20" t="str">
        <f t="shared" si="2"/>
        <v/>
      </c>
      <c r="T104" s="21" t="str">
        <f>IF('FGPO Master'!A98="","",'FGPO Master'!I98)</f>
        <v/>
      </c>
      <c r="U104" s="7" t="str">
        <f>IF(A104="","",IF(COUNTIF('Open Issues'!$D$5:$D$304,A104)&gt;0,"Yellow","Green"))</f>
        <v/>
      </c>
      <c r="V104" s="7" t="str">
        <f>IF('FGPO Master'!A98="","",'FGPO Master'!U98)</f>
        <v/>
      </c>
    </row>
    <row r="105" spans="1:22">
      <c r="A105" s="7" t="str">
        <f>IF('FGPO Master'!A99="","",IF('FGPO Master'!D99="FGPO Pending","FGPO Pending",'FGPO Master'!B99))</f>
        <v/>
      </c>
      <c r="B105" s="7" t="str">
        <f>IF('FGPO Master'!A99="","",'FGPO Master'!F99)</f>
        <v/>
      </c>
      <c r="C105" s="7" t="str">
        <f>IF('FGPO Master'!A99="","",'FGPO Master'!G99)</f>
        <v/>
      </c>
      <c r="D105" s="20" t="str">
        <f>IF('FGPO Master'!A99="","",'FGPO Master'!H99)</f>
        <v/>
      </c>
      <c r="E105" s="20" t="str">
        <f>IF(A105="","",IF(SUMIF('Fabric Inventory'!$C$5:$C$304,A105,'Fabric Inventory'!$O$5:$O$304)&gt;0,"Shortage",IF(SUMIF('Fabric Inventory'!$C$5:$C$304,A105,'Fabric Inventory'!$H$5:$H$304)&gt;0,"Approved","Pending")))</f>
        <v/>
      </c>
      <c r="F105" s="20" t="str">
        <f>IF(A105="","",IF(SUMIF('Trims Control'!$B$5:$B$304,A105,'Trims Control'!$R$5:$R$304)&gt;0,"Shortage",IF(COUNTIFS('Trims Control'!$B$5:$B$304,A105,'Trims Control'!$V$5:$V$304,"Ready")&gt;0,"Ready","Pending")))</f>
        <v/>
      </c>
      <c r="G105" s="20" t="str">
        <f>IF(A105="","",IFERROR(INDEX('PP Sample'!$V$5:$V$304,MATCH(A105,'PP Sample'!$B$5:$B$304,0)),"Pending"))</f>
        <v/>
      </c>
      <c r="H105" s="20" t="str">
        <f>IF(A105="","",IFERROR(INDEX('Production Readiness'!$S$5:$S$304,MATCH(A105,'Production Readiness'!$C$5:$C$304,0)),"Pending"))</f>
        <v/>
      </c>
      <c r="I105" s="20" t="str">
        <f>IF(A105="","",IFERROR(INDEX('Cutting Release'!$P$5:$P$304,MATCH(A105,'Cutting Release'!$C$5:$C$304,0)),"Pending"))</f>
        <v/>
      </c>
      <c r="J105" s="20" t="str">
        <f>IF(A105="","",SUMIF('Cutting Control'!$C$5:$C$304,A105,'Cutting Control'!$K$5:$K$304))</f>
        <v/>
      </c>
      <c r="K105" s="20" t="str">
        <f>IF(A105="","",IFERROR(INDEX('TOP Sample'!$W$5:$W$304,MATCH(A105,'TOP Sample'!$B$5:$B$304,0)),"Pending"))</f>
        <v/>
      </c>
      <c r="L105" s="20" t="str">
        <f>IF(A105="","",SUMIF('Sewing Production'!$E$5:$E$304,A105,'Sewing Production'!$L$5:$L$304))</f>
        <v/>
      </c>
      <c r="M105" s="20" t="str">
        <f>IF(A105="","",IFERROR(INDEX('Inline Quality'!$S$5:$S$304,MATCH(A105,'Inline Quality'!$E$5:$E$304,0)),"Pending"))</f>
        <v/>
      </c>
      <c r="N105" s="20" t="str">
        <f>IF(A105="","",IFERROR(INDEX('Final Inspection'!$U$5:$U$304,MATCH(A105,'Final Inspection'!$C$5:$C$304,0)),"Pending"))</f>
        <v/>
      </c>
      <c r="O105" s="20" t="str">
        <f>IF(A105="","",SUMIF('Packing Control'!$C$5:$C$304,A105,'Packing Control'!$K$5:$K$304))</f>
        <v/>
      </c>
      <c r="P105" s="20" t="str">
        <f>IF(A105="","",SUMIF('Finished Goods'!$C$5:$C$304,A105,'Finished Goods'!$J$5:$J$304))</f>
        <v/>
      </c>
      <c r="Q105" s="20" t="str">
        <f>IF(A105="","",SUMIF('Shipment Control'!$C$5:$C$304,A105,'Shipment Control'!$I$5:$I$304))</f>
        <v/>
      </c>
      <c r="R105" s="20" t="str">
        <f>IF(A105="","",SUMIF('Shipment Control'!$C$5:$C$304,A105,'Shipment Control'!$J$5:$J$304))</f>
        <v/>
      </c>
      <c r="S105" s="20" t="str">
        <f t="shared" si="2"/>
        <v/>
      </c>
      <c r="T105" s="21" t="str">
        <f>IF('FGPO Master'!A99="","",'FGPO Master'!I99)</f>
        <v/>
      </c>
      <c r="U105" s="7" t="str">
        <f>IF(A105="","",IF(COUNTIF('Open Issues'!$D$5:$D$304,A105)&gt;0,"Yellow","Green"))</f>
        <v/>
      </c>
      <c r="V105" s="7" t="str">
        <f>IF('FGPO Master'!A99="","",'FGPO Master'!U99)</f>
        <v/>
      </c>
    </row>
    <row r="106" spans="1:22">
      <c r="A106" s="7" t="str">
        <f>IF('FGPO Master'!A100="","",IF('FGPO Master'!D100="FGPO Pending","FGPO Pending",'FGPO Master'!B100))</f>
        <v/>
      </c>
      <c r="B106" s="7" t="str">
        <f>IF('FGPO Master'!A100="","",'FGPO Master'!F100)</f>
        <v/>
      </c>
      <c r="C106" s="7" t="str">
        <f>IF('FGPO Master'!A100="","",'FGPO Master'!G100)</f>
        <v/>
      </c>
      <c r="D106" s="20" t="str">
        <f>IF('FGPO Master'!A100="","",'FGPO Master'!H100)</f>
        <v/>
      </c>
      <c r="E106" s="20" t="str">
        <f>IF(A106="","",IF(SUMIF('Fabric Inventory'!$C$5:$C$304,A106,'Fabric Inventory'!$O$5:$O$304)&gt;0,"Shortage",IF(SUMIF('Fabric Inventory'!$C$5:$C$304,A106,'Fabric Inventory'!$H$5:$H$304)&gt;0,"Approved","Pending")))</f>
        <v/>
      </c>
      <c r="F106" s="20" t="str">
        <f>IF(A106="","",IF(SUMIF('Trims Control'!$B$5:$B$304,A106,'Trims Control'!$R$5:$R$304)&gt;0,"Shortage",IF(COUNTIFS('Trims Control'!$B$5:$B$304,A106,'Trims Control'!$V$5:$V$304,"Ready")&gt;0,"Ready","Pending")))</f>
        <v/>
      </c>
      <c r="G106" s="20" t="str">
        <f>IF(A106="","",IFERROR(INDEX('PP Sample'!$V$5:$V$304,MATCH(A106,'PP Sample'!$B$5:$B$304,0)),"Pending"))</f>
        <v/>
      </c>
      <c r="H106" s="20" t="str">
        <f>IF(A106="","",IFERROR(INDEX('Production Readiness'!$S$5:$S$304,MATCH(A106,'Production Readiness'!$C$5:$C$304,0)),"Pending"))</f>
        <v/>
      </c>
      <c r="I106" s="20" t="str">
        <f>IF(A106="","",IFERROR(INDEX('Cutting Release'!$P$5:$P$304,MATCH(A106,'Cutting Release'!$C$5:$C$304,0)),"Pending"))</f>
        <v/>
      </c>
      <c r="J106" s="20" t="str">
        <f>IF(A106="","",SUMIF('Cutting Control'!$C$5:$C$304,A106,'Cutting Control'!$K$5:$K$304))</f>
        <v/>
      </c>
      <c r="K106" s="20" t="str">
        <f>IF(A106="","",IFERROR(INDEX('TOP Sample'!$W$5:$W$304,MATCH(A106,'TOP Sample'!$B$5:$B$304,0)),"Pending"))</f>
        <v/>
      </c>
      <c r="L106" s="20" t="str">
        <f>IF(A106="","",SUMIF('Sewing Production'!$E$5:$E$304,A106,'Sewing Production'!$L$5:$L$304))</f>
        <v/>
      </c>
      <c r="M106" s="20" t="str">
        <f>IF(A106="","",IFERROR(INDEX('Inline Quality'!$S$5:$S$304,MATCH(A106,'Inline Quality'!$E$5:$E$304,0)),"Pending"))</f>
        <v/>
      </c>
      <c r="N106" s="20" t="str">
        <f>IF(A106="","",IFERROR(INDEX('Final Inspection'!$U$5:$U$304,MATCH(A106,'Final Inspection'!$C$5:$C$304,0)),"Pending"))</f>
        <v/>
      </c>
      <c r="O106" s="20" t="str">
        <f>IF(A106="","",SUMIF('Packing Control'!$C$5:$C$304,A106,'Packing Control'!$K$5:$K$304))</f>
        <v/>
      </c>
      <c r="P106" s="20" t="str">
        <f>IF(A106="","",SUMIF('Finished Goods'!$C$5:$C$304,A106,'Finished Goods'!$J$5:$J$304))</f>
        <v/>
      </c>
      <c r="Q106" s="20" t="str">
        <f>IF(A106="","",SUMIF('Shipment Control'!$C$5:$C$304,A106,'Shipment Control'!$I$5:$I$304))</f>
        <v/>
      </c>
      <c r="R106" s="20" t="str">
        <f>IF(A106="","",SUMIF('Shipment Control'!$C$5:$C$304,A106,'Shipment Control'!$J$5:$J$304))</f>
        <v/>
      </c>
      <c r="S106" s="20" t="str">
        <f t="shared" si="2"/>
        <v/>
      </c>
      <c r="T106" s="21" t="str">
        <f>IF('FGPO Master'!A100="","",'FGPO Master'!I100)</f>
        <v/>
      </c>
      <c r="U106" s="7" t="str">
        <f>IF(A106="","",IF(COUNTIF('Open Issues'!$D$5:$D$304,A106)&gt;0,"Yellow","Green"))</f>
        <v/>
      </c>
      <c r="V106" s="7" t="str">
        <f>IF('FGPO Master'!A100="","",'FGPO Master'!U100)</f>
        <v/>
      </c>
    </row>
    <row r="107" spans="1:22">
      <c r="A107" s="7" t="str">
        <f>IF('FGPO Master'!A101="","",IF('FGPO Master'!D101="FGPO Pending","FGPO Pending",'FGPO Master'!B101))</f>
        <v/>
      </c>
      <c r="B107" s="7" t="str">
        <f>IF('FGPO Master'!A101="","",'FGPO Master'!F101)</f>
        <v/>
      </c>
      <c r="C107" s="7" t="str">
        <f>IF('FGPO Master'!A101="","",'FGPO Master'!G101)</f>
        <v/>
      </c>
      <c r="D107" s="20" t="str">
        <f>IF('FGPO Master'!A101="","",'FGPO Master'!H101)</f>
        <v/>
      </c>
      <c r="E107" s="20" t="str">
        <f>IF(A107="","",IF(SUMIF('Fabric Inventory'!$C$5:$C$304,A107,'Fabric Inventory'!$O$5:$O$304)&gt;0,"Shortage",IF(SUMIF('Fabric Inventory'!$C$5:$C$304,A107,'Fabric Inventory'!$H$5:$H$304)&gt;0,"Approved","Pending")))</f>
        <v/>
      </c>
      <c r="F107" s="20" t="str">
        <f>IF(A107="","",IF(SUMIF('Trims Control'!$B$5:$B$304,A107,'Trims Control'!$R$5:$R$304)&gt;0,"Shortage",IF(COUNTIFS('Trims Control'!$B$5:$B$304,A107,'Trims Control'!$V$5:$V$304,"Ready")&gt;0,"Ready","Pending")))</f>
        <v/>
      </c>
      <c r="G107" s="20" t="str">
        <f>IF(A107="","",IFERROR(INDEX('PP Sample'!$V$5:$V$304,MATCH(A107,'PP Sample'!$B$5:$B$304,0)),"Pending"))</f>
        <v/>
      </c>
      <c r="H107" s="20" t="str">
        <f>IF(A107="","",IFERROR(INDEX('Production Readiness'!$S$5:$S$304,MATCH(A107,'Production Readiness'!$C$5:$C$304,0)),"Pending"))</f>
        <v/>
      </c>
      <c r="I107" s="20" t="str">
        <f>IF(A107="","",IFERROR(INDEX('Cutting Release'!$P$5:$P$304,MATCH(A107,'Cutting Release'!$C$5:$C$304,0)),"Pending"))</f>
        <v/>
      </c>
      <c r="J107" s="20" t="str">
        <f>IF(A107="","",SUMIF('Cutting Control'!$C$5:$C$304,A107,'Cutting Control'!$K$5:$K$304))</f>
        <v/>
      </c>
      <c r="K107" s="20" t="str">
        <f>IF(A107="","",IFERROR(INDEX('TOP Sample'!$W$5:$W$304,MATCH(A107,'TOP Sample'!$B$5:$B$304,0)),"Pending"))</f>
        <v/>
      </c>
      <c r="L107" s="20" t="str">
        <f>IF(A107="","",SUMIF('Sewing Production'!$E$5:$E$304,A107,'Sewing Production'!$L$5:$L$304))</f>
        <v/>
      </c>
      <c r="M107" s="20" t="str">
        <f>IF(A107="","",IFERROR(INDEX('Inline Quality'!$S$5:$S$304,MATCH(A107,'Inline Quality'!$E$5:$E$304,0)),"Pending"))</f>
        <v/>
      </c>
      <c r="N107" s="20" t="str">
        <f>IF(A107="","",IFERROR(INDEX('Final Inspection'!$U$5:$U$304,MATCH(A107,'Final Inspection'!$C$5:$C$304,0)),"Pending"))</f>
        <v/>
      </c>
      <c r="O107" s="20" t="str">
        <f>IF(A107="","",SUMIF('Packing Control'!$C$5:$C$304,A107,'Packing Control'!$K$5:$K$304))</f>
        <v/>
      </c>
      <c r="P107" s="20" t="str">
        <f>IF(A107="","",SUMIF('Finished Goods'!$C$5:$C$304,A107,'Finished Goods'!$J$5:$J$304))</f>
        <v/>
      </c>
      <c r="Q107" s="20" t="str">
        <f>IF(A107="","",SUMIF('Shipment Control'!$C$5:$C$304,A107,'Shipment Control'!$I$5:$I$304))</f>
        <v/>
      </c>
      <c r="R107" s="20" t="str">
        <f>IF(A107="","",SUMIF('Shipment Control'!$C$5:$C$304,A107,'Shipment Control'!$J$5:$J$304))</f>
        <v/>
      </c>
      <c r="S107" s="20" t="str">
        <f t="shared" ref="S107:S138" si="3">IF(A107="","",Q107+R107-D107)</f>
        <v/>
      </c>
      <c r="T107" s="21" t="str">
        <f>IF('FGPO Master'!A101="","",'FGPO Master'!I101)</f>
        <v/>
      </c>
      <c r="U107" s="7" t="str">
        <f>IF(A107="","",IF(COUNTIF('Open Issues'!$D$5:$D$304,A107)&gt;0,"Yellow","Green"))</f>
        <v/>
      </c>
      <c r="V107" s="7" t="str">
        <f>IF('FGPO Master'!A101="","",'FGPO Master'!U101)</f>
        <v/>
      </c>
    </row>
    <row r="108" spans="1:22">
      <c r="A108" s="7" t="str">
        <f>IF('FGPO Master'!A102="","",IF('FGPO Master'!D102="FGPO Pending","FGPO Pending",'FGPO Master'!B102))</f>
        <v/>
      </c>
      <c r="B108" s="7" t="str">
        <f>IF('FGPO Master'!A102="","",'FGPO Master'!F102)</f>
        <v/>
      </c>
      <c r="C108" s="7" t="str">
        <f>IF('FGPO Master'!A102="","",'FGPO Master'!G102)</f>
        <v/>
      </c>
      <c r="D108" s="20" t="str">
        <f>IF('FGPO Master'!A102="","",'FGPO Master'!H102)</f>
        <v/>
      </c>
      <c r="E108" s="20" t="str">
        <f>IF(A108="","",IF(SUMIF('Fabric Inventory'!$C$5:$C$304,A108,'Fabric Inventory'!$O$5:$O$304)&gt;0,"Shortage",IF(SUMIF('Fabric Inventory'!$C$5:$C$304,A108,'Fabric Inventory'!$H$5:$H$304)&gt;0,"Approved","Pending")))</f>
        <v/>
      </c>
      <c r="F108" s="20" t="str">
        <f>IF(A108="","",IF(SUMIF('Trims Control'!$B$5:$B$304,A108,'Trims Control'!$R$5:$R$304)&gt;0,"Shortage",IF(COUNTIFS('Trims Control'!$B$5:$B$304,A108,'Trims Control'!$V$5:$V$304,"Ready")&gt;0,"Ready","Pending")))</f>
        <v/>
      </c>
      <c r="G108" s="20" t="str">
        <f>IF(A108="","",IFERROR(INDEX('PP Sample'!$V$5:$V$304,MATCH(A108,'PP Sample'!$B$5:$B$304,0)),"Pending"))</f>
        <v/>
      </c>
      <c r="H108" s="20" t="str">
        <f>IF(A108="","",IFERROR(INDEX('Production Readiness'!$S$5:$S$304,MATCH(A108,'Production Readiness'!$C$5:$C$304,0)),"Pending"))</f>
        <v/>
      </c>
      <c r="I108" s="20" t="str">
        <f>IF(A108="","",IFERROR(INDEX('Cutting Release'!$P$5:$P$304,MATCH(A108,'Cutting Release'!$C$5:$C$304,0)),"Pending"))</f>
        <v/>
      </c>
      <c r="J108" s="20" t="str">
        <f>IF(A108="","",SUMIF('Cutting Control'!$C$5:$C$304,A108,'Cutting Control'!$K$5:$K$304))</f>
        <v/>
      </c>
      <c r="K108" s="20" t="str">
        <f>IF(A108="","",IFERROR(INDEX('TOP Sample'!$W$5:$W$304,MATCH(A108,'TOP Sample'!$B$5:$B$304,0)),"Pending"))</f>
        <v/>
      </c>
      <c r="L108" s="20" t="str">
        <f>IF(A108="","",SUMIF('Sewing Production'!$E$5:$E$304,A108,'Sewing Production'!$L$5:$L$304))</f>
        <v/>
      </c>
      <c r="M108" s="20" t="str">
        <f>IF(A108="","",IFERROR(INDEX('Inline Quality'!$S$5:$S$304,MATCH(A108,'Inline Quality'!$E$5:$E$304,0)),"Pending"))</f>
        <v/>
      </c>
      <c r="N108" s="20" t="str">
        <f>IF(A108="","",IFERROR(INDEX('Final Inspection'!$U$5:$U$304,MATCH(A108,'Final Inspection'!$C$5:$C$304,0)),"Pending"))</f>
        <v/>
      </c>
      <c r="O108" s="20" t="str">
        <f>IF(A108="","",SUMIF('Packing Control'!$C$5:$C$304,A108,'Packing Control'!$K$5:$K$304))</f>
        <v/>
      </c>
      <c r="P108" s="20" t="str">
        <f>IF(A108="","",SUMIF('Finished Goods'!$C$5:$C$304,A108,'Finished Goods'!$J$5:$J$304))</f>
        <v/>
      </c>
      <c r="Q108" s="20" t="str">
        <f>IF(A108="","",SUMIF('Shipment Control'!$C$5:$C$304,A108,'Shipment Control'!$I$5:$I$304))</f>
        <v/>
      </c>
      <c r="R108" s="20" t="str">
        <f>IF(A108="","",SUMIF('Shipment Control'!$C$5:$C$304,A108,'Shipment Control'!$J$5:$J$304))</f>
        <v/>
      </c>
      <c r="S108" s="20" t="str">
        <f t="shared" si="3"/>
        <v/>
      </c>
      <c r="T108" s="21" t="str">
        <f>IF('FGPO Master'!A102="","",'FGPO Master'!I102)</f>
        <v/>
      </c>
      <c r="U108" s="7" t="str">
        <f>IF(A108="","",IF(COUNTIF('Open Issues'!$D$5:$D$304,A108)&gt;0,"Yellow","Green"))</f>
        <v/>
      </c>
      <c r="V108" s="7" t="str">
        <f>IF('FGPO Master'!A102="","",'FGPO Master'!U102)</f>
        <v/>
      </c>
    </row>
    <row r="109" spans="1:22">
      <c r="A109" s="7" t="str">
        <f>IF('FGPO Master'!A103="","",IF('FGPO Master'!D103="FGPO Pending","FGPO Pending",'FGPO Master'!B103))</f>
        <v/>
      </c>
      <c r="B109" s="7" t="str">
        <f>IF('FGPO Master'!A103="","",'FGPO Master'!F103)</f>
        <v/>
      </c>
      <c r="C109" s="7" t="str">
        <f>IF('FGPO Master'!A103="","",'FGPO Master'!G103)</f>
        <v/>
      </c>
      <c r="D109" s="20" t="str">
        <f>IF('FGPO Master'!A103="","",'FGPO Master'!H103)</f>
        <v/>
      </c>
      <c r="E109" s="20" t="str">
        <f>IF(A109="","",IF(SUMIF('Fabric Inventory'!$C$5:$C$304,A109,'Fabric Inventory'!$O$5:$O$304)&gt;0,"Shortage",IF(SUMIF('Fabric Inventory'!$C$5:$C$304,A109,'Fabric Inventory'!$H$5:$H$304)&gt;0,"Approved","Pending")))</f>
        <v/>
      </c>
      <c r="F109" s="20" t="str">
        <f>IF(A109="","",IF(SUMIF('Trims Control'!$B$5:$B$304,A109,'Trims Control'!$R$5:$R$304)&gt;0,"Shortage",IF(COUNTIFS('Trims Control'!$B$5:$B$304,A109,'Trims Control'!$V$5:$V$304,"Ready")&gt;0,"Ready","Pending")))</f>
        <v/>
      </c>
      <c r="G109" s="20" t="str">
        <f>IF(A109="","",IFERROR(INDEX('PP Sample'!$V$5:$V$304,MATCH(A109,'PP Sample'!$B$5:$B$304,0)),"Pending"))</f>
        <v/>
      </c>
      <c r="H109" s="20" t="str">
        <f>IF(A109="","",IFERROR(INDEX('Production Readiness'!$S$5:$S$304,MATCH(A109,'Production Readiness'!$C$5:$C$304,0)),"Pending"))</f>
        <v/>
      </c>
      <c r="I109" s="20" t="str">
        <f>IF(A109="","",IFERROR(INDEX('Cutting Release'!$P$5:$P$304,MATCH(A109,'Cutting Release'!$C$5:$C$304,0)),"Pending"))</f>
        <v/>
      </c>
      <c r="J109" s="20" t="str">
        <f>IF(A109="","",SUMIF('Cutting Control'!$C$5:$C$304,A109,'Cutting Control'!$K$5:$K$304))</f>
        <v/>
      </c>
      <c r="K109" s="20" t="str">
        <f>IF(A109="","",IFERROR(INDEX('TOP Sample'!$W$5:$W$304,MATCH(A109,'TOP Sample'!$B$5:$B$304,0)),"Pending"))</f>
        <v/>
      </c>
      <c r="L109" s="20" t="str">
        <f>IF(A109="","",SUMIF('Sewing Production'!$E$5:$E$304,A109,'Sewing Production'!$L$5:$L$304))</f>
        <v/>
      </c>
      <c r="M109" s="20" t="str">
        <f>IF(A109="","",IFERROR(INDEX('Inline Quality'!$S$5:$S$304,MATCH(A109,'Inline Quality'!$E$5:$E$304,0)),"Pending"))</f>
        <v/>
      </c>
      <c r="N109" s="20" t="str">
        <f>IF(A109="","",IFERROR(INDEX('Final Inspection'!$U$5:$U$304,MATCH(A109,'Final Inspection'!$C$5:$C$304,0)),"Pending"))</f>
        <v/>
      </c>
      <c r="O109" s="20" t="str">
        <f>IF(A109="","",SUMIF('Packing Control'!$C$5:$C$304,A109,'Packing Control'!$K$5:$K$304))</f>
        <v/>
      </c>
      <c r="P109" s="20" t="str">
        <f>IF(A109="","",SUMIF('Finished Goods'!$C$5:$C$304,A109,'Finished Goods'!$J$5:$J$304))</f>
        <v/>
      </c>
      <c r="Q109" s="20" t="str">
        <f>IF(A109="","",SUMIF('Shipment Control'!$C$5:$C$304,A109,'Shipment Control'!$I$5:$I$304))</f>
        <v/>
      </c>
      <c r="R109" s="20" t="str">
        <f>IF(A109="","",SUMIF('Shipment Control'!$C$5:$C$304,A109,'Shipment Control'!$J$5:$J$304))</f>
        <v/>
      </c>
      <c r="S109" s="20" t="str">
        <f t="shared" si="3"/>
        <v/>
      </c>
      <c r="T109" s="21" t="str">
        <f>IF('FGPO Master'!A103="","",'FGPO Master'!I103)</f>
        <v/>
      </c>
      <c r="U109" s="7" t="str">
        <f>IF(A109="","",IF(COUNTIF('Open Issues'!$D$5:$D$304,A109)&gt;0,"Yellow","Green"))</f>
        <v/>
      </c>
      <c r="V109" s="7" t="str">
        <f>IF('FGPO Master'!A103="","",'FGPO Master'!U103)</f>
        <v/>
      </c>
    </row>
    <row r="110" spans="1:22">
      <c r="A110" s="7" t="str">
        <f>IF('FGPO Master'!A104="","",IF('FGPO Master'!D104="FGPO Pending","FGPO Pending",'FGPO Master'!B104))</f>
        <v/>
      </c>
      <c r="B110" s="7" t="str">
        <f>IF('FGPO Master'!A104="","",'FGPO Master'!F104)</f>
        <v/>
      </c>
      <c r="C110" s="7" t="str">
        <f>IF('FGPO Master'!A104="","",'FGPO Master'!G104)</f>
        <v/>
      </c>
      <c r="D110" s="20" t="str">
        <f>IF('FGPO Master'!A104="","",'FGPO Master'!H104)</f>
        <v/>
      </c>
      <c r="E110" s="20" t="str">
        <f>IF(A110="","",IF(SUMIF('Fabric Inventory'!$C$5:$C$304,A110,'Fabric Inventory'!$O$5:$O$304)&gt;0,"Shortage",IF(SUMIF('Fabric Inventory'!$C$5:$C$304,A110,'Fabric Inventory'!$H$5:$H$304)&gt;0,"Approved","Pending")))</f>
        <v/>
      </c>
      <c r="F110" s="20" t="str">
        <f>IF(A110="","",IF(SUMIF('Trims Control'!$B$5:$B$304,A110,'Trims Control'!$R$5:$R$304)&gt;0,"Shortage",IF(COUNTIFS('Trims Control'!$B$5:$B$304,A110,'Trims Control'!$V$5:$V$304,"Ready")&gt;0,"Ready","Pending")))</f>
        <v/>
      </c>
      <c r="G110" s="20" t="str">
        <f>IF(A110="","",IFERROR(INDEX('PP Sample'!$V$5:$V$304,MATCH(A110,'PP Sample'!$B$5:$B$304,0)),"Pending"))</f>
        <v/>
      </c>
      <c r="H110" s="20" t="str">
        <f>IF(A110="","",IFERROR(INDEX('Production Readiness'!$S$5:$S$304,MATCH(A110,'Production Readiness'!$C$5:$C$304,0)),"Pending"))</f>
        <v/>
      </c>
      <c r="I110" s="20" t="str">
        <f>IF(A110="","",IFERROR(INDEX('Cutting Release'!$P$5:$P$304,MATCH(A110,'Cutting Release'!$C$5:$C$304,0)),"Pending"))</f>
        <v/>
      </c>
      <c r="J110" s="20" t="str">
        <f>IF(A110="","",SUMIF('Cutting Control'!$C$5:$C$304,A110,'Cutting Control'!$K$5:$K$304))</f>
        <v/>
      </c>
      <c r="K110" s="20" t="str">
        <f>IF(A110="","",IFERROR(INDEX('TOP Sample'!$W$5:$W$304,MATCH(A110,'TOP Sample'!$B$5:$B$304,0)),"Pending"))</f>
        <v/>
      </c>
      <c r="L110" s="20" t="str">
        <f>IF(A110="","",SUMIF('Sewing Production'!$E$5:$E$304,A110,'Sewing Production'!$L$5:$L$304))</f>
        <v/>
      </c>
      <c r="M110" s="20" t="str">
        <f>IF(A110="","",IFERROR(INDEX('Inline Quality'!$S$5:$S$304,MATCH(A110,'Inline Quality'!$E$5:$E$304,0)),"Pending"))</f>
        <v/>
      </c>
      <c r="N110" s="20" t="str">
        <f>IF(A110="","",IFERROR(INDEX('Final Inspection'!$U$5:$U$304,MATCH(A110,'Final Inspection'!$C$5:$C$304,0)),"Pending"))</f>
        <v/>
      </c>
      <c r="O110" s="20" t="str">
        <f>IF(A110="","",SUMIF('Packing Control'!$C$5:$C$304,A110,'Packing Control'!$K$5:$K$304))</f>
        <v/>
      </c>
      <c r="P110" s="20" t="str">
        <f>IF(A110="","",SUMIF('Finished Goods'!$C$5:$C$304,A110,'Finished Goods'!$J$5:$J$304))</f>
        <v/>
      </c>
      <c r="Q110" s="20" t="str">
        <f>IF(A110="","",SUMIF('Shipment Control'!$C$5:$C$304,A110,'Shipment Control'!$I$5:$I$304))</f>
        <v/>
      </c>
      <c r="R110" s="20" t="str">
        <f>IF(A110="","",SUMIF('Shipment Control'!$C$5:$C$304,A110,'Shipment Control'!$J$5:$J$304))</f>
        <v/>
      </c>
      <c r="S110" s="20" t="str">
        <f t="shared" si="3"/>
        <v/>
      </c>
      <c r="T110" s="21" t="str">
        <f>IF('FGPO Master'!A104="","",'FGPO Master'!I104)</f>
        <v/>
      </c>
      <c r="U110" s="7" t="str">
        <f>IF(A110="","",IF(COUNTIF('Open Issues'!$D$5:$D$304,A110)&gt;0,"Yellow","Green"))</f>
        <v/>
      </c>
      <c r="V110" s="7" t="str">
        <f>IF('FGPO Master'!A104="","",'FGPO Master'!U104)</f>
        <v/>
      </c>
    </row>
    <row r="111" spans="1:22">
      <c r="A111" s="7" t="str">
        <f>IF('FGPO Master'!A105="","",IF('FGPO Master'!D105="FGPO Pending","FGPO Pending",'FGPO Master'!B105))</f>
        <v/>
      </c>
      <c r="B111" s="7" t="str">
        <f>IF('FGPO Master'!A105="","",'FGPO Master'!F105)</f>
        <v/>
      </c>
      <c r="C111" s="7" t="str">
        <f>IF('FGPO Master'!A105="","",'FGPO Master'!G105)</f>
        <v/>
      </c>
      <c r="D111" s="20" t="str">
        <f>IF('FGPO Master'!A105="","",'FGPO Master'!H105)</f>
        <v/>
      </c>
      <c r="E111" s="20" t="str">
        <f>IF(A111="","",IF(SUMIF('Fabric Inventory'!$C$5:$C$304,A111,'Fabric Inventory'!$O$5:$O$304)&gt;0,"Shortage",IF(SUMIF('Fabric Inventory'!$C$5:$C$304,A111,'Fabric Inventory'!$H$5:$H$304)&gt;0,"Approved","Pending")))</f>
        <v/>
      </c>
      <c r="F111" s="20" t="str">
        <f>IF(A111="","",IF(SUMIF('Trims Control'!$B$5:$B$304,A111,'Trims Control'!$R$5:$R$304)&gt;0,"Shortage",IF(COUNTIFS('Trims Control'!$B$5:$B$304,A111,'Trims Control'!$V$5:$V$304,"Ready")&gt;0,"Ready","Pending")))</f>
        <v/>
      </c>
      <c r="G111" s="20" t="str">
        <f>IF(A111="","",IFERROR(INDEX('PP Sample'!$V$5:$V$304,MATCH(A111,'PP Sample'!$B$5:$B$304,0)),"Pending"))</f>
        <v/>
      </c>
      <c r="H111" s="20" t="str">
        <f>IF(A111="","",IFERROR(INDEX('Production Readiness'!$S$5:$S$304,MATCH(A111,'Production Readiness'!$C$5:$C$304,0)),"Pending"))</f>
        <v/>
      </c>
      <c r="I111" s="20" t="str">
        <f>IF(A111="","",IFERROR(INDEX('Cutting Release'!$P$5:$P$304,MATCH(A111,'Cutting Release'!$C$5:$C$304,0)),"Pending"))</f>
        <v/>
      </c>
      <c r="J111" s="20" t="str">
        <f>IF(A111="","",SUMIF('Cutting Control'!$C$5:$C$304,A111,'Cutting Control'!$K$5:$K$304))</f>
        <v/>
      </c>
      <c r="K111" s="20" t="str">
        <f>IF(A111="","",IFERROR(INDEX('TOP Sample'!$W$5:$W$304,MATCH(A111,'TOP Sample'!$B$5:$B$304,0)),"Pending"))</f>
        <v/>
      </c>
      <c r="L111" s="20" t="str">
        <f>IF(A111="","",SUMIF('Sewing Production'!$E$5:$E$304,A111,'Sewing Production'!$L$5:$L$304))</f>
        <v/>
      </c>
      <c r="M111" s="20" t="str">
        <f>IF(A111="","",IFERROR(INDEX('Inline Quality'!$S$5:$S$304,MATCH(A111,'Inline Quality'!$E$5:$E$304,0)),"Pending"))</f>
        <v/>
      </c>
      <c r="N111" s="20" t="str">
        <f>IF(A111="","",IFERROR(INDEX('Final Inspection'!$U$5:$U$304,MATCH(A111,'Final Inspection'!$C$5:$C$304,0)),"Pending"))</f>
        <v/>
      </c>
      <c r="O111" s="20" t="str">
        <f>IF(A111="","",SUMIF('Packing Control'!$C$5:$C$304,A111,'Packing Control'!$K$5:$K$304))</f>
        <v/>
      </c>
      <c r="P111" s="20" t="str">
        <f>IF(A111="","",SUMIF('Finished Goods'!$C$5:$C$304,A111,'Finished Goods'!$J$5:$J$304))</f>
        <v/>
      </c>
      <c r="Q111" s="20" t="str">
        <f>IF(A111="","",SUMIF('Shipment Control'!$C$5:$C$304,A111,'Shipment Control'!$I$5:$I$304))</f>
        <v/>
      </c>
      <c r="R111" s="20" t="str">
        <f>IF(A111="","",SUMIF('Shipment Control'!$C$5:$C$304,A111,'Shipment Control'!$J$5:$J$304))</f>
        <v/>
      </c>
      <c r="S111" s="20" t="str">
        <f t="shared" si="3"/>
        <v/>
      </c>
      <c r="T111" s="21" t="str">
        <f>IF('FGPO Master'!A105="","",'FGPO Master'!I105)</f>
        <v/>
      </c>
      <c r="U111" s="7" t="str">
        <f>IF(A111="","",IF(COUNTIF('Open Issues'!$D$5:$D$304,A111)&gt;0,"Yellow","Green"))</f>
        <v/>
      </c>
      <c r="V111" s="7" t="str">
        <f>IF('FGPO Master'!A105="","",'FGPO Master'!U105)</f>
        <v/>
      </c>
    </row>
    <row r="112" spans="1:22">
      <c r="A112" s="7" t="str">
        <f>IF('FGPO Master'!A106="","",IF('FGPO Master'!D106="FGPO Pending","FGPO Pending",'FGPO Master'!B106))</f>
        <v/>
      </c>
      <c r="B112" s="7" t="str">
        <f>IF('FGPO Master'!A106="","",'FGPO Master'!F106)</f>
        <v/>
      </c>
      <c r="C112" s="7" t="str">
        <f>IF('FGPO Master'!A106="","",'FGPO Master'!G106)</f>
        <v/>
      </c>
      <c r="D112" s="20" t="str">
        <f>IF('FGPO Master'!A106="","",'FGPO Master'!H106)</f>
        <v/>
      </c>
      <c r="E112" s="20" t="str">
        <f>IF(A112="","",IF(SUMIF('Fabric Inventory'!$C$5:$C$304,A112,'Fabric Inventory'!$O$5:$O$304)&gt;0,"Shortage",IF(SUMIF('Fabric Inventory'!$C$5:$C$304,A112,'Fabric Inventory'!$H$5:$H$304)&gt;0,"Approved","Pending")))</f>
        <v/>
      </c>
      <c r="F112" s="20" t="str">
        <f>IF(A112="","",IF(SUMIF('Trims Control'!$B$5:$B$304,A112,'Trims Control'!$R$5:$R$304)&gt;0,"Shortage",IF(COUNTIFS('Trims Control'!$B$5:$B$304,A112,'Trims Control'!$V$5:$V$304,"Ready")&gt;0,"Ready","Pending")))</f>
        <v/>
      </c>
      <c r="G112" s="20" t="str">
        <f>IF(A112="","",IFERROR(INDEX('PP Sample'!$V$5:$V$304,MATCH(A112,'PP Sample'!$B$5:$B$304,0)),"Pending"))</f>
        <v/>
      </c>
      <c r="H112" s="20" t="str">
        <f>IF(A112="","",IFERROR(INDEX('Production Readiness'!$S$5:$S$304,MATCH(A112,'Production Readiness'!$C$5:$C$304,0)),"Pending"))</f>
        <v/>
      </c>
      <c r="I112" s="20" t="str">
        <f>IF(A112="","",IFERROR(INDEX('Cutting Release'!$P$5:$P$304,MATCH(A112,'Cutting Release'!$C$5:$C$304,0)),"Pending"))</f>
        <v/>
      </c>
      <c r="J112" s="20" t="str">
        <f>IF(A112="","",SUMIF('Cutting Control'!$C$5:$C$304,A112,'Cutting Control'!$K$5:$K$304))</f>
        <v/>
      </c>
      <c r="K112" s="20" t="str">
        <f>IF(A112="","",IFERROR(INDEX('TOP Sample'!$W$5:$W$304,MATCH(A112,'TOP Sample'!$B$5:$B$304,0)),"Pending"))</f>
        <v/>
      </c>
      <c r="L112" s="20" t="str">
        <f>IF(A112="","",SUMIF('Sewing Production'!$E$5:$E$304,A112,'Sewing Production'!$L$5:$L$304))</f>
        <v/>
      </c>
      <c r="M112" s="20" t="str">
        <f>IF(A112="","",IFERROR(INDEX('Inline Quality'!$S$5:$S$304,MATCH(A112,'Inline Quality'!$E$5:$E$304,0)),"Pending"))</f>
        <v/>
      </c>
      <c r="N112" s="20" t="str">
        <f>IF(A112="","",IFERROR(INDEX('Final Inspection'!$U$5:$U$304,MATCH(A112,'Final Inspection'!$C$5:$C$304,0)),"Pending"))</f>
        <v/>
      </c>
      <c r="O112" s="20" t="str">
        <f>IF(A112="","",SUMIF('Packing Control'!$C$5:$C$304,A112,'Packing Control'!$K$5:$K$304))</f>
        <v/>
      </c>
      <c r="P112" s="20" t="str">
        <f>IF(A112="","",SUMIF('Finished Goods'!$C$5:$C$304,A112,'Finished Goods'!$J$5:$J$304))</f>
        <v/>
      </c>
      <c r="Q112" s="20" t="str">
        <f>IF(A112="","",SUMIF('Shipment Control'!$C$5:$C$304,A112,'Shipment Control'!$I$5:$I$304))</f>
        <v/>
      </c>
      <c r="R112" s="20" t="str">
        <f>IF(A112="","",SUMIF('Shipment Control'!$C$5:$C$304,A112,'Shipment Control'!$J$5:$J$304))</f>
        <v/>
      </c>
      <c r="S112" s="20" t="str">
        <f t="shared" si="3"/>
        <v/>
      </c>
      <c r="T112" s="21" t="str">
        <f>IF('FGPO Master'!A106="","",'FGPO Master'!I106)</f>
        <v/>
      </c>
      <c r="U112" s="7" t="str">
        <f>IF(A112="","",IF(COUNTIF('Open Issues'!$D$5:$D$304,A112)&gt;0,"Yellow","Green"))</f>
        <v/>
      </c>
      <c r="V112" s="7" t="str">
        <f>IF('FGPO Master'!A106="","",'FGPO Master'!U106)</f>
        <v/>
      </c>
    </row>
    <row r="113" spans="1:22">
      <c r="A113" s="7" t="str">
        <f>IF('FGPO Master'!A107="","",IF('FGPO Master'!D107="FGPO Pending","FGPO Pending",'FGPO Master'!B107))</f>
        <v/>
      </c>
      <c r="B113" s="7" t="str">
        <f>IF('FGPO Master'!A107="","",'FGPO Master'!F107)</f>
        <v/>
      </c>
      <c r="C113" s="7" t="str">
        <f>IF('FGPO Master'!A107="","",'FGPO Master'!G107)</f>
        <v/>
      </c>
      <c r="D113" s="20" t="str">
        <f>IF('FGPO Master'!A107="","",'FGPO Master'!H107)</f>
        <v/>
      </c>
      <c r="E113" s="20" t="str">
        <f>IF(A113="","",IF(SUMIF('Fabric Inventory'!$C$5:$C$304,A113,'Fabric Inventory'!$O$5:$O$304)&gt;0,"Shortage",IF(SUMIF('Fabric Inventory'!$C$5:$C$304,A113,'Fabric Inventory'!$H$5:$H$304)&gt;0,"Approved","Pending")))</f>
        <v/>
      </c>
      <c r="F113" s="20" t="str">
        <f>IF(A113="","",IF(SUMIF('Trims Control'!$B$5:$B$304,A113,'Trims Control'!$R$5:$R$304)&gt;0,"Shortage",IF(COUNTIFS('Trims Control'!$B$5:$B$304,A113,'Trims Control'!$V$5:$V$304,"Ready")&gt;0,"Ready","Pending")))</f>
        <v/>
      </c>
      <c r="G113" s="20" t="str">
        <f>IF(A113="","",IFERROR(INDEX('PP Sample'!$V$5:$V$304,MATCH(A113,'PP Sample'!$B$5:$B$304,0)),"Pending"))</f>
        <v/>
      </c>
      <c r="H113" s="20" t="str">
        <f>IF(A113="","",IFERROR(INDEX('Production Readiness'!$S$5:$S$304,MATCH(A113,'Production Readiness'!$C$5:$C$304,0)),"Pending"))</f>
        <v/>
      </c>
      <c r="I113" s="20" t="str">
        <f>IF(A113="","",IFERROR(INDEX('Cutting Release'!$P$5:$P$304,MATCH(A113,'Cutting Release'!$C$5:$C$304,0)),"Pending"))</f>
        <v/>
      </c>
      <c r="J113" s="20" t="str">
        <f>IF(A113="","",SUMIF('Cutting Control'!$C$5:$C$304,A113,'Cutting Control'!$K$5:$K$304))</f>
        <v/>
      </c>
      <c r="K113" s="20" t="str">
        <f>IF(A113="","",IFERROR(INDEX('TOP Sample'!$W$5:$W$304,MATCH(A113,'TOP Sample'!$B$5:$B$304,0)),"Pending"))</f>
        <v/>
      </c>
      <c r="L113" s="20" t="str">
        <f>IF(A113="","",SUMIF('Sewing Production'!$E$5:$E$304,A113,'Sewing Production'!$L$5:$L$304))</f>
        <v/>
      </c>
      <c r="M113" s="20" t="str">
        <f>IF(A113="","",IFERROR(INDEX('Inline Quality'!$S$5:$S$304,MATCH(A113,'Inline Quality'!$E$5:$E$304,0)),"Pending"))</f>
        <v/>
      </c>
      <c r="N113" s="20" t="str">
        <f>IF(A113="","",IFERROR(INDEX('Final Inspection'!$U$5:$U$304,MATCH(A113,'Final Inspection'!$C$5:$C$304,0)),"Pending"))</f>
        <v/>
      </c>
      <c r="O113" s="20" t="str">
        <f>IF(A113="","",SUMIF('Packing Control'!$C$5:$C$304,A113,'Packing Control'!$K$5:$K$304))</f>
        <v/>
      </c>
      <c r="P113" s="20" t="str">
        <f>IF(A113="","",SUMIF('Finished Goods'!$C$5:$C$304,A113,'Finished Goods'!$J$5:$J$304))</f>
        <v/>
      </c>
      <c r="Q113" s="20" t="str">
        <f>IF(A113="","",SUMIF('Shipment Control'!$C$5:$C$304,A113,'Shipment Control'!$I$5:$I$304))</f>
        <v/>
      </c>
      <c r="R113" s="20" t="str">
        <f>IF(A113="","",SUMIF('Shipment Control'!$C$5:$C$304,A113,'Shipment Control'!$J$5:$J$304))</f>
        <v/>
      </c>
      <c r="S113" s="20" t="str">
        <f t="shared" si="3"/>
        <v/>
      </c>
      <c r="T113" s="21" t="str">
        <f>IF('FGPO Master'!A107="","",'FGPO Master'!I107)</f>
        <v/>
      </c>
      <c r="U113" s="7" t="str">
        <f>IF(A113="","",IF(COUNTIF('Open Issues'!$D$5:$D$304,A113)&gt;0,"Yellow","Green"))</f>
        <v/>
      </c>
      <c r="V113" s="7" t="str">
        <f>IF('FGPO Master'!A107="","",'FGPO Master'!U107)</f>
        <v/>
      </c>
    </row>
    <row r="114" spans="1:22">
      <c r="A114" s="7" t="str">
        <f>IF('FGPO Master'!A108="","",IF('FGPO Master'!D108="FGPO Pending","FGPO Pending",'FGPO Master'!B108))</f>
        <v/>
      </c>
      <c r="B114" s="7" t="str">
        <f>IF('FGPO Master'!A108="","",'FGPO Master'!F108)</f>
        <v/>
      </c>
      <c r="C114" s="7" t="str">
        <f>IF('FGPO Master'!A108="","",'FGPO Master'!G108)</f>
        <v/>
      </c>
      <c r="D114" s="20" t="str">
        <f>IF('FGPO Master'!A108="","",'FGPO Master'!H108)</f>
        <v/>
      </c>
      <c r="E114" s="20" t="str">
        <f>IF(A114="","",IF(SUMIF('Fabric Inventory'!$C$5:$C$304,A114,'Fabric Inventory'!$O$5:$O$304)&gt;0,"Shortage",IF(SUMIF('Fabric Inventory'!$C$5:$C$304,A114,'Fabric Inventory'!$H$5:$H$304)&gt;0,"Approved","Pending")))</f>
        <v/>
      </c>
      <c r="F114" s="20" t="str">
        <f>IF(A114="","",IF(SUMIF('Trims Control'!$B$5:$B$304,A114,'Trims Control'!$R$5:$R$304)&gt;0,"Shortage",IF(COUNTIFS('Trims Control'!$B$5:$B$304,A114,'Trims Control'!$V$5:$V$304,"Ready")&gt;0,"Ready","Pending")))</f>
        <v/>
      </c>
      <c r="G114" s="20" t="str">
        <f>IF(A114="","",IFERROR(INDEX('PP Sample'!$V$5:$V$304,MATCH(A114,'PP Sample'!$B$5:$B$304,0)),"Pending"))</f>
        <v/>
      </c>
      <c r="H114" s="20" t="str">
        <f>IF(A114="","",IFERROR(INDEX('Production Readiness'!$S$5:$S$304,MATCH(A114,'Production Readiness'!$C$5:$C$304,0)),"Pending"))</f>
        <v/>
      </c>
      <c r="I114" s="20" t="str">
        <f>IF(A114="","",IFERROR(INDEX('Cutting Release'!$P$5:$P$304,MATCH(A114,'Cutting Release'!$C$5:$C$304,0)),"Pending"))</f>
        <v/>
      </c>
      <c r="J114" s="20" t="str">
        <f>IF(A114="","",SUMIF('Cutting Control'!$C$5:$C$304,A114,'Cutting Control'!$K$5:$K$304))</f>
        <v/>
      </c>
      <c r="K114" s="20" t="str">
        <f>IF(A114="","",IFERROR(INDEX('TOP Sample'!$W$5:$W$304,MATCH(A114,'TOP Sample'!$B$5:$B$304,0)),"Pending"))</f>
        <v/>
      </c>
      <c r="L114" s="20" t="str">
        <f>IF(A114="","",SUMIF('Sewing Production'!$E$5:$E$304,A114,'Sewing Production'!$L$5:$L$304))</f>
        <v/>
      </c>
      <c r="M114" s="20" t="str">
        <f>IF(A114="","",IFERROR(INDEX('Inline Quality'!$S$5:$S$304,MATCH(A114,'Inline Quality'!$E$5:$E$304,0)),"Pending"))</f>
        <v/>
      </c>
      <c r="N114" s="20" t="str">
        <f>IF(A114="","",IFERROR(INDEX('Final Inspection'!$U$5:$U$304,MATCH(A114,'Final Inspection'!$C$5:$C$304,0)),"Pending"))</f>
        <v/>
      </c>
      <c r="O114" s="20" t="str">
        <f>IF(A114="","",SUMIF('Packing Control'!$C$5:$C$304,A114,'Packing Control'!$K$5:$K$304))</f>
        <v/>
      </c>
      <c r="P114" s="20" t="str">
        <f>IF(A114="","",SUMIF('Finished Goods'!$C$5:$C$304,A114,'Finished Goods'!$J$5:$J$304))</f>
        <v/>
      </c>
      <c r="Q114" s="20" t="str">
        <f>IF(A114="","",SUMIF('Shipment Control'!$C$5:$C$304,A114,'Shipment Control'!$I$5:$I$304))</f>
        <v/>
      </c>
      <c r="R114" s="20" t="str">
        <f>IF(A114="","",SUMIF('Shipment Control'!$C$5:$C$304,A114,'Shipment Control'!$J$5:$J$304))</f>
        <v/>
      </c>
      <c r="S114" s="20" t="str">
        <f t="shared" si="3"/>
        <v/>
      </c>
      <c r="T114" s="21" t="str">
        <f>IF('FGPO Master'!A108="","",'FGPO Master'!I108)</f>
        <v/>
      </c>
      <c r="U114" s="7" t="str">
        <f>IF(A114="","",IF(COUNTIF('Open Issues'!$D$5:$D$304,A114)&gt;0,"Yellow","Green"))</f>
        <v/>
      </c>
      <c r="V114" s="7" t="str">
        <f>IF('FGPO Master'!A108="","",'FGPO Master'!U108)</f>
        <v/>
      </c>
    </row>
    <row r="115" spans="1:22">
      <c r="A115" s="7" t="str">
        <f>IF('FGPO Master'!A109="","",IF('FGPO Master'!D109="FGPO Pending","FGPO Pending",'FGPO Master'!B109))</f>
        <v/>
      </c>
      <c r="B115" s="7" t="str">
        <f>IF('FGPO Master'!A109="","",'FGPO Master'!F109)</f>
        <v/>
      </c>
      <c r="C115" s="7" t="str">
        <f>IF('FGPO Master'!A109="","",'FGPO Master'!G109)</f>
        <v/>
      </c>
      <c r="D115" s="20" t="str">
        <f>IF('FGPO Master'!A109="","",'FGPO Master'!H109)</f>
        <v/>
      </c>
      <c r="E115" s="20" t="str">
        <f>IF(A115="","",IF(SUMIF('Fabric Inventory'!$C$5:$C$304,A115,'Fabric Inventory'!$O$5:$O$304)&gt;0,"Shortage",IF(SUMIF('Fabric Inventory'!$C$5:$C$304,A115,'Fabric Inventory'!$H$5:$H$304)&gt;0,"Approved","Pending")))</f>
        <v/>
      </c>
      <c r="F115" s="20" t="str">
        <f>IF(A115="","",IF(SUMIF('Trims Control'!$B$5:$B$304,A115,'Trims Control'!$R$5:$R$304)&gt;0,"Shortage",IF(COUNTIFS('Trims Control'!$B$5:$B$304,A115,'Trims Control'!$V$5:$V$304,"Ready")&gt;0,"Ready","Pending")))</f>
        <v/>
      </c>
      <c r="G115" s="20" t="str">
        <f>IF(A115="","",IFERROR(INDEX('PP Sample'!$V$5:$V$304,MATCH(A115,'PP Sample'!$B$5:$B$304,0)),"Pending"))</f>
        <v/>
      </c>
      <c r="H115" s="20" t="str">
        <f>IF(A115="","",IFERROR(INDEX('Production Readiness'!$S$5:$S$304,MATCH(A115,'Production Readiness'!$C$5:$C$304,0)),"Pending"))</f>
        <v/>
      </c>
      <c r="I115" s="20" t="str">
        <f>IF(A115="","",IFERROR(INDEX('Cutting Release'!$P$5:$P$304,MATCH(A115,'Cutting Release'!$C$5:$C$304,0)),"Pending"))</f>
        <v/>
      </c>
      <c r="J115" s="20" t="str">
        <f>IF(A115="","",SUMIF('Cutting Control'!$C$5:$C$304,A115,'Cutting Control'!$K$5:$K$304))</f>
        <v/>
      </c>
      <c r="K115" s="20" t="str">
        <f>IF(A115="","",IFERROR(INDEX('TOP Sample'!$W$5:$W$304,MATCH(A115,'TOP Sample'!$B$5:$B$304,0)),"Pending"))</f>
        <v/>
      </c>
      <c r="L115" s="20" t="str">
        <f>IF(A115="","",SUMIF('Sewing Production'!$E$5:$E$304,A115,'Sewing Production'!$L$5:$L$304))</f>
        <v/>
      </c>
      <c r="M115" s="20" t="str">
        <f>IF(A115="","",IFERROR(INDEX('Inline Quality'!$S$5:$S$304,MATCH(A115,'Inline Quality'!$E$5:$E$304,0)),"Pending"))</f>
        <v/>
      </c>
      <c r="N115" s="20" t="str">
        <f>IF(A115="","",IFERROR(INDEX('Final Inspection'!$U$5:$U$304,MATCH(A115,'Final Inspection'!$C$5:$C$304,0)),"Pending"))</f>
        <v/>
      </c>
      <c r="O115" s="20" t="str">
        <f>IF(A115="","",SUMIF('Packing Control'!$C$5:$C$304,A115,'Packing Control'!$K$5:$K$304))</f>
        <v/>
      </c>
      <c r="P115" s="20" t="str">
        <f>IF(A115="","",SUMIF('Finished Goods'!$C$5:$C$304,A115,'Finished Goods'!$J$5:$J$304))</f>
        <v/>
      </c>
      <c r="Q115" s="20" t="str">
        <f>IF(A115="","",SUMIF('Shipment Control'!$C$5:$C$304,A115,'Shipment Control'!$I$5:$I$304))</f>
        <v/>
      </c>
      <c r="R115" s="20" t="str">
        <f>IF(A115="","",SUMIF('Shipment Control'!$C$5:$C$304,A115,'Shipment Control'!$J$5:$J$304))</f>
        <v/>
      </c>
      <c r="S115" s="20" t="str">
        <f t="shared" si="3"/>
        <v/>
      </c>
      <c r="T115" s="21" t="str">
        <f>IF('FGPO Master'!A109="","",'FGPO Master'!I109)</f>
        <v/>
      </c>
      <c r="U115" s="7" t="str">
        <f>IF(A115="","",IF(COUNTIF('Open Issues'!$D$5:$D$304,A115)&gt;0,"Yellow","Green"))</f>
        <v/>
      </c>
      <c r="V115" s="7" t="str">
        <f>IF('FGPO Master'!A109="","",'FGPO Master'!U109)</f>
        <v/>
      </c>
    </row>
    <row r="116" spans="1:22">
      <c r="A116" s="7" t="str">
        <f>IF('FGPO Master'!A110="","",IF('FGPO Master'!D110="FGPO Pending","FGPO Pending",'FGPO Master'!B110))</f>
        <v/>
      </c>
      <c r="B116" s="7" t="str">
        <f>IF('FGPO Master'!A110="","",'FGPO Master'!F110)</f>
        <v/>
      </c>
      <c r="C116" s="7" t="str">
        <f>IF('FGPO Master'!A110="","",'FGPO Master'!G110)</f>
        <v/>
      </c>
      <c r="D116" s="20" t="str">
        <f>IF('FGPO Master'!A110="","",'FGPO Master'!H110)</f>
        <v/>
      </c>
      <c r="E116" s="20" t="str">
        <f>IF(A116="","",IF(SUMIF('Fabric Inventory'!$C$5:$C$304,A116,'Fabric Inventory'!$O$5:$O$304)&gt;0,"Shortage",IF(SUMIF('Fabric Inventory'!$C$5:$C$304,A116,'Fabric Inventory'!$H$5:$H$304)&gt;0,"Approved","Pending")))</f>
        <v/>
      </c>
      <c r="F116" s="20" t="str">
        <f>IF(A116="","",IF(SUMIF('Trims Control'!$B$5:$B$304,A116,'Trims Control'!$R$5:$R$304)&gt;0,"Shortage",IF(COUNTIFS('Trims Control'!$B$5:$B$304,A116,'Trims Control'!$V$5:$V$304,"Ready")&gt;0,"Ready","Pending")))</f>
        <v/>
      </c>
      <c r="G116" s="20" t="str">
        <f>IF(A116="","",IFERROR(INDEX('PP Sample'!$V$5:$V$304,MATCH(A116,'PP Sample'!$B$5:$B$304,0)),"Pending"))</f>
        <v/>
      </c>
      <c r="H116" s="20" t="str">
        <f>IF(A116="","",IFERROR(INDEX('Production Readiness'!$S$5:$S$304,MATCH(A116,'Production Readiness'!$C$5:$C$304,0)),"Pending"))</f>
        <v/>
      </c>
      <c r="I116" s="20" t="str">
        <f>IF(A116="","",IFERROR(INDEX('Cutting Release'!$P$5:$P$304,MATCH(A116,'Cutting Release'!$C$5:$C$304,0)),"Pending"))</f>
        <v/>
      </c>
      <c r="J116" s="20" t="str">
        <f>IF(A116="","",SUMIF('Cutting Control'!$C$5:$C$304,A116,'Cutting Control'!$K$5:$K$304))</f>
        <v/>
      </c>
      <c r="K116" s="20" t="str">
        <f>IF(A116="","",IFERROR(INDEX('TOP Sample'!$W$5:$W$304,MATCH(A116,'TOP Sample'!$B$5:$B$304,0)),"Pending"))</f>
        <v/>
      </c>
      <c r="L116" s="20" t="str">
        <f>IF(A116="","",SUMIF('Sewing Production'!$E$5:$E$304,A116,'Sewing Production'!$L$5:$L$304))</f>
        <v/>
      </c>
      <c r="M116" s="20" t="str">
        <f>IF(A116="","",IFERROR(INDEX('Inline Quality'!$S$5:$S$304,MATCH(A116,'Inline Quality'!$E$5:$E$304,0)),"Pending"))</f>
        <v/>
      </c>
      <c r="N116" s="20" t="str">
        <f>IF(A116="","",IFERROR(INDEX('Final Inspection'!$U$5:$U$304,MATCH(A116,'Final Inspection'!$C$5:$C$304,0)),"Pending"))</f>
        <v/>
      </c>
      <c r="O116" s="20" t="str">
        <f>IF(A116="","",SUMIF('Packing Control'!$C$5:$C$304,A116,'Packing Control'!$K$5:$K$304))</f>
        <v/>
      </c>
      <c r="P116" s="20" t="str">
        <f>IF(A116="","",SUMIF('Finished Goods'!$C$5:$C$304,A116,'Finished Goods'!$J$5:$J$304))</f>
        <v/>
      </c>
      <c r="Q116" s="20" t="str">
        <f>IF(A116="","",SUMIF('Shipment Control'!$C$5:$C$304,A116,'Shipment Control'!$I$5:$I$304))</f>
        <v/>
      </c>
      <c r="R116" s="20" t="str">
        <f>IF(A116="","",SUMIF('Shipment Control'!$C$5:$C$304,A116,'Shipment Control'!$J$5:$J$304))</f>
        <v/>
      </c>
      <c r="S116" s="20" t="str">
        <f t="shared" si="3"/>
        <v/>
      </c>
      <c r="T116" s="21" t="str">
        <f>IF('FGPO Master'!A110="","",'FGPO Master'!I110)</f>
        <v/>
      </c>
      <c r="U116" s="7" t="str">
        <f>IF(A116="","",IF(COUNTIF('Open Issues'!$D$5:$D$304,A116)&gt;0,"Yellow","Green"))</f>
        <v/>
      </c>
      <c r="V116" s="7" t="str">
        <f>IF('FGPO Master'!A110="","",'FGPO Master'!U110)</f>
        <v/>
      </c>
    </row>
    <row r="117" spans="1:22">
      <c r="A117" s="7" t="str">
        <f>IF('FGPO Master'!A111="","",IF('FGPO Master'!D111="FGPO Pending","FGPO Pending",'FGPO Master'!B111))</f>
        <v/>
      </c>
      <c r="B117" s="7" t="str">
        <f>IF('FGPO Master'!A111="","",'FGPO Master'!F111)</f>
        <v/>
      </c>
      <c r="C117" s="7" t="str">
        <f>IF('FGPO Master'!A111="","",'FGPO Master'!G111)</f>
        <v/>
      </c>
      <c r="D117" s="20" t="str">
        <f>IF('FGPO Master'!A111="","",'FGPO Master'!H111)</f>
        <v/>
      </c>
      <c r="E117" s="20" t="str">
        <f>IF(A117="","",IF(SUMIF('Fabric Inventory'!$C$5:$C$304,A117,'Fabric Inventory'!$O$5:$O$304)&gt;0,"Shortage",IF(SUMIF('Fabric Inventory'!$C$5:$C$304,A117,'Fabric Inventory'!$H$5:$H$304)&gt;0,"Approved","Pending")))</f>
        <v/>
      </c>
      <c r="F117" s="20" t="str">
        <f>IF(A117="","",IF(SUMIF('Trims Control'!$B$5:$B$304,A117,'Trims Control'!$R$5:$R$304)&gt;0,"Shortage",IF(COUNTIFS('Trims Control'!$B$5:$B$304,A117,'Trims Control'!$V$5:$V$304,"Ready")&gt;0,"Ready","Pending")))</f>
        <v/>
      </c>
      <c r="G117" s="20" t="str">
        <f>IF(A117="","",IFERROR(INDEX('PP Sample'!$V$5:$V$304,MATCH(A117,'PP Sample'!$B$5:$B$304,0)),"Pending"))</f>
        <v/>
      </c>
      <c r="H117" s="20" t="str">
        <f>IF(A117="","",IFERROR(INDEX('Production Readiness'!$S$5:$S$304,MATCH(A117,'Production Readiness'!$C$5:$C$304,0)),"Pending"))</f>
        <v/>
      </c>
      <c r="I117" s="20" t="str">
        <f>IF(A117="","",IFERROR(INDEX('Cutting Release'!$P$5:$P$304,MATCH(A117,'Cutting Release'!$C$5:$C$304,0)),"Pending"))</f>
        <v/>
      </c>
      <c r="J117" s="20" t="str">
        <f>IF(A117="","",SUMIF('Cutting Control'!$C$5:$C$304,A117,'Cutting Control'!$K$5:$K$304))</f>
        <v/>
      </c>
      <c r="K117" s="20" t="str">
        <f>IF(A117="","",IFERROR(INDEX('TOP Sample'!$W$5:$W$304,MATCH(A117,'TOP Sample'!$B$5:$B$304,0)),"Pending"))</f>
        <v/>
      </c>
      <c r="L117" s="20" t="str">
        <f>IF(A117="","",SUMIF('Sewing Production'!$E$5:$E$304,A117,'Sewing Production'!$L$5:$L$304))</f>
        <v/>
      </c>
      <c r="M117" s="20" t="str">
        <f>IF(A117="","",IFERROR(INDEX('Inline Quality'!$S$5:$S$304,MATCH(A117,'Inline Quality'!$E$5:$E$304,0)),"Pending"))</f>
        <v/>
      </c>
      <c r="N117" s="20" t="str">
        <f>IF(A117="","",IFERROR(INDEX('Final Inspection'!$U$5:$U$304,MATCH(A117,'Final Inspection'!$C$5:$C$304,0)),"Pending"))</f>
        <v/>
      </c>
      <c r="O117" s="20" t="str">
        <f>IF(A117="","",SUMIF('Packing Control'!$C$5:$C$304,A117,'Packing Control'!$K$5:$K$304))</f>
        <v/>
      </c>
      <c r="P117" s="20" t="str">
        <f>IF(A117="","",SUMIF('Finished Goods'!$C$5:$C$304,A117,'Finished Goods'!$J$5:$J$304))</f>
        <v/>
      </c>
      <c r="Q117" s="20" t="str">
        <f>IF(A117="","",SUMIF('Shipment Control'!$C$5:$C$304,A117,'Shipment Control'!$I$5:$I$304))</f>
        <v/>
      </c>
      <c r="R117" s="20" t="str">
        <f>IF(A117="","",SUMIF('Shipment Control'!$C$5:$C$304,A117,'Shipment Control'!$J$5:$J$304))</f>
        <v/>
      </c>
      <c r="S117" s="20" t="str">
        <f t="shared" si="3"/>
        <v/>
      </c>
      <c r="T117" s="21" t="str">
        <f>IF('FGPO Master'!A111="","",'FGPO Master'!I111)</f>
        <v/>
      </c>
      <c r="U117" s="7" t="str">
        <f>IF(A117="","",IF(COUNTIF('Open Issues'!$D$5:$D$304,A117)&gt;0,"Yellow","Green"))</f>
        <v/>
      </c>
      <c r="V117" s="7" t="str">
        <f>IF('FGPO Master'!A111="","",'FGPO Master'!U111)</f>
        <v/>
      </c>
    </row>
    <row r="118" spans="1:22">
      <c r="A118" s="7" t="str">
        <f>IF('FGPO Master'!A112="","",IF('FGPO Master'!D112="FGPO Pending","FGPO Pending",'FGPO Master'!B112))</f>
        <v/>
      </c>
      <c r="B118" s="7" t="str">
        <f>IF('FGPO Master'!A112="","",'FGPO Master'!F112)</f>
        <v/>
      </c>
      <c r="C118" s="7" t="str">
        <f>IF('FGPO Master'!A112="","",'FGPO Master'!G112)</f>
        <v/>
      </c>
      <c r="D118" s="20" t="str">
        <f>IF('FGPO Master'!A112="","",'FGPO Master'!H112)</f>
        <v/>
      </c>
      <c r="E118" s="20" t="str">
        <f>IF(A118="","",IF(SUMIF('Fabric Inventory'!$C$5:$C$304,A118,'Fabric Inventory'!$O$5:$O$304)&gt;0,"Shortage",IF(SUMIF('Fabric Inventory'!$C$5:$C$304,A118,'Fabric Inventory'!$H$5:$H$304)&gt;0,"Approved","Pending")))</f>
        <v/>
      </c>
      <c r="F118" s="20" t="str">
        <f>IF(A118="","",IF(SUMIF('Trims Control'!$B$5:$B$304,A118,'Trims Control'!$R$5:$R$304)&gt;0,"Shortage",IF(COUNTIFS('Trims Control'!$B$5:$B$304,A118,'Trims Control'!$V$5:$V$304,"Ready")&gt;0,"Ready","Pending")))</f>
        <v/>
      </c>
      <c r="G118" s="20" t="str">
        <f>IF(A118="","",IFERROR(INDEX('PP Sample'!$V$5:$V$304,MATCH(A118,'PP Sample'!$B$5:$B$304,0)),"Pending"))</f>
        <v/>
      </c>
      <c r="H118" s="20" t="str">
        <f>IF(A118="","",IFERROR(INDEX('Production Readiness'!$S$5:$S$304,MATCH(A118,'Production Readiness'!$C$5:$C$304,0)),"Pending"))</f>
        <v/>
      </c>
      <c r="I118" s="20" t="str">
        <f>IF(A118="","",IFERROR(INDEX('Cutting Release'!$P$5:$P$304,MATCH(A118,'Cutting Release'!$C$5:$C$304,0)),"Pending"))</f>
        <v/>
      </c>
      <c r="J118" s="20" t="str">
        <f>IF(A118="","",SUMIF('Cutting Control'!$C$5:$C$304,A118,'Cutting Control'!$K$5:$K$304))</f>
        <v/>
      </c>
      <c r="K118" s="20" t="str">
        <f>IF(A118="","",IFERROR(INDEX('TOP Sample'!$W$5:$W$304,MATCH(A118,'TOP Sample'!$B$5:$B$304,0)),"Pending"))</f>
        <v/>
      </c>
      <c r="L118" s="20" t="str">
        <f>IF(A118="","",SUMIF('Sewing Production'!$E$5:$E$304,A118,'Sewing Production'!$L$5:$L$304))</f>
        <v/>
      </c>
      <c r="M118" s="20" t="str">
        <f>IF(A118="","",IFERROR(INDEX('Inline Quality'!$S$5:$S$304,MATCH(A118,'Inline Quality'!$E$5:$E$304,0)),"Pending"))</f>
        <v/>
      </c>
      <c r="N118" s="20" t="str">
        <f>IF(A118="","",IFERROR(INDEX('Final Inspection'!$U$5:$U$304,MATCH(A118,'Final Inspection'!$C$5:$C$304,0)),"Pending"))</f>
        <v/>
      </c>
      <c r="O118" s="20" t="str">
        <f>IF(A118="","",SUMIF('Packing Control'!$C$5:$C$304,A118,'Packing Control'!$K$5:$K$304))</f>
        <v/>
      </c>
      <c r="P118" s="20" t="str">
        <f>IF(A118="","",SUMIF('Finished Goods'!$C$5:$C$304,A118,'Finished Goods'!$J$5:$J$304))</f>
        <v/>
      </c>
      <c r="Q118" s="20" t="str">
        <f>IF(A118="","",SUMIF('Shipment Control'!$C$5:$C$304,A118,'Shipment Control'!$I$5:$I$304))</f>
        <v/>
      </c>
      <c r="R118" s="20" t="str">
        <f>IF(A118="","",SUMIF('Shipment Control'!$C$5:$C$304,A118,'Shipment Control'!$J$5:$J$304))</f>
        <v/>
      </c>
      <c r="S118" s="20" t="str">
        <f t="shared" si="3"/>
        <v/>
      </c>
      <c r="T118" s="21" t="str">
        <f>IF('FGPO Master'!A112="","",'FGPO Master'!I112)</f>
        <v/>
      </c>
      <c r="U118" s="7" t="str">
        <f>IF(A118="","",IF(COUNTIF('Open Issues'!$D$5:$D$304,A118)&gt;0,"Yellow","Green"))</f>
        <v/>
      </c>
      <c r="V118" s="7" t="str">
        <f>IF('FGPO Master'!A112="","",'FGPO Master'!U112)</f>
        <v/>
      </c>
    </row>
    <row r="119" spans="1:22">
      <c r="A119" s="7" t="str">
        <f>IF('FGPO Master'!A113="","",IF('FGPO Master'!D113="FGPO Pending","FGPO Pending",'FGPO Master'!B113))</f>
        <v/>
      </c>
      <c r="B119" s="7" t="str">
        <f>IF('FGPO Master'!A113="","",'FGPO Master'!F113)</f>
        <v/>
      </c>
      <c r="C119" s="7" t="str">
        <f>IF('FGPO Master'!A113="","",'FGPO Master'!G113)</f>
        <v/>
      </c>
      <c r="D119" s="20" t="str">
        <f>IF('FGPO Master'!A113="","",'FGPO Master'!H113)</f>
        <v/>
      </c>
      <c r="E119" s="20" t="str">
        <f>IF(A119="","",IF(SUMIF('Fabric Inventory'!$C$5:$C$304,A119,'Fabric Inventory'!$O$5:$O$304)&gt;0,"Shortage",IF(SUMIF('Fabric Inventory'!$C$5:$C$304,A119,'Fabric Inventory'!$H$5:$H$304)&gt;0,"Approved","Pending")))</f>
        <v/>
      </c>
      <c r="F119" s="20" t="str">
        <f>IF(A119="","",IF(SUMIF('Trims Control'!$B$5:$B$304,A119,'Trims Control'!$R$5:$R$304)&gt;0,"Shortage",IF(COUNTIFS('Trims Control'!$B$5:$B$304,A119,'Trims Control'!$V$5:$V$304,"Ready")&gt;0,"Ready","Pending")))</f>
        <v/>
      </c>
      <c r="G119" s="20" t="str">
        <f>IF(A119="","",IFERROR(INDEX('PP Sample'!$V$5:$V$304,MATCH(A119,'PP Sample'!$B$5:$B$304,0)),"Pending"))</f>
        <v/>
      </c>
      <c r="H119" s="20" t="str">
        <f>IF(A119="","",IFERROR(INDEX('Production Readiness'!$S$5:$S$304,MATCH(A119,'Production Readiness'!$C$5:$C$304,0)),"Pending"))</f>
        <v/>
      </c>
      <c r="I119" s="20" t="str">
        <f>IF(A119="","",IFERROR(INDEX('Cutting Release'!$P$5:$P$304,MATCH(A119,'Cutting Release'!$C$5:$C$304,0)),"Pending"))</f>
        <v/>
      </c>
      <c r="J119" s="20" t="str">
        <f>IF(A119="","",SUMIF('Cutting Control'!$C$5:$C$304,A119,'Cutting Control'!$K$5:$K$304))</f>
        <v/>
      </c>
      <c r="K119" s="20" t="str">
        <f>IF(A119="","",IFERROR(INDEX('TOP Sample'!$W$5:$W$304,MATCH(A119,'TOP Sample'!$B$5:$B$304,0)),"Pending"))</f>
        <v/>
      </c>
      <c r="L119" s="20" t="str">
        <f>IF(A119="","",SUMIF('Sewing Production'!$E$5:$E$304,A119,'Sewing Production'!$L$5:$L$304))</f>
        <v/>
      </c>
      <c r="M119" s="20" t="str">
        <f>IF(A119="","",IFERROR(INDEX('Inline Quality'!$S$5:$S$304,MATCH(A119,'Inline Quality'!$E$5:$E$304,0)),"Pending"))</f>
        <v/>
      </c>
      <c r="N119" s="20" t="str">
        <f>IF(A119="","",IFERROR(INDEX('Final Inspection'!$U$5:$U$304,MATCH(A119,'Final Inspection'!$C$5:$C$304,0)),"Pending"))</f>
        <v/>
      </c>
      <c r="O119" s="20" t="str">
        <f>IF(A119="","",SUMIF('Packing Control'!$C$5:$C$304,A119,'Packing Control'!$K$5:$K$304))</f>
        <v/>
      </c>
      <c r="P119" s="20" t="str">
        <f>IF(A119="","",SUMIF('Finished Goods'!$C$5:$C$304,A119,'Finished Goods'!$J$5:$J$304))</f>
        <v/>
      </c>
      <c r="Q119" s="20" t="str">
        <f>IF(A119="","",SUMIF('Shipment Control'!$C$5:$C$304,A119,'Shipment Control'!$I$5:$I$304))</f>
        <v/>
      </c>
      <c r="R119" s="20" t="str">
        <f>IF(A119="","",SUMIF('Shipment Control'!$C$5:$C$304,A119,'Shipment Control'!$J$5:$J$304))</f>
        <v/>
      </c>
      <c r="S119" s="20" t="str">
        <f t="shared" si="3"/>
        <v/>
      </c>
      <c r="T119" s="21" t="str">
        <f>IF('FGPO Master'!A113="","",'FGPO Master'!I113)</f>
        <v/>
      </c>
      <c r="U119" s="7" t="str">
        <f>IF(A119="","",IF(COUNTIF('Open Issues'!$D$5:$D$304,A119)&gt;0,"Yellow","Green"))</f>
        <v/>
      </c>
      <c r="V119" s="7" t="str">
        <f>IF('FGPO Master'!A113="","",'FGPO Master'!U113)</f>
        <v/>
      </c>
    </row>
    <row r="120" spans="1:22">
      <c r="A120" s="7" t="str">
        <f>IF('FGPO Master'!A114="","",IF('FGPO Master'!D114="FGPO Pending","FGPO Pending",'FGPO Master'!B114))</f>
        <v/>
      </c>
      <c r="B120" s="7" t="str">
        <f>IF('FGPO Master'!A114="","",'FGPO Master'!F114)</f>
        <v/>
      </c>
      <c r="C120" s="7" t="str">
        <f>IF('FGPO Master'!A114="","",'FGPO Master'!G114)</f>
        <v/>
      </c>
      <c r="D120" s="20" t="str">
        <f>IF('FGPO Master'!A114="","",'FGPO Master'!H114)</f>
        <v/>
      </c>
      <c r="E120" s="20" t="str">
        <f>IF(A120="","",IF(SUMIF('Fabric Inventory'!$C$5:$C$304,A120,'Fabric Inventory'!$O$5:$O$304)&gt;0,"Shortage",IF(SUMIF('Fabric Inventory'!$C$5:$C$304,A120,'Fabric Inventory'!$H$5:$H$304)&gt;0,"Approved","Pending")))</f>
        <v/>
      </c>
      <c r="F120" s="20" t="str">
        <f>IF(A120="","",IF(SUMIF('Trims Control'!$B$5:$B$304,A120,'Trims Control'!$R$5:$R$304)&gt;0,"Shortage",IF(COUNTIFS('Trims Control'!$B$5:$B$304,A120,'Trims Control'!$V$5:$V$304,"Ready")&gt;0,"Ready","Pending")))</f>
        <v/>
      </c>
      <c r="G120" s="20" t="str">
        <f>IF(A120="","",IFERROR(INDEX('PP Sample'!$V$5:$V$304,MATCH(A120,'PP Sample'!$B$5:$B$304,0)),"Pending"))</f>
        <v/>
      </c>
      <c r="H120" s="20" t="str">
        <f>IF(A120="","",IFERROR(INDEX('Production Readiness'!$S$5:$S$304,MATCH(A120,'Production Readiness'!$C$5:$C$304,0)),"Pending"))</f>
        <v/>
      </c>
      <c r="I120" s="20" t="str">
        <f>IF(A120="","",IFERROR(INDEX('Cutting Release'!$P$5:$P$304,MATCH(A120,'Cutting Release'!$C$5:$C$304,0)),"Pending"))</f>
        <v/>
      </c>
      <c r="J120" s="20" t="str">
        <f>IF(A120="","",SUMIF('Cutting Control'!$C$5:$C$304,A120,'Cutting Control'!$K$5:$K$304))</f>
        <v/>
      </c>
      <c r="K120" s="20" t="str">
        <f>IF(A120="","",IFERROR(INDEX('TOP Sample'!$W$5:$W$304,MATCH(A120,'TOP Sample'!$B$5:$B$304,0)),"Pending"))</f>
        <v/>
      </c>
      <c r="L120" s="20" t="str">
        <f>IF(A120="","",SUMIF('Sewing Production'!$E$5:$E$304,A120,'Sewing Production'!$L$5:$L$304))</f>
        <v/>
      </c>
      <c r="M120" s="20" t="str">
        <f>IF(A120="","",IFERROR(INDEX('Inline Quality'!$S$5:$S$304,MATCH(A120,'Inline Quality'!$E$5:$E$304,0)),"Pending"))</f>
        <v/>
      </c>
      <c r="N120" s="20" t="str">
        <f>IF(A120="","",IFERROR(INDEX('Final Inspection'!$U$5:$U$304,MATCH(A120,'Final Inspection'!$C$5:$C$304,0)),"Pending"))</f>
        <v/>
      </c>
      <c r="O120" s="20" t="str">
        <f>IF(A120="","",SUMIF('Packing Control'!$C$5:$C$304,A120,'Packing Control'!$K$5:$K$304))</f>
        <v/>
      </c>
      <c r="P120" s="20" t="str">
        <f>IF(A120="","",SUMIF('Finished Goods'!$C$5:$C$304,A120,'Finished Goods'!$J$5:$J$304))</f>
        <v/>
      </c>
      <c r="Q120" s="20" t="str">
        <f>IF(A120="","",SUMIF('Shipment Control'!$C$5:$C$304,A120,'Shipment Control'!$I$5:$I$304))</f>
        <v/>
      </c>
      <c r="R120" s="20" t="str">
        <f>IF(A120="","",SUMIF('Shipment Control'!$C$5:$C$304,A120,'Shipment Control'!$J$5:$J$304))</f>
        <v/>
      </c>
      <c r="S120" s="20" t="str">
        <f t="shared" si="3"/>
        <v/>
      </c>
      <c r="T120" s="21" t="str">
        <f>IF('FGPO Master'!A114="","",'FGPO Master'!I114)</f>
        <v/>
      </c>
      <c r="U120" s="7" t="str">
        <f>IF(A120="","",IF(COUNTIF('Open Issues'!$D$5:$D$304,A120)&gt;0,"Yellow","Green"))</f>
        <v/>
      </c>
      <c r="V120" s="7" t="str">
        <f>IF('FGPO Master'!A114="","",'FGPO Master'!U114)</f>
        <v/>
      </c>
    </row>
    <row r="121" spans="1:22">
      <c r="A121" s="7" t="str">
        <f>IF('FGPO Master'!A115="","",IF('FGPO Master'!D115="FGPO Pending","FGPO Pending",'FGPO Master'!B115))</f>
        <v/>
      </c>
      <c r="B121" s="7" t="str">
        <f>IF('FGPO Master'!A115="","",'FGPO Master'!F115)</f>
        <v/>
      </c>
      <c r="C121" s="7" t="str">
        <f>IF('FGPO Master'!A115="","",'FGPO Master'!G115)</f>
        <v/>
      </c>
      <c r="D121" s="20" t="str">
        <f>IF('FGPO Master'!A115="","",'FGPO Master'!H115)</f>
        <v/>
      </c>
      <c r="E121" s="20" t="str">
        <f>IF(A121="","",IF(SUMIF('Fabric Inventory'!$C$5:$C$304,A121,'Fabric Inventory'!$O$5:$O$304)&gt;0,"Shortage",IF(SUMIF('Fabric Inventory'!$C$5:$C$304,A121,'Fabric Inventory'!$H$5:$H$304)&gt;0,"Approved","Pending")))</f>
        <v/>
      </c>
      <c r="F121" s="20" t="str">
        <f>IF(A121="","",IF(SUMIF('Trims Control'!$B$5:$B$304,A121,'Trims Control'!$R$5:$R$304)&gt;0,"Shortage",IF(COUNTIFS('Trims Control'!$B$5:$B$304,A121,'Trims Control'!$V$5:$V$304,"Ready")&gt;0,"Ready","Pending")))</f>
        <v/>
      </c>
      <c r="G121" s="20" t="str">
        <f>IF(A121="","",IFERROR(INDEX('PP Sample'!$V$5:$V$304,MATCH(A121,'PP Sample'!$B$5:$B$304,0)),"Pending"))</f>
        <v/>
      </c>
      <c r="H121" s="20" t="str">
        <f>IF(A121="","",IFERROR(INDEX('Production Readiness'!$S$5:$S$304,MATCH(A121,'Production Readiness'!$C$5:$C$304,0)),"Pending"))</f>
        <v/>
      </c>
      <c r="I121" s="20" t="str">
        <f>IF(A121="","",IFERROR(INDEX('Cutting Release'!$P$5:$P$304,MATCH(A121,'Cutting Release'!$C$5:$C$304,0)),"Pending"))</f>
        <v/>
      </c>
      <c r="J121" s="20" t="str">
        <f>IF(A121="","",SUMIF('Cutting Control'!$C$5:$C$304,A121,'Cutting Control'!$K$5:$K$304))</f>
        <v/>
      </c>
      <c r="K121" s="20" t="str">
        <f>IF(A121="","",IFERROR(INDEX('TOP Sample'!$W$5:$W$304,MATCH(A121,'TOP Sample'!$B$5:$B$304,0)),"Pending"))</f>
        <v/>
      </c>
      <c r="L121" s="20" t="str">
        <f>IF(A121="","",SUMIF('Sewing Production'!$E$5:$E$304,A121,'Sewing Production'!$L$5:$L$304))</f>
        <v/>
      </c>
      <c r="M121" s="20" t="str">
        <f>IF(A121="","",IFERROR(INDEX('Inline Quality'!$S$5:$S$304,MATCH(A121,'Inline Quality'!$E$5:$E$304,0)),"Pending"))</f>
        <v/>
      </c>
      <c r="N121" s="20" t="str">
        <f>IF(A121="","",IFERROR(INDEX('Final Inspection'!$U$5:$U$304,MATCH(A121,'Final Inspection'!$C$5:$C$304,0)),"Pending"))</f>
        <v/>
      </c>
      <c r="O121" s="20" t="str">
        <f>IF(A121="","",SUMIF('Packing Control'!$C$5:$C$304,A121,'Packing Control'!$K$5:$K$304))</f>
        <v/>
      </c>
      <c r="P121" s="20" t="str">
        <f>IF(A121="","",SUMIF('Finished Goods'!$C$5:$C$304,A121,'Finished Goods'!$J$5:$J$304))</f>
        <v/>
      </c>
      <c r="Q121" s="20" t="str">
        <f>IF(A121="","",SUMIF('Shipment Control'!$C$5:$C$304,A121,'Shipment Control'!$I$5:$I$304))</f>
        <v/>
      </c>
      <c r="R121" s="20" t="str">
        <f>IF(A121="","",SUMIF('Shipment Control'!$C$5:$C$304,A121,'Shipment Control'!$J$5:$J$304))</f>
        <v/>
      </c>
      <c r="S121" s="20" t="str">
        <f t="shared" si="3"/>
        <v/>
      </c>
      <c r="T121" s="21" t="str">
        <f>IF('FGPO Master'!A115="","",'FGPO Master'!I115)</f>
        <v/>
      </c>
      <c r="U121" s="7" t="str">
        <f>IF(A121="","",IF(COUNTIF('Open Issues'!$D$5:$D$304,A121)&gt;0,"Yellow","Green"))</f>
        <v/>
      </c>
      <c r="V121" s="7" t="str">
        <f>IF('FGPO Master'!A115="","",'FGPO Master'!U115)</f>
        <v/>
      </c>
    </row>
    <row r="122" spans="1:22">
      <c r="A122" s="7" t="str">
        <f>IF('FGPO Master'!A116="","",IF('FGPO Master'!D116="FGPO Pending","FGPO Pending",'FGPO Master'!B116))</f>
        <v/>
      </c>
      <c r="B122" s="7" t="str">
        <f>IF('FGPO Master'!A116="","",'FGPO Master'!F116)</f>
        <v/>
      </c>
      <c r="C122" s="7" t="str">
        <f>IF('FGPO Master'!A116="","",'FGPO Master'!G116)</f>
        <v/>
      </c>
      <c r="D122" s="20" t="str">
        <f>IF('FGPO Master'!A116="","",'FGPO Master'!H116)</f>
        <v/>
      </c>
      <c r="E122" s="20" t="str">
        <f>IF(A122="","",IF(SUMIF('Fabric Inventory'!$C$5:$C$304,A122,'Fabric Inventory'!$O$5:$O$304)&gt;0,"Shortage",IF(SUMIF('Fabric Inventory'!$C$5:$C$304,A122,'Fabric Inventory'!$H$5:$H$304)&gt;0,"Approved","Pending")))</f>
        <v/>
      </c>
      <c r="F122" s="20" t="str">
        <f>IF(A122="","",IF(SUMIF('Trims Control'!$B$5:$B$304,A122,'Trims Control'!$R$5:$R$304)&gt;0,"Shortage",IF(COUNTIFS('Trims Control'!$B$5:$B$304,A122,'Trims Control'!$V$5:$V$304,"Ready")&gt;0,"Ready","Pending")))</f>
        <v/>
      </c>
      <c r="G122" s="20" t="str">
        <f>IF(A122="","",IFERROR(INDEX('PP Sample'!$V$5:$V$304,MATCH(A122,'PP Sample'!$B$5:$B$304,0)),"Pending"))</f>
        <v/>
      </c>
      <c r="H122" s="20" t="str">
        <f>IF(A122="","",IFERROR(INDEX('Production Readiness'!$S$5:$S$304,MATCH(A122,'Production Readiness'!$C$5:$C$304,0)),"Pending"))</f>
        <v/>
      </c>
      <c r="I122" s="20" t="str">
        <f>IF(A122="","",IFERROR(INDEX('Cutting Release'!$P$5:$P$304,MATCH(A122,'Cutting Release'!$C$5:$C$304,0)),"Pending"))</f>
        <v/>
      </c>
      <c r="J122" s="20" t="str">
        <f>IF(A122="","",SUMIF('Cutting Control'!$C$5:$C$304,A122,'Cutting Control'!$K$5:$K$304))</f>
        <v/>
      </c>
      <c r="K122" s="20" t="str">
        <f>IF(A122="","",IFERROR(INDEX('TOP Sample'!$W$5:$W$304,MATCH(A122,'TOP Sample'!$B$5:$B$304,0)),"Pending"))</f>
        <v/>
      </c>
      <c r="L122" s="20" t="str">
        <f>IF(A122="","",SUMIF('Sewing Production'!$E$5:$E$304,A122,'Sewing Production'!$L$5:$L$304))</f>
        <v/>
      </c>
      <c r="M122" s="20" t="str">
        <f>IF(A122="","",IFERROR(INDEX('Inline Quality'!$S$5:$S$304,MATCH(A122,'Inline Quality'!$E$5:$E$304,0)),"Pending"))</f>
        <v/>
      </c>
      <c r="N122" s="20" t="str">
        <f>IF(A122="","",IFERROR(INDEX('Final Inspection'!$U$5:$U$304,MATCH(A122,'Final Inspection'!$C$5:$C$304,0)),"Pending"))</f>
        <v/>
      </c>
      <c r="O122" s="20" t="str">
        <f>IF(A122="","",SUMIF('Packing Control'!$C$5:$C$304,A122,'Packing Control'!$K$5:$K$304))</f>
        <v/>
      </c>
      <c r="P122" s="20" t="str">
        <f>IF(A122="","",SUMIF('Finished Goods'!$C$5:$C$304,A122,'Finished Goods'!$J$5:$J$304))</f>
        <v/>
      </c>
      <c r="Q122" s="20" t="str">
        <f>IF(A122="","",SUMIF('Shipment Control'!$C$5:$C$304,A122,'Shipment Control'!$I$5:$I$304))</f>
        <v/>
      </c>
      <c r="R122" s="20" t="str">
        <f>IF(A122="","",SUMIF('Shipment Control'!$C$5:$C$304,A122,'Shipment Control'!$J$5:$J$304))</f>
        <v/>
      </c>
      <c r="S122" s="20" t="str">
        <f t="shared" si="3"/>
        <v/>
      </c>
      <c r="T122" s="21" t="str">
        <f>IF('FGPO Master'!A116="","",'FGPO Master'!I116)</f>
        <v/>
      </c>
      <c r="U122" s="7" t="str">
        <f>IF(A122="","",IF(COUNTIF('Open Issues'!$D$5:$D$304,A122)&gt;0,"Yellow","Green"))</f>
        <v/>
      </c>
      <c r="V122" s="7" t="str">
        <f>IF('FGPO Master'!A116="","",'FGPO Master'!U116)</f>
        <v/>
      </c>
    </row>
    <row r="123" spans="1:22">
      <c r="A123" s="7" t="str">
        <f>IF('FGPO Master'!A117="","",IF('FGPO Master'!D117="FGPO Pending","FGPO Pending",'FGPO Master'!B117))</f>
        <v/>
      </c>
      <c r="B123" s="7" t="str">
        <f>IF('FGPO Master'!A117="","",'FGPO Master'!F117)</f>
        <v/>
      </c>
      <c r="C123" s="7" t="str">
        <f>IF('FGPO Master'!A117="","",'FGPO Master'!G117)</f>
        <v/>
      </c>
      <c r="D123" s="20" t="str">
        <f>IF('FGPO Master'!A117="","",'FGPO Master'!H117)</f>
        <v/>
      </c>
      <c r="E123" s="20" t="str">
        <f>IF(A123="","",IF(SUMIF('Fabric Inventory'!$C$5:$C$304,A123,'Fabric Inventory'!$O$5:$O$304)&gt;0,"Shortage",IF(SUMIF('Fabric Inventory'!$C$5:$C$304,A123,'Fabric Inventory'!$H$5:$H$304)&gt;0,"Approved","Pending")))</f>
        <v/>
      </c>
      <c r="F123" s="20" t="str">
        <f>IF(A123="","",IF(SUMIF('Trims Control'!$B$5:$B$304,A123,'Trims Control'!$R$5:$R$304)&gt;0,"Shortage",IF(COUNTIFS('Trims Control'!$B$5:$B$304,A123,'Trims Control'!$V$5:$V$304,"Ready")&gt;0,"Ready","Pending")))</f>
        <v/>
      </c>
      <c r="G123" s="20" t="str">
        <f>IF(A123="","",IFERROR(INDEX('PP Sample'!$V$5:$V$304,MATCH(A123,'PP Sample'!$B$5:$B$304,0)),"Pending"))</f>
        <v/>
      </c>
      <c r="H123" s="20" t="str">
        <f>IF(A123="","",IFERROR(INDEX('Production Readiness'!$S$5:$S$304,MATCH(A123,'Production Readiness'!$C$5:$C$304,0)),"Pending"))</f>
        <v/>
      </c>
      <c r="I123" s="20" t="str">
        <f>IF(A123="","",IFERROR(INDEX('Cutting Release'!$P$5:$P$304,MATCH(A123,'Cutting Release'!$C$5:$C$304,0)),"Pending"))</f>
        <v/>
      </c>
      <c r="J123" s="20" t="str">
        <f>IF(A123="","",SUMIF('Cutting Control'!$C$5:$C$304,A123,'Cutting Control'!$K$5:$K$304))</f>
        <v/>
      </c>
      <c r="K123" s="20" t="str">
        <f>IF(A123="","",IFERROR(INDEX('TOP Sample'!$W$5:$W$304,MATCH(A123,'TOP Sample'!$B$5:$B$304,0)),"Pending"))</f>
        <v/>
      </c>
      <c r="L123" s="20" t="str">
        <f>IF(A123="","",SUMIF('Sewing Production'!$E$5:$E$304,A123,'Sewing Production'!$L$5:$L$304))</f>
        <v/>
      </c>
      <c r="M123" s="20" t="str">
        <f>IF(A123="","",IFERROR(INDEX('Inline Quality'!$S$5:$S$304,MATCH(A123,'Inline Quality'!$E$5:$E$304,0)),"Pending"))</f>
        <v/>
      </c>
      <c r="N123" s="20" t="str">
        <f>IF(A123="","",IFERROR(INDEX('Final Inspection'!$U$5:$U$304,MATCH(A123,'Final Inspection'!$C$5:$C$304,0)),"Pending"))</f>
        <v/>
      </c>
      <c r="O123" s="20" t="str">
        <f>IF(A123="","",SUMIF('Packing Control'!$C$5:$C$304,A123,'Packing Control'!$K$5:$K$304))</f>
        <v/>
      </c>
      <c r="P123" s="20" t="str">
        <f>IF(A123="","",SUMIF('Finished Goods'!$C$5:$C$304,A123,'Finished Goods'!$J$5:$J$304))</f>
        <v/>
      </c>
      <c r="Q123" s="20" t="str">
        <f>IF(A123="","",SUMIF('Shipment Control'!$C$5:$C$304,A123,'Shipment Control'!$I$5:$I$304))</f>
        <v/>
      </c>
      <c r="R123" s="20" t="str">
        <f>IF(A123="","",SUMIF('Shipment Control'!$C$5:$C$304,A123,'Shipment Control'!$J$5:$J$304))</f>
        <v/>
      </c>
      <c r="S123" s="20" t="str">
        <f t="shared" si="3"/>
        <v/>
      </c>
      <c r="T123" s="21" t="str">
        <f>IF('FGPO Master'!A117="","",'FGPO Master'!I117)</f>
        <v/>
      </c>
      <c r="U123" s="7" t="str">
        <f>IF(A123="","",IF(COUNTIF('Open Issues'!$D$5:$D$304,A123)&gt;0,"Yellow","Green"))</f>
        <v/>
      </c>
      <c r="V123" s="7" t="str">
        <f>IF('FGPO Master'!A117="","",'FGPO Master'!U117)</f>
        <v/>
      </c>
    </row>
    <row r="124" spans="1:22">
      <c r="A124" s="7" t="str">
        <f>IF('FGPO Master'!A118="","",IF('FGPO Master'!D118="FGPO Pending","FGPO Pending",'FGPO Master'!B118))</f>
        <v/>
      </c>
      <c r="B124" s="7" t="str">
        <f>IF('FGPO Master'!A118="","",'FGPO Master'!F118)</f>
        <v/>
      </c>
      <c r="C124" s="7" t="str">
        <f>IF('FGPO Master'!A118="","",'FGPO Master'!G118)</f>
        <v/>
      </c>
      <c r="D124" s="20" t="str">
        <f>IF('FGPO Master'!A118="","",'FGPO Master'!H118)</f>
        <v/>
      </c>
      <c r="E124" s="20" t="str">
        <f>IF(A124="","",IF(SUMIF('Fabric Inventory'!$C$5:$C$304,A124,'Fabric Inventory'!$O$5:$O$304)&gt;0,"Shortage",IF(SUMIF('Fabric Inventory'!$C$5:$C$304,A124,'Fabric Inventory'!$H$5:$H$304)&gt;0,"Approved","Pending")))</f>
        <v/>
      </c>
      <c r="F124" s="20" t="str">
        <f>IF(A124="","",IF(SUMIF('Trims Control'!$B$5:$B$304,A124,'Trims Control'!$R$5:$R$304)&gt;0,"Shortage",IF(COUNTIFS('Trims Control'!$B$5:$B$304,A124,'Trims Control'!$V$5:$V$304,"Ready")&gt;0,"Ready","Pending")))</f>
        <v/>
      </c>
      <c r="G124" s="20" t="str">
        <f>IF(A124="","",IFERROR(INDEX('PP Sample'!$V$5:$V$304,MATCH(A124,'PP Sample'!$B$5:$B$304,0)),"Pending"))</f>
        <v/>
      </c>
      <c r="H124" s="20" t="str">
        <f>IF(A124="","",IFERROR(INDEX('Production Readiness'!$S$5:$S$304,MATCH(A124,'Production Readiness'!$C$5:$C$304,0)),"Pending"))</f>
        <v/>
      </c>
      <c r="I124" s="20" t="str">
        <f>IF(A124="","",IFERROR(INDEX('Cutting Release'!$P$5:$P$304,MATCH(A124,'Cutting Release'!$C$5:$C$304,0)),"Pending"))</f>
        <v/>
      </c>
      <c r="J124" s="20" t="str">
        <f>IF(A124="","",SUMIF('Cutting Control'!$C$5:$C$304,A124,'Cutting Control'!$K$5:$K$304))</f>
        <v/>
      </c>
      <c r="K124" s="20" t="str">
        <f>IF(A124="","",IFERROR(INDEX('TOP Sample'!$W$5:$W$304,MATCH(A124,'TOP Sample'!$B$5:$B$304,0)),"Pending"))</f>
        <v/>
      </c>
      <c r="L124" s="20" t="str">
        <f>IF(A124="","",SUMIF('Sewing Production'!$E$5:$E$304,A124,'Sewing Production'!$L$5:$L$304))</f>
        <v/>
      </c>
      <c r="M124" s="20" t="str">
        <f>IF(A124="","",IFERROR(INDEX('Inline Quality'!$S$5:$S$304,MATCH(A124,'Inline Quality'!$E$5:$E$304,0)),"Pending"))</f>
        <v/>
      </c>
      <c r="N124" s="20" t="str">
        <f>IF(A124="","",IFERROR(INDEX('Final Inspection'!$U$5:$U$304,MATCH(A124,'Final Inspection'!$C$5:$C$304,0)),"Pending"))</f>
        <v/>
      </c>
      <c r="O124" s="20" t="str">
        <f>IF(A124="","",SUMIF('Packing Control'!$C$5:$C$304,A124,'Packing Control'!$K$5:$K$304))</f>
        <v/>
      </c>
      <c r="P124" s="20" t="str">
        <f>IF(A124="","",SUMIF('Finished Goods'!$C$5:$C$304,A124,'Finished Goods'!$J$5:$J$304))</f>
        <v/>
      </c>
      <c r="Q124" s="20" t="str">
        <f>IF(A124="","",SUMIF('Shipment Control'!$C$5:$C$304,A124,'Shipment Control'!$I$5:$I$304))</f>
        <v/>
      </c>
      <c r="R124" s="20" t="str">
        <f>IF(A124="","",SUMIF('Shipment Control'!$C$5:$C$304,A124,'Shipment Control'!$J$5:$J$304))</f>
        <v/>
      </c>
      <c r="S124" s="20" t="str">
        <f t="shared" si="3"/>
        <v/>
      </c>
      <c r="T124" s="21" t="str">
        <f>IF('FGPO Master'!A118="","",'FGPO Master'!I118)</f>
        <v/>
      </c>
      <c r="U124" s="7" t="str">
        <f>IF(A124="","",IF(COUNTIF('Open Issues'!$D$5:$D$304,A124)&gt;0,"Yellow","Green"))</f>
        <v/>
      </c>
      <c r="V124" s="7" t="str">
        <f>IF('FGPO Master'!A118="","",'FGPO Master'!U118)</f>
        <v/>
      </c>
    </row>
    <row r="125" spans="1:22">
      <c r="A125" s="7" t="str">
        <f>IF('FGPO Master'!A119="","",IF('FGPO Master'!D119="FGPO Pending","FGPO Pending",'FGPO Master'!B119))</f>
        <v/>
      </c>
      <c r="B125" s="7" t="str">
        <f>IF('FGPO Master'!A119="","",'FGPO Master'!F119)</f>
        <v/>
      </c>
      <c r="C125" s="7" t="str">
        <f>IF('FGPO Master'!A119="","",'FGPO Master'!G119)</f>
        <v/>
      </c>
      <c r="D125" s="20" t="str">
        <f>IF('FGPO Master'!A119="","",'FGPO Master'!H119)</f>
        <v/>
      </c>
      <c r="E125" s="20" t="str">
        <f>IF(A125="","",IF(SUMIF('Fabric Inventory'!$C$5:$C$304,A125,'Fabric Inventory'!$O$5:$O$304)&gt;0,"Shortage",IF(SUMIF('Fabric Inventory'!$C$5:$C$304,A125,'Fabric Inventory'!$H$5:$H$304)&gt;0,"Approved","Pending")))</f>
        <v/>
      </c>
      <c r="F125" s="20" t="str">
        <f>IF(A125="","",IF(SUMIF('Trims Control'!$B$5:$B$304,A125,'Trims Control'!$R$5:$R$304)&gt;0,"Shortage",IF(COUNTIFS('Trims Control'!$B$5:$B$304,A125,'Trims Control'!$V$5:$V$304,"Ready")&gt;0,"Ready","Pending")))</f>
        <v/>
      </c>
      <c r="G125" s="20" t="str">
        <f>IF(A125="","",IFERROR(INDEX('PP Sample'!$V$5:$V$304,MATCH(A125,'PP Sample'!$B$5:$B$304,0)),"Pending"))</f>
        <v/>
      </c>
      <c r="H125" s="20" t="str">
        <f>IF(A125="","",IFERROR(INDEX('Production Readiness'!$S$5:$S$304,MATCH(A125,'Production Readiness'!$C$5:$C$304,0)),"Pending"))</f>
        <v/>
      </c>
      <c r="I125" s="20" t="str">
        <f>IF(A125="","",IFERROR(INDEX('Cutting Release'!$P$5:$P$304,MATCH(A125,'Cutting Release'!$C$5:$C$304,0)),"Pending"))</f>
        <v/>
      </c>
      <c r="J125" s="20" t="str">
        <f>IF(A125="","",SUMIF('Cutting Control'!$C$5:$C$304,A125,'Cutting Control'!$K$5:$K$304))</f>
        <v/>
      </c>
      <c r="K125" s="20" t="str">
        <f>IF(A125="","",IFERROR(INDEX('TOP Sample'!$W$5:$W$304,MATCH(A125,'TOP Sample'!$B$5:$B$304,0)),"Pending"))</f>
        <v/>
      </c>
      <c r="L125" s="20" t="str">
        <f>IF(A125="","",SUMIF('Sewing Production'!$E$5:$E$304,A125,'Sewing Production'!$L$5:$L$304))</f>
        <v/>
      </c>
      <c r="M125" s="20" t="str">
        <f>IF(A125="","",IFERROR(INDEX('Inline Quality'!$S$5:$S$304,MATCH(A125,'Inline Quality'!$E$5:$E$304,0)),"Pending"))</f>
        <v/>
      </c>
      <c r="N125" s="20" t="str">
        <f>IF(A125="","",IFERROR(INDEX('Final Inspection'!$U$5:$U$304,MATCH(A125,'Final Inspection'!$C$5:$C$304,0)),"Pending"))</f>
        <v/>
      </c>
      <c r="O125" s="20" t="str">
        <f>IF(A125="","",SUMIF('Packing Control'!$C$5:$C$304,A125,'Packing Control'!$K$5:$K$304))</f>
        <v/>
      </c>
      <c r="P125" s="20" t="str">
        <f>IF(A125="","",SUMIF('Finished Goods'!$C$5:$C$304,A125,'Finished Goods'!$J$5:$J$304))</f>
        <v/>
      </c>
      <c r="Q125" s="20" t="str">
        <f>IF(A125="","",SUMIF('Shipment Control'!$C$5:$C$304,A125,'Shipment Control'!$I$5:$I$304))</f>
        <v/>
      </c>
      <c r="R125" s="20" t="str">
        <f>IF(A125="","",SUMIF('Shipment Control'!$C$5:$C$304,A125,'Shipment Control'!$J$5:$J$304))</f>
        <v/>
      </c>
      <c r="S125" s="20" t="str">
        <f t="shared" si="3"/>
        <v/>
      </c>
      <c r="T125" s="21" t="str">
        <f>IF('FGPO Master'!A119="","",'FGPO Master'!I119)</f>
        <v/>
      </c>
      <c r="U125" s="7" t="str">
        <f>IF(A125="","",IF(COUNTIF('Open Issues'!$D$5:$D$304,A125)&gt;0,"Yellow","Green"))</f>
        <v/>
      </c>
      <c r="V125" s="7" t="str">
        <f>IF('FGPO Master'!A119="","",'FGPO Master'!U119)</f>
        <v/>
      </c>
    </row>
    <row r="126" spans="1:22">
      <c r="A126" s="7" t="str">
        <f>IF('FGPO Master'!A120="","",IF('FGPO Master'!D120="FGPO Pending","FGPO Pending",'FGPO Master'!B120))</f>
        <v/>
      </c>
      <c r="B126" s="7" t="str">
        <f>IF('FGPO Master'!A120="","",'FGPO Master'!F120)</f>
        <v/>
      </c>
      <c r="C126" s="7" t="str">
        <f>IF('FGPO Master'!A120="","",'FGPO Master'!G120)</f>
        <v/>
      </c>
      <c r="D126" s="20" t="str">
        <f>IF('FGPO Master'!A120="","",'FGPO Master'!H120)</f>
        <v/>
      </c>
      <c r="E126" s="20" t="str">
        <f>IF(A126="","",IF(SUMIF('Fabric Inventory'!$C$5:$C$304,A126,'Fabric Inventory'!$O$5:$O$304)&gt;0,"Shortage",IF(SUMIF('Fabric Inventory'!$C$5:$C$304,A126,'Fabric Inventory'!$H$5:$H$304)&gt;0,"Approved","Pending")))</f>
        <v/>
      </c>
      <c r="F126" s="20" t="str">
        <f>IF(A126="","",IF(SUMIF('Trims Control'!$B$5:$B$304,A126,'Trims Control'!$R$5:$R$304)&gt;0,"Shortage",IF(COUNTIFS('Trims Control'!$B$5:$B$304,A126,'Trims Control'!$V$5:$V$304,"Ready")&gt;0,"Ready","Pending")))</f>
        <v/>
      </c>
      <c r="G126" s="20" t="str">
        <f>IF(A126="","",IFERROR(INDEX('PP Sample'!$V$5:$V$304,MATCH(A126,'PP Sample'!$B$5:$B$304,0)),"Pending"))</f>
        <v/>
      </c>
      <c r="H126" s="20" t="str">
        <f>IF(A126="","",IFERROR(INDEX('Production Readiness'!$S$5:$S$304,MATCH(A126,'Production Readiness'!$C$5:$C$304,0)),"Pending"))</f>
        <v/>
      </c>
      <c r="I126" s="20" t="str">
        <f>IF(A126="","",IFERROR(INDEX('Cutting Release'!$P$5:$P$304,MATCH(A126,'Cutting Release'!$C$5:$C$304,0)),"Pending"))</f>
        <v/>
      </c>
      <c r="J126" s="20" t="str">
        <f>IF(A126="","",SUMIF('Cutting Control'!$C$5:$C$304,A126,'Cutting Control'!$K$5:$K$304))</f>
        <v/>
      </c>
      <c r="K126" s="20" t="str">
        <f>IF(A126="","",IFERROR(INDEX('TOP Sample'!$W$5:$W$304,MATCH(A126,'TOP Sample'!$B$5:$B$304,0)),"Pending"))</f>
        <v/>
      </c>
      <c r="L126" s="20" t="str">
        <f>IF(A126="","",SUMIF('Sewing Production'!$E$5:$E$304,A126,'Sewing Production'!$L$5:$L$304))</f>
        <v/>
      </c>
      <c r="M126" s="20" t="str">
        <f>IF(A126="","",IFERROR(INDEX('Inline Quality'!$S$5:$S$304,MATCH(A126,'Inline Quality'!$E$5:$E$304,0)),"Pending"))</f>
        <v/>
      </c>
      <c r="N126" s="20" t="str">
        <f>IF(A126="","",IFERROR(INDEX('Final Inspection'!$U$5:$U$304,MATCH(A126,'Final Inspection'!$C$5:$C$304,0)),"Pending"))</f>
        <v/>
      </c>
      <c r="O126" s="20" t="str">
        <f>IF(A126="","",SUMIF('Packing Control'!$C$5:$C$304,A126,'Packing Control'!$K$5:$K$304))</f>
        <v/>
      </c>
      <c r="P126" s="20" t="str">
        <f>IF(A126="","",SUMIF('Finished Goods'!$C$5:$C$304,A126,'Finished Goods'!$J$5:$J$304))</f>
        <v/>
      </c>
      <c r="Q126" s="20" t="str">
        <f>IF(A126="","",SUMIF('Shipment Control'!$C$5:$C$304,A126,'Shipment Control'!$I$5:$I$304))</f>
        <v/>
      </c>
      <c r="R126" s="20" t="str">
        <f>IF(A126="","",SUMIF('Shipment Control'!$C$5:$C$304,A126,'Shipment Control'!$J$5:$J$304))</f>
        <v/>
      </c>
      <c r="S126" s="20" t="str">
        <f t="shared" si="3"/>
        <v/>
      </c>
      <c r="T126" s="21" t="str">
        <f>IF('FGPO Master'!A120="","",'FGPO Master'!I120)</f>
        <v/>
      </c>
      <c r="U126" s="7" t="str">
        <f>IF(A126="","",IF(COUNTIF('Open Issues'!$D$5:$D$304,A126)&gt;0,"Yellow","Green"))</f>
        <v/>
      </c>
      <c r="V126" s="7" t="str">
        <f>IF('FGPO Master'!A120="","",'FGPO Master'!U120)</f>
        <v/>
      </c>
    </row>
    <row r="127" spans="1:22">
      <c r="A127" s="7" t="str">
        <f>IF('FGPO Master'!A121="","",IF('FGPO Master'!D121="FGPO Pending","FGPO Pending",'FGPO Master'!B121))</f>
        <v/>
      </c>
      <c r="B127" s="7" t="str">
        <f>IF('FGPO Master'!A121="","",'FGPO Master'!F121)</f>
        <v/>
      </c>
      <c r="C127" s="7" t="str">
        <f>IF('FGPO Master'!A121="","",'FGPO Master'!G121)</f>
        <v/>
      </c>
      <c r="D127" s="20" t="str">
        <f>IF('FGPO Master'!A121="","",'FGPO Master'!H121)</f>
        <v/>
      </c>
      <c r="E127" s="20" t="str">
        <f>IF(A127="","",IF(SUMIF('Fabric Inventory'!$C$5:$C$304,A127,'Fabric Inventory'!$O$5:$O$304)&gt;0,"Shortage",IF(SUMIF('Fabric Inventory'!$C$5:$C$304,A127,'Fabric Inventory'!$H$5:$H$304)&gt;0,"Approved","Pending")))</f>
        <v/>
      </c>
      <c r="F127" s="20" t="str">
        <f>IF(A127="","",IF(SUMIF('Trims Control'!$B$5:$B$304,A127,'Trims Control'!$R$5:$R$304)&gt;0,"Shortage",IF(COUNTIFS('Trims Control'!$B$5:$B$304,A127,'Trims Control'!$V$5:$V$304,"Ready")&gt;0,"Ready","Pending")))</f>
        <v/>
      </c>
      <c r="G127" s="20" t="str">
        <f>IF(A127="","",IFERROR(INDEX('PP Sample'!$V$5:$V$304,MATCH(A127,'PP Sample'!$B$5:$B$304,0)),"Pending"))</f>
        <v/>
      </c>
      <c r="H127" s="20" t="str">
        <f>IF(A127="","",IFERROR(INDEX('Production Readiness'!$S$5:$S$304,MATCH(A127,'Production Readiness'!$C$5:$C$304,0)),"Pending"))</f>
        <v/>
      </c>
      <c r="I127" s="20" t="str">
        <f>IF(A127="","",IFERROR(INDEX('Cutting Release'!$P$5:$P$304,MATCH(A127,'Cutting Release'!$C$5:$C$304,0)),"Pending"))</f>
        <v/>
      </c>
      <c r="J127" s="20" t="str">
        <f>IF(A127="","",SUMIF('Cutting Control'!$C$5:$C$304,A127,'Cutting Control'!$K$5:$K$304))</f>
        <v/>
      </c>
      <c r="K127" s="20" t="str">
        <f>IF(A127="","",IFERROR(INDEX('TOP Sample'!$W$5:$W$304,MATCH(A127,'TOP Sample'!$B$5:$B$304,0)),"Pending"))</f>
        <v/>
      </c>
      <c r="L127" s="20" t="str">
        <f>IF(A127="","",SUMIF('Sewing Production'!$E$5:$E$304,A127,'Sewing Production'!$L$5:$L$304))</f>
        <v/>
      </c>
      <c r="M127" s="20" t="str">
        <f>IF(A127="","",IFERROR(INDEX('Inline Quality'!$S$5:$S$304,MATCH(A127,'Inline Quality'!$E$5:$E$304,0)),"Pending"))</f>
        <v/>
      </c>
      <c r="N127" s="20" t="str">
        <f>IF(A127="","",IFERROR(INDEX('Final Inspection'!$U$5:$U$304,MATCH(A127,'Final Inspection'!$C$5:$C$304,0)),"Pending"))</f>
        <v/>
      </c>
      <c r="O127" s="20" t="str">
        <f>IF(A127="","",SUMIF('Packing Control'!$C$5:$C$304,A127,'Packing Control'!$K$5:$K$304))</f>
        <v/>
      </c>
      <c r="P127" s="20" t="str">
        <f>IF(A127="","",SUMIF('Finished Goods'!$C$5:$C$304,A127,'Finished Goods'!$J$5:$J$304))</f>
        <v/>
      </c>
      <c r="Q127" s="20" t="str">
        <f>IF(A127="","",SUMIF('Shipment Control'!$C$5:$C$304,A127,'Shipment Control'!$I$5:$I$304))</f>
        <v/>
      </c>
      <c r="R127" s="20" t="str">
        <f>IF(A127="","",SUMIF('Shipment Control'!$C$5:$C$304,A127,'Shipment Control'!$J$5:$J$304))</f>
        <v/>
      </c>
      <c r="S127" s="20" t="str">
        <f t="shared" si="3"/>
        <v/>
      </c>
      <c r="T127" s="21" t="str">
        <f>IF('FGPO Master'!A121="","",'FGPO Master'!I121)</f>
        <v/>
      </c>
      <c r="U127" s="7" t="str">
        <f>IF(A127="","",IF(COUNTIF('Open Issues'!$D$5:$D$304,A127)&gt;0,"Yellow","Green"))</f>
        <v/>
      </c>
      <c r="V127" s="7" t="str">
        <f>IF('FGPO Master'!A121="","",'FGPO Master'!U121)</f>
        <v/>
      </c>
    </row>
    <row r="128" spans="1:22">
      <c r="A128" s="7" t="str">
        <f>IF('FGPO Master'!A122="","",IF('FGPO Master'!D122="FGPO Pending","FGPO Pending",'FGPO Master'!B122))</f>
        <v/>
      </c>
      <c r="B128" s="7" t="str">
        <f>IF('FGPO Master'!A122="","",'FGPO Master'!F122)</f>
        <v/>
      </c>
      <c r="C128" s="7" t="str">
        <f>IF('FGPO Master'!A122="","",'FGPO Master'!G122)</f>
        <v/>
      </c>
      <c r="D128" s="20" t="str">
        <f>IF('FGPO Master'!A122="","",'FGPO Master'!H122)</f>
        <v/>
      </c>
      <c r="E128" s="20" t="str">
        <f>IF(A128="","",IF(SUMIF('Fabric Inventory'!$C$5:$C$304,A128,'Fabric Inventory'!$O$5:$O$304)&gt;0,"Shortage",IF(SUMIF('Fabric Inventory'!$C$5:$C$304,A128,'Fabric Inventory'!$H$5:$H$304)&gt;0,"Approved","Pending")))</f>
        <v/>
      </c>
      <c r="F128" s="20" t="str">
        <f>IF(A128="","",IF(SUMIF('Trims Control'!$B$5:$B$304,A128,'Trims Control'!$R$5:$R$304)&gt;0,"Shortage",IF(COUNTIFS('Trims Control'!$B$5:$B$304,A128,'Trims Control'!$V$5:$V$304,"Ready")&gt;0,"Ready","Pending")))</f>
        <v/>
      </c>
      <c r="G128" s="20" t="str">
        <f>IF(A128="","",IFERROR(INDEX('PP Sample'!$V$5:$V$304,MATCH(A128,'PP Sample'!$B$5:$B$304,0)),"Pending"))</f>
        <v/>
      </c>
      <c r="H128" s="20" t="str">
        <f>IF(A128="","",IFERROR(INDEX('Production Readiness'!$S$5:$S$304,MATCH(A128,'Production Readiness'!$C$5:$C$304,0)),"Pending"))</f>
        <v/>
      </c>
      <c r="I128" s="20" t="str">
        <f>IF(A128="","",IFERROR(INDEX('Cutting Release'!$P$5:$P$304,MATCH(A128,'Cutting Release'!$C$5:$C$304,0)),"Pending"))</f>
        <v/>
      </c>
      <c r="J128" s="20" t="str">
        <f>IF(A128="","",SUMIF('Cutting Control'!$C$5:$C$304,A128,'Cutting Control'!$K$5:$K$304))</f>
        <v/>
      </c>
      <c r="K128" s="20" t="str">
        <f>IF(A128="","",IFERROR(INDEX('TOP Sample'!$W$5:$W$304,MATCH(A128,'TOP Sample'!$B$5:$B$304,0)),"Pending"))</f>
        <v/>
      </c>
      <c r="L128" s="20" t="str">
        <f>IF(A128="","",SUMIF('Sewing Production'!$E$5:$E$304,A128,'Sewing Production'!$L$5:$L$304))</f>
        <v/>
      </c>
      <c r="M128" s="20" t="str">
        <f>IF(A128="","",IFERROR(INDEX('Inline Quality'!$S$5:$S$304,MATCH(A128,'Inline Quality'!$E$5:$E$304,0)),"Pending"))</f>
        <v/>
      </c>
      <c r="N128" s="20" t="str">
        <f>IF(A128="","",IFERROR(INDEX('Final Inspection'!$U$5:$U$304,MATCH(A128,'Final Inspection'!$C$5:$C$304,0)),"Pending"))</f>
        <v/>
      </c>
      <c r="O128" s="20" t="str">
        <f>IF(A128="","",SUMIF('Packing Control'!$C$5:$C$304,A128,'Packing Control'!$K$5:$K$304))</f>
        <v/>
      </c>
      <c r="P128" s="20" t="str">
        <f>IF(A128="","",SUMIF('Finished Goods'!$C$5:$C$304,A128,'Finished Goods'!$J$5:$J$304))</f>
        <v/>
      </c>
      <c r="Q128" s="20" t="str">
        <f>IF(A128="","",SUMIF('Shipment Control'!$C$5:$C$304,A128,'Shipment Control'!$I$5:$I$304))</f>
        <v/>
      </c>
      <c r="R128" s="20" t="str">
        <f>IF(A128="","",SUMIF('Shipment Control'!$C$5:$C$304,A128,'Shipment Control'!$J$5:$J$304))</f>
        <v/>
      </c>
      <c r="S128" s="20" t="str">
        <f t="shared" si="3"/>
        <v/>
      </c>
      <c r="T128" s="21" t="str">
        <f>IF('FGPO Master'!A122="","",'FGPO Master'!I122)</f>
        <v/>
      </c>
      <c r="U128" s="7" t="str">
        <f>IF(A128="","",IF(COUNTIF('Open Issues'!$D$5:$D$304,A128)&gt;0,"Yellow","Green"))</f>
        <v/>
      </c>
      <c r="V128" s="7" t="str">
        <f>IF('FGPO Master'!A122="","",'FGPO Master'!U122)</f>
        <v/>
      </c>
    </row>
    <row r="129" spans="1:22">
      <c r="A129" s="7" t="str">
        <f>IF('FGPO Master'!A123="","",IF('FGPO Master'!D123="FGPO Pending","FGPO Pending",'FGPO Master'!B123))</f>
        <v/>
      </c>
      <c r="B129" s="7" t="str">
        <f>IF('FGPO Master'!A123="","",'FGPO Master'!F123)</f>
        <v/>
      </c>
      <c r="C129" s="7" t="str">
        <f>IF('FGPO Master'!A123="","",'FGPO Master'!G123)</f>
        <v/>
      </c>
      <c r="D129" s="20" t="str">
        <f>IF('FGPO Master'!A123="","",'FGPO Master'!H123)</f>
        <v/>
      </c>
      <c r="E129" s="20" t="str">
        <f>IF(A129="","",IF(SUMIF('Fabric Inventory'!$C$5:$C$304,A129,'Fabric Inventory'!$O$5:$O$304)&gt;0,"Shortage",IF(SUMIF('Fabric Inventory'!$C$5:$C$304,A129,'Fabric Inventory'!$H$5:$H$304)&gt;0,"Approved","Pending")))</f>
        <v/>
      </c>
      <c r="F129" s="20" t="str">
        <f>IF(A129="","",IF(SUMIF('Trims Control'!$B$5:$B$304,A129,'Trims Control'!$R$5:$R$304)&gt;0,"Shortage",IF(COUNTIFS('Trims Control'!$B$5:$B$304,A129,'Trims Control'!$V$5:$V$304,"Ready")&gt;0,"Ready","Pending")))</f>
        <v/>
      </c>
      <c r="G129" s="20" t="str">
        <f>IF(A129="","",IFERROR(INDEX('PP Sample'!$V$5:$V$304,MATCH(A129,'PP Sample'!$B$5:$B$304,0)),"Pending"))</f>
        <v/>
      </c>
      <c r="H129" s="20" t="str">
        <f>IF(A129="","",IFERROR(INDEX('Production Readiness'!$S$5:$S$304,MATCH(A129,'Production Readiness'!$C$5:$C$304,0)),"Pending"))</f>
        <v/>
      </c>
      <c r="I129" s="20" t="str">
        <f>IF(A129="","",IFERROR(INDEX('Cutting Release'!$P$5:$P$304,MATCH(A129,'Cutting Release'!$C$5:$C$304,0)),"Pending"))</f>
        <v/>
      </c>
      <c r="J129" s="20" t="str">
        <f>IF(A129="","",SUMIF('Cutting Control'!$C$5:$C$304,A129,'Cutting Control'!$K$5:$K$304))</f>
        <v/>
      </c>
      <c r="K129" s="20" t="str">
        <f>IF(A129="","",IFERROR(INDEX('TOP Sample'!$W$5:$W$304,MATCH(A129,'TOP Sample'!$B$5:$B$304,0)),"Pending"))</f>
        <v/>
      </c>
      <c r="L129" s="20" t="str">
        <f>IF(A129="","",SUMIF('Sewing Production'!$E$5:$E$304,A129,'Sewing Production'!$L$5:$L$304))</f>
        <v/>
      </c>
      <c r="M129" s="20" t="str">
        <f>IF(A129="","",IFERROR(INDEX('Inline Quality'!$S$5:$S$304,MATCH(A129,'Inline Quality'!$E$5:$E$304,0)),"Pending"))</f>
        <v/>
      </c>
      <c r="N129" s="20" t="str">
        <f>IF(A129="","",IFERROR(INDEX('Final Inspection'!$U$5:$U$304,MATCH(A129,'Final Inspection'!$C$5:$C$304,0)),"Pending"))</f>
        <v/>
      </c>
      <c r="O129" s="20" t="str">
        <f>IF(A129="","",SUMIF('Packing Control'!$C$5:$C$304,A129,'Packing Control'!$K$5:$K$304))</f>
        <v/>
      </c>
      <c r="P129" s="20" t="str">
        <f>IF(A129="","",SUMIF('Finished Goods'!$C$5:$C$304,A129,'Finished Goods'!$J$5:$J$304))</f>
        <v/>
      </c>
      <c r="Q129" s="20" t="str">
        <f>IF(A129="","",SUMIF('Shipment Control'!$C$5:$C$304,A129,'Shipment Control'!$I$5:$I$304))</f>
        <v/>
      </c>
      <c r="R129" s="20" t="str">
        <f>IF(A129="","",SUMIF('Shipment Control'!$C$5:$C$304,A129,'Shipment Control'!$J$5:$J$304))</f>
        <v/>
      </c>
      <c r="S129" s="20" t="str">
        <f t="shared" si="3"/>
        <v/>
      </c>
      <c r="T129" s="21" t="str">
        <f>IF('FGPO Master'!A123="","",'FGPO Master'!I123)</f>
        <v/>
      </c>
      <c r="U129" s="7" t="str">
        <f>IF(A129="","",IF(COUNTIF('Open Issues'!$D$5:$D$304,A129)&gt;0,"Yellow","Green"))</f>
        <v/>
      </c>
      <c r="V129" s="7" t="str">
        <f>IF('FGPO Master'!A123="","",'FGPO Master'!U123)</f>
        <v/>
      </c>
    </row>
    <row r="130" spans="1:22">
      <c r="A130" s="7" t="str">
        <f>IF('FGPO Master'!A124="","",IF('FGPO Master'!D124="FGPO Pending","FGPO Pending",'FGPO Master'!B124))</f>
        <v/>
      </c>
      <c r="B130" s="7" t="str">
        <f>IF('FGPO Master'!A124="","",'FGPO Master'!F124)</f>
        <v/>
      </c>
      <c r="C130" s="7" t="str">
        <f>IF('FGPO Master'!A124="","",'FGPO Master'!G124)</f>
        <v/>
      </c>
      <c r="D130" s="20" t="str">
        <f>IF('FGPO Master'!A124="","",'FGPO Master'!H124)</f>
        <v/>
      </c>
      <c r="E130" s="20" t="str">
        <f>IF(A130="","",IF(SUMIF('Fabric Inventory'!$C$5:$C$304,A130,'Fabric Inventory'!$O$5:$O$304)&gt;0,"Shortage",IF(SUMIF('Fabric Inventory'!$C$5:$C$304,A130,'Fabric Inventory'!$H$5:$H$304)&gt;0,"Approved","Pending")))</f>
        <v/>
      </c>
      <c r="F130" s="20" t="str">
        <f>IF(A130="","",IF(SUMIF('Trims Control'!$B$5:$B$304,A130,'Trims Control'!$R$5:$R$304)&gt;0,"Shortage",IF(COUNTIFS('Trims Control'!$B$5:$B$304,A130,'Trims Control'!$V$5:$V$304,"Ready")&gt;0,"Ready","Pending")))</f>
        <v/>
      </c>
      <c r="G130" s="20" t="str">
        <f>IF(A130="","",IFERROR(INDEX('PP Sample'!$V$5:$V$304,MATCH(A130,'PP Sample'!$B$5:$B$304,0)),"Pending"))</f>
        <v/>
      </c>
      <c r="H130" s="20" t="str">
        <f>IF(A130="","",IFERROR(INDEX('Production Readiness'!$S$5:$S$304,MATCH(A130,'Production Readiness'!$C$5:$C$304,0)),"Pending"))</f>
        <v/>
      </c>
      <c r="I130" s="20" t="str">
        <f>IF(A130="","",IFERROR(INDEX('Cutting Release'!$P$5:$P$304,MATCH(A130,'Cutting Release'!$C$5:$C$304,0)),"Pending"))</f>
        <v/>
      </c>
      <c r="J130" s="20" t="str">
        <f>IF(A130="","",SUMIF('Cutting Control'!$C$5:$C$304,A130,'Cutting Control'!$K$5:$K$304))</f>
        <v/>
      </c>
      <c r="K130" s="20" t="str">
        <f>IF(A130="","",IFERROR(INDEX('TOP Sample'!$W$5:$W$304,MATCH(A130,'TOP Sample'!$B$5:$B$304,0)),"Pending"))</f>
        <v/>
      </c>
      <c r="L130" s="20" t="str">
        <f>IF(A130="","",SUMIF('Sewing Production'!$E$5:$E$304,A130,'Sewing Production'!$L$5:$L$304))</f>
        <v/>
      </c>
      <c r="M130" s="20" t="str">
        <f>IF(A130="","",IFERROR(INDEX('Inline Quality'!$S$5:$S$304,MATCH(A130,'Inline Quality'!$E$5:$E$304,0)),"Pending"))</f>
        <v/>
      </c>
      <c r="N130" s="20" t="str">
        <f>IF(A130="","",IFERROR(INDEX('Final Inspection'!$U$5:$U$304,MATCH(A130,'Final Inspection'!$C$5:$C$304,0)),"Pending"))</f>
        <v/>
      </c>
      <c r="O130" s="20" t="str">
        <f>IF(A130="","",SUMIF('Packing Control'!$C$5:$C$304,A130,'Packing Control'!$K$5:$K$304))</f>
        <v/>
      </c>
      <c r="P130" s="20" t="str">
        <f>IF(A130="","",SUMIF('Finished Goods'!$C$5:$C$304,A130,'Finished Goods'!$J$5:$J$304))</f>
        <v/>
      </c>
      <c r="Q130" s="20" t="str">
        <f>IF(A130="","",SUMIF('Shipment Control'!$C$5:$C$304,A130,'Shipment Control'!$I$5:$I$304))</f>
        <v/>
      </c>
      <c r="R130" s="20" t="str">
        <f>IF(A130="","",SUMIF('Shipment Control'!$C$5:$C$304,A130,'Shipment Control'!$J$5:$J$304))</f>
        <v/>
      </c>
      <c r="S130" s="20" t="str">
        <f t="shared" si="3"/>
        <v/>
      </c>
      <c r="T130" s="21" t="str">
        <f>IF('FGPO Master'!A124="","",'FGPO Master'!I124)</f>
        <v/>
      </c>
      <c r="U130" s="7" t="str">
        <f>IF(A130="","",IF(COUNTIF('Open Issues'!$D$5:$D$304,A130)&gt;0,"Yellow","Green"))</f>
        <v/>
      </c>
      <c r="V130" s="7" t="str">
        <f>IF('FGPO Master'!A124="","",'FGPO Master'!U124)</f>
        <v/>
      </c>
    </row>
    <row r="131" spans="1:22">
      <c r="A131" s="7" t="str">
        <f>IF('FGPO Master'!A125="","",IF('FGPO Master'!D125="FGPO Pending","FGPO Pending",'FGPO Master'!B125))</f>
        <v/>
      </c>
      <c r="B131" s="7" t="str">
        <f>IF('FGPO Master'!A125="","",'FGPO Master'!F125)</f>
        <v/>
      </c>
      <c r="C131" s="7" t="str">
        <f>IF('FGPO Master'!A125="","",'FGPO Master'!G125)</f>
        <v/>
      </c>
      <c r="D131" s="20" t="str">
        <f>IF('FGPO Master'!A125="","",'FGPO Master'!H125)</f>
        <v/>
      </c>
      <c r="E131" s="20" t="str">
        <f>IF(A131="","",IF(SUMIF('Fabric Inventory'!$C$5:$C$304,A131,'Fabric Inventory'!$O$5:$O$304)&gt;0,"Shortage",IF(SUMIF('Fabric Inventory'!$C$5:$C$304,A131,'Fabric Inventory'!$H$5:$H$304)&gt;0,"Approved","Pending")))</f>
        <v/>
      </c>
      <c r="F131" s="20" t="str">
        <f>IF(A131="","",IF(SUMIF('Trims Control'!$B$5:$B$304,A131,'Trims Control'!$R$5:$R$304)&gt;0,"Shortage",IF(COUNTIFS('Trims Control'!$B$5:$B$304,A131,'Trims Control'!$V$5:$V$304,"Ready")&gt;0,"Ready","Pending")))</f>
        <v/>
      </c>
      <c r="G131" s="20" t="str">
        <f>IF(A131="","",IFERROR(INDEX('PP Sample'!$V$5:$V$304,MATCH(A131,'PP Sample'!$B$5:$B$304,0)),"Pending"))</f>
        <v/>
      </c>
      <c r="H131" s="20" t="str">
        <f>IF(A131="","",IFERROR(INDEX('Production Readiness'!$S$5:$S$304,MATCH(A131,'Production Readiness'!$C$5:$C$304,0)),"Pending"))</f>
        <v/>
      </c>
      <c r="I131" s="20" t="str">
        <f>IF(A131="","",IFERROR(INDEX('Cutting Release'!$P$5:$P$304,MATCH(A131,'Cutting Release'!$C$5:$C$304,0)),"Pending"))</f>
        <v/>
      </c>
      <c r="J131" s="20" t="str">
        <f>IF(A131="","",SUMIF('Cutting Control'!$C$5:$C$304,A131,'Cutting Control'!$K$5:$K$304))</f>
        <v/>
      </c>
      <c r="K131" s="20" t="str">
        <f>IF(A131="","",IFERROR(INDEX('TOP Sample'!$W$5:$W$304,MATCH(A131,'TOP Sample'!$B$5:$B$304,0)),"Pending"))</f>
        <v/>
      </c>
      <c r="L131" s="20" t="str">
        <f>IF(A131="","",SUMIF('Sewing Production'!$E$5:$E$304,A131,'Sewing Production'!$L$5:$L$304))</f>
        <v/>
      </c>
      <c r="M131" s="20" t="str">
        <f>IF(A131="","",IFERROR(INDEX('Inline Quality'!$S$5:$S$304,MATCH(A131,'Inline Quality'!$E$5:$E$304,0)),"Pending"))</f>
        <v/>
      </c>
      <c r="N131" s="20" t="str">
        <f>IF(A131="","",IFERROR(INDEX('Final Inspection'!$U$5:$U$304,MATCH(A131,'Final Inspection'!$C$5:$C$304,0)),"Pending"))</f>
        <v/>
      </c>
      <c r="O131" s="20" t="str">
        <f>IF(A131="","",SUMIF('Packing Control'!$C$5:$C$304,A131,'Packing Control'!$K$5:$K$304))</f>
        <v/>
      </c>
      <c r="P131" s="20" t="str">
        <f>IF(A131="","",SUMIF('Finished Goods'!$C$5:$C$304,A131,'Finished Goods'!$J$5:$J$304))</f>
        <v/>
      </c>
      <c r="Q131" s="20" t="str">
        <f>IF(A131="","",SUMIF('Shipment Control'!$C$5:$C$304,A131,'Shipment Control'!$I$5:$I$304))</f>
        <v/>
      </c>
      <c r="R131" s="20" t="str">
        <f>IF(A131="","",SUMIF('Shipment Control'!$C$5:$C$304,A131,'Shipment Control'!$J$5:$J$304))</f>
        <v/>
      </c>
      <c r="S131" s="20" t="str">
        <f t="shared" si="3"/>
        <v/>
      </c>
      <c r="T131" s="21" t="str">
        <f>IF('FGPO Master'!A125="","",'FGPO Master'!I125)</f>
        <v/>
      </c>
      <c r="U131" s="7" t="str">
        <f>IF(A131="","",IF(COUNTIF('Open Issues'!$D$5:$D$304,A131)&gt;0,"Yellow","Green"))</f>
        <v/>
      </c>
      <c r="V131" s="7" t="str">
        <f>IF('FGPO Master'!A125="","",'FGPO Master'!U125)</f>
        <v/>
      </c>
    </row>
    <row r="132" spans="1:22">
      <c r="A132" s="7" t="str">
        <f>IF('FGPO Master'!A126="","",IF('FGPO Master'!D126="FGPO Pending","FGPO Pending",'FGPO Master'!B126))</f>
        <v/>
      </c>
      <c r="B132" s="7" t="str">
        <f>IF('FGPO Master'!A126="","",'FGPO Master'!F126)</f>
        <v/>
      </c>
      <c r="C132" s="7" t="str">
        <f>IF('FGPO Master'!A126="","",'FGPO Master'!G126)</f>
        <v/>
      </c>
      <c r="D132" s="20" t="str">
        <f>IF('FGPO Master'!A126="","",'FGPO Master'!H126)</f>
        <v/>
      </c>
      <c r="E132" s="20" t="str">
        <f>IF(A132="","",IF(SUMIF('Fabric Inventory'!$C$5:$C$304,A132,'Fabric Inventory'!$O$5:$O$304)&gt;0,"Shortage",IF(SUMIF('Fabric Inventory'!$C$5:$C$304,A132,'Fabric Inventory'!$H$5:$H$304)&gt;0,"Approved","Pending")))</f>
        <v/>
      </c>
      <c r="F132" s="20" t="str">
        <f>IF(A132="","",IF(SUMIF('Trims Control'!$B$5:$B$304,A132,'Trims Control'!$R$5:$R$304)&gt;0,"Shortage",IF(COUNTIFS('Trims Control'!$B$5:$B$304,A132,'Trims Control'!$V$5:$V$304,"Ready")&gt;0,"Ready","Pending")))</f>
        <v/>
      </c>
      <c r="G132" s="20" t="str">
        <f>IF(A132="","",IFERROR(INDEX('PP Sample'!$V$5:$V$304,MATCH(A132,'PP Sample'!$B$5:$B$304,0)),"Pending"))</f>
        <v/>
      </c>
      <c r="H132" s="20" t="str">
        <f>IF(A132="","",IFERROR(INDEX('Production Readiness'!$S$5:$S$304,MATCH(A132,'Production Readiness'!$C$5:$C$304,0)),"Pending"))</f>
        <v/>
      </c>
      <c r="I132" s="20" t="str">
        <f>IF(A132="","",IFERROR(INDEX('Cutting Release'!$P$5:$P$304,MATCH(A132,'Cutting Release'!$C$5:$C$304,0)),"Pending"))</f>
        <v/>
      </c>
      <c r="J132" s="20" t="str">
        <f>IF(A132="","",SUMIF('Cutting Control'!$C$5:$C$304,A132,'Cutting Control'!$K$5:$K$304))</f>
        <v/>
      </c>
      <c r="K132" s="20" t="str">
        <f>IF(A132="","",IFERROR(INDEX('TOP Sample'!$W$5:$W$304,MATCH(A132,'TOP Sample'!$B$5:$B$304,0)),"Pending"))</f>
        <v/>
      </c>
      <c r="L132" s="20" t="str">
        <f>IF(A132="","",SUMIF('Sewing Production'!$E$5:$E$304,A132,'Sewing Production'!$L$5:$L$304))</f>
        <v/>
      </c>
      <c r="M132" s="20" t="str">
        <f>IF(A132="","",IFERROR(INDEX('Inline Quality'!$S$5:$S$304,MATCH(A132,'Inline Quality'!$E$5:$E$304,0)),"Pending"))</f>
        <v/>
      </c>
      <c r="N132" s="20" t="str">
        <f>IF(A132="","",IFERROR(INDEX('Final Inspection'!$U$5:$U$304,MATCH(A132,'Final Inspection'!$C$5:$C$304,0)),"Pending"))</f>
        <v/>
      </c>
      <c r="O132" s="20" t="str">
        <f>IF(A132="","",SUMIF('Packing Control'!$C$5:$C$304,A132,'Packing Control'!$K$5:$K$304))</f>
        <v/>
      </c>
      <c r="P132" s="20" t="str">
        <f>IF(A132="","",SUMIF('Finished Goods'!$C$5:$C$304,A132,'Finished Goods'!$J$5:$J$304))</f>
        <v/>
      </c>
      <c r="Q132" s="20" t="str">
        <f>IF(A132="","",SUMIF('Shipment Control'!$C$5:$C$304,A132,'Shipment Control'!$I$5:$I$304))</f>
        <v/>
      </c>
      <c r="R132" s="20" t="str">
        <f>IF(A132="","",SUMIF('Shipment Control'!$C$5:$C$304,A132,'Shipment Control'!$J$5:$J$304))</f>
        <v/>
      </c>
      <c r="S132" s="20" t="str">
        <f t="shared" si="3"/>
        <v/>
      </c>
      <c r="T132" s="21" t="str">
        <f>IF('FGPO Master'!A126="","",'FGPO Master'!I126)</f>
        <v/>
      </c>
      <c r="U132" s="7" t="str">
        <f>IF(A132="","",IF(COUNTIF('Open Issues'!$D$5:$D$304,A132)&gt;0,"Yellow","Green"))</f>
        <v/>
      </c>
      <c r="V132" s="7" t="str">
        <f>IF('FGPO Master'!A126="","",'FGPO Master'!U126)</f>
        <v/>
      </c>
    </row>
    <row r="133" spans="1:22">
      <c r="A133" s="7" t="str">
        <f>IF('FGPO Master'!A127="","",IF('FGPO Master'!D127="FGPO Pending","FGPO Pending",'FGPO Master'!B127))</f>
        <v/>
      </c>
      <c r="B133" s="7" t="str">
        <f>IF('FGPO Master'!A127="","",'FGPO Master'!F127)</f>
        <v/>
      </c>
      <c r="C133" s="7" t="str">
        <f>IF('FGPO Master'!A127="","",'FGPO Master'!G127)</f>
        <v/>
      </c>
      <c r="D133" s="20" t="str">
        <f>IF('FGPO Master'!A127="","",'FGPO Master'!H127)</f>
        <v/>
      </c>
      <c r="E133" s="20" t="str">
        <f>IF(A133="","",IF(SUMIF('Fabric Inventory'!$C$5:$C$304,A133,'Fabric Inventory'!$O$5:$O$304)&gt;0,"Shortage",IF(SUMIF('Fabric Inventory'!$C$5:$C$304,A133,'Fabric Inventory'!$H$5:$H$304)&gt;0,"Approved","Pending")))</f>
        <v/>
      </c>
      <c r="F133" s="20" t="str">
        <f>IF(A133="","",IF(SUMIF('Trims Control'!$B$5:$B$304,A133,'Trims Control'!$R$5:$R$304)&gt;0,"Shortage",IF(COUNTIFS('Trims Control'!$B$5:$B$304,A133,'Trims Control'!$V$5:$V$304,"Ready")&gt;0,"Ready","Pending")))</f>
        <v/>
      </c>
      <c r="G133" s="20" t="str">
        <f>IF(A133="","",IFERROR(INDEX('PP Sample'!$V$5:$V$304,MATCH(A133,'PP Sample'!$B$5:$B$304,0)),"Pending"))</f>
        <v/>
      </c>
      <c r="H133" s="20" t="str">
        <f>IF(A133="","",IFERROR(INDEX('Production Readiness'!$S$5:$S$304,MATCH(A133,'Production Readiness'!$C$5:$C$304,0)),"Pending"))</f>
        <v/>
      </c>
      <c r="I133" s="20" t="str">
        <f>IF(A133="","",IFERROR(INDEX('Cutting Release'!$P$5:$P$304,MATCH(A133,'Cutting Release'!$C$5:$C$304,0)),"Pending"))</f>
        <v/>
      </c>
      <c r="J133" s="20" t="str">
        <f>IF(A133="","",SUMIF('Cutting Control'!$C$5:$C$304,A133,'Cutting Control'!$K$5:$K$304))</f>
        <v/>
      </c>
      <c r="K133" s="20" t="str">
        <f>IF(A133="","",IFERROR(INDEX('TOP Sample'!$W$5:$W$304,MATCH(A133,'TOP Sample'!$B$5:$B$304,0)),"Pending"))</f>
        <v/>
      </c>
      <c r="L133" s="20" t="str">
        <f>IF(A133="","",SUMIF('Sewing Production'!$E$5:$E$304,A133,'Sewing Production'!$L$5:$L$304))</f>
        <v/>
      </c>
      <c r="M133" s="20" t="str">
        <f>IF(A133="","",IFERROR(INDEX('Inline Quality'!$S$5:$S$304,MATCH(A133,'Inline Quality'!$E$5:$E$304,0)),"Pending"))</f>
        <v/>
      </c>
      <c r="N133" s="20" t="str">
        <f>IF(A133="","",IFERROR(INDEX('Final Inspection'!$U$5:$U$304,MATCH(A133,'Final Inspection'!$C$5:$C$304,0)),"Pending"))</f>
        <v/>
      </c>
      <c r="O133" s="20" t="str">
        <f>IF(A133="","",SUMIF('Packing Control'!$C$5:$C$304,A133,'Packing Control'!$K$5:$K$304))</f>
        <v/>
      </c>
      <c r="P133" s="20" t="str">
        <f>IF(A133="","",SUMIF('Finished Goods'!$C$5:$C$304,A133,'Finished Goods'!$J$5:$J$304))</f>
        <v/>
      </c>
      <c r="Q133" s="20" t="str">
        <f>IF(A133="","",SUMIF('Shipment Control'!$C$5:$C$304,A133,'Shipment Control'!$I$5:$I$304))</f>
        <v/>
      </c>
      <c r="R133" s="20" t="str">
        <f>IF(A133="","",SUMIF('Shipment Control'!$C$5:$C$304,A133,'Shipment Control'!$J$5:$J$304))</f>
        <v/>
      </c>
      <c r="S133" s="20" t="str">
        <f t="shared" si="3"/>
        <v/>
      </c>
      <c r="T133" s="21" t="str">
        <f>IF('FGPO Master'!A127="","",'FGPO Master'!I127)</f>
        <v/>
      </c>
      <c r="U133" s="7" t="str">
        <f>IF(A133="","",IF(COUNTIF('Open Issues'!$D$5:$D$304,A133)&gt;0,"Yellow","Green"))</f>
        <v/>
      </c>
      <c r="V133" s="7" t="str">
        <f>IF('FGPO Master'!A127="","",'FGPO Master'!U127)</f>
        <v/>
      </c>
    </row>
    <row r="134" spans="1:22">
      <c r="A134" s="7" t="str">
        <f>IF('FGPO Master'!A128="","",IF('FGPO Master'!D128="FGPO Pending","FGPO Pending",'FGPO Master'!B128))</f>
        <v/>
      </c>
      <c r="B134" s="7" t="str">
        <f>IF('FGPO Master'!A128="","",'FGPO Master'!F128)</f>
        <v/>
      </c>
      <c r="C134" s="7" t="str">
        <f>IF('FGPO Master'!A128="","",'FGPO Master'!G128)</f>
        <v/>
      </c>
      <c r="D134" s="20" t="str">
        <f>IF('FGPO Master'!A128="","",'FGPO Master'!H128)</f>
        <v/>
      </c>
      <c r="E134" s="20" t="str">
        <f>IF(A134="","",IF(SUMIF('Fabric Inventory'!$C$5:$C$304,A134,'Fabric Inventory'!$O$5:$O$304)&gt;0,"Shortage",IF(SUMIF('Fabric Inventory'!$C$5:$C$304,A134,'Fabric Inventory'!$H$5:$H$304)&gt;0,"Approved","Pending")))</f>
        <v/>
      </c>
      <c r="F134" s="20" t="str">
        <f>IF(A134="","",IF(SUMIF('Trims Control'!$B$5:$B$304,A134,'Trims Control'!$R$5:$R$304)&gt;0,"Shortage",IF(COUNTIFS('Trims Control'!$B$5:$B$304,A134,'Trims Control'!$V$5:$V$304,"Ready")&gt;0,"Ready","Pending")))</f>
        <v/>
      </c>
      <c r="G134" s="20" t="str">
        <f>IF(A134="","",IFERROR(INDEX('PP Sample'!$V$5:$V$304,MATCH(A134,'PP Sample'!$B$5:$B$304,0)),"Pending"))</f>
        <v/>
      </c>
      <c r="H134" s="20" t="str">
        <f>IF(A134="","",IFERROR(INDEX('Production Readiness'!$S$5:$S$304,MATCH(A134,'Production Readiness'!$C$5:$C$304,0)),"Pending"))</f>
        <v/>
      </c>
      <c r="I134" s="20" t="str">
        <f>IF(A134="","",IFERROR(INDEX('Cutting Release'!$P$5:$P$304,MATCH(A134,'Cutting Release'!$C$5:$C$304,0)),"Pending"))</f>
        <v/>
      </c>
      <c r="J134" s="20" t="str">
        <f>IF(A134="","",SUMIF('Cutting Control'!$C$5:$C$304,A134,'Cutting Control'!$K$5:$K$304))</f>
        <v/>
      </c>
      <c r="K134" s="20" t="str">
        <f>IF(A134="","",IFERROR(INDEX('TOP Sample'!$W$5:$W$304,MATCH(A134,'TOP Sample'!$B$5:$B$304,0)),"Pending"))</f>
        <v/>
      </c>
      <c r="L134" s="20" t="str">
        <f>IF(A134="","",SUMIF('Sewing Production'!$E$5:$E$304,A134,'Sewing Production'!$L$5:$L$304))</f>
        <v/>
      </c>
      <c r="M134" s="20" t="str">
        <f>IF(A134="","",IFERROR(INDEX('Inline Quality'!$S$5:$S$304,MATCH(A134,'Inline Quality'!$E$5:$E$304,0)),"Pending"))</f>
        <v/>
      </c>
      <c r="N134" s="20" t="str">
        <f>IF(A134="","",IFERROR(INDEX('Final Inspection'!$U$5:$U$304,MATCH(A134,'Final Inspection'!$C$5:$C$304,0)),"Pending"))</f>
        <v/>
      </c>
      <c r="O134" s="20" t="str">
        <f>IF(A134="","",SUMIF('Packing Control'!$C$5:$C$304,A134,'Packing Control'!$K$5:$K$304))</f>
        <v/>
      </c>
      <c r="P134" s="20" t="str">
        <f>IF(A134="","",SUMIF('Finished Goods'!$C$5:$C$304,A134,'Finished Goods'!$J$5:$J$304))</f>
        <v/>
      </c>
      <c r="Q134" s="20" t="str">
        <f>IF(A134="","",SUMIF('Shipment Control'!$C$5:$C$304,A134,'Shipment Control'!$I$5:$I$304))</f>
        <v/>
      </c>
      <c r="R134" s="20" t="str">
        <f>IF(A134="","",SUMIF('Shipment Control'!$C$5:$C$304,A134,'Shipment Control'!$J$5:$J$304))</f>
        <v/>
      </c>
      <c r="S134" s="20" t="str">
        <f t="shared" si="3"/>
        <v/>
      </c>
      <c r="T134" s="21" t="str">
        <f>IF('FGPO Master'!A128="","",'FGPO Master'!I128)</f>
        <v/>
      </c>
      <c r="U134" s="7" t="str">
        <f>IF(A134="","",IF(COUNTIF('Open Issues'!$D$5:$D$304,A134)&gt;0,"Yellow","Green"))</f>
        <v/>
      </c>
      <c r="V134" s="7" t="str">
        <f>IF('FGPO Master'!A128="","",'FGPO Master'!U128)</f>
        <v/>
      </c>
    </row>
    <row r="135" spans="1:22">
      <c r="A135" s="7" t="str">
        <f>IF('FGPO Master'!A129="","",IF('FGPO Master'!D129="FGPO Pending","FGPO Pending",'FGPO Master'!B129))</f>
        <v/>
      </c>
      <c r="B135" s="7" t="str">
        <f>IF('FGPO Master'!A129="","",'FGPO Master'!F129)</f>
        <v/>
      </c>
      <c r="C135" s="7" t="str">
        <f>IF('FGPO Master'!A129="","",'FGPO Master'!G129)</f>
        <v/>
      </c>
      <c r="D135" s="20" t="str">
        <f>IF('FGPO Master'!A129="","",'FGPO Master'!H129)</f>
        <v/>
      </c>
      <c r="E135" s="20" t="str">
        <f>IF(A135="","",IF(SUMIF('Fabric Inventory'!$C$5:$C$304,A135,'Fabric Inventory'!$O$5:$O$304)&gt;0,"Shortage",IF(SUMIF('Fabric Inventory'!$C$5:$C$304,A135,'Fabric Inventory'!$H$5:$H$304)&gt;0,"Approved","Pending")))</f>
        <v/>
      </c>
      <c r="F135" s="20" t="str">
        <f>IF(A135="","",IF(SUMIF('Trims Control'!$B$5:$B$304,A135,'Trims Control'!$R$5:$R$304)&gt;0,"Shortage",IF(COUNTIFS('Trims Control'!$B$5:$B$304,A135,'Trims Control'!$V$5:$V$304,"Ready")&gt;0,"Ready","Pending")))</f>
        <v/>
      </c>
      <c r="G135" s="20" t="str">
        <f>IF(A135="","",IFERROR(INDEX('PP Sample'!$V$5:$V$304,MATCH(A135,'PP Sample'!$B$5:$B$304,0)),"Pending"))</f>
        <v/>
      </c>
      <c r="H135" s="20" t="str">
        <f>IF(A135="","",IFERROR(INDEX('Production Readiness'!$S$5:$S$304,MATCH(A135,'Production Readiness'!$C$5:$C$304,0)),"Pending"))</f>
        <v/>
      </c>
      <c r="I135" s="20" t="str">
        <f>IF(A135="","",IFERROR(INDEX('Cutting Release'!$P$5:$P$304,MATCH(A135,'Cutting Release'!$C$5:$C$304,0)),"Pending"))</f>
        <v/>
      </c>
      <c r="J135" s="20" t="str">
        <f>IF(A135="","",SUMIF('Cutting Control'!$C$5:$C$304,A135,'Cutting Control'!$K$5:$K$304))</f>
        <v/>
      </c>
      <c r="K135" s="20" t="str">
        <f>IF(A135="","",IFERROR(INDEX('TOP Sample'!$W$5:$W$304,MATCH(A135,'TOP Sample'!$B$5:$B$304,0)),"Pending"))</f>
        <v/>
      </c>
      <c r="L135" s="20" t="str">
        <f>IF(A135="","",SUMIF('Sewing Production'!$E$5:$E$304,A135,'Sewing Production'!$L$5:$L$304))</f>
        <v/>
      </c>
      <c r="M135" s="20" t="str">
        <f>IF(A135="","",IFERROR(INDEX('Inline Quality'!$S$5:$S$304,MATCH(A135,'Inline Quality'!$E$5:$E$304,0)),"Pending"))</f>
        <v/>
      </c>
      <c r="N135" s="20" t="str">
        <f>IF(A135="","",IFERROR(INDEX('Final Inspection'!$U$5:$U$304,MATCH(A135,'Final Inspection'!$C$5:$C$304,0)),"Pending"))</f>
        <v/>
      </c>
      <c r="O135" s="20" t="str">
        <f>IF(A135="","",SUMIF('Packing Control'!$C$5:$C$304,A135,'Packing Control'!$K$5:$K$304))</f>
        <v/>
      </c>
      <c r="P135" s="20" t="str">
        <f>IF(A135="","",SUMIF('Finished Goods'!$C$5:$C$304,A135,'Finished Goods'!$J$5:$J$304))</f>
        <v/>
      </c>
      <c r="Q135" s="20" t="str">
        <f>IF(A135="","",SUMIF('Shipment Control'!$C$5:$C$304,A135,'Shipment Control'!$I$5:$I$304))</f>
        <v/>
      </c>
      <c r="R135" s="20" t="str">
        <f>IF(A135="","",SUMIF('Shipment Control'!$C$5:$C$304,A135,'Shipment Control'!$J$5:$J$304))</f>
        <v/>
      </c>
      <c r="S135" s="20" t="str">
        <f t="shared" si="3"/>
        <v/>
      </c>
      <c r="T135" s="21" t="str">
        <f>IF('FGPO Master'!A129="","",'FGPO Master'!I129)</f>
        <v/>
      </c>
      <c r="U135" s="7" t="str">
        <f>IF(A135="","",IF(COUNTIF('Open Issues'!$D$5:$D$304,A135)&gt;0,"Yellow","Green"))</f>
        <v/>
      </c>
      <c r="V135" s="7" t="str">
        <f>IF('FGPO Master'!A129="","",'FGPO Master'!U129)</f>
        <v/>
      </c>
    </row>
    <row r="136" spans="1:22">
      <c r="A136" s="7" t="str">
        <f>IF('FGPO Master'!A130="","",IF('FGPO Master'!D130="FGPO Pending","FGPO Pending",'FGPO Master'!B130))</f>
        <v/>
      </c>
      <c r="B136" s="7" t="str">
        <f>IF('FGPO Master'!A130="","",'FGPO Master'!F130)</f>
        <v/>
      </c>
      <c r="C136" s="7" t="str">
        <f>IF('FGPO Master'!A130="","",'FGPO Master'!G130)</f>
        <v/>
      </c>
      <c r="D136" s="20" t="str">
        <f>IF('FGPO Master'!A130="","",'FGPO Master'!H130)</f>
        <v/>
      </c>
      <c r="E136" s="20" t="str">
        <f>IF(A136="","",IF(SUMIF('Fabric Inventory'!$C$5:$C$304,A136,'Fabric Inventory'!$O$5:$O$304)&gt;0,"Shortage",IF(SUMIF('Fabric Inventory'!$C$5:$C$304,A136,'Fabric Inventory'!$H$5:$H$304)&gt;0,"Approved","Pending")))</f>
        <v/>
      </c>
      <c r="F136" s="20" t="str">
        <f>IF(A136="","",IF(SUMIF('Trims Control'!$B$5:$B$304,A136,'Trims Control'!$R$5:$R$304)&gt;0,"Shortage",IF(COUNTIFS('Trims Control'!$B$5:$B$304,A136,'Trims Control'!$V$5:$V$304,"Ready")&gt;0,"Ready","Pending")))</f>
        <v/>
      </c>
      <c r="G136" s="20" t="str">
        <f>IF(A136="","",IFERROR(INDEX('PP Sample'!$V$5:$V$304,MATCH(A136,'PP Sample'!$B$5:$B$304,0)),"Pending"))</f>
        <v/>
      </c>
      <c r="H136" s="20" t="str">
        <f>IF(A136="","",IFERROR(INDEX('Production Readiness'!$S$5:$S$304,MATCH(A136,'Production Readiness'!$C$5:$C$304,0)),"Pending"))</f>
        <v/>
      </c>
      <c r="I136" s="20" t="str">
        <f>IF(A136="","",IFERROR(INDEX('Cutting Release'!$P$5:$P$304,MATCH(A136,'Cutting Release'!$C$5:$C$304,0)),"Pending"))</f>
        <v/>
      </c>
      <c r="J136" s="20" t="str">
        <f>IF(A136="","",SUMIF('Cutting Control'!$C$5:$C$304,A136,'Cutting Control'!$K$5:$K$304))</f>
        <v/>
      </c>
      <c r="K136" s="20" t="str">
        <f>IF(A136="","",IFERROR(INDEX('TOP Sample'!$W$5:$W$304,MATCH(A136,'TOP Sample'!$B$5:$B$304,0)),"Pending"))</f>
        <v/>
      </c>
      <c r="L136" s="20" t="str">
        <f>IF(A136="","",SUMIF('Sewing Production'!$E$5:$E$304,A136,'Sewing Production'!$L$5:$L$304))</f>
        <v/>
      </c>
      <c r="M136" s="20" t="str">
        <f>IF(A136="","",IFERROR(INDEX('Inline Quality'!$S$5:$S$304,MATCH(A136,'Inline Quality'!$E$5:$E$304,0)),"Pending"))</f>
        <v/>
      </c>
      <c r="N136" s="20" t="str">
        <f>IF(A136="","",IFERROR(INDEX('Final Inspection'!$U$5:$U$304,MATCH(A136,'Final Inspection'!$C$5:$C$304,0)),"Pending"))</f>
        <v/>
      </c>
      <c r="O136" s="20" t="str">
        <f>IF(A136="","",SUMIF('Packing Control'!$C$5:$C$304,A136,'Packing Control'!$K$5:$K$304))</f>
        <v/>
      </c>
      <c r="P136" s="20" t="str">
        <f>IF(A136="","",SUMIF('Finished Goods'!$C$5:$C$304,A136,'Finished Goods'!$J$5:$J$304))</f>
        <v/>
      </c>
      <c r="Q136" s="20" t="str">
        <f>IF(A136="","",SUMIF('Shipment Control'!$C$5:$C$304,A136,'Shipment Control'!$I$5:$I$304))</f>
        <v/>
      </c>
      <c r="R136" s="20" t="str">
        <f>IF(A136="","",SUMIF('Shipment Control'!$C$5:$C$304,A136,'Shipment Control'!$J$5:$J$304))</f>
        <v/>
      </c>
      <c r="S136" s="20" t="str">
        <f t="shared" si="3"/>
        <v/>
      </c>
      <c r="T136" s="21" t="str">
        <f>IF('FGPO Master'!A130="","",'FGPO Master'!I130)</f>
        <v/>
      </c>
      <c r="U136" s="7" t="str">
        <f>IF(A136="","",IF(COUNTIF('Open Issues'!$D$5:$D$304,A136)&gt;0,"Yellow","Green"))</f>
        <v/>
      </c>
      <c r="V136" s="7" t="str">
        <f>IF('FGPO Master'!A130="","",'FGPO Master'!U130)</f>
        <v/>
      </c>
    </row>
    <row r="137" spans="1:22">
      <c r="A137" s="7" t="str">
        <f>IF('FGPO Master'!A131="","",IF('FGPO Master'!D131="FGPO Pending","FGPO Pending",'FGPO Master'!B131))</f>
        <v/>
      </c>
      <c r="B137" s="7" t="str">
        <f>IF('FGPO Master'!A131="","",'FGPO Master'!F131)</f>
        <v/>
      </c>
      <c r="C137" s="7" t="str">
        <f>IF('FGPO Master'!A131="","",'FGPO Master'!G131)</f>
        <v/>
      </c>
      <c r="D137" s="20" t="str">
        <f>IF('FGPO Master'!A131="","",'FGPO Master'!H131)</f>
        <v/>
      </c>
      <c r="E137" s="20" t="str">
        <f>IF(A137="","",IF(SUMIF('Fabric Inventory'!$C$5:$C$304,A137,'Fabric Inventory'!$O$5:$O$304)&gt;0,"Shortage",IF(SUMIF('Fabric Inventory'!$C$5:$C$304,A137,'Fabric Inventory'!$H$5:$H$304)&gt;0,"Approved","Pending")))</f>
        <v/>
      </c>
      <c r="F137" s="20" t="str">
        <f>IF(A137="","",IF(SUMIF('Trims Control'!$B$5:$B$304,A137,'Trims Control'!$R$5:$R$304)&gt;0,"Shortage",IF(COUNTIFS('Trims Control'!$B$5:$B$304,A137,'Trims Control'!$V$5:$V$304,"Ready")&gt;0,"Ready","Pending")))</f>
        <v/>
      </c>
      <c r="G137" s="20" t="str">
        <f>IF(A137="","",IFERROR(INDEX('PP Sample'!$V$5:$V$304,MATCH(A137,'PP Sample'!$B$5:$B$304,0)),"Pending"))</f>
        <v/>
      </c>
      <c r="H137" s="20" t="str">
        <f>IF(A137="","",IFERROR(INDEX('Production Readiness'!$S$5:$S$304,MATCH(A137,'Production Readiness'!$C$5:$C$304,0)),"Pending"))</f>
        <v/>
      </c>
      <c r="I137" s="20" t="str">
        <f>IF(A137="","",IFERROR(INDEX('Cutting Release'!$P$5:$P$304,MATCH(A137,'Cutting Release'!$C$5:$C$304,0)),"Pending"))</f>
        <v/>
      </c>
      <c r="J137" s="20" t="str">
        <f>IF(A137="","",SUMIF('Cutting Control'!$C$5:$C$304,A137,'Cutting Control'!$K$5:$K$304))</f>
        <v/>
      </c>
      <c r="K137" s="20" t="str">
        <f>IF(A137="","",IFERROR(INDEX('TOP Sample'!$W$5:$W$304,MATCH(A137,'TOP Sample'!$B$5:$B$304,0)),"Pending"))</f>
        <v/>
      </c>
      <c r="L137" s="20" t="str">
        <f>IF(A137="","",SUMIF('Sewing Production'!$E$5:$E$304,A137,'Sewing Production'!$L$5:$L$304))</f>
        <v/>
      </c>
      <c r="M137" s="20" t="str">
        <f>IF(A137="","",IFERROR(INDEX('Inline Quality'!$S$5:$S$304,MATCH(A137,'Inline Quality'!$E$5:$E$304,0)),"Pending"))</f>
        <v/>
      </c>
      <c r="N137" s="20" t="str">
        <f>IF(A137="","",IFERROR(INDEX('Final Inspection'!$U$5:$U$304,MATCH(A137,'Final Inspection'!$C$5:$C$304,0)),"Pending"))</f>
        <v/>
      </c>
      <c r="O137" s="20" t="str">
        <f>IF(A137="","",SUMIF('Packing Control'!$C$5:$C$304,A137,'Packing Control'!$K$5:$K$304))</f>
        <v/>
      </c>
      <c r="P137" s="20" t="str">
        <f>IF(A137="","",SUMIF('Finished Goods'!$C$5:$C$304,A137,'Finished Goods'!$J$5:$J$304))</f>
        <v/>
      </c>
      <c r="Q137" s="20" t="str">
        <f>IF(A137="","",SUMIF('Shipment Control'!$C$5:$C$304,A137,'Shipment Control'!$I$5:$I$304))</f>
        <v/>
      </c>
      <c r="R137" s="20" t="str">
        <f>IF(A137="","",SUMIF('Shipment Control'!$C$5:$C$304,A137,'Shipment Control'!$J$5:$J$304))</f>
        <v/>
      </c>
      <c r="S137" s="20" t="str">
        <f t="shared" si="3"/>
        <v/>
      </c>
      <c r="T137" s="21" t="str">
        <f>IF('FGPO Master'!A131="","",'FGPO Master'!I131)</f>
        <v/>
      </c>
      <c r="U137" s="7" t="str">
        <f>IF(A137="","",IF(COUNTIF('Open Issues'!$D$5:$D$304,A137)&gt;0,"Yellow","Green"))</f>
        <v/>
      </c>
      <c r="V137" s="7" t="str">
        <f>IF('FGPO Master'!A131="","",'FGPO Master'!U131)</f>
        <v/>
      </c>
    </row>
    <row r="138" spans="1:22">
      <c r="A138" s="7" t="str">
        <f>IF('FGPO Master'!A132="","",IF('FGPO Master'!D132="FGPO Pending","FGPO Pending",'FGPO Master'!B132))</f>
        <v/>
      </c>
      <c r="B138" s="7" t="str">
        <f>IF('FGPO Master'!A132="","",'FGPO Master'!F132)</f>
        <v/>
      </c>
      <c r="C138" s="7" t="str">
        <f>IF('FGPO Master'!A132="","",'FGPO Master'!G132)</f>
        <v/>
      </c>
      <c r="D138" s="20" t="str">
        <f>IF('FGPO Master'!A132="","",'FGPO Master'!H132)</f>
        <v/>
      </c>
      <c r="E138" s="20" t="str">
        <f>IF(A138="","",IF(SUMIF('Fabric Inventory'!$C$5:$C$304,A138,'Fabric Inventory'!$O$5:$O$304)&gt;0,"Shortage",IF(SUMIF('Fabric Inventory'!$C$5:$C$304,A138,'Fabric Inventory'!$H$5:$H$304)&gt;0,"Approved","Pending")))</f>
        <v/>
      </c>
      <c r="F138" s="20" t="str">
        <f>IF(A138="","",IF(SUMIF('Trims Control'!$B$5:$B$304,A138,'Trims Control'!$R$5:$R$304)&gt;0,"Shortage",IF(COUNTIFS('Trims Control'!$B$5:$B$304,A138,'Trims Control'!$V$5:$V$304,"Ready")&gt;0,"Ready","Pending")))</f>
        <v/>
      </c>
      <c r="G138" s="20" t="str">
        <f>IF(A138="","",IFERROR(INDEX('PP Sample'!$V$5:$V$304,MATCH(A138,'PP Sample'!$B$5:$B$304,0)),"Pending"))</f>
        <v/>
      </c>
      <c r="H138" s="20" t="str">
        <f>IF(A138="","",IFERROR(INDEX('Production Readiness'!$S$5:$S$304,MATCH(A138,'Production Readiness'!$C$5:$C$304,0)),"Pending"))</f>
        <v/>
      </c>
      <c r="I138" s="20" t="str">
        <f>IF(A138="","",IFERROR(INDEX('Cutting Release'!$P$5:$P$304,MATCH(A138,'Cutting Release'!$C$5:$C$304,0)),"Pending"))</f>
        <v/>
      </c>
      <c r="J138" s="20" t="str">
        <f>IF(A138="","",SUMIF('Cutting Control'!$C$5:$C$304,A138,'Cutting Control'!$K$5:$K$304))</f>
        <v/>
      </c>
      <c r="K138" s="20" t="str">
        <f>IF(A138="","",IFERROR(INDEX('TOP Sample'!$W$5:$W$304,MATCH(A138,'TOP Sample'!$B$5:$B$304,0)),"Pending"))</f>
        <v/>
      </c>
      <c r="L138" s="20" t="str">
        <f>IF(A138="","",SUMIF('Sewing Production'!$E$5:$E$304,A138,'Sewing Production'!$L$5:$L$304))</f>
        <v/>
      </c>
      <c r="M138" s="20" t="str">
        <f>IF(A138="","",IFERROR(INDEX('Inline Quality'!$S$5:$S$304,MATCH(A138,'Inline Quality'!$E$5:$E$304,0)),"Pending"))</f>
        <v/>
      </c>
      <c r="N138" s="20" t="str">
        <f>IF(A138="","",IFERROR(INDEX('Final Inspection'!$U$5:$U$304,MATCH(A138,'Final Inspection'!$C$5:$C$304,0)),"Pending"))</f>
        <v/>
      </c>
      <c r="O138" s="20" t="str">
        <f>IF(A138="","",SUMIF('Packing Control'!$C$5:$C$304,A138,'Packing Control'!$K$5:$K$304))</f>
        <v/>
      </c>
      <c r="P138" s="20" t="str">
        <f>IF(A138="","",SUMIF('Finished Goods'!$C$5:$C$304,A138,'Finished Goods'!$J$5:$J$304))</f>
        <v/>
      </c>
      <c r="Q138" s="20" t="str">
        <f>IF(A138="","",SUMIF('Shipment Control'!$C$5:$C$304,A138,'Shipment Control'!$I$5:$I$304))</f>
        <v/>
      </c>
      <c r="R138" s="20" t="str">
        <f>IF(A138="","",SUMIF('Shipment Control'!$C$5:$C$304,A138,'Shipment Control'!$J$5:$J$304))</f>
        <v/>
      </c>
      <c r="S138" s="20" t="str">
        <f t="shared" si="3"/>
        <v/>
      </c>
      <c r="T138" s="21" t="str">
        <f>IF('FGPO Master'!A132="","",'FGPO Master'!I132)</f>
        <v/>
      </c>
      <c r="U138" s="7" t="str">
        <f>IF(A138="","",IF(COUNTIF('Open Issues'!$D$5:$D$304,A138)&gt;0,"Yellow","Green"))</f>
        <v/>
      </c>
      <c r="V138" s="7" t="str">
        <f>IF('FGPO Master'!A132="","",'FGPO Master'!U132)</f>
        <v/>
      </c>
    </row>
    <row r="139" spans="1:22">
      <c r="A139" s="7" t="str">
        <f>IF('FGPO Master'!A133="","",IF('FGPO Master'!D133="FGPO Pending","FGPO Pending",'FGPO Master'!B133))</f>
        <v/>
      </c>
      <c r="B139" s="7" t="str">
        <f>IF('FGPO Master'!A133="","",'FGPO Master'!F133)</f>
        <v/>
      </c>
      <c r="C139" s="7" t="str">
        <f>IF('FGPO Master'!A133="","",'FGPO Master'!G133)</f>
        <v/>
      </c>
      <c r="D139" s="20" t="str">
        <f>IF('FGPO Master'!A133="","",'FGPO Master'!H133)</f>
        <v/>
      </c>
      <c r="E139" s="20" t="str">
        <f>IF(A139="","",IF(SUMIF('Fabric Inventory'!$C$5:$C$304,A139,'Fabric Inventory'!$O$5:$O$304)&gt;0,"Shortage",IF(SUMIF('Fabric Inventory'!$C$5:$C$304,A139,'Fabric Inventory'!$H$5:$H$304)&gt;0,"Approved","Pending")))</f>
        <v/>
      </c>
      <c r="F139" s="20" t="str">
        <f>IF(A139="","",IF(SUMIF('Trims Control'!$B$5:$B$304,A139,'Trims Control'!$R$5:$R$304)&gt;0,"Shortage",IF(COUNTIFS('Trims Control'!$B$5:$B$304,A139,'Trims Control'!$V$5:$V$304,"Ready")&gt;0,"Ready","Pending")))</f>
        <v/>
      </c>
      <c r="G139" s="20" t="str">
        <f>IF(A139="","",IFERROR(INDEX('PP Sample'!$V$5:$V$304,MATCH(A139,'PP Sample'!$B$5:$B$304,0)),"Pending"))</f>
        <v/>
      </c>
      <c r="H139" s="20" t="str">
        <f>IF(A139="","",IFERROR(INDEX('Production Readiness'!$S$5:$S$304,MATCH(A139,'Production Readiness'!$C$5:$C$304,0)),"Pending"))</f>
        <v/>
      </c>
      <c r="I139" s="20" t="str">
        <f>IF(A139="","",IFERROR(INDEX('Cutting Release'!$P$5:$P$304,MATCH(A139,'Cutting Release'!$C$5:$C$304,0)),"Pending"))</f>
        <v/>
      </c>
      <c r="J139" s="20" t="str">
        <f>IF(A139="","",SUMIF('Cutting Control'!$C$5:$C$304,A139,'Cutting Control'!$K$5:$K$304))</f>
        <v/>
      </c>
      <c r="K139" s="20" t="str">
        <f>IF(A139="","",IFERROR(INDEX('TOP Sample'!$W$5:$W$304,MATCH(A139,'TOP Sample'!$B$5:$B$304,0)),"Pending"))</f>
        <v/>
      </c>
      <c r="L139" s="20" t="str">
        <f>IF(A139="","",SUMIF('Sewing Production'!$E$5:$E$304,A139,'Sewing Production'!$L$5:$L$304))</f>
        <v/>
      </c>
      <c r="M139" s="20" t="str">
        <f>IF(A139="","",IFERROR(INDEX('Inline Quality'!$S$5:$S$304,MATCH(A139,'Inline Quality'!$E$5:$E$304,0)),"Pending"))</f>
        <v/>
      </c>
      <c r="N139" s="20" t="str">
        <f>IF(A139="","",IFERROR(INDEX('Final Inspection'!$U$5:$U$304,MATCH(A139,'Final Inspection'!$C$5:$C$304,0)),"Pending"))</f>
        <v/>
      </c>
      <c r="O139" s="20" t="str">
        <f>IF(A139="","",SUMIF('Packing Control'!$C$5:$C$304,A139,'Packing Control'!$K$5:$K$304))</f>
        <v/>
      </c>
      <c r="P139" s="20" t="str">
        <f>IF(A139="","",SUMIF('Finished Goods'!$C$5:$C$304,A139,'Finished Goods'!$J$5:$J$304))</f>
        <v/>
      </c>
      <c r="Q139" s="20" t="str">
        <f>IF(A139="","",SUMIF('Shipment Control'!$C$5:$C$304,A139,'Shipment Control'!$I$5:$I$304))</f>
        <v/>
      </c>
      <c r="R139" s="20" t="str">
        <f>IF(A139="","",SUMIF('Shipment Control'!$C$5:$C$304,A139,'Shipment Control'!$J$5:$J$304))</f>
        <v/>
      </c>
      <c r="S139" s="20" t="str">
        <f t="shared" ref="S139:S170" si="4">IF(A139="","",Q139+R139-D139)</f>
        <v/>
      </c>
      <c r="T139" s="21" t="str">
        <f>IF('FGPO Master'!A133="","",'FGPO Master'!I133)</f>
        <v/>
      </c>
      <c r="U139" s="7" t="str">
        <f>IF(A139="","",IF(COUNTIF('Open Issues'!$D$5:$D$304,A139)&gt;0,"Yellow","Green"))</f>
        <v/>
      </c>
      <c r="V139" s="7" t="str">
        <f>IF('FGPO Master'!A133="","",'FGPO Master'!U133)</f>
        <v/>
      </c>
    </row>
    <row r="140" spans="1:22">
      <c r="A140" s="7" t="str">
        <f>IF('FGPO Master'!A134="","",IF('FGPO Master'!D134="FGPO Pending","FGPO Pending",'FGPO Master'!B134))</f>
        <v/>
      </c>
      <c r="B140" s="7" t="str">
        <f>IF('FGPO Master'!A134="","",'FGPO Master'!F134)</f>
        <v/>
      </c>
      <c r="C140" s="7" t="str">
        <f>IF('FGPO Master'!A134="","",'FGPO Master'!G134)</f>
        <v/>
      </c>
      <c r="D140" s="20" t="str">
        <f>IF('FGPO Master'!A134="","",'FGPO Master'!H134)</f>
        <v/>
      </c>
      <c r="E140" s="20" t="str">
        <f>IF(A140="","",IF(SUMIF('Fabric Inventory'!$C$5:$C$304,A140,'Fabric Inventory'!$O$5:$O$304)&gt;0,"Shortage",IF(SUMIF('Fabric Inventory'!$C$5:$C$304,A140,'Fabric Inventory'!$H$5:$H$304)&gt;0,"Approved","Pending")))</f>
        <v/>
      </c>
      <c r="F140" s="20" t="str">
        <f>IF(A140="","",IF(SUMIF('Trims Control'!$B$5:$B$304,A140,'Trims Control'!$R$5:$R$304)&gt;0,"Shortage",IF(COUNTIFS('Trims Control'!$B$5:$B$304,A140,'Trims Control'!$V$5:$V$304,"Ready")&gt;0,"Ready","Pending")))</f>
        <v/>
      </c>
      <c r="G140" s="20" t="str">
        <f>IF(A140="","",IFERROR(INDEX('PP Sample'!$V$5:$V$304,MATCH(A140,'PP Sample'!$B$5:$B$304,0)),"Pending"))</f>
        <v/>
      </c>
      <c r="H140" s="20" t="str">
        <f>IF(A140="","",IFERROR(INDEX('Production Readiness'!$S$5:$S$304,MATCH(A140,'Production Readiness'!$C$5:$C$304,0)),"Pending"))</f>
        <v/>
      </c>
      <c r="I140" s="20" t="str">
        <f>IF(A140="","",IFERROR(INDEX('Cutting Release'!$P$5:$P$304,MATCH(A140,'Cutting Release'!$C$5:$C$304,0)),"Pending"))</f>
        <v/>
      </c>
      <c r="J140" s="20" t="str">
        <f>IF(A140="","",SUMIF('Cutting Control'!$C$5:$C$304,A140,'Cutting Control'!$K$5:$K$304))</f>
        <v/>
      </c>
      <c r="K140" s="20" t="str">
        <f>IF(A140="","",IFERROR(INDEX('TOP Sample'!$W$5:$W$304,MATCH(A140,'TOP Sample'!$B$5:$B$304,0)),"Pending"))</f>
        <v/>
      </c>
      <c r="L140" s="20" t="str">
        <f>IF(A140="","",SUMIF('Sewing Production'!$E$5:$E$304,A140,'Sewing Production'!$L$5:$L$304))</f>
        <v/>
      </c>
      <c r="M140" s="20" t="str">
        <f>IF(A140="","",IFERROR(INDEX('Inline Quality'!$S$5:$S$304,MATCH(A140,'Inline Quality'!$E$5:$E$304,0)),"Pending"))</f>
        <v/>
      </c>
      <c r="N140" s="20" t="str">
        <f>IF(A140="","",IFERROR(INDEX('Final Inspection'!$U$5:$U$304,MATCH(A140,'Final Inspection'!$C$5:$C$304,0)),"Pending"))</f>
        <v/>
      </c>
      <c r="O140" s="20" t="str">
        <f>IF(A140="","",SUMIF('Packing Control'!$C$5:$C$304,A140,'Packing Control'!$K$5:$K$304))</f>
        <v/>
      </c>
      <c r="P140" s="20" t="str">
        <f>IF(A140="","",SUMIF('Finished Goods'!$C$5:$C$304,A140,'Finished Goods'!$J$5:$J$304))</f>
        <v/>
      </c>
      <c r="Q140" s="20" t="str">
        <f>IF(A140="","",SUMIF('Shipment Control'!$C$5:$C$304,A140,'Shipment Control'!$I$5:$I$304))</f>
        <v/>
      </c>
      <c r="R140" s="20" t="str">
        <f>IF(A140="","",SUMIF('Shipment Control'!$C$5:$C$304,A140,'Shipment Control'!$J$5:$J$304))</f>
        <v/>
      </c>
      <c r="S140" s="20" t="str">
        <f t="shared" si="4"/>
        <v/>
      </c>
      <c r="T140" s="21" t="str">
        <f>IF('FGPO Master'!A134="","",'FGPO Master'!I134)</f>
        <v/>
      </c>
      <c r="U140" s="7" t="str">
        <f>IF(A140="","",IF(COUNTIF('Open Issues'!$D$5:$D$304,A140)&gt;0,"Yellow","Green"))</f>
        <v/>
      </c>
      <c r="V140" s="7" t="str">
        <f>IF('FGPO Master'!A134="","",'FGPO Master'!U134)</f>
        <v/>
      </c>
    </row>
    <row r="141" spans="1:22">
      <c r="A141" s="7" t="str">
        <f>IF('FGPO Master'!A135="","",IF('FGPO Master'!D135="FGPO Pending","FGPO Pending",'FGPO Master'!B135))</f>
        <v/>
      </c>
      <c r="B141" s="7" t="str">
        <f>IF('FGPO Master'!A135="","",'FGPO Master'!F135)</f>
        <v/>
      </c>
      <c r="C141" s="7" t="str">
        <f>IF('FGPO Master'!A135="","",'FGPO Master'!G135)</f>
        <v/>
      </c>
      <c r="D141" s="20" t="str">
        <f>IF('FGPO Master'!A135="","",'FGPO Master'!H135)</f>
        <v/>
      </c>
      <c r="E141" s="20" t="str">
        <f>IF(A141="","",IF(SUMIF('Fabric Inventory'!$C$5:$C$304,A141,'Fabric Inventory'!$O$5:$O$304)&gt;0,"Shortage",IF(SUMIF('Fabric Inventory'!$C$5:$C$304,A141,'Fabric Inventory'!$H$5:$H$304)&gt;0,"Approved","Pending")))</f>
        <v/>
      </c>
      <c r="F141" s="20" t="str">
        <f>IF(A141="","",IF(SUMIF('Trims Control'!$B$5:$B$304,A141,'Trims Control'!$R$5:$R$304)&gt;0,"Shortage",IF(COUNTIFS('Trims Control'!$B$5:$B$304,A141,'Trims Control'!$V$5:$V$304,"Ready")&gt;0,"Ready","Pending")))</f>
        <v/>
      </c>
      <c r="G141" s="20" t="str">
        <f>IF(A141="","",IFERROR(INDEX('PP Sample'!$V$5:$V$304,MATCH(A141,'PP Sample'!$B$5:$B$304,0)),"Pending"))</f>
        <v/>
      </c>
      <c r="H141" s="20" t="str">
        <f>IF(A141="","",IFERROR(INDEX('Production Readiness'!$S$5:$S$304,MATCH(A141,'Production Readiness'!$C$5:$C$304,0)),"Pending"))</f>
        <v/>
      </c>
      <c r="I141" s="20" t="str">
        <f>IF(A141="","",IFERROR(INDEX('Cutting Release'!$P$5:$P$304,MATCH(A141,'Cutting Release'!$C$5:$C$304,0)),"Pending"))</f>
        <v/>
      </c>
      <c r="J141" s="20" t="str">
        <f>IF(A141="","",SUMIF('Cutting Control'!$C$5:$C$304,A141,'Cutting Control'!$K$5:$K$304))</f>
        <v/>
      </c>
      <c r="K141" s="20" t="str">
        <f>IF(A141="","",IFERROR(INDEX('TOP Sample'!$W$5:$W$304,MATCH(A141,'TOP Sample'!$B$5:$B$304,0)),"Pending"))</f>
        <v/>
      </c>
      <c r="L141" s="20" t="str">
        <f>IF(A141="","",SUMIF('Sewing Production'!$E$5:$E$304,A141,'Sewing Production'!$L$5:$L$304))</f>
        <v/>
      </c>
      <c r="M141" s="20" t="str">
        <f>IF(A141="","",IFERROR(INDEX('Inline Quality'!$S$5:$S$304,MATCH(A141,'Inline Quality'!$E$5:$E$304,0)),"Pending"))</f>
        <v/>
      </c>
      <c r="N141" s="20" t="str">
        <f>IF(A141="","",IFERROR(INDEX('Final Inspection'!$U$5:$U$304,MATCH(A141,'Final Inspection'!$C$5:$C$304,0)),"Pending"))</f>
        <v/>
      </c>
      <c r="O141" s="20" t="str">
        <f>IF(A141="","",SUMIF('Packing Control'!$C$5:$C$304,A141,'Packing Control'!$K$5:$K$304))</f>
        <v/>
      </c>
      <c r="P141" s="20" t="str">
        <f>IF(A141="","",SUMIF('Finished Goods'!$C$5:$C$304,A141,'Finished Goods'!$J$5:$J$304))</f>
        <v/>
      </c>
      <c r="Q141" s="20" t="str">
        <f>IF(A141="","",SUMIF('Shipment Control'!$C$5:$C$304,A141,'Shipment Control'!$I$5:$I$304))</f>
        <v/>
      </c>
      <c r="R141" s="20" t="str">
        <f>IF(A141="","",SUMIF('Shipment Control'!$C$5:$C$304,A141,'Shipment Control'!$J$5:$J$304))</f>
        <v/>
      </c>
      <c r="S141" s="20" t="str">
        <f t="shared" si="4"/>
        <v/>
      </c>
      <c r="T141" s="21" t="str">
        <f>IF('FGPO Master'!A135="","",'FGPO Master'!I135)</f>
        <v/>
      </c>
      <c r="U141" s="7" t="str">
        <f>IF(A141="","",IF(COUNTIF('Open Issues'!$D$5:$D$304,A141)&gt;0,"Yellow","Green"))</f>
        <v/>
      </c>
      <c r="V141" s="7" t="str">
        <f>IF('FGPO Master'!A135="","",'FGPO Master'!U135)</f>
        <v/>
      </c>
    </row>
    <row r="142" spans="1:22">
      <c r="A142" s="7" t="str">
        <f>IF('FGPO Master'!A136="","",IF('FGPO Master'!D136="FGPO Pending","FGPO Pending",'FGPO Master'!B136))</f>
        <v/>
      </c>
      <c r="B142" s="7" t="str">
        <f>IF('FGPO Master'!A136="","",'FGPO Master'!F136)</f>
        <v/>
      </c>
      <c r="C142" s="7" t="str">
        <f>IF('FGPO Master'!A136="","",'FGPO Master'!G136)</f>
        <v/>
      </c>
      <c r="D142" s="20" t="str">
        <f>IF('FGPO Master'!A136="","",'FGPO Master'!H136)</f>
        <v/>
      </c>
      <c r="E142" s="20" t="str">
        <f>IF(A142="","",IF(SUMIF('Fabric Inventory'!$C$5:$C$304,A142,'Fabric Inventory'!$O$5:$O$304)&gt;0,"Shortage",IF(SUMIF('Fabric Inventory'!$C$5:$C$304,A142,'Fabric Inventory'!$H$5:$H$304)&gt;0,"Approved","Pending")))</f>
        <v/>
      </c>
      <c r="F142" s="20" t="str">
        <f>IF(A142="","",IF(SUMIF('Trims Control'!$B$5:$B$304,A142,'Trims Control'!$R$5:$R$304)&gt;0,"Shortage",IF(COUNTIFS('Trims Control'!$B$5:$B$304,A142,'Trims Control'!$V$5:$V$304,"Ready")&gt;0,"Ready","Pending")))</f>
        <v/>
      </c>
      <c r="G142" s="20" t="str">
        <f>IF(A142="","",IFERROR(INDEX('PP Sample'!$V$5:$V$304,MATCH(A142,'PP Sample'!$B$5:$B$304,0)),"Pending"))</f>
        <v/>
      </c>
      <c r="H142" s="20" t="str">
        <f>IF(A142="","",IFERROR(INDEX('Production Readiness'!$S$5:$S$304,MATCH(A142,'Production Readiness'!$C$5:$C$304,0)),"Pending"))</f>
        <v/>
      </c>
      <c r="I142" s="20" t="str">
        <f>IF(A142="","",IFERROR(INDEX('Cutting Release'!$P$5:$P$304,MATCH(A142,'Cutting Release'!$C$5:$C$304,0)),"Pending"))</f>
        <v/>
      </c>
      <c r="J142" s="20" t="str">
        <f>IF(A142="","",SUMIF('Cutting Control'!$C$5:$C$304,A142,'Cutting Control'!$K$5:$K$304))</f>
        <v/>
      </c>
      <c r="K142" s="20" t="str">
        <f>IF(A142="","",IFERROR(INDEX('TOP Sample'!$W$5:$W$304,MATCH(A142,'TOP Sample'!$B$5:$B$304,0)),"Pending"))</f>
        <v/>
      </c>
      <c r="L142" s="20" t="str">
        <f>IF(A142="","",SUMIF('Sewing Production'!$E$5:$E$304,A142,'Sewing Production'!$L$5:$L$304))</f>
        <v/>
      </c>
      <c r="M142" s="20" t="str">
        <f>IF(A142="","",IFERROR(INDEX('Inline Quality'!$S$5:$S$304,MATCH(A142,'Inline Quality'!$E$5:$E$304,0)),"Pending"))</f>
        <v/>
      </c>
      <c r="N142" s="20" t="str">
        <f>IF(A142="","",IFERROR(INDEX('Final Inspection'!$U$5:$U$304,MATCH(A142,'Final Inspection'!$C$5:$C$304,0)),"Pending"))</f>
        <v/>
      </c>
      <c r="O142" s="20" t="str">
        <f>IF(A142="","",SUMIF('Packing Control'!$C$5:$C$304,A142,'Packing Control'!$K$5:$K$304))</f>
        <v/>
      </c>
      <c r="P142" s="20" t="str">
        <f>IF(A142="","",SUMIF('Finished Goods'!$C$5:$C$304,A142,'Finished Goods'!$J$5:$J$304))</f>
        <v/>
      </c>
      <c r="Q142" s="20" t="str">
        <f>IF(A142="","",SUMIF('Shipment Control'!$C$5:$C$304,A142,'Shipment Control'!$I$5:$I$304))</f>
        <v/>
      </c>
      <c r="R142" s="20" t="str">
        <f>IF(A142="","",SUMIF('Shipment Control'!$C$5:$C$304,A142,'Shipment Control'!$J$5:$J$304))</f>
        <v/>
      </c>
      <c r="S142" s="20" t="str">
        <f t="shared" si="4"/>
        <v/>
      </c>
      <c r="T142" s="21" t="str">
        <f>IF('FGPO Master'!A136="","",'FGPO Master'!I136)</f>
        <v/>
      </c>
      <c r="U142" s="7" t="str">
        <f>IF(A142="","",IF(COUNTIF('Open Issues'!$D$5:$D$304,A142)&gt;0,"Yellow","Green"))</f>
        <v/>
      </c>
      <c r="V142" s="7" t="str">
        <f>IF('FGPO Master'!A136="","",'FGPO Master'!U136)</f>
        <v/>
      </c>
    </row>
    <row r="143" spans="1:22">
      <c r="A143" s="7" t="str">
        <f>IF('FGPO Master'!A137="","",IF('FGPO Master'!D137="FGPO Pending","FGPO Pending",'FGPO Master'!B137))</f>
        <v/>
      </c>
      <c r="B143" s="7" t="str">
        <f>IF('FGPO Master'!A137="","",'FGPO Master'!F137)</f>
        <v/>
      </c>
      <c r="C143" s="7" t="str">
        <f>IF('FGPO Master'!A137="","",'FGPO Master'!G137)</f>
        <v/>
      </c>
      <c r="D143" s="20" t="str">
        <f>IF('FGPO Master'!A137="","",'FGPO Master'!H137)</f>
        <v/>
      </c>
      <c r="E143" s="20" t="str">
        <f>IF(A143="","",IF(SUMIF('Fabric Inventory'!$C$5:$C$304,A143,'Fabric Inventory'!$O$5:$O$304)&gt;0,"Shortage",IF(SUMIF('Fabric Inventory'!$C$5:$C$304,A143,'Fabric Inventory'!$H$5:$H$304)&gt;0,"Approved","Pending")))</f>
        <v/>
      </c>
      <c r="F143" s="20" t="str">
        <f>IF(A143="","",IF(SUMIF('Trims Control'!$B$5:$B$304,A143,'Trims Control'!$R$5:$R$304)&gt;0,"Shortage",IF(COUNTIFS('Trims Control'!$B$5:$B$304,A143,'Trims Control'!$V$5:$V$304,"Ready")&gt;0,"Ready","Pending")))</f>
        <v/>
      </c>
      <c r="G143" s="20" t="str">
        <f>IF(A143="","",IFERROR(INDEX('PP Sample'!$V$5:$V$304,MATCH(A143,'PP Sample'!$B$5:$B$304,0)),"Pending"))</f>
        <v/>
      </c>
      <c r="H143" s="20" t="str">
        <f>IF(A143="","",IFERROR(INDEX('Production Readiness'!$S$5:$S$304,MATCH(A143,'Production Readiness'!$C$5:$C$304,0)),"Pending"))</f>
        <v/>
      </c>
      <c r="I143" s="20" t="str">
        <f>IF(A143="","",IFERROR(INDEX('Cutting Release'!$P$5:$P$304,MATCH(A143,'Cutting Release'!$C$5:$C$304,0)),"Pending"))</f>
        <v/>
      </c>
      <c r="J143" s="20" t="str">
        <f>IF(A143="","",SUMIF('Cutting Control'!$C$5:$C$304,A143,'Cutting Control'!$K$5:$K$304))</f>
        <v/>
      </c>
      <c r="K143" s="20" t="str">
        <f>IF(A143="","",IFERROR(INDEX('TOP Sample'!$W$5:$W$304,MATCH(A143,'TOP Sample'!$B$5:$B$304,0)),"Pending"))</f>
        <v/>
      </c>
      <c r="L143" s="20" t="str">
        <f>IF(A143="","",SUMIF('Sewing Production'!$E$5:$E$304,A143,'Sewing Production'!$L$5:$L$304))</f>
        <v/>
      </c>
      <c r="M143" s="20" t="str">
        <f>IF(A143="","",IFERROR(INDEX('Inline Quality'!$S$5:$S$304,MATCH(A143,'Inline Quality'!$E$5:$E$304,0)),"Pending"))</f>
        <v/>
      </c>
      <c r="N143" s="20" t="str">
        <f>IF(A143="","",IFERROR(INDEX('Final Inspection'!$U$5:$U$304,MATCH(A143,'Final Inspection'!$C$5:$C$304,0)),"Pending"))</f>
        <v/>
      </c>
      <c r="O143" s="20" t="str">
        <f>IF(A143="","",SUMIF('Packing Control'!$C$5:$C$304,A143,'Packing Control'!$K$5:$K$304))</f>
        <v/>
      </c>
      <c r="P143" s="20" t="str">
        <f>IF(A143="","",SUMIF('Finished Goods'!$C$5:$C$304,A143,'Finished Goods'!$J$5:$J$304))</f>
        <v/>
      </c>
      <c r="Q143" s="20" t="str">
        <f>IF(A143="","",SUMIF('Shipment Control'!$C$5:$C$304,A143,'Shipment Control'!$I$5:$I$304))</f>
        <v/>
      </c>
      <c r="R143" s="20" t="str">
        <f>IF(A143="","",SUMIF('Shipment Control'!$C$5:$C$304,A143,'Shipment Control'!$J$5:$J$304))</f>
        <v/>
      </c>
      <c r="S143" s="20" t="str">
        <f t="shared" si="4"/>
        <v/>
      </c>
      <c r="T143" s="21" t="str">
        <f>IF('FGPO Master'!A137="","",'FGPO Master'!I137)</f>
        <v/>
      </c>
      <c r="U143" s="7" t="str">
        <f>IF(A143="","",IF(COUNTIF('Open Issues'!$D$5:$D$304,A143)&gt;0,"Yellow","Green"))</f>
        <v/>
      </c>
      <c r="V143" s="7" t="str">
        <f>IF('FGPO Master'!A137="","",'FGPO Master'!U137)</f>
        <v/>
      </c>
    </row>
    <row r="144" spans="1:22">
      <c r="A144" s="7" t="str">
        <f>IF('FGPO Master'!A138="","",IF('FGPO Master'!D138="FGPO Pending","FGPO Pending",'FGPO Master'!B138))</f>
        <v/>
      </c>
      <c r="B144" s="7" t="str">
        <f>IF('FGPO Master'!A138="","",'FGPO Master'!F138)</f>
        <v/>
      </c>
      <c r="C144" s="7" t="str">
        <f>IF('FGPO Master'!A138="","",'FGPO Master'!G138)</f>
        <v/>
      </c>
      <c r="D144" s="20" t="str">
        <f>IF('FGPO Master'!A138="","",'FGPO Master'!H138)</f>
        <v/>
      </c>
      <c r="E144" s="20" t="str">
        <f>IF(A144="","",IF(SUMIF('Fabric Inventory'!$C$5:$C$304,A144,'Fabric Inventory'!$O$5:$O$304)&gt;0,"Shortage",IF(SUMIF('Fabric Inventory'!$C$5:$C$304,A144,'Fabric Inventory'!$H$5:$H$304)&gt;0,"Approved","Pending")))</f>
        <v/>
      </c>
      <c r="F144" s="20" t="str">
        <f>IF(A144="","",IF(SUMIF('Trims Control'!$B$5:$B$304,A144,'Trims Control'!$R$5:$R$304)&gt;0,"Shortage",IF(COUNTIFS('Trims Control'!$B$5:$B$304,A144,'Trims Control'!$V$5:$V$304,"Ready")&gt;0,"Ready","Pending")))</f>
        <v/>
      </c>
      <c r="G144" s="20" t="str">
        <f>IF(A144="","",IFERROR(INDEX('PP Sample'!$V$5:$V$304,MATCH(A144,'PP Sample'!$B$5:$B$304,0)),"Pending"))</f>
        <v/>
      </c>
      <c r="H144" s="20" t="str">
        <f>IF(A144="","",IFERROR(INDEX('Production Readiness'!$S$5:$S$304,MATCH(A144,'Production Readiness'!$C$5:$C$304,0)),"Pending"))</f>
        <v/>
      </c>
      <c r="I144" s="20" t="str">
        <f>IF(A144="","",IFERROR(INDEX('Cutting Release'!$P$5:$P$304,MATCH(A144,'Cutting Release'!$C$5:$C$304,0)),"Pending"))</f>
        <v/>
      </c>
      <c r="J144" s="20" t="str">
        <f>IF(A144="","",SUMIF('Cutting Control'!$C$5:$C$304,A144,'Cutting Control'!$K$5:$K$304))</f>
        <v/>
      </c>
      <c r="K144" s="20" t="str">
        <f>IF(A144="","",IFERROR(INDEX('TOP Sample'!$W$5:$W$304,MATCH(A144,'TOP Sample'!$B$5:$B$304,0)),"Pending"))</f>
        <v/>
      </c>
      <c r="L144" s="20" t="str">
        <f>IF(A144="","",SUMIF('Sewing Production'!$E$5:$E$304,A144,'Sewing Production'!$L$5:$L$304))</f>
        <v/>
      </c>
      <c r="M144" s="20" t="str">
        <f>IF(A144="","",IFERROR(INDEX('Inline Quality'!$S$5:$S$304,MATCH(A144,'Inline Quality'!$E$5:$E$304,0)),"Pending"))</f>
        <v/>
      </c>
      <c r="N144" s="20" t="str">
        <f>IF(A144="","",IFERROR(INDEX('Final Inspection'!$U$5:$U$304,MATCH(A144,'Final Inspection'!$C$5:$C$304,0)),"Pending"))</f>
        <v/>
      </c>
      <c r="O144" s="20" t="str">
        <f>IF(A144="","",SUMIF('Packing Control'!$C$5:$C$304,A144,'Packing Control'!$K$5:$K$304))</f>
        <v/>
      </c>
      <c r="P144" s="20" t="str">
        <f>IF(A144="","",SUMIF('Finished Goods'!$C$5:$C$304,A144,'Finished Goods'!$J$5:$J$304))</f>
        <v/>
      </c>
      <c r="Q144" s="20" t="str">
        <f>IF(A144="","",SUMIF('Shipment Control'!$C$5:$C$304,A144,'Shipment Control'!$I$5:$I$304))</f>
        <v/>
      </c>
      <c r="R144" s="20" t="str">
        <f>IF(A144="","",SUMIF('Shipment Control'!$C$5:$C$304,A144,'Shipment Control'!$J$5:$J$304))</f>
        <v/>
      </c>
      <c r="S144" s="20" t="str">
        <f t="shared" si="4"/>
        <v/>
      </c>
      <c r="T144" s="21" t="str">
        <f>IF('FGPO Master'!A138="","",'FGPO Master'!I138)</f>
        <v/>
      </c>
      <c r="U144" s="7" t="str">
        <f>IF(A144="","",IF(COUNTIF('Open Issues'!$D$5:$D$304,A144)&gt;0,"Yellow","Green"))</f>
        <v/>
      </c>
      <c r="V144" s="7" t="str">
        <f>IF('FGPO Master'!A138="","",'FGPO Master'!U138)</f>
        <v/>
      </c>
    </row>
    <row r="145" spans="1:22">
      <c r="A145" s="7" t="str">
        <f>IF('FGPO Master'!A139="","",IF('FGPO Master'!D139="FGPO Pending","FGPO Pending",'FGPO Master'!B139))</f>
        <v/>
      </c>
      <c r="B145" s="7" t="str">
        <f>IF('FGPO Master'!A139="","",'FGPO Master'!F139)</f>
        <v/>
      </c>
      <c r="C145" s="7" t="str">
        <f>IF('FGPO Master'!A139="","",'FGPO Master'!G139)</f>
        <v/>
      </c>
      <c r="D145" s="20" t="str">
        <f>IF('FGPO Master'!A139="","",'FGPO Master'!H139)</f>
        <v/>
      </c>
      <c r="E145" s="20" t="str">
        <f>IF(A145="","",IF(SUMIF('Fabric Inventory'!$C$5:$C$304,A145,'Fabric Inventory'!$O$5:$O$304)&gt;0,"Shortage",IF(SUMIF('Fabric Inventory'!$C$5:$C$304,A145,'Fabric Inventory'!$H$5:$H$304)&gt;0,"Approved","Pending")))</f>
        <v/>
      </c>
      <c r="F145" s="20" t="str">
        <f>IF(A145="","",IF(SUMIF('Trims Control'!$B$5:$B$304,A145,'Trims Control'!$R$5:$R$304)&gt;0,"Shortage",IF(COUNTIFS('Trims Control'!$B$5:$B$304,A145,'Trims Control'!$V$5:$V$304,"Ready")&gt;0,"Ready","Pending")))</f>
        <v/>
      </c>
      <c r="G145" s="20" t="str">
        <f>IF(A145="","",IFERROR(INDEX('PP Sample'!$V$5:$V$304,MATCH(A145,'PP Sample'!$B$5:$B$304,0)),"Pending"))</f>
        <v/>
      </c>
      <c r="H145" s="20" t="str">
        <f>IF(A145="","",IFERROR(INDEX('Production Readiness'!$S$5:$S$304,MATCH(A145,'Production Readiness'!$C$5:$C$304,0)),"Pending"))</f>
        <v/>
      </c>
      <c r="I145" s="20" t="str">
        <f>IF(A145="","",IFERROR(INDEX('Cutting Release'!$P$5:$P$304,MATCH(A145,'Cutting Release'!$C$5:$C$304,0)),"Pending"))</f>
        <v/>
      </c>
      <c r="J145" s="20" t="str">
        <f>IF(A145="","",SUMIF('Cutting Control'!$C$5:$C$304,A145,'Cutting Control'!$K$5:$K$304))</f>
        <v/>
      </c>
      <c r="K145" s="20" t="str">
        <f>IF(A145="","",IFERROR(INDEX('TOP Sample'!$W$5:$W$304,MATCH(A145,'TOP Sample'!$B$5:$B$304,0)),"Pending"))</f>
        <v/>
      </c>
      <c r="L145" s="20" t="str">
        <f>IF(A145="","",SUMIF('Sewing Production'!$E$5:$E$304,A145,'Sewing Production'!$L$5:$L$304))</f>
        <v/>
      </c>
      <c r="M145" s="20" t="str">
        <f>IF(A145="","",IFERROR(INDEX('Inline Quality'!$S$5:$S$304,MATCH(A145,'Inline Quality'!$E$5:$E$304,0)),"Pending"))</f>
        <v/>
      </c>
      <c r="N145" s="20" t="str">
        <f>IF(A145="","",IFERROR(INDEX('Final Inspection'!$U$5:$U$304,MATCH(A145,'Final Inspection'!$C$5:$C$304,0)),"Pending"))</f>
        <v/>
      </c>
      <c r="O145" s="20" t="str">
        <f>IF(A145="","",SUMIF('Packing Control'!$C$5:$C$304,A145,'Packing Control'!$K$5:$K$304))</f>
        <v/>
      </c>
      <c r="P145" s="20" t="str">
        <f>IF(A145="","",SUMIF('Finished Goods'!$C$5:$C$304,A145,'Finished Goods'!$J$5:$J$304))</f>
        <v/>
      </c>
      <c r="Q145" s="20" t="str">
        <f>IF(A145="","",SUMIF('Shipment Control'!$C$5:$C$304,A145,'Shipment Control'!$I$5:$I$304))</f>
        <v/>
      </c>
      <c r="R145" s="20" t="str">
        <f>IF(A145="","",SUMIF('Shipment Control'!$C$5:$C$304,A145,'Shipment Control'!$J$5:$J$304))</f>
        <v/>
      </c>
      <c r="S145" s="20" t="str">
        <f t="shared" si="4"/>
        <v/>
      </c>
      <c r="T145" s="21" t="str">
        <f>IF('FGPO Master'!A139="","",'FGPO Master'!I139)</f>
        <v/>
      </c>
      <c r="U145" s="7" t="str">
        <f>IF(A145="","",IF(COUNTIF('Open Issues'!$D$5:$D$304,A145)&gt;0,"Yellow","Green"))</f>
        <v/>
      </c>
      <c r="V145" s="7" t="str">
        <f>IF('FGPO Master'!A139="","",'FGPO Master'!U139)</f>
        <v/>
      </c>
    </row>
    <row r="146" spans="1:22">
      <c r="A146" s="7" t="str">
        <f>IF('FGPO Master'!A140="","",IF('FGPO Master'!D140="FGPO Pending","FGPO Pending",'FGPO Master'!B140))</f>
        <v/>
      </c>
      <c r="B146" s="7" t="str">
        <f>IF('FGPO Master'!A140="","",'FGPO Master'!F140)</f>
        <v/>
      </c>
      <c r="C146" s="7" t="str">
        <f>IF('FGPO Master'!A140="","",'FGPO Master'!G140)</f>
        <v/>
      </c>
      <c r="D146" s="20" t="str">
        <f>IF('FGPO Master'!A140="","",'FGPO Master'!H140)</f>
        <v/>
      </c>
      <c r="E146" s="20" t="str">
        <f>IF(A146="","",IF(SUMIF('Fabric Inventory'!$C$5:$C$304,A146,'Fabric Inventory'!$O$5:$O$304)&gt;0,"Shortage",IF(SUMIF('Fabric Inventory'!$C$5:$C$304,A146,'Fabric Inventory'!$H$5:$H$304)&gt;0,"Approved","Pending")))</f>
        <v/>
      </c>
      <c r="F146" s="20" t="str">
        <f>IF(A146="","",IF(SUMIF('Trims Control'!$B$5:$B$304,A146,'Trims Control'!$R$5:$R$304)&gt;0,"Shortage",IF(COUNTIFS('Trims Control'!$B$5:$B$304,A146,'Trims Control'!$V$5:$V$304,"Ready")&gt;0,"Ready","Pending")))</f>
        <v/>
      </c>
      <c r="G146" s="20" t="str">
        <f>IF(A146="","",IFERROR(INDEX('PP Sample'!$V$5:$V$304,MATCH(A146,'PP Sample'!$B$5:$B$304,0)),"Pending"))</f>
        <v/>
      </c>
      <c r="H146" s="20" t="str">
        <f>IF(A146="","",IFERROR(INDEX('Production Readiness'!$S$5:$S$304,MATCH(A146,'Production Readiness'!$C$5:$C$304,0)),"Pending"))</f>
        <v/>
      </c>
      <c r="I146" s="20" t="str">
        <f>IF(A146="","",IFERROR(INDEX('Cutting Release'!$P$5:$P$304,MATCH(A146,'Cutting Release'!$C$5:$C$304,0)),"Pending"))</f>
        <v/>
      </c>
      <c r="J146" s="20" t="str">
        <f>IF(A146="","",SUMIF('Cutting Control'!$C$5:$C$304,A146,'Cutting Control'!$K$5:$K$304))</f>
        <v/>
      </c>
      <c r="K146" s="20" t="str">
        <f>IF(A146="","",IFERROR(INDEX('TOP Sample'!$W$5:$W$304,MATCH(A146,'TOP Sample'!$B$5:$B$304,0)),"Pending"))</f>
        <v/>
      </c>
      <c r="L146" s="20" t="str">
        <f>IF(A146="","",SUMIF('Sewing Production'!$E$5:$E$304,A146,'Sewing Production'!$L$5:$L$304))</f>
        <v/>
      </c>
      <c r="M146" s="20" t="str">
        <f>IF(A146="","",IFERROR(INDEX('Inline Quality'!$S$5:$S$304,MATCH(A146,'Inline Quality'!$E$5:$E$304,0)),"Pending"))</f>
        <v/>
      </c>
      <c r="N146" s="20" t="str">
        <f>IF(A146="","",IFERROR(INDEX('Final Inspection'!$U$5:$U$304,MATCH(A146,'Final Inspection'!$C$5:$C$304,0)),"Pending"))</f>
        <v/>
      </c>
      <c r="O146" s="20" t="str">
        <f>IF(A146="","",SUMIF('Packing Control'!$C$5:$C$304,A146,'Packing Control'!$K$5:$K$304))</f>
        <v/>
      </c>
      <c r="P146" s="20" t="str">
        <f>IF(A146="","",SUMIF('Finished Goods'!$C$5:$C$304,A146,'Finished Goods'!$J$5:$J$304))</f>
        <v/>
      </c>
      <c r="Q146" s="20" t="str">
        <f>IF(A146="","",SUMIF('Shipment Control'!$C$5:$C$304,A146,'Shipment Control'!$I$5:$I$304))</f>
        <v/>
      </c>
      <c r="R146" s="20" t="str">
        <f>IF(A146="","",SUMIF('Shipment Control'!$C$5:$C$304,A146,'Shipment Control'!$J$5:$J$304))</f>
        <v/>
      </c>
      <c r="S146" s="20" t="str">
        <f t="shared" si="4"/>
        <v/>
      </c>
      <c r="T146" s="21" t="str">
        <f>IF('FGPO Master'!A140="","",'FGPO Master'!I140)</f>
        <v/>
      </c>
      <c r="U146" s="7" t="str">
        <f>IF(A146="","",IF(COUNTIF('Open Issues'!$D$5:$D$304,A146)&gt;0,"Yellow","Green"))</f>
        <v/>
      </c>
      <c r="V146" s="7" t="str">
        <f>IF('FGPO Master'!A140="","",'FGPO Master'!U140)</f>
        <v/>
      </c>
    </row>
    <row r="147" spans="1:22">
      <c r="A147" s="7" t="str">
        <f>IF('FGPO Master'!A141="","",IF('FGPO Master'!D141="FGPO Pending","FGPO Pending",'FGPO Master'!B141))</f>
        <v/>
      </c>
      <c r="B147" s="7" t="str">
        <f>IF('FGPO Master'!A141="","",'FGPO Master'!F141)</f>
        <v/>
      </c>
      <c r="C147" s="7" t="str">
        <f>IF('FGPO Master'!A141="","",'FGPO Master'!G141)</f>
        <v/>
      </c>
      <c r="D147" s="20" t="str">
        <f>IF('FGPO Master'!A141="","",'FGPO Master'!H141)</f>
        <v/>
      </c>
      <c r="E147" s="20" t="str">
        <f>IF(A147="","",IF(SUMIF('Fabric Inventory'!$C$5:$C$304,A147,'Fabric Inventory'!$O$5:$O$304)&gt;0,"Shortage",IF(SUMIF('Fabric Inventory'!$C$5:$C$304,A147,'Fabric Inventory'!$H$5:$H$304)&gt;0,"Approved","Pending")))</f>
        <v/>
      </c>
      <c r="F147" s="20" t="str">
        <f>IF(A147="","",IF(SUMIF('Trims Control'!$B$5:$B$304,A147,'Trims Control'!$R$5:$R$304)&gt;0,"Shortage",IF(COUNTIFS('Trims Control'!$B$5:$B$304,A147,'Trims Control'!$V$5:$V$304,"Ready")&gt;0,"Ready","Pending")))</f>
        <v/>
      </c>
      <c r="G147" s="20" t="str">
        <f>IF(A147="","",IFERROR(INDEX('PP Sample'!$V$5:$V$304,MATCH(A147,'PP Sample'!$B$5:$B$304,0)),"Pending"))</f>
        <v/>
      </c>
      <c r="H147" s="20" t="str">
        <f>IF(A147="","",IFERROR(INDEX('Production Readiness'!$S$5:$S$304,MATCH(A147,'Production Readiness'!$C$5:$C$304,0)),"Pending"))</f>
        <v/>
      </c>
      <c r="I147" s="20" t="str">
        <f>IF(A147="","",IFERROR(INDEX('Cutting Release'!$P$5:$P$304,MATCH(A147,'Cutting Release'!$C$5:$C$304,0)),"Pending"))</f>
        <v/>
      </c>
      <c r="J147" s="20" t="str">
        <f>IF(A147="","",SUMIF('Cutting Control'!$C$5:$C$304,A147,'Cutting Control'!$K$5:$K$304))</f>
        <v/>
      </c>
      <c r="K147" s="20" t="str">
        <f>IF(A147="","",IFERROR(INDEX('TOP Sample'!$W$5:$W$304,MATCH(A147,'TOP Sample'!$B$5:$B$304,0)),"Pending"))</f>
        <v/>
      </c>
      <c r="L147" s="20" t="str">
        <f>IF(A147="","",SUMIF('Sewing Production'!$E$5:$E$304,A147,'Sewing Production'!$L$5:$L$304))</f>
        <v/>
      </c>
      <c r="M147" s="20" t="str">
        <f>IF(A147="","",IFERROR(INDEX('Inline Quality'!$S$5:$S$304,MATCH(A147,'Inline Quality'!$E$5:$E$304,0)),"Pending"))</f>
        <v/>
      </c>
      <c r="N147" s="20" t="str">
        <f>IF(A147="","",IFERROR(INDEX('Final Inspection'!$U$5:$U$304,MATCH(A147,'Final Inspection'!$C$5:$C$304,0)),"Pending"))</f>
        <v/>
      </c>
      <c r="O147" s="20" t="str">
        <f>IF(A147="","",SUMIF('Packing Control'!$C$5:$C$304,A147,'Packing Control'!$K$5:$K$304))</f>
        <v/>
      </c>
      <c r="P147" s="20" t="str">
        <f>IF(A147="","",SUMIF('Finished Goods'!$C$5:$C$304,A147,'Finished Goods'!$J$5:$J$304))</f>
        <v/>
      </c>
      <c r="Q147" s="20" t="str">
        <f>IF(A147="","",SUMIF('Shipment Control'!$C$5:$C$304,A147,'Shipment Control'!$I$5:$I$304))</f>
        <v/>
      </c>
      <c r="R147" s="20" t="str">
        <f>IF(A147="","",SUMIF('Shipment Control'!$C$5:$C$304,A147,'Shipment Control'!$J$5:$J$304))</f>
        <v/>
      </c>
      <c r="S147" s="20" t="str">
        <f t="shared" si="4"/>
        <v/>
      </c>
      <c r="T147" s="21" t="str">
        <f>IF('FGPO Master'!A141="","",'FGPO Master'!I141)</f>
        <v/>
      </c>
      <c r="U147" s="7" t="str">
        <f>IF(A147="","",IF(COUNTIF('Open Issues'!$D$5:$D$304,A147)&gt;0,"Yellow","Green"))</f>
        <v/>
      </c>
      <c r="V147" s="7" t="str">
        <f>IF('FGPO Master'!A141="","",'FGPO Master'!U141)</f>
        <v/>
      </c>
    </row>
    <row r="148" spans="1:22">
      <c r="A148" s="7" t="str">
        <f>IF('FGPO Master'!A142="","",IF('FGPO Master'!D142="FGPO Pending","FGPO Pending",'FGPO Master'!B142))</f>
        <v/>
      </c>
      <c r="B148" s="7" t="str">
        <f>IF('FGPO Master'!A142="","",'FGPO Master'!F142)</f>
        <v/>
      </c>
      <c r="C148" s="7" t="str">
        <f>IF('FGPO Master'!A142="","",'FGPO Master'!G142)</f>
        <v/>
      </c>
      <c r="D148" s="20" t="str">
        <f>IF('FGPO Master'!A142="","",'FGPO Master'!H142)</f>
        <v/>
      </c>
      <c r="E148" s="20" t="str">
        <f>IF(A148="","",IF(SUMIF('Fabric Inventory'!$C$5:$C$304,A148,'Fabric Inventory'!$O$5:$O$304)&gt;0,"Shortage",IF(SUMIF('Fabric Inventory'!$C$5:$C$304,A148,'Fabric Inventory'!$H$5:$H$304)&gt;0,"Approved","Pending")))</f>
        <v/>
      </c>
      <c r="F148" s="20" t="str">
        <f>IF(A148="","",IF(SUMIF('Trims Control'!$B$5:$B$304,A148,'Trims Control'!$R$5:$R$304)&gt;0,"Shortage",IF(COUNTIFS('Trims Control'!$B$5:$B$304,A148,'Trims Control'!$V$5:$V$304,"Ready")&gt;0,"Ready","Pending")))</f>
        <v/>
      </c>
      <c r="G148" s="20" t="str">
        <f>IF(A148="","",IFERROR(INDEX('PP Sample'!$V$5:$V$304,MATCH(A148,'PP Sample'!$B$5:$B$304,0)),"Pending"))</f>
        <v/>
      </c>
      <c r="H148" s="20" t="str">
        <f>IF(A148="","",IFERROR(INDEX('Production Readiness'!$S$5:$S$304,MATCH(A148,'Production Readiness'!$C$5:$C$304,0)),"Pending"))</f>
        <v/>
      </c>
      <c r="I148" s="20" t="str">
        <f>IF(A148="","",IFERROR(INDEX('Cutting Release'!$P$5:$P$304,MATCH(A148,'Cutting Release'!$C$5:$C$304,0)),"Pending"))</f>
        <v/>
      </c>
      <c r="J148" s="20" t="str">
        <f>IF(A148="","",SUMIF('Cutting Control'!$C$5:$C$304,A148,'Cutting Control'!$K$5:$K$304))</f>
        <v/>
      </c>
      <c r="K148" s="20" t="str">
        <f>IF(A148="","",IFERROR(INDEX('TOP Sample'!$W$5:$W$304,MATCH(A148,'TOP Sample'!$B$5:$B$304,0)),"Pending"))</f>
        <v/>
      </c>
      <c r="L148" s="20" t="str">
        <f>IF(A148="","",SUMIF('Sewing Production'!$E$5:$E$304,A148,'Sewing Production'!$L$5:$L$304))</f>
        <v/>
      </c>
      <c r="M148" s="20" t="str">
        <f>IF(A148="","",IFERROR(INDEX('Inline Quality'!$S$5:$S$304,MATCH(A148,'Inline Quality'!$E$5:$E$304,0)),"Pending"))</f>
        <v/>
      </c>
      <c r="N148" s="20" t="str">
        <f>IF(A148="","",IFERROR(INDEX('Final Inspection'!$U$5:$U$304,MATCH(A148,'Final Inspection'!$C$5:$C$304,0)),"Pending"))</f>
        <v/>
      </c>
      <c r="O148" s="20" t="str">
        <f>IF(A148="","",SUMIF('Packing Control'!$C$5:$C$304,A148,'Packing Control'!$K$5:$K$304))</f>
        <v/>
      </c>
      <c r="P148" s="20" t="str">
        <f>IF(A148="","",SUMIF('Finished Goods'!$C$5:$C$304,A148,'Finished Goods'!$J$5:$J$304))</f>
        <v/>
      </c>
      <c r="Q148" s="20" t="str">
        <f>IF(A148="","",SUMIF('Shipment Control'!$C$5:$C$304,A148,'Shipment Control'!$I$5:$I$304))</f>
        <v/>
      </c>
      <c r="R148" s="20" t="str">
        <f>IF(A148="","",SUMIF('Shipment Control'!$C$5:$C$304,A148,'Shipment Control'!$J$5:$J$304))</f>
        <v/>
      </c>
      <c r="S148" s="20" t="str">
        <f t="shared" si="4"/>
        <v/>
      </c>
      <c r="T148" s="21" t="str">
        <f>IF('FGPO Master'!A142="","",'FGPO Master'!I142)</f>
        <v/>
      </c>
      <c r="U148" s="7" t="str">
        <f>IF(A148="","",IF(COUNTIF('Open Issues'!$D$5:$D$304,A148)&gt;0,"Yellow","Green"))</f>
        <v/>
      </c>
      <c r="V148" s="7" t="str">
        <f>IF('FGPO Master'!A142="","",'FGPO Master'!U142)</f>
        <v/>
      </c>
    </row>
    <row r="149" spans="1:22">
      <c r="A149" s="7" t="str">
        <f>IF('FGPO Master'!A143="","",IF('FGPO Master'!D143="FGPO Pending","FGPO Pending",'FGPO Master'!B143))</f>
        <v/>
      </c>
      <c r="B149" s="7" t="str">
        <f>IF('FGPO Master'!A143="","",'FGPO Master'!F143)</f>
        <v/>
      </c>
      <c r="C149" s="7" t="str">
        <f>IF('FGPO Master'!A143="","",'FGPO Master'!G143)</f>
        <v/>
      </c>
      <c r="D149" s="20" t="str">
        <f>IF('FGPO Master'!A143="","",'FGPO Master'!H143)</f>
        <v/>
      </c>
      <c r="E149" s="20" t="str">
        <f>IF(A149="","",IF(SUMIF('Fabric Inventory'!$C$5:$C$304,A149,'Fabric Inventory'!$O$5:$O$304)&gt;0,"Shortage",IF(SUMIF('Fabric Inventory'!$C$5:$C$304,A149,'Fabric Inventory'!$H$5:$H$304)&gt;0,"Approved","Pending")))</f>
        <v/>
      </c>
      <c r="F149" s="20" t="str">
        <f>IF(A149="","",IF(SUMIF('Trims Control'!$B$5:$B$304,A149,'Trims Control'!$R$5:$R$304)&gt;0,"Shortage",IF(COUNTIFS('Trims Control'!$B$5:$B$304,A149,'Trims Control'!$V$5:$V$304,"Ready")&gt;0,"Ready","Pending")))</f>
        <v/>
      </c>
      <c r="G149" s="20" t="str">
        <f>IF(A149="","",IFERROR(INDEX('PP Sample'!$V$5:$V$304,MATCH(A149,'PP Sample'!$B$5:$B$304,0)),"Pending"))</f>
        <v/>
      </c>
      <c r="H149" s="20" t="str">
        <f>IF(A149="","",IFERROR(INDEX('Production Readiness'!$S$5:$S$304,MATCH(A149,'Production Readiness'!$C$5:$C$304,0)),"Pending"))</f>
        <v/>
      </c>
      <c r="I149" s="20" t="str">
        <f>IF(A149="","",IFERROR(INDEX('Cutting Release'!$P$5:$P$304,MATCH(A149,'Cutting Release'!$C$5:$C$304,0)),"Pending"))</f>
        <v/>
      </c>
      <c r="J149" s="20" t="str">
        <f>IF(A149="","",SUMIF('Cutting Control'!$C$5:$C$304,A149,'Cutting Control'!$K$5:$K$304))</f>
        <v/>
      </c>
      <c r="K149" s="20" t="str">
        <f>IF(A149="","",IFERROR(INDEX('TOP Sample'!$W$5:$W$304,MATCH(A149,'TOP Sample'!$B$5:$B$304,0)),"Pending"))</f>
        <v/>
      </c>
      <c r="L149" s="20" t="str">
        <f>IF(A149="","",SUMIF('Sewing Production'!$E$5:$E$304,A149,'Sewing Production'!$L$5:$L$304))</f>
        <v/>
      </c>
      <c r="M149" s="20" t="str">
        <f>IF(A149="","",IFERROR(INDEX('Inline Quality'!$S$5:$S$304,MATCH(A149,'Inline Quality'!$E$5:$E$304,0)),"Pending"))</f>
        <v/>
      </c>
      <c r="N149" s="20" t="str">
        <f>IF(A149="","",IFERROR(INDEX('Final Inspection'!$U$5:$U$304,MATCH(A149,'Final Inspection'!$C$5:$C$304,0)),"Pending"))</f>
        <v/>
      </c>
      <c r="O149" s="20" t="str">
        <f>IF(A149="","",SUMIF('Packing Control'!$C$5:$C$304,A149,'Packing Control'!$K$5:$K$304))</f>
        <v/>
      </c>
      <c r="P149" s="20" t="str">
        <f>IF(A149="","",SUMIF('Finished Goods'!$C$5:$C$304,A149,'Finished Goods'!$J$5:$J$304))</f>
        <v/>
      </c>
      <c r="Q149" s="20" t="str">
        <f>IF(A149="","",SUMIF('Shipment Control'!$C$5:$C$304,A149,'Shipment Control'!$I$5:$I$304))</f>
        <v/>
      </c>
      <c r="R149" s="20" t="str">
        <f>IF(A149="","",SUMIF('Shipment Control'!$C$5:$C$304,A149,'Shipment Control'!$J$5:$J$304))</f>
        <v/>
      </c>
      <c r="S149" s="20" t="str">
        <f t="shared" si="4"/>
        <v/>
      </c>
      <c r="T149" s="21" t="str">
        <f>IF('FGPO Master'!A143="","",'FGPO Master'!I143)</f>
        <v/>
      </c>
      <c r="U149" s="7" t="str">
        <f>IF(A149="","",IF(COUNTIF('Open Issues'!$D$5:$D$304,A149)&gt;0,"Yellow","Green"))</f>
        <v/>
      </c>
      <c r="V149" s="7" t="str">
        <f>IF('FGPO Master'!A143="","",'FGPO Master'!U143)</f>
        <v/>
      </c>
    </row>
    <row r="150" spans="1:22">
      <c r="A150" s="7" t="str">
        <f>IF('FGPO Master'!A144="","",IF('FGPO Master'!D144="FGPO Pending","FGPO Pending",'FGPO Master'!B144))</f>
        <v/>
      </c>
      <c r="B150" s="7" t="str">
        <f>IF('FGPO Master'!A144="","",'FGPO Master'!F144)</f>
        <v/>
      </c>
      <c r="C150" s="7" t="str">
        <f>IF('FGPO Master'!A144="","",'FGPO Master'!G144)</f>
        <v/>
      </c>
      <c r="D150" s="20" t="str">
        <f>IF('FGPO Master'!A144="","",'FGPO Master'!H144)</f>
        <v/>
      </c>
      <c r="E150" s="20" t="str">
        <f>IF(A150="","",IF(SUMIF('Fabric Inventory'!$C$5:$C$304,A150,'Fabric Inventory'!$O$5:$O$304)&gt;0,"Shortage",IF(SUMIF('Fabric Inventory'!$C$5:$C$304,A150,'Fabric Inventory'!$H$5:$H$304)&gt;0,"Approved","Pending")))</f>
        <v/>
      </c>
      <c r="F150" s="20" t="str">
        <f>IF(A150="","",IF(SUMIF('Trims Control'!$B$5:$B$304,A150,'Trims Control'!$R$5:$R$304)&gt;0,"Shortage",IF(COUNTIFS('Trims Control'!$B$5:$B$304,A150,'Trims Control'!$V$5:$V$304,"Ready")&gt;0,"Ready","Pending")))</f>
        <v/>
      </c>
      <c r="G150" s="20" t="str">
        <f>IF(A150="","",IFERROR(INDEX('PP Sample'!$V$5:$V$304,MATCH(A150,'PP Sample'!$B$5:$B$304,0)),"Pending"))</f>
        <v/>
      </c>
      <c r="H150" s="20" t="str">
        <f>IF(A150="","",IFERROR(INDEX('Production Readiness'!$S$5:$S$304,MATCH(A150,'Production Readiness'!$C$5:$C$304,0)),"Pending"))</f>
        <v/>
      </c>
      <c r="I150" s="20" t="str">
        <f>IF(A150="","",IFERROR(INDEX('Cutting Release'!$P$5:$P$304,MATCH(A150,'Cutting Release'!$C$5:$C$304,0)),"Pending"))</f>
        <v/>
      </c>
      <c r="J150" s="20" t="str">
        <f>IF(A150="","",SUMIF('Cutting Control'!$C$5:$C$304,A150,'Cutting Control'!$K$5:$K$304))</f>
        <v/>
      </c>
      <c r="K150" s="20" t="str">
        <f>IF(A150="","",IFERROR(INDEX('TOP Sample'!$W$5:$W$304,MATCH(A150,'TOP Sample'!$B$5:$B$304,0)),"Pending"))</f>
        <v/>
      </c>
      <c r="L150" s="20" t="str">
        <f>IF(A150="","",SUMIF('Sewing Production'!$E$5:$E$304,A150,'Sewing Production'!$L$5:$L$304))</f>
        <v/>
      </c>
      <c r="M150" s="20" t="str">
        <f>IF(A150="","",IFERROR(INDEX('Inline Quality'!$S$5:$S$304,MATCH(A150,'Inline Quality'!$E$5:$E$304,0)),"Pending"))</f>
        <v/>
      </c>
      <c r="N150" s="20" t="str">
        <f>IF(A150="","",IFERROR(INDEX('Final Inspection'!$U$5:$U$304,MATCH(A150,'Final Inspection'!$C$5:$C$304,0)),"Pending"))</f>
        <v/>
      </c>
      <c r="O150" s="20" t="str">
        <f>IF(A150="","",SUMIF('Packing Control'!$C$5:$C$304,A150,'Packing Control'!$K$5:$K$304))</f>
        <v/>
      </c>
      <c r="P150" s="20" t="str">
        <f>IF(A150="","",SUMIF('Finished Goods'!$C$5:$C$304,A150,'Finished Goods'!$J$5:$J$304))</f>
        <v/>
      </c>
      <c r="Q150" s="20" t="str">
        <f>IF(A150="","",SUMIF('Shipment Control'!$C$5:$C$304,A150,'Shipment Control'!$I$5:$I$304))</f>
        <v/>
      </c>
      <c r="R150" s="20" t="str">
        <f>IF(A150="","",SUMIF('Shipment Control'!$C$5:$C$304,A150,'Shipment Control'!$J$5:$J$304))</f>
        <v/>
      </c>
      <c r="S150" s="20" t="str">
        <f t="shared" si="4"/>
        <v/>
      </c>
      <c r="T150" s="21" t="str">
        <f>IF('FGPO Master'!A144="","",'FGPO Master'!I144)</f>
        <v/>
      </c>
      <c r="U150" s="7" t="str">
        <f>IF(A150="","",IF(COUNTIF('Open Issues'!$D$5:$D$304,A150)&gt;0,"Yellow","Green"))</f>
        <v/>
      </c>
      <c r="V150" s="7" t="str">
        <f>IF('FGPO Master'!A144="","",'FGPO Master'!U144)</f>
        <v/>
      </c>
    </row>
    <row r="151" spans="1:22">
      <c r="A151" s="7" t="str">
        <f>IF('FGPO Master'!A145="","",IF('FGPO Master'!D145="FGPO Pending","FGPO Pending",'FGPO Master'!B145))</f>
        <v/>
      </c>
      <c r="B151" s="7" t="str">
        <f>IF('FGPO Master'!A145="","",'FGPO Master'!F145)</f>
        <v/>
      </c>
      <c r="C151" s="7" t="str">
        <f>IF('FGPO Master'!A145="","",'FGPO Master'!G145)</f>
        <v/>
      </c>
      <c r="D151" s="20" t="str">
        <f>IF('FGPO Master'!A145="","",'FGPO Master'!H145)</f>
        <v/>
      </c>
      <c r="E151" s="20" t="str">
        <f>IF(A151="","",IF(SUMIF('Fabric Inventory'!$C$5:$C$304,A151,'Fabric Inventory'!$O$5:$O$304)&gt;0,"Shortage",IF(SUMIF('Fabric Inventory'!$C$5:$C$304,A151,'Fabric Inventory'!$H$5:$H$304)&gt;0,"Approved","Pending")))</f>
        <v/>
      </c>
      <c r="F151" s="20" t="str">
        <f>IF(A151="","",IF(SUMIF('Trims Control'!$B$5:$B$304,A151,'Trims Control'!$R$5:$R$304)&gt;0,"Shortage",IF(COUNTIFS('Trims Control'!$B$5:$B$304,A151,'Trims Control'!$V$5:$V$304,"Ready")&gt;0,"Ready","Pending")))</f>
        <v/>
      </c>
      <c r="G151" s="20" t="str">
        <f>IF(A151="","",IFERROR(INDEX('PP Sample'!$V$5:$V$304,MATCH(A151,'PP Sample'!$B$5:$B$304,0)),"Pending"))</f>
        <v/>
      </c>
      <c r="H151" s="20" t="str">
        <f>IF(A151="","",IFERROR(INDEX('Production Readiness'!$S$5:$S$304,MATCH(A151,'Production Readiness'!$C$5:$C$304,0)),"Pending"))</f>
        <v/>
      </c>
      <c r="I151" s="20" t="str">
        <f>IF(A151="","",IFERROR(INDEX('Cutting Release'!$P$5:$P$304,MATCH(A151,'Cutting Release'!$C$5:$C$304,0)),"Pending"))</f>
        <v/>
      </c>
      <c r="J151" s="20" t="str">
        <f>IF(A151="","",SUMIF('Cutting Control'!$C$5:$C$304,A151,'Cutting Control'!$K$5:$K$304))</f>
        <v/>
      </c>
      <c r="K151" s="20" t="str">
        <f>IF(A151="","",IFERROR(INDEX('TOP Sample'!$W$5:$W$304,MATCH(A151,'TOP Sample'!$B$5:$B$304,0)),"Pending"))</f>
        <v/>
      </c>
      <c r="L151" s="20" t="str">
        <f>IF(A151="","",SUMIF('Sewing Production'!$E$5:$E$304,A151,'Sewing Production'!$L$5:$L$304))</f>
        <v/>
      </c>
      <c r="M151" s="20" t="str">
        <f>IF(A151="","",IFERROR(INDEX('Inline Quality'!$S$5:$S$304,MATCH(A151,'Inline Quality'!$E$5:$E$304,0)),"Pending"))</f>
        <v/>
      </c>
      <c r="N151" s="20" t="str">
        <f>IF(A151="","",IFERROR(INDEX('Final Inspection'!$U$5:$U$304,MATCH(A151,'Final Inspection'!$C$5:$C$304,0)),"Pending"))</f>
        <v/>
      </c>
      <c r="O151" s="20" t="str">
        <f>IF(A151="","",SUMIF('Packing Control'!$C$5:$C$304,A151,'Packing Control'!$K$5:$K$304))</f>
        <v/>
      </c>
      <c r="P151" s="20" t="str">
        <f>IF(A151="","",SUMIF('Finished Goods'!$C$5:$C$304,A151,'Finished Goods'!$J$5:$J$304))</f>
        <v/>
      </c>
      <c r="Q151" s="20" t="str">
        <f>IF(A151="","",SUMIF('Shipment Control'!$C$5:$C$304,A151,'Shipment Control'!$I$5:$I$304))</f>
        <v/>
      </c>
      <c r="R151" s="20" t="str">
        <f>IF(A151="","",SUMIF('Shipment Control'!$C$5:$C$304,A151,'Shipment Control'!$J$5:$J$304))</f>
        <v/>
      </c>
      <c r="S151" s="20" t="str">
        <f t="shared" si="4"/>
        <v/>
      </c>
      <c r="T151" s="21" t="str">
        <f>IF('FGPO Master'!A145="","",'FGPO Master'!I145)</f>
        <v/>
      </c>
      <c r="U151" s="7" t="str">
        <f>IF(A151="","",IF(COUNTIF('Open Issues'!$D$5:$D$304,A151)&gt;0,"Yellow","Green"))</f>
        <v/>
      </c>
      <c r="V151" s="7" t="str">
        <f>IF('FGPO Master'!A145="","",'FGPO Master'!U145)</f>
        <v/>
      </c>
    </row>
    <row r="152" spans="1:22">
      <c r="A152" s="7" t="str">
        <f>IF('FGPO Master'!A146="","",IF('FGPO Master'!D146="FGPO Pending","FGPO Pending",'FGPO Master'!B146))</f>
        <v/>
      </c>
      <c r="B152" s="7" t="str">
        <f>IF('FGPO Master'!A146="","",'FGPO Master'!F146)</f>
        <v/>
      </c>
      <c r="C152" s="7" t="str">
        <f>IF('FGPO Master'!A146="","",'FGPO Master'!G146)</f>
        <v/>
      </c>
      <c r="D152" s="20" t="str">
        <f>IF('FGPO Master'!A146="","",'FGPO Master'!H146)</f>
        <v/>
      </c>
      <c r="E152" s="20" t="str">
        <f>IF(A152="","",IF(SUMIF('Fabric Inventory'!$C$5:$C$304,A152,'Fabric Inventory'!$O$5:$O$304)&gt;0,"Shortage",IF(SUMIF('Fabric Inventory'!$C$5:$C$304,A152,'Fabric Inventory'!$H$5:$H$304)&gt;0,"Approved","Pending")))</f>
        <v/>
      </c>
      <c r="F152" s="20" t="str">
        <f>IF(A152="","",IF(SUMIF('Trims Control'!$B$5:$B$304,A152,'Trims Control'!$R$5:$R$304)&gt;0,"Shortage",IF(COUNTIFS('Trims Control'!$B$5:$B$304,A152,'Trims Control'!$V$5:$V$304,"Ready")&gt;0,"Ready","Pending")))</f>
        <v/>
      </c>
      <c r="G152" s="20" t="str">
        <f>IF(A152="","",IFERROR(INDEX('PP Sample'!$V$5:$V$304,MATCH(A152,'PP Sample'!$B$5:$B$304,0)),"Pending"))</f>
        <v/>
      </c>
      <c r="H152" s="20" t="str">
        <f>IF(A152="","",IFERROR(INDEX('Production Readiness'!$S$5:$S$304,MATCH(A152,'Production Readiness'!$C$5:$C$304,0)),"Pending"))</f>
        <v/>
      </c>
      <c r="I152" s="20" t="str">
        <f>IF(A152="","",IFERROR(INDEX('Cutting Release'!$P$5:$P$304,MATCH(A152,'Cutting Release'!$C$5:$C$304,0)),"Pending"))</f>
        <v/>
      </c>
      <c r="J152" s="20" t="str">
        <f>IF(A152="","",SUMIF('Cutting Control'!$C$5:$C$304,A152,'Cutting Control'!$K$5:$K$304))</f>
        <v/>
      </c>
      <c r="K152" s="20" t="str">
        <f>IF(A152="","",IFERROR(INDEX('TOP Sample'!$W$5:$W$304,MATCH(A152,'TOP Sample'!$B$5:$B$304,0)),"Pending"))</f>
        <v/>
      </c>
      <c r="L152" s="20" t="str">
        <f>IF(A152="","",SUMIF('Sewing Production'!$E$5:$E$304,A152,'Sewing Production'!$L$5:$L$304))</f>
        <v/>
      </c>
      <c r="M152" s="20" t="str">
        <f>IF(A152="","",IFERROR(INDEX('Inline Quality'!$S$5:$S$304,MATCH(A152,'Inline Quality'!$E$5:$E$304,0)),"Pending"))</f>
        <v/>
      </c>
      <c r="N152" s="20" t="str">
        <f>IF(A152="","",IFERROR(INDEX('Final Inspection'!$U$5:$U$304,MATCH(A152,'Final Inspection'!$C$5:$C$304,0)),"Pending"))</f>
        <v/>
      </c>
      <c r="O152" s="20" t="str">
        <f>IF(A152="","",SUMIF('Packing Control'!$C$5:$C$304,A152,'Packing Control'!$K$5:$K$304))</f>
        <v/>
      </c>
      <c r="P152" s="20" t="str">
        <f>IF(A152="","",SUMIF('Finished Goods'!$C$5:$C$304,A152,'Finished Goods'!$J$5:$J$304))</f>
        <v/>
      </c>
      <c r="Q152" s="20" t="str">
        <f>IF(A152="","",SUMIF('Shipment Control'!$C$5:$C$304,A152,'Shipment Control'!$I$5:$I$304))</f>
        <v/>
      </c>
      <c r="R152" s="20" t="str">
        <f>IF(A152="","",SUMIF('Shipment Control'!$C$5:$C$304,A152,'Shipment Control'!$J$5:$J$304))</f>
        <v/>
      </c>
      <c r="S152" s="20" t="str">
        <f t="shared" si="4"/>
        <v/>
      </c>
      <c r="T152" s="21" t="str">
        <f>IF('FGPO Master'!A146="","",'FGPO Master'!I146)</f>
        <v/>
      </c>
      <c r="U152" s="7" t="str">
        <f>IF(A152="","",IF(COUNTIF('Open Issues'!$D$5:$D$304,A152)&gt;0,"Yellow","Green"))</f>
        <v/>
      </c>
      <c r="V152" s="7" t="str">
        <f>IF('FGPO Master'!A146="","",'FGPO Master'!U146)</f>
        <v/>
      </c>
    </row>
    <row r="153" spans="1:22">
      <c r="A153" s="7" t="str">
        <f>IF('FGPO Master'!A147="","",IF('FGPO Master'!D147="FGPO Pending","FGPO Pending",'FGPO Master'!B147))</f>
        <v/>
      </c>
      <c r="B153" s="7" t="str">
        <f>IF('FGPO Master'!A147="","",'FGPO Master'!F147)</f>
        <v/>
      </c>
      <c r="C153" s="7" t="str">
        <f>IF('FGPO Master'!A147="","",'FGPO Master'!G147)</f>
        <v/>
      </c>
      <c r="D153" s="20" t="str">
        <f>IF('FGPO Master'!A147="","",'FGPO Master'!H147)</f>
        <v/>
      </c>
      <c r="E153" s="20" t="str">
        <f>IF(A153="","",IF(SUMIF('Fabric Inventory'!$C$5:$C$304,A153,'Fabric Inventory'!$O$5:$O$304)&gt;0,"Shortage",IF(SUMIF('Fabric Inventory'!$C$5:$C$304,A153,'Fabric Inventory'!$H$5:$H$304)&gt;0,"Approved","Pending")))</f>
        <v/>
      </c>
      <c r="F153" s="20" t="str">
        <f>IF(A153="","",IF(SUMIF('Trims Control'!$B$5:$B$304,A153,'Trims Control'!$R$5:$R$304)&gt;0,"Shortage",IF(COUNTIFS('Trims Control'!$B$5:$B$304,A153,'Trims Control'!$V$5:$V$304,"Ready")&gt;0,"Ready","Pending")))</f>
        <v/>
      </c>
      <c r="G153" s="20" t="str">
        <f>IF(A153="","",IFERROR(INDEX('PP Sample'!$V$5:$V$304,MATCH(A153,'PP Sample'!$B$5:$B$304,0)),"Pending"))</f>
        <v/>
      </c>
      <c r="H153" s="20" t="str">
        <f>IF(A153="","",IFERROR(INDEX('Production Readiness'!$S$5:$S$304,MATCH(A153,'Production Readiness'!$C$5:$C$304,0)),"Pending"))</f>
        <v/>
      </c>
      <c r="I153" s="20" t="str">
        <f>IF(A153="","",IFERROR(INDEX('Cutting Release'!$P$5:$P$304,MATCH(A153,'Cutting Release'!$C$5:$C$304,0)),"Pending"))</f>
        <v/>
      </c>
      <c r="J153" s="20" t="str">
        <f>IF(A153="","",SUMIF('Cutting Control'!$C$5:$C$304,A153,'Cutting Control'!$K$5:$K$304))</f>
        <v/>
      </c>
      <c r="K153" s="20" t="str">
        <f>IF(A153="","",IFERROR(INDEX('TOP Sample'!$W$5:$W$304,MATCH(A153,'TOP Sample'!$B$5:$B$304,0)),"Pending"))</f>
        <v/>
      </c>
      <c r="L153" s="20" t="str">
        <f>IF(A153="","",SUMIF('Sewing Production'!$E$5:$E$304,A153,'Sewing Production'!$L$5:$L$304))</f>
        <v/>
      </c>
      <c r="M153" s="20" t="str">
        <f>IF(A153="","",IFERROR(INDEX('Inline Quality'!$S$5:$S$304,MATCH(A153,'Inline Quality'!$E$5:$E$304,0)),"Pending"))</f>
        <v/>
      </c>
      <c r="N153" s="20" t="str">
        <f>IF(A153="","",IFERROR(INDEX('Final Inspection'!$U$5:$U$304,MATCH(A153,'Final Inspection'!$C$5:$C$304,0)),"Pending"))</f>
        <v/>
      </c>
      <c r="O153" s="20" t="str">
        <f>IF(A153="","",SUMIF('Packing Control'!$C$5:$C$304,A153,'Packing Control'!$K$5:$K$304))</f>
        <v/>
      </c>
      <c r="P153" s="20" t="str">
        <f>IF(A153="","",SUMIF('Finished Goods'!$C$5:$C$304,A153,'Finished Goods'!$J$5:$J$304))</f>
        <v/>
      </c>
      <c r="Q153" s="20" t="str">
        <f>IF(A153="","",SUMIF('Shipment Control'!$C$5:$C$304,A153,'Shipment Control'!$I$5:$I$304))</f>
        <v/>
      </c>
      <c r="R153" s="20" t="str">
        <f>IF(A153="","",SUMIF('Shipment Control'!$C$5:$C$304,A153,'Shipment Control'!$J$5:$J$304))</f>
        <v/>
      </c>
      <c r="S153" s="20" t="str">
        <f t="shared" si="4"/>
        <v/>
      </c>
      <c r="T153" s="21" t="str">
        <f>IF('FGPO Master'!A147="","",'FGPO Master'!I147)</f>
        <v/>
      </c>
      <c r="U153" s="7" t="str">
        <f>IF(A153="","",IF(COUNTIF('Open Issues'!$D$5:$D$304,A153)&gt;0,"Yellow","Green"))</f>
        <v/>
      </c>
      <c r="V153" s="7" t="str">
        <f>IF('FGPO Master'!A147="","",'FGPO Master'!U147)</f>
        <v/>
      </c>
    </row>
    <row r="154" spans="1:22">
      <c r="A154" s="7" t="str">
        <f>IF('FGPO Master'!A148="","",IF('FGPO Master'!D148="FGPO Pending","FGPO Pending",'FGPO Master'!B148))</f>
        <v/>
      </c>
      <c r="B154" s="7" t="str">
        <f>IF('FGPO Master'!A148="","",'FGPO Master'!F148)</f>
        <v/>
      </c>
      <c r="C154" s="7" t="str">
        <f>IF('FGPO Master'!A148="","",'FGPO Master'!G148)</f>
        <v/>
      </c>
      <c r="D154" s="20" t="str">
        <f>IF('FGPO Master'!A148="","",'FGPO Master'!H148)</f>
        <v/>
      </c>
      <c r="E154" s="20" t="str">
        <f>IF(A154="","",IF(SUMIF('Fabric Inventory'!$C$5:$C$304,A154,'Fabric Inventory'!$O$5:$O$304)&gt;0,"Shortage",IF(SUMIF('Fabric Inventory'!$C$5:$C$304,A154,'Fabric Inventory'!$H$5:$H$304)&gt;0,"Approved","Pending")))</f>
        <v/>
      </c>
      <c r="F154" s="20" t="str">
        <f>IF(A154="","",IF(SUMIF('Trims Control'!$B$5:$B$304,A154,'Trims Control'!$R$5:$R$304)&gt;0,"Shortage",IF(COUNTIFS('Trims Control'!$B$5:$B$304,A154,'Trims Control'!$V$5:$V$304,"Ready")&gt;0,"Ready","Pending")))</f>
        <v/>
      </c>
      <c r="G154" s="20" t="str">
        <f>IF(A154="","",IFERROR(INDEX('PP Sample'!$V$5:$V$304,MATCH(A154,'PP Sample'!$B$5:$B$304,0)),"Pending"))</f>
        <v/>
      </c>
      <c r="H154" s="20" t="str">
        <f>IF(A154="","",IFERROR(INDEX('Production Readiness'!$S$5:$S$304,MATCH(A154,'Production Readiness'!$C$5:$C$304,0)),"Pending"))</f>
        <v/>
      </c>
      <c r="I154" s="20" t="str">
        <f>IF(A154="","",IFERROR(INDEX('Cutting Release'!$P$5:$P$304,MATCH(A154,'Cutting Release'!$C$5:$C$304,0)),"Pending"))</f>
        <v/>
      </c>
      <c r="J154" s="20" t="str">
        <f>IF(A154="","",SUMIF('Cutting Control'!$C$5:$C$304,A154,'Cutting Control'!$K$5:$K$304))</f>
        <v/>
      </c>
      <c r="K154" s="20" t="str">
        <f>IF(A154="","",IFERROR(INDEX('TOP Sample'!$W$5:$W$304,MATCH(A154,'TOP Sample'!$B$5:$B$304,0)),"Pending"))</f>
        <v/>
      </c>
      <c r="L154" s="20" t="str">
        <f>IF(A154="","",SUMIF('Sewing Production'!$E$5:$E$304,A154,'Sewing Production'!$L$5:$L$304))</f>
        <v/>
      </c>
      <c r="M154" s="20" t="str">
        <f>IF(A154="","",IFERROR(INDEX('Inline Quality'!$S$5:$S$304,MATCH(A154,'Inline Quality'!$E$5:$E$304,0)),"Pending"))</f>
        <v/>
      </c>
      <c r="N154" s="20" t="str">
        <f>IF(A154="","",IFERROR(INDEX('Final Inspection'!$U$5:$U$304,MATCH(A154,'Final Inspection'!$C$5:$C$304,0)),"Pending"))</f>
        <v/>
      </c>
      <c r="O154" s="20" t="str">
        <f>IF(A154="","",SUMIF('Packing Control'!$C$5:$C$304,A154,'Packing Control'!$K$5:$K$304))</f>
        <v/>
      </c>
      <c r="P154" s="20" t="str">
        <f>IF(A154="","",SUMIF('Finished Goods'!$C$5:$C$304,A154,'Finished Goods'!$J$5:$J$304))</f>
        <v/>
      </c>
      <c r="Q154" s="20" t="str">
        <f>IF(A154="","",SUMIF('Shipment Control'!$C$5:$C$304,A154,'Shipment Control'!$I$5:$I$304))</f>
        <v/>
      </c>
      <c r="R154" s="20" t="str">
        <f>IF(A154="","",SUMIF('Shipment Control'!$C$5:$C$304,A154,'Shipment Control'!$J$5:$J$304))</f>
        <v/>
      </c>
      <c r="S154" s="20" t="str">
        <f t="shared" si="4"/>
        <v/>
      </c>
      <c r="T154" s="21" t="str">
        <f>IF('FGPO Master'!A148="","",'FGPO Master'!I148)</f>
        <v/>
      </c>
      <c r="U154" s="7" t="str">
        <f>IF(A154="","",IF(COUNTIF('Open Issues'!$D$5:$D$304,A154)&gt;0,"Yellow","Green"))</f>
        <v/>
      </c>
      <c r="V154" s="7" t="str">
        <f>IF('FGPO Master'!A148="","",'FGPO Master'!U148)</f>
        <v/>
      </c>
    </row>
    <row r="155" spans="1:22">
      <c r="A155" s="7" t="str">
        <f>IF('FGPO Master'!A149="","",IF('FGPO Master'!D149="FGPO Pending","FGPO Pending",'FGPO Master'!B149))</f>
        <v/>
      </c>
      <c r="B155" s="7" t="str">
        <f>IF('FGPO Master'!A149="","",'FGPO Master'!F149)</f>
        <v/>
      </c>
      <c r="C155" s="7" t="str">
        <f>IF('FGPO Master'!A149="","",'FGPO Master'!G149)</f>
        <v/>
      </c>
      <c r="D155" s="20" t="str">
        <f>IF('FGPO Master'!A149="","",'FGPO Master'!H149)</f>
        <v/>
      </c>
      <c r="E155" s="20" t="str">
        <f>IF(A155="","",IF(SUMIF('Fabric Inventory'!$C$5:$C$304,A155,'Fabric Inventory'!$O$5:$O$304)&gt;0,"Shortage",IF(SUMIF('Fabric Inventory'!$C$5:$C$304,A155,'Fabric Inventory'!$H$5:$H$304)&gt;0,"Approved","Pending")))</f>
        <v/>
      </c>
      <c r="F155" s="20" t="str">
        <f>IF(A155="","",IF(SUMIF('Trims Control'!$B$5:$B$304,A155,'Trims Control'!$R$5:$R$304)&gt;0,"Shortage",IF(COUNTIFS('Trims Control'!$B$5:$B$304,A155,'Trims Control'!$V$5:$V$304,"Ready")&gt;0,"Ready","Pending")))</f>
        <v/>
      </c>
      <c r="G155" s="20" t="str">
        <f>IF(A155="","",IFERROR(INDEX('PP Sample'!$V$5:$V$304,MATCH(A155,'PP Sample'!$B$5:$B$304,0)),"Pending"))</f>
        <v/>
      </c>
      <c r="H155" s="20" t="str">
        <f>IF(A155="","",IFERROR(INDEX('Production Readiness'!$S$5:$S$304,MATCH(A155,'Production Readiness'!$C$5:$C$304,0)),"Pending"))</f>
        <v/>
      </c>
      <c r="I155" s="20" t="str">
        <f>IF(A155="","",IFERROR(INDEX('Cutting Release'!$P$5:$P$304,MATCH(A155,'Cutting Release'!$C$5:$C$304,0)),"Pending"))</f>
        <v/>
      </c>
      <c r="J155" s="20" t="str">
        <f>IF(A155="","",SUMIF('Cutting Control'!$C$5:$C$304,A155,'Cutting Control'!$K$5:$K$304))</f>
        <v/>
      </c>
      <c r="K155" s="20" t="str">
        <f>IF(A155="","",IFERROR(INDEX('TOP Sample'!$W$5:$W$304,MATCH(A155,'TOP Sample'!$B$5:$B$304,0)),"Pending"))</f>
        <v/>
      </c>
      <c r="L155" s="20" t="str">
        <f>IF(A155="","",SUMIF('Sewing Production'!$E$5:$E$304,A155,'Sewing Production'!$L$5:$L$304))</f>
        <v/>
      </c>
      <c r="M155" s="20" t="str">
        <f>IF(A155="","",IFERROR(INDEX('Inline Quality'!$S$5:$S$304,MATCH(A155,'Inline Quality'!$E$5:$E$304,0)),"Pending"))</f>
        <v/>
      </c>
      <c r="N155" s="20" t="str">
        <f>IF(A155="","",IFERROR(INDEX('Final Inspection'!$U$5:$U$304,MATCH(A155,'Final Inspection'!$C$5:$C$304,0)),"Pending"))</f>
        <v/>
      </c>
      <c r="O155" s="20" t="str">
        <f>IF(A155="","",SUMIF('Packing Control'!$C$5:$C$304,A155,'Packing Control'!$K$5:$K$304))</f>
        <v/>
      </c>
      <c r="P155" s="20" t="str">
        <f>IF(A155="","",SUMIF('Finished Goods'!$C$5:$C$304,A155,'Finished Goods'!$J$5:$J$304))</f>
        <v/>
      </c>
      <c r="Q155" s="20" t="str">
        <f>IF(A155="","",SUMIF('Shipment Control'!$C$5:$C$304,A155,'Shipment Control'!$I$5:$I$304))</f>
        <v/>
      </c>
      <c r="R155" s="20" t="str">
        <f>IF(A155="","",SUMIF('Shipment Control'!$C$5:$C$304,A155,'Shipment Control'!$J$5:$J$304))</f>
        <v/>
      </c>
      <c r="S155" s="20" t="str">
        <f t="shared" si="4"/>
        <v/>
      </c>
      <c r="T155" s="21" t="str">
        <f>IF('FGPO Master'!A149="","",'FGPO Master'!I149)</f>
        <v/>
      </c>
      <c r="U155" s="7" t="str">
        <f>IF(A155="","",IF(COUNTIF('Open Issues'!$D$5:$D$304,A155)&gt;0,"Yellow","Green"))</f>
        <v/>
      </c>
      <c r="V155" s="7" t="str">
        <f>IF('FGPO Master'!A149="","",'FGPO Master'!U149)</f>
        <v/>
      </c>
    </row>
    <row r="156" spans="1:22">
      <c r="A156" s="7" t="str">
        <f>IF('FGPO Master'!A150="","",IF('FGPO Master'!D150="FGPO Pending","FGPO Pending",'FGPO Master'!B150))</f>
        <v/>
      </c>
      <c r="B156" s="7" t="str">
        <f>IF('FGPO Master'!A150="","",'FGPO Master'!F150)</f>
        <v/>
      </c>
      <c r="C156" s="7" t="str">
        <f>IF('FGPO Master'!A150="","",'FGPO Master'!G150)</f>
        <v/>
      </c>
      <c r="D156" s="20" t="str">
        <f>IF('FGPO Master'!A150="","",'FGPO Master'!H150)</f>
        <v/>
      </c>
      <c r="E156" s="20" t="str">
        <f>IF(A156="","",IF(SUMIF('Fabric Inventory'!$C$5:$C$304,A156,'Fabric Inventory'!$O$5:$O$304)&gt;0,"Shortage",IF(SUMIF('Fabric Inventory'!$C$5:$C$304,A156,'Fabric Inventory'!$H$5:$H$304)&gt;0,"Approved","Pending")))</f>
        <v/>
      </c>
      <c r="F156" s="20" t="str">
        <f>IF(A156="","",IF(SUMIF('Trims Control'!$B$5:$B$304,A156,'Trims Control'!$R$5:$R$304)&gt;0,"Shortage",IF(COUNTIFS('Trims Control'!$B$5:$B$304,A156,'Trims Control'!$V$5:$V$304,"Ready")&gt;0,"Ready","Pending")))</f>
        <v/>
      </c>
      <c r="G156" s="20" t="str">
        <f>IF(A156="","",IFERROR(INDEX('PP Sample'!$V$5:$V$304,MATCH(A156,'PP Sample'!$B$5:$B$304,0)),"Pending"))</f>
        <v/>
      </c>
      <c r="H156" s="20" t="str">
        <f>IF(A156="","",IFERROR(INDEX('Production Readiness'!$S$5:$S$304,MATCH(A156,'Production Readiness'!$C$5:$C$304,0)),"Pending"))</f>
        <v/>
      </c>
      <c r="I156" s="20" t="str">
        <f>IF(A156="","",IFERROR(INDEX('Cutting Release'!$P$5:$P$304,MATCH(A156,'Cutting Release'!$C$5:$C$304,0)),"Pending"))</f>
        <v/>
      </c>
      <c r="J156" s="20" t="str">
        <f>IF(A156="","",SUMIF('Cutting Control'!$C$5:$C$304,A156,'Cutting Control'!$K$5:$K$304))</f>
        <v/>
      </c>
      <c r="K156" s="20" t="str">
        <f>IF(A156="","",IFERROR(INDEX('TOP Sample'!$W$5:$W$304,MATCH(A156,'TOP Sample'!$B$5:$B$304,0)),"Pending"))</f>
        <v/>
      </c>
      <c r="L156" s="20" t="str">
        <f>IF(A156="","",SUMIF('Sewing Production'!$E$5:$E$304,A156,'Sewing Production'!$L$5:$L$304))</f>
        <v/>
      </c>
      <c r="M156" s="20" t="str">
        <f>IF(A156="","",IFERROR(INDEX('Inline Quality'!$S$5:$S$304,MATCH(A156,'Inline Quality'!$E$5:$E$304,0)),"Pending"))</f>
        <v/>
      </c>
      <c r="N156" s="20" t="str">
        <f>IF(A156="","",IFERROR(INDEX('Final Inspection'!$U$5:$U$304,MATCH(A156,'Final Inspection'!$C$5:$C$304,0)),"Pending"))</f>
        <v/>
      </c>
      <c r="O156" s="20" t="str">
        <f>IF(A156="","",SUMIF('Packing Control'!$C$5:$C$304,A156,'Packing Control'!$K$5:$K$304))</f>
        <v/>
      </c>
      <c r="P156" s="20" t="str">
        <f>IF(A156="","",SUMIF('Finished Goods'!$C$5:$C$304,A156,'Finished Goods'!$J$5:$J$304))</f>
        <v/>
      </c>
      <c r="Q156" s="20" t="str">
        <f>IF(A156="","",SUMIF('Shipment Control'!$C$5:$C$304,A156,'Shipment Control'!$I$5:$I$304))</f>
        <v/>
      </c>
      <c r="R156" s="20" t="str">
        <f>IF(A156="","",SUMIF('Shipment Control'!$C$5:$C$304,A156,'Shipment Control'!$J$5:$J$304))</f>
        <v/>
      </c>
      <c r="S156" s="20" t="str">
        <f t="shared" si="4"/>
        <v/>
      </c>
      <c r="T156" s="21" t="str">
        <f>IF('FGPO Master'!A150="","",'FGPO Master'!I150)</f>
        <v/>
      </c>
      <c r="U156" s="7" t="str">
        <f>IF(A156="","",IF(COUNTIF('Open Issues'!$D$5:$D$304,A156)&gt;0,"Yellow","Green"))</f>
        <v/>
      </c>
      <c r="V156" s="7" t="str">
        <f>IF('FGPO Master'!A150="","",'FGPO Master'!U150)</f>
        <v/>
      </c>
    </row>
    <row r="157" spans="1:22">
      <c r="A157" s="7" t="str">
        <f>IF('FGPO Master'!A151="","",IF('FGPO Master'!D151="FGPO Pending","FGPO Pending",'FGPO Master'!B151))</f>
        <v/>
      </c>
      <c r="B157" s="7" t="str">
        <f>IF('FGPO Master'!A151="","",'FGPO Master'!F151)</f>
        <v/>
      </c>
      <c r="C157" s="7" t="str">
        <f>IF('FGPO Master'!A151="","",'FGPO Master'!G151)</f>
        <v/>
      </c>
      <c r="D157" s="20" t="str">
        <f>IF('FGPO Master'!A151="","",'FGPO Master'!H151)</f>
        <v/>
      </c>
      <c r="E157" s="20" t="str">
        <f>IF(A157="","",IF(SUMIF('Fabric Inventory'!$C$5:$C$304,A157,'Fabric Inventory'!$O$5:$O$304)&gt;0,"Shortage",IF(SUMIF('Fabric Inventory'!$C$5:$C$304,A157,'Fabric Inventory'!$H$5:$H$304)&gt;0,"Approved","Pending")))</f>
        <v/>
      </c>
      <c r="F157" s="20" t="str">
        <f>IF(A157="","",IF(SUMIF('Trims Control'!$B$5:$B$304,A157,'Trims Control'!$R$5:$R$304)&gt;0,"Shortage",IF(COUNTIFS('Trims Control'!$B$5:$B$304,A157,'Trims Control'!$V$5:$V$304,"Ready")&gt;0,"Ready","Pending")))</f>
        <v/>
      </c>
      <c r="G157" s="20" t="str">
        <f>IF(A157="","",IFERROR(INDEX('PP Sample'!$V$5:$V$304,MATCH(A157,'PP Sample'!$B$5:$B$304,0)),"Pending"))</f>
        <v/>
      </c>
      <c r="H157" s="20" t="str">
        <f>IF(A157="","",IFERROR(INDEX('Production Readiness'!$S$5:$S$304,MATCH(A157,'Production Readiness'!$C$5:$C$304,0)),"Pending"))</f>
        <v/>
      </c>
      <c r="I157" s="20" t="str">
        <f>IF(A157="","",IFERROR(INDEX('Cutting Release'!$P$5:$P$304,MATCH(A157,'Cutting Release'!$C$5:$C$304,0)),"Pending"))</f>
        <v/>
      </c>
      <c r="J157" s="20" t="str">
        <f>IF(A157="","",SUMIF('Cutting Control'!$C$5:$C$304,A157,'Cutting Control'!$K$5:$K$304))</f>
        <v/>
      </c>
      <c r="K157" s="20" t="str">
        <f>IF(A157="","",IFERROR(INDEX('TOP Sample'!$W$5:$W$304,MATCH(A157,'TOP Sample'!$B$5:$B$304,0)),"Pending"))</f>
        <v/>
      </c>
      <c r="L157" s="20" t="str">
        <f>IF(A157="","",SUMIF('Sewing Production'!$E$5:$E$304,A157,'Sewing Production'!$L$5:$L$304))</f>
        <v/>
      </c>
      <c r="M157" s="20" t="str">
        <f>IF(A157="","",IFERROR(INDEX('Inline Quality'!$S$5:$S$304,MATCH(A157,'Inline Quality'!$E$5:$E$304,0)),"Pending"))</f>
        <v/>
      </c>
      <c r="N157" s="20" t="str">
        <f>IF(A157="","",IFERROR(INDEX('Final Inspection'!$U$5:$U$304,MATCH(A157,'Final Inspection'!$C$5:$C$304,0)),"Pending"))</f>
        <v/>
      </c>
      <c r="O157" s="20" t="str">
        <f>IF(A157="","",SUMIF('Packing Control'!$C$5:$C$304,A157,'Packing Control'!$K$5:$K$304))</f>
        <v/>
      </c>
      <c r="P157" s="20" t="str">
        <f>IF(A157="","",SUMIF('Finished Goods'!$C$5:$C$304,A157,'Finished Goods'!$J$5:$J$304))</f>
        <v/>
      </c>
      <c r="Q157" s="20" t="str">
        <f>IF(A157="","",SUMIF('Shipment Control'!$C$5:$C$304,A157,'Shipment Control'!$I$5:$I$304))</f>
        <v/>
      </c>
      <c r="R157" s="20" t="str">
        <f>IF(A157="","",SUMIF('Shipment Control'!$C$5:$C$304,A157,'Shipment Control'!$J$5:$J$304))</f>
        <v/>
      </c>
      <c r="S157" s="20" t="str">
        <f t="shared" si="4"/>
        <v/>
      </c>
      <c r="T157" s="21" t="str">
        <f>IF('FGPO Master'!A151="","",'FGPO Master'!I151)</f>
        <v/>
      </c>
      <c r="U157" s="7" t="str">
        <f>IF(A157="","",IF(COUNTIF('Open Issues'!$D$5:$D$304,A157)&gt;0,"Yellow","Green"))</f>
        <v/>
      </c>
      <c r="V157" s="7" t="str">
        <f>IF('FGPO Master'!A151="","",'FGPO Master'!U151)</f>
        <v/>
      </c>
    </row>
    <row r="158" spans="1:22">
      <c r="A158" s="7" t="str">
        <f>IF('FGPO Master'!A152="","",IF('FGPO Master'!D152="FGPO Pending","FGPO Pending",'FGPO Master'!B152))</f>
        <v/>
      </c>
      <c r="B158" s="7" t="str">
        <f>IF('FGPO Master'!A152="","",'FGPO Master'!F152)</f>
        <v/>
      </c>
      <c r="C158" s="7" t="str">
        <f>IF('FGPO Master'!A152="","",'FGPO Master'!G152)</f>
        <v/>
      </c>
      <c r="D158" s="20" t="str">
        <f>IF('FGPO Master'!A152="","",'FGPO Master'!H152)</f>
        <v/>
      </c>
      <c r="E158" s="20" t="str">
        <f>IF(A158="","",IF(SUMIF('Fabric Inventory'!$C$5:$C$304,A158,'Fabric Inventory'!$O$5:$O$304)&gt;0,"Shortage",IF(SUMIF('Fabric Inventory'!$C$5:$C$304,A158,'Fabric Inventory'!$H$5:$H$304)&gt;0,"Approved","Pending")))</f>
        <v/>
      </c>
      <c r="F158" s="20" t="str">
        <f>IF(A158="","",IF(SUMIF('Trims Control'!$B$5:$B$304,A158,'Trims Control'!$R$5:$R$304)&gt;0,"Shortage",IF(COUNTIFS('Trims Control'!$B$5:$B$304,A158,'Trims Control'!$V$5:$V$304,"Ready")&gt;0,"Ready","Pending")))</f>
        <v/>
      </c>
      <c r="G158" s="20" t="str">
        <f>IF(A158="","",IFERROR(INDEX('PP Sample'!$V$5:$V$304,MATCH(A158,'PP Sample'!$B$5:$B$304,0)),"Pending"))</f>
        <v/>
      </c>
      <c r="H158" s="20" t="str">
        <f>IF(A158="","",IFERROR(INDEX('Production Readiness'!$S$5:$S$304,MATCH(A158,'Production Readiness'!$C$5:$C$304,0)),"Pending"))</f>
        <v/>
      </c>
      <c r="I158" s="20" t="str">
        <f>IF(A158="","",IFERROR(INDEX('Cutting Release'!$P$5:$P$304,MATCH(A158,'Cutting Release'!$C$5:$C$304,0)),"Pending"))</f>
        <v/>
      </c>
      <c r="J158" s="20" t="str">
        <f>IF(A158="","",SUMIF('Cutting Control'!$C$5:$C$304,A158,'Cutting Control'!$K$5:$K$304))</f>
        <v/>
      </c>
      <c r="K158" s="20" t="str">
        <f>IF(A158="","",IFERROR(INDEX('TOP Sample'!$W$5:$W$304,MATCH(A158,'TOP Sample'!$B$5:$B$304,0)),"Pending"))</f>
        <v/>
      </c>
      <c r="L158" s="20" t="str">
        <f>IF(A158="","",SUMIF('Sewing Production'!$E$5:$E$304,A158,'Sewing Production'!$L$5:$L$304))</f>
        <v/>
      </c>
      <c r="M158" s="20" t="str">
        <f>IF(A158="","",IFERROR(INDEX('Inline Quality'!$S$5:$S$304,MATCH(A158,'Inline Quality'!$E$5:$E$304,0)),"Pending"))</f>
        <v/>
      </c>
      <c r="N158" s="20" t="str">
        <f>IF(A158="","",IFERROR(INDEX('Final Inspection'!$U$5:$U$304,MATCH(A158,'Final Inspection'!$C$5:$C$304,0)),"Pending"))</f>
        <v/>
      </c>
      <c r="O158" s="20" t="str">
        <f>IF(A158="","",SUMIF('Packing Control'!$C$5:$C$304,A158,'Packing Control'!$K$5:$K$304))</f>
        <v/>
      </c>
      <c r="P158" s="20" t="str">
        <f>IF(A158="","",SUMIF('Finished Goods'!$C$5:$C$304,A158,'Finished Goods'!$J$5:$J$304))</f>
        <v/>
      </c>
      <c r="Q158" s="20" t="str">
        <f>IF(A158="","",SUMIF('Shipment Control'!$C$5:$C$304,A158,'Shipment Control'!$I$5:$I$304))</f>
        <v/>
      </c>
      <c r="R158" s="20" t="str">
        <f>IF(A158="","",SUMIF('Shipment Control'!$C$5:$C$304,A158,'Shipment Control'!$J$5:$J$304))</f>
        <v/>
      </c>
      <c r="S158" s="20" t="str">
        <f t="shared" si="4"/>
        <v/>
      </c>
      <c r="T158" s="21" t="str">
        <f>IF('FGPO Master'!A152="","",'FGPO Master'!I152)</f>
        <v/>
      </c>
      <c r="U158" s="7" t="str">
        <f>IF(A158="","",IF(COUNTIF('Open Issues'!$D$5:$D$304,A158)&gt;0,"Yellow","Green"))</f>
        <v/>
      </c>
      <c r="V158" s="7" t="str">
        <f>IF('FGPO Master'!A152="","",'FGPO Master'!U152)</f>
        <v/>
      </c>
    </row>
    <row r="159" spans="1:22">
      <c r="A159" s="7" t="str">
        <f>IF('FGPO Master'!A153="","",IF('FGPO Master'!D153="FGPO Pending","FGPO Pending",'FGPO Master'!B153))</f>
        <v/>
      </c>
      <c r="B159" s="7" t="str">
        <f>IF('FGPO Master'!A153="","",'FGPO Master'!F153)</f>
        <v/>
      </c>
      <c r="C159" s="7" t="str">
        <f>IF('FGPO Master'!A153="","",'FGPO Master'!G153)</f>
        <v/>
      </c>
      <c r="D159" s="20" t="str">
        <f>IF('FGPO Master'!A153="","",'FGPO Master'!H153)</f>
        <v/>
      </c>
      <c r="E159" s="20" t="str">
        <f>IF(A159="","",IF(SUMIF('Fabric Inventory'!$C$5:$C$304,A159,'Fabric Inventory'!$O$5:$O$304)&gt;0,"Shortage",IF(SUMIF('Fabric Inventory'!$C$5:$C$304,A159,'Fabric Inventory'!$H$5:$H$304)&gt;0,"Approved","Pending")))</f>
        <v/>
      </c>
      <c r="F159" s="20" t="str">
        <f>IF(A159="","",IF(SUMIF('Trims Control'!$B$5:$B$304,A159,'Trims Control'!$R$5:$R$304)&gt;0,"Shortage",IF(COUNTIFS('Trims Control'!$B$5:$B$304,A159,'Trims Control'!$V$5:$V$304,"Ready")&gt;0,"Ready","Pending")))</f>
        <v/>
      </c>
      <c r="G159" s="20" t="str">
        <f>IF(A159="","",IFERROR(INDEX('PP Sample'!$V$5:$V$304,MATCH(A159,'PP Sample'!$B$5:$B$304,0)),"Pending"))</f>
        <v/>
      </c>
      <c r="H159" s="20" t="str">
        <f>IF(A159="","",IFERROR(INDEX('Production Readiness'!$S$5:$S$304,MATCH(A159,'Production Readiness'!$C$5:$C$304,0)),"Pending"))</f>
        <v/>
      </c>
      <c r="I159" s="20" t="str">
        <f>IF(A159="","",IFERROR(INDEX('Cutting Release'!$P$5:$P$304,MATCH(A159,'Cutting Release'!$C$5:$C$304,0)),"Pending"))</f>
        <v/>
      </c>
      <c r="J159" s="20" t="str">
        <f>IF(A159="","",SUMIF('Cutting Control'!$C$5:$C$304,A159,'Cutting Control'!$K$5:$K$304))</f>
        <v/>
      </c>
      <c r="K159" s="20" t="str">
        <f>IF(A159="","",IFERROR(INDEX('TOP Sample'!$W$5:$W$304,MATCH(A159,'TOP Sample'!$B$5:$B$304,0)),"Pending"))</f>
        <v/>
      </c>
      <c r="L159" s="20" t="str">
        <f>IF(A159="","",SUMIF('Sewing Production'!$E$5:$E$304,A159,'Sewing Production'!$L$5:$L$304))</f>
        <v/>
      </c>
      <c r="M159" s="20" t="str">
        <f>IF(A159="","",IFERROR(INDEX('Inline Quality'!$S$5:$S$304,MATCH(A159,'Inline Quality'!$E$5:$E$304,0)),"Pending"))</f>
        <v/>
      </c>
      <c r="N159" s="20" t="str">
        <f>IF(A159="","",IFERROR(INDEX('Final Inspection'!$U$5:$U$304,MATCH(A159,'Final Inspection'!$C$5:$C$304,0)),"Pending"))</f>
        <v/>
      </c>
      <c r="O159" s="20" t="str">
        <f>IF(A159="","",SUMIF('Packing Control'!$C$5:$C$304,A159,'Packing Control'!$K$5:$K$304))</f>
        <v/>
      </c>
      <c r="P159" s="20" t="str">
        <f>IF(A159="","",SUMIF('Finished Goods'!$C$5:$C$304,A159,'Finished Goods'!$J$5:$J$304))</f>
        <v/>
      </c>
      <c r="Q159" s="20" t="str">
        <f>IF(A159="","",SUMIF('Shipment Control'!$C$5:$C$304,A159,'Shipment Control'!$I$5:$I$304))</f>
        <v/>
      </c>
      <c r="R159" s="20" t="str">
        <f>IF(A159="","",SUMIF('Shipment Control'!$C$5:$C$304,A159,'Shipment Control'!$J$5:$J$304))</f>
        <v/>
      </c>
      <c r="S159" s="20" t="str">
        <f t="shared" si="4"/>
        <v/>
      </c>
      <c r="T159" s="21" t="str">
        <f>IF('FGPO Master'!A153="","",'FGPO Master'!I153)</f>
        <v/>
      </c>
      <c r="U159" s="7" t="str">
        <f>IF(A159="","",IF(COUNTIF('Open Issues'!$D$5:$D$304,A159)&gt;0,"Yellow","Green"))</f>
        <v/>
      </c>
      <c r="V159" s="7" t="str">
        <f>IF('FGPO Master'!A153="","",'FGPO Master'!U153)</f>
        <v/>
      </c>
    </row>
    <row r="160" spans="1:22">
      <c r="A160" s="7" t="str">
        <f>IF('FGPO Master'!A154="","",IF('FGPO Master'!D154="FGPO Pending","FGPO Pending",'FGPO Master'!B154))</f>
        <v/>
      </c>
      <c r="B160" s="7" t="str">
        <f>IF('FGPO Master'!A154="","",'FGPO Master'!F154)</f>
        <v/>
      </c>
      <c r="C160" s="7" t="str">
        <f>IF('FGPO Master'!A154="","",'FGPO Master'!G154)</f>
        <v/>
      </c>
      <c r="D160" s="20" t="str">
        <f>IF('FGPO Master'!A154="","",'FGPO Master'!H154)</f>
        <v/>
      </c>
      <c r="E160" s="20" t="str">
        <f>IF(A160="","",IF(SUMIF('Fabric Inventory'!$C$5:$C$304,A160,'Fabric Inventory'!$O$5:$O$304)&gt;0,"Shortage",IF(SUMIF('Fabric Inventory'!$C$5:$C$304,A160,'Fabric Inventory'!$H$5:$H$304)&gt;0,"Approved","Pending")))</f>
        <v/>
      </c>
      <c r="F160" s="20" t="str">
        <f>IF(A160="","",IF(SUMIF('Trims Control'!$B$5:$B$304,A160,'Trims Control'!$R$5:$R$304)&gt;0,"Shortage",IF(COUNTIFS('Trims Control'!$B$5:$B$304,A160,'Trims Control'!$V$5:$V$304,"Ready")&gt;0,"Ready","Pending")))</f>
        <v/>
      </c>
      <c r="G160" s="20" t="str">
        <f>IF(A160="","",IFERROR(INDEX('PP Sample'!$V$5:$V$304,MATCH(A160,'PP Sample'!$B$5:$B$304,0)),"Pending"))</f>
        <v/>
      </c>
      <c r="H160" s="20" t="str">
        <f>IF(A160="","",IFERROR(INDEX('Production Readiness'!$S$5:$S$304,MATCH(A160,'Production Readiness'!$C$5:$C$304,0)),"Pending"))</f>
        <v/>
      </c>
      <c r="I160" s="20" t="str">
        <f>IF(A160="","",IFERROR(INDEX('Cutting Release'!$P$5:$P$304,MATCH(A160,'Cutting Release'!$C$5:$C$304,0)),"Pending"))</f>
        <v/>
      </c>
      <c r="J160" s="20" t="str">
        <f>IF(A160="","",SUMIF('Cutting Control'!$C$5:$C$304,A160,'Cutting Control'!$K$5:$K$304))</f>
        <v/>
      </c>
      <c r="K160" s="20" t="str">
        <f>IF(A160="","",IFERROR(INDEX('TOP Sample'!$W$5:$W$304,MATCH(A160,'TOP Sample'!$B$5:$B$304,0)),"Pending"))</f>
        <v/>
      </c>
      <c r="L160" s="20" t="str">
        <f>IF(A160="","",SUMIF('Sewing Production'!$E$5:$E$304,A160,'Sewing Production'!$L$5:$L$304))</f>
        <v/>
      </c>
      <c r="M160" s="20" t="str">
        <f>IF(A160="","",IFERROR(INDEX('Inline Quality'!$S$5:$S$304,MATCH(A160,'Inline Quality'!$E$5:$E$304,0)),"Pending"))</f>
        <v/>
      </c>
      <c r="N160" s="20" t="str">
        <f>IF(A160="","",IFERROR(INDEX('Final Inspection'!$U$5:$U$304,MATCH(A160,'Final Inspection'!$C$5:$C$304,0)),"Pending"))</f>
        <v/>
      </c>
      <c r="O160" s="20" t="str">
        <f>IF(A160="","",SUMIF('Packing Control'!$C$5:$C$304,A160,'Packing Control'!$K$5:$K$304))</f>
        <v/>
      </c>
      <c r="P160" s="20" t="str">
        <f>IF(A160="","",SUMIF('Finished Goods'!$C$5:$C$304,A160,'Finished Goods'!$J$5:$J$304))</f>
        <v/>
      </c>
      <c r="Q160" s="20" t="str">
        <f>IF(A160="","",SUMIF('Shipment Control'!$C$5:$C$304,A160,'Shipment Control'!$I$5:$I$304))</f>
        <v/>
      </c>
      <c r="R160" s="20" t="str">
        <f>IF(A160="","",SUMIF('Shipment Control'!$C$5:$C$304,A160,'Shipment Control'!$J$5:$J$304))</f>
        <v/>
      </c>
      <c r="S160" s="20" t="str">
        <f t="shared" si="4"/>
        <v/>
      </c>
      <c r="T160" s="21" t="str">
        <f>IF('FGPO Master'!A154="","",'FGPO Master'!I154)</f>
        <v/>
      </c>
      <c r="U160" s="7" t="str">
        <f>IF(A160="","",IF(COUNTIF('Open Issues'!$D$5:$D$304,A160)&gt;0,"Yellow","Green"))</f>
        <v/>
      </c>
      <c r="V160" s="7" t="str">
        <f>IF('FGPO Master'!A154="","",'FGPO Master'!U154)</f>
        <v/>
      </c>
    </row>
    <row r="161" spans="1:22">
      <c r="A161" s="7" t="str">
        <f>IF('FGPO Master'!A155="","",IF('FGPO Master'!D155="FGPO Pending","FGPO Pending",'FGPO Master'!B155))</f>
        <v/>
      </c>
      <c r="B161" s="7" t="str">
        <f>IF('FGPO Master'!A155="","",'FGPO Master'!F155)</f>
        <v/>
      </c>
      <c r="C161" s="7" t="str">
        <f>IF('FGPO Master'!A155="","",'FGPO Master'!G155)</f>
        <v/>
      </c>
      <c r="D161" s="20" t="str">
        <f>IF('FGPO Master'!A155="","",'FGPO Master'!H155)</f>
        <v/>
      </c>
      <c r="E161" s="20" t="str">
        <f>IF(A161="","",IF(SUMIF('Fabric Inventory'!$C$5:$C$304,A161,'Fabric Inventory'!$O$5:$O$304)&gt;0,"Shortage",IF(SUMIF('Fabric Inventory'!$C$5:$C$304,A161,'Fabric Inventory'!$H$5:$H$304)&gt;0,"Approved","Pending")))</f>
        <v/>
      </c>
      <c r="F161" s="20" t="str">
        <f>IF(A161="","",IF(SUMIF('Trims Control'!$B$5:$B$304,A161,'Trims Control'!$R$5:$R$304)&gt;0,"Shortage",IF(COUNTIFS('Trims Control'!$B$5:$B$304,A161,'Trims Control'!$V$5:$V$304,"Ready")&gt;0,"Ready","Pending")))</f>
        <v/>
      </c>
      <c r="G161" s="20" t="str">
        <f>IF(A161="","",IFERROR(INDEX('PP Sample'!$V$5:$V$304,MATCH(A161,'PP Sample'!$B$5:$B$304,0)),"Pending"))</f>
        <v/>
      </c>
      <c r="H161" s="20" t="str">
        <f>IF(A161="","",IFERROR(INDEX('Production Readiness'!$S$5:$S$304,MATCH(A161,'Production Readiness'!$C$5:$C$304,0)),"Pending"))</f>
        <v/>
      </c>
      <c r="I161" s="20" t="str">
        <f>IF(A161="","",IFERROR(INDEX('Cutting Release'!$P$5:$P$304,MATCH(A161,'Cutting Release'!$C$5:$C$304,0)),"Pending"))</f>
        <v/>
      </c>
      <c r="J161" s="20" t="str">
        <f>IF(A161="","",SUMIF('Cutting Control'!$C$5:$C$304,A161,'Cutting Control'!$K$5:$K$304))</f>
        <v/>
      </c>
      <c r="K161" s="20" t="str">
        <f>IF(A161="","",IFERROR(INDEX('TOP Sample'!$W$5:$W$304,MATCH(A161,'TOP Sample'!$B$5:$B$304,0)),"Pending"))</f>
        <v/>
      </c>
      <c r="L161" s="20" t="str">
        <f>IF(A161="","",SUMIF('Sewing Production'!$E$5:$E$304,A161,'Sewing Production'!$L$5:$L$304))</f>
        <v/>
      </c>
      <c r="M161" s="20" t="str">
        <f>IF(A161="","",IFERROR(INDEX('Inline Quality'!$S$5:$S$304,MATCH(A161,'Inline Quality'!$E$5:$E$304,0)),"Pending"))</f>
        <v/>
      </c>
      <c r="N161" s="20" t="str">
        <f>IF(A161="","",IFERROR(INDEX('Final Inspection'!$U$5:$U$304,MATCH(A161,'Final Inspection'!$C$5:$C$304,0)),"Pending"))</f>
        <v/>
      </c>
      <c r="O161" s="20" t="str">
        <f>IF(A161="","",SUMIF('Packing Control'!$C$5:$C$304,A161,'Packing Control'!$K$5:$K$304))</f>
        <v/>
      </c>
      <c r="P161" s="20" t="str">
        <f>IF(A161="","",SUMIF('Finished Goods'!$C$5:$C$304,A161,'Finished Goods'!$J$5:$J$304))</f>
        <v/>
      </c>
      <c r="Q161" s="20" t="str">
        <f>IF(A161="","",SUMIF('Shipment Control'!$C$5:$C$304,A161,'Shipment Control'!$I$5:$I$304))</f>
        <v/>
      </c>
      <c r="R161" s="20" t="str">
        <f>IF(A161="","",SUMIF('Shipment Control'!$C$5:$C$304,A161,'Shipment Control'!$J$5:$J$304))</f>
        <v/>
      </c>
      <c r="S161" s="20" t="str">
        <f t="shared" si="4"/>
        <v/>
      </c>
      <c r="T161" s="21" t="str">
        <f>IF('FGPO Master'!A155="","",'FGPO Master'!I155)</f>
        <v/>
      </c>
      <c r="U161" s="7" t="str">
        <f>IF(A161="","",IF(COUNTIF('Open Issues'!$D$5:$D$304,A161)&gt;0,"Yellow","Green"))</f>
        <v/>
      </c>
      <c r="V161" s="7" t="str">
        <f>IF('FGPO Master'!A155="","",'FGPO Master'!U155)</f>
        <v/>
      </c>
    </row>
    <row r="162" spans="1:22">
      <c r="A162" s="7" t="str">
        <f>IF('FGPO Master'!A156="","",IF('FGPO Master'!D156="FGPO Pending","FGPO Pending",'FGPO Master'!B156))</f>
        <v/>
      </c>
      <c r="B162" s="7" t="str">
        <f>IF('FGPO Master'!A156="","",'FGPO Master'!F156)</f>
        <v/>
      </c>
      <c r="C162" s="7" t="str">
        <f>IF('FGPO Master'!A156="","",'FGPO Master'!G156)</f>
        <v/>
      </c>
      <c r="D162" s="20" t="str">
        <f>IF('FGPO Master'!A156="","",'FGPO Master'!H156)</f>
        <v/>
      </c>
      <c r="E162" s="20" t="str">
        <f>IF(A162="","",IF(SUMIF('Fabric Inventory'!$C$5:$C$304,A162,'Fabric Inventory'!$O$5:$O$304)&gt;0,"Shortage",IF(SUMIF('Fabric Inventory'!$C$5:$C$304,A162,'Fabric Inventory'!$H$5:$H$304)&gt;0,"Approved","Pending")))</f>
        <v/>
      </c>
      <c r="F162" s="20" t="str">
        <f>IF(A162="","",IF(SUMIF('Trims Control'!$B$5:$B$304,A162,'Trims Control'!$R$5:$R$304)&gt;0,"Shortage",IF(COUNTIFS('Trims Control'!$B$5:$B$304,A162,'Trims Control'!$V$5:$V$304,"Ready")&gt;0,"Ready","Pending")))</f>
        <v/>
      </c>
      <c r="G162" s="20" t="str">
        <f>IF(A162="","",IFERROR(INDEX('PP Sample'!$V$5:$V$304,MATCH(A162,'PP Sample'!$B$5:$B$304,0)),"Pending"))</f>
        <v/>
      </c>
      <c r="H162" s="20" t="str">
        <f>IF(A162="","",IFERROR(INDEX('Production Readiness'!$S$5:$S$304,MATCH(A162,'Production Readiness'!$C$5:$C$304,0)),"Pending"))</f>
        <v/>
      </c>
      <c r="I162" s="20" t="str">
        <f>IF(A162="","",IFERROR(INDEX('Cutting Release'!$P$5:$P$304,MATCH(A162,'Cutting Release'!$C$5:$C$304,0)),"Pending"))</f>
        <v/>
      </c>
      <c r="J162" s="20" t="str">
        <f>IF(A162="","",SUMIF('Cutting Control'!$C$5:$C$304,A162,'Cutting Control'!$K$5:$K$304))</f>
        <v/>
      </c>
      <c r="K162" s="20" t="str">
        <f>IF(A162="","",IFERROR(INDEX('TOP Sample'!$W$5:$W$304,MATCH(A162,'TOP Sample'!$B$5:$B$304,0)),"Pending"))</f>
        <v/>
      </c>
      <c r="L162" s="20" t="str">
        <f>IF(A162="","",SUMIF('Sewing Production'!$E$5:$E$304,A162,'Sewing Production'!$L$5:$L$304))</f>
        <v/>
      </c>
      <c r="M162" s="20" t="str">
        <f>IF(A162="","",IFERROR(INDEX('Inline Quality'!$S$5:$S$304,MATCH(A162,'Inline Quality'!$E$5:$E$304,0)),"Pending"))</f>
        <v/>
      </c>
      <c r="N162" s="20" t="str">
        <f>IF(A162="","",IFERROR(INDEX('Final Inspection'!$U$5:$U$304,MATCH(A162,'Final Inspection'!$C$5:$C$304,0)),"Pending"))</f>
        <v/>
      </c>
      <c r="O162" s="20" t="str">
        <f>IF(A162="","",SUMIF('Packing Control'!$C$5:$C$304,A162,'Packing Control'!$K$5:$K$304))</f>
        <v/>
      </c>
      <c r="P162" s="20" t="str">
        <f>IF(A162="","",SUMIF('Finished Goods'!$C$5:$C$304,A162,'Finished Goods'!$J$5:$J$304))</f>
        <v/>
      </c>
      <c r="Q162" s="20" t="str">
        <f>IF(A162="","",SUMIF('Shipment Control'!$C$5:$C$304,A162,'Shipment Control'!$I$5:$I$304))</f>
        <v/>
      </c>
      <c r="R162" s="20" t="str">
        <f>IF(A162="","",SUMIF('Shipment Control'!$C$5:$C$304,A162,'Shipment Control'!$J$5:$J$304))</f>
        <v/>
      </c>
      <c r="S162" s="20" t="str">
        <f t="shared" si="4"/>
        <v/>
      </c>
      <c r="T162" s="21" t="str">
        <f>IF('FGPO Master'!A156="","",'FGPO Master'!I156)</f>
        <v/>
      </c>
      <c r="U162" s="7" t="str">
        <f>IF(A162="","",IF(COUNTIF('Open Issues'!$D$5:$D$304,A162)&gt;0,"Yellow","Green"))</f>
        <v/>
      </c>
      <c r="V162" s="7" t="str">
        <f>IF('FGPO Master'!A156="","",'FGPO Master'!U156)</f>
        <v/>
      </c>
    </row>
    <row r="163" spans="1:22">
      <c r="A163" s="7" t="str">
        <f>IF('FGPO Master'!A157="","",IF('FGPO Master'!D157="FGPO Pending","FGPO Pending",'FGPO Master'!B157))</f>
        <v/>
      </c>
      <c r="B163" s="7" t="str">
        <f>IF('FGPO Master'!A157="","",'FGPO Master'!F157)</f>
        <v/>
      </c>
      <c r="C163" s="7" t="str">
        <f>IF('FGPO Master'!A157="","",'FGPO Master'!G157)</f>
        <v/>
      </c>
      <c r="D163" s="20" t="str">
        <f>IF('FGPO Master'!A157="","",'FGPO Master'!H157)</f>
        <v/>
      </c>
      <c r="E163" s="20" t="str">
        <f>IF(A163="","",IF(SUMIF('Fabric Inventory'!$C$5:$C$304,A163,'Fabric Inventory'!$O$5:$O$304)&gt;0,"Shortage",IF(SUMIF('Fabric Inventory'!$C$5:$C$304,A163,'Fabric Inventory'!$H$5:$H$304)&gt;0,"Approved","Pending")))</f>
        <v/>
      </c>
      <c r="F163" s="20" t="str">
        <f>IF(A163="","",IF(SUMIF('Trims Control'!$B$5:$B$304,A163,'Trims Control'!$R$5:$R$304)&gt;0,"Shortage",IF(COUNTIFS('Trims Control'!$B$5:$B$304,A163,'Trims Control'!$V$5:$V$304,"Ready")&gt;0,"Ready","Pending")))</f>
        <v/>
      </c>
      <c r="G163" s="20" t="str">
        <f>IF(A163="","",IFERROR(INDEX('PP Sample'!$V$5:$V$304,MATCH(A163,'PP Sample'!$B$5:$B$304,0)),"Pending"))</f>
        <v/>
      </c>
      <c r="H163" s="20" t="str">
        <f>IF(A163="","",IFERROR(INDEX('Production Readiness'!$S$5:$S$304,MATCH(A163,'Production Readiness'!$C$5:$C$304,0)),"Pending"))</f>
        <v/>
      </c>
      <c r="I163" s="20" t="str">
        <f>IF(A163="","",IFERROR(INDEX('Cutting Release'!$P$5:$P$304,MATCH(A163,'Cutting Release'!$C$5:$C$304,0)),"Pending"))</f>
        <v/>
      </c>
      <c r="J163" s="20" t="str">
        <f>IF(A163="","",SUMIF('Cutting Control'!$C$5:$C$304,A163,'Cutting Control'!$K$5:$K$304))</f>
        <v/>
      </c>
      <c r="K163" s="20" t="str">
        <f>IF(A163="","",IFERROR(INDEX('TOP Sample'!$W$5:$W$304,MATCH(A163,'TOP Sample'!$B$5:$B$304,0)),"Pending"))</f>
        <v/>
      </c>
      <c r="L163" s="20" t="str">
        <f>IF(A163="","",SUMIF('Sewing Production'!$E$5:$E$304,A163,'Sewing Production'!$L$5:$L$304))</f>
        <v/>
      </c>
      <c r="M163" s="20" t="str">
        <f>IF(A163="","",IFERROR(INDEX('Inline Quality'!$S$5:$S$304,MATCH(A163,'Inline Quality'!$E$5:$E$304,0)),"Pending"))</f>
        <v/>
      </c>
      <c r="N163" s="20" t="str">
        <f>IF(A163="","",IFERROR(INDEX('Final Inspection'!$U$5:$U$304,MATCH(A163,'Final Inspection'!$C$5:$C$304,0)),"Pending"))</f>
        <v/>
      </c>
      <c r="O163" s="20" t="str">
        <f>IF(A163="","",SUMIF('Packing Control'!$C$5:$C$304,A163,'Packing Control'!$K$5:$K$304))</f>
        <v/>
      </c>
      <c r="P163" s="20" t="str">
        <f>IF(A163="","",SUMIF('Finished Goods'!$C$5:$C$304,A163,'Finished Goods'!$J$5:$J$304))</f>
        <v/>
      </c>
      <c r="Q163" s="20" t="str">
        <f>IF(A163="","",SUMIF('Shipment Control'!$C$5:$C$304,A163,'Shipment Control'!$I$5:$I$304))</f>
        <v/>
      </c>
      <c r="R163" s="20" t="str">
        <f>IF(A163="","",SUMIF('Shipment Control'!$C$5:$C$304,A163,'Shipment Control'!$J$5:$J$304))</f>
        <v/>
      </c>
      <c r="S163" s="20" t="str">
        <f t="shared" si="4"/>
        <v/>
      </c>
      <c r="T163" s="21" t="str">
        <f>IF('FGPO Master'!A157="","",'FGPO Master'!I157)</f>
        <v/>
      </c>
      <c r="U163" s="7" t="str">
        <f>IF(A163="","",IF(COUNTIF('Open Issues'!$D$5:$D$304,A163)&gt;0,"Yellow","Green"))</f>
        <v/>
      </c>
      <c r="V163" s="7" t="str">
        <f>IF('FGPO Master'!A157="","",'FGPO Master'!U157)</f>
        <v/>
      </c>
    </row>
    <row r="164" spans="1:22">
      <c r="A164" s="7" t="str">
        <f>IF('FGPO Master'!A158="","",IF('FGPO Master'!D158="FGPO Pending","FGPO Pending",'FGPO Master'!B158))</f>
        <v/>
      </c>
      <c r="B164" s="7" t="str">
        <f>IF('FGPO Master'!A158="","",'FGPO Master'!F158)</f>
        <v/>
      </c>
      <c r="C164" s="7" t="str">
        <f>IF('FGPO Master'!A158="","",'FGPO Master'!G158)</f>
        <v/>
      </c>
      <c r="D164" s="20" t="str">
        <f>IF('FGPO Master'!A158="","",'FGPO Master'!H158)</f>
        <v/>
      </c>
      <c r="E164" s="20" t="str">
        <f>IF(A164="","",IF(SUMIF('Fabric Inventory'!$C$5:$C$304,A164,'Fabric Inventory'!$O$5:$O$304)&gt;0,"Shortage",IF(SUMIF('Fabric Inventory'!$C$5:$C$304,A164,'Fabric Inventory'!$H$5:$H$304)&gt;0,"Approved","Pending")))</f>
        <v/>
      </c>
      <c r="F164" s="20" t="str">
        <f>IF(A164="","",IF(SUMIF('Trims Control'!$B$5:$B$304,A164,'Trims Control'!$R$5:$R$304)&gt;0,"Shortage",IF(COUNTIFS('Trims Control'!$B$5:$B$304,A164,'Trims Control'!$V$5:$V$304,"Ready")&gt;0,"Ready","Pending")))</f>
        <v/>
      </c>
      <c r="G164" s="20" t="str">
        <f>IF(A164="","",IFERROR(INDEX('PP Sample'!$V$5:$V$304,MATCH(A164,'PP Sample'!$B$5:$B$304,0)),"Pending"))</f>
        <v/>
      </c>
      <c r="H164" s="20" t="str">
        <f>IF(A164="","",IFERROR(INDEX('Production Readiness'!$S$5:$S$304,MATCH(A164,'Production Readiness'!$C$5:$C$304,0)),"Pending"))</f>
        <v/>
      </c>
      <c r="I164" s="20" t="str">
        <f>IF(A164="","",IFERROR(INDEX('Cutting Release'!$P$5:$P$304,MATCH(A164,'Cutting Release'!$C$5:$C$304,0)),"Pending"))</f>
        <v/>
      </c>
      <c r="J164" s="20" t="str">
        <f>IF(A164="","",SUMIF('Cutting Control'!$C$5:$C$304,A164,'Cutting Control'!$K$5:$K$304))</f>
        <v/>
      </c>
      <c r="K164" s="20" t="str">
        <f>IF(A164="","",IFERROR(INDEX('TOP Sample'!$W$5:$W$304,MATCH(A164,'TOP Sample'!$B$5:$B$304,0)),"Pending"))</f>
        <v/>
      </c>
      <c r="L164" s="20" t="str">
        <f>IF(A164="","",SUMIF('Sewing Production'!$E$5:$E$304,A164,'Sewing Production'!$L$5:$L$304))</f>
        <v/>
      </c>
      <c r="M164" s="20" t="str">
        <f>IF(A164="","",IFERROR(INDEX('Inline Quality'!$S$5:$S$304,MATCH(A164,'Inline Quality'!$E$5:$E$304,0)),"Pending"))</f>
        <v/>
      </c>
      <c r="N164" s="20" t="str">
        <f>IF(A164="","",IFERROR(INDEX('Final Inspection'!$U$5:$U$304,MATCH(A164,'Final Inspection'!$C$5:$C$304,0)),"Pending"))</f>
        <v/>
      </c>
      <c r="O164" s="20" t="str">
        <f>IF(A164="","",SUMIF('Packing Control'!$C$5:$C$304,A164,'Packing Control'!$K$5:$K$304))</f>
        <v/>
      </c>
      <c r="P164" s="20" t="str">
        <f>IF(A164="","",SUMIF('Finished Goods'!$C$5:$C$304,A164,'Finished Goods'!$J$5:$J$304))</f>
        <v/>
      </c>
      <c r="Q164" s="20" t="str">
        <f>IF(A164="","",SUMIF('Shipment Control'!$C$5:$C$304,A164,'Shipment Control'!$I$5:$I$304))</f>
        <v/>
      </c>
      <c r="R164" s="20" t="str">
        <f>IF(A164="","",SUMIF('Shipment Control'!$C$5:$C$304,A164,'Shipment Control'!$J$5:$J$304))</f>
        <v/>
      </c>
      <c r="S164" s="20" t="str">
        <f t="shared" si="4"/>
        <v/>
      </c>
      <c r="T164" s="21" t="str">
        <f>IF('FGPO Master'!A158="","",'FGPO Master'!I158)</f>
        <v/>
      </c>
      <c r="U164" s="7" t="str">
        <f>IF(A164="","",IF(COUNTIF('Open Issues'!$D$5:$D$304,A164)&gt;0,"Yellow","Green"))</f>
        <v/>
      </c>
      <c r="V164" s="7" t="str">
        <f>IF('FGPO Master'!A158="","",'FGPO Master'!U158)</f>
        <v/>
      </c>
    </row>
    <row r="165" spans="1:22">
      <c r="A165" s="7" t="str">
        <f>IF('FGPO Master'!A159="","",IF('FGPO Master'!D159="FGPO Pending","FGPO Pending",'FGPO Master'!B159))</f>
        <v/>
      </c>
      <c r="B165" s="7" t="str">
        <f>IF('FGPO Master'!A159="","",'FGPO Master'!F159)</f>
        <v/>
      </c>
      <c r="C165" s="7" t="str">
        <f>IF('FGPO Master'!A159="","",'FGPO Master'!G159)</f>
        <v/>
      </c>
      <c r="D165" s="20" t="str">
        <f>IF('FGPO Master'!A159="","",'FGPO Master'!H159)</f>
        <v/>
      </c>
      <c r="E165" s="20" t="str">
        <f>IF(A165="","",IF(SUMIF('Fabric Inventory'!$C$5:$C$304,A165,'Fabric Inventory'!$O$5:$O$304)&gt;0,"Shortage",IF(SUMIF('Fabric Inventory'!$C$5:$C$304,A165,'Fabric Inventory'!$H$5:$H$304)&gt;0,"Approved","Pending")))</f>
        <v/>
      </c>
      <c r="F165" s="20" t="str">
        <f>IF(A165="","",IF(SUMIF('Trims Control'!$B$5:$B$304,A165,'Trims Control'!$R$5:$R$304)&gt;0,"Shortage",IF(COUNTIFS('Trims Control'!$B$5:$B$304,A165,'Trims Control'!$V$5:$V$304,"Ready")&gt;0,"Ready","Pending")))</f>
        <v/>
      </c>
      <c r="G165" s="20" t="str">
        <f>IF(A165="","",IFERROR(INDEX('PP Sample'!$V$5:$V$304,MATCH(A165,'PP Sample'!$B$5:$B$304,0)),"Pending"))</f>
        <v/>
      </c>
      <c r="H165" s="20" t="str">
        <f>IF(A165="","",IFERROR(INDEX('Production Readiness'!$S$5:$S$304,MATCH(A165,'Production Readiness'!$C$5:$C$304,0)),"Pending"))</f>
        <v/>
      </c>
      <c r="I165" s="20" t="str">
        <f>IF(A165="","",IFERROR(INDEX('Cutting Release'!$P$5:$P$304,MATCH(A165,'Cutting Release'!$C$5:$C$304,0)),"Pending"))</f>
        <v/>
      </c>
      <c r="J165" s="20" t="str">
        <f>IF(A165="","",SUMIF('Cutting Control'!$C$5:$C$304,A165,'Cutting Control'!$K$5:$K$304))</f>
        <v/>
      </c>
      <c r="K165" s="20" t="str">
        <f>IF(A165="","",IFERROR(INDEX('TOP Sample'!$W$5:$W$304,MATCH(A165,'TOP Sample'!$B$5:$B$304,0)),"Pending"))</f>
        <v/>
      </c>
      <c r="L165" s="20" t="str">
        <f>IF(A165="","",SUMIF('Sewing Production'!$E$5:$E$304,A165,'Sewing Production'!$L$5:$L$304))</f>
        <v/>
      </c>
      <c r="M165" s="20" t="str">
        <f>IF(A165="","",IFERROR(INDEX('Inline Quality'!$S$5:$S$304,MATCH(A165,'Inline Quality'!$E$5:$E$304,0)),"Pending"))</f>
        <v/>
      </c>
      <c r="N165" s="20" t="str">
        <f>IF(A165="","",IFERROR(INDEX('Final Inspection'!$U$5:$U$304,MATCH(A165,'Final Inspection'!$C$5:$C$304,0)),"Pending"))</f>
        <v/>
      </c>
      <c r="O165" s="20" t="str">
        <f>IF(A165="","",SUMIF('Packing Control'!$C$5:$C$304,A165,'Packing Control'!$K$5:$K$304))</f>
        <v/>
      </c>
      <c r="P165" s="20" t="str">
        <f>IF(A165="","",SUMIF('Finished Goods'!$C$5:$C$304,A165,'Finished Goods'!$J$5:$J$304))</f>
        <v/>
      </c>
      <c r="Q165" s="20" t="str">
        <f>IF(A165="","",SUMIF('Shipment Control'!$C$5:$C$304,A165,'Shipment Control'!$I$5:$I$304))</f>
        <v/>
      </c>
      <c r="R165" s="20" t="str">
        <f>IF(A165="","",SUMIF('Shipment Control'!$C$5:$C$304,A165,'Shipment Control'!$J$5:$J$304))</f>
        <v/>
      </c>
      <c r="S165" s="20" t="str">
        <f t="shared" si="4"/>
        <v/>
      </c>
      <c r="T165" s="21" t="str">
        <f>IF('FGPO Master'!A159="","",'FGPO Master'!I159)</f>
        <v/>
      </c>
      <c r="U165" s="7" t="str">
        <f>IF(A165="","",IF(COUNTIF('Open Issues'!$D$5:$D$304,A165)&gt;0,"Yellow","Green"))</f>
        <v/>
      </c>
      <c r="V165" s="7" t="str">
        <f>IF('FGPO Master'!A159="","",'FGPO Master'!U159)</f>
        <v/>
      </c>
    </row>
    <row r="166" spans="1:22">
      <c r="A166" s="7" t="str">
        <f>IF('FGPO Master'!A160="","",IF('FGPO Master'!D160="FGPO Pending","FGPO Pending",'FGPO Master'!B160))</f>
        <v/>
      </c>
      <c r="B166" s="7" t="str">
        <f>IF('FGPO Master'!A160="","",'FGPO Master'!F160)</f>
        <v/>
      </c>
      <c r="C166" s="7" t="str">
        <f>IF('FGPO Master'!A160="","",'FGPO Master'!G160)</f>
        <v/>
      </c>
      <c r="D166" s="20" t="str">
        <f>IF('FGPO Master'!A160="","",'FGPO Master'!H160)</f>
        <v/>
      </c>
      <c r="E166" s="20" t="str">
        <f>IF(A166="","",IF(SUMIF('Fabric Inventory'!$C$5:$C$304,A166,'Fabric Inventory'!$O$5:$O$304)&gt;0,"Shortage",IF(SUMIF('Fabric Inventory'!$C$5:$C$304,A166,'Fabric Inventory'!$H$5:$H$304)&gt;0,"Approved","Pending")))</f>
        <v/>
      </c>
      <c r="F166" s="20" t="str">
        <f>IF(A166="","",IF(SUMIF('Trims Control'!$B$5:$B$304,A166,'Trims Control'!$R$5:$R$304)&gt;0,"Shortage",IF(COUNTIFS('Trims Control'!$B$5:$B$304,A166,'Trims Control'!$V$5:$V$304,"Ready")&gt;0,"Ready","Pending")))</f>
        <v/>
      </c>
      <c r="G166" s="20" t="str">
        <f>IF(A166="","",IFERROR(INDEX('PP Sample'!$V$5:$V$304,MATCH(A166,'PP Sample'!$B$5:$B$304,0)),"Pending"))</f>
        <v/>
      </c>
      <c r="H166" s="20" t="str">
        <f>IF(A166="","",IFERROR(INDEX('Production Readiness'!$S$5:$S$304,MATCH(A166,'Production Readiness'!$C$5:$C$304,0)),"Pending"))</f>
        <v/>
      </c>
      <c r="I166" s="20" t="str">
        <f>IF(A166="","",IFERROR(INDEX('Cutting Release'!$P$5:$P$304,MATCH(A166,'Cutting Release'!$C$5:$C$304,0)),"Pending"))</f>
        <v/>
      </c>
      <c r="J166" s="20" t="str">
        <f>IF(A166="","",SUMIF('Cutting Control'!$C$5:$C$304,A166,'Cutting Control'!$K$5:$K$304))</f>
        <v/>
      </c>
      <c r="K166" s="20" t="str">
        <f>IF(A166="","",IFERROR(INDEX('TOP Sample'!$W$5:$W$304,MATCH(A166,'TOP Sample'!$B$5:$B$304,0)),"Pending"))</f>
        <v/>
      </c>
      <c r="L166" s="20" t="str">
        <f>IF(A166="","",SUMIF('Sewing Production'!$E$5:$E$304,A166,'Sewing Production'!$L$5:$L$304))</f>
        <v/>
      </c>
      <c r="M166" s="20" t="str">
        <f>IF(A166="","",IFERROR(INDEX('Inline Quality'!$S$5:$S$304,MATCH(A166,'Inline Quality'!$E$5:$E$304,0)),"Pending"))</f>
        <v/>
      </c>
      <c r="N166" s="20" t="str">
        <f>IF(A166="","",IFERROR(INDEX('Final Inspection'!$U$5:$U$304,MATCH(A166,'Final Inspection'!$C$5:$C$304,0)),"Pending"))</f>
        <v/>
      </c>
      <c r="O166" s="20" t="str">
        <f>IF(A166="","",SUMIF('Packing Control'!$C$5:$C$304,A166,'Packing Control'!$K$5:$K$304))</f>
        <v/>
      </c>
      <c r="P166" s="20" t="str">
        <f>IF(A166="","",SUMIF('Finished Goods'!$C$5:$C$304,A166,'Finished Goods'!$J$5:$J$304))</f>
        <v/>
      </c>
      <c r="Q166" s="20" t="str">
        <f>IF(A166="","",SUMIF('Shipment Control'!$C$5:$C$304,A166,'Shipment Control'!$I$5:$I$304))</f>
        <v/>
      </c>
      <c r="R166" s="20" t="str">
        <f>IF(A166="","",SUMIF('Shipment Control'!$C$5:$C$304,A166,'Shipment Control'!$J$5:$J$304))</f>
        <v/>
      </c>
      <c r="S166" s="20" t="str">
        <f t="shared" si="4"/>
        <v/>
      </c>
      <c r="T166" s="21" t="str">
        <f>IF('FGPO Master'!A160="","",'FGPO Master'!I160)</f>
        <v/>
      </c>
      <c r="U166" s="7" t="str">
        <f>IF(A166="","",IF(COUNTIF('Open Issues'!$D$5:$D$304,A166)&gt;0,"Yellow","Green"))</f>
        <v/>
      </c>
      <c r="V166" s="7" t="str">
        <f>IF('FGPO Master'!A160="","",'FGPO Master'!U160)</f>
        <v/>
      </c>
    </row>
    <row r="167" spans="1:22">
      <c r="A167" s="7" t="str">
        <f>IF('FGPO Master'!A161="","",IF('FGPO Master'!D161="FGPO Pending","FGPO Pending",'FGPO Master'!B161))</f>
        <v/>
      </c>
      <c r="B167" s="7" t="str">
        <f>IF('FGPO Master'!A161="","",'FGPO Master'!F161)</f>
        <v/>
      </c>
      <c r="C167" s="7" t="str">
        <f>IF('FGPO Master'!A161="","",'FGPO Master'!G161)</f>
        <v/>
      </c>
      <c r="D167" s="20" t="str">
        <f>IF('FGPO Master'!A161="","",'FGPO Master'!H161)</f>
        <v/>
      </c>
      <c r="E167" s="20" t="str">
        <f>IF(A167="","",IF(SUMIF('Fabric Inventory'!$C$5:$C$304,A167,'Fabric Inventory'!$O$5:$O$304)&gt;0,"Shortage",IF(SUMIF('Fabric Inventory'!$C$5:$C$304,A167,'Fabric Inventory'!$H$5:$H$304)&gt;0,"Approved","Pending")))</f>
        <v/>
      </c>
      <c r="F167" s="20" t="str">
        <f>IF(A167="","",IF(SUMIF('Trims Control'!$B$5:$B$304,A167,'Trims Control'!$R$5:$R$304)&gt;0,"Shortage",IF(COUNTIFS('Trims Control'!$B$5:$B$304,A167,'Trims Control'!$V$5:$V$304,"Ready")&gt;0,"Ready","Pending")))</f>
        <v/>
      </c>
      <c r="G167" s="20" t="str">
        <f>IF(A167="","",IFERROR(INDEX('PP Sample'!$V$5:$V$304,MATCH(A167,'PP Sample'!$B$5:$B$304,0)),"Pending"))</f>
        <v/>
      </c>
      <c r="H167" s="20" t="str">
        <f>IF(A167="","",IFERROR(INDEX('Production Readiness'!$S$5:$S$304,MATCH(A167,'Production Readiness'!$C$5:$C$304,0)),"Pending"))</f>
        <v/>
      </c>
      <c r="I167" s="20" t="str">
        <f>IF(A167="","",IFERROR(INDEX('Cutting Release'!$P$5:$P$304,MATCH(A167,'Cutting Release'!$C$5:$C$304,0)),"Pending"))</f>
        <v/>
      </c>
      <c r="J167" s="20" t="str">
        <f>IF(A167="","",SUMIF('Cutting Control'!$C$5:$C$304,A167,'Cutting Control'!$K$5:$K$304))</f>
        <v/>
      </c>
      <c r="K167" s="20" t="str">
        <f>IF(A167="","",IFERROR(INDEX('TOP Sample'!$W$5:$W$304,MATCH(A167,'TOP Sample'!$B$5:$B$304,0)),"Pending"))</f>
        <v/>
      </c>
      <c r="L167" s="20" t="str">
        <f>IF(A167="","",SUMIF('Sewing Production'!$E$5:$E$304,A167,'Sewing Production'!$L$5:$L$304))</f>
        <v/>
      </c>
      <c r="M167" s="20" t="str">
        <f>IF(A167="","",IFERROR(INDEX('Inline Quality'!$S$5:$S$304,MATCH(A167,'Inline Quality'!$E$5:$E$304,0)),"Pending"))</f>
        <v/>
      </c>
      <c r="N167" s="20" t="str">
        <f>IF(A167="","",IFERROR(INDEX('Final Inspection'!$U$5:$U$304,MATCH(A167,'Final Inspection'!$C$5:$C$304,0)),"Pending"))</f>
        <v/>
      </c>
      <c r="O167" s="20" t="str">
        <f>IF(A167="","",SUMIF('Packing Control'!$C$5:$C$304,A167,'Packing Control'!$K$5:$K$304))</f>
        <v/>
      </c>
      <c r="P167" s="20" t="str">
        <f>IF(A167="","",SUMIF('Finished Goods'!$C$5:$C$304,A167,'Finished Goods'!$J$5:$J$304))</f>
        <v/>
      </c>
      <c r="Q167" s="20" t="str">
        <f>IF(A167="","",SUMIF('Shipment Control'!$C$5:$C$304,A167,'Shipment Control'!$I$5:$I$304))</f>
        <v/>
      </c>
      <c r="R167" s="20" t="str">
        <f>IF(A167="","",SUMIF('Shipment Control'!$C$5:$C$304,A167,'Shipment Control'!$J$5:$J$304))</f>
        <v/>
      </c>
      <c r="S167" s="20" t="str">
        <f t="shared" si="4"/>
        <v/>
      </c>
      <c r="T167" s="21" t="str">
        <f>IF('FGPO Master'!A161="","",'FGPO Master'!I161)</f>
        <v/>
      </c>
      <c r="U167" s="7" t="str">
        <f>IF(A167="","",IF(COUNTIF('Open Issues'!$D$5:$D$304,A167)&gt;0,"Yellow","Green"))</f>
        <v/>
      </c>
      <c r="V167" s="7" t="str">
        <f>IF('FGPO Master'!A161="","",'FGPO Master'!U161)</f>
        <v/>
      </c>
    </row>
    <row r="168" spans="1:22">
      <c r="A168" s="7" t="str">
        <f>IF('FGPO Master'!A162="","",IF('FGPO Master'!D162="FGPO Pending","FGPO Pending",'FGPO Master'!B162))</f>
        <v/>
      </c>
      <c r="B168" s="7" t="str">
        <f>IF('FGPO Master'!A162="","",'FGPO Master'!F162)</f>
        <v/>
      </c>
      <c r="C168" s="7" t="str">
        <f>IF('FGPO Master'!A162="","",'FGPO Master'!G162)</f>
        <v/>
      </c>
      <c r="D168" s="20" t="str">
        <f>IF('FGPO Master'!A162="","",'FGPO Master'!H162)</f>
        <v/>
      </c>
      <c r="E168" s="20" t="str">
        <f>IF(A168="","",IF(SUMIF('Fabric Inventory'!$C$5:$C$304,A168,'Fabric Inventory'!$O$5:$O$304)&gt;0,"Shortage",IF(SUMIF('Fabric Inventory'!$C$5:$C$304,A168,'Fabric Inventory'!$H$5:$H$304)&gt;0,"Approved","Pending")))</f>
        <v/>
      </c>
      <c r="F168" s="20" t="str">
        <f>IF(A168="","",IF(SUMIF('Trims Control'!$B$5:$B$304,A168,'Trims Control'!$R$5:$R$304)&gt;0,"Shortage",IF(COUNTIFS('Trims Control'!$B$5:$B$304,A168,'Trims Control'!$V$5:$V$304,"Ready")&gt;0,"Ready","Pending")))</f>
        <v/>
      </c>
      <c r="G168" s="20" t="str">
        <f>IF(A168="","",IFERROR(INDEX('PP Sample'!$V$5:$V$304,MATCH(A168,'PP Sample'!$B$5:$B$304,0)),"Pending"))</f>
        <v/>
      </c>
      <c r="H168" s="20" t="str">
        <f>IF(A168="","",IFERROR(INDEX('Production Readiness'!$S$5:$S$304,MATCH(A168,'Production Readiness'!$C$5:$C$304,0)),"Pending"))</f>
        <v/>
      </c>
      <c r="I168" s="20" t="str">
        <f>IF(A168="","",IFERROR(INDEX('Cutting Release'!$P$5:$P$304,MATCH(A168,'Cutting Release'!$C$5:$C$304,0)),"Pending"))</f>
        <v/>
      </c>
      <c r="J168" s="20" t="str">
        <f>IF(A168="","",SUMIF('Cutting Control'!$C$5:$C$304,A168,'Cutting Control'!$K$5:$K$304))</f>
        <v/>
      </c>
      <c r="K168" s="20" t="str">
        <f>IF(A168="","",IFERROR(INDEX('TOP Sample'!$W$5:$W$304,MATCH(A168,'TOP Sample'!$B$5:$B$304,0)),"Pending"))</f>
        <v/>
      </c>
      <c r="L168" s="20" t="str">
        <f>IF(A168="","",SUMIF('Sewing Production'!$E$5:$E$304,A168,'Sewing Production'!$L$5:$L$304))</f>
        <v/>
      </c>
      <c r="M168" s="20" t="str">
        <f>IF(A168="","",IFERROR(INDEX('Inline Quality'!$S$5:$S$304,MATCH(A168,'Inline Quality'!$E$5:$E$304,0)),"Pending"))</f>
        <v/>
      </c>
      <c r="N168" s="20" t="str">
        <f>IF(A168="","",IFERROR(INDEX('Final Inspection'!$U$5:$U$304,MATCH(A168,'Final Inspection'!$C$5:$C$304,0)),"Pending"))</f>
        <v/>
      </c>
      <c r="O168" s="20" t="str">
        <f>IF(A168="","",SUMIF('Packing Control'!$C$5:$C$304,A168,'Packing Control'!$K$5:$K$304))</f>
        <v/>
      </c>
      <c r="P168" s="20" t="str">
        <f>IF(A168="","",SUMIF('Finished Goods'!$C$5:$C$304,A168,'Finished Goods'!$J$5:$J$304))</f>
        <v/>
      </c>
      <c r="Q168" s="20" t="str">
        <f>IF(A168="","",SUMIF('Shipment Control'!$C$5:$C$304,A168,'Shipment Control'!$I$5:$I$304))</f>
        <v/>
      </c>
      <c r="R168" s="20" t="str">
        <f>IF(A168="","",SUMIF('Shipment Control'!$C$5:$C$304,A168,'Shipment Control'!$J$5:$J$304))</f>
        <v/>
      </c>
      <c r="S168" s="20" t="str">
        <f t="shared" si="4"/>
        <v/>
      </c>
      <c r="T168" s="21" t="str">
        <f>IF('FGPO Master'!A162="","",'FGPO Master'!I162)</f>
        <v/>
      </c>
      <c r="U168" s="7" t="str">
        <f>IF(A168="","",IF(COUNTIF('Open Issues'!$D$5:$D$304,A168)&gt;0,"Yellow","Green"))</f>
        <v/>
      </c>
      <c r="V168" s="7" t="str">
        <f>IF('FGPO Master'!A162="","",'FGPO Master'!U162)</f>
        <v/>
      </c>
    </row>
    <row r="169" spans="1:22">
      <c r="A169" s="7" t="str">
        <f>IF('FGPO Master'!A163="","",IF('FGPO Master'!D163="FGPO Pending","FGPO Pending",'FGPO Master'!B163))</f>
        <v/>
      </c>
      <c r="B169" s="7" t="str">
        <f>IF('FGPO Master'!A163="","",'FGPO Master'!F163)</f>
        <v/>
      </c>
      <c r="C169" s="7" t="str">
        <f>IF('FGPO Master'!A163="","",'FGPO Master'!G163)</f>
        <v/>
      </c>
      <c r="D169" s="20" t="str">
        <f>IF('FGPO Master'!A163="","",'FGPO Master'!H163)</f>
        <v/>
      </c>
      <c r="E169" s="20" t="str">
        <f>IF(A169="","",IF(SUMIF('Fabric Inventory'!$C$5:$C$304,A169,'Fabric Inventory'!$O$5:$O$304)&gt;0,"Shortage",IF(SUMIF('Fabric Inventory'!$C$5:$C$304,A169,'Fabric Inventory'!$H$5:$H$304)&gt;0,"Approved","Pending")))</f>
        <v/>
      </c>
      <c r="F169" s="20" t="str">
        <f>IF(A169="","",IF(SUMIF('Trims Control'!$B$5:$B$304,A169,'Trims Control'!$R$5:$R$304)&gt;0,"Shortage",IF(COUNTIFS('Trims Control'!$B$5:$B$304,A169,'Trims Control'!$V$5:$V$304,"Ready")&gt;0,"Ready","Pending")))</f>
        <v/>
      </c>
      <c r="G169" s="20" t="str">
        <f>IF(A169="","",IFERROR(INDEX('PP Sample'!$V$5:$V$304,MATCH(A169,'PP Sample'!$B$5:$B$304,0)),"Pending"))</f>
        <v/>
      </c>
      <c r="H169" s="20" t="str">
        <f>IF(A169="","",IFERROR(INDEX('Production Readiness'!$S$5:$S$304,MATCH(A169,'Production Readiness'!$C$5:$C$304,0)),"Pending"))</f>
        <v/>
      </c>
      <c r="I169" s="20" t="str">
        <f>IF(A169="","",IFERROR(INDEX('Cutting Release'!$P$5:$P$304,MATCH(A169,'Cutting Release'!$C$5:$C$304,0)),"Pending"))</f>
        <v/>
      </c>
      <c r="J169" s="20" t="str">
        <f>IF(A169="","",SUMIF('Cutting Control'!$C$5:$C$304,A169,'Cutting Control'!$K$5:$K$304))</f>
        <v/>
      </c>
      <c r="K169" s="20" t="str">
        <f>IF(A169="","",IFERROR(INDEX('TOP Sample'!$W$5:$W$304,MATCH(A169,'TOP Sample'!$B$5:$B$304,0)),"Pending"))</f>
        <v/>
      </c>
      <c r="L169" s="20" t="str">
        <f>IF(A169="","",SUMIF('Sewing Production'!$E$5:$E$304,A169,'Sewing Production'!$L$5:$L$304))</f>
        <v/>
      </c>
      <c r="M169" s="20" t="str">
        <f>IF(A169="","",IFERROR(INDEX('Inline Quality'!$S$5:$S$304,MATCH(A169,'Inline Quality'!$E$5:$E$304,0)),"Pending"))</f>
        <v/>
      </c>
      <c r="N169" s="20" t="str">
        <f>IF(A169="","",IFERROR(INDEX('Final Inspection'!$U$5:$U$304,MATCH(A169,'Final Inspection'!$C$5:$C$304,0)),"Pending"))</f>
        <v/>
      </c>
      <c r="O169" s="20" t="str">
        <f>IF(A169="","",SUMIF('Packing Control'!$C$5:$C$304,A169,'Packing Control'!$K$5:$K$304))</f>
        <v/>
      </c>
      <c r="P169" s="20" t="str">
        <f>IF(A169="","",SUMIF('Finished Goods'!$C$5:$C$304,A169,'Finished Goods'!$J$5:$J$304))</f>
        <v/>
      </c>
      <c r="Q169" s="20" t="str">
        <f>IF(A169="","",SUMIF('Shipment Control'!$C$5:$C$304,A169,'Shipment Control'!$I$5:$I$304))</f>
        <v/>
      </c>
      <c r="R169" s="20" t="str">
        <f>IF(A169="","",SUMIF('Shipment Control'!$C$5:$C$304,A169,'Shipment Control'!$J$5:$J$304))</f>
        <v/>
      </c>
      <c r="S169" s="20" t="str">
        <f t="shared" si="4"/>
        <v/>
      </c>
      <c r="T169" s="21" t="str">
        <f>IF('FGPO Master'!A163="","",'FGPO Master'!I163)</f>
        <v/>
      </c>
      <c r="U169" s="7" t="str">
        <f>IF(A169="","",IF(COUNTIF('Open Issues'!$D$5:$D$304,A169)&gt;0,"Yellow","Green"))</f>
        <v/>
      </c>
      <c r="V169" s="7" t="str">
        <f>IF('FGPO Master'!A163="","",'FGPO Master'!U163)</f>
        <v/>
      </c>
    </row>
    <row r="170" spans="1:22">
      <c r="A170" s="7" t="str">
        <f>IF('FGPO Master'!A164="","",IF('FGPO Master'!D164="FGPO Pending","FGPO Pending",'FGPO Master'!B164))</f>
        <v/>
      </c>
      <c r="B170" s="7" t="str">
        <f>IF('FGPO Master'!A164="","",'FGPO Master'!F164)</f>
        <v/>
      </c>
      <c r="C170" s="7" t="str">
        <f>IF('FGPO Master'!A164="","",'FGPO Master'!G164)</f>
        <v/>
      </c>
      <c r="D170" s="20" t="str">
        <f>IF('FGPO Master'!A164="","",'FGPO Master'!H164)</f>
        <v/>
      </c>
      <c r="E170" s="20" t="str">
        <f>IF(A170="","",IF(SUMIF('Fabric Inventory'!$C$5:$C$304,A170,'Fabric Inventory'!$O$5:$O$304)&gt;0,"Shortage",IF(SUMIF('Fabric Inventory'!$C$5:$C$304,A170,'Fabric Inventory'!$H$5:$H$304)&gt;0,"Approved","Pending")))</f>
        <v/>
      </c>
      <c r="F170" s="20" t="str">
        <f>IF(A170="","",IF(SUMIF('Trims Control'!$B$5:$B$304,A170,'Trims Control'!$R$5:$R$304)&gt;0,"Shortage",IF(COUNTIFS('Trims Control'!$B$5:$B$304,A170,'Trims Control'!$V$5:$V$304,"Ready")&gt;0,"Ready","Pending")))</f>
        <v/>
      </c>
      <c r="G170" s="20" t="str">
        <f>IF(A170="","",IFERROR(INDEX('PP Sample'!$V$5:$V$304,MATCH(A170,'PP Sample'!$B$5:$B$304,0)),"Pending"))</f>
        <v/>
      </c>
      <c r="H170" s="20" t="str">
        <f>IF(A170="","",IFERROR(INDEX('Production Readiness'!$S$5:$S$304,MATCH(A170,'Production Readiness'!$C$5:$C$304,0)),"Pending"))</f>
        <v/>
      </c>
      <c r="I170" s="20" t="str">
        <f>IF(A170="","",IFERROR(INDEX('Cutting Release'!$P$5:$P$304,MATCH(A170,'Cutting Release'!$C$5:$C$304,0)),"Pending"))</f>
        <v/>
      </c>
      <c r="J170" s="20" t="str">
        <f>IF(A170="","",SUMIF('Cutting Control'!$C$5:$C$304,A170,'Cutting Control'!$K$5:$K$304))</f>
        <v/>
      </c>
      <c r="K170" s="20" t="str">
        <f>IF(A170="","",IFERROR(INDEX('TOP Sample'!$W$5:$W$304,MATCH(A170,'TOP Sample'!$B$5:$B$304,0)),"Pending"))</f>
        <v/>
      </c>
      <c r="L170" s="20" t="str">
        <f>IF(A170="","",SUMIF('Sewing Production'!$E$5:$E$304,A170,'Sewing Production'!$L$5:$L$304))</f>
        <v/>
      </c>
      <c r="M170" s="20" t="str">
        <f>IF(A170="","",IFERROR(INDEX('Inline Quality'!$S$5:$S$304,MATCH(A170,'Inline Quality'!$E$5:$E$304,0)),"Pending"))</f>
        <v/>
      </c>
      <c r="N170" s="20" t="str">
        <f>IF(A170="","",IFERROR(INDEX('Final Inspection'!$U$5:$U$304,MATCH(A170,'Final Inspection'!$C$5:$C$304,0)),"Pending"))</f>
        <v/>
      </c>
      <c r="O170" s="20" t="str">
        <f>IF(A170="","",SUMIF('Packing Control'!$C$5:$C$304,A170,'Packing Control'!$K$5:$K$304))</f>
        <v/>
      </c>
      <c r="P170" s="20" t="str">
        <f>IF(A170="","",SUMIF('Finished Goods'!$C$5:$C$304,A170,'Finished Goods'!$J$5:$J$304))</f>
        <v/>
      </c>
      <c r="Q170" s="20" t="str">
        <f>IF(A170="","",SUMIF('Shipment Control'!$C$5:$C$304,A170,'Shipment Control'!$I$5:$I$304))</f>
        <v/>
      </c>
      <c r="R170" s="20" t="str">
        <f>IF(A170="","",SUMIF('Shipment Control'!$C$5:$C$304,A170,'Shipment Control'!$J$5:$J$304))</f>
        <v/>
      </c>
      <c r="S170" s="20" t="str">
        <f t="shared" si="4"/>
        <v/>
      </c>
      <c r="T170" s="21" t="str">
        <f>IF('FGPO Master'!A164="","",'FGPO Master'!I164)</f>
        <v/>
      </c>
      <c r="U170" s="7" t="str">
        <f>IF(A170="","",IF(COUNTIF('Open Issues'!$D$5:$D$304,A170)&gt;0,"Yellow","Green"))</f>
        <v/>
      </c>
      <c r="V170" s="7" t="str">
        <f>IF('FGPO Master'!A164="","",'FGPO Master'!U164)</f>
        <v/>
      </c>
    </row>
    <row r="171" spans="1:22">
      <c r="A171" s="7" t="str">
        <f>IF('FGPO Master'!A165="","",IF('FGPO Master'!D165="FGPO Pending","FGPO Pending",'FGPO Master'!B165))</f>
        <v/>
      </c>
      <c r="B171" s="7" t="str">
        <f>IF('FGPO Master'!A165="","",'FGPO Master'!F165)</f>
        <v/>
      </c>
      <c r="C171" s="7" t="str">
        <f>IF('FGPO Master'!A165="","",'FGPO Master'!G165)</f>
        <v/>
      </c>
      <c r="D171" s="20" t="str">
        <f>IF('FGPO Master'!A165="","",'FGPO Master'!H165)</f>
        <v/>
      </c>
      <c r="E171" s="20" t="str">
        <f>IF(A171="","",IF(SUMIF('Fabric Inventory'!$C$5:$C$304,A171,'Fabric Inventory'!$O$5:$O$304)&gt;0,"Shortage",IF(SUMIF('Fabric Inventory'!$C$5:$C$304,A171,'Fabric Inventory'!$H$5:$H$304)&gt;0,"Approved","Pending")))</f>
        <v/>
      </c>
      <c r="F171" s="20" t="str">
        <f>IF(A171="","",IF(SUMIF('Trims Control'!$B$5:$B$304,A171,'Trims Control'!$R$5:$R$304)&gt;0,"Shortage",IF(COUNTIFS('Trims Control'!$B$5:$B$304,A171,'Trims Control'!$V$5:$V$304,"Ready")&gt;0,"Ready","Pending")))</f>
        <v/>
      </c>
      <c r="G171" s="20" t="str">
        <f>IF(A171="","",IFERROR(INDEX('PP Sample'!$V$5:$V$304,MATCH(A171,'PP Sample'!$B$5:$B$304,0)),"Pending"))</f>
        <v/>
      </c>
      <c r="H171" s="20" t="str">
        <f>IF(A171="","",IFERROR(INDEX('Production Readiness'!$S$5:$S$304,MATCH(A171,'Production Readiness'!$C$5:$C$304,0)),"Pending"))</f>
        <v/>
      </c>
      <c r="I171" s="20" t="str">
        <f>IF(A171="","",IFERROR(INDEX('Cutting Release'!$P$5:$P$304,MATCH(A171,'Cutting Release'!$C$5:$C$304,0)),"Pending"))</f>
        <v/>
      </c>
      <c r="J171" s="20" t="str">
        <f>IF(A171="","",SUMIF('Cutting Control'!$C$5:$C$304,A171,'Cutting Control'!$K$5:$K$304))</f>
        <v/>
      </c>
      <c r="K171" s="20" t="str">
        <f>IF(A171="","",IFERROR(INDEX('TOP Sample'!$W$5:$W$304,MATCH(A171,'TOP Sample'!$B$5:$B$304,0)),"Pending"))</f>
        <v/>
      </c>
      <c r="L171" s="20" t="str">
        <f>IF(A171="","",SUMIF('Sewing Production'!$E$5:$E$304,A171,'Sewing Production'!$L$5:$L$304))</f>
        <v/>
      </c>
      <c r="M171" s="20" t="str">
        <f>IF(A171="","",IFERROR(INDEX('Inline Quality'!$S$5:$S$304,MATCH(A171,'Inline Quality'!$E$5:$E$304,0)),"Pending"))</f>
        <v/>
      </c>
      <c r="N171" s="20" t="str">
        <f>IF(A171="","",IFERROR(INDEX('Final Inspection'!$U$5:$U$304,MATCH(A171,'Final Inspection'!$C$5:$C$304,0)),"Pending"))</f>
        <v/>
      </c>
      <c r="O171" s="20" t="str">
        <f>IF(A171="","",SUMIF('Packing Control'!$C$5:$C$304,A171,'Packing Control'!$K$5:$K$304))</f>
        <v/>
      </c>
      <c r="P171" s="20" t="str">
        <f>IF(A171="","",SUMIF('Finished Goods'!$C$5:$C$304,A171,'Finished Goods'!$J$5:$J$304))</f>
        <v/>
      </c>
      <c r="Q171" s="20" t="str">
        <f>IF(A171="","",SUMIF('Shipment Control'!$C$5:$C$304,A171,'Shipment Control'!$I$5:$I$304))</f>
        <v/>
      </c>
      <c r="R171" s="20" t="str">
        <f>IF(A171="","",SUMIF('Shipment Control'!$C$5:$C$304,A171,'Shipment Control'!$J$5:$J$304))</f>
        <v/>
      </c>
      <c r="S171" s="20" t="str">
        <f t="shared" ref="S171:S202" si="5">IF(A171="","",Q171+R171-D171)</f>
        <v/>
      </c>
      <c r="T171" s="21" t="str">
        <f>IF('FGPO Master'!A165="","",'FGPO Master'!I165)</f>
        <v/>
      </c>
      <c r="U171" s="7" t="str">
        <f>IF(A171="","",IF(COUNTIF('Open Issues'!$D$5:$D$304,A171)&gt;0,"Yellow","Green"))</f>
        <v/>
      </c>
      <c r="V171" s="7" t="str">
        <f>IF('FGPO Master'!A165="","",'FGPO Master'!U165)</f>
        <v/>
      </c>
    </row>
    <row r="172" spans="1:22">
      <c r="A172" s="7" t="str">
        <f>IF('FGPO Master'!A166="","",IF('FGPO Master'!D166="FGPO Pending","FGPO Pending",'FGPO Master'!B166))</f>
        <v/>
      </c>
      <c r="B172" s="7" t="str">
        <f>IF('FGPO Master'!A166="","",'FGPO Master'!F166)</f>
        <v/>
      </c>
      <c r="C172" s="7" t="str">
        <f>IF('FGPO Master'!A166="","",'FGPO Master'!G166)</f>
        <v/>
      </c>
      <c r="D172" s="20" t="str">
        <f>IF('FGPO Master'!A166="","",'FGPO Master'!H166)</f>
        <v/>
      </c>
      <c r="E172" s="20" t="str">
        <f>IF(A172="","",IF(SUMIF('Fabric Inventory'!$C$5:$C$304,A172,'Fabric Inventory'!$O$5:$O$304)&gt;0,"Shortage",IF(SUMIF('Fabric Inventory'!$C$5:$C$304,A172,'Fabric Inventory'!$H$5:$H$304)&gt;0,"Approved","Pending")))</f>
        <v/>
      </c>
      <c r="F172" s="20" t="str">
        <f>IF(A172="","",IF(SUMIF('Trims Control'!$B$5:$B$304,A172,'Trims Control'!$R$5:$R$304)&gt;0,"Shortage",IF(COUNTIFS('Trims Control'!$B$5:$B$304,A172,'Trims Control'!$V$5:$V$304,"Ready")&gt;0,"Ready","Pending")))</f>
        <v/>
      </c>
      <c r="G172" s="20" t="str">
        <f>IF(A172="","",IFERROR(INDEX('PP Sample'!$V$5:$V$304,MATCH(A172,'PP Sample'!$B$5:$B$304,0)),"Pending"))</f>
        <v/>
      </c>
      <c r="H172" s="20" t="str">
        <f>IF(A172="","",IFERROR(INDEX('Production Readiness'!$S$5:$S$304,MATCH(A172,'Production Readiness'!$C$5:$C$304,0)),"Pending"))</f>
        <v/>
      </c>
      <c r="I172" s="20" t="str">
        <f>IF(A172="","",IFERROR(INDEX('Cutting Release'!$P$5:$P$304,MATCH(A172,'Cutting Release'!$C$5:$C$304,0)),"Pending"))</f>
        <v/>
      </c>
      <c r="J172" s="20" t="str">
        <f>IF(A172="","",SUMIF('Cutting Control'!$C$5:$C$304,A172,'Cutting Control'!$K$5:$K$304))</f>
        <v/>
      </c>
      <c r="K172" s="20" t="str">
        <f>IF(A172="","",IFERROR(INDEX('TOP Sample'!$W$5:$W$304,MATCH(A172,'TOP Sample'!$B$5:$B$304,0)),"Pending"))</f>
        <v/>
      </c>
      <c r="L172" s="20" t="str">
        <f>IF(A172="","",SUMIF('Sewing Production'!$E$5:$E$304,A172,'Sewing Production'!$L$5:$L$304))</f>
        <v/>
      </c>
      <c r="M172" s="20" t="str">
        <f>IF(A172="","",IFERROR(INDEX('Inline Quality'!$S$5:$S$304,MATCH(A172,'Inline Quality'!$E$5:$E$304,0)),"Pending"))</f>
        <v/>
      </c>
      <c r="N172" s="20" t="str">
        <f>IF(A172="","",IFERROR(INDEX('Final Inspection'!$U$5:$U$304,MATCH(A172,'Final Inspection'!$C$5:$C$304,0)),"Pending"))</f>
        <v/>
      </c>
      <c r="O172" s="20" t="str">
        <f>IF(A172="","",SUMIF('Packing Control'!$C$5:$C$304,A172,'Packing Control'!$K$5:$K$304))</f>
        <v/>
      </c>
      <c r="P172" s="20" t="str">
        <f>IF(A172="","",SUMIF('Finished Goods'!$C$5:$C$304,A172,'Finished Goods'!$J$5:$J$304))</f>
        <v/>
      </c>
      <c r="Q172" s="20" t="str">
        <f>IF(A172="","",SUMIF('Shipment Control'!$C$5:$C$304,A172,'Shipment Control'!$I$5:$I$304))</f>
        <v/>
      </c>
      <c r="R172" s="20" t="str">
        <f>IF(A172="","",SUMIF('Shipment Control'!$C$5:$C$304,A172,'Shipment Control'!$J$5:$J$304))</f>
        <v/>
      </c>
      <c r="S172" s="20" t="str">
        <f t="shared" si="5"/>
        <v/>
      </c>
      <c r="T172" s="21" t="str">
        <f>IF('FGPO Master'!A166="","",'FGPO Master'!I166)</f>
        <v/>
      </c>
      <c r="U172" s="7" t="str">
        <f>IF(A172="","",IF(COUNTIF('Open Issues'!$D$5:$D$304,A172)&gt;0,"Yellow","Green"))</f>
        <v/>
      </c>
      <c r="V172" s="7" t="str">
        <f>IF('FGPO Master'!A166="","",'FGPO Master'!U166)</f>
        <v/>
      </c>
    </row>
    <row r="173" spans="1:22">
      <c r="A173" s="7" t="str">
        <f>IF('FGPO Master'!A167="","",IF('FGPO Master'!D167="FGPO Pending","FGPO Pending",'FGPO Master'!B167))</f>
        <v/>
      </c>
      <c r="B173" s="7" t="str">
        <f>IF('FGPO Master'!A167="","",'FGPO Master'!F167)</f>
        <v/>
      </c>
      <c r="C173" s="7" t="str">
        <f>IF('FGPO Master'!A167="","",'FGPO Master'!G167)</f>
        <v/>
      </c>
      <c r="D173" s="20" t="str">
        <f>IF('FGPO Master'!A167="","",'FGPO Master'!H167)</f>
        <v/>
      </c>
      <c r="E173" s="20" t="str">
        <f>IF(A173="","",IF(SUMIF('Fabric Inventory'!$C$5:$C$304,A173,'Fabric Inventory'!$O$5:$O$304)&gt;0,"Shortage",IF(SUMIF('Fabric Inventory'!$C$5:$C$304,A173,'Fabric Inventory'!$H$5:$H$304)&gt;0,"Approved","Pending")))</f>
        <v/>
      </c>
      <c r="F173" s="20" t="str">
        <f>IF(A173="","",IF(SUMIF('Trims Control'!$B$5:$B$304,A173,'Trims Control'!$R$5:$R$304)&gt;0,"Shortage",IF(COUNTIFS('Trims Control'!$B$5:$B$304,A173,'Trims Control'!$V$5:$V$304,"Ready")&gt;0,"Ready","Pending")))</f>
        <v/>
      </c>
      <c r="G173" s="20" t="str">
        <f>IF(A173="","",IFERROR(INDEX('PP Sample'!$V$5:$V$304,MATCH(A173,'PP Sample'!$B$5:$B$304,0)),"Pending"))</f>
        <v/>
      </c>
      <c r="H173" s="20" t="str">
        <f>IF(A173="","",IFERROR(INDEX('Production Readiness'!$S$5:$S$304,MATCH(A173,'Production Readiness'!$C$5:$C$304,0)),"Pending"))</f>
        <v/>
      </c>
      <c r="I173" s="20" t="str">
        <f>IF(A173="","",IFERROR(INDEX('Cutting Release'!$P$5:$P$304,MATCH(A173,'Cutting Release'!$C$5:$C$304,0)),"Pending"))</f>
        <v/>
      </c>
      <c r="J173" s="20" t="str">
        <f>IF(A173="","",SUMIF('Cutting Control'!$C$5:$C$304,A173,'Cutting Control'!$K$5:$K$304))</f>
        <v/>
      </c>
      <c r="K173" s="20" t="str">
        <f>IF(A173="","",IFERROR(INDEX('TOP Sample'!$W$5:$W$304,MATCH(A173,'TOP Sample'!$B$5:$B$304,0)),"Pending"))</f>
        <v/>
      </c>
      <c r="L173" s="20" t="str">
        <f>IF(A173="","",SUMIF('Sewing Production'!$E$5:$E$304,A173,'Sewing Production'!$L$5:$L$304))</f>
        <v/>
      </c>
      <c r="M173" s="20" t="str">
        <f>IF(A173="","",IFERROR(INDEX('Inline Quality'!$S$5:$S$304,MATCH(A173,'Inline Quality'!$E$5:$E$304,0)),"Pending"))</f>
        <v/>
      </c>
      <c r="N173" s="20" t="str">
        <f>IF(A173="","",IFERROR(INDEX('Final Inspection'!$U$5:$U$304,MATCH(A173,'Final Inspection'!$C$5:$C$304,0)),"Pending"))</f>
        <v/>
      </c>
      <c r="O173" s="20" t="str">
        <f>IF(A173="","",SUMIF('Packing Control'!$C$5:$C$304,A173,'Packing Control'!$K$5:$K$304))</f>
        <v/>
      </c>
      <c r="P173" s="20" t="str">
        <f>IF(A173="","",SUMIF('Finished Goods'!$C$5:$C$304,A173,'Finished Goods'!$J$5:$J$304))</f>
        <v/>
      </c>
      <c r="Q173" s="20" t="str">
        <f>IF(A173="","",SUMIF('Shipment Control'!$C$5:$C$304,A173,'Shipment Control'!$I$5:$I$304))</f>
        <v/>
      </c>
      <c r="R173" s="20" t="str">
        <f>IF(A173="","",SUMIF('Shipment Control'!$C$5:$C$304,A173,'Shipment Control'!$J$5:$J$304))</f>
        <v/>
      </c>
      <c r="S173" s="20" t="str">
        <f t="shared" si="5"/>
        <v/>
      </c>
      <c r="T173" s="21" t="str">
        <f>IF('FGPO Master'!A167="","",'FGPO Master'!I167)</f>
        <v/>
      </c>
      <c r="U173" s="7" t="str">
        <f>IF(A173="","",IF(COUNTIF('Open Issues'!$D$5:$D$304,A173)&gt;0,"Yellow","Green"))</f>
        <v/>
      </c>
      <c r="V173" s="7" t="str">
        <f>IF('FGPO Master'!A167="","",'FGPO Master'!U167)</f>
        <v/>
      </c>
    </row>
    <row r="174" spans="1:22">
      <c r="A174" s="7" t="str">
        <f>IF('FGPO Master'!A168="","",IF('FGPO Master'!D168="FGPO Pending","FGPO Pending",'FGPO Master'!B168))</f>
        <v/>
      </c>
      <c r="B174" s="7" t="str">
        <f>IF('FGPO Master'!A168="","",'FGPO Master'!F168)</f>
        <v/>
      </c>
      <c r="C174" s="7" t="str">
        <f>IF('FGPO Master'!A168="","",'FGPO Master'!G168)</f>
        <v/>
      </c>
      <c r="D174" s="20" t="str">
        <f>IF('FGPO Master'!A168="","",'FGPO Master'!H168)</f>
        <v/>
      </c>
      <c r="E174" s="20" t="str">
        <f>IF(A174="","",IF(SUMIF('Fabric Inventory'!$C$5:$C$304,A174,'Fabric Inventory'!$O$5:$O$304)&gt;0,"Shortage",IF(SUMIF('Fabric Inventory'!$C$5:$C$304,A174,'Fabric Inventory'!$H$5:$H$304)&gt;0,"Approved","Pending")))</f>
        <v/>
      </c>
      <c r="F174" s="20" t="str">
        <f>IF(A174="","",IF(SUMIF('Trims Control'!$B$5:$B$304,A174,'Trims Control'!$R$5:$R$304)&gt;0,"Shortage",IF(COUNTIFS('Trims Control'!$B$5:$B$304,A174,'Trims Control'!$V$5:$V$304,"Ready")&gt;0,"Ready","Pending")))</f>
        <v/>
      </c>
      <c r="G174" s="20" t="str">
        <f>IF(A174="","",IFERROR(INDEX('PP Sample'!$V$5:$V$304,MATCH(A174,'PP Sample'!$B$5:$B$304,0)),"Pending"))</f>
        <v/>
      </c>
      <c r="H174" s="20" t="str">
        <f>IF(A174="","",IFERROR(INDEX('Production Readiness'!$S$5:$S$304,MATCH(A174,'Production Readiness'!$C$5:$C$304,0)),"Pending"))</f>
        <v/>
      </c>
      <c r="I174" s="20" t="str">
        <f>IF(A174="","",IFERROR(INDEX('Cutting Release'!$P$5:$P$304,MATCH(A174,'Cutting Release'!$C$5:$C$304,0)),"Pending"))</f>
        <v/>
      </c>
      <c r="J174" s="20" t="str">
        <f>IF(A174="","",SUMIF('Cutting Control'!$C$5:$C$304,A174,'Cutting Control'!$K$5:$K$304))</f>
        <v/>
      </c>
      <c r="K174" s="20" t="str">
        <f>IF(A174="","",IFERROR(INDEX('TOP Sample'!$W$5:$W$304,MATCH(A174,'TOP Sample'!$B$5:$B$304,0)),"Pending"))</f>
        <v/>
      </c>
      <c r="L174" s="20" t="str">
        <f>IF(A174="","",SUMIF('Sewing Production'!$E$5:$E$304,A174,'Sewing Production'!$L$5:$L$304))</f>
        <v/>
      </c>
      <c r="M174" s="20" t="str">
        <f>IF(A174="","",IFERROR(INDEX('Inline Quality'!$S$5:$S$304,MATCH(A174,'Inline Quality'!$E$5:$E$304,0)),"Pending"))</f>
        <v/>
      </c>
      <c r="N174" s="20" t="str">
        <f>IF(A174="","",IFERROR(INDEX('Final Inspection'!$U$5:$U$304,MATCH(A174,'Final Inspection'!$C$5:$C$304,0)),"Pending"))</f>
        <v/>
      </c>
      <c r="O174" s="20" t="str">
        <f>IF(A174="","",SUMIF('Packing Control'!$C$5:$C$304,A174,'Packing Control'!$K$5:$K$304))</f>
        <v/>
      </c>
      <c r="P174" s="20" t="str">
        <f>IF(A174="","",SUMIF('Finished Goods'!$C$5:$C$304,A174,'Finished Goods'!$J$5:$J$304))</f>
        <v/>
      </c>
      <c r="Q174" s="20" t="str">
        <f>IF(A174="","",SUMIF('Shipment Control'!$C$5:$C$304,A174,'Shipment Control'!$I$5:$I$304))</f>
        <v/>
      </c>
      <c r="R174" s="20" t="str">
        <f>IF(A174="","",SUMIF('Shipment Control'!$C$5:$C$304,A174,'Shipment Control'!$J$5:$J$304))</f>
        <v/>
      </c>
      <c r="S174" s="20" t="str">
        <f t="shared" si="5"/>
        <v/>
      </c>
      <c r="T174" s="21" t="str">
        <f>IF('FGPO Master'!A168="","",'FGPO Master'!I168)</f>
        <v/>
      </c>
      <c r="U174" s="7" t="str">
        <f>IF(A174="","",IF(COUNTIF('Open Issues'!$D$5:$D$304,A174)&gt;0,"Yellow","Green"))</f>
        <v/>
      </c>
      <c r="V174" s="7" t="str">
        <f>IF('FGPO Master'!A168="","",'FGPO Master'!U168)</f>
        <v/>
      </c>
    </row>
    <row r="175" spans="1:22">
      <c r="A175" s="7" t="str">
        <f>IF('FGPO Master'!A169="","",IF('FGPO Master'!D169="FGPO Pending","FGPO Pending",'FGPO Master'!B169))</f>
        <v/>
      </c>
      <c r="B175" s="7" t="str">
        <f>IF('FGPO Master'!A169="","",'FGPO Master'!F169)</f>
        <v/>
      </c>
      <c r="C175" s="7" t="str">
        <f>IF('FGPO Master'!A169="","",'FGPO Master'!G169)</f>
        <v/>
      </c>
      <c r="D175" s="20" t="str">
        <f>IF('FGPO Master'!A169="","",'FGPO Master'!H169)</f>
        <v/>
      </c>
      <c r="E175" s="20" t="str">
        <f>IF(A175="","",IF(SUMIF('Fabric Inventory'!$C$5:$C$304,A175,'Fabric Inventory'!$O$5:$O$304)&gt;0,"Shortage",IF(SUMIF('Fabric Inventory'!$C$5:$C$304,A175,'Fabric Inventory'!$H$5:$H$304)&gt;0,"Approved","Pending")))</f>
        <v/>
      </c>
      <c r="F175" s="20" t="str">
        <f>IF(A175="","",IF(SUMIF('Trims Control'!$B$5:$B$304,A175,'Trims Control'!$R$5:$R$304)&gt;0,"Shortage",IF(COUNTIFS('Trims Control'!$B$5:$B$304,A175,'Trims Control'!$V$5:$V$304,"Ready")&gt;0,"Ready","Pending")))</f>
        <v/>
      </c>
      <c r="G175" s="20" t="str">
        <f>IF(A175="","",IFERROR(INDEX('PP Sample'!$V$5:$V$304,MATCH(A175,'PP Sample'!$B$5:$B$304,0)),"Pending"))</f>
        <v/>
      </c>
      <c r="H175" s="20" t="str">
        <f>IF(A175="","",IFERROR(INDEX('Production Readiness'!$S$5:$S$304,MATCH(A175,'Production Readiness'!$C$5:$C$304,0)),"Pending"))</f>
        <v/>
      </c>
      <c r="I175" s="20" t="str">
        <f>IF(A175="","",IFERROR(INDEX('Cutting Release'!$P$5:$P$304,MATCH(A175,'Cutting Release'!$C$5:$C$304,0)),"Pending"))</f>
        <v/>
      </c>
      <c r="J175" s="20" t="str">
        <f>IF(A175="","",SUMIF('Cutting Control'!$C$5:$C$304,A175,'Cutting Control'!$K$5:$K$304))</f>
        <v/>
      </c>
      <c r="K175" s="20" t="str">
        <f>IF(A175="","",IFERROR(INDEX('TOP Sample'!$W$5:$W$304,MATCH(A175,'TOP Sample'!$B$5:$B$304,0)),"Pending"))</f>
        <v/>
      </c>
      <c r="L175" s="20" t="str">
        <f>IF(A175="","",SUMIF('Sewing Production'!$E$5:$E$304,A175,'Sewing Production'!$L$5:$L$304))</f>
        <v/>
      </c>
      <c r="M175" s="20" t="str">
        <f>IF(A175="","",IFERROR(INDEX('Inline Quality'!$S$5:$S$304,MATCH(A175,'Inline Quality'!$E$5:$E$304,0)),"Pending"))</f>
        <v/>
      </c>
      <c r="N175" s="20" t="str">
        <f>IF(A175="","",IFERROR(INDEX('Final Inspection'!$U$5:$U$304,MATCH(A175,'Final Inspection'!$C$5:$C$304,0)),"Pending"))</f>
        <v/>
      </c>
      <c r="O175" s="20" t="str">
        <f>IF(A175="","",SUMIF('Packing Control'!$C$5:$C$304,A175,'Packing Control'!$K$5:$K$304))</f>
        <v/>
      </c>
      <c r="P175" s="20" t="str">
        <f>IF(A175="","",SUMIF('Finished Goods'!$C$5:$C$304,A175,'Finished Goods'!$J$5:$J$304))</f>
        <v/>
      </c>
      <c r="Q175" s="20" t="str">
        <f>IF(A175="","",SUMIF('Shipment Control'!$C$5:$C$304,A175,'Shipment Control'!$I$5:$I$304))</f>
        <v/>
      </c>
      <c r="R175" s="20" t="str">
        <f>IF(A175="","",SUMIF('Shipment Control'!$C$5:$C$304,A175,'Shipment Control'!$J$5:$J$304))</f>
        <v/>
      </c>
      <c r="S175" s="20" t="str">
        <f t="shared" si="5"/>
        <v/>
      </c>
      <c r="T175" s="21" t="str">
        <f>IF('FGPO Master'!A169="","",'FGPO Master'!I169)</f>
        <v/>
      </c>
      <c r="U175" s="7" t="str">
        <f>IF(A175="","",IF(COUNTIF('Open Issues'!$D$5:$D$304,A175)&gt;0,"Yellow","Green"))</f>
        <v/>
      </c>
      <c r="V175" s="7" t="str">
        <f>IF('FGPO Master'!A169="","",'FGPO Master'!U169)</f>
        <v/>
      </c>
    </row>
    <row r="176" spans="1:22">
      <c r="A176" s="7" t="str">
        <f>IF('FGPO Master'!A170="","",IF('FGPO Master'!D170="FGPO Pending","FGPO Pending",'FGPO Master'!B170))</f>
        <v/>
      </c>
      <c r="B176" s="7" t="str">
        <f>IF('FGPO Master'!A170="","",'FGPO Master'!F170)</f>
        <v/>
      </c>
      <c r="C176" s="7" t="str">
        <f>IF('FGPO Master'!A170="","",'FGPO Master'!G170)</f>
        <v/>
      </c>
      <c r="D176" s="20" t="str">
        <f>IF('FGPO Master'!A170="","",'FGPO Master'!H170)</f>
        <v/>
      </c>
      <c r="E176" s="20" t="str">
        <f>IF(A176="","",IF(SUMIF('Fabric Inventory'!$C$5:$C$304,A176,'Fabric Inventory'!$O$5:$O$304)&gt;0,"Shortage",IF(SUMIF('Fabric Inventory'!$C$5:$C$304,A176,'Fabric Inventory'!$H$5:$H$304)&gt;0,"Approved","Pending")))</f>
        <v/>
      </c>
      <c r="F176" s="20" t="str">
        <f>IF(A176="","",IF(SUMIF('Trims Control'!$B$5:$B$304,A176,'Trims Control'!$R$5:$R$304)&gt;0,"Shortage",IF(COUNTIFS('Trims Control'!$B$5:$B$304,A176,'Trims Control'!$V$5:$V$304,"Ready")&gt;0,"Ready","Pending")))</f>
        <v/>
      </c>
      <c r="G176" s="20" t="str">
        <f>IF(A176="","",IFERROR(INDEX('PP Sample'!$V$5:$V$304,MATCH(A176,'PP Sample'!$B$5:$B$304,0)),"Pending"))</f>
        <v/>
      </c>
      <c r="H176" s="20" t="str">
        <f>IF(A176="","",IFERROR(INDEX('Production Readiness'!$S$5:$S$304,MATCH(A176,'Production Readiness'!$C$5:$C$304,0)),"Pending"))</f>
        <v/>
      </c>
      <c r="I176" s="20" t="str">
        <f>IF(A176="","",IFERROR(INDEX('Cutting Release'!$P$5:$P$304,MATCH(A176,'Cutting Release'!$C$5:$C$304,0)),"Pending"))</f>
        <v/>
      </c>
      <c r="J176" s="20" t="str">
        <f>IF(A176="","",SUMIF('Cutting Control'!$C$5:$C$304,A176,'Cutting Control'!$K$5:$K$304))</f>
        <v/>
      </c>
      <c r="K176" s="20" t="str">
        <f>IF(A176="","",IFERROR(INDEX('TOP Sample'!$W$5:$W$304,MATCH(A176,'TOP Sample'!$B$5:$B$304,0)),"Pending"))</f>
        <v/>
      </c>
      <c r="L176" s="20" t="str">
        <f>IF(A176="","",SUMIF('Sewing Production'!$E$5:$E$304,A176,'Sewing Production'!$L$5:$L$304))</f>
        <v/>
      </c>
      <c r="M176" s="20" t="str">
        <f>IF(A176="","",IFERROR(INDEX('Inline Quality'!$S$5:$S$304,MATCH(A176,'Inline Quality'!$E$5:$E$304,0)),"Pending"))</f>
        <v/>
      </c>
      <c r="N176" s="20" t="str">
        <f>IF(A176="","",IFERROR(INDEX('Final Inspection'!$U$5:$U$304,MATCH(A176,'Final Inspection'!$C$5:$C$304,0)),"Pending"))</f>
        <v/>
      </c>
      <c r="O176" s="20" t="str">
        <f>IF(A176="","",SUMIF('Packing Control'!$C$5:$C$304,A176,'Packing Control'!$K$5:$K$304))</f>
        <v/>
      </c>
      <c r="P176" s="20" t="str">
        <f>IF(A176="","",SUMIF('Finished Goods'!$C$5:$C$304,A176,'Finished Goods'!$J$5:$J$304))</f>
        <v/>
      </c>
      <c r="Q176" s="20" t="str">
        <f>IF(A176="","",SUMIF('Shipment Control'!$C$5:$C$304,A176,'Shipment Control'!$I$5:$I$304))</f>
        <v/>
      </c>
      <c r="R176" s="20" t="str">
        <f>IF(A176="","",SUMIF('Shipment Control'!$C$5:$C$304,A176,'Shipment Control'!$J$5:$J$304))</f>
        <v/>
      </c>
      <c r="S176" s="20" t="str">
        <f t="shared" si="5"/>
        <v/>
      </c>
      <c r="T176" s="21" t="str">
        <f>IF('FGPO Master'!A170="","",'FGPO Master'!I170)</f>
        <v/>
      </c>
      <c r="U176" s="7" t="str">
        <f>IF(A176="","",IF(COUNTIF('Open Issues'!$D$5:$D$304,A176)&gt;0,"Yellow","Green"))</f>
        <v/>
      </c>
      <c r="V176" s="7" t="str">
        <f>IF('FGPO Master'!A170="","",'FGPO Master'!U170)</f>
        <v/>
      </c>
    </row>
    <row r="177" spans="1:22">
      <c r="A177" s="7" t="str">
        <f>IF('FGPO Master'!A171="","",IF('FGPO Master'!D171="FGPO Pending","FGPO Pending",'FGPO Master'!B171))</f>
        <v/>
      </c>
      <c r="B177" s="7" t="str">
        <f>IF('FGPO Master'!A171="","",'FGPO Master'!F171)</f>
        <v/>
      </c>
      <c r="C177" s="7" t="str">
        <f>IF('FGPO Master'!A171="","",'FGPO Master'!G171)</f>
        <v/>
      </c>
      <c r="D177" s="20" t="str">
        <f>IF('FGPO Master'!A171="","",'FGPO Master'!H171)</f>
        <v/>
      </c>
      <c r="E177" s="20" t="str">
        <f>IF(A177="","",IF(SUMIF('Fabric Inventory'!$C$5:$C$304,A177,'Fabric Inventory'!$O$5:$O$304)&gt;0,"Shortage",IF(SUMIF('Fabric Inventory'!$C$5:$C$304,A177,'Fabric Inventory'!$H$5:$H$304)&gt;0,"Approved","Pending")))</f>
        <v/>
      </c>
      <c r="F177" s="20" t="str">
        <f>IF(A177="","",IF(SUMIF('Trims Control'!$B$5:$B$304,A177,'Trims Control'!$R$5:$R$304)&gt;0,"Shortage",IF(COUNTIFS('Trims Control'!$B$5:$B$304,A177,'Trims Control'!$V$5:$V$304,"Ready")&gt;0,"Ready","Pending")))</f>
        <v/>
      </c>
      <c r="G177" s="20" t="str">
        <f>IF(A177="","",IFERROR(INDEX('PP Sample'!$V$5:$V$304,MATCH(A177,'PP Sample'!$B$5:$B$304,0)),"Pending"))</f>
        <v/>
      </c>
      <c r="H177" s="20" t="str">
        <f>IF(A177="","",IFERROR(INDEX('Production Readiness'!$S$5:$S$304,MATCH(A177,'Production Readiness'!$C$5:$C$304,0)),"Pending"))</f>
        <v/>
      </c>
      <c r="I177" s="20" t="str">
        <f>IF(A177="","",IFERROR(INDEX('Cutting Release'!$P$5:$P$304,MATCH(A177,'Cutting Release'!$C$5:$C$304,0)),"Pending"))</f>
        <v/>
      </c>
      <c r="J177" s="20" t="str">
        <f>IF(A177="","",SUMIF('Cutting Control'!$C$5:$C$304,A177,'Cutting Control'!$K$5:$K$304))</f>
        <v/>
      </c>
      <c r="K177" s="20" t="str">
        <f>IF(A177="","",IFERROR(INDEX('TOP Sample'!$W$5:$W$304,MATCH(A177,'TOP Sample'!$B$5:$B$304,0)),"Pending"))</f>
        <v/>
      </c>
      <c r="L177" s="20" t="str">
        <f>IF(A177="","",SUMIF('Sewing Production'!$E$5:$E$304,A177,'Sewing Production'!$L$5:$L$304))</f>
        <v/>
      </c>
      <c r="M177" s="20" t="str">
        <f>IF(A177="","",IFERROR(INDEX('Inline Quality'!$S$5:$S$304,MATCH(A177,'Inline Quality'!$E$5:$E$304,0)),"Pending"))</f>
        <v/>
      </c>
      <c r="N177" s="20" t="str">
        <f>IF(A177="","",IFERROR(INDEX('Final Inspection'!$U$5:$U$304,MATCH(A177,'Final Inspection'!$C$5:$C$304,0)),"Pending"))</f>
        <v/>
      </c>
      <c r="O177" s="20" t="str">
        <f>IF(A177="","",SUMIF('Packing Control'!$C$5:$C$304,A177,'Packing Control'!$K$5:$K$304))</f>
        <v/>
      </c>
      <c r="P177" s="20" t="str">
        <f>IF(A177="","",SUMIF('Finished Goods'!$C$5:$C$304,A177,'Finished Goods'!$J$5:$J$304))</f>
        <v/>
      </c>
      <c r="Q177" s="20" t="str">
        <f>IF(A177="","",SUMIF('Shipment Control'!$C$5:$C$304,A177,'Shipment Control'!$I$5:$I$304))</f>
        <v/>
      </c>
      <c r="R177" s="20" t="str">
        <f>IF(A177="","",SUMIF('Shipment Control'!$C$5:$C$304,A177,'Shipment Control'!$J$5:$J$304))</f>
        <v/>
      </c>
      <c r="S177" s="20" t="str">
        <f t="shared" si="5"/>
        <v/>
      </c>
      <c r="T177" s="21" t="str">
        <f>IF('FGPO Master'!A171="","",'FGPO Master'!I171)</f>
        <v/>
      </c>
      <c r="U177" s="7" t="str">
        <f>IF(A177="","",IF(COUNTIF('Open Issues'!$D$5:$D$304,A177)&gt;0,"Yellow","Green"))</f>
        <v/>
      </c>
      <c r="V177" s="7" t="str">
        <f>IF('FGPO Master'!A171="","",'FGPO Master'!U171)</f>
        <v/>
      </c>
    </row>
    <row r="178" spans="1:22">
      <c r="A178" s="7" t="str">
        <f>IF('FGPO Master'!A172="","",IF('FGPO Master'!D172="FGPO Pending","FGPO Pending",'FGPO Master'!B172))</f>
        <v/>
      </c>
      <c r="B178" s="7" t="str">
        <f>IF('FGPO Master'!A172="","",'FGPO Master'!F172)</f>
        <v/>
      </c>
      <c r="C178" s="7" t="str">
        <f>IF('FGPO Master'!A172="","",'FGPO Master'!G172)</f>
        <v/>
      </c>
      <c r="D178" s="20" t="str">
        <f>IF('FGPO Master'!A172="","",'FGPO Master'!H172)</f>
        <v/>
      </c>
      <c r="E178" s="20" t="str">
        <f>IF(A178="","",IF(SUMIF('Fabric Inventory'!$C$5:$C$304,A178,'Fabric Inventory'!$O$5:$O$304)&gt;0,"Shortage",IF(SUMIF('Fabric Inventory'!$C$5:$C$304,A178,'Fabric Inventory'!$H$5:$H$304)&gt;0,"Approved","Pending")))</f>
        <v/>
      </c>
      <c r="F178" s="20" t="str">
        <f>IF(A178="","",IF(SUMIF('Trims Control'!$B$5:$B$304,A178,'Trims Control'!$R$5:$R$304)&gt;0,"Shortage",IF(COUNTIFS('Trims Control'!$B$5:$B$304,A178,'Trims Control'!$V$5:$V$304,"Ready")&gt;0,"Ready","Pending")))</f>
        <v/>
      </c>
      <c r="G178" s="20" t="str">
        <f>IF(A178="","",IFERROR(INDEX('PP Sample'!$V$5:$V$304,MATCH(A178,'PP Sample'!$B$5:$B$304,0)),"Pending"))</f>
        <v/>
      </c>
      <c r="H178" s="20" t="str">
        <f>IF(A178="","",IFERROR(INDEX('Production Readiness'!$S$5:$S$304,MATCH(A178,'Production Readiness'!$C$5:$C$304,0)),"Pending"))</f>
        <v/>
      </c>
      <c r="I178" s="20" t="str">
        <f>IF(A178="","",IFERROR(INDEX('Cutting Release'!$P$5:$P$304,MATCH(A178,'Cutting Release'!$C$5:$C$304,0)),"Pending"))</f>
        <v/>
      </c>
      <c r="J178" s="20" t="str">
        <f>IF(A178="","",SUMIF('Cutting Control'!$C$5:$C$304,A178,'Cutting Control'!$K$5:$K$304))</f>
        <v/>
      </c>
      <c r="K178" s="20" t="str">
        <f>IF(A178="","",IFERROR(INDEX('TOP Sample'!$W$5:$W$304,MATCH(A178,'TOP Sample'!$B$5:$B$304,0)),"Pending"))</f>
        <v/>
      </c>
      <c r="L178" s="20" t="str">
        <f>IF(A178="","",SUMIF('Sewing Production'!$E$5:$E$304,A178,'Sewing Production'!$L$5:$L$304))</f>
        <v/>
      </c>
      <c r="M178" s="20" t="str">
        <f>IF(A178="","",IFERROR(INDEX('Inline Quality'!$S$5:$S$304,MATCH(A178,'Inline Quality'!$E$5:$E$304,0)),"Pending"))</f>
        <v/>
      </c>
      <c r="N178" s="20" t="str">
        <f>IF(A178="","",IFERROR(INDEX('Final Inspection'!$U$5:$U$304,MATCH(A178,'Final Inspection'!$C$5:$C$304,0)),"Pending"))</f>
        <v/>
      </c>
      <c r="O178" s="20" t="str">
        <f>IF(A178="","",SUMIF('Packing Control'!$C$5:$C$304,A178,'Packing Control'!$K$5:$K$304))</f>
        <v/>
      </c>
      <c r="P178" s="20" t="str">
        <f>IF(A178="","",SUMIF('Finished Goods'!$C$5:$C$304,A178,'Finished Goods'!$J$5:$J$304))</f>
        <v/>
      </c>
      <c r="Q178" s="20" t="str">
        <f>IF(A178="","",SUMIF('Shipment Control'!$C$5:$C$304,A178,'Shipment Control'!$I$5:$I$304))</f>
        <v/>
      </c>
      <c r="R178" s="20" t="str">
        <f>IF(A178="","",SUMIF('Shipment Control'!$C$5:$C$304,A178,'Shipment Control'!$J$5:$J$304))</f>
        <v/>
      </c>
      <c r="S178" s="20" t="str">
        <f t="shared" si="5"/>
        <v/>
      </c>
      <c r="T178" s="21" t="str">
        <f>IF('FGPO Master'!A172="","",'FGPO Master'!I172)</f>
        <v/>
      </c>
      <c r="U178" s="7" t="str">
        <f>IF(A178="","",IF(COUNTIF('Open Issues'!$D$5:$D$304,A178)&gt;0,"Yellow","Green"))</f>
        <v/>
      </c>
      <c r="V178" s="7" t="str">
        <f>IF('FGPO Master'!A172="","",'FGPO Master'!U172)</f>
        <v/>
      </c>
    </row>
    <row r="179" spans="1:22">
      <c r="A179" s="7" t="str">
        <f>IF('FGPO Master'!A173="","",IF('FGPO Master'!D173="FGPO Pending","FGPO Pending",'FGPO Master'!B173))</f>
        <v/>
      </c>
      <c r="B179" s="7" t="str">
        <f>IF('FGPO Master'!A173="","",'FGPO Master'!F173)</f>
        <v/>
      </c>
      <c r="C179" s="7" t="str">
        <f>IF('FGPO Master'!A173="","",'FGPO Master'!G173)</f>
        <v/>
      </c>
      <c r="D179" s="20" t="str">
        <f>IF('FGPO Master'!A173="","",'FGPO Master'!H173)</f>
        <v/>
      </c>
      <c r="E179" s="20" t="str">
        <f>IF(A179="","",IF(SUMIF('Fabric Inventory'!$C$5:$C$304,A179,'Fabric Inventory'!$O$5:$O$304)&gt;0,"Shortage",IF(SUMIF('Fabric Inventory'!$C$5:$C$304,A179,'Fabric Inventory'!$H$5:$H$304)&gt;0,"Approved","Pending")))</f>
        <v/>
      </c>
      <c r="F179" s="20" t="str">
        <f>IF(A179="","",IF(SUMIF('Trims Control'!$B$5:$B$304,A179,'Trims Control'!$R$5:$R$304)&gt;0,"Shortage",IF(COUNTIFS('Trims Control'!$B$5:$B$304,A179,'Trims Control'!$V$5:$V$304,"Ready")&gt;0,"Ready","Pending")))</f>
        <v/>
      </c>
      <c r="G179" s="20" t="str">
        <f>IF(A179="","",IFERROR(INDEX('PP Sample'!$V$5:$V$304,MATCH(A179,'PP Sample'!$B$5:$B$304,0)),"Pending"))</f>
        <v/>
      </c>
      <c r="H179" s="20" t="str">
        <f>IF(A179="","",IFERROR(INDEX('Production Readiness'!$S$5:$S$304,MATCH(A179,'Production Readiness'!$C$5:$C$304,0)),"Pending"))</f>
        <v/>
      </c>
      <c r="I179" s="20" t="str">
        <f>IF(A179="","",IFERROR(INDEX('Cutting Release'!$P$5:$P$304,MATCH(A179,'Cutting Release'!$C$5:$C$304,0)),"Pending"))</f>
        <v/>
      </c>
      <c r="J179" s="20" t="str">
        <f>IF(A179="","",SUMIF('Cutting Control'!$C$5:$C$304,A179,'Cutting Control'!$K$5:$K$304))</f>
        <v/>
      </c>
      <c r="K179" s="20" t="str">
        <f>IF(A179="","",IFERROR(INDEX('TOP Sample'!$W$5:$W$304,MATCH(A179,'TOP Sample'!$B$5:$B$304,0)),"Pending"))</f>
        <v/>
      </c>
      <c r="L179" s="20" t="str">
        <f>IF(A179="","",SUMIF('Sewing Production'!$E$5:$E$304,A179,'Sewing Production'!$L$5:$L$304))</f>
        <v/>
      </c>
      <c r="M179" s="20" t="str">
        <f>IF(A179="","",IFERROR(INDEX('Inline Quality'!$S$5:$S$304,MATCH(A179,'Inline Quality'!$E$5:$E$304,0)),"Pending"))</f>
        <v/>
      </c>
      <c r="N179" s="20" t="str">
        <f>IF(A179="","",IFERROR(INDEX('Final Inspection'!$U$5:$U$304,MATCH(A179,'Final Inspection'!$C$5:$C$304,0)),"Pending"))</f>
        <v/>
      </c>
      <c r="O179" s="20" t="str">
        <f>IF(A179="","",SUMIF('Packing Control'!$C$5:$C$304,A179,'Packing Control'!$K$5:$K$304))</f>
        <v/>
      </c>
      <c r="P179" s="20" t="str">
        <f>IF(A179="","",SUMIF('Finished Goods'!$C$5:$C$304,A179,'Finished Goods'!$J$5:$J$304))</f>
        <v/>
      </c>
      <c r="Q179" s="20" t="str">
        <f>IF(A179="","",SUMIF('Shipment Control'!$C$5:$C$304,A179,'Shipment Control'!$I$5:$I$304))</f>
        <v/>
      </c>
      <c r="R179" s="20" t="str">
        <f>IF(A179="","",SUMIF('Shipment Control'!$C$5:$C$304,A179,'Shipment Control'!$J$5:$J$304))</f>
        <v/>
      </c>
      <c r="S179" s="20" t="str">
        <f t="shared" si="5"/>
        <v/>
      </c>
      <c r="T179" s="21" t="str">
        <f>IF('FGPO Master'!A173="","",'FGPO Master'!I173)</f>
        <v/>
      </c>
      <c r="U179" s="7" t="str">
        <f>IF(A179="","",IF(COUNTIF('Open Issues'!$D$5:$D$304,A179)&gt;0,"Yellow","Green"))</f>
        <v/>
      </c>
      <c r="V179" s="7" t="str">
        <f>IF('FGPO Master'!A173="","",'FGPO Master'!U173)</f>
        <v/>
      </c>
    </row>
    <row r="180" spans="1:22">
      <c r="A180" s="7" t="str">
        <f>IF('FGPO Master'!A174="","",IF('FGPO Master'!D174="FGPO Pending","FGPO Pending",'FGPO Master'!B174))</f>
        <v/>
      </c>
      <c r="B180" s="7" t="str">
        <f>IF('FGPO Master'!A174="","",'FGPO Master'!F174)</f>
        <v/>
      </c>
      <c r="C180" s="7" t="str">
        <f>IF('FGPO Master'!A174="","",'FGPO Master'!G174)</f>
        <v/>
      </c>
      <c r="D180" s="20" t="str">
        <f>IF('FGPO Master'!A174="","",'FGPO Master'!H174)</f>
        <v/>
      </c>
      <c r="E180" s="20" t="str">
        <f>IF(A180="","",IF(SUMIF('Fabric Inventory'!$C$5:$C$304,A180,'Fabric Inventory'!$O$5:$O$304)&gt;0,"Shortage",IF(SUMIF('Fabric Inventory'!$C$5:$C$304,A180,'Fabric Inventory'!$H$5:$H$304)&gt;0,"Approved","Pending")))</f>
        <v/>
      </c>
      <c r="F180" s="20" t="str">
        <f>IF(A180="","",IF(SUMIF('Trims Control'!$B$5:$B$304,A180,'Trims Control'!$R$5:$R$304)&gt;0,"Shortage",IF(COUNTIFS('Trims Control'!$B$5:$B$304,A180,'Trims Control'!$V$5:$V$304,"Ready")&gt;0,"Ready","Pending")))</f>
        <v/>
      </c>
      <c r="G180" s="20" t="str">
        <f>IF(A180="","",IFERROR(INDEX('PP Sample'!$V$5:$V$304,MATCH(A180,'PP Sample'!$B$5:$B$304,0)),"Pending"))</f>
        <v/>
      </c>
      <c r="H180" s="20" t="str">
        <f>IF(A180="","",IFERROR(INDEX('Production Readiness'!$S$5:$S$304,MATCH(A180,'Production Readiness'!$C$5:$C$304,0)),"Pending"))</f>
        <v/>
      </c>
      <c r="I180" s="20" t="str">
        <f>IF(A180="","",IFERROR(INDEX('Cutting Release'!$P$5:$P$304,MATCH(A180,'Cutting Release'!$C$5:$C$304,0)),"Pending"))</f>
        <v/>
      </c>
      <c r="J180" s="20" t="str">
        <f>IF(A180="","",SUMIF('Cutting Control'!$C$5:$C$304,A180,'Cutting Control'!$K$5:$K$304))</f>
        <v/>
      </c>
      <c r="K180" s="20" t="str">
        <f>IF(A180="","",IFERROR(INDEX('TOP Sample'!$W$5:$W$304,MATCH(A180,'TOP Sample'!$B$5:$B$304,0)),"Pending"))</f>
        <v/>
      </c>
      <c r="L180" s="20" t="str">
        <f>IF(A180="","",SUMIF('Sewing Production'!$E$5:$E$304,A180,'Sewing Production'!$L$5:$L$304))</f>
        <v/>
      </c>
      <c r="M180" s="20" t="str">
        <f>IF(A180="","",IFERROR(INDEX('Inline Quality'!$S$5:$S$304,MATCH(A180,'Inline Quality'!$E$5:$E$304,0)),"Pending"))</f>
        <v/>
      </c>
      <c r="N180" s="20" t="str">
        <f>IF(A180="","",IFERROR(INDEX('Final Inspection'!$U$5:$U$304,MATCH(A180,'Final Inspection'!$C$5:$C$304,0)),"Pending"))</f>
        <v/>
      </c>
      <c r="O180" s="20" t="str">
        <f>IF(A180="","",SUMIF('Packing Control'!$C$5:$C$304,A180,'Packing Control'!$K$5:$K$304))</f>
        <v/>
      </c>
      <c r="P180" s="20" t="str">
        <f>IF(A180="","",SUMIF('Finished Goods'!$C$5:$C$304,A180,'Finished Goods'!$J$5:$J$304))</f>
        <v/>
      </c>
      <c r="Q180" s="20" t="str">
        <f>IF(A180="","",SUMIF('Shipment Control'!$C$5:$C$304,A180,'Shipment Control'!$I$5:$I$304))</f>
        <v/>
      </c>
      <c r="R180" s="20" t="str">
        <f>IF(A180="","",SUMIF('Shipment Control'!$C$5:$C$304,A180,'Shipment Control'!$J$5:$J$304))</f>
        <v/>
      </c>
      <c r="S180" s="20" t="str">
        <f t="shared" si="5"/>
        <v/>
      </c>
      <c r="T180" s="21" t="str">
        <f>IF('FGPO Master'!A174="","",'FGPO Master'!I174)</f>
        <v/>
      </c>
      <c r="U180" s="7" t="str">
        <f>IF(A180="","",IF(COUNTIF('Open Issues'!$D$5:$D$304,A180)&gt;0,"Yellow","Green"))</f>
        <v/>
      </c>
      <c r="V180" s="7" t="str">
        <f>IF('FGPO Master'!A174="","",'FGPO Master'!U174)</f>
        <v/>
      </c>
    </row>
    <row r="181" spans="1:22">
      <c r="A181" s="7" t="str">
        <f>IF('FGPO Master'!A175="","",IF('FGPO Master'!D175="FGPO Pending","FGPO Pending",'FGPO Master'!B175))</f>
        <v/>
      </c>
      <c r="B181" s="7" t="str">
        <f>IF('FGPO Master'!A175="","",'FGPO Master'!F175)</f>
        <v/>
      </c>
      <c r="C181" s="7" t="str">
        <f>IF('FGPO Master'!A175="","",'FGPO Master'!G175)</f>
        <v/>
      </c>
      <c r="D181" s="20" t="str">
        <f>IF('FGPO Master'!A175="","",'FGPO Master'!H175)</f>
        <v/>
      </c>
      <c r="E181" s="20" t="str">
        <f>IF(A181="","",IF(SUMIF('Fabric Inventory'!$C$5:$C$304,A181,'Fabric Inventory'!$O$5:$O$304)&gt;0,"Shortage",IF(SUMIF('Fabric Inventory'!$C$5:$C$304,A181,'Fabric Inventory'!$H$5:$H$304)&gt;0,"Approved","Pending")))</f>
        <v/>
      </c>
      <c r="F181" s="20" t="str">
        <f>IF(A181="","",IF(SUMIF('Trims Control'!$B$5:$B$304,A181,'Trims Control'!$R$5:$R$304)&gt;0,"Shortage",IF(COUNTIFS('Trims Control'!$B$5:$B$304,A181,'Trims Control'!$V$5:$V$304,"Ready")&gt;0,"Ready","Pending")))</f>
        <v/>
      </c>
      <c r="G181" s="20" t="str">
        <f>IF(A181="","",IFERROR(INDEX('PP Sample'!$V$5:$V$304,MATCH(A181,'PP Sample'!$B$5:$B$304,0)),"Pending"))</f>
        <v/>
      </c>
      <c r="H181" s="20" t="str">
        <f>IF(A181="","",IFERROR(INDEX('Production Readiness'!$S$5:$S$304,MATCH(A181,'Production Readiness'!$C$5:$C$304,0)),"Pending"))</f>
        <v/>
      </c>
      <c r="I181" s="20" t="str">
        <f>IF(A181="","",IFERROR(INDEX('Cutting Release'!$P$5:$P$304,MATCH(A181,'Cutting Release'!$C$5:$C$304,0)),"Pending"))</f>
        <v/>
      </c>
      <c r="J181" s="20" t="str">
        <f>IF(A181="","",SUMIF('Cutting Control'!$C$5:$C$304,A181,'Cutting Control'!$K$5:$K$304))</f>
        <v/>
      </c>
      <c r="K181" s="20" t="str">
        <f>IF(A181="","",IFERROR(INDEX('TOP Sample'!$W$5:$W$304,MATCH(A181,'TOP Sample'!$B$5:$B$304,0)),"Pending"))</f>
        <v/>
      </c>
      <c r="L181" s="20" t="str">
        <f>IF(A181="","",SUMIF('Sewing Production'!$E$5:$E$304,A181,'Sewing Production'!$L$5:$L$304))</f>
        <v/>
      </c>
      <c r="M181" s="20" t="str">
        <f>IF(A181="","",IFERROR(INDEX('Inline Quality'!$S$5:$S$304,MATCH(A181,'Inline Quality'!$E$5:$E$304,0)),"Pending"))</f>
        <v/>
      </c>
      <c r="N181" s="20" t="str">
        <f>IF(A181="","",IFERROR(INDEX('Final Inspection'!$U$5:$U$304,MATCH(A181,'Final Inspection'!$C$5:$C$304,0)),"Pending"))</f>
        <v/>
      </c>
      <c r="O181" s="20" t="str">
        <f>IF(A181="","",SUMIF('Packing Control'!$C$5:$C$304,A181,'Packing Control'!$K$5:$K$304))</f>
        <v/>
      </c>
      <c r="P181" s="20" t="str">
        <f>IF(A181="","",SUMIF('Finished Goods'!$C$5:$C$304,A181,'Finished Goods'!$J$5:$J$304))</f>
        <v/>
      </c>
      <c r="Q181" s="20" t="str">
        <f>IF(A181="","",SUMIF('Shipment Control'!$C$5:$C$304,A181,'Shipment Control'!$I$5:$I$304))</f>
        <v/>
      </c>
      <c r="R181" s="20" t="str">
        <f>IF(A181="","",SUMIF('Shipment Control'!$C$5:$C$304,A181,'Shipment Control'!$J$5:$J$304))</f>
        <v/>
      </c>
      <c r="S181" s="20" t="str">
        <f t="shared" si="5"/>
        <v/>
      </c>
      <c r="T181" s="21" t="str">
        <f>IF('FGPO Master'!A175="","",'FGPO Master'!I175)</f>
        <v/>
      </c>
      <c r="U181" s="7" t="str">
        <f>IF(A181="","",IF(COUNTIF('Open Issues'!$D$5:$D$304,A181)&gt;0,"Yellow","Green"))</f>
        <v/>
      </c>
      <c r="V181" s="7" t="str">
        <f>IF('FGPO Master'!A175="","",'FGPO Master'!U175)</f>
        <v/>
      </c>
    </row>
    <row r="182" spans="1:22">
      <c r="A182" s="7" t="str">
        <f>IF('FGPO Master'!A176="","",IF('FGPO Master'!D176="FGPO Pending","FGPO Pending",'FGPO Master'!B176))</f>
        <v/>
      </c>
      <c r="B182" s="7" t="str">
        <f>IF('FGPO Master'!A176="","",'FGPO Master'!F176)</f>
        <v/>
      </c>
      <c r="C182" s="7" t="str">
        <f>IF('FGPO Master'!A176="","",'FGPO Master'!G176)</f>
        <v/>
      </c>
      <c r="D182" s="20" t="str">
        <f>IF('FGPO Master'!A176="","",'FGPO Master'!H176)</f>
        <v/>
      </c>
      <c r="E182" s="20" t="str">
        <f>IF(A182="","",IF(SUMIF('Fabric Inventory'!$C$5:$C$304,A182,'Fabric Inventory'!$O$5:$O$304)&gt;0,"Shortage",IF(SUMIF('Fabric Inventory'!$C$5:$C$304,A182,'Fabric Inventory'!$H$5:$H$304)&gt;0,"Approved","Pending")))</f>
        <v/>
      </c>
      <c r="F182" s="20" t="str">
        <f>IF(A182="","",IF(SUMIF('Trims Control'!$B$5:$B$304,A182,'Trims Control'!$R$5:$R$304)&gt;0,"Shortage",IF(COUNTIFS('Trims Control'!$B$5:$B$304,A182,'Trims Control'!$V$5:$V$304,"Ready")&gt;0,"Ready","Pending")))</f>
        <v/>
      </c>
      <c r="G182" s="20" t="str">
        <f>IF(A182="","",IFERROR(INDEX('PP Sample'!$V$5:$V$304,MATCH(A182,'PP Sample'!$B$5:$B$304,0)),"Pending"))</f>
        <v/>
      </c>
      <c r="H182" s="20" t="str">
        <f>IF(A182="","",IFERROR(INDEX('Production Readiness'!$S$5:$S$304,MATCH(A182,'Production Readiness'!$C$5:$C$304,0)),"Pending"))</f>
        <v/>
      </c>
      <c r="I182" s="20" t="str">
        <f>IF(A182="","",IFERROR(INDEX('Cutting Release'!$P$5:$P$304,MATCH(A182,'Cutting Release'!$C$5:$C$304,0)),"Pending"))</f>
        <v/>
      </c>
      <c r="J182" s="20" t="str">
        <f>IF(A182="","",SUMIF('Cutting Control'!$C$5:$C$304,A182,'Cutting Control'!$K$5:$K$304))</f>
        <v/>
      </c>
      <c r="K182" s="20" t="str">
        <f>IF(A182="","",IFERROR(INDEX('TOP Sample'!$W$5:$W$304,MATCH(A182,'TOP Sample'!$B$5:$B$304,0)),"Pending"))</f>
        <v/>
      </c>
      <c r="L182" s="20" t="str">
        <f>IF(A182="","",SUMIF('Sewing Production'!$E$5:$E$304,A182,'Sewing Production'!$L$5:$L$304))</f>
        <v/>
      </c>
      <c r="M182" s="20" t="str">
        <f>IF(A182="","",IFERROR(INDEX('Inline Quality'!$S$5:$S$304,MATCH(A182,'Inline Quality'!$E$5:$E$304,0)),"Pending"))</f>
        <v/>
      </c>
      <c r="N182" s="20" t="str">
        <f>IF(A182="","",IFERROR(INDEX('Final Inspection'!$U$5:$U$304,MATCH(A182,'Final Inspection'!$C$5:$C$304,0)),"Pending"))</f>
        <v/>
      </c>
      <c r="O182" s="20" t="str">
        <f>IF(A182="","",SUMIF('Packing Control'!$C$5:$C$304,A182,'Packing Control'!$K$5:$K$304))</f>
        <v/>
      </c>
      <c r="P182" s="20" t="str">
        <f>IF(A182="","",SUMIF('Finished Goods'!$C$5:$C$304,A182,'Finished Goods'!$J$5:$J$304))</f>
        <v/>
      </c>
      <c r="Q182" s="20" t="str">
        <f>IF(A182="","",SUMIF('Shipment Control'!$C$5:$C$304,A182,'Shipment Control'!$I$5:$I$304))</f>
        <v/>
      </c>
      <c r="R182" s="20" t="str">
        <f>IF(A182="","",SUMIF('Shipment Control'!$C$5:$C$304,A182,'Shipment Control'!$J$5:$J$304))</f>
        <v/>
      </c>
      <c r="S182" s="20" t="str">
        <f t="shared" si="5"/>
        <v/>
      </c>
      <c r="T182" s="21" t="str">
        <f>IF('FGPO Master'!A176="","",'FGPO Master'!I176)</f>
        <v/>
      </c>
      <c r="U182" s="7" t="str">
        <f>IF(A182="","",IF(COUNTIF('Open Issues'!$D$5:$D$304,A182)&gt;0,"Yellow","Green"))</f>
        <v/>
      </c>
      <c r="V182" s="7" t="str">
        <f>IF('FGPO Master'!A176="","",'FGPO Master'!U176)</f>
        <v/>
      </c>
    </row>
    <row r="183" spans="1:22">
      <c r="A183" s="7" t="str">
        <f>IF('FGPO Master'!A177="","",IF('FGPO Master'!D177="FGPO Pending","FGPO Pending",'FGPO Master'!B177))</f>
        <v/>
      </c>
      <c r="B183" s="7" t="str">
        <f>IF('FGPO Master'!A177="","",'FGPO Master'!F177)</f>
        <v/>
      </c>
      <c r="C183" s="7" t="str">
        <f>IF('FGPO Master'!A177="","",'FGPO Master'!G177)</f>
        <v/>
      </c>
      <c r="D183" s="20" t="str">
        <f>IF('FGPO Master'!A177="","",'FGPO Master'!H177)</f>
        <v/>
      </c>
      <c r="E183" s="20" t="str">
        <f>IF(A183="","",IF(SUMIF('Fabric Inventory'!$C$5:$C$304,A183,'Fabric Inventory'!$O$5:$O$304)&gt;0,"Shortage",IF(SUMIF('Fabric Inventory'!$C$5:$C$304,A183,'Fabric Inventory'!$H$5:$H$304)&gt;0,"Approved","Pending")))</f>
        <v/>
      </c>
      <c r="F183" s="20" t="str">
        <f>IF(A183="","",IF(SUMIF('Trims Control'!$B$5:$B$304,A183,'Trims Control'!$R$5:$R$304)&gt;0,"Shortage",IF(COUNTIFS('Trims Control'!$B$5:$B$304,A183,'Trims Control'!$V$5:$V$304,"Ready")&gt;0,"Ready","Pending")))</f>
        <v/>
      </c>
      <c r="G183" s="20" t="str">
        <f>IF(A183="","",IFERROR(INDEX('PP Sample'!$V$5:$V$304,MATCH(A183,'PP Sample'!$B$5:$B$304,0)),"Pending"))</f>
        <v/>
      </c>
      <c r="H183" s="20" t="str">
        <f>IF(A183="","",IFERROR(INDEX('Production Readiness'!$S$5:$S$304,MATCH(A183,'Production Readiness'!$C$5:$C$304,0)),"Pending"))</f>
        <v/>
      </c>
      <c r="I183" s="20" t="str">
        <f>IF(A183="","",IFERROR(INDEX('Cutting Release'!$P$5:$P$304,MATCH(A183,'Cutting Release'!$C$5:$C$304,0)),"Pending"))</f>
        <v/>
      </c>
      <c r="J183" s="20" t="str">
        <f>IF(A183="","",SUMIF('Cutting Control'!$C$5:$C$304,A183,'Cutting Control'!$K$5:$K$304))</f>
        <v/>
      </c>
      <c r="K183" s="20" t="str">
        <f>IF(A183="","",IFERROR(INDEX('TOP Sample'!$W$5:$W$304,MATCH(A183,'TOP Sample'!$B$5:$B$304,0)),"Pending"))</f>
        <v/>
      </c>
      <c r="L183" s="20" t="str">
        <f>IF(A183="","",SUMIF('Sewing Production'!$E$5:$E$304,A183,'Sewing Production'!$L$5:$L$304))</f>
        <v/>
      </c>
      <c r="M183" s="20" t="str">
        <f>IF(A183="","",IFERROR(INDEX('Inline Quality'!$S$5:$S$304,MATCH(A183,'Inline Quality'!$E$5:$E$304,0)),"Pending"))</f>
        <v/>
      </c>
      <c r="N183" s="20" t="str">
        <f>IF(A183="","",IFERROR(INDEX('Final Inspection'!$U$5:$U$304,MATCH(A183,'Final Inspection'!$C$5:$C$304,0)),"Pending"))</f>
        <v/>
      </c>
      <c r="O183" s="20" t="str">
        <f>IF(A183="","",SUMIF('Packing Control'!$C$5:$C$304,A183,'Packing Control'!$K$5:$K$304))</f>
        <v/>
      </c>
      <c r="P183" s="20" t="str">
        <f>IF(A183="","",SUMIF('Finished Goods'!$C$5:$C$304,A183,'Finished Goods'!$J$5:$J$304))</f>
        <v/>
      </c>
      <c r="Q183" s="20" t="str">
        <f>IF(A183="","",SUMIF('Shipment Control'!$C$5:$C$304,A183,'Shipment Control'!$I$5:$I$304))</f>
        <v/>
      </c>
      <c r="R183" s="20" t="str">
        <f>IF(A183="","",SUMIF('Shipment Control'!$C$5:$C$304,A183,'Shipment Control'!$J$5:$J$304))</f>
        <v/>
      </c>
      <c r="S183" s="20" t="str">
        <f t="shared" si="5"/>
        <v/>
      </c>
      <c r="T183" s="21" t="str">
        <f>IF('FGPO Master'!A177="","",'FGPO Master'!I177)</f>
        <v/>
      </c>
      <c r="U183" s="7" t="str">
        <f>IF(A183="","",IF(COUNTIF('Open Issues'!$D$5:$D$304,A183)&gt;0,"Yellow","Green"))</f>
        <v/>
      </c>
      <c r="V183" s="7" t="str">
        <f>IF('FGPO Master'!A177="","",'FGPO Master'!U177)</f>
        <v/>
      </c>
    </row>
    <row r="184" spans="1:22">
      <c r="A184" s="7" t="str">
        <f>IF('FGPO Master'!A178="","",IF('FGPO Master'!D178="FGPO Pending","FGPO Pending",'FGPO Master'!B178))</f>
        <v/>
      </c>
      <c r="B184" s="7" t="str">
        <f>IF('FGPO Master'!A178="","",'FGPO Master'!F178)</f>
        <v/>
      </c>
      <c r="C184" s="7" t="str">
        <f>IF('FGPO Master'!A178="","",'FGPO Master'!G178)</f>
        <v/>
      </c>
      <c r="D184" s="20" t="str">
        <f>IF('FGPO Master'!A178="","",'FGPO Master'!H178)</f>
        <v/>
      </c>
      <c r="E184" s="20" t="str">
        <f>IF(A184="","",IF(SUMIF('Fabric Inventory'!$C$5:$C$304,A184,'Fabric Inventory'!$O$5:$O$304)&gt;0,"Shortage",IF(SUMIF('Fabric Inventory'!$C$5:$C$304,A184,'Fabric Inventory'!$H$5:$H$304)&gt;0,"Approved","Pending")))</f>
        <v/>
      </c>
      <c r="F184" s="20" t="str">
        <f>IF(A184="","",IF(SUMIF('Trims Control'!$B$5:$B$304,A184,'Trims Control'!$R$5:$R$304)&gt;0,"Shortage",IF(COUNTIFS('Trims Control'!$B$5:$B$304,A184,'Trims Control'!$V$5:$V$304,"Ready")&gt;0,"Ready","Pending")))</f>
        <v/>
      </c>
      <c r="G184" s="20" t="str">
        <f>IF(A184="","",IFERROR(INDEX('PP Sample'!$V$5:$V$304,MATCH(A184,'PP Sample'!$B$5:$B$304,0)),"Pending"))</f>
        <v/>
      </c>
      <c r="H184" s="20" t="str">
        <f>IF(A184="","",IFERROR(INDEX('Production Readiness'!$S$5:$S$304,MATCH(A184,'Production Readiness'!$C$5:$C$304,0)),"Pending"))</f>
        <v/>
      </c>
      <c r="I184" s="20" t="str">
        <f>IF(A184="","",IFERROR(INDEX('Cutting Release'!$P$5:$P$304,MATCH(A184,'Cutting Release'!$C$5:$C$304,0)),"Pending"))</f>
        <v/>
      </c>
      <c r="J184" s="20" t="str">
        <f>IF(A184="","",SUMIF('Cutting Control'!$C$5:$C$304,A184,'Cutting Control'!$K$5:$K$304))</f>
        <v/>
      </c>
      <c r="K184" s="20" t="str">
        <f>IF(A184="","",IFERROR(INDEX('TOP Sample'!$W$5:$W$304,MATCH(A184,'TOP Sample'!$B$5:$B$304,0)),"Pending"))</f>
        <v/>
      </c>
      <c r="L184" s="20" t="str">
        <f>IF(A184="","",SUMIF('Sewing Production'!$E$5:$E$304,A184,'Sewing Production'!$L$5:$L$304))</f>
        <v/>
      </c>
      <c r="M184" s="20" t="str">
        <f>IF(A184="","",IFERROR(INDEX('Inline Quality'!$S$5:$S$304,MATCH(A184,'Inline Quality'!$E$5:$E$304,0)),"Pending"))</f>
        <v/>
      </c>
      <c r="N184" s="20" t="str">
        <f>IF(A184="","",IFERROR(INDEX('Final Inspection'!$U$5:$U$304,MATCH(A184,'Final Inspection'!$C$5:$C$304,0)),"Pending"))</f>
        <v/>
      </c>
      <c r="O184" s="20" t="str">
        <f>IF(A184="","",SUMIF('Packing Control'!$C$5:$C$304,A184,'Packing Control'!$K$5:$K$304))</f>
        <v/>
      </c>
      <c r="P184" s="20" t="str">
        <f>IF(A184="","",SUMIF('Finished Goods'!$C$5:$C$304,A184,'Finished Goods'!$J$5:$J$304))</f>
        <v/>
      </c>
      <c r="Q184" s="20" t="str">
        <f>IF(A184="","",SUMIF('Shipment Control'!$C$5:$C$304,A184,'Shipment Control'!$I$5:$I$304))</f>
        <v/>
      </c>
      <c r="R184" s="20" t="str">
        <f>IF(A184="","",SUMIF('Shipment Control'!$C$5:$C$304,A184,'Shipment Control'!$J$5:$J$304))</f>
        <v/>
      </c>
      <c r="S184" s="20" t="str">
        <f t="shared" si="5"/>
        <v/>
      </c>
      <c r="T184" s="21" t="str">
        <f>IF('FGPO Master'!A178="","",'FGPO Master'!I178)</f>
        <v/>
      </c>
      <c r="U184" s="7" t="str">
        <f>IF(A184="","",IF(COUNTIF('Open Issues'!$D$5:$D$304,A184)&gt;0,"Yellow","Green"))</f>
        <v/>
      </c>
      <c r="V184" s="7" t="str">
        <f>IF('FGPO Master'!A178="","",'FGPO Master'!U178)</f>
        <v/>
      </c>
    </row>
    <row r="185" spans="1:22">
      <c r="A185" s="7" t="str">
        <f>IF('FGPO Master'!A179="","",IF('FGPO Master'!D179="FGPO Pending","FGPO Pending",'FGPO Master'!B179))</f>
        <v/>
      </c>
      <c r="B185" s="7" t="str">
        <f>IF('FGPO Master'!A179="","",'FGPO Master'!F179)</f>
        <v/>
      </c>
      <c r="C185" s="7" t="str">
        <f>IF('FGPO Master'!A179="","",'FGPO Master'!G179)</f>
        <v/>
      </c>
      <c r="D185" s="20" t="str">
        <f>IF('FGPO Master'!A179="","",'FGPO Master'!H179)</f>
        <v/>
      </c>
      <c r="E185" s="20" t="str">
        <f>IF(A185="","",IF(SUMIF('Fabric Inventory'!$C$5:$C$304,A185,'Fabric Inventory'!$O$5:$O$304)&gt;0,"Shortage",IF(SUMIF('Fabric Inventory'!$C$5:$C$304,A185,'Fabric Inventory'!$H$5:$H$304)&gt;0,"Approved","Pending")))</f>
        <v/>
      </c>
      <c r="F185" s="20" t="str">
        <f>IF(A185="","",IF(SUMIF('Trims Control'!$B$5:$B$304,A185,'Trims Control'!$R$5:$R$304)&gt;0,"Shortage",IF(COUNTIFS('Trims Control'!$B$5:$B$304,A185,'Trims Control'!$V$5:$V$304,"Ready")&gt;0,"Ready","Pending")))</f>
        <v/>
      </c>
      <c r="G185" s="20" t="str">
        <f>IF(A185="","",IFERROR(INDEX('PP Sample'!$V$5:$V$304,MATCH(A185,'PP Sample'!$B$5:$B$304,0)),"Pending"))</f>
        <v/>
      </c>
      <c r="H185" s="20" t="str">
        <f>IF(A185="","",IFERROR(INDEX('Production Readiness'!$S$5:$S$304,MATCH(A185,'Production Readiness'!$C$5:$C$304,0)),"Pending"))</f>
        <v/>
      </c>
      <c r="I185" s="20" t="str">
        <f>IF(A185="","",IFERROR(INDEX('Cutting Release'!$P$5:$P$304,MATCH(A185,'Cutting Release'!$C$5:$C$304,0)),"Pending"))</f>
        <v/>
      </c>
      <c r="J185" s="20" t="str">
        <f>IF(A185="","",SUMIF('Cutting Control'!$C$5:$C$304,A185,'Cutting Control'!$K$5:$K$304))</f>
        <v/>
      </c>
      <c r="K185" s="20" t="str">
        <f>IF(A185="","",IFERROR(INDEX('TOP Sample'!$W$5:$W$304,MATCH(A185,'TOP Sample'!$B$5:$B$304,0)),"Pending"))</f>
        <v/>
      </c>
      <c r="L185" s="20" t="str">
        <f>IF(A185="","",SUMIF('Sewing Production'!$E$5:$E$304,A185,'Sewing Production'!$L$5:$L$304))</f>
        <v/>
      </c>
      <c r="M185" s="20" t="str">
        <f>IF(A185="","",IFERROR(INDEX('Inline Quality'!$S$5:$S$304,MATCH(A185,'Inline Quality'!$E$5:$E$304,0)),"Pending"))</f>
        <v/>
      </c>
      <c r="N185" s="20" t="str">
        <f>IF(A185="","",IFERROR(INDEX('Final Inspection'!$U$5:$U$304,MATCH(A185,'Final Inspection'!$C$5:$C$304,0)),"Pending"))</f>
        <v/>
      </c>
      <c r="O185" s="20" t="str">
        <f>IF(A185="","",SUMIF('Packing Control'!$C$5:$C$304,A185,'Packing Control'!$K$5:$K$304))</f>
        <v/>
      </c>
      <c r="P185" s="20" t="str">
        <f>IF(A185="","",SUMIF('Finished Goods'!$C$5:$C$304,A185,'Finished Goods'!$J$5:$J$304))</f>
        <v/>
      </c>
      <c r="Q185" s="20" t="str">
        <f>IF(A185="","",SUMIF('Shipment Control'!$C$5:$C$304,A185,'Shipment Control'!$I$5:$I$304))</f>
        <v/>
      </c>
      <c r="R185" s="20" t="str">
        <f>IF(A185="","",SUMIF('Shipment Control'!$C$5:$C$304,A185,'Shipment Control'!$J$5:$J$304))</f>
        <v/>
      </c>
      <c r="S185" s="20" t="str">
        <f t="shared" si="5"/>
        <v/>
      </c>
      <c r="T185" s="21" t="str">
        <f>IF('FGPO Master'!A179="","",'FGPO Master'!I179)</f>
        <v/>
      </c>
      <c r="U185" s="7" t="str">
        <f>IF(A185="","",IF(COUNTIF('Open Issues'!$D$5:$D$304,A185)&gt;0,"Yellow","Green"))</f>
        <v/>
      </c>
      <c r="V185" s="7" t="str">
        <f>IF('FGPO Master'!A179="","",'FGPO Master'!U179)</f>
        <v/>
      </c>
    </row>
    <row r="186" spans="1:22">
      <c r="A186" s="7" t="str">
        <f>IF('FGPO Master'!A180="","",IF('FGPO Master'!D180="FGPO Pending","FGPO Pending",'FGPO Master'!B180))</f>
        <v/>
      </c>
      <c r="B186" s="7" t="str">
        <f>IF('FGPO Master'!A180="","",'FGPO Master'!F180)</f>
        <v/>
      </c>
      <c r="C186" s="7" t="str">
        <f>IF('FGPO Master'!A180="","",'FGPO Master'!G180)</f>
        <v/>
      </c>
      <c r="D186" s="20" t="str">
        <f>IF('FGPO Master'!A180="","",'FGPO Master'!H180)</f>
        <v/>
      </c>
      <c r="E186" s="20" t="str">
        <f>IF(A186="","",IF(SUMIF('Fabric Inventory'!$C$5:$C$304,A186,'Fabric Inventory'!$O$5:$O$304)&gt;0,"Shortage",IF(SUMIF('Fabric Inventory'!$C$5:$C$304,A186,'Fabric Inventory'!$H$5:$H$304)&gt;0,"Approved","Pending")))</f>
        <v/>
      </c>
      <c r="F186" s="20" t="str">
        <f>IF(A186="","",IF(SUMIF('Trims Control'!$B$5:$B$304,A186,'Trims Control'!$R$5:$R$304)&gt;0,"Shortage",IF(COUNTIFS('Trims Control'!$B$5:$B$304,A186,'Trims Control'!$V$5:$V$304,"Ready")&gt;0,"Ready","Pending")))</f>
        <v/>
      </c>
      <c r="G186" s="20" t="str">
        <f>IF(A186="","",IFERROR(INDEX('PP Sample'!$V$5:$V$304,MATCH(A186,'PP Sample'!$B$5:$B$304,0)),"Pending"))</f>
        <v/>
      </c>
      <c r="H186" s="20" t="str">
        <f>IF(A186="","",IFERROR(INDEX('Production Readiness'!$S$5:$S$304,MATCH(A186,'Production Readiness'!$C$5:$C$304,0)),"Pending"))</f>
        <v/>
      </c>
      <c r="I186" s="20" t="str">
        <f>IF(A186="","",IFERROR(INDEX('Cutting Release'!$P$5:$P$304,MATCH(A186,'Cutting Release'!$C$5:$C$304,0)),"Pending"))</f>
        <v/>
      </c>
      <c r="J186" s="20" t="str">
        <f>IF(A186="","",SUMIF('Cutting Control'!$C$5:$C$304,A186,'Cutting Control'!$K$5:$K$304))</f>
        <v/>
      </c>
      <c r="K186" s="20" t="str">
        <f>IF(A186="","",IFERROR(INDEX('TOP Sample'!$W$5:$W$304,MATCH(A186,'TOP Sample'!$B$5:$B$304,0)),"Pending"))</f>
        <v/>
      </c>
      <c r="L186" s="20" t="str">
        <f>IF(A186="","",SUMIF('Sewing Production'!$E$5:$E$304,A186,'Sewing Production'!$L$5:$L$304))</f>
        <v/>
      </c>
      <c r="M186" s="20" t="str">
        <f>IF(A186="","",IFERROR(INDEX('Inline Quality'!$S$5:$S$304,MATCH(A186,'Inline Quality'!$E$5:$E$304,0)),"Pending"))</f>
        <v/>
      </c>
      <c r="N186" s="20" t="str">
        <f>IF(A186="","",IFERROR(INDEX('Final Inspection'!$U$5:$U$304,MATCH(A186,'Final Inspection'!$C$5:$C$304,0)),"Pending"))</f>
        <v/>
      </c>
      <c r="O186" s="20" t="str">
        <f>IF(A186="","",SUMIF('Packing Control'!$C$5:$C$304,A186,'Packing Control'!$K$5:$K$304))</f>
        <v/>
      </c>
      <c r="P186" s="20" t="str">
        <f>IF(A186="","",SUMIF('Finished Goods'!$C$5:$C$304,A186,'Finished Goods'!$J$5:$J$304))</f>
        <v/>
      </c>
      <c r="Q186" s="20" t="str">
        <f>IF(A186="","",SUMIF('Shipment Control'!$C$5:$C$304,A186,'Shipment Control'!$I$5:$I$304))</f>
        <v/>
      </c>
      <c r="R186" s="20" t="str">
        <f>IF(A186="","",SUMIF('Shipment Control'!$C$5:$C$304,A186,'Shipment Control'!$J$5:$J$304))</f>
        <v/>
      </c>
      <c r="S186" s="20" t="str">
        <f t="shared" si="5"/>
        <v/>
      </c>
      <c r="T186" s="21" t="str">
        <f>IF('FGPO Master'!A180="","",'FGPO Master'!I180)</f>
        <v/>
      </c>
      <c r="U186" s="7" t="str">
        <f>IF(A186="","",IF(COUNTIF('Open Issues'!$D$5:$D$304,A186)&gt;0,"Yellow","Green"))</f>
        <v/>
      </c>
      <c r="V186" s="7" t="str">
        <f>IF('FGPO Master'!A180="","",'FGPO Master'!U180)</f>
        <v/>
      </c>
    </row>
    <row r="187" spans="1:22">
      <c r="A187" s="7" t="str">
        <f>IF('FGPO Master'!A181="","",IF('FGPO Master'!D181="FGPO Pending","FGPO Pending",'FGPO Master'!B181))</f>
        <v/>
      </c>
      <c r="B187" s="7" t="str">
        <f>IF('FGPO Master'!A181="","",'FGPO Master'!F181)</f>
        <v/>
      </c>
      <c r="C187" s="7" t="str">
        <f>IF('FGPO Master'!A181="","",'FGPO Master'!G181)</f>
        <v/>
      </c>
      <c r="D187" s="20" t="str">
        <f>IF('FGPO Master'!A181="","",'FGPO Master'!H181)</f>
        <v/>
      </c>
      <c r="E187" s="20" t="str">
        <f>IF(A187="","",IF(SUMIF('Fabric Inventory'!$C$5:$C$304,A187,'Fabric Inventory'!$O$5:$O$304)&gt;0,"Shortage",IF(SUMIF('Fabric Inventory'!$C$5:$C$304,A187,'Fabric Inventory'!$H$5:$H$304)&gt;0,"Approved","Pending")))</f>
        <v/>
      </c>
      <c r="F187" s="20" t="str">
        <f>IF(A187="","",IF(SUMIF('Trims Control'!$B$5:$B$304,A187,'Trims Control'!$R$5:$R$304)&gt;0,"Shortage",IF(COUNTIFS('Trims Control'!$B$5:$B$304,A187,'Trims Control'!$V$5:$V$304,"Ready")&gt;0,"Ready","Pending")))</f>
        <v/>
      </c>
      <c r="G187" s="20" t="str">
        <f>IF(A187="","",IFERROR(INDEX('PP Sample'!$V$5:$V$304,MATCH(A187,'PP Sample'!$B$5:$B$304,0)),"Pending"))</f>
        <v/>
      </c>
      <c r="H187" s="20" t="str">
        <f>IF(A187="","",IFERROR(INDEX('Production Readiness'!$S$5:$S$304,MATCH(A187,'Production Readiness'!$C$5:$C$304,0)),"Pending"))</f>
        <v/>
      </c>
      <c r="I187" s="20" t="str">
        <f>IF(A187="","",IFERROR(INDEX('Cutting Release'!$P$5:$P$304,MATCH(A187,'Cutting Release'!$C$5:$C$304,0)),"Pending"))</f>
        <v/>
      </c>
      <c r="J187" s="20" t="str">
        <f>IF(A187="","",SUMIF('Cutting Control'!$C$5:$C$304,A187,'Cutting Control'!$K$5:$K$304))</f>
        <v/>
      </c>
      <c r="K187" s="20" t="str">
        <f>IF(A187="","",IFERROR(INDEX('TOP Sample'!$W$5:$W$304,MATCH(A187,'TOP Sample'!$B$5:$B$304,0)),"Pending"))</f>
        <v/>
      </c>
      <c r="L187" s="20" t="str">
        <f>IF(A187="","",SUMIF('Sewing Production'!$E$5:$E$304,A187,'Sewing Production'!$L$5:$L$304))</f>
        <v/>
      </c>
      <c r="M187" s="20" t="str">
        <f>IF(A187="","",IFERROR(INDEX('Inline Quality'!$S$5:$S$304,MATCH(A187,'Inline Quality'!$E$5:$E$304,0)),"Pending"))</f>
        <v/>
      </c>
      <c r="N187" s="20" t="str">
        <f>IF(A187="","",IFERROR(INDEX('Final Inspection'!$U$5:$U$304,MATCH(A187,'Final Inspection'!$C$5:$C$304,0)),"Pending"))</f>
        <v/>
      </c>
      <c r="O187" s="20" t="str">
        <f>IF(A187="","",SUMIF('Packing Control'!$C$5:$C$304,A187,'Packing Control'!$K$5:$K$304))</f>
        <v/>
      </c>
      <c r="P187" s="20" t="str">
        <f>IF(A187="","",SUMIF('Finished Goods'!$C$5:$C$304,A187,'Finished Goods'!$J$5:$J$304))</f>
        <v/>
      </c>
      <c r="Q187" s="20" t="str">
        <f>IF(A187="","",SUMIF('Shipment Control'!$C$5:$C$304,A187,'Shipment Control'!$I$5:$I$304))</f>
        <v/>
      </c>
      <c r="R187" s="20" t="str">
        <f>IF(A187="","",SUMIF('Shipment Control'!$C$5:$C$304,A187,'Shipment Control'!$J$5:$J$304))</f>
        <v/>
      </c>
      <c r="S187" s="20" t="str">
        <f t="shared" si="5"/>
        <v/>
      </c>
      <c r="T187" s="21" t="str">
        <f>IF('FGPO Master'!A181="","",'FGPO Master'!I181)</f>
        <v/>
      </c>
      <c r="U187" s="7" t="str">
        <f>IF(A187="","",IF(COUNTIF('Open Issues'!$D$5:$D$304,A187)&gt;0,"Yellow","Green"))</f>
        <v/>
      </c>
      <c r="V187" s="7" t="str">
        <f>IF('FGPO Master'!A181="","",'FGPO Master'!U181)</f>
        <v/>
      </c>
    </row>
    <row r="188" spans="1:22">
      <c r="A188" s="7" t="str">
        <f>IF('FGPO Master'!A182="","",IF('FGPO Master'!D182="FGPO Pending","FGPO Pending",'FGPO Master'!B182))</f>
        <v/>
      </c>
      <c r="B188" s="7" t="str">
        <f>IF('FGPO Master'!A182="","",'FGPO Master'!F182)</f>
        <v/>
      </c>
      <c r="C188" s="7" t="str">
        <f>IF('FGPO Master'!A182="","",'FGPO Master'!G182)</f>
        <v/>
      </c>
      <c r="D188" s="20" t="str">
        <f>IF('FGPO Master'!A182="","",'FGPO Master'!H182)</f>
        <v/>
      </c>
      <c r="E188" s="20" t="str">
        <f>IF(A188="","",IF(SUMIF('Fabric Inventory'!$C$5:$C$304,A188,'Fabric Inventory'!$O$5:$O$304)&gt;0,"Shortage",IF(SUMIF('Fabric Inventory'!$C$5:$C$304,A188,'Fabric Inventory'!$H$5:$H$304)&gt;0,"Approved","Pending")))</f>
        <v/>
      </c>
      <c r="F188" s="20" t="str">
        <f>IF(A188="","",IF(SUMIF('Trims Control'!$B$5:$B$304,A188,'Trims Control'!$R$5:$R$304)&gt;0,"Shortage",IF(COUNTIFS('Trims Control'!$B$5:$B$304,A188,'Trims Control'!$V$5:$V$304,"Ready")&gt;0,"Ready","Pending")))</f>
        <v/>
      </c>
      <c r="G188" s="20" t="str">
        <f>IF(A188="","",IFERROR(INDEX('PP Sample'!$V$5:$V$304,MATCH(A188,'PP Sample'!$B$5:$B$304,0)),"Pending"))</f>
        <v/>
      </c>
      <c r="H188" s="20" t="str">
        <f>IF(A188="","",IFERROR(INDEX('Production Readiness'!$S$5:$S$304,MATCH(A188,'Production Readiness'!$C$5:$C$304,0)),"Pending"))</f>
        <v/>
      </c>
      <c r="I188" s="20" t="str">
        <f>IF(A188="","",IFERROR(INDEX('Cutting Release'!$P$5:$P$304,MATCH(A188,'Cutting Release'!$C$5:$C$304,0)),"Pending"))</f>
        <v/>
      </c>
      <c r="J188" s="20" t="str">
        <f>IF(A188="","",SUMIF('Cutting Control'!$C$5:$C$304,A188,'Cutting Control'!$K$5:$K$304))</f>
        <v/>
      </c>
      <c r="K188" s="20" t="str">
        <f>IF(A188="","",IFERROR(INDEX('TOP Sample'!$W$5:$W$304,MATCH(A188,'TOP Sample'!$B$5:$B$304,0)),"Pending"))</f>
        <v/>
      </c>
      <c r="L188" s="20" t="str">
        <f>IF(A188="","",SUMIF('Sewing Production'!$E$5:$E$304,A188,'Sewing Production'!$L$5:$L$304))</f>
        <v/>
      </c>
      <c r="M188" s="20" t="str">
        <f>IF(A188="","",IFERROR(INDEX('Inline Quality'!$S$5:$S$304,MATCH(A188,'Inline Quality'!$E$5:$E$304,0)),"Pending"))</f>
        <v/>
      </c>
      <c r="N188" s="20" t="str">
        <f>IF(A188="","",IFERROR(INDEX('Final Inspection'!$U$5:$U$304,MATCH(A188,'Final Inspection'!$C$5:$C$304,0)),"Pending"))</f>
        <v/>
      </c>
      <c r="O188" s="20" t="str">
        <f>IF(A188="","",SUMIF('Packing Control'!$C$5:$C$304,A188,'Packing Control'!$K$5:$K$304))</f>
        <v/>
      </c>
      <c r="P188" s="20" t="str">
        <f>IF(A188="","",SUMIF('Finished Goods'!$C$5:$C$304,A188,'Finished Goods'!$J$5:$J$304))</f>
        <v/>
      </c>
      <c r="Q188" s="20" t="str">
        <f>IF(A188="","",SUMIF('Shipment Control'!$C$5:$C$304,A188,'Shipment Control'!$I$5:$I$304))</f>
        <v/>
      </c>
      <c r="R188" s="20" t="str">
        <f>IF(A188="","",SUMIF('Shipment Control'!$C$5:$C$304,A188,'Shipment Control'!$J$5:$J$304))</f>
        <v/>
      </c>
      <c r="S188" s="20" t="str">
        <f t="shared" si="5"/>
        <v/>
      </c>
      <c r="T188" s="21" t="str">
        <f>IF('FGPO Master'!A182="","",'FGPO Master'!I182)</f>
        <v/>
      </c>
      <c r="U188" s="7" t="str">
        <f>IF(A188="","",IF(COUNTIF('Open Issues'!$D$5:$D$304,A188)&gt;0,"Yellow","Green"))</f>
        <v/>
      </c>
      <c r="V188" s="7" t="str">
        <f>IF('FGPO Master'!A182="","",'FGPO Master'!U182)</f>
        <v/>
      </c>
    </row>
    <row r="189" spans="1:22">
      <c r="A189" s="7" t="str">
        <f>IF('FGPO Master'!A183="","",IF('FGPO Master'!D183="FGPO Pending","FGPO Pending",'FGPO Master'!B183))</f>
        <v/>
      </c>
      <c r="B189" s="7" t="str">
        <f>IF('FGPO Master'!A183="","",'FGPO Master'!F183)</f>
        <v/>
      </c>
      <c r="C189" s="7" t="str">
        <f>IF('FGPO Master'!A183="","",'FGPO Master'!G183)</f>
        <v/>
      </c>
      <c r="D189" s="20" t="str">
        <f>IF('FGPO Master'!A183="","",'FGPO Master'!H183)</f>
        <v/>
      </c>
      <c r="E189" s="20" t="str">
        <f>IF(A189="","",IF(SUMIF('Fabric Inventory'!$C$5:$C$304,A189,'Fabric Inventory'!$O$5:$O$304)&gt;0,"Shortage",IF(SUMIF('Fabric Inventory'!$C$5:$C$304,A189,'Fabric Inventory'!$H$5:$H$304)&gt;0,"Approved","Pending")))</f>
        <v/>
      </c>
      <c r="F189" s="20" t="str">
        <f>IF(A189="","",IF(SUMIF('Trims Control'!$B$5:$B$304,A189,'Trims Control'!$R$5:$R$304)&gt;0,"Shortage",IF(COUNTIFS('Trims Control'!$B$5:$B$304,A189,'Trims Control'!$V$5:$V$304,"Ready")&gt;0,"Ready","Pending")))</f>
        <v/>
      </c>
      <c r="G189" s="20" t="str">
        <f>IF(A189="","",IFERROR(INDEX('PP Sample'!$V$5:$V$304,MATCH(A189,'PP Sample'!$B$5:$B$304,0)),"Pending"))</f>
        <v/>
      </c>
      <c r="H189" s="20" t="str">
        <f>IF(A189="","",IFERROR(INDEX('Production Readiness'!$S$5:$S$304,MATCH(A189,'Production Readiness'!$C$5:$C$304,0)),"Pending"))</f>
        <v/>
      </c>
      <c r="I189" s="20" t="str">
        <f>IF(A189="","",IFERROR(INDEX('Cutting Release'!$P$5:$P$304,MATCH(A189,'Cutting Release'!$C$5:$C$304,0)),"Pending"))</f>
        <v/>
      </c>
      <c r="J189" s="20" t="str">
        <f>IF(A189="","",SUMIF('Cutting Control'!$C$5:$C$304,A189,'Cutting Control'!$K$5:$K$304))</f>
        <v/>
      </c>
      <c r="K189" s="20" t="str">
        <f>IF(A189="","",IFERROR(INDEX('TOP Sample'!$W$5:$W$304,MATCH(A189,'TOP Sample'!$B$5:$B$304,0)),"Pending"))</f>
        <v/>
      </c>
      <c r="L189" s="20" t="str">
        <f>IF(A189="","",SUMIF('Sewing Production'!$E$5:$E$304,A189,'Sewing Production'!$L$5:$L$304))</f>
        <v/>
      </c>
      <c r="M189" s="20" t="str">
        <f>IF(A189="","",IFERROR(INDEX('Inline Quality'!$S$5:$S$304,MATCH(A189,'Inline Quality'!$E$5:$E$304,0)),"Pending"))</f>
        <v/>
      </c>
      <c r="N189" s="20" t="str">
        <f>IF(A189="","",IFERROR(INDEX('Final Inspection'!$U$5:$U$304,MATCH(A189,'Final Inspection'!$C$5:$C$304,0)),"Pending"))</f>
        <v/>
      </c>
      <c r="O189" s="20" t="str">
        <f>IF(A189="","",SUMIF('Packing Control'!$C$5:$C$304,A189,'Packing Control'!$K$5:$K$304))</f>
        <v/>
      </c>
      <c r="P189" s="20" t="str">
        <f>IF(A189="","",SUMIF('Finished Goods'!$C$5:$C$304,A189,'Finished Goods'!$J$5:$J$304))</f>
        <v/>
      </c>
      <c r="Q189" s="20" t="str">
        <f>IF(A189="","",SUMIF('Shipment Control'!$C$5:$C$304,A189,'Shipment Control'!$I$5:$I$304))</f>
        <v/>
      </c>
      <c r="R189" s="20" t="str">
        <f>IF(A189="","",SUMIF('Shipment Control'!$C$5:$C$304,A189,'Shipment Control'!$J$5:$J$304))</f>
        <v/>
      </c>
      <c r="S189" s="20" t="str">
        <f t="shared" si="5"/>
        <v/>
      </c>
      <c r="T189" s="21" t="str">
        <f>IF('FGPO Master'!A183="","",'FGPO Master'!I183)</f>
        <v/>
      </c>
      <c r="U189" s="7" t="str">
        <f>IF(A189="","",IF(COUNTIF('Open Issues'!$D$5:$D$304,A189)&gt;0,"Yellow","Green"))</f>
        <v/>
      </c>
      <c r="V189" s="7" t="str">
        <f>IF('FGPO Master'!A183="","",'FGPO Master'!U183)</f>
        <v/>
      </c>
    </row>
    <row r="190" spans="1:22">
      <c r="A190" s="7" t="str">
        <f>IF('FGPO Master'!A184="","",IF('FGPO Master'!D184="FGPO Pending","FGPO Pending",'FGPO Master'!B184))</f>
        <v/>
      </c>
      <c r="B190" s="7" t="str">
        <f>IF('FGPO Master'!A184="","",'FGPO Master'!F184)</f>
        <v/>
      </c>
      <c r="C190" s="7" t="str">
        <f>IF('FGPO Master'!A184="","",'FGPO Master'!G184)</f>
        <v/>
      </c>
      <c r="D190" s="20" t="str">
        <f>IF('FGPO Master'!A184="","",'FGPO Master'!H184)</f>
        <v/>
      </c>
      <c r="E190" s="20" t="str">
        <f>IF(A190="","",IF(SUMIF('Fabric Inventory'!$C$5:$C$304,A190,'Fabric Inventory'!$O$5:$O$304)&gt;0,"Shortage",IF(SUMIF('Fabric Inventory'!$C$5:$C$304,A190,'Fabric Inventory'!$H$5:$H$304)&gt;0,"Approved","Pending")))</f>
        <v/>
      </c>
      <c r="F190" s="20" t="str">
        <f>IF(A190="","",IF(SUMIF('Trims Control'!$B$5:$B$304,A190,'Trims Control'!$R$5:$R$304)&gt;0,"Shortage",IF(COUNTIFS('Trims Control'!$B$5:$B$304,A190,'Trims Control'!$V$5:$V$304,"Ready")&gt;0,"Ready","Pending")))</f>
        <v/>
      </c>
      <c r="G190" s="20" t="str">
        <f>IF(A190="","",IFERROR(INDEX('PP Sample'!$V$5:$V$304,MATCH(A190,'PP Sample'!$B$5:$B$304,0)),"Pending"))</f>
        <v/>
      </c>
      <c r="H190" s="20" t="str">
        <f>IF(A190="","",IFERROR(INDEX('Production Readiness'!$S$5:$S$304,MATCH(A190,'Production Readiness'!$C$5:$C$304,0)),"Pending"))</f>
        <v/>
      </c>
      <c r="I190" s="20" t="str">
        <f>IF(A190="","",IFERROR(INDEX('Cutting Release'!$P$5:$P$304,MATCH(A190,'Cutting Release'!$C$5:$C$304,0)),"Pending"))</f>
        <v/>
      </c>
      <c r="J190" s="20" t="str">
        <f>IF(A190="","",SUMIF('Cutting Control'!$C$5:$C$304,A190,'Cutting Control'!$K$5:$K$304))</f>
        <v/>
      </c>
      <c r="K190" s="20" t="str">
        <f>IF(A190="","",IFERROR(INDEX('TOP Sample'!$W$5:$W$304,MATCH(A190,'TOP Sample'!$B$5:$B$304,0)),"Pending"))</f>
        <v/>
      </c>
      <c r="L190" s="20" t="str">
        <f>IF(A190="","",SUMIF('Sewing Production'!$E$5:$E$304,A190,'Sewing Production'!$L$5:$L$304))</f>
        <v/>
      </c>
      <c r="M190" s="20" t="str">
        <f>IF(A190="","",IFERROR(INDEX('Inline Quality'!$S$5:$S$304,MATCH(A190,'Inline Quality'!$E$5:$E$304,0)),"Pending"))</f>
        <v/>
      </c>
      <c r="N190" s="20" t="str">
        <f>IF(A190="","",IFERROR(INDEX('Final Inspection'!$U$5:$U$304,MATCH(A190,'Final Inspection'!$C$5:$C$304,0)),"Pending"))</f>
        <v/>
      </c>
      <c r="O190" s="20" t="str">
        <f>IF(A190="","",SUMIF('Packing Control'!$C$5:$C$304,A190,'Packing Control'!$K$5:$K$304))</f>
        <v/>
      </c>
      <c r="P190" s="20" t="str">
        <f>IF(A190="","",SUMIF('Finished Goods'!$C$5:$C$304,A190,'Finished Goods'!$J$5:$J$304))</f>
        <v/>
      </c>
      <c r="Q190" s="20" t="str">
        <f>IF(A190="","",SUMIF('Shipment Control'!$C$5:$C$304,A190,'Shipment Control'!$I$5:$I$304))</f>
        <v/>
      </c>
      <c r="R190" s="20" t="str">
        <f>IF(A190="","",SUMIF('Shipment Control'!$C$5:$C$304,A190,'Shipment Control'!$J$5:$J$304))</f>
        <v/>
      </c>
      <c r="S190" s="20" t="str">
        <f t="shared" si="5"/>
        <v/>
      </c>
      <c r="T190" s="21" t="str">
        <f>IF('FGPO Master'!A184="","",'FGPO Master'!I184)</f>
        <v/>
      </c>
      <c r="U190" s="7" t="str">
        <f>IF(A190="","",IF(COUNTIF('Open Issues'!$D$5:$D$304,A190)&gt;0,"Yellow","Green"))</f>
        <v/>
      </c>
      <c r="V190" s="7" t="str">
        <f>IF('FGPO Master'!A184="","",'FGPO Master'!U184)</f>
        <v/>
      </c>
    </row>
    <row r="191" spans="1:22">
      <c r="A191" s="7" t="str">
        <f>IF('FGPO Master'!A185="","",IF('FGPO Master'!D185="FGPO Pending","FGPO Pending",'FGPO Master'!B185))</f>
        <v/>
      </c>
      <c r="B191" s="7" t="str">
        <f>IF('FGPO Master'!A185="","",'FGPO Master'!F185)</f>
        <v/>
      </c>
      <c r="C191" s="7" t="str">
        <f>IF('FGPO Master'!A185="","",'FGPO Master'!G185)</f>
        <v/>
      </c>
      <c r="D191" s="20" t="str">
        <f>IF('FGPO Master'!A185="","",'FGPO Master'!H185)</f>
        <v/>
      </c>
      <c r="E191" s="20" t="str">
        <f>IF(A191="","",IF(SUMIF('Fabric Inventory'!$C$5:$C$304,A191,'Fabric Inventory'!$O$5:$O$304)&gt;0,"Shortage",IF(SUMIF('Fabric Inventory'!$C$5:$C$304,A191,'Fabric Inventory'!$H$5:$H$304)&gt;0,"Approved","Pending")))</f>
        <v/>
      </c>
      <c r="F191" s="20" t="str">
        <f>IF(A191="","",IF(SUMIF('Trims Control'!$B$5:$B$304,A191,'Trims Control'!$R$5:$R$304)&gt;0,"Shortage",IF(COUNTIFS('Trims Control'!$B$5:$B$304,A191,'Trims Control'!$V$5:$V$304,"Ready")&gt;0,"Ready","Pending")))</f>
        <v/>
      </c>
      <c r="G191" s="20" t="str">
        <f>IF(A191="","",IFERROR(INDEX('PP Sample'!$V$5:$V$304,MATCH(A191,'PP Sample'!$B$5:$B$304,0)),"Pending"))</f>
        <v/>
      </c>
      <c r="H191" s="20" t="str">
        <f>IF(A191="","",IFERROR(INDEX('Production Readiness'!$S$5:$S$304,MATCH(A191,'Production Readiness'!$C$5:$C$304,0)),"Pending"))</f>
        <v/>
      </c>
      <c r="I191" s="20" t="str">
        <f>IF(A191="","",IFERROR(INDEX('Cutting Release'!$P$5:$P$304,MATCH(A191,'Cutting Release'!$C$5:$C$304,0)),"Pending"))</f>
        <v/>
      </c>
      <c r="J191" s="20" t="str">
        <f>IF(A191="","",SUMIF('Cutting Control'!$C$5:$C$304,A191,'Cutting Control'!$K$5:$K$304))</f>
        <v/>
      </c>
      <c r="K191" s="20" t="str">
        <f>IF(A191="","",IFERROR(INDEX('TOP Sample'!$W$5:$W$304,MATCH(A191,'TOP Sample'!$B$5:$B$304,0)),"Pending"))</f>
        <v/>
      </c>
      <c r="L191" s="20" t="str">
        <f>IF(A191="","",SUMIF('Sewing Production'!$E$5:$E$304,A191,'Sewing Production'!$L$5:$L$304))</f>
        <v/>
      </c>
      <c r="M191" s="20" t="str">
        <f>IF(A191="","",IFERROR(INDEX('Inline Quality'!$S$5:$S$304,MATCH(A191,'Inline Quality'!$E$5:$E$304,0)),"Pending"))</f>
        <v/>
      </c>
      <c r="N191" s="20" t="str">
        <f>IF(A191="","",IFERROR(INDEX('Final Inspection'!$U$5:$U$304,MATCH(A191,'Final Inspection'!$C$5:$C$304,0)),"Pending"))</f>
        <v/>
      </c>
      <c r="O191" s="20" t="str">
        <f>IF(A191="","",SUMIF('Packing Control'!$C$5:$C$304,A191,'Packing Control'!$K$5:$K$304))</f>
        <v/>
      </c>
      <c r="P191" s="20" t="str">
        <f>IF(A191="","",SUMIF('Finished Goods'!$C$5:$C$304,A191,'Finished Goods'!$J$5:$J$304))</f>
        <v/>
      </c>
      <c r="Q191" s="20" t="str">
        <f>IF(A191="","",SUMIF('Shipment Control'!$C$5:$C$304,A191,'Shipment Control'!$I$5:$I$304))</f>
        <v/>
      </c>
      <c r="R191" s="20" t="str">
        <f>IF(A191="","",SUMIF('Shipment Control'!$C$5:$C$304,A191,'Shipment Control'!$J$5:$J$304))</f>
        <v/>
      </c>
      <c r="S191" s="20" t="str">
        <f t="shared" si="5"/>
        <v/>
      </c>
      <c r="T191" s="21" t="str">
        <f>IF('FGPO Master'!A185="","",'FGPO Master'!I185)</f>
        <v/>
      </c>
      <c r="U191" s="7" t="str">
        <f>IF(A191="","",IF(COUNTIF('Open Issues'!$D$5:$D$304,A191)&gt;0,"Yellow","Green"))</f>
        <v/>
      </c>
      <c r="V191" s="7" t="str">
        <f>IF('FGPO Master'!A185="","",'FGPO Master'!U185)</f>
        <v/>
      </c>
    </row>
    <row r="192" spans="1:22">
      <c r="A192" s="7" t="str">
        <f>IF('FGPO Master'!A186="","",IF('FGPO Master'!D186="FGPO Pending","FGPO Pending",'FGPO Master'!B186))</f>
        <v/>
      </c>
      <c r="B192" s="7" t="str">
        <f>IF('FGPO Master'!A186="","",'FGPO Master'!F186)</f>
        <v/>
      </c>
      <c r="C192" s="7" t="str">
        <f>IF('FGPO Master'!A186="","",'FGPO Master'!G186)</f>
        <v/>
      </c>
      <c r="D192" s="20" t="str">
        <f>IF('FGPO Master'!A186="","",'FGPO Master'!H186)</f>
        <v/>
      </c>
      <c r="E192" s="20" t="str">
        <f>IF(A192="","",IF(SUMIF('Fabric Inventory'!$C$5:$C$304,A192,'Fabric Inventory'!$O$5:$O$304)&gt;0,"Shortage",IF(SUMIF('Fabric Inventory'!$C$5:$C$304,A192,'Fabric Inventory'!$H$5:$H$304)&gt;0,"Approved","Pending")))</f>
        <v/>
      </c>
      <c r="F192" s="20" t="str">
        <f>IF(A192="","",IF(SUMIF('Trims Control'!$B$5:$B$304,A192,'Trims Control'!$R$5:$R$304)&gt;0,"Shortage",IF(COUNTIFS('Trims Control'!$B$5:$B$304,A192,'Trims Control'!$V$5:$V$304,"Ready")&gt;0,"Ready","Pending")))</f>
        <v/>
      </c>
      <c r="G192" s="20" t="str">
        <f>IF(A192="","",IFERROR(INDEX('PP Sample'!$V$5:$V$304,MATCH(A192,'PP Sample'!$B$5:$B$304,0)),"Pending"))</f>
        <v/>
      </c>
      <c r="H192" s="20" t="str">
        <f>IF(A192="","",IFERROR(INDEX('Production Readiness'!$S$5:$S$304,MATCH(A192,'Production Readiness'!$C$5:$C$304,0)),"Pending"))</f>
        <v/>
      </c>
      <c r="I192" s="20" t="str">
        <f>IF(A192="","",IFERROR(INDEX('Cutting Release'!$P$5:$P$304,MATCH(A192,'Cutting Release'!$C$5:$C$304,0)),"Pending"))</f>
        <v/>
      </c>
      <c r="J192" s="20" t="str">
        <f>IF(A192="","",SUMIF('Cutting Control'!$C$5:$C$304,A192,'Cutting Control'!$K$5:$K$304))</f>
        <v/>
      </c>
      <c r="K192" s="20" t="str">
        <f>IF(A192="","",IFERROR(INDEX('TOP Sample'!$W$5:$W$304,MATCH(A192,'TOP Sample'!$B$5:$B$304,0)),"Pending"))</f>
        <v/>
      </c>
      <c r="L192" s="20" t="str">
        <f>IF(A192="","",SUMIF('Sewing Production'!$E$5:$E$304,A192,'Sewing Production'!$L$5:$L$304))</f>
        <v/>
      </c>
      <c r="M192" s="20" t="str">
        <f>IF(A192="","",IFERROR(INDEX('Inline Quality'!$S$5:$S$304,MATCH(A192,'Inline Quality'!$E$5:$E$304,0)),"Pending"))</f>
        <v/>
      </c>
      <c r="N192" s="20" t="str">
        <f>IF(A192="","",IFERROR(INDEX('Final Inspection'!$U$5:$U$304,MATCH(A192,'Final Inspection'!$C$5:$C$304,0)),"Pending"))</f>
        <v/>
      </c>
      <c r="O192" s="20" t="str">
        <f>IF(A192="","",SUMIF('Packing Control'!$C$5:$C$304,A192,'Packing Control'!$K$5:$K$304))</f>
        <v/>
      </c>
      <c r="P192" s="20" t="str">
        <f>IF(A192="","",SUMIF('Finished Goods'!$C$5:$C$304,A192,'Finished Goods'!$J$5:$J$304))</f>
        <v/>
      </c>
      <c r="Q192" s="20" t="str">
        <f>IF(A192="","",SUMIF('Shipment Control'!$C$5:$C$304,A192,'Shipment Control'!$I$5:$I$304))</f>
        <v/>
      </c>
      <c r="R192" s="20" t="str">
        <f>IF(A192="","",SUMIF('Shipment Control'!$C$5:$C$304,A192,'Shipment Control'!$J$5:$J$304))</f>
        <v/>
      </c>
      <c r="S192" s="20" t="str">
        <f t="shared" si="5"/>
        <v/>
      </c>
      <c r="T192" s="21" t="str">
        <f>IF('FGPO Master'!A186="","",'FGPO Master'!I186)</f>
        <v/>
      </c>
      <c r="U192" s="7" t="str">
        <f>IF(A192="","",IF(COUNTIF('Open Issues'!$D$5:$D$304,A192)&gt;0,"Yellow","Green"))</f>
        <v/>
      </c>
      <c r="V192" s="7" t="str">
        <f>IF('FGPO Master'!A186="","",'FGPO Master'!U186)</f>
        <v/>
      </c>
    </row>
    <row r="193" spans="1:22">
      <c r="A193" s="7" t="str">
        <f>IF('FGPO Master'!A187="","",IF('FGPO Master'!D187="FGPO Pending","FGPO Pending",'FGPO Master'!B187))</f>
        <v/>
      </c>
      <c r="B193" s="7" t="str">
        <f>IF('FGPO Master'!A187="","",'FGPO Master'!F187)</f>
        <v/>
      </c>
      <c r="C193" s="7" t="str">
        <f>IF('FGPO Master'!A187="","",'FGPO Master'!G187)</f>
        <v/>
      </c>
      <c r="D193" s="20" t="str">
        <f>IF('FGPO Master'!A187="","",'FGPO Master'!H187)</f>
        <v/>
      </c>
      <c r="E193" s="20" t="str">
        <f>IF(A193="","",IF(SUMIF('Fabric Inventory'!$C$5:$C$304,A193,'Fabric Inventory'!$O$5:$O$304)&gt;0,"Shortage",IF(SUMIF('Fabric Inventory'!$C$5:$C$304,A193,'Fabric Inventory'!$H$5:$H$304)&gt;0,"Approved","Pending")))</f>
        <v/>
      </c>
      <c r="F193" s="20" t="str">
        <f>IF(A193="","",IF(SUMIF('Trims Control'!$B$5:$B$304,A193,'Trims Control'!$R$5:$R$304)&gt;0,"Shortage",IF(COUNTIFS('Trims Control'!$B$5:$B$304,A193,'Trims Control'!$V$5:$V$304,"Ready")&gt;0,"Ready","Pending")))</f>
        <v/>
      </c>
      <c r="G193" s="20" t="str">
        <f>IF(A193="","",IFERROR(INDEX('PP Sample'!$V$5:$V$304,MATCH(A193,'PP Sample'!$B$5:$B$304,0)),"Pending"))</f>
        <v/>
      </c>
      <c r="H193" s="20" t="str">
        <f>IF(A193="","",IFERROR(INDEX('Production Readiness'!$S$5:$S$304,MATCH(A193,'Production Readiness'!$C$5:$C$304,0)),"Pending"))</f>
        <v/>
      </c>
      <c r="I193" s="20" t="str">
        <f>IF(A193="","",IFERROR(INDEX('Cutting Release'!$P$5:$P$304,MATCH(A193,'Cutting Release'!$C$5:$C$304,0)),"Pending"))</f>
        <v/>
      </c>
      <c r="J193" s="20" t="str">
        <f>IF(A193="","",SUMIF('Cutting Control'!$C$5:$C$304,A193,'Cutting Control'!$K$5:$K$304))</f>
        <v/>
      </c>
      <c r="K193" s="20" t="str">
        <f>IF(A193="","",IFERROR(INDEX('TOP Sample'!$W$5:$W$304,MATCH(A193,'TOP Sample'!$B$5:$B$304,0)),"Pending"))</f>
        <v/>
      </c>
      <c r="L193" s="20" t="str">
        <f>IF(A193="","",SUMIF('Sewing Production'!$E$5:$E$304,A193,'Sewing Production'!$L$5:$L$304))</f>
        <v/>
      </c>
      <c r="M193" s="20" t="str">
        <f>IF(A193="","",IFERROR(INDEX('Inline Quality'!$S$5:$S$304,MATCH(A193,'Inline Quality'!$E$5:$E$304,0)),"Pending"))</f>
        <v/>
      </c>
      <c r="N193" s="20" t="str">
        <f>IF(A193="","",IFERROR(INDEX('Final Inspection'!$U$5:$U$304,MATCH(A193,'Final Inspection'!$C$5:$C$304,0)),"Pending"))</f>
        <v/>
      </c>
      <c r="O193" s="20" t="str">
        <f>IF(A193="","",SUMIF('Packing Control'!$C$5:$C$304,A193,'Packing Control'!$K$5:$K$304))</f>
        <v/>
      </c>
      <c r="P193" s="20" t="str">
        <f>IF(A193="","",SUMIF('Finished Goods'!$C$5:$C$304,A193,'Finished Goods'!$J$5:$J$304))</f>
        <v/>
      </c>
      <c r="Q193" s="20" t="str">
        <f>IF(A193="","",SUMIF('Shipment Control'!$C$5:$C$304,A193,'Shipment Control'!$I$5:$I$304))</f>
        <v/>
      </c>
      <c r="R193" s="20" t="str">
        <f>IF(A193="","",SUMIF('Shipment Control'!$C$5:$C$304,A193,'Shipment Control'!$J$5:$J$304))</f>
        <v/>
      </c>
      <c r="S193" s="20" t="str">
        <f t="shared" si="5"/>
        <v/>
      </c>
      <c r="T193" s="21" t="str">
        <f>IF('FGPO Master'!A187="","",'FGPO Master'!I187)</f>
        <v/>
      </c>
      <c r="U193" s="7" t="str">
        <f>IF(A193="","",IF(COUNTIF('Open Issues'!$D$5:$D$304,A193)&gt;0,"Yellow","Green"))</f>
        <v/>
      </c>
      <c r="V193" s="7" t="str">
        <f>IF('FGPO Master'!A187="","",'FGPO Master'!U187)</f>
        <v/>
      </c>
    </row>
    <row r="194" spans="1:22">
      <c r="A194" s="7" t="str">
        <f>IF('FGPO Master'!A188="","",IF('FGPO Master'!D188="FGPO Pending","FGPO Pending",'FGPO Master'!B188))</f>
        <v/>
      </c>
      <c r="B194" s="7" t="str">
        <f>IF('FGPO Master'!A188="","",'FGPO Master'!F188)</f>
        <v/>
      </c>
      <c r="C194" s="7" t="str">
        <f>IF('FGPO Master'!A188="","",'FGPO Master'!G188)</f>
        <v/>
      </c>
      <c r="D194" s="20" t="str">
        <f>IF('FGPO Master'!A188="","",'FGPO Master'!H188)</f>
        <v/>
      </c>
      <c r="E194" s="20" t="str">
        <f>IF(A194="","",IF(SUMIF('Fabric Inventory'!$C$5:$C$304,A194,'Fabric Inventory'!$O$5:$O$304)&gt;0,"Shortage",IF(SUMIF('Fabric Inventory'!$C$5:$C$304,A194,'Fabric Inventory'!$H$5:$H$304)&gt;0,"Approved","Pending")))</f>
        <v/>
      </c>
      <c r="F194" s="20" t="str">
        <f>IF(A194="","",IF(SUMIF('Trims Control'!$B$5:$B$304,A194,'Trims Control'!$R$5:$R$304)&gt;0,"Shortage",IF(COUNTIFS('Trims Control'!$B$5:$B$304,A194,'Trims Control'!$V$5:$V$304,"Ready")&gt;0,"Ready","Pending")))</f>
        <v/>
      </c>
      <c r="G194" s="20" t="str">
        <f>IF(A194="","",IFERROR(INDEX('PP Sample'!$V$5:$V$304,MATCH(A194,'PP Sample'!$B$5:$B$304,0)),"Pending"))</f>
        <v/>
      </c>
      <c r="H194" s="20" t="str">
        <f>IF(A194="","",IFERROR(INDEX('Production Readiness'!$S$5:$S$304,MATCH(A194,'Production Readiness'!$C$5:$C$304,0)),"Pending"))</f>
        <v/>
      </c>
      <c r="I194" s="20" t="str">
        <f>IF(A194="","",IFERROR(INDEX('Cutting Release'!$P$5:$P$304,MATCH(A194,'Cutting Release'!$C$5:$C$304,0)),"Pending"))</f>
        <v/>
      </c>
      <c r="J194" s="20" t="str">
        <f>IF(A194="","",SUMIF('Cutting Control'!$C$5:$C$304,A194,'Cutting Control'!$K$5:$K$304))</f>
        <v/>
      </c>
      <c r="K194" s="20" t="str">
        <f>IF(A194="","",IFERROR(INDEX('TOP Sample'!$W$5:$W$304,MATCH(A194,'TOP Sample'!$B$5:$B$304,0)),"Pending"))</f>
        <v/>
      </c>
      <c r="L194" s="20" t="str">
        <f>IF(A194="","",SUMIF('Sewing Production'!$E$5:$E$304,A194,'Sewing Production'!$L$5:$L$304))</f>
        <v/>
      </c>
      <c r="M194" s="20" t="str">
        <f>IF(A194="","",IFERROR(INDEX('Inline Quality'!$S$5:$S$304,MATCH(A194,'Inline Quality'!$E$5:$E$304,0)),"Pending"))</f>
        <v/>
      </c>
      <c r="N194" s="20" t="str">
        <f>IF(A194="","",IFERROR(INDEX('Final Inspection'!$U$5:$U$304,MATCH(A194,'Final Inspection'!$C$5:$C$304,0)),"Pending"))</f>
        <v/>
      </c>
      <c r="O194" s="20" t="str">
        <f>IF(A194="","",SUMIF('Packing Control'!$C$5:$C$304,A194,'Packing Control'!$K$5:$K$304))</f>
        <v/>
      </c>
      <c r="P194" s="20" t="str">
        <f>IF(A194="","",SUMIF('Finished Goods'!$C$5:$C$304,A194,'Finished Goods'!$J$5:$J$304))</f>
        <v/>
      </c>
      <c r="Q194" s="20" t="str">
        <f>IF(A194="","",SUMIF('Shipment Control'!$C$5:$C$304,A194,'Shipment Control'!$I$5:$I$304))</f>
        <v/>
      </c>
      <c r="R194" s="20" t="str">
        <f>IF(A194="","",SUMIF('Shipment Control'!$C$5:$C$304,A194,'Shipment Control'!$J$5:$J$304))</f>
        <v/>
      </c>
      <c r="S194" s="20" t="str">
        <f t="shared" si="5"/>
        <v/>
      </c>
      <c r="T194" s="21" t="str">
        <f>IF('FGPO Master'!A188="","",'FGPO Master'!I188)</f>
        <v/>
      </c>
      <c r="U194" s="7" t="str">
        <f>IF(A194="","",IF(COUNTIF('Open Issues'!$D$5:$D$304,A194)&gt;0,"Yellow","Green"))</f>
        <v/>
      </c>
      <c r="V194" s="7" t="str">
        <f>IF('FGPO Master'!A188="","",'FGPO Master'!U188)</f>
        <v/>
      </c>
    </row>
    <row r="195" spans="1:22">
      <c r="A195" s="7" t="str">
        <f>IF('FGPO Master'!A189="","",IF('FGPO Master'!D189="FGPO Pending","FGPO Pending",'FGPO Master'!B189))</f>
        <v/>
      </c>
      <c r="B195" s="7" t="str">
        <f>IF('FGPO Master'!A189="","",'FGPO Master'!F189)</f>
        <v/>
      </c>
      <c r="C195" s="7" t="str">
        <f>IF('FGPO Master'!A189="","",'FGPO Master'!G189)</f>
        <v/>
      </c>
      <c r="D195" s="20" t="str">
        <f>IF('FGPO Master'!A189="","",'FGPO Master'!H189)</f>
        <v/>
      </c>
      <c r="E195" s="20" t="str">
        <f>IF(A195="","",IF(SUMIF('Fabric Inventory'!$C$5:$C$304,A195,'Fabric Inventory'!$O$5:$O$304)&gt;0,"Shortage",IF(SUMIF('Fabric Inventory'!$C$5:$C$304,A195,'Fabric Inventory'!$H$5:$H$304)&gt;0,"Approved","Pending")))</f>
        <v/>
      </c>
      <c r="F195" s="20" t="str">
        <f>IF(A195="","",IF(SUMIF('Trims Control'!$B$5:$B$304,A195,'Trims Control'!$R$5:$R$304)&gt;0,"Shortage",IF(COUNTIFS('Trims Control'!$B$5:$B$304,A195,'Trims Control'!$V$5:$V$304,"Ready")&gt;0,"Ready","Pending")))</f>
        <v/>
      </c>
      <c r="G195" s="20" t="str">
        <f>IF(A195="","",IFERROR(INDEX('PP Sample'!$V$5:$V$304,MATCH(A195,'PP Sample'!$B$5:$B$304,0)),"Pending"))</f>
        <v/>
      </c>
      <c r="H195" s="20" t="str">
        <f>IF(A195="","",IFERROR(INDEX('Production Readiness'!$S$5:$S$304,MATCH(A195,'Production Readiness'!$C$5:$C$304,0)),"Pending"))</f>
        <v/>
      </c>
      <c r="I195" s="20" t="str">
        <f>IF(A195="","",IFERROR(INDEX('Cutting Release'!$P$5:$P$304,MATCH(A195,'Cutting Release'!$C$5:$C$304,0)),"Pending"))</f>
        <v/>
      </c>
      <c r="J195" s="20" t="str">
        <f>IF(A195="","",SUMIF('Cutting Control'!$C$5:$C$304,A195,'Cutting Control'!$K$5:$K$304))</f>
        <v/>
      </c>
      <c r="K195" s="20" t="str">
        <f>IF(A195="","",IFERROR(INDEX('TOP Sample'!$W$5:$W$304,MATCH(A195,'TOP Sample'!$B$5:$B$304,0)),"Pending"))</f>
        <v/>
      </c>
      <c r="L195" s="20" t="str">
        <f>IF(A195="","",SUMIF('Sewing Production'!$E$5:$E$304,A195,'Sewing Production'!$L$5:$L$304))</f>
        <v/>
      </c>
      <c r="M195" s="20" t="str">
        <f>IF(A195="","",IFERROR(INDEX('Inline Quality'!$S$5:$S$304,MATCH(A195,'Inline Quality'!$E$5:$E$304,0)),"Pending"))</f>
        <v/>
      </c>
      <c r="N195" s="20" t="str">
        <f>IF(A195="","",IFERROR(INDEX('Final Inspection'!$U$5:$U$304,MATCH(A195,'Final Inspection'!$C$5:$C$304,0)),"Pending"))</f>
        <v/>
      </c>
      <c r="O195" s="20" t="str">
        <f>IF(A195="","",SUMIF('Packing Control'!$C$5:$C$304,A195,'Packing Control'!$K$5:$K$304))</f>
        <v/>
      </c>
      <c r="P195" s="20" t="str">
        <f>IF(A195="","",SUMIF('Finished Goods'!$C$5:$C$304,A195,'Finished Goods'!$J$5:$J$304))</f>
        <v/>
      </c>
      <c r="Q195" s="20" t="str">
        <f>IF(A195="","",SUMIF('Shipment Control'!$C$5:$C$304,A195,'Shipment Control'!$I$5:$I$304))</f>
        <v/>
      </c>
      <c r="R195" s="20" t="str">
        <f>IF(A195="","",SUMIF('Shipment Control'!$C$5:$C$304,A195,'Shipment Control'!$J$5:$J$304))</f>
        <v/>
      </c>
      <c r="S195" s="20" t="str">
        <f t="shared" si="5"/>
        <v/>
      </c>
      <c r="T195" s="21" t="str">
        <f>IF('FGPO Master'!A189="","",'FGPO Master'!I189)</f>
        <v/>
      </c>
      <c r="U195" s="7" t="str">
        <f>IF(A195="","",IF(COUNTIF('Open Issues'!$D$5:$D$304,A195)&gt;0,"Yellow","Green"))</f>
        <v/>
      </c>
      <c r="V195" s="7" t="str">
        <f>IF('FGPO Master'!A189="","",'FGPO Master'!U189)</f>
        <v/>
      </c>
    </row>
    <row r="196" spans="1:22">
      <c r="A196" s="7" t="str">
        <f>IF('FGPO Master'!A190="","",IF('FGPO Master'!D190="FGPO Pending","FGPO Pending",'FGPO Master'!B190))</f>
        <v/>
      </c>
      <c r="B196" s="7" t="str">
        <f>IF('FGPO Master'!A190="","",'FGPO Master'!F190)</f>
        <v/>
      </c>
      <c r="C196" s="7" t="str">
        <f>IF('FGPO Master'!A190="","",'FGPO Master'!G190)</f>
        <v/>
      </c>
      <c r="D196" s="20" t="str">
        <f>IF('FGPO Master'!A190="","",'FGPO Master'!H190)</f>
        <v/>
      </c>
      <c r="E196" s="20" t="str">
        <f>IF(A196="","",IF(SUMIF('Fabric Inventory'!$C$5:$C$304,A196,'Fabric Inventory'!$O$5:$O$304)&gt;0,"Shortage",IF(SUMIF('Fabric Inventory'!$C$5:$C$304,A196,'Fabric Inventory'!$H$5:$H$304)&gt;0,"Approved","Pending")))</f>
        <v/>
      </c>
      <c r="F196" s="20" t="str">
        <f>IF(A196="","",IF(SUMIF('Trims Control'!$B$5:$B$304,A196,'Trims Control'!$R$5:$R$304)&gt;0,"Shortage",IF(COUNTIFS('Trims Control'!$B$5:$B$304,A196,'Trims Control'!$V$5:$V$304,"Ready")&gt;0,"Ready","Pending")))</f>
        <v/>
      </c>
      <c r="G196" s="20" t="str">
        <f>IF(A196="","",IFERROR(INDEX('PP Sample'!$V$5:$V$304,MATCH(A196,'PP Sample'!$B$5:$B$304,0)),"Pending"))</f>
        <v/>
      </c>
      <c r="H196" s="20" t="str">
        <f>IF(A196="","",IFERROR(INDEX('Production Readiness'!$S$5:$S$304,MATCH(A196,'Production Readiness'!$C$5:$C$304,0)),"Pending"))</f>
        <v/>
      </c>
      <c r="I196" s="20" t="str">
        <f>IF(A196="","",IFERROR(INDEX('Cutting Release'!$P$5:$P$304,MATCH(A196,'Cutting Release'!$C$5:$C$304,0)),"Pending"))</f>
        <v/>
      </c>
      <c r="J196" s="20" t="str">
        <f>IF(A196="","",SUMIF('Cutting Control'!$C$5:$C$304,A196,'Cutting Control'!$K$5:$K$304))</f>
        <v/>
      </c>
      <c r="K196" s="20" t="str">
        <f>IF(A196="","",IFERROR(INDEX('TOP Sample'!$W$5:$W$304,MATCH(A196,'TOP Sample'!$B$5:$B$304,0)),"Pending"))</f>
        <v/>
      </c>
      <c r="L196" s="20" t="str">
        <f>IF(A196="","",SUMIF('Sewing Production'!$E$5:$E$304,A196,'Sewing Production'!$L$5:$L$304))</f>
        <v/>
      </c>
      <c r="M196" s="20" t="str">
        <f>IF(A196="","",IFERROR(INDEX('Inline Quality'!$S$5:$S$304,MATCH(A196,'Inline Quality'!$E$5:$E$304,0)),"Pending"))</f>
        <v/>
      </c>
      <c r="N196" s="20" t="str">
        <f>IF(A196="","",IFERROR(INDEX('Final Inspection'!$U$5:$U$304,MATCH(A196,'Final Inspection'!$C$5:$C$304,0)),"Pending"))</f>
        <v/>
      </c>
      <c r="O196" s="20" t="str">
        <f>IF(A196="","",SUMIF('Packing Control'!$C$5:$C$304,A196,'Packing Control'!$K$5:$K$304))</f>
        <v/>
      </c>
      <c r="P196" s="20" t="str">
        <f>IF(A196="","",SUMIF('Finished Goods'!$C$5:$C$304,A196,'Finished Goods'!$J$5:$J$304))</f>
        <v/>
      </c>
      <c r="Q196" s="20" t="str">
        <f>IF(A196="","",SUMIF('Shipment Control'!$C$5:$C$304,A196,'Shipment Control'!$I$5:$I$304))</f>
        <v/>
      </c>
      <c r="R196" s="20" t="str">
        <f>IF(A196="","",SUMIF('Shipment Control'!$C$5:$C$304,A196,'Shipment Control'!$J$5:$J$304))</f>
        <v/>
      </c>
      <c r="S196" s="20" t="str">
        <f t="shared" si="5"/>
        <v/>
      </c>
      <c r="T196" s="21" t="str">
        <f>IF('FGPO Master'!A190="","",'FGPO Master'!I190)</f>
        <v/>
      </c>
      <c r="U196" s="7" t="str">
        <f>IF(A196="","",IF(COUNTIF('Open Issues'!$D$5:$D$304,A196)&gt;0,"Yellow","Green"))</f>
        <v/>
      </c>
      <c r="V196" s="7" t="str">
        <f>IF('FGPO Master'!A190="","",'FGPO Master'!U190)</f>
        <v/>
      </c>
    </row>
    <row r="197" spans="1:22">
      <c r="A197" s="7" t="str">
        <f>IF('FGPO Master'!A191="","",IF('FGPO Master'!D191="FGPO Pending","FGPO Pending",'FGPO Master'!B191))</f>
        <v/>
      </c>
      <c r="B197" s="7" t="str">
        <f>IF('FGPO Master'!A191="","",'FGPO Master'!F191)</f>
        <v/>
      </c>
      <c r="C197" s="7" t="str">
        <f>IF('FGPO Master'!A191="","",'FGPO Master'!G191)</f>
        <v/>
      </c>
      <c r="D197" s="20" t="str">
        <f>IF('FGPO Master'!A191="","",'FGPO Master'!H191)</f>
        <v/>
      </c>
      <c r="E197" s="20" t="str">
        <f>IF(A197="","",IF(SUMIF('Fabric Inventory'!$C$5:$C$304,A197,'Fabric Inventory'!$O$5:$O$304)&gt;0,"Shortage",IF(SUMIF('Fabric Inventory'!$C$5:$C$304,A197,'Fabric Inventory'!$H$5:$H$304)&gt;0,"Approved","Pending")))</f>
        <v/>
      </c>
      <c r="F197" s="20" t="str">
        <f>IF(A197="","",IF(SUMIF('Trims Control'!$B$5:$B$304,A197,'Trims Control'!$R$5:$R$304)&gt;0,"Shortage",IF(COUNTIFS('Trims Control'!$B$5:$B$304,A197,'Trims Control'!$V$5:$V$304,"Ready")&gt;0,"Ready","Pending")))</f>
        <v/>
      </c>
      <c r="G197" s="20" t="str">
        <f>IF(A197="","",IFERROR(INDEX('PP Sample'!$V$5:$V$304,MATCH(A197,'PP Sample'!$B$5:$B$304,0)),"Pending"))</f>
        <v/>
      </c>
      <c r="H197" s="20" t="str">
        <f>IF(A197="","",IFERROR(INDEX('Production Readiness'!$S$5:$S$304,MATCH(A197,'Production Readiness'!$C$5:$C$304,0)),"Pending"))</f>
        <v/>
      </c>
      <c r="I197" s="20" t="str">
        <f>IF(A197="","",IFERROR(INDEX('Cutting Release'!$P$5:$P$304,MATCH(A197,'Cutting Release'!$C$5:$C$304,0)),"Pending"))</f>
        <v/>
      </c>
      <c r="J197" s="20" t="str">
        <f>IF(A197="","",SUMIF('Cutting Control'!$C$5:$C$304,A197,'Cutting Control'!$K$5:$K$304))</f>
        <v/>
      </c>
      <c r="K197" s="20" t="str">
        <f>IF(A197="","",IFERROR(INDEX('TOP Sample'!$W$5:$W$304,MATCH(A197,'TOP Sample'!$B$5:$B$304,0)),"Pending"))</f>
        <v/>
      </c>
      <c r="L197" s="20" t="str">
        <f>IF(A197="","",SUMIF('Sewing Production'!$E$5:$E$304,A197,'Sewing Production'!$L$5:$L$304))</f>
        <v/>
      </c>
      <c r="M197" s="20" t="str">
        <f>IF(A197="","",IFERROR(INDEX('Inline Quality'!$S$5:$S$304,MATCH(A197,'Inline Quality'!$E$5:$E$304,0)),"Pending"))</f>
        <v/>
      </c>
      <c r="N197" s="20" t="str">
        <f>IF(A197="","",IFERROR(INDEX('Final Inspection'!$U$5:$U$304,MATCH(A197,'Final Inspection'!$C$5:$C$304,0)),"Pending"))</f>
        <v/>
      </c>
      <c r="O197" s="20" t="str">
        <f>IF(A197="","",SUMIF('Packing Control'!$C$5:$C$304,A197,'Packing Control'!$K$5:$K$304))</f>
        <v/>
      </c>
      <c r="P197" s="20" t="str">
        <f>IF(A197="","",SUMIF('Finished Goods'!$C$5:$C$304,A197,'Finished Goods'!$J$5:$J$304))</f>
        <v/>
      </c>
      <c r="Q197" s="20" t="str">
        <f>IF(A197="","",SUMIF('Shipment Control'!$C$5:$C$304,A197,'Shipment Control'!$I$5:$I$304))</f>
        <v/>
      </c>
      <c r="R197" s="20" t="str">
        <f>IF(A197="","",SUMIF('Shipment Control'!$C$5:$C$304,A197,'Shipment Control'!$J$5:$J$304))</f>
        <v/>
      </c>
      <c r="S197" s="20" t="str">
        <f t="shared" si="5"/>
        <v/>
      </c>
      <c r="T197" s="21" t="str">
        <f>IF('FGPO Master'!A191="","",'FGPO Master'!I191)</f>
        <v/>
      </c>
      <c r="U197" s="7" t="str">
        <f>IF(A197="","",IF(COUNTIF('Open Issues'!$D$5:$D$304,A197)&gt;0,"Yellow","Green"))</f>
        <v/>
      </c>
      <c r="V197" s="7" t="str">
        <f>IF('FGPO Master'!A191="","",'FGPO Master'!U191)</f>
        <v/>
      </c>
    </row>
    <row r="198" spans="1:22">
      <c r="A198" s="7" t="str">
        <f>IF('FGPO Master'!A192="","",IF('FGPO Master'!D192="FGPO Pending","FGPO Pending",'FGPO Master'!B192))</f>
        <v/>
      </c>
      <c r="B198" s="7" t="str">
        <f>IF('FGPO Master'!A192="","",'FGPO Master'!F192)</f>
        <v/>
      </c>
      <c r="C198" s="7" t="str">
        <f>IF('FGPO Master'!A192="","",'FGPO Master'!G192)</f>
        <v/>
      </c>
      <c r="D198" s="20" t="str">
        <f>IF('FGPO Master'!A192="","",'FGPO Master'!H192)</f>
        <v/>
      </c>
      <c r="E198" s="20" t="str">
        <f>IF(A198="","",IF(SUMIF('Fabric Inventory'!$C$5:$C$304,A198,'Fabric Inventory'!$O$5:$O$304)&gt;0,"Shortage",IF(SUMIF('Fabric Inventory'!$C$5:$C$304,A198,'Fabric Inventory'!$H$5:$H$304)&gt;0,"Approved","Pending")))</f>
        <v/>
      </c>
      <c r="F198" s="20" t="str">
        <f>IF(A198="","",IF(SUMIF('Trims Control'!$B$5:$B$304,A198,'Trims Control'!$R$5:$R$304)&gt;0,"Shortage",IF(COUNTIFS('Trims Control'!$B$5:$B$304,A198,'Trims Control'!$V$5:$V$304,"Ready")&gt;0,"Ready","Pending")))</f>
        <v/>
      </c>
      <c r="G198" s="20" t="str">
        <f>IF(A198="","",IFERROR(INDEX('PP Sample'!$V$5:$V$304,MATCH(A198,'PP Sample'!$B$5:$B$304,0)),"Pending"))</f>
        <v/>
      </c>
      <c r="H198" s="20" t="str">
        <f>IF(A198="","",IFERROR(INDEX('Production Readiness'!$S$5:$S$304,MATCH(A198,'Production Readiness'!$C$5:$C$304,0)),"Pending"))</f>
        <v/>
      </c>
      <c r="I198" s="20" t="str">
        <f>IF(A198="","",IFERROR(INDEX('Cutting Release'!$P$5:$P$304,MATCH(A198,'Cutting Release'!$C$5:$C$304,0)),"Pending"))</f>
        <v/>
      </c>
      <c r="J198" s="20" t="str">
        <f>IF(A198="","",SUMIF('Cutting Control'!$C$5:$C$304,A198,'Cutting Control'!$K$5:$K$304))</f>
        <v/>
      </c>
      <c r="K198" s="20" t="str">
        <f>IF(A198="","",IFERROR(INDEX('TOP Sample'!$W$5:$W$304,MATCH(A198,'TOP Sample'!$B$5:$B$304,0)),"Pending"))</f>
        <v/>
      </c>
      <c r="L198" s="20" t="str">
        <f>IF(A198="","",SUMIF('Sewing Production'!$E$5:$E$304,A198,'Sewing Production'!$L$5:$L$304))</f>
        <v/>
      </c>
      <c r="M198" s="20" t="str">
        <f>IF(A198="","",IFERROR(INDEX('Inline Quality'!$S$5:$S$304,MATCH(A198,'Inline Quality'!$E$5:$E$304,0)),"Pending"))</f>
        <v/>
      </c>
      <c r="N198" s="20" t="str">
        <f>IF(A198="","",IFERROR(INDEX('Final Inspection'!$U$5:$U$304,MATCH(A198,'Final Inspection'!$C$5:$C$304,0)),"Pending"))</f>
        <v/>
      </c>
      <c r="O198" s="20" t="str">
        <f>IF(A198="","",SUMIF('Packing Control'!$C$5:$C$304,A198,'Packing Control'!$K$5:$K$304))</f>
        <v/>
      </c>
      <c r="P198" s="20" t="str">
        <f>IF(A198="","",SUMIF('Finished Goods'!$C$5:$C$304,A198,'Finished Goods'!$J$5:$J$304))</f>
        <v/>
      </c>
      <c r="Q198" s="20" t="str">
        <f>IF(A198="","",SUMIF('Shipment Control'!$C$5:$C$304,A198,'Shipment Control'!$I$5:$I$304))</f>
        <v/>
      </c>
      <c r="R198" s="20" t="str">
        <f>IF(A198="","",SUMIF('Shipment Control'!$C$5:$C$304,A198,'Shipment Control'!$J$5:$J$304))</f>
        <v/>
      </c>
      <c r="S198" s="20" t="str">
        <f t="shared" si="5"/>
        <v/>
      </c>
      <c r="T198" s="21" t="str">
        <f>IF('FGPO Master'!A192="","",'FGPO Master'!I192)</f>
        <v/>
      </c>
      <c r="U198" s="7" t="str">
        <f>IF(A198="","",IF(COUNTIF('Open Issues'!$D$5:$D$304,A198)&gt;0,"Yellow","Green"))</f>
        <v/>
      </c>
      <c r="V198" s="7" t="str">
        <f>IF('FGPO Master'!A192="","",'FGPO Master'!U192)</f>
        <v/>
      </c>
    </row>
    <row r="199" spans="1:22">
      <c r="A199" s="7" t="str">
        <f>IF('FGPO Master'!A193="","",IF('FGPO Master'!D193="FGPO Pending","FGPO Pending",'FGPO Master'!B193))</f>
        <v/>
      </c>
      <c r="B199" s="7" t="str">
        <f>IF('FGPO Master'!A193="","",'FGPO Master'!F193)</f>
        <v/>
      </c>
      <c r="C199" s="7" t="str">
        <f>IF('FGPO Master'!A193="","",'FGPO Master'!G193)</f>
        <v/>
      </c>
      <c r="D199" s="20" t="str">
        <f>IF('FGPO Master'!A193="","",'FGPO Master'!H193)</f>
        <v/>
      </c>
      <c r="E199" s="20" t="str">
        <f>IF(A199="","",IF(SUMIF('Fabric Inventory'!$C$5:$C$304,A199,'Fabric Inventory'!$O$5:$O$304)&gt;0,"Shortage",IF(SUMIF('Fabric Inventory'!$C$5:$C$304,A199,'Fabric Inventory'!$H$5:$H$304)&gt;0,"Approved","Pending")))</f>
        <v/>
      </c>
      <c r="F199" s="20" t="str">
        <f>IF(A199="","",IF(SUMIF('Trims Control'!$B$5:$B$304,A199,'Trims Control'!$R$5:$R$304)&gt;0,"Shortage",IF(COUNTIFS('Trims Control'!$B$5:$B$304,A199,'Trims Control'!$V$5:$V$304,"Ready")&gt;0,"Ready","Pending")))</f>
        <v/>
      </c>
      <c r="G199" s="20" t="str">
        <f>IF(A199="","",IFERROR(INDEX('PP Sample'!$V$5:$V$304,MATCH(A199,'PP Sample'!$B$5:$B$304,0)),"Pending"))</f>
        <v/>
      </c>
      <c r="H199" s="20" t="str">
        <f>IF(A199="","",IFERROR(INDEX('Production Readiness'!$S$5:$S$304,MATCH(A199,'Production Readiness'!$C$5:$C$304,0)),"Pending"))</f>
        <v/>
      </c>
      <c r="I199" s="20" t="str">
        <f>IF(A199="","",IFERROR(INDEX('Cutting Release'!$P$5:$P$304,MATCH(A199,'Cutting Release'!$C$5:$C$304,0)),"Pending"))</f>
        <v/>
      </c>
      <c r="J199" s="20" t="str">
        <f>IF(A199="","",SUMIF('Cutting Control'!$C$5:$C$304,A199,'Cutting Control'!$K$5:$K$304))</f>
        <v/>
      </c>
      <c r="K199" s="20" t="str">
        <f>IF(A199="","",IFERROR(INDEX('TOP Sample'!$W$5:$W$304,MATCH(A199,'TOP Sample'!$B$5:$B$304,0)),"Pending"))</f>
        <v/>
      </c>
      <c r="L199" s="20" t="str">
        <f>IF(A199="","",SUMIF('Sewing Production'!$E$5:$E$304,A199,'Sewing Production'!$L$5:$L$304))</f>
        <v/>
      </c>
      <c r="M199" s="20" t="str">
        <f>IF(A199="","",IFERROR(INDEX('Inline Quality'!$S$5:$S$304,MATCH(A199,'Inline Quality'!$E$5:$E$304,0)),"Pending"))</f>
        <v/>
      </c>
      <c r="N199" s="20" t="str">
        <f>IF(A199="","",IFERROR(INDEX('Final Inspection'!$U$5:$U$304,MATCH(A199,'Final Inspection'!$C$5:$C$304,0)),"Pending"))</f>
        <v/>
      </c>
      <c r="O199" s="20" t="str">
        <f>IF(A199="","",SUMIF('Packing Control'!$C$5:$C$304,A199,'Packing Control'!$K$5:$K$304))</f>
        <v/>
      </c>
      <c r="P199" s="20" t="str">
        <f>IF(A199="","",SUMIF('Finished Goods'!$C$5:$C$304,A199,'Finished Goods'!$J$5:$J$304))</f>
        <v/>
      </c>
      <c r="Q199" s="20" t="str">
        <f>IF(A199="","",SUMIF('Shipment Control'!$C$5:$C$304,A199,'Shipment Control'!$I$5:$I$304))</f>
        <v/>
      </c>
      <c r="R199" s="20" t="str">
        <f>IF(A199="","",SUMIF('Shipment Control'!$C$5:$C$304,A199,'Shipment Control'!$J$5:$J$304))</f>
        <v/>
      </c>
      <c r="S199" s="20" t="str">
        <f t="shared" si="5"/>
        <v/>
      </c>
      <c r="T199" s="21" t="str">
        <f>IF('FGPO Master'!A193="","",'FGPO Master'!I193)</f>
        <v/>
      </c>
      <c r="U199" s="7" t="str">
        <f>IF(A199="","",IF(COUNTIF('Open Issues'!$D$5:$D$304,A199)&gt;0,"Yellow","Green"))</f>
        <v/>
      </c>
      <c r="V199" s="7" t="str">
        <f>IF('FGPO Master'!A193="","",'FGPO Master'!U193)</f>
        <v/>
      </c>
    </row>
    <row r="200" spans="1:22">
      <c r="A200" s="7" t="str">
        <f>IF('FGPO Master'!A194="","",IF('FGPO Master'!D194="FGPO Pending","FGPO Pending",'FGPO Master'!B194))</f>
        <v/>
      </c>
      <c r="B200" s="7" t="str">
        <f>IF('FGPO Master'!A194="","",'FGPO Master'!F194)</f>
        <v/>
      </c>
      <c r="C200" s="7" t="str">
        <f>IF('FGPO Master'!A194="","",'FGPO Master'!G194)</f>
        <v/>
      </c>
      <c r="D200" s="20" t="str">
        <f>IF('FGPO Master'!A194="","",'FGPO Master'!H194)</f>
        <v/>
      </c>
      <c r="E200" s="20" t="str">
        <f>IF(A200="","",IF(SUMIF('Fabric Inventory'!$C$5:$C$304,A200,'Fabric Inventory'!$O$5:$O$304)&gt;0,"Shortage",IF(SUMIF('Fabric Inventory'!$C$5:$C$304,A200,'Fabric Inventory'!$H$5:$H$304)&gt;0,"Approved","Pending")))</f>
        <v/>
      </c>
      <c r="F200" s="20" t="str">
        <f>IF(A200="","",IF(SUMIF('Trims Control'!$B$5:$B$304,A200,'Trims Control'!$R$5:$R$304)&gt;0,"Shortage",IF(COUNTIFS('Trims Control'!$B$5:$B$304,A200,'Trims Control'!$V$5:$V$304,"Ready")&gt;0,"Ready","Pending")))</f>
        <v/>
      </c>
      <c r="G200" s="20" t="str">
        <f>IF(A200="","",IFERROR(INDEX('PP Sample'!$V$5:$V$304,MATCH(A200,'PP Sample'!$B$5:$B$304,0)),"Pending"))</f>
        <v/>
      </c>
      <c r="H200" s="20" t="str">
        <f>IF(A200="","",IFERROR(INDEX('Production Readiness'!$S$5:$S$304,MATCH(A200,'Production Readiness'!$C$5:$C$304,0)),"Pending"))</f>
        <v/>
      </c>
      <c r="I200" s="20" t="str">
        <f>IF(A200="","",IFERROR(INDEX('Cutting Release'!$P$5:$P$304,MATCH(A200,'Cutting Release'!$C$5:$C$304,0)),"Pending"))</f>
        <v/>
      </c>
      <c r="J200" s="20" t="str">
        <f>IF(A200="","",SUMIF('Cutting Control'!$C$5:$C$304,A200,'Cutting Control'!$K$5:$K$304))</f>
        <v/>
      </c>
      <c r="K200" s="20" t="str">
        <f>IF(A200="","",IFERROR(INDEX('TOP Sample'!$W$5:$W$304,MATCH(A200,'TOP Sample'!$B$5:$B$304,0)),"Pending"))</f>
        <v/>
      </c>
      <c r="L200" s="20" t="str">
        <f>IF(A200="","",SUMIF('Sewing Production'!$E$5:$E$304,A200,'Sewing Production'!$L$5:$L$304))</f>
        <v/>
      </c>
      <c r="M200" s="20" t="str">
        <f>IF(A200="","",IFERROR(INDEX('Inline Quality'!$S$5:$S$304,MATCH(A200,'Inline Quality'!$E$5:$E$304,0)),"Pending"))</f>
        <v/>
      </c>
      <c r="N200" s="20" t="str">
        <f>IF(A200="","",IFERROR(INDEX('Final Inspection'!$U$5:$U$304,MATCH(A200,'Final Inspection'!$C$5:$C$304,0)),"Pending"))</f>
        <v/>
      </c>
      <c r="O200" s="20" t="str">
        <f>IF(A200="","",SUMIF('Packing Control'!$C$5:$C$304,A200,'Packing Control'!$K$5:$K$304))</f>
        <v/>
      </c>
      <c r="P200" s="20" t="str">
        <f>IF(A200="","",SUMIF('Finished Goods'!$C$5:$C$304,A200,'Finished Goods'!$J$5:$J$304))</f>
        <v/>
      </c>
      <c r="Q200" s="20" t="str">
        <f>IF(A200="","",SUMIF('Shipment Control'!$C$5:$C$304,A200,'Shipment Control'!$I$5:$I$304))</f>
        <v/>
      </c>
      <c r="R200" s="20" t="str">
        <f>IF(A200="","",SUMIF('Shipment Control'!$C$5:$C$304,A200,'Shipment Control'!$J$5:$J$304))</f>
        <v/>
      </c>
      <c r="S200" s="20" t="str">
        <f t="shared" si="5"/>
        <v/>
      </c>
      <c r="T200" s="21" t="str">
        <f>IF('FGPO Master'!A194="","",'FGPO Master'!I194)</f>
        <v/>
      </c>
      <c r="U200" s="7" t="str">
        <f>IF(A200="","",IF(COUNTIF('Open Issues'!$D$5:$D$304,A200)&gt;0,"Yellow","Green"))</f>
        <v/>
      </c>
      <c r="V200" s="7" t="str">
        <f>IF('FGPO Master'!A194="","",'FGPO Master'!U194)</f>
        <v/>
      </c>
    </row>
    <row r="201" spans="1:22">
      <c r="A201" s="7" t="str">
        <f>IF('FGPO Master'!A195="","",IF('FGPO Master'!D195="FGPO Pending","FGPO Pending",'FGPO Master'!B195))</f>
        <v/>
      </c>
      <c r="B201" s="7" t="str">
        <f>IF('FGPO Master'!A195="","",'FGPO Master'!F195)</f>
        <v/>
      </c>
      <c r="C201" s="7" t="str">
        <f>IF('FGPO Master'!A195="","",'FGPO Master'!G195)</f>
        <v/>
      </c>
      <c r="D201" s="20" t="str">
        <f>IF('FGPO Master'!A195="","",'FGPO Master'!H195)</f>
        <v/>
      </c>
      <c r="E201" s="20" t="str">
        <f>IF(A201="","",IF(SUMIF('Fabric Inventory'!$C$5:$C$304,A201,'Fabric Inventory'!$O$5:$O$304)&gt;0,"Shortage",IF(SUMIF('Fabric Inventory'!$C$5:$C$304,A201,'Fabric Inventory'!$H$5:$H$304)&gt;0,"Approved","Pending")))</f>
        <v/>
      </c>
      <c r="F201" s="20" t="str">
        <f>IF(A201="","",IF(SUMIF('Trims Control'!$B$5:$B$304,A201,'Trims Control'!$R$5:$R$304)&gt;0,"Shortage",IF(COUNTIFS('Trims Control'!$B$5:$B$304,A201,'Trims Control'!$V$5:$V$304,"Ready")&gt;0,"Ready","Pending")))</f>
        <v/>
      </c>
      <c r="G201" s="20" t="str">
        <f>IF(A201="","",IFERROR(INDEX('PP Sample'!$V$5:$V$304,MATCH(A201,'PP Sample'!$B$5:$B$304,0)),"Pending"))</f>
        <v/>
      </c>
      <c r="H201" s="20" t="str">
        <f>IF(A201="","",IFERROR(INDEX('Production Readiness'!$S$5:$S$304,MATCH(A201,'Production Readiness'!$C$5:$C$304,0)),"Pending"))</f>
        <v/>
      </c>
      <c r="I201" s="20" t="str">
        <f>IF(A201="","",IFERROR(INDEX('Cutting Release'!$P$5:$P$304,MATCH(A201,'Cutting Release'!$C$5:$C$304,0)),"Pending"))</f>
        <v/>
      </c>
      <c r="J201" s="20" t="str">
        <f>IF(A201="","",SUMIF('Cutting Control'!$C$5:$C$304,A201,'Cutting Control'!$K$5:$K$304))</f>
        <v/>
      </c>
      <c r="K201" s="20" t="str">
        <f>IF(A201="","",IFERROR(INDEX('TOP Sample'!$W$5:$W$304,MATCH(A201,'TOP Sample'!$B$5:$B$304,0)),"Pending"))</f>
        <v/>
      </c>
      <c r="L201" s="20" t="str">
        <f>IF(A201="","",SUMIF('Sewing Production'!$E$5:$E$304,A201,'Sewing Production'!$L$5:$L$304))</f>
        <v/>
      </c>
      <c r="M201" s="20" t="str">
        <f>IF(A201="","",IFERROR(INDEX('Inline Quality'!$S$5:$S$304,MATCH(A201,'Inline Quality'!$E$5:$E$304,0)),"Pending"))</f>
        <v/>
      </c>
      <c r="N201" s="20" t="str">
        <f>IF(A201="","",IFERROR(INDEX('Final Inspection'!$U$5:$U$304,MATCH(A201,'Final Inspection'!$C$5:$C$304,0)),"Pending"))</f>
        <v/>
      </c>
      <c r="O201" s="20" t="str">
        <f>IF(A201="","",SUMIF('Packing Control'!$C$5:$C$304,A201,'Packing Control'!$K$5:$K$304))</f>
        <v/>
      </c>
      <c r="P201" s="20" t="str">
        <f>IF(A201="","",SUMIF('Finished Goods'!$C$5:$C$304,A201,'Finished Goods'!$J$5:$J$304))</f>
        <v/>
      </c>
      <c r="Q201" s="20" t="str">
        <f>IF(A201="","",SUMIF('Shipment Control'!$C$5:$C$304,A201,'Shipment Control'!$I$5:$I$304))</f>
        <v/>
      </c>
      <c r="R201" s="20" t="str">
        <f>IF(A201="","",SUMIF('Shipment Control'!$C$5:$C$304,A201,'Shipment Control'!$J$5:$J$304))</f>
        <v/>
      </c>
      <c r="S201" s="20" t="str">
        <f t="shared" si="5"/>
        <v/>
      </c>
      <c r="T201" s="21" t="str">
        <f>IF('FGPO Master'!A195="","",'FGPO Master'!I195)</f>
        <v/>
      </c>
      <c r="U201" s="7" t="str">
        <f>IF(A201="","",IF(COUNTIF('Open Issues'!$D$5:$D$304,A201)&gt;0,"Yellow","Green"))</f>
        <v/>
      </c>
      <c r="V201" s="7" t="str">
        <f>IF('FGPO Master'!A195="","",'FGPO Master'!U195)</f>
        <v/>
      </c>
    </row>
    <row r="202" spans="1:22">
      <c r="A202" s="7" t="str">
        <f>IF('FGPO Master'!A196="","",IF('FGPO Master'!D196="FGPO Pending","FGPO Pending",'FGPO Master'!B196))</f>
        <v/>
      </c>
      <c r="B202" s="7" t="str">
        <f>IF('FGPO Master'!A196="","",'FGPO Master'!F196)</f>
        <v/>
      </c>
      <c r="C202" s="7" t="str">
        <f>IF('FGPO Master'!A196="","",'FGPO Master'!G196)</f>
        <v/>
      </c>
      <c r="D202" s="20" t="str">
        <f>IF('FGPO Master'!A196="","",'FGPO Master'!H196)</f>
        <v/>
      </c>
      <c r="E202" s="20" t="str">
        <f>IF(A202="","",IF(SUMIF('Fabric Inventory'!$C$5:$C$304,A202,'Fabric Inventory'!$O$5:$O$304)&gt;0,"Shortage",IF(SUMIF('Fabric Inventory'!$C$5:$C$304,A202,'Fabric Inventory'!$H$5:$H$304)&gt;0,"Approved","Pending")))</f>
        <v/>
      </c>
      <c r="F202" s="20" t="str">
        <f>IF(A202="","",IF(SUMIF('Trims Control'!$B$5:$B$304,A202,'Trims Control'!$R$5:$R$304)&gt;0,"Shortage",IF(COUNTIFS('Trims Control'!$B$5:$B$304,A202,'Trims Control'!$V$5:$V$304,"Ready")&gt;0,"Ready","Pending")))</f>
        <v/>
      </c>
      <c r="G202" s="20" t="str">
        <f>IF(A202="","",IFERROR(INDEX('PP Sample'!$V$5:$V$304,MATCH(A202,'PP Sample'!$B$5:$B$304,0)),"Pending"))</f>
        <v/>
      </c>
      <c r="H202" s="20" t="str">
        <f>IF(A202="","",IFERROR(INDEX('Production Readiness'!$S$5:$S$304,MATCH(A202,'Production Readiness'!$C$5:$C$304,0)),"Pending"))</f>
        <v/>
      </c>
      <c r="I202" s="20" t="str">
        <f>IF(A202="","",IFERROR(INDEX('Cutting Release'!$P$5:$P$304,MATCH(A202,'Cutting Release'!$C$5:$C$304,0)),"Pending"))</f>
        <v/>
      </c>
      <c r="J202" s="20" t="str">
        <f>IF(A202="","",SUMIF('Cutting Control'!$C$5:$C$304,A202,'Cutting Control'!$K$5:$K$304))</f>
        <v/>
      </c>
      <c r="K202" s="20" t="str">
        <f>IF(A202="","",IFERROR(INDEX('TOP Sample'!$W$5:$W$304,MATCH(A202,'TOP Sample'!$B$5:$B$304,0)),"Pending"))</f>
        <v/>
      </c>
      <c r="L202" s="20" t="str">
        <f>IF(A202="","",SUMIF('Sewing Production'!$E$5:$E$304,A202,'Sewing Production'!$L$5:$L$304))</f>
        <v/>
      </c>
      <c r="M202" s="20" t="str">
        <f>IF(A202="","",IFERROR(INDEX('Inline Quality'!$S$5:$S$304,MATCH(A202,'Inline Quality'!$E$5:$E$304,0)),"Pending"))</f>
        <v/>
      </c>
      <c r="N202" s="20" t="str">
        <f>IF(A202="","",IFERROR(INDEX('Final Inspection'!$U$5:$U$304,MATCH(A202,'Final Inspection'!$C$5:$C$304,0)),"Pending"))</f>
        <v/>
      </c>
      <c r="O202" s="20" t="str">
        <f>IF(A202="","",SUMIF('Packing Control'!$C$5:$C$304,A202,'Packing Control'!$K$5:$K$304))</f>
        <v/>
      </c>
      <c r="P202" s="20" t="str">
        <f>IF(A202="","",SUMIF('Finished Goods'!$C$5:$C$304,A202,'Finished Goods'!$J$5:$J$304))</f>
        <v/>
      </c>
      <c r="Q202" s="20" t="str">
        <f>IF(A202="","",SUMIF('Shipment Control'!$C$5:$C$304,A202,'Shipment Control'!$I$5:$I$304))</f>
        <v/>
      </c>
      <c r="R202" s="20" t="str">
        <f>IF(A202="","",SUMIF('Shipment Control'!$C$5:$C$304,A202,'Shipment Control'!$J$5:$J$304))</f>
        <v/>
      </c>
      <c r="S202" s="20" t="str">
        <f t="shared" si="5"/>
        <v/>
      </c>
      <c r="T202" s="21" t="str">
        <f>IF('FGPO Master'!A196="","",'FGPO Master'!I196)</f>
        <v/>
      </c>
      <c r="U202" s="7" t="str">
        <f>IF(A202="","",IF(COUNTIF('Open Issues'!$D$5:$D$304,A202)&gt;0,"Yellow","Green"))</f>
        <v/>
      </c>
      <c r="V202" s="7" t="str">
        <f>IF('FGPO Master'!A196="","",'FGPO Master'!U196)</f>
        <v/>
      </c>
    </row>
    <row r="203" spans="1:22">
      <c r="A203" s="7" t="str">
        <f>IF('FGPO Master'!A197="","",IF('FGPO Master'!D197="FGPO Pending","FGPO Pending",'FGPO Master'!B197))</f>
        <v/>
      </c>
      <c r="B203" s="7" t="str">
        <f>IF('FGPO Master'!A197="","",'FGPO Master'!F197)</f>
        <v/>
      </c>
      <c r="C203" s="7" t="str">
        <f>IF('FGPO Master'!A197="","",'FGPO Master'!G197)</f>
        <v/>
      </c>
      <c r="D203" s="20" t="str">
        <f>IF('FGPO Master'!A197="","",'FGPO Master'!H197)</f>
        <v/>
      </c>
      <c r="E203" s="20" t="str">
        <f>IF(A203="","",IF(SUMIF('Fabric Inventory'!$C$5:$C$304,A203,'Fabric Inventory'!$O$5:$O$304)&gt;0,"Shortage",IF(SUMIF('Fabric Inventory'!$C$5:$C$304,A203,'Fabric Inventory'!$H$5:$H$304)&gt;0,"Approved","Pending")))</f>
        <v/>
      </c>
      <c r="F203" s="20" t="str">
        <f>IF(A203="","",IF(SUMIF('Trims Control'!$B$5:$B$304,A203,'Trims Control'!$R$5:$R$304)&gt;0,"Shortage",IF(COUNTIFS('Trims Control'!$B$5:$B$304,A203,'Trims Control'!$V$5:$V$304,"Ready")&gt;0,"Ready","Pending")))</f>
        <v/>
      </c>
      <c r="G203" s="20" t="str">
        <f>IF(A203="","",IFERROR(INDEX('PP Sample'!$V$5:$V$304,MATCH(A203,'PP Sample'!$B$5:$B$304,0)),"Pending"))</f>
        <v/>
      </c>
      <c r="H203" s="20" t="str">
        <f>IF(A203="","",IFERROR(INDEX('Production Readiness'!$S$5:$S$304,MATCH(A203,'Production Readiness'!$C$5:$C$304,0)),"Pending"))</f>
        <v/>
      </c>
      <c r="I203" s="20" t="str">
        <f>IF(A203="","",IFERROR(INDEX('Cutting Release'!$P$5:$P$304,MATCH(A203,'Cutting Release'!$C$5:$C$304,0)),"Pending"))</f>
        <v/>
      </c>
      <c r="J203" s="20" t="str">
        <f>IF(A203="","",SUMIF('Cutting Control'!$C$5:$C$304,A203,'Cutting Control'!$K$5:$K$304))</f>
        <v/>
      </c>
      <c r="K203" s="20" t="str">
        <f>IF(A203="","",IFERROR(INDEX('TOP Sample'!$W$5:$W$304,MATCH(A203,'TOP Sample'!$B$5:$B$304,0)),"Pending"))</f>
        <v/>
      </c>
      <c r="L203" s="20" t="str">
        <f>IF(A203="","",SUMIF('Sewing Production'!$E$5:$E$304,A203,'Sewing Production'!$L$5:$L$304))</f>
        <v/>
      </c>
      <c r="M203" s="20" t="str">
        <f>IF(A203="","",IFERROR(INDEX('Inline Quality'!$S$5:$S$304,MATCH(A203,'Inline Quality'!$E$5:$E$304,0)),"Pending"))</f>
        <v/>
      </c>
      <c r="N203" s="20" t="str">
        <f>IF(A203="","",IFERROR(INDEX('Final Inspection'!$U$5:$U$304,MATCH(A203,'Final Inspection'!$C$5:$C$304,0)),"Pending"))</f>
        <v/>
      </c>
      <c r="O203" s="20" t="str">
        <f>IF(A203="","",SUMIF('Packing Control'!$C$5:$C$304,A203,'Packing Control'!$K$5:$K$304))</f>
        <v/>
      </c>
      <c r="P203" s="20" t="str">
        <f>IF(A203="","",SUMIF('Finished Goods'!$C$5:$C$304,A203,'Finished Goods'!$J$5:$J$304))</f>
        <v/>
      </c>
      <c r="Q203" s="20" t="str">
        <f>IF(A203="","",SUMIF('Shipment Control'!$C$5:$C$304,A203,'Shipment Control'!$I$5:$I$304))</f>
        <v/>
      </c>
      <c r="R203" s="20" t="str">
        <f>IF(A203="","",SUMIF('Shipment Control'!$C$5:$C$304,A203,'Shipment Control'!$J$5:$J$304))</f>
        <v/>
      </c>
      <c r="S203" s="20" t="str">
        <f t="shared" ref="S203:S234" si="6">IF(A203="","",Q203+R203-D203)</f>
        <v/>
      </c>
      <c r="T203" s="21" t="str">
        <f>IF('FGPO Master'!A197="","",'FGPO Master'!I197)</f>
        <v/>
      </c>
      <c r="U203" s="7" t="str">
        <f>IF(A203="","",IF(COUNTIF('Open Issues'!$D$5:$D$304,A203)&gt;0,"Yellow","Green"))</f>
        <v/>
      </c>
      <c r="V203" s="7" t="str">
        <f>IF('FGPO Master'!A197="","",'FGPO Master'!U197)</f>
        <v/>
      </c>
    </row>
    <row r="204" spans="1:22">
      <c r="A204" s="7" t="str">
        <f>IF('FGPO Master'!A198="","",IF('FGPO Master'!D198="FGPO Pending","FGPO Pending",'FGPO Master'!B198))</f>
        <v/>
      </c>
      <c r="B204" s="7" t="str">
        <f>IF('FGPO Master'!A198="","",'FGPO Master'!F198)</f>
        <v/>
      </c>
      <c r="C204" s="7" t="str">
        <f>IF('FGPO Master'!A198="","",'FGPO Master'!G198)</f>
        <v/>
      </c>
      <c r="D204" s="20" t="str">
        <f>IF('FGPO Master'!A198="","",'FGPO Master'!H198)</f>
        <v/>
      </c>
      <c r="E204" s="20" t="str">
        <f>IF(A204="","",IF(SUMIF('Fabric Inventory'!$C$5:$C$304,A204,'Fabric Inventory'!$O$5:$O$304)&gt;0,"Shortage",IF(SUMIF('Fabric Inventory'!$C$5:$C$304,A204,'Fabric Inventory'!$H$5:$H$304)&gt;0,"Approved","Pending")))</f>
        <v/>
      </c>
      <c r="F204" s="20" t="str">
        <f>IF(A204="","",IF(SUMIF('Trims Control'!$B$5:$B$304,A204,'Trims Control'!$R$5:$R$304)&gt;0,"Shortage",IF(COUNTIFS('Trims Control'!$B$5:$B$304,A204,'Trims Control'!$V$5:$V$304,"Ready")&gt;0,"Ready","Pending")))</f>
        <v/>
      </c>
      <c r="G204" s="20" t="str">
        <f>IF(A204="","",IFERROR(INDEX('PP Sample'!$V$5:$V$304,MATCH(A204,'PP Sample'!$B$5:$B$304,0)),"Pending"))</f>
        <v/>
      </c>
      <c r="H204" s="20" t="str">
        <f>IF(A204="","",IFERROR(INDEX('Production Readiness'!$S$5:$S$304,MATCH(A204,'Production Readiness'!$C$5:$C$304,0)),"Pending"))</f>
        <v/>
      </c>
      <c r="I204" s="20" t="str">
        <f>IF(A204="","",IFERROR(INDEX('Cutting Release'!$P$5:$P$304,MATCH(A204,'Cutting Release'!$C$5:$C$304,0)),"Pending"))</f>
        <v/>
      </c>
      <c r="J204" s="20" t="str">
        <f>IF(A204="","",SUMIF('Cutting Control'!$C$5:$C$304,A204,'Cutting Control'!$K$5:$K$304))</f>
        <v/>
      </c>
      <c r="K204" s="20" t="str">
        <f>IF(A204="","",IFERROR(INDEX('TOP Sample'!$W$5:$W$304,MATCH(A204,'TOP Sample'!$B$5:$B$304,0)),"Pending"))</f>
        <v/>
      </c>
      <c r="L204" s="20" t="str">
        <f>IF(A204="","",SUMIF('Sewing Production'!$E$5:$E$304,A204,'Sewing Production'!$L$5:$L$304))</f>
        <v/>
      </c>
      <c r="M204" s="20" t="str">
        <f>IF(A204="","",IFERROR(INDEX('Inline Quality'!$S$5:$S$304,MATCH(A204,'Inline Quality'!$E$5:$E$304,0)),"Pending"))</f>
        <v/>
      </c>
      <c r="N204" s="20" t="str">
        <f>IF(A204="","",IFERROR(INDEX('Final Inspection'!$U$5:$U$304,MATCH(A204,'Final Inspection'!$C$5:$C$304,0)),"Pending"))</f>
        <v/>
      </c>
      <c r="O204" s="20" t="str">
        <f>IF(A204="","",SUMIF('Packing Control'!$C$5:$C$304,A204,'Packing Control'!$K$5:$K$304))</f>
        <v/>
      </c>
      <c r="P204" s="20" t="str">
        <f>IF(A204="","",SUMIF('Finished Goods'!$C$5:$C$304,A204,'Finished Goods'!$J$5:$J$304))</f>
        <v/>
      </c>
      <c r="Q204" s="20" t="str">
        <f>IF(A204="","",SUMIF('Shipment Control'!$C$5:$C$304,A204,'Shipment Control'!$I$5:$I$304))</f>
        <v/>
      </c>
      <c r="R204" s="20" t="str">
        <f>IF(A204="","",SUMIF('Shipment Control'!$C$5:$C$304,A204,'Shipment Control'!$J$5:$J$304))</f>
        <v/>
      </c>
      <c r="S204" s="20" t="str">
        <f t="shared" si="6"/>
        <v/>
      </c>
      <c r="T204" s="21" t="str">
        <f>IF('FGPO Master'!A198="","",'FGPO Master'!I198)</f>
        <v/>
      </c>
      <c r="U204" s="7" t="str">
        <f>IF(A204="","",IF(COUNTIF('Open Issues'!$D$5:$D$304,A204)&gt;0,"Yellow","Green"))</f>
        <v/>
      </c>
      <c r="V204" s="7" t="str">
        <f>IF('FGPO Master'!A198="","",'FGPO Master'!U198)</f>
        <v/>
      </c>
    </row>
    <row r="205" spans="1:22">
      <c r="A205" s="7" t="str">
        <f>IF('FGPO Master'!A199="","",IF('FGPO Master'!D199="FGPO Pending","FGPO Pending",'FGPO Master'!B199))</f>
        <v/>
      </c>
      <c r="B205" s="7" t="str">
        <f>IF('FGPO Master'!A199="","",'FGPO Master'!F199)</f>
        <v/>
      </c>
      <c r="C205" s="7" t="str">
        <f>IF('FGPO Master'!A199="","",'FGPO Master'!G199)</f>
        <v/>
      </c>
      <c r="D205" s="20" t="str">
        <f>IF('FGPO Master'!A199="","",'FGPO Master'!H199)</f>
        <v/>
      </c>
      <c r="E205" s="20" t="str">
        <f>IF(A205="","",IF(SUMIF('Fabric Inventory'!$C$5:$C$304,A205,'Fabric Inventory'!$O$5:$O$304)&gt;0,"Shortage",IF(SUMIF('Fabric Inventory'!$C$5:$C$304,A205,'Fabric Inventory'!$H$5:$H$304)&gt;0,"Approved","Pending")))</f>
        <v/>
      </c>
      <c r="F205" s="20" t="str">
        <f>IF(A205="","",IF(SUMIF('Trims Control'!$B$5:$B$304,A205,'Trims Control'!$R$5:$R$304)&gt;0,"Shortage",IF(COUNTIFS('Trims Control'!$B$5:$B$304,A205,'Trims Control'!$V$5:$V$304,"Ready")&gt;0,"Ready","Pending")))</f>
        <v/>
      </c>
      <c r="G205" s="20" t="str">
        <f>IF(A205="","",IFERROR(INDEX('PP Sample'!$V$5:$V$304,MATCH(A205,'PP Sample'!$B$5:$B$304,0)),"Pending"))</f>
        <v/>
      </c>
      <c r="H205" s="20" t="str">
        <f>IF(A205="","",IFERROR(INDEX('Production Readiness'!$S$5:$S$304,MATCH(A205,'Production Readiness'!$C$5:$C$304,0)),"Pending"))</f>
        <v/>
      </c>
      <c r="I205" s="20" t="str">
        <f>IF(A205="","",IFERROR(INDEX('Cutting Release'!$P$5:$P$304,MATCH(A205,'Cutting Release'!$C$5:$C$304,0)),"Pending"))</f>
        <v/>
      </c>
      <c r="J205" s="20" t="str">
        <f>IF(A205="","",SUMIF('Cutting Control'!$C$5:$C$304,A205,'Cutting Control'!$K$5:$K$304))</f>
        <v/>
      </c>
      <c r="K205" s="20" t="str">
        <f>IF(A205="","",IFERROR(INDEX('TOP Sample'!$W$5:$W$304,MATCH(A205,'TOP Sample'!$B$5:$B$304,0)),"Pending"))</f>
        <v/>
      </c>
      <c r="L205" s="20" t="str">
        <f>IF(A205="","",SUMIF('Sewing Production'!$E$5:$E$304,A205,'Sewing Production'!$L$5:$L$304))</f>
        <v/>
      </c>
      <c r="M205" s="20" t="str">
        <f>IF(A205="","",IFERROR(INDEX('Inline Quality'!$S$5:$S$304,MATCH(A205,'Inline Quality'!$E$5:$E$304,0)),"Pending"))</f>
        <v/>
      </c>
      <c r="N205" s="20" t="str">
        <f>IF(A205="","",IFERROR(INDEX('Final Inspection'!$U$5:$U$304,MATCH(A205,'Final Inspection'!$C$5:$C$304,0)),"Pending"))</f>
        <v/>
      </c>
      <c r="O205" s="20" t="str">
        <f>IF(A205="","",SUMIF('Packing Control'!$C$5:$C$304,A205,'Packing Control'!$K$5:$K$304))</f>
        <v/>
      </c>
      <c r="P205" s="20" t="str">
        <f>IF(A205="","",SUMIF('Finished Goods'!$C$5:$C$304,A205,'Finished Goods'!$J$5:$J$304))</f>
        <v/>
      </c>
      <c r="Q205" s="20" t="str">
        <f>IF(A205="","",SUMIF('Shipment Control'!$C$5:$C$304,A205,'Shipment Control'!$I$5:$I$304))</f>
        <v/>
      </c>
      <c r="R205" s="20" t="str">
        <f>IF(A205="","",SUMIF('Shipment Control'!$C$5:$C$304,A205,'Shipment Control'!$J$5:$J$304))</f>
        <v/>
      </c>
      <c r="S205" s="20" t="str">
        <f t="shared" si="6"/>
        <v/>
      </c>
      <c r="T205" s="21" t="str">
        <f>IF('FGPO Master'!A199="","",'FGPO Master'!I199)</f>
        <v/>
      </c>
      <c r="U205" s="7" t="str">
        <f>IF(A205="","",IF(COUNTIF('Open Issues'!$D$5:$D$304,A205)&gt;0,"Yellow","Green"))</f>
        <v/>
      </c>
      <c r="V205" s="7" t="str">
        <f>IF('FGPO Master'!A199="","",'FGPO Master'!U199)</f>
        <v/>
      </c>
    </row>
    <row r="206" spans="1:22">
      <c r="A206" s="7" t="str">
        <f>IF('FGPO Master'!A200="","",IF('FGPO Master'!D200="FGPO Pending","FGPO Pending",'FGPO Master'!B200))</f>
        <v/>
      </c>
      <c r="B206" s="7" t="str">
        <f>IF('FGPO Master'!A200="","",'FGPO Master'!F200)</f>
        <v/>
      </c>
      <c r="C206" s="7" t="str">
        <f>IF('FGPO Master'!A200="","",'FGPO Master'!G200)</f>
        <v/>
      </c>
      <c r="D206" s="20" t="str">
        <f>IF('FGPO Master'!A200="","",'FGPO Master'!H200)</f>
        <v/>
      </c>
      <c r="E206" s="20" t="str">
        <f>IF(A206="","",IF(SUMIF('Fabric Inventory'!$C$5:$C$304,A206,'Fabric Inventory'!$O$5:$O$304)&gt;0,"Shortage",IF(SUMIF('Fabric Inventory'!$C$5:$C$304,A206,'Fabric Inventory'!$H$5:$H$304)&gt;0,"Approved","Pending")))</f>
        <v/>
      </c>
      <c r="F206" s="20" t="str">
        <f>IF(A206="","",IF(SUMIF('Trims Control'!$B$5:$B$304,A206,'Trims Control'!$R$5:$R$304)&gt;0,"Shortage",IF(COUNTIFS('Trims Control'!$B$5:$B$304,A206,'Trims Control'!$V$5:$V$304,"Ready")&gt;0,"Ready","Pending")))</f>
        <v/>
      </c>
      <c r="G206" s="20" t="str">
        <f>IF(A206="","",IFERROR(INDEX('PP Sample'!$V$5:$V$304,MATCH(A206,'PP Sample'!$B$5:$B$304,0)),"Pending"))</f>
        <v/>
      </c>
      <c r="H206" s="20" t="str">
        <f>IF(A206="","",IFERROR(INDEX('Production Readiness'!$S$5:$S$304,MATCH(A206,'Production Readiness'!$C$5:$C$304,0)),"Pending"))</f>
        <v/>
      </c>
      <c r="I206" s="20" t="str">
        <f>IF(A206="","",IFERROR(INDEX('Cutting Release'!$P$5:$P$304,MATCH(A206,'Cutting Release'!$C$5:$C$304,0)),"Pending"))</f>
        <v/>
      </c>
      <c r="J206" s="20" t="str">
        <f>IF(A206="","",SUMIF('Cutting Control'!$C$5:$C$304,A206,'Cutting Control'!$K$5:$K$304))</f>
        <v/>
      </c>
      <c r="K206" s="20" t="str">
        <f>IF(A206="","",IFERROR(INDEX('TOP Sample'!$W$5:$W$304,MATCH(A206,'TOP Sample'!$B$5:$B$304,0)),"Pending"))</f>
        <v/>
      </c>
      <c r="L206" s="20" t="str">
        <f>IF(A206="","",SUMIF('Sewing Production'!$E$5:$E$304,A206,'Sewing Production'!$L$5:$L$304))</f>
        <v/>
      </c>
      <c r="M206" s="20" t="str">
        <f>IF(A206="","",IFERROR(INDEX('Inline Quality'!$S$5:$S$304,MATCH(A206,'Inline Quality'!$E$5:$E$304,0)),"Pending"))</f>
        <v/>
      </c>
      <c r="N206" s="20" t="str">
        <f>IF(A206="","",IFERROR(INDEX('Final Inspection'!$U$5:$U$304,MATCH(A206,'Final Inspection'!$C$5:$C$304,0)),"Pending"))</f>
        <v/>
      </c>
      <c r="O206" s="20" t="str">
        <f>IF(A206="","",SUMIF('Packing Control'!$C$5:$C$304,A206,'Packing Control'!$K$5:$K$304))</f>
        <v/>
      </c>
      <c r="P206" s="20" t="str">
        <f>IF(A206="","",SUMIF('Finished Goods'!$C$5:$C$304,A206,'Finished Goods'!$J$5:$J$304))</f>
        <v/>
      </c>
      <c r="Q206" s="20" t="str">
        <f>IF(A206="","",SUMIF('Shipment Control'!$C$5:$C$304,A206,'Shipment Control'!$I$5:$I$304))</f>
        <v/>
      </c>
      <c r="R206" s="20" t="str">
        <f>IF(A206="","",SUMIF('Shipment Control'!$C$5:$C$304,A206,'Shipment Control'!$J$5:$J$304))</f>
        <v/>
      </c>
      <c r="S206" s="20" t="str">
        <f t="shared" si="6"/>
        <v/>
      </c>
      <c r="T206" s="21" t="str">
        <f>IF('FGPO Master'!A200="","",'FGPO Master'!I200)</f>
        <v/>
      </c>
      <c r="U206" s="7" t="str">
        <f>IF(A206="","",IF(COUNTIF('Open Issues'!$D$5:$D$304,A206)&gt;0,"Yellow","Green"))</f>
        <v/>
      </c>
      <c r="V206" s="7" t="str">
        <f>IF('FGPO Master'!A200="","",'FGPO Master'!U200)</f>
        <v/>
      </c>
    </row>
    <row r="207" spans="1:22">
      <c r="A207" s="7" t="str">
        <f>IF('FGPO Master'!A201="","",IF('FGPO Master'!D201="FGPO Pending","FGPO Pending",'FGPO Master'!B201))</f>
        <v/>
      </c>
      <c r="B207" s="7" t="str">
        <f>IF('FGPO Master'!A201="","",'FGPO Master'!F201)</f>
        <v/>
      </c>
      <c r="C207" s="7" t="str">
        <f>IF('FGPO Master'!A201="","",'FGPO Master'!G201)</f>
        <v/>
      </c>
      <c r="D207" s="20" t="str">
        <f>IF('FGPO Master'!A201="","",'FGPO Master'!H201)</f>
        <v/>
      </c>
      <c r="E207" s="20" t="str">
        <f>IF(A207="","",IF(SUMIF('Fabric Inventory'!$C$5:$C$304,A207,'Fabric Inventory'!$O$5:$O$304)&gt;0,"Shortage",IF(SUMIF('Fabric Inventory'!$C$5:$C$304,A207,'Fabric Inventory'!$H$5:$H$304)&gt;0,"Approved","Pending")))</f>
        <v/>
      </c>
      <c r="F207" s="20" t="str">
        <f>IF(A207="","",IF(SUMIF('Trims Control'!$B$5:$B$304,A207,'Trims Control'!$R$5:$R$304)&gt;0,"Shortage",IF(COUNTIFS('Trims Control'!$B$5:$B$304,A207,'Trims Control'!$V$5:$V$304,"Ready")&gt;0,"Ready","Pending")))</f>
        <v/>
      </c>
      <c r="G207" s="20" t="str">
        <f>IF(A207="","",IFERROR(INDEX('PP Sample'!$V$5:$V$304,MATCH(A207,'PP Sample'!$B$5:$B$304,0)),"Pending"))</f>
        <v/>
      </c>
      <c r="H207" s="20" t="str">
        <f>IF(A207="","",IFERROR(INDEX('Production Readiness'!$S$5:$S$304,MATCH(A207,'Production Readiness'!$C$5:$C$304,0)),"Pending"))</f>
        <v/>
      </c>
      <c r="I207" s="20" t="str">
        <f>IF(A207="","",IFERROR(INDEX('Cutting Release'!$P$5:$P$304,MATCH(A207,'Cutting Release'!$C$5:$C$304,0)),"Pending"))</f>
        <v/>
      </c>
      <c r="J207" s="20" t="str">
        <f>IF(A207="","",SUMIF('Cutting Control'!$C$5:$C$304,A207,'Cutting Control'!$K$5:$K$304))</f>
        <v/>
      </c>
      <c r="K207" s="20" t="str">
        <f>IF(A207="","",IFERROR(INDEX('TOP Sample'!$W$5:$W$304,MATCH(A207,'TOP Sample'!$B$5:$B$304,0)),"Pending"))</f>
        <v/>
      </c>
      <c r="L207" s="20" t="str">
        <f>IF(A207="","",SUMIF('Sewing Production'!$E$5:$E$304,A207,'Sewing Production'!$L$5:$L$304))</f>
        <v/>
      </c>
      <c r="M207" s="20" t="str">
        <f>IF(A207="","",IFERROR(INDEX('Inline Quality'!$S$5:$S$304,MATCH(A207,'Inline Quality'!$E$5:$E$304,0)),"Pending"))</f>
        <v/>
      </c>
      <c r="N207" s="20" t="str">
        <f>IF(A207="","",IFERROR(INDEX('Final Inspection'!$U$5:$U$304,MATCH(A207,'Final Inspection'!$C$5:$C$304,0)),"Pending"))</f>
        <v/>
      </c>
      <c r="O207" s="20" t="str">
        <f>IF(A207="","",SUMIF('Packing Control'!$C$5:$C$304,A207,'Packing Control'!$K$5:$K$304))</f>
        <v/>
      </c>
      <c r="P207" s="20" t="str">
        <f>IF(A207="","",SUMIF('Finished Goods'!$C$5:$C$304,A207,'Finished Goods'!$J$5:$J$304))</f>
        <v/>
      </c>
      <c r="Q207" s="20" t="str">
        <f>IF(A207="","",SUMIF('Shipment Control'!$C$5:$C$304,A207,'Shipment Control'!$I$5:$I$304))</f>
        <v/>
      </c>
      <c r="R207" s="20" t="str">
        <f>IF(A207="","",SUMIF('Shipment Control'!$C$5:$C$304,A207,'Shipment Control'!$J$5:$J$304))</f>
        <v/>
      </c>
      <c r="S207" s="20" t="str">
        <f t="shared" si="6"/>
        <v/>
      </c>
      <c r="T207" s="21" t="str">
        <f>IF('FGPO Master'!A201="","",'FGPO Master'!I201)</f>
        <v/>
      </c>
      <c r="U207" s="7" t="str">
        <f>IF(A207="","",IF(COUNTIF('Open Issues'!$D$5:$D$304,A207)&gt;0,"Yellow","Green"))</f>
        <v/>
      </c>
      <c r="V207" s="7" t="str">
        <f>IF('FGPO Master'!A201="","",'FGPO Master'!U201)</f>
        <v/>
      </c>
    </row>
    <row r="208" spans="1:22">
      <c r="A208" s="7" t="str">
        <f>IF('FGPO Master'!A202="","",IF('FGPO Master'!D202="FGPO Pending","FGPO Pending",'FGPO Master'!B202))</f>
        <v/>
      </c>
      <c r="B208" s="7" t="str">
        <f>IF('FGPO Master'!A202="","",'FGPO Master'!F202)</f>
        <v/>
      </c>
      <c r="C208" s="7" t="str">
        <f>IF('FGPO Master'!A202="","",'FGPO Master'!G202)</f>
        <v/>
      </c>
      <c r="D208" s="20" t="str">
        <f>IF('FGPO Master'!A202="","",'FGPO Master'!H202)</f>
        <v/>
      </c>
      <c r="E208" s="20" t="str">
        <f>IF(A208="","",IF(SUMIF('Fabric Inventory'!$C$5:$C$304,A208,'Fabric Inventory'!$O$5:$O$304)&gt;0,"Shortage",IF(SUMIF('Fabric Inventory'!$C$5:$C$304,A208,'Fabric Inventory'!$H$5:$H$304)&gt;0,"Approved","Pending")))</f>
        <v/>
      </c>
      <c r="F208" s="20" t="str">
        <f>IF(A208="","",IF(SUMIF('Trims Control'!$B$5:$B$304,A208,'Trims Control'!$R$5:$R$304)&gt;0,"Shortage",IF(COUNTIFS('Trims Control'!$B$5:$B$304,A208,'Trims Control'!$V$5:$V$304,"Ready")&gt;0,"Ready","Pending")))</f>
        <v/>
      </c>
      <c r="G208" s="20" t="str">
        <f>IF(A208="","",IFERROR(INDEX('PP Sample'!$V$5:$V$304,MATCH(A208,'PP Sample'!$B$5:$B$304,0)),"Pending"))</f>
        <v/>
      </c>
      <c r="H208" s="20" t="str">
        <f>IF(A208="","",IFERROR(INDEX('Production Readiness'!$S$5:$S$304,MATCH(A208,'Production Readiness'!$C$5:$C$304,0)),"Pending"))</f>
        <v/>
      </c>
      <c r="I208" s="20" t="str">
        <f>IF(A208="","",IFERROR(INDEX('Cutting Release'!$P$5:$P$304,MATCH(A208,'Cutting Release'!$C$5:$C$304,0)),"Pending"))</f>
        <v/>
      </c>
      <c r="J208" s="20" t="str">
        <f>IF(A208="","",SUMIF('Cutting Control'!$C$5:$C$304,A208,'Cutting Control'!$K$5:$K$304))</f>
        <v/>
      </c>
      <c r="K208" s="20" t="str">
        <f>IF(A208="","",IFERROR(INDEX('TOP Sample'!$W$5:$W$304,MATCH(A208,'TOP Sample'!$B$5:$B$304,0)),"Pending"))</f>
        <v/>
      </c>
      <c r="L208" s="20" t="str">
        <f>IF(A208="","",SUMIF('Sewing Production'!$E$5:$E$304,A208,'Sewing Production'!$L$5:$L$304))</f>
        <v/>
      </c>
      <c r="M208" s="20" t="str">
        <f>IF(A208="","",IFERROR(INDEX('Inline Quality'!$S$5:$S$304,MATCH(A208,'Inline Quality'!$E$5:$E$304,0)),"Pending"))</f>
        <v/>
      </c>
      <c r="N208" s="20" t="str">
        <f>IF(A208="","",IFERROR(INDEX('Final Inspection'!$U$5:$U$304,MATCH(A208,'Final Inspection'!$C$5:$C$304,0)),"Pending"))</f>
        <v/>
      </c>
      <c r="O208" s="20" t="str">
        <f>IF(A208="","",SUMIF('Packing Control'!$C$5:$C$304,A208,'Packing Control'!$K$5:$K$304))</f>
        <v/>
      </c>
      <c r="P208" s="20" t="str">
        <f>IF(A208="","",SUMIF('Finished Goods'!$C$5:$C$304,A208,'Finished Goods'!$J$5:$J$304))</f>
        <v/>
      </c>
      <c r="Q208" s="20" t="str">
        <f>IF(A208="","",SUMIF('Shipment Control'!$C$5:$C$304,A208,'Shipment Control'!$I$5:$I$304))</f>
        <v/>
      </c>
      <c r="R208" s="20" t="str">
        <f>IF(A208="","",SUMIF('Shipment Control'!$C$5:$C$304,A208,'Shipment Control'!$J$5:$J$304))</f>
        <v/>
      </c>
      <c r="S208" s="20" t="str">
        <f t="shared" si="6"/>
        <v/>
      </c>
      <c r="T208" s="21" t="str">
        <f>IF('FGPO Master'!A202="","",'FGPO Master'!I202)</f>
        <v/>
      </c>
      <c r="U208" s="7" t="str">
        <f>IF(A208="","",IF(COUNTIF('Open Issues'!$D$5:$D$304,A208)&gt;0,"Yellow","Green"))</f>
        <v/>
      </c>
      <c r="V208" s="7" t="str">
        <f>IF('FGPO Master'!A202="","",'FGPO Master'!U202)</f>
        <v/>
      </c>
    </row>
    <row r="209" spans="1:22">
      <c r="A209" s="7" t="str">
        <f>IF('FGPO Master'!A203="","",IF('FGPO Master'!D203="FGPO Pending","FGPO Pending",'FGPO Master'!B203))</f>
        <v/>
      </c>
      <c r="B209" s="7" t="str">
        <f>IF('FGPO Master'!A203="","",'FGPO Master'!F203)</f>
        <v/>
      </c>
      <c r="C209" s="7" t="str">
        <f>IF('FGPO Master'!A203="","",'FGPO Master'!G203)</f>
        <v/>
      </c>
      <c r="D209" s="20" t="str">
        <f>IF('FGPO Master'!A203="","",'FGPO Master'!H203)</f>
        <v/>
      </c>
      <c r="E209" s="20" t="str">
        <f>IF(A209="","",IF(SUMIF('Fabric Inventory'!$C$5:$C$304,A209,'Fabric Inventory'!$O$5:$O$304)&gt;0,"Shortage",IF(SUMIF('Fabric Inventory'!$C$5:$C$304,A209,'Fabric Inventory'!$H$5:$H$304)&gt;0,"Approved","Pending")))</f>
        <v/>
      </c>
      <c r="F209" s="20" t="str">
        <f>IF(A209="","",IF(SUMIF('Trims Control'!$B$5:$B$304,A209,'Trims Control'!$R$5:$R$304)&gt;0,"Shortage",IF(COUNTIFS('Trims Control'!$B$5:$B$304,A209,'Trims Control'!$V$5:$V$304,"Ready")&gt;0,"Ready","Pending")))</f>
        <v/>
      </c>
      <c r="G209" s="20" t="str">
        <f>IF(A209="","",IFERROR(INDEX('PP Sample'!$V$5:$V$304,MATCH(A209,'PP Sample'!$B$5:$B$304,0)),"Pending"))</f>
        <v/>
      </c>
      <c r="H209" s="20" t="str">
        <f>IF(A209="","",IFERROR(INDEX('Production Readiness'!$S$5:$S$304,MATCH(A209,'Production Readiness'!$C$5:$C$304,0)),"Pending"))</f>
        <v/>
      </c>
      <c r="I209" s="20" t="str">
        <f>IF(A209="","",IFERROR(INDEX('Cutting Release'!$P$5:$P$304,MATCH(A209,'Cutting Release'!$C$5:$C$304,0)),"Pending"))</f>
        <v/>
      </c>
      <c r="J209" s="20" t="str">
        <f>IF(A209="","",SUMIF('Cutting Control'!$C$5:$C$304,A209,'Cutting Control'!$K$5:$K$304))</f>
        <v/>
      </c>
      <c r="K209" s="20" t="str">
        <f>IF(A209="","",IFERROR(INDEX('TOP Sample'!$W$5:$W$304,MATCH(A209,'TOP Sample'!$B$5:$B$304,0)),"Pending"))</f>
        <v/>
      </c>
      <c r="L209" s="20" t="str">
        <f>IF(A209="","",SUMIF('Sewing Production'!$E$5:$E$304,A209,'Sewing Production'!$L$5:$L$304))</f>
        <v/>
      </c>
      <c r="M209" s="20" t="str">
        <f>IF(A209="","",IFERROR(INDEX('Inline Quality'!$S$5:$S$304,MATCH(A209,'Inline Quality'!$E$5:$E$304,0)),"Pending"))</f>
        <v/>
      </c>
      <c r="N209" s="20" t="str">
        <f>IF(A209="","",IFERROR(INDEX('Final Inspection'!$U$5:$U$304,MATCH(A209,'Final Inspection'!$C$5:$C$304,0)),"Pending"))</f>
        <v/>
      </c>
      <c r="O209" s="20" t="str">
        <f>IF(A209="","",SUMIF('Packing Control'!$C$5:$C$304,A209,'Packing Control'!$K$5:$K$304))</f>
        <v/>
      </c>
      <c r="P209" s="20" t="str">
        <f>IF(A209="","",SUMIF('Finished Goods'!$C$5:$C$304,A209,'Finished Goods'!$J$5:$J$304))</f>
        <v/>
      </c>
      <c r="Q209" s="20" t="str">
        <f>IF(A209="","",SUMIF('Shipment Control'!$C$5:$C$304,A209,'Shipment Control'!$I$5:$I$304))</f>
        <v/>
      </c>
      <c r="R209" s="20" t="str">
        <f>IF(A209="","",SUMIF('Shipment Control'!$C$5:$C$304,A209,'Shipment Control'!$J$5:$J$304))</f>
        <v/>
      </c>
      <c r="S209" s="20" t="str">
        <f t="shared" si="6"/>
        <v/>
      </c>
      <c r="T209" s="21" t="str">
        <f>IF('FGPO Master'!A203="","",'FGPO Master'!I203)</f>
        <v/>
      </c>
      <c r="U209" s="7" t="str">
        <f>IF(A209="","",IF(COUNTIF('Open Issues'!$D$5:$D$304,A209)&gt;0,"Yellow","Green"))</f>
        <v/>
      </c>
      <c r="V209" s="7" t="str">
        <f>IF('FGPO Master'!A203="","",'FGPO Master'!U203)</f>
        <v/>
      </c>
    </row>
    <row r="210" spans="1:22">
      <c r="A210" s="7" t="str">
        <f>IF('FGPO Master'!A204="","",IF('FGPO Master'!D204="FGPO Pending","FGPO Pending",'FGPO Master'!B204))</f>
        <v/>
      </c>
      <c r="B210" s="7" t="str">
        <f>IF('FGPO Master'!A204="","",'FGPO Master'!F204)</f>
        <v/>
      </c>
      <c r="C210" s="7" t="str">
        <f>IF('FGPO Master'!A204="","",'FGPO Master'!G204)</f>
        <v/>
      </c>
      <c r="D210" s="20" t="str">
        <f>IF('FGPO Master'!A204="","",'FGPO Master'!H204)</f>
        <v/>
      </c>
      <c r="E210" s="20" t="str">
        <f>IF(A210="","",IF(SUMIF('Fabric Inventory'!$C$5:$C$304,A210,'Fabric Inventory'!$O$5:$O$304)&gt;0,"Shortage",IF(SUMIF('Fabric Inventory'!$C$5:$C$304,A210,'Fabric Inventory'!$H$5:$H$304)&gt;0,"Approved","Pending")))</f>
        <v/>
      </c>
      <c r="F210" s="20" t="str">
        <f>IF(A210="","",IF(SUMIF('Trims Control'!$B$5:$B$304,A210,'Trims Control'!$R$5:$R$304)&gt;0,"Shortage",IF(COUNTIFS('Trims Control'!$B$5:$B$304,A210,'Trims Control'!$V$5:$V$304,"Ready")&gt;0,"Ready","Pending")))</f>
        <v/>
      </c>
      <c r="G210" s="20" t="str">
        <f>IF(A210="","",IFERROR(INDEX('PP Sample'!$V$5:$V$304,MATCH(A210,'PP Sample'!$B$5:$B$304,0)),"Pending"))</f>
        <v/>
      </c>
      <c r="H210" s="20" t="str">
        <f>IF(A210="","",IFERROR(INDEX('Production Readiness'!$S$5:$S$304,MATCH(A210,'Production Readiness'!$C$5:$C$304,0)),"Pending"))</f>
        <v/>
      </c>
      <c r="I210" s="20" t="str">
        <f>IF(A210="","",IFERROR(INDEX('Cutting Release'!$P$5:$P$304,MATCH(A210,'Cutting Release'!$C$5:$C$304,0)),"Pending"))</f>
        <v/>
      </c>
      <c r="J210" s="20" t="str">
        <f>IF(A210="","",SUMIF('Cutting Control'!$C$5:$C$304,A210,'Cutting Control'!$K$5:$K$304))</f>
        <v/>
      </c>
      <c r="K210" s="20" t="str">
        <f>IF(A210="","",IFERROR(INDEX('TOP Sample'!$W$5:$W$304,MATCH(A210,'TOP Sample'!$B$5:$B$304,0)),"Pending"))</f>
        <v/>
      </c>
      <c r="L210" s="20" t="str">
        <f>IF(A210="","",SUMIF('Sewing Production'!$E$5:$E$304,A210,'Sewing Production'!$L$5:$L$304))</f>
        <v/>
      </c>
      <c r="M210" s="20" t="str">
        <f>IF(A210="","",IFERROR(INDEX('Inline Quality'!$S$5:$S$304,MATCH(A210,'Inline Quality'!$E$5:$E$304,0)),"Pending"))</f>
        <v/>
      </c>
      <c r="N210" s="20" t="str">
        <f>IF(A210="","",IFERROR(INDEX('Final Inspection'!$U$5:$U$304,MATCH(A210,'Final Inspection'!$C$5:$C$304,0)),"Pending"))</f>
        <v/>
      </c>
      <c r="O210" s="20" t="str">
        <f>IF(A210="","",SUMIF('Packing Control'!$C$5:$C$304,A210,'Packing Control'!$K$5:$K$304))</f>
        <v/>
      </c>
      <c r="P210" s="20" t="str">
        <f>IF(A210="","",SUMIF('Finished Goods'!$C$5:$C$304,A210,'Finished Goods'!$J$5:$J$304))</f>
        <v/>
      </c>
      <c r="Q210" s="20" t="str">
        <f>IF(A210="","",SUMIF('Shipment Control'!$C$5:$C$304,A210,'Shipment Control'!$I$5:$I$304))</f>
        <v/>
      </c>
      <c r="R210" s="20" t="str">
        <f>IF(A210="","",SUMIF('Shipment Control'!$C$5:$C$304,A210,'Shipment Control'!$J$5:$J$304))</f>
        <v/>
      </c>
      <c r="S210" s="20" t="str">
        <f t="shared" si="6"/>
        <v/>
      </c>
      <c r="T210" s="21" t="str">
        <f>IF('FGPO Master'!A204="","",'FGPO Master'!I204)</f>
        <v/>
      </c>
      <c r="U210" s="7" t="str">
        <f>IF(A210="","",IF(COUNTIF('Open Issues'!$D$5:$D$304,A210)&gt;0,"Yellow","Green"))</f>
        <v/>
      </c>
      <c r="V210" s="7" t="str">
        <f>IF('FGPO Master'!A204="","",'FGPO Master'!U204)</f>
        <v/>
      </c>
    </row>
  </sheetData>
  <mergeCells count="16">
    <mergeCell ref="A1:V1"/>
    <mergeCell ref="A2:V2"/>
    <mergeCell ref="A4:C4"/>
    <mergeCell ref="A5:C7"/>
    <mergeCell ref="D4:F4"/>
    <mergeCell ref="D5:F7"/>
    <mergeCell ref="G4:I4"/>
    <mergeCell ref="G5:I7"/>
    <mergeCell ref="J4:L4"/>
    <mergeCell ref="J5:L7"/>
    <mergeCell ref="M4:O4"/>
    <mergeCell ref="M5:O7"/>
    <mergeCell ref="P4:R4"/>
    <mergeCell ref="P5:R7"/>
    <mergeCell ref="S4:V4"/>
    <mergeCell ref="S5:V7"/>
  </mergeCells>
  <conditionalFormatting sqref="E11:N210">
    <cfRule type="containsText" dxfId="133" priority="1" operator="containsText" text="Approved"/>
    <cfRule type="containsText" dxfId="132" priority="4" operator="containsText" text="Failed"/>
    <cfRule type="containsText" dxfId="131" priority="7" operator="containsText" text="On Hold"/>
  </conditionalFormatting>
  <conditionalFormatting sqref="U11:U210">
    <cfRule type="containsText" dxfId="130" priority="9" operator="containsText" text="Green"/>
    <cfRule type="containsText" dxfId="129" priority="10" operator="containsText" text="Yellow"/>
    <cfRule type="containsText" dxfId="128" priority="11" operator="containsText" text="Red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4"/>
  <sheetViews>
    <sheetView showGridLines="0" workbookViewId="0">
      <selection sqref="A1:W1"/>
    </sheetView>
  </sheetViews>
  <sheetFormatPr baseColWidth="10" defaultColWidth="8.83203125" defaultRowHeight="14"/>
  <cols>
    <col min="1" max="1" width="16" customWidth="1"/>
    <col min="2" max="3" width="15" customWidth="1"/>
    <col min="4" max="5" width="13" customWidth="1"/>
    <col min="6" max="6" width="14" customWidth="1"/>
    <col min="7" max="7" width="17" customWidth="1"/>
    <col min="8" max="8" width="16" customWidth="1"/>
    <col min="9" max="10" width="15" customWidth="1"/>
    <col min="11" max="11" width="14" customWidth="1"/>
    <col min="12" max="12" width="16" customWidth="1"/>
    <col min="13" max="13" width="15" customWidth="1"/>
    <col min="14" max="14" width="16" customWidth="1"/>
    <col min="15" max="15" width="17" customWidth="1"/>
    <col min="16" max="18" width="14" customWidth="1"/>
    <col min="19" max="19" width="16" customWidth="1"/>
    <col min="20" max="20" width="13" customWidth="1"/>
    <col min="21" max="21" width="17" customWidth="1"/>
    <col min="22" max="23" width="14" customWidth="1"/>
  </cols>
  <sheetData>
    <row r="1" spans="1:23" ht="34" customHeight="1">
      <c r="A1" s="22" t="s">
        <v>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2" customHeight="1">
      <c r="A2" s="23" t="s">
        <v>65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ht="15">
      <c r="A4" s="24" t="s">
        <v>66</v>
      </c>
      <c r="B4" s="24"/>
      <c r="C4" s="24"/>
      <c r="D4" s="24"/>
      <c r="E4" s="24" t="s">
        <v>67</v>
      </c>
      <c r="F4" s="24"/>
      <c r="G4" s="24"/>
      <c r="H4" s="24"/>
      <c r="I4" s="24" t="s">
        <v>68</v>
      </c>
      <c r="J4" s="24"/>
      <c r="K4" s="24"/>
      <c r="L4" s="24"/>
      <c r="M4" s="24" t="s">
        <v>69</v>
      </c>
      <c r="N4" s="24"/>
      <c r="O4" s="24"/>
      <c r="P4" s="24"/>
      <c r="Q4" s="24" t="s">
        <v>70</v>
      </c>
      <c r="R4" s="24"/>
      <c r="S4" s="24"/>
      <c r="T4" s="24"/>
      <c r="U4" s="24" t="s">
        <v>71</v>
      </c>
      <c r="V4" s="24"/>
      <c r="W4" s="24"/>
    </row>
    <row r="5" spans="1:23">
      <c r="A5" s="34">
        <f>COUNTA('FGPO Master'!B5:B304)</f>
        <v>0</v>
      </c>
      <c r="B5" s="35"/>
      <c r="C5" s="35"/>
      <c r="D5" s="36"/>
      <c r="E5" s="34">
        <f>SUM('FGPO Master'!H5:H304)</f>
        <v>0</v>
      </c>
      <c r="F5" s="43"/>
      <c r="G5" s="43"/>
      <c r="H5" s="44"/>
      <c r="I5" s="49">
        <f>SUM('Fabric Shipment'!R5:R304)</f>
        <v>0</v>
      </c>
      <c r="J5" s="43"/>
      <c r="K5" s="35"/>
      <c r="L5" s="44"/>
      <c r="M5" s="49">
        <f>SUM('Fabric Receiving'!H5:H304)</f>
        <v>0</v>
      </c>
      <c r="N5" s="43"/>
      <c r="O5" s="43"/>
      <c r="P5" s="36"/>
      <c r="Q5" s="34">
        <f>SUM('Fabric Inventory'!H5:H304)</f>
        <v>0</v>
      </c>
      <c r="R5" s="35"/>
      <c r="S5" s="43"/>
      <c r="T5" s="44"/>
      <c r="U5" s="49">
        <f>SUM('Fabric Inventory'!O5:O304)</f>
        <v>0</v>
      </c>
      <c r="V5" s="43"/>
      <c r="W5" s="44"/>
    </row>
    <row r="6" spans="1:23">
      <c r="A6" s="37"/>
      <c r="B6" s="38"/>
      <c r="C6" s="38"/>
      <c r="D6" s="39"/>
      <c r="E6" s="37"/>
      <c r="F6" s="45"/>
      <c r="G6" s="45"/>
      <c r="H6" s="46"/>
      <c r="I6" s="50"/>
      <c r="J6" s="45"/>
      <c r="K6" s="38"/>
      <c r="L6" s="46"/>
      <c r="M6" s="50"/>
      <c r="N6" s="45"/>
      <c r="O6" s="45"/>
      <c r="P6" s="39"/>
      <c r="Q6" s="37"/>
      <c r="R6" s="38"/>
      <c r="S6" s="45"/>
      <c r="T6" s="46"/>
      <c r="U6" s="50"/>
      <c r="V6" s="45"/>
      <c r="W6" s="46"/>
    </row>
    <row r="7" spans="1:23">
      <c r="A7" s="40"/>
      <c r="B7" s="41"/>
      <c r="C7" s="41"/>
      <c r="D7" s="42"/>
      <c r="E7" s="40"/>
      <c r="F7" s="47"/>
      <c r="G7" s="47"/>
      <c r="H7" s="48"/>
      <c r="I7" s="51"/>
      <c r="J7" s="47"/>
      <c r="K7" s="41"/>
      <c r="L7" s="48"/>
      <c r="M7" s="51"/>
      <c r="N7" s="47"/>
      <c r="O7" s="47"/>
      <c r="P7" s="42"/>
      <c r="Q7" s="40"/>
      <c r="R7" s="41"/>
      <c r="S7" s="47"/>
      <c r="T7" s="48"/>
      <c r="U7" s="51"/>
      <c r="V7" s="47"/>
      <c r="W7" s="48"/>
    </row>
    <row r="8" spans="1:23">
      <c r="F8" s="17"/>
      <c r="G8" s="17"/>
      <c r="H8" s="17"/>
      <c r="I8" s="17"/>
      <c r="J8" s="17"/>
      <c r="L8" s="17"/>
      <c r="M8" s="17"/>
      <c r="N8" s="17"/>
      <c r="O8" s="17"/>
      <c r="S8" s="17"/>
      <c r="T8" s="17"/>
      <c r="U8" s="17"/>
      <c r="V8" s="17"/>
      <c r="W8" s="17"/>
    </row>
    <row r="9" spans="1:23">
      <c r="F9" s="17"/>
      <c r="G9" s="17"/>
      <c r="H9" s="17"/>
      <c r="I9" s="17"/>
      <c r="J9" s="17"/>
      <c r="L9" s="17"/>
      <c r="M9" s="17"/>
      <c r="N9" s="17"/>
      <c r="O9" s="17"/>
      <c r="S9" s="17"/>
      <c r="T9" s="17"/>
      <c r="U9" s="17"/>
      <c r="V9" s="17"/>
      <c r="W9" s="17"/>
    </row>
    <row r="10" spans="1:23" ht="42" customHeight="1">
      <c r="A10" s="5" t="s">
        <v>72</v>
      </c>
      <c r="B10" s="5" t="s">
        <v>44</v>
      </c>
      <c r="C10" s="5" t="s">
        <v>73</v>
      </c>
      <c r="D10" s="5" t="s">
        <v>45</v>
      </c>
      <c r="E10" s="5" t="s">
        <v>46</v>
      </c>
      <c r="F10" s="18" t="s">
        <v>47</v>
      </c>
      <c r="G10" s="18" t="s">
        <v>23</v>
      </c>
      <c r="H10" s="18" t="s">
        <v>74</v>
      </c>
      <c r="I10" s="18" t="s">
        <v>75</v>
      </c>
      <c r="J10" s="18" t="s">
        <v>76</v>
      </c>
      <c r="K10" s="5" t="s">
        <v>77</v>
      </c>
      <c r="L10" s="18" t="s">
        <v>78</v>
      </c>
      <c r="M10" s="18" t="s">
        <v>68</v>
      </c>
      <c r="N10" s="18" t="s">
        <v>79</v>
      </c>
      <c r="O10" s="18" t="s">
        <v>25</v>
      </c>
      <c r="P10" s="5" t="s">
        <v>80</v>
      </c>
      <c r="Q10" s="5" t="s">
        <v>81</v>
      </c>
      <c r="R10" s="5" t="s">
        <v>82</v>
      </c>
      <c r="S10" s="18" t="s">
        <v>70</v>
      </c>
      <c r="T10" s="18" t="s">
        <v>83</v>
      </c>
      <c r="U10" s="18" t="s">
        <v>84</v>
      </c>
      <c r="V10" s="18" t="s">
        <v>85</v>
      </c>
      <c r="W10" s="18" t="s">
        <v>86</v>
      </c>
    </row>
    <row r="11" spans="1:23">
      <c r="A11" s="7" t="str">
        <f>IF('FGPO Master'!A5="","",'FGPO Master'!E5)</f>
        <v/>
      </c>
      <c r="B11" s="7" t="str">
        <f>IF('FGPO Master'!A5="","",IF('FGPO Master'!D5="FGPO Pending","FGPO Pending",'FGPO Master'!B5))</f>
        <v/>
      </c>
      <c r="C11" s="7" t="str">
        <f>IF('FGPO Master'!A5="","",'FGPO Master'!D5)</f>
        <v/>
      </c>
      <c r="D11" s="7" t="str">
        <f>IF('FGPO Master'!A5="","",'FGPO Master'!F5)</f>
        <v/>
      </c>
      <c r="E11" s="7" t="str">
        <f>IF('FGPO Master'!A5="","",'FGPO Master'!G5)</f>
        <v/>
      </c>
      <c r="F11" s="19" t="str">
        <f>IF('FGPO Master'!A5="","",'FGPO Master'!H5)</f>
        <v/>
      </c>
      <c r="G11" s="19" t="str">
        <f>IF('FGPO Master'!A5="","",'FGPO Master'!M5)</f>
        <v/>
      </c>
      <c r="H11" s="19" t="str">
        <f>IF(B11="","",SUMIF('Fabric Requirement'!$B$5:$B$304,B11,'Fabric Requirement'!$M$5:$M$304)+SUMIF('Fabric Requirement'!$B$5:$B$304,B11,'Fabric Requirement'!$O$5:$O$304))</f>
        <v/>
      </c>
      <c r="I11" s="19" t="str">
        <f>IF(B11="","",SUMIF('Fabric PO'!$B$5:$B$304,B11,'Fabric PO'!$H$5:$H$304))</f>
        <v/>
      </c>
      <c r="J11" s="19" t="str">
        <f>IF(B11="","",SUMIF('Mill Production'!$C$5:$C$304,B11,'Mill Production'!$I$5:$I$304))</f>
        <v/>
      </c>
      <c r="K11" s="7" t="str">
        <f>IF(B11="","",IF(COUNTIF('Mill Test'!$C$5:$C$304,B11)=0,"Pending",IF(COUNTIFS('Mill Test'!$C$5:$C$304,B11,'Mill Test'!$T$5:$T$304,"Failed")&gt;0,"Failed","Passed")))</f>
        <v/>
      </c>
      <c r="L11" s="19" t="str">
        <f>IF(B11="","",SUMIF('Fabric Shipment'!$C$5:$C$304,B11,'Fabric Shipment'!$G$5:$G$304))</f>
        <v/>
      </c>
      <c r="M11" s="19" t="str">
        <f>IF(B11="","",SUMIF('Fabric Shipment'!$C$5:$C$304,B11,'Fabric Shipment'!$R$5:$R$304))</f>
        <v/>
      </c>
      <c r="N11" s="19" t="str">
        <f>IF(B11="","",SUMIF('Fabric Receiving'!$E$5:$E$304,B11,'Fabric Receiving'!$H$5:$H$304))</f>
        <v/>
      </c>
      <c r="O11" s="19" t="str">
        <f>IF(B11="","",SUMIF('Fabric Receiving'!$E$5:$E$304,B11,'Fabric Receiving'!$I$5:$I$304))</f>
        <v/>
      </c>
      <c r="P11" s="7" t="str">
        <f>IF(B11="","",IF(COUNTIF('Four-Point'!$E$5:$E$304,B11)=0,"Pending",IF(COUNTIFS('Four-Point'!$E$5:$E$304,B11,'Four-Point'!$T$5:$T$304,"Failed")&gt;0,"Failed","Passed")))</f>
        <v/>
      </c>
      <c r="Q11" s="7" t="str">
        <f>IF(B11="","",IF(COUNTIF('Internal Test'!$D$5:$D$304,B11)=0,"Pending",IF(COUNTIFS('Internal Test'!$D$5:$D$304,B11,'Internal Test'!$AA$5:$AA$304,"Failed")&gt;0,"Failed","Passed")))</f>
        <v/>
      </c>
      <c r="R11" s="7" t="str">
        <f>IF(B11="","",IF(COUNTIF('Shade Match'!$C$5:$C$304,B11)=0,"Pending",IF(COUNTIFS('Shade Match'!$C$5:$C$304,B11,'Shade Match'!$Q$5:$Q$304,"Failed")&gt;0,"Failed","Approved")))</f>
        <v/>
      </c>
      <c r="S11" s="19" t="str">
        <f>IF(B11="","",SUMIF('Fabric Inventory'!$C$5:$C$304,B11,'Fabric Inventory'!$H$5:$H$304))</f>
        <v/>
      </c>
      <c r="T11" s="19" t="str">
        <f>IF(B11="","",SUMIF('Fabric Inventory'!$C$5:$C$304,B11,'Fabric Inventory'!$K$5:$K$304))</f>
        <v/>
      </c>
      <c r="U11" s="19" t="str">
        <f>IF(B11="","",SUMIF('Fabric Inventory'!$C$5:$C$304,B11,'Fabric Inventory'!$L$5:$L$304))</f>
        <v/>
      </c>
      <c r="V11" s="19" t="str">
        <f>IF(B11="","",SUMIF('Fabric Inventory'!$C$5:$C$304,B11,'Fabric Inventory'!$N$5:$N$304))</f>
        <v/>
      </c>
      <c r="W11" s="19" t="str">
        <f>IF(B11="","",SUMIF('Fabric Inventory'!$C$5:$C$304,B11,'Fabric Inventory'!$O$5:$O$304))</f>
        <v/>
      </c>
    </row>
    <row r="12" spans="1:23">
      <c r="A12" s="7" t="str">
        <f>IF('FGPO Master'!A6="","",'FGPO Master'!E6)</f>
        <v/>
      </c>
      <c r="B12" s="7" t="str">
        <f>IF('FGPO Master'!A6="","",IF('FGPO Master'!D6="FGPO Pending","FGPO Pending",'FGPO Master'!B6))</f>
        <v/>
      </c>
      <c r="C12" s="7" t="str">
        <f>IF('FGPO Master'!A6="","",'FGPO Master'!D6)</f>
        <v/>
      </c>
      <c r="D12" s="7" t="str">
        <f>IF('FGPO Master'!A6="","",'FGPO Master'!F6)</f>
        <v/>
      </c>
      <c r="E12" s="7" t="str">
        <f>IF('FGPO Master'!A6="","",'FGPO Master'!G6)</f>
        <v/>
      </c>
      <c r="F12" s="19" t="str">
        <f>IF('FGPO Master'!A6="","",'FGPO Master'!H6)</f>
        <v/>
      </c>
      <c r="G12" s="19" t="str">
        <f>IF('FGPO Master'!A6="","",'FGPO Master'!M6)</f>
        <v/>
      </c>
      <c r="H12" s="19" t="str">
        <f>IF(B12="","",SUMIF('Fabric Requirement'!$B$5:$B$304,B12,'Fabric Requirement'!$M$5:$M$304)+SUMIF('Fabric Requirement'!$B$5:$B$304,B12,'Fabric Requirement'!$O$5:$O$304))</f>
        <v/>
      </c>
      <c r="I12" s="19" t="str">
        <f>IF(B12="","",SUMIF('Fabric PO'!$B$5:$B$304,B12,'Fabric PO'!$H$5:$H$304))</f>
        <v/>
      </c>
      <c r="J12" s="19" t="str">
        <f>IF(B12="","",SUMIF('Mill Production'!$C$5:$C$304,B12,'Mill Production'!$I$5:$I$304))</f>
        <v/>
      </c>
      <c r="K12" s="7" t="str">
        <f>IF(B12="","",IF(COUNTIF('Mill Test'!$C$5:$C$304,B12)=0,"Pending",IF(COUNTIFS('Mill Test'!$C$5:$C$304,B12,'Mill Test'!$T$5:$T$304,"Failed")&gt;0,"Failed","Passed")))</f>
        <v/>
      </c>
      <c r="L12" s="19" t="str">
        <f>IF(B12="","",SUMIF('Fabric Shipment'!$C$5:$C$304,B12,'Fabric Shipment'!$G$5:$G$304))</f>
        <v/>
      </c>
      <c r="M12" s="19" t="str">
        <f>IF(B12="","",SUMIF('Fabric Shipment'!$C$5:$C$304,B12,'Fabric Shipment'!$R$5:$R$304))</f>
        <v/>
      </c>
      <c r="N12" s="19" t="str">
        <f>IF(B12="","",SUMIF('Fabric Receiving'!$E$5:$E$304,B12,'Fabric Receiving'!$H$5:$H$304))</f>
        <v/>
      </c>
      <c r="O12" s="19" t="str">
        <f>IF(B12="","",SUMIF('Fabric Receiving'!$E$5:$E$304,B12,'Fabric Receiving'!$I$5:$I$304))</f>
        <v/>
      </c>
      <c r="P12" s="7" t="str">
        <f>IF(B12="","",IF(COUNTIF('Four-Point'!$E$5:$E$304,B12)=0,"Pending",IF(COUNTIFS('Four-Point'!$E$5:$E$304,B12,'Four-Point'!$T$5:$T$304,"Failed")&gt;0,"Failed","Passed")))</f>
        <v/>
      </c>
      <c r="Q12" s="7" t="str">
        <f>IF(B12="","",IF(COUNTIF('Internal Test'!$D$5:$D$304,B12)=0,"Pending",IF(COUNTIFS('Internal Test'!$D$5:$D$304,B12,'Internal Test'!$AA$5:$AA$304,"Failed")&gt;0,"Failed","Passed")))</f>
        <v/>
      </c>
      <c r="R12" s="7" t="str">
        <f>IF(B12="","",IF(COUNTIF('Shade Match'!$C$5:$C$304,B12)=0,"Pending",IF(COUNTIFS('Shade Match'!$C$5:$C$304,B12,'Shade Match'!$Q$5:$Q$304,"Failed")&gt;0,"Failed","Approved")))</f>
        <v/>
      </c>
      <c r="S12" s="19" t="str">
        <f>IF(B12="","",SUMIF('Fabric Inventory'!$C$5:$C$304,B12,'Fabric Inventory'!$H$5:$H$304))</f>
        <v/>
      </c>
      <c r="T12" s="19" t="str">
        <f>IF(B12="","",SUMIF('Fabric Inventory'!$C$5:$C$304,B12,'Fabric Inventory'!$K$5:$K$304))</f>
        <v/>
      </c>
      <c r="U12" s="19" t="str">
        <f>IF(B12="","",SUMIF('Fabric Inventory'!$C$5:$C$304,B12,'Fabric Inventory'!$L$5:$L$304))</f>
        <v/>
      </c>
      <c r="V12" s="19" t="str">
        <f>IF(B12="","",SUMIF('Fabric Inventory'!$C$5:$C$304,B12,'Fabric Inventory'!$N$5:$N$304))</f>
        <v/>
      </c>
      <c r="W12" s="19" t="str">
        <f>IF(B12="","",SUMIF('Fabric Inventory'!$C$5:$C$304,B12,'Fabric Inventory'!$O$5:$O$304))</f>
        <v/>
      </c>
    </row>
    <row r="13" spans="1:23">
      <c r="A13" s="7" t="str">
        <f>IF('FGPO Master'!A7="","",'FGPO Master'!E7)</f>
        <v/>
      </c>
      <c r="B13" s="7" t="str">
        <f>IF('FGPO Master'!A7="","",IF('FGPO Master'!D7="FGPO Pending","FGPO Pending",'FGPO Master'!B7))</f>
        <v/>
      </c>
      <c r="C13" s="7" t="str">
        <f>IF('FGPO Master'!A7="","",'FGPO Master'!D7)</f>
        <v/>
      </c>
      <c r="D13" s="7" t="str">
        <f>IF('FGPO Master'!A7="","",'FGPO Master'!F7)</f>
        <v/>
      </c>
      <c r="E13" s="7" t="str">
        <f>IF('FGPO Master'!A7="","",'FGPO Master'!G7)</f>
        <v/>
      </c>
      <c r="F13" s="19" t="str">
        <f>IF('FGPO Master'!A7="","",'FGPO Master'!H7)</f>
        <v/>
      </c>
      <c r="G13" s="19" t="str">
        <f>IF('FGPO Master'!A7="","",'FGPO Master'!M7)</f>
        <v/>
      </c>
      <c r="H13" s="19" t="str">
        <f>IF(B13="","",SUMIF('Fabric Requirement'!$B$5:$B$304,B13,'Fabric Requirement'!$M$5:$M$304)+SUMIF('Fabric Requirement'!$B$5:$B$304,B13,'Fabric Requirement'!$O$5:$O$304))</f>
        <v/>
      </c>
      <c r="I13" s="19" t="str">
        <f>IF(B13="","",SUMIF('Fabric PO'!$B$5:$B$304,B13,'Fabric PO'!$H$5:$H$304))</f>
        <v/>
      </c>
      <c r="J13" s="19" t="str">
        <f>IF(B13="","",SUMIF('Mill Production'!$C$5:$C$304,B13,'Mill Production'!$I$5:$I$304))</f>
        <v/>
      </c>
      <c r="K13" s="7" t="str">
        <f>IF(B13="","",IF(COUNTIF('Mill Test'!$C$5:$C$304,B13)=0,"Pending",IF(COUNTIFS('Mill Test'!$C$5:$C$304,B13,'Mill Test'!$T$5:$T$304,"Failed")&gt;0,"Failed","Passed")))</f>
        <v/>
      </c>
      <c r="L13" s="19" t="str">
        <f>IF(B13="","",SUMIF('Fabric Shipment'!$C$5:$C$304,B13,'Fabric Shipment'!$G$5:$G$304))</f>
        <v/>
      </c>
      <c r="M13" s="19" t="str">
        <f>IF(B13="","",SUMIF('Fabric Shipment'!$C$5:$C$304,B13,'Fabric Shipment'!$R$5:$R$304))</f>
        <v/>
      </c>
      <c r="N13" s="19" t="str">
        <f>IF(B13="","",SUMIF('Fabric Receiving'!$E$5:$E$304,B13,'Fabric Receiving'!$H$5:$H$304))</f>
        <v/>
      </c>
      <c r="O13" s="19" t="str">
        <f>IF(B13="","",SUMIF('Fabric Receiving'!$E$5:$E$304,B13,'Fabric Receiving'!$I$5:$I$304))</f>
        <v/>
      </c>
      <c r="P13" s="7" t="str">
        <f>IF(B13="","",IF(COUNTIF('Four-Point'!$E$5:$E$304,B13)=0,"Pending",IF(COUNTIFS('Four-Point'!$E$5:$E$304,B13,'Four-Point'!$T$5:$T$304,"Failed")&gt;0,"Failed","Passed")))</f>
        <v/>
      </c>
      <c r="Q13" s="7" t="str">
        <f>IF(B13="","",IF(COUNTIF('Internal Test'!$D$5:$D$304,B13)=0,"Pending",IF(COUNTIFS('Internal Test'!$D$5:$D$304,B13,'Internal Test'!$AA$5:$AA$304,"Failed")&gt;0,"Failed","Passed")))</f>
        <v/>
      </c>
      <c r="R13" s="7" t="str">
        <f>IF(B13="","",IF(COUNTIF('Shade Match'!$C$5:$C$304,B13)=0,"Pending",IF(COUNTIFS('Shade Match'!$C$5:$C$304,B13,'Shade Match'!$Q$5:$Q$304,"Failed")&gt;0,"Failed","Approved")))</f>
        <v/>
      </c>
      <c r="S13" s="19" t="str">
        <f>IF(B13="","",SUMIF('Fabric Inventory'!$C$5:$C$304,B13,'Fabric Inventory'!$H$5:$H$304))</f>
        <v/>
      </c>
      <c r="T13" s="19" t="str">
        <f>IF(B13="","",SUMIF('Fabric Inventory'!$C$5:$C$304,B13,'Fabric Inventory'!$K$5:$K$304))</f>
        <v/>
      </c>
      <c r="U13" s="19" t="str">
        <f>IF(B13="","",SUMIF('Fabric Inventory'!$C$5:$C$304,B13,'Fabric Inventory'!$L$5:$L$304))</f>
        <v/>
      </c>
      <c r="V13" s="19" t="str">
        <f>IF(B13="","",SUMIF('Fabric Inventory'!$C$5:$C$304,B13,'Fabric Inventory'!$N$5:$N$304))</f>
        <v/>
      </c>
      <c r="W13" s="19" t="str">
        <f>IF(B13="","",SUMIF('Fabric Inventory'!$C$5:$C$304,B13,'Fabric Inventory'!$O$5:$O$304))</f>
        <v/>
      </c>
    </row>
    <row r="14" spans="1:23">
      <c r="A14" s="7" t="str">
        <f>IF('FGPO Master'!A8="","",'FGPO Master'!E8)</f>
        <v/>
      </c>
      <c r="B14" s="7" t="str">
        <f>IF('FGPO Master'!A8="","",IF('FGPO Master'!D8="FGPO Pending","FGPO Pending",'FGPO Master'!B8))</f>
        <v/>
      </c>
      <c r="C14" s="7" t="str">
        <f>IF('FGPO Master'!A8="","",'FGPO Master'!D8)</f>
        <v/>
      </c>
      <c r="D14" s="7" t="str">
        <f>IF('FGPO Master'!A8="","",'FGPO Master'!F8)</f>
        <v/>
      </c>
      <c r="E14" s="7" t="str">
        <f>IF('FGPO Master'!A8="","",'FGPO Master'!G8)</f>
        <v/>
      </c>
      <c r="F14" s="19" t="str">
        <f>IF('FGPO Master'!A8="","",'FGPO Master'!H8)</f>
        <v/>
      </c>
      <c r="G14" s="19" t="str">
        <f>IF('FGPO Master'!A8="","",'FGPO Master'!M8)</f>
        <v/>
      </c>
      <c r="H14" s="19" t="str">
        <f>IF(B14="","",SUMIF('Fabric Requirement'!$B$5:$B$304,B14,'Fabric Requirement'!$M$5:$M$304)+SUMIF('Fabric Requirement'!$B$5:$B$304,B14,'Fabric Requirement'!$O$5:$O$304))</f>
        <v/>
      </c>
      <c r="I14" s="19" t="str">
        <f>IF(B14="","",SUMIF('Fabric PO'!$B$5:$B$304,B14,'Fabric PO'!$H$5:$H$304))</f>
        <v/>
      </c>
      <c r="J14" s="19" t="str">
        <f>IF(B14="","",SUMIF('Mill Production'!$C$5:$C$304,B14,'Mill Production'!$I$5:$I$304))</f>
        <v/>
      </c>
      <c r="K14" s="7" t="str">
        <f>IF(B14="","",IF(COUNTIF('Mill Test'!$C$5:$C$304,B14)=0,"Pending",IF(COUNTIFS('Mill Test'!$C$5:$C$304,B14,'Mill Test'!$T$5:$T$304,"Failed")&gt;0,"Failed","Passed")))</f>
        <v/>
      </c>
      <c r="L14" s="19" t="str">
        <f>IF(B14="","",SUMIF('Fabric Shipment'!$C$5:$C$304,B14,'Fabric Shipment'!$G$5:$G$304))</f>
        <v/>
      </c>
      <c r="M14" s="19" t="str">
        <f>IF(B14="","",SUMIF('Fabric Shipment'!$C$5:$C$304,B14,'Fabric Shipment'!$R$5:$R$304))</f>
        <v/>
      </c>
      <c r="N14" s="19" t="str">
        <f>IF(B14="","",SUMIF('Fabric Receiving'!$E$5:$E$304,B14,'Fabric Receiving'!$H$5:$H$304))</f>
        <v/>
      </c>
      <c r="O14" s="19" t="str">
        <f>IF(B14="","",SUMIF('Fabric Receiving'!$E$5:$E$304,B14,'Fabric Receiving'!$I$5:$I$304))</f>
        <v/>
      </c>
      <c r="P14" s="7" t="str">
        <f>IF(B14="","",IF(COUNTIF('Four-Point'!$E$5:$E$304,B14)=0,"Pending",IF(COUNTIFS('Four-Point'!$E$5:$E$304,B14,'Four-Point'!$T$5:$T$304,"Failed")&gt;0,"Failed","Passed")))</f>
        <v/>
      </c>
      <c r="Q14" s="7" t="str">
        <f>IF(B14="","",IF(COUNTIF('Internal Test'!$D$5:$D$304,B14)=0,"Pending",IF(COUNTIFS('Internal Test'!$D$5:$D$304,B14,'Internal Test'!$AA$5:$AA$304,"Failed")&gt;0,"Failed","Passed")))</f>
        <v/>
      </c>
      <c r="R14" s="7" t="str">
        <f>IF(B14="","",IF(COUNTIF('Shade Match'!$C$5:$C$304,B14)=0,"Pending",IF(COUNTIFS('Shade Match'!$C$5:$C$304,B14,'Shade Match'!$Q$5:$Q$304,"Failed")&gt;0,"Failed","Approved")))</f>
        <v/>
      </c>
      <c r="S14" s="19" t="str">
        <f>IF(B14="","",SUMIF('Fabric Inventory'!$C$5:$C$304,B14,'Fabric Inventory'!$H$5:$H$304))</f>
        <v/>
      </c>
      <c r="T14" s="19" t="str">
        <f>IF(B14="","",SUMIF('Fabric Inventory'!$C$5:$C$304,B14,'Fabric Inventory'!$K$5:$K$304))</f>
        <v/>
      </c>
      <c r="U14" s="19" t="str">
        <f>IF(B14="","",SUMIF('Fabric Inventory'!$C$5:$C$304,B14,'Fabric Inventory'!$L$5:$L$304))</f>
        <v/>
      </c>
      <c r="V14" s="19" t="str">
        <f>IF(B14="","",SUMIF('Fabric Inventory'!$C$5:$C$304,B14,'Fabric Inventory'!$N$5:$N$304))</f>
        <v/>
      </c>
      <c r="W14" s="19" t="str">
        <f>IF(B14="","",SUMIF('Fabric Inventory'!$C$5:$C$304,B14,'Fabric Inventory'!$O$5:$O$304))</f>
        <v/>
      </c>
    </row>
    <row r="15" spans="1:23">
      <c r="A15" s="7" t="str">
        <f>IF('FGPO Master'!A9="","",'FGPO Master'!E9)</f>
        <v/>
      </c>
      <c r="B15" s="7" t="str">
        <f>IF('FGPO Master'!A9="","",IF('FGPO Master'!D9="FGPO Pending","FGPO Pending",'FGPO Master'!B9))</f>
        <v/>
      </c>
      <c r="C15" s="7" t="str">
        <f>IF('FGPO Master'!A9="","",'FGPO Master'!D9)</f>
        <v/>
      </c>
      <c r="D15" s="7" t="str">
        <f>IF('FGPO Master'!A9="","",'FGPO Master'!F9)</f>
        <v/>
      </c>
      <c r="E15" s="7" t="str">
        <f>IF('FGPO Master'!A9="","",'FGPO Master'!G9)</f>
        <v/>
      </c>
      <c r="F15" s="19" t="str">
        <f>IF('FGPO Master'!A9="","",'FGPO Master'!H9)</f>
        <v/>
      </c>
      <c r="G15" s="19" t="str">
        <f>IF('FGPO Master'!A9="","",'FGPO Master'!M9)</f>
        <v/>
      </c>
      <c r="H15" s="19" t="str">
        <f>IF(B15="","",SUMIF('Fabric Requirement'!$B$5:$B$304,B15,'Fabric Requirement'!$M$5:$M$304)+SUMIF('Fabric Requirement'!$B$5:$B$304,B15,'Fabric Requirement'!$O$5:$O$304))</f>
        <v/>
      </c>
      <c r="I15" s="19" t="str">
        <f>IF(B15="","",SUMIF('Fabric PO'!$B$5:$B$304,B15,'Fabric PO'!$H$5:$H$304))</f>
        <v/>
      </c>
      <c r="J15" s="19" t="str">
        <f>IF(B15="","",SUMIF('Mill Production'!$C$5:$C$304,B15,'Mill Production'!$I$5:$I$304))</f>
        <v/>
      </c>
      <c r="K15" s="7" t="str">
        <f>IF(B15="","",IF(COUNTIF('Mill Test'!$C$5:$C$304,B15)=0,"Pending",IF(COUNTIFS('Mill Test'!$C$5:$C$304,B15,'Mill Test'!$T$5:$T$304,"Failed")&gt;0,"Failed","Passed")))</f>
        <v/>
      </c>
      <c r="L15" s="19" t="str">
        <f>IF(B15="","",SUMIF('Fabric Shipment'!$C$5:$C$304,B15,'Fabric Shipment'!$G$5:$G$304))</f>
        <v/>
      </c>
      <c r="M15" s="19" t="str">
        <f>IF(B15="","",SUMIF('Fabric Shipment'!$C$5:$C$304,B15,'Fabric Shipment'!$R$5:$R$304))</f>
        <v/>
      </c>
      <c r="N15" s="19" t="str">
        <f>IF(B15="","",SUMIF('Fabric Receiving'!$E$5:$E$304,B15,'Fabric Receiving'!$H$5:$H$304))</f>
        <v/>
      </c>
      <c r="O15" s="19" t="str">
        <f>IF(B15="","",SUMIF('Fabric Receiving'!$E$5:$E$304,B15,'Fabric Receiving'!$I$5:$I$304))</f>
        <v/>
      </c>
      <c r="P15" s="7" t="str">
        <f>IF(B15="","",IF(COUNTIF('Four-Point'!$E$5:$E$304,B15)=0,"Pending",IF(COUNTIFS('Four-Point'!$E$5:$E$304,B15,'Four-Point'!$T$5:$T$304,"Failed")&gt;0,"Failed","Passed")))</f>
        <v/>
      </c>
      <c r="Q15" s="7" t="str">
        <f>IF(B15="","",IF(COUNTIF('Internal Test'!$D$5:$D$304,B15)=0,"Pending",IF(COUNTIFS('Internal Test'!$D$5:$D$304,B15,'Internal Test'!$AA$5:$AA$304,"Failed")&gt;0,"Failed","Passed")))</f>
        <v/>
      </c>
      <c r="R15" s="7" t="str">
        <f>IF(B15="","",IF(COUNTIF('Shade Match'!$C$5:$C$304,B15)=0,"Pending",IF(COUNTIFS('Shade Match'!$C$5:$C$304,B15,'Shade Match'!$Q$5:$Q$304,"Failed")&gt;0,"Failed","Approved")))</f>
        <v/>
      </c>
      <c r="S15" s="19" t="str">
        <f>IF(B15="","",SUMIF('Fabric Inventory'!$C$5:$C$304,B15,'Fabric Inventory'!$H$5:$H$304))</f>
        <v/>
      </c>
      <c r="T15" s="19" t="str">
        <f>IF(B15="","",SUMIF('Fabric Inventory'!$C$5:$C$304,B15,'Fabric Inventory'!$K$5:$K$304))</f>
        <v/>
      </c>
      <c r="U15" s="19" t="str">
        <f>IF(B15="","",SUMIF('Fabric Inventory'!$C$5:$C$304,B15,'Fabric Inventory'!$L$5:$L$304))</f>
        <v/>
      </c>
      <c r="V15" s="19" t="str">
        <f>IF(B15="","",SUMIF('Fabric Inventory'!$C$5:$C$304,B15,'Fabric Inventory'!$N$5:$N$304))</f>
        <v/>
      </c>
      <c r="W15" s="19" t="str">
        <f>IF(B15="","",SUMIF('Fabric Inventory'!$C$5:$C$304,B15,'Fabric Inventory'!$O$5:$O$304))</f>
        <v/>
      </c>
    </row>
    <row r="16" spans="1:23">
      <c r="A16" s="7" t="str">
        <f>IF('FGPO Master'!A10="","",'FGPO Master'!E10)</f>
        <v/>
      </c>
      <c r="B16" s="7" t="str">
        <f>IF('FGPO Master'!A10="","",IF('FGPO Master'!D10="FGPO Pending","FGPO Pending",'FGPO Master'!B10))</f>
        <v/>
      </c>
      <c r="C16" s="7" t="str">
        <f>IF('FGPO Master'!A10="","",'FGPO Master'!D10)</f>
        <v/>
      </c>
      <c r="D16" s="7" t="str">
        <f>IF('FGPO Master'!A10="","",'FGPO Master'!F10)</f>
        <v/>
      </c>
      <c r="E16" s="7" t="str">
        <f>IF('FGPO Master'!A10="","",'FGPO Master'!G10)</f>
        <v/>
      </c>
      <c r="F16" s="19" t="str">
        <f>IF('FGPO Master'!A10="","",'FGPO Master'!H10)</f>
        <v/>
      </c>
      <c r="G16" s="19" t="str">
        <f>IF('FGPO Master'!A10="","",'FGPO Master'!M10)</f>
        <v/>
      </c>
      <c r="H16" s="19" t="str">
        <f>IF(B16="","",SUMIF('Fabric Requirement'!$B$5:$B$304,B16,'Fabric Requirement'!$M$5:$M$304)+SUMIF('Fabric Requirement'!$B$5:$B$304,B16,'Fabric Requirement'!$O$5:$O$304))</f>
        <v/>
      </c>
      <c r="I16" s="19" t="str">
        <f>IF(B16="","",SUMIF('Fabric PO'!$B$5:$B$304,B16,'Fabric PO'!$H$5:$H$304))</f>
        <v/>
      </c>
      <c r="J16" s="19" t="str">
        <f>IF(B16="","",SUMIF('Mill Production'!$C$5:$C$304,B16,'Mill Production'!$I$5:$I$304))</f>
        <v/>
      </c>
      <c r="K16" s="7" t="str">
        <f>IF(B16="","",IF(COUNTIF('Mill Test'!$C$5:$C$304,B16)=0,"Pending",IF(COUNTIFS('Mill Test'!$C$5:$C$304,B16,'Mill Test'!$T$5:$T$304,"Failed")&gt;0,"Failed","Passed")))</f>
        <v/>
      </c>
      <c r="L16" s="19" t="str">
        <f>IF(B16="","",SUMIF('Fabric Shipment'!$C$5:$C$304,B16,'Fabric Shipment'!$G$5:$G$304))</f>
        <v/>
      </c>
      <c r="M16" s="19" t="str">
        <f>IF(B16="","",SUMIF('Fabric Shipment'!$C$5:$C$304,B16,'Fabric Shipment'!$R$5:$R$304))</f>
        <v/>
      </c>
      <c r="N16" s="19" t="str">
        <f>IF(B16="","",SUMIF('Fabric Receiving'!$E$5:$E$304,B16,'Fabric Receiving'!$H$5:$H$304))</f>
        <v/>
      </c>
      <c r="O16" s="19" t="str">
        <f>IF(B16="","",SUMIF('Fabric Receiving'!$E$5:$E$304,B16,'Fabric Receiving'!$I$5:$I$304))</f>
        <v/>
      </c>
      <c r="P16" s="7" t="str">
        <f>IF(B16="","",IF(COUNTIF('Four-Point'!$E$5:$E$304,B16)=0,"Pending",IF(COUNTIFS('Four-Point'!$E$5:$E$304,B16,'Four-Point'!$T$5:$T$304,"Failed")&gt;0,"Failed","Passed")))</f>
        <v/>
      </c>
      <c r="Q16" s="7" t="str">
        <f>IF(B16="","",IF(COUNTIF('Internal Test'!$D$5:$D$304,B16)=0,"Pending",IF(COUNTIFS('Internal Test'!$D$5:$D$304,B16,'Internal Test'!$AA$5:$AA$304,"Failed")&gt;0,"Failed","Passed")))</f>
        <v/>
      </c>
      <c r="R16" s="7" t="str">
        <f>IF(B16="","",IF(COUNTIF('Shade Match'!$C$5:$C$304,B16)=0,"Pending",IF(COUNTIFS('Shade Match'!$C$5:$C$304,B16,'Shade Match'!$Q$5:$Q$304,"Failed")&gt;0,"Failed","Approved")))</f>
        <v/>
      </c>
      <c r="S16" s="19" t="str">
        <f>IF(B16="","",SUMIF('Fabric Inventory'!$C$5:$C$304,B16,'Fabric Inventory'!$H$5:$H$304))</f>
        <v/>
      </c>
      <c r="T16" s="19" t="str">
        <f>IF(B16="","",SUMIF('Fabric Inventory'!$C$5:$C$304,B16,'Fabric Inventory'!$K$5:$K$304))</f>
        <v/>
      </c>
      <c r="U16" s="19" t="str">
        <f>IF(B16="","",SUMIF('Fabric Inventory'!$C$5:$C$304,B16,'Fabric Inventory'!$L$5:$L$304))</f>
        <v/>
      </c>
      <c r="V16" s="19" t="str">
        <f>IF(B16="","",SUMIF('Fabric Inventory'!$C$5:$C$304,B16,'Fabric Inventory'!$N$5:$N$304))</f>
        <v/>
      </c>
      <c r="W16" s="19" t="str">
        <f>IF(B16="","",SUMIF('Fabric Inventory'!$C$5:$C$304,B16,'Fabric Inventory'!$O$5:$O$304))</f>
        <v/>
      </c>
    </row>
    <row r="17" spans="1:23">
      <c r="A17" s="7" t="str">
        <f>IF('FGPO Master'!A11="","",'FGPO Master'!E11)</f>
        <v/>
      </c>
      <c r="B17" s="7" t="str">
        <f>IF('FGPO Master'!A11="","",IF('FGPO Master'!D11="FGPO Pending","FGPO Pending",'FGPO Master'!B11))</f>
        <v/>
      </c>
      <c r="C17" s="7" t="str">
        <f>IF('FGPO Master'!A11="","",'FGPO Master'!D11)</f>
        <v/>
      </c>
      <c r="D17" s="7" t="str">
        <f>IF('FGPO Master'!A11="","",'FGPO Master'!F11)</f>
        <v/>
      </c>
      <c r="E17" s="7" t="str">
        <f>IF('FGPO Master'!A11="","",'FGPO Master'!G11)</f>
        <v/>
      </c>
      <c r="F17" s="19" t="str">
        <f>IF('FGPO Master'!A11="","",'FGPO Master'!H11)</f>
        <v/>
      </c>
      <c r="G17" s="19" t="str">
        <f>IF('FGPO Master'!A11="","",'FGPO Master'!M11)</f>
        <v/>
      </c>
      <c r="H17" s="19" t="str">
        <f>IF(B17="","",SUMIF('Fabric Requirement'!$B$5:$B$304,B17,'Fabric Requirement'!$M$5:$M$304)+SUMIF('Fabric Requirement'!$B$5:$B$304,B17,'Fabric Requirement'!$O$5:$O$304))</f>
        <v/>
      </c>
      <c r="I17" s="19" t="str">
        <f>IF(B17="","",SUMIF('Fabric PO'!$B$5:$B$304,B17,'Fabric PO'!$H$5:$H$304))</f>
        <v/>
      </c>
      <c r="J17" s="19" t="str">
        <f>IF(B17="","",SUMIF('Mill Production'!$C$5:$C$304,B17,'Mill Production'!$I$5:$I$304))</f>
        <v/>
      </c>
      <c r="K17" s="7" t="str">
        <f>IF(B17="","",IF(COUNTIF('Mill Test'!$C$5:$C$304,B17)=0,"Pending",IF(COUNTIFS('Mill Test'!$C$5:$C$304,B17,'Mill Test'!$T$5:$T$304,"Failed")&gt;0,"Failed","Passed")))</f>
        <v/>
      </c>
      <c r="L17" s="19" t="str">
        <f>IF(B17="","",SUMIF('Fabric Shipment'!$C$5:$C$304,B17,'Fabric Shipment'!$G$5:$G$304))</f>
        <v/>
      </c>
      <c r="M17" s="19" t="str">
        <f>IF(B17="","",SUMIF('Fabric Shipment'!$C$5:$C$304,B17,'Fabric Shipment'!$R$5:$R$304))</f>
        <v/>
      </c>
      <c r="N17" s="19" t="str">
        <f>IF(B17="","",SUMIF('Fabric Receiving'!$E$5:$E$304,B17,'Fabric Receiving'!$H$5:$H$304))</f>
        <v/>
      </c>
      <c r="O17" s="19" t="str">
        <f>IF(B17="","",SUMIF('Fabric Receiving'!$E$5:$E$304,B17,'Fabric Receiving'!$I$5:$I$304))</f>
        <v/>
      </c>
      <c r="P17" s="7" t="str">
        <f>IF(B17="","",IF(COUNTIF('Four-Point'!$E$5:$E$304,B17)=0,"Pending",IF(COUNTIFS('Four-Point'!$E$5:$E$304,B17,'Four-Point'!$T$5:$T$304,"Failed")&gt;0,"Failed","Passed")))</f>
        <v/>
      </c>
      <c r="Q17" s="7" t="str">
        <f>IF(B17="","",IF(COUNTIF('Internal Test'!$D$5:$D$304,B17)=0,"Pending",IF(COUNTIFS('Internal Test'!$D$5:$D$304,B17,'Internal Test'!$AA$5:$AA$304,"Failed")&gt;0,"Failed","Passed")))</f>
        <v/>
      </c>
      <c r="R17" s="7" t="str">
        <f>IF(B17="","",IF(COUNTIF('Shade Match'!$C$5:$C$304,B17)=0,"Pending",IF(COUNTIFS('Shade Match'!$C$5:$C$304,B17,'Shade Match'!$Q$5:$Q$304,"Failed")&gt;0,"Failed","Approved")))</f>
        <v/>
      </c>
      <c r="S17" s="19" t="str">
        <f>IF(B17="","",SUMIF('Fabric Inventory'!$C$5:$C$304,B17,'Fabric Inventory'!$H$5:$H$304))</f>
        <v/>
      </c>
      <c r="T17" s="19" t="str">
        <f>IF(B17="","",SUMIF('Fabric Inventory'!$C$5:$C$304,B17,'Fabric Inventory'!$K$5:$K$304))</f>
        <v/>
      </c>
      <c r="U17" s="19" t="str">
        <f>IF(B17="","",SUMIF('Fabric Inventory'!$C$5:$C$304,B17,'Fabric Inventory'!$L$5:$L$304))</f>
        <v/>
      </c>
      <c r="V17" s="19" t="str">
        <f>IF(B17="","",SUMIF('Fabric Inventory'!$C$5:$C$304,B17,'Fabric Inventory'!$N$5:$N$304))</f>
        <v/>
      </c>
      <c r="W17" s="19" t="str">
        <f>IF(B17="","",SUMIF('Fabric Inventory'!$C$5:$C$304,B17,'Fabric Inventory'!$O$5:$O$304))</f>
        <v/>
      </c>
    </row>
    <row r="18" spans="1:23">
      <c r="A18" s="7" t="str">
        <f>IF('FGPO Master'!A12="","",'FGPO Master'!E12)</f>
        <v/>
      </c>
      <c r="B18" s="7" t="str">
        <f>IF('FGPO Master'!A12="","",IF('FGPO Master'!D12="FGPO Pending","FGPO Pending",'FGPO Master'!B12))</f>
        <v/>
      </c>
      <c r="C18" s="7" t="str">
        <f>IF('FGPO Master'!A12="","",'FGPO Master'!D12)</f>
        <v/>
      </c>
      <c r="D18" s="7" t="str">
        <f>IF('FGPO Master'!A12="","",'FGPO Master'!F12)</f>
        <v/>
      </c>
      <c r="E18" s="7" t="str">
        <f>IF('FGPO Master'!A12="","",'FGPO Master'!G12)</f>
        <v/>
      </c>
      <c r="F18" s="19" t="str">
        <f>IF('FGPO Master'!A12="","",'FGPO Master'!H12)</f>
        <v/>
      </c>
      <c r="G18" s="19" t="str">
        <f>IF('FGPO Master'!A12="","",'FGPO Master'!M12)</f>
        <v/>
      </c>
      <c r="H18" s="19" t="str">
        <f>IF(B18="","",SUMIF('Fabric Requirement'!$B$5:$B$304,B18,'Fabric Requirement'!$M$5:$M$304)+SUMIF('Fabric Requirement'!$B$5:$B$304,B18,'Fabric Requirement'!$O$5:$O$304))</f>
        <v/>
      </c>
      <c r="I18" s="19" t="str">
        <f>IF(B18="","",SUMIF('Fabric PO'!$B$5:$B$304,B18,'Fabric PO'!$H$5:$H$304))</f>
        <v/>
      </c>
      <c r="J18" s="19" t="str">
        <f>IF(B18="","",SUMIF('Mill Production'!$C$5:$C$304,B18,'Mill Production'!$I$5:$I$304))</f>
        <v/>
      </c>
      <c r="K18" s="7" t="str">
        <f>IF(B18="","",IF(COUNTIF('Mill Test'!$C$5:$C$304,B18)=0,"Pending",IF(COUNTIFS('Mill Test'!$C$5:$C$304,B18,'Mill Test'!$T$5:$T$304,"Failed")&gt;0,"Failed","Passed")))</f>
        <v/>
      </c>
      <c r="L18" s="19" t="str">
        <f>IF(B18="","",SUMIF('Fabric Shipment'!$C$5:$C$304,B18,'Fabric Shipment'!$G$5:$G$304))</f>
        <v/>
      </c>
      <c r="M18" s="19" t="str">
        <f>IF(B18="","",SUMIF('Fabric Shipment'!$C$5:$C$304,B18,'Fabric Shipment'!$R$5:$R$304))</f>
        <v/>
      </c>
      <c r="N18" s="19" t="str">
        <f>IF(B18="","",SUMIF('Fabric Receiving'!$E$5:$E$304,B18,'Fabric Receiving'!$H$5:$H$304))</f>
        <v/>
      </c>
      <c r="O18" s="19" t="str">
        <f>IF(B18="","",SUMIF('Fabric Receiving'!$E$5:$E$304,B18,'Fabric Receiving'!$I$5:$I$304))</f>
        <v/>
      </c>
      <c r="P18" s="7" t="str">
        <f>IF(B18="","",IF(COUNTIF('Four-Point'!$E$5:$E$304,B18)=0,"Pending",IF(COUNTIFS('Four-Point'!$E$5:$E$304,B18,'Four-Point'!$T$5:$T$304,"Failed")&gt;0,"Failed","Passed")))</f>
        <v/>
      </c>
      <c r="Q18" s="7" t="str">
        <f>IF(B18="","",IF(COUNTIF('Internal Test'!$D$5:$D$304,B18)=0,"Pending",IF(COUNTIFS('Internal Test'!$D$5:$D$304,B18,'Internal Test'!$AA$5:$AA$304,"Failed")&gt;0,"Failed","Passed")))</f>
        <v/>
      </c>
      <c r="R18" s="7" t="str">
        <f>IF(B18="","",IF(COUNTIF('Shade Match'!$C$5:$C$304,B18)=0,"Pending",IF(COUNTIFS('Shade Match'!$C$5:$C$304,B18,'Shade Match'!$Q$5:$Q$304,"Failed")&gt;0,"Failed","Approved")))</f>
        <v/>
      </c>
      <c r="S18" s="19" t="str">
        <f>IF(B18="","",SUMIF('Fabric Inventory'!$C$5:$C$304,B18,'Fabric Inventory'!$H$5:$H$304))</f>
        <v/>
      </c>
      <c r="T18" s="19" t="str">
        <f>IF(B18="","",SUMIF('Fabric Inventory'!$C$5:$C$304,B18,'Fabric Inventory'!$K$5:$K$304))</f>
        <v/>
      </c>
      <c r="U18" s="19" t="str">
        <f>IF(B18="","",SUMIF('Fabric Inventory'!$C$5:$C$304,B18,'Fabric Inventory'!$L$5:$L$304))</f>
        <v/>
      </c>
      <c r="V18" s="19" t="str">
        <f>IF(B18="","",SUMIF('Fabric Inventory'!$C$5:$C$304,B18,'Fabric Inventory'!$N$5:$N$304))</f>
        <v/>
      </c>
      <c r="W18" s="19" t="str">
        <f>IF(B18="","",SUMIF('Fabric Inventory'!$C$5:$C$304,B18,'Fabric Inventory'!$O$5:$O$304))</f>
        <v/>
      </c>
    </row>
    <row r="19" spans="1:23">
      <c r="A19" s="7" t="str">
        <f>IF('FGPO Master'!A13="","",'FGPO Master'!E13)</f>
        <v/>
      </c>
      <c r="B19" s="7" t="str">
        <f>IF('FGPO Master'!A13="","",IF('FGPO Master'!D13="FGPO Pending","FGPO Pending",'FGPO Master'!B13))</f>
        <v/>
      </c>
      <c r="C19" s="7" t="str">
        <f>IF('FGPO Master'!A13="","",'FGPO Master'!D13)</f>
        <v/>
      </c>
      <c r="D19" s="7" t="str">
        <f>IF('FGPO Master'!A13="","",'FGPO Master'!F13)</f>
        <v/>
      </c>
      <c r="E19" s="7" t="str">
        <f>IF('FGPO Master'!A13="","",'FGPO Master'!G13)</f>
        <v/>
      </c>
      <c r="F19" s="19" t="str">
        <f>IF('FGPO Master'!A13="","",'FGPO Master'!H13)</f>
        <v/>
      </c>
      <c r="G19" s="19" t="str">
        <f>IF('FGPO Master'!A13="","",'FGPO Master'!M13)</f>
        <v/>
      </c>
      <c r="H19" s="19" t="str">
        <f>IF(B19="","",SUMIF('Fabric Requirement'!$B$5:$B$304,B19,'Fabric Requirement'!$M$5:$M$304)+SUMIF('Fabric Requirement'!$B$5:$B$304,B19,'Fabric Requirement'!$O$5:$O$304))</f>
        <v/>
      </c>
      <c r="I19" s="19" t="str">
        <f>IF(B19="","",SUMIF('Fabric PO'!$B$5:$B$304,B19,'Fabric PO'!$H$5:$H$304))</f>
        <v/>
      </c>
      <c r="J19" s="19" t="str">
        <f>IF(B19="","",SUMIF('Mill Production'!$C$5:$C$304,B19,'Mill Production'!$I$5:$I$304))</f>
        <v/>
      </c>
      <c r="K19" s="7" t="str">
        <f>IF(B19="","",IF(COUNTIF('Mill Test'!$C$5:$C$304,B19)=0,"Pending",IF(COUNTIFS('Mill Test'!$C$5:$C$304,B19,'Mill Test'!$T$5:$T$304,"Failed")&gt;0,"Failed","Passed")))</f>
        <v/>
      </c>
      <c r="L19" s="19" t="str">
        <f>IF(B19="","",SUMIF('Fabric Shipment'!$C$5:$C$304,B19,'Fabric Shipment'!$G$5:$G$304))</f>
        <v/>
      </c>
      <c r="M19" s="19" t="str">
        <f>IF(B19="","",SUMIF('Fabric Shipment'!$C$5:$C$304,B19,'Fabric Shipment'!$R$5:$R$304))</f>
        <v/>
      </c>
      <c r="N19" s="19" t="str">
        <f>IF(B19="","",SUMIF('Fabric Receiving'!$E$5:$E$304,B19,'Fabric Receiving'!$H$5:$H$304))</f>
        <v/>
      </c>
      <c r="O19" s="19" t="str">
        <f>IF(B19="","",SUMIF('Fabric Receiving'!$E$5:$E$304,B19,'Fabric Receiving'!$I$5:$I$304))</f>
        <v/>
      </c>
      <c r="P19" s="7" t="str">
        <f>IF(B19="","",IF(COUNTIF('Four-Point'!$E$5:$E$304,B19)=0,"Pending",IF(COUNTIFS('Four-Point'!$E$5:$E$304,B19,'Four-Point'!$T$5:$T$304,"Failed")&gt;0,"Failed","Passed")))</f>
        <v/>
      </c>
      <c r="Q19" s="7" t="str">
        <f>IF(B19="","",IF(COUNTIF('Internal Test'!$D$5:$D$304,B19)=0,"Pending",IF(COUNTIFS('Internal Test'!$D$5:$D$304,B19,'Internal Test'!$AA$5:$AA$304,"Failed")&gt;0,"Failed","Passed")))</f>
        <v/>
      </c>
      <c r="R19" s="7" t="str">
        <f>IF(B19="","",IF(COUNTIF('Shade Match'!$C$5:$C$304,B19)=0,"Pending",IF(COUNTIFS('Shade Match'!$C$5:$C$304,B19,'Shade Match'!$Q$5:$Q$304,"Failed")&gt;0,"Failed","Approved")))</f>
        <v/>
      </c>
      <c r="S19" s="19" t="str">
        <f>IF(B19="","",SUMIF('Fabric Inventory'!$C$5:$C$304,B19,'Fabric Inventory'!$H$5:$H$304))</f>
        <v/>
      </c>
      <c r="T19" s="19" t="str">
        <f>IF(B19="","",SUMIF('Fabric Inventory'!$C$5:$C$304,B19,'Fabric Inventory'!$K$5:$K$304))</f>
        <v/>
      </c>
      <c r="U19" s="19" t="str">
        <f>IF(B19="","",SUMIF('Fabric Inventory'!$C$5:$C$304,B19,'Fabric Inventory'!$L$5:$L$304))</f>
        <v/>
      </c>
      <c r="V19" s="19" t="str">
        <f>IF(B19="","",SUMIF('Fabric Inventory'!$C$5:$C$304,B19,'Fabric Inventory'!$N$5:$N$304))</f>
        <v/>
      </c>
      <c r="W19" s="19" t="str">
        <f>IF(B19="","",SUMIF('Fabric Inventory'!$C$5:$C$304,B19,'Fabric Inventory'!$O$5:$O$304))</f>
        <v/>
      </c>
    </row>
    <row r="20" spans="1:23">
      <c r="A20" s="7" t="str">
        <f>IF('FGPO Master'!A14="","",'FGPO Master'!E14)</f>
        <v/>
      </c>
      <c r="B20" s="7" t="str">
        <f>IF('FGPO Master'!A14="","",IF('FGPO Master'!D14="FGPO Pending","FGPO Pending",'FGPO Master'!B14))</f>
        <v/>
      </c>
      <c r="C20" s="7" t="str">
        <f>IF('FGPO Master'!A14="","",'FGPO Master'!D14)</f>
        <v/>
      </c>
      <c r="D20" s="7" t="str">
        <f>IF('FGPO Master'!A14="","",'FGPO Master'!F14)</f>
        <v/>
      </c>
      <c r="E20" s="7" t="str">
        <f>IF('FGPO Master'!A14="","",'FGPO Master'!G14)</f>
        <v/>
      </c>
      <c r="F20" s="19" t="str">
        <f>IF('FGPO Master'!A14="","",'FGPO Master'!H14)</f>
        <v/>
      </c>
      <c r="G20" s="19" t="str">
        <f>IF('FGPO Master'!A14="","",'FGPO Master'!M14)</f>
        <v/>
      </c>
      <c r="H20" s="19" t="str">
        <f>IF(B20="","",SUMIF('Fabric Requirement'!$B$5:$B$304,B20,'Fabric Requirement'!$M$5:$M$304)+SUMIF('Fabric Requirement'!$B$5:$B$304,B20,'Fabric Requirement'!$O$5:$O$304))</f>
        <v/>
      </c>
      <c r="I20" s="19" t="str">
        <f>IF(B20="","",SUMIF('Fabric PO'!$B$5:$B$304,B20,'Fabric PO'!$H$5:$H$304))</f>
        <v/>
      </c>
      <c r="J20" s="19" t="str">
        <f>IF(B20="","",SUMIF('Mill Production'!$C$5:$C$304,B20,'Mill Production'!$I$5:$I$304))</f>
        <v/>
      </c>
      <c r="K20" s="7" t="str">
        <f>IF(B20="","",IF(COUNTIF('Mill Test'!$C$5:$C$304,B20)=0,"Pending",IF(COUNTIFS('Mill Test'!$C$5:$C$304,B20,'Mill Test'!$T$5:$T$304,"Failed")&gt;0,"Failed","Passed")))</f>
        <v/>
      </c>
      <c r="L20" s="19" t="str">
        <f>IF(B20="","",SUMIF('Fabric Shipment'!$C$5:$C$304,B20,'Fabric Shipment'!$G$5:$G$304))</f>
        <v/>
      </c>
      <c r="M20" s="19" t="str">
        <f>IF(B20="","",SUMIF('Fabric Shipment'!$C$5:$C$304,B20,'Fabric Shipment'!$R$5:$R$304))</f>
        <v/>
      </c>
      <c r="N20" s="19" t="str">
        <f>IF(B20="","",SUMIF('Fabric Receiving'!$E$5:$E$304,B20,'Fabric Receiving'!$H$5:$H$304))</f>
        <v/>
      </c>
      <c r="O20" s="19" t="str">
        <f>IF(B20="","",SUMIF('Fabric Receiving'!$E$5:$E$304,B20,'Fabric Receiving'!$I$5:$I$304))</f>
        <v/>
      </c>
      <c r="P20" s="7" t="str">
        <f>IF(B20="","",IF(COUNTIF('Four-Point'!$E$5:$E$304,B20)=0,"Pending",IF(COUNTIFS('Four-Point'!$E$5:$E$304,B20,'Four-Point'!$T$5:$T$304,"Failed")&gt;0,"Failed","Passed")))</f>
        <v/>
      </c>
      <c r="Q20" s="7" t="str">
        <f>IF(B20="","",IF(COUNTIF('Internal Test'!$D$5:$D$304,B20)=0,"Pending",IF(COUNTIFS('Internal Test'!$D$5:$D$304,B20,'Internal Test'!$AA$5:$AA$304,"Failed")&gt;0,"Failed","Passed")))</f>
        <v/>
      </c>
      <c r="R20" s="7" t="str">
        <f>IF(B20="","",IF(COUNTIF('Shade Match'!$C$5:$C$304,B20)=0,"Pending",IF(COUNTIFS('Shade Match'!$C$5:$C$304,B20,'Shade Match'!$Q$5:$Q$304,"Failed")&gt;0,"Failed","Approved")))</f>
        <v/>
      </c>
      <c r="S20" s="19" t="str">
        <f>IF(B20="","",SUMIF('Fabric Inventory'!$C$5:$C$304,B20,'Fabric Inventory'!$H$5:$H$304))</f>
        <v/>
      </c>
      <c r="T20" s="19" t="str">
        <f>IF(B20="","",SUMIF('Fabric Inventory'!$C$5:$C$304,B20,'Fabric Inventory'!$K$5:$K$304))</f>
        <v/>
      </c>
      <c r="U20" s="19" t="str">
        <f>IF(B20="","",SUMIF('Fabric Inventory'!$C$5:$C$304,B20,'Fabric Inventory'!$L$5:$L$304))</f>
        <v/>
      </c>
      <c r="V20" s="19" t="str">
        <f>IF(B20="","",SUMIF('Fabric Inventory'!$C$5:$C$304,B20,'Fabric Inventory'!$N$5:$N$304))</f>
        <v/>
      </c>
      <c r="W20" s="19" t="str">
        <f>IF(B20="","",SUMIF('Fabric Inventory'!$C$5:$C$304,B20,'Fabric Inventory'!$O$5:$O$304))</f>
        <v/>
      </c>
    </row>
    <row r="21" spans="1:23">
      <c r="A21" s="7" t="str">
        <f>IF('FGPO Master'!A15="","",'FGPO Master'!E15)</f>
        <v/>
      </c>
      <c r="B21" s="7" t="str">
        <f>IF('FGPO Master'!A15="","",IF('FGPO Master'!D15="FGPO Pending","FGPO Pending",'FGPO Master'!B15))</f>
        <v/>
      </c>
      <c r="C21" s="7" t="str">
        <f>IF('FGPO Master'!A15="","",'FGPO Master'!D15)</f>
        <v/>
      </c>
      <c r="D21" s="7" t="str">
        <f>IF('FGPO Master'!A15="","",'FGPO Master'!F15)</f>
        <v/>
      </c>
      <c r="E21" s="7" t="str">
        <f>IF('FGPO Master'!A15="","",'FGPO Master'!G15)</f>
        <v/>
      </c>
      <c r="F21" s="19" t="str">
        <f>IF('FGPO Master'!A15="","",'FGPO Master'!H15)</f>
        <v/>
      </c>
      <c r="G21" s="19" t="str">
        <f>IF('FGPO Master'!A15="","",'FGPO Master'!M15)</f>
        <v/>
      </c>
      <c r="H21" s="19" t="str">
        <f>IF(B21="","",SUMIF('Fabric Requirement'!$B$5:$B$304,B21,'Fabric Requirement'!$M$5:$M$304)+SUMIF('Fabric Requirement'!$B$5:$B$304,B21,'Fabric Requirement'!$O$5:$O$304))</f>
        <v/>
      </c>
      <c r="I21" s="19" t="str">
        <f>IF(B21="","",SUMIF('Fabric PO'!$B$5:$B$304,B21,'Fabric PO'!$H$5:$H$304))</f>
        <v/>
      </c>
      <c r="J21" s="19" t="str">
        <f>IF(B21="","",SUMIF('Mill Production'!$C$5:$C$304,B21,'Mill Production'!$I$5:$I$304))</f>
        <v/>
      </c>
      <c r="K21" s="7" t="str">
        <f>IF(B21="","",IF(COUNTIF('Mill Test'!$C$5:$C$304,B21)=0,"Pending",IF(COUNTIFS('Mill Test'!$C$5:$C$304,B21,'Mill Test'!$T$5:$T$304,"Failed")&gt;0,"Failed","Passed")))</f>
        <v/>
      </c>
      <c r="L21" s="19" t="str">
        <f>IF(B21="","",SUMIF('Fabric Shipment'!$C$5:$C$304,B21,'Fabric Shipment'!$G$5:$G$304))</f>
        <v/>
      </c>
      <c r="M21" s="19" t="str">
        <f>IF(B21="","",SUMIF('Fabric Shipment'!$C$5:$C$304,B21,'Fabric Shipment'!$R$5:$R$304))</f>
        <v/>
      </c>
      <c r="N21" s="19" t="str">
        <f>IF(B21="","",SUMIF('Fabric Receiving'!$E$5:$E$304,B21,'Fabric Receiving'!$H$5:$H$304))</f>
        <v/>
      </c>
      <c r="O21" s="19" t="str">
        <f>IF(B21="","",SUMIF('Fabric Receiving'!$E$5:$E$304,B21,'Fabric Receiving'!$I$5:$I$304))</f>
        <v/>
      </c>
      <c r="P21" s="7" t="str">
        <f>IF(B21="","",IF(COUNTIF('Four-Point'!$E$5:$E$304,B21)=0,"Pending",IF(COUNTIFS('Four-Point'!$E$5:$E$304,B21,'Four-Point'!$T$5:$T$304,"Failed")&gt;0,"Failed","Passed")))</f>
        <v/>
      </c>
      <c r="Q21" s="7" t="str">
        <f>IF(B21="","",IF(COUNTIF('Internal Test'!$D$5:$D$304,B21)=0,"Pending",IF(COUNTIFS('Internal Test'!$D$5:$D$304,B21,'Internal Test'!$AA$5:$AA$304,"Failed")&gt;0,"Failed","Passed")))</f>
        <v/>
      </c>
      <c r="R21" s="7" t="str">
        <f>IF(B21="","",IF(COUNTIF('Shade Match'!$C$5:$C$304,B21)=0,"Pending",IF(COUNTIFS('Shade Match'!$C$5:$C$304,B21,'Shade Match'!$Q$5:$Q$304,"Failed")&gt;0,"Failed","Approved")))</f>
        <v/>
      </c>
      <c r="S21" s="19" t="str">
        <f>IF(B21="","",SUMIF('Fabric Inventory'!$C$5:$C$304,B21,'Fabric Inventory'!$H$5:$H$304))</f>
        <v/>
      </c>
      <c r="T21" s="19" t="str">
        <f>IF(B21="","",SUMIF('Fabric Inventory'!$C$5:$C$304,B21,'Fabric Inventory'!$K$5:$K$304))</f>
        <v/>
      </c>
      <c r="U21" s="19" t="str">
        <f>IF(B21="","",SUMIF('Fabric Inventory'!$C$5:$C$304,B21,'Fabric Inventory'!$L$5:$L$304))</f>
        <v/>
      </c>
      <c r="V21" s="19" t="str">
        <f>IF(B21="","",SUMIF('Fabric Inventory'!$C$5:$C$304,B21,'Fabric Inventory'!$N$5:$N$304))</f>
        <v/>
      </c>
      <c r="W21" s="19" t="str">
        <f>IF(B21="","",SUMIF('Fabric Inventory'!$C$5:$C$304,B21,'Fabric Inventory'!$O$5:$O$304))</f>
        <v/>
      </c>
    </row>
    <row r="22" spans="1:23">
      <c r="A22" s="7" t="str">
        <f>IF('FGPO Master'!A16="","",'FGPO Master'!E16)</f>
        <v/>
      </c>
      <c r="B22" s="7" t="str">
        <f>IF('FGPO Master'!A16="","",IF('FGPO Master'!D16="FGPO Pending","FGPO Pending",'FGPO Master'!B16))</f>
        <v/>
      </c>
      <c r="C22" s="7" t="str">
        <f>IF('FGPO Master'!A16="","",'FGPO Master'!D16)</f>
        <v/>
      </c>
      <c r="D22" s="7" t="str">
        <f>IF('FGPO Master'!A16="","",'FGPO Master'!F16)</f>
        <v/>
      </c>
      <c r="E22" s="7" t="str">
        <f>IF('FGPO Master'!A16="","",'FGPO Master'!G16)</f>
        <v/>
      </c>
      <c r="F22" s="19" t="str">
        <f>IF('FGPO Master'!A16="","",'FGPO Master'!H16)</f>
        <v/>
      </c>
      <c r="G22" s="19" t="str">
        <f>IF('FGPO Master'!A16="","",'FGPO Master'!M16)</f>
        <v/>
      </c>
      <c r="H22" s="19" t="str">
        <f>IF(B22="","",SUMIF('Fabric Requirement'!$B$5:$B$304,B22,'Fabric Requirement'!$M$5:$M$304)+SUMIF('Fabric Requirement'!$B$5:$B$304,B22,'Fabric Requirement'!$O$5:$O$304))</f>
        <v/>
      </c>
      <c r="I22" s="19" t="str">
        <f>IF(B22="","",SUMIF('Fabric PO'!$B$5:$B$304,B22,'Fabric PO'!$H$5:$H$304))</f>
        <v/>
      </c>
      <c r="J22" s="19" t="str">
        <f>IF(B22="","",SUMIF('Mill Production'!$C$5:$C$304,B22,'Mill Production'!$I$5:$I$304))</f>
        <v/>
      </c>
      <c r="K22" s="7" t="str">
        <f>IF(B22="","",IF(COUNTIF('Mill Test'!$C$5:$C$304,B22)=0,"Pending",IF(COUNTIFS('Mill Test'!$C$5:$C$304,B22,'Mill Test'!$T$5:$T$304,"Failed")&gt;0,"Failed","Passed")))</f>
        <v/>
      </c>
      <c r="L22" s="19" t="str">
        <f>IF(B22="","",SUMIF('Fabric Shipment'!$C$5:$C$304,B22,'Fabric Shipment'!$G$5:$G$304))</f>
        <v/>
      </c>
      <c r="M22" s="19" t="str">
        <f>IF(B22="","",SUMIF('Fabric Shipment'!$C$5:$C$304,B22,'Fabric Shipment'!$R$5:$R$304))</f>
        <v/>
      </c>
      <c r="N22" s="19" t="str">
        <f>IF(B22="","",SUMIF('Fabric Receiving'!$E$5:$E$304,B22,'Fabric Receiving'!$H$5:$H$304))</f>
        <v/>
      </c>
      <c r="O22" s="19" t="str">
        <f>IF(B22="","",SUMIF('Fabric Receiving'!$E$5:$E$304,B22,'Fabric Receiving'!$I$5:$I$304))</f>
        <v/>
      </c>
      <c r="P22" s="7" t="str">
        <f>IF(B22="","",IF(COUNTIF('Four-Point'!$E$5:$E$304,B22)=0,"Pending",IF(COUNTIFS('Four-Point'!$E$5:$E$304,B22,'Four-Point'!$T$5:$T$304,"Failed")&gt;0,"Failed","Passed")))</f>
        <v/>
      </c>
      <c r="Q22" s="7" t="str">
        <f>IF(B22="","",IF(COUNTIF('Internal Test'!$D$5:$D$304,B22)=0,"Pending",IF(COUNTIFS('Internal Test'!$D$5:$D$304,B22,'Internal Test'!$AA$5:$AA$304,"Failed")&gt;0,"Failed","Passed")))</f>
        <v/>
      </c>
      <c r="R22" s="7" t="str">
        <f>IF(B22="","",IF(COUNTIF('Shade Match'!$C$5:$C$304,B22)=0,"Pending",IF(COUNTIFS('Shade Match'!$C$5:$C$304,B22,'Shade Match'!$Q$5:$Q$304,"Failed")&gt;0,"Failed","Approved")))</f>
        <v/>
      </c>
      <c r="S22" s="19" t="str">
        <f>IF(B22="","",SUMIF('Fabric Inventory'!$C$5:$C$304,B22,'Fabric Inventory'!$H$5:$H$304))</f>
        <v/>
      </c>
      <c r="T22" s="19" t="str">
        <f>IF(B22="","",SUMIF('Fabric Inventory'!$C$5:$C$304,B22,'Fabric Inventory'!$K$5:$K$304))</f>
        <v/>
      </c>
      <c r="U22" s="19" t="str">
        <f>IF(B22="","",SUMIF('Fabric Inventory'!$C$5:$C$304,B22,'Fabric Inventory'!$L$5:$L$304))</f>
        <v/>
      </c>
      <c r="V22" s="19" t="str">
        <f>IF(B22="","",SUMIF('Fabric Inventory'!$C$5:$C$304,B22,'Fabric Inventory'!$N$5:$N$304))</f>
        <v/>
      </c>
      <c r="W22" s="19" t="str">
        <f>IF(B22="","",SUMIF('Fabric Inventory'!$C$5:$C$304,B22,'Fabric Inventory'!$O$5:$O$304))</f>
        <v/>
      </c>
    </row>
    <row r="23" spans="1:23">
      <c r="A23" s="7" t="str">
        <f>IF('FGPO Master'!A17="","",'FGPO Master'!E17)</f>
        <v/>
      </c>
      <c r="B23" s="7" t="str">
        <f>IF('FGPO Master'!A17="","",IF('FGPO Master'!D17="FGPO Pending","FGPO Pending",'FGPO Master'!B17))</f>
        <v/>
      </c>
      <c r="C23" s="7" t="str">
        <f>IF('FGPO Master'!A17="","",'FGPO Master'!D17)</f>
        <v/>
      </c>
      <c r="D23" s="7" t="str">
        <f>IF('FGPO Master'!A17="","",'FGPO Master'!F17)</f>
        <v/>
      </c>
      <c r="E23" s="7" t="str">
        <f>IF('FGPO Master'!A17="","",'FGPO Master'!G17)</f>
        <v/>
      </c>
      <c r="F23" s="19" t="str">
        <f>IF('FGPO Master'!A17="","",'FGPO Master'!H17)</f>
        <v/>
      </c>
      <c r="G23" s="19" t="str">
        <f>IF('FGPO Master'!A17="","",'FGPO Master'!M17)</f>
        <v/>
      </c>
      <c r="H23" s="19" t="str">
        <f>IF(B23="","",SUMIF('Fabric Requirement'!$B$5:$B$304,B23,'Fabric Requirement'!$M$5:$M$304)+SUMIF('Fabric Requirement'!$B$5:$B$304,B23,'Fabric Requirement'!$O$5:$O$304))</f>
        <v/>
      </c>
      <c r="I23" s="19" t="str">
        <f>IF(B23="","",SUMIF('Fabric PO'!$B$5:$B$304,B23,'Fabric PO'!$H$5:$H$304))</f>
        <v/>
      </c>
      <c r="J23" s="19" t="str">
        <f>IF(B23="","",SUMIF('Mill Production'!$C$5:$C$304,B23,'Mill Production'!$I$5:$I$304))</f>
        <v/>
      </c>
      <c r="K23" s="7" t="str">
        <f>IF(B23="","",IF(COUNTIF('Mill Test'!$C$5:$C$304,B23)=0,"Pending",IF(COUNTIFS('Mill Test'!$C$5:$C$304,B23,'Mill Test'!$T$5:$T$304,"Failed")&gt;0,"Failed","Passed")))</f>
        <v/>
      </c>
      <c r="L23" s="19" t="str">
        <f>IF(B23="","",SUMIF('Fabric Shipment'!$C$5:$C$304,B23,'Fabric Shipment'!$G$5:$G$304))</f>
        <v/>
      </c>
      <c r="M23" s="19" t="str">
        <f>IF(B23="","",SUMIF('Fabric Shipment'!$C$5:$C$304,B23,'Fabric Shipment'!$R$5:$R$304))</f>
        <v/>
      </c>
      <c r="N23" s="19" t="str">
        <f>IF(B23="","",SUMIF('Fabric Receiving'!$E$5:$E$304,B23,'Fabric Receiving'!$H$5:$H$304))</f>
        <v/>
      </c>
      <c r="O23" s="19" t="str">
        <f>IF(B23="","",SUMIF('Fabric Receiving'!$E$5:$E$304,B23,'Fabric Receiving'!$I$5:$I$304))</f>
        <v/>
      </c>
      <c r="P23" s="7" t="str">
        <f>IF(B23="","",IF(COUNTIF('Four-Point'!$E$5:$E$304,B23)=0,"Pending",IF(COUNTIFS('Four-Point'!$E$5:$E$304,B23,'Four-Point'!$T$5:$T$304,"Failed")&gt;0,"Failed","Passed")))</f>
        <v/>
      </c>
      <c r="Q23" s="7" t="str">
        <f>IF(B23="","",IF(COUNTIF('Internal Test'!$D$5:$D$304,B23)=0,"Pending",IF(COUNTIFS('Internal Test'!$D$5:$D$304,B23,'Internal Test'!$AA$5:$AA$304,"Failed")&gt;0,"Failed","Passed")))</f>
        <v/>
      </c>
      <c r="R23" s="7" t="str">
        <f>IF(B23="","",IF(COUNTIF('Shade Match'!$C$5:$C$304,B23)=0,"Pending",IF(COUNTIFS('Shade Match'!$C$5:$C$304,B23,'Shade Match'!$Q$5:$Q$304,"Failed")&gt;0,"Failed","Approved")))</f>
        <v/>
      </c>
      <c r="S23" s="19" t="str">
        <f>IF(B23="","",SUMIF('Fabric Inventory'!$C$5:$C$304,B23,'Fabric Inventory'!$H$5:$H$304))</f>
        <v/>
      </c>
      <c r="T23" s="19" t="str">
        <f>IF(B23="","",SUMIF('Fabric Inventory'!$C$5:$C$304,B23,'Fabric Inventory'!$K$5:$K$304))</f>
        <v/>
      </c>
      <c r="U23" s="19" t="str">
        <f>IF(B23="","",SUMIF('Fabric Inventory'!$C$5:$C$304,B23,'Fabric Inventory'!$L$5:$L$304))</f>
        <v/>
      </c>
      <c r="V23" s="19" t="str">
        <f>IF(B23="","",SUMIF('Fabric Inventory'!$C$5:$C$304,B23,'Fabric Inventory'!$N$5:$N$304))</f>
        <v/>
      </c>
      <c r="W23" s="19" t="str">
        <f>IF(B23="","",SUMIF('Fabric Inventory'!$C$5:$C$304,B23,'Fabric Inventory'!$O$5:$O$304))</f>
        <v/>
      </c>
    </row>
    <row r="24" spans="1:23">
      <c r="A24" s="7" t="str">
        <f>IF('FGPO Master'!A18="","",'FGPO Master'!E18)</f>
        <v/>
      </c>
      <c r="B24" s="7" t="str">
        <f>IF('FGPO Master'!A18="","",IF('FGPO Master'!D18="FGPO Pending","FGPO Pending",'FGPO Master'!B18))</f>
        <v/>
      </c>
      <c r="C24" s="7" t="str">
        <f>IF('FGPO Master'!A18="","",'FGPO Master'!D18)</f>
        <v/>
      </c>
      <c r="D24" s="7" t="str">
        <f>IF('FGPO Master'!A18="","",'FGPO Master'!F18)</f>
        <v/>
      </c>
      <c r="E24" s="7" t="str">
        <f>IF('FGPO Master'!A18="","",'FGPO Master'!G18)</f>
        <v/>
      </c>
      <c r="F24" s="19" t="str">
        <f>IF('FGPO Master'!A18="","",'FGPO Master'!H18)</f>
        <v/>
      </c>
      <c r="G24" s="19" t="str">
        <f>IF('FGPO Master'!A18="","",'FGPO Master'!M18)</f>
        <v/>
      </c>
      <c r="H24" s="19" t="str">
        <f>IF(B24="","",SUMIF('Fabric Requirement'!$B$5:$B$304,B24,'Fabric Requirement'!$M$5:$M$304)+SUMIF('Fabric Requirement'!$B$5:$B$304,B24,'Fabric Requirement'!$O$5:$O$304))</f>
        <v/>
      </c>
      <c r="I24" s="19" t="str">
        <f>IF(B24="","",SUMIF('Fabric PO'!$B$5:$B$304,B24,'Fabric PO'!$H$5:$H$304))</f>
        <v/>
      </c>
      <c r="J24" s="19" t="str">
        <f>IF(B24="","",SUMIF('Mill Production'!$C$5:$C$304,B24,'Mill Production'!$I$5:$I$304))</f>
        <v/>
      </c>
      <c r="K24" s="7" t="str">
        <f>IF(B24="","",IF(COUNTIF('Mill Test'!$C$5:$C$304,B24)=0,"Pending",IF(COUNTIFS('Mill Test'!$C$5:$C$304,B24,'Mill Test'!$T$5:$T$304,"Failed")&gt;0,"Failed","Passed")))</f>
        <v/>
      </c>
      <c r="L24" s="19" t="str">
        <f>IF(B24="","",SUMIF('Fabric Shipment'!$C$5:$C$304,B24,'Fabric Shipment'!$G$5:$G$304))</f>
        <v/>
      </c>
      <c r="M24" s="19" t="str">
        <f>IF(B24="","",SUMIF('Fabric Shipment'!$C$5:$C$304,B24,'Fabric Shipment'!$R$5:$R$304))</f>
        <v/>
      </c>
      <c r="N24" s="19" t="str">
        <f>IF(B24="","",SUMIF('Fabric Receiving'!$E$5:$E$304,B24,'Fabric Receiving'!$H$5:$H$304))</f>
        <v/>
      </c>
      <c r="O24" s="19" t="str">
        <f>IF(B24="","",SUMIF('Fabric Receiving'!$E$5:$E$304,B24,'Fabric Receiving'!$I$5:$I$304))</f>
        <v/>
      </c>
      <c r="P24" s="7" t="str">
        <f>IF(B24="","",IF(COUNTIF('Four-Point'!$E$5:$E$304,B24)=0,"Pending",IF(COUNTIFS('Four-Point'!$E$5:$E$304,B24,'Four-Point'!$T$5:$T$304,"Failed")&gt;0,"Failed","Passed")))</f>
        <v/>
      </c>
      <c r="Q24" s="7" t="str">
        <f>IF(B24="","",IF(COUNTIF('Internal Test'!$D$5:$D$304,B24)=0,"Pending",IF(COUNTIFS('Internal Test'!$D$5:$D$304,B24,'Internal Test'!$AA$5:$AA$304,"Failed")&gt;0,"Failed","Passed")))</f>
        <v/>
      </c>
      <c r="R24" s="7" t="str">
        <f>IF(B24="","",IF(COUNTIF('Shade Match'!$C$5:$C$304,B24)=0,"Pending",IF(COUNTIFS('Shade Match'!$C$5:$C$304,B24,'Shade Match'!$Q$5:$Q$304,"Failed")&gt;0,"Failed","Approved")))</f>
        <v/>
      </c>
      <c r="S24" s="19" t="str">
        <f>IF(B24="","",SUMIF('Fabric Inventory'!$C$5:$C$304,B24,'Fabric Inventory'!$H$5:$H$304))</f>
        <v/>
      </c>
      <c r="T24" s="19" t="str">
        <f>IF(B24="","",SUMIF('Fabric Inventory'!$C$5:$C$304,B24,'Fabric Inventory'!$K$5:$K$304))</f>
        <v/>
      </c>
      <c r="U24" s="19" t="str">
        <f>IF(B24="","",SUMIF('Fabric Inventory'!$C$5:$C$304,B24,'Fabric Inventory'!$L$5:$L$304))</f>
        <v/>
      </c>
      <c r="V24" s="19" t="str">
        <f>IF(B24="","",SUMIF('Fabric Inventory'!$C$5:$C$304,B24,'Fabric Inventory'!$N$5:$N$304))</f>
        <v/>
      </c>
      <c r="W24" s="19" t="str">
        <f>IF(B24="","",SUMIF('Fabric Inventory'!$C$5:$C$304,B24,'Fabric Inventory'!$O$5:$O$304))</f>
        <v/>
      </c>
    </row>
    <row r="25" spans="1:23">
      <c r="A25" s="7" t="str">
        <f>IF('FGPO Master'!A19="","",'FGPO Master'!E19)</f>
        <v/>
      </c>
      <c r="B25" s="7" t="str">
        <f>IF('FGPO Master'!A19="","",IF('FGPO Master'!D19="FGPO Pending","FGPO Pending",'FGPO Master'!B19))</f>
        <v/>
      </c>
      <c r="C25" s="7" t="str">
        <f>IF('FGPO Master'!A19="","",'FGPO Master'!D19)</f>
        <v/>
      </c>
      <c r="D25" s="7" t="str">
        <f>IF('FGPO Master'!A19="","",'FGPO Master'!F19)</f>
        <v/>
      </c>
      <c r="E25" s="7" t="str">
        <f>IF('FGPO Master'!A19="","",'FGPO Master'!G19)</f>
        <v/>
      </c>
      <c r="F25" s="19" t="str">
        <f>IF('FGPO Master'!A19="","",'FGPO Master'!H19)</f>
        <v/>
      </c>
      <c r="G25" s="19" t="str">
        <f>IF('FGPO Master'!A19="","",'FGPO Master'!M19)</f>
        <v/>
      </c>
      <c r="H25" s="19" t="str">
        <f>IF(B25="","",SUMIF('Fabric Requirement'!$B$5:$B$304,B25,'Fabric Requirement'!$M$5:$M$304)+SUMIF('Fabric Requirement'!$B$5:$B$304,B25,'Fabric Requirement'!$O$5:$O$304))</f>
        <v/>
      </c>
      <c r="I25" s="19" t="str">
        <f>IF(B25="","",SUMIF('Fabric PO'!$B$5:$B$304,B25,'Fabric PO'!$H$5:$H$304))</f>
        <v/>
      </c>
      <c r="J25" s="19" t="str">
        <f>IF(B25="","",SUMIF('Mill Production'!$C$5:$C$304,B25,'Mill Production'!$I$5:$I$304))</f>
        <v/>
      </c>
      <c r="K25" s="7" t="str">
        <f>IF(B25="","",IF(COUNTIF('Mill Test'!$C$5:$C$304,B25)=0,"Pending",IF(COUNTIFS('Mill Test'!$C$5:$C$304,B25,'Mill Test'!$T$5:$T$304,"Failed")&gt;0,"Failed","Passed")))</f>
        <v/>
      </c>
      <c r="L25" s="19" t="str">
        <f>IF(B25="","",SUMIF('Fabric Shipment'!$C$5:$C$304,B25,'Fabric Shipment'!$G$5:$G$304))</f>
        <v/>
      </c>
      <c r="M25" s="19" t="str">
        <f>IF(B25="","",SUMIF('Fabric Shipment'!$C$5:$C$304,B25,'Fabric Shipment'!$R$5:$R$304))</f>
        <v/>
      </c>
      <c r="N25" s="19" t="str">
        <f>IF(B25="","",SUMIF('Fabric Receiving'!$E$5:$E$304,B25,'Fabric Receiving'!$H$5:$H$304))</f>
        <v/>
      </c>
      <c r="O25" s="19" t="str">
        <f>IF(B25="","",SUMIF('Fabric Receiving'!$E$5:$E$304,B25,'Fabric Receiving'!$I$5:$I$304))</f>
        <v/>
      </c>
      <c r="P25" s="7" t="str">
        <f>IF(B25="","",IF(COUNTIF('Four-Point'!$E$5:$E$304,B25)=0,"Pending",IF(COUNTIFS('Four-Point'!$E$5:$E$304,B25,'Four-Point'!$T$5:$T$304,"Failed")&gt;0,"Failed","Passed")))</f>
        <v/>
      </c>
      <c r="Q25" s="7" t="str">
        <f>IF(B25="","",IF(COUNTIF('Internal Test'!$D$5:$D$304,B25)=0,"Pending",IF(COUNTIFS('Internal Test'!$D$5:$D$304,B25,'Internal Test'!$AA$5:$AA$304,"Failed")&gt;0,"Failed","Passed")))</f>
        <v/>
      </c>
      <c r="R25" s="7" t="str">
        <f>IF(B25="","",IF(COUNTIF('Shade Match'!$C$5:$C$304,B25)=0,"Pending",IF(COUNTIFS('Shade Match'!$C$5:$C$304,B25,'Shade Match'!$Q$5:$Q$304,"Failed")&gt;0,"Failed","Approved")))</f>
        <v/>
      </c>
      <c r="S25" s="19" t="str">
        <f>IF(B25="","",SUMIF('Fabric Inventory'!$C$5:$C$304,B25,'Fabric Inventory'!$H$5:$H$304))</f>
        <v/>
      </c>
      <c r="T25" s="19" t="str">
        <f>IF(B25="","",SUMIF('Fabric Inventory'!$C$5:$C$304,B25,'Fabric Inventory'!$K$5:$K$304))</f>
        <v/>
      </c>
      <c r="U25" s="19" t="str">
        <f>IF(B25="","",SUMIF('Fabric Inventory'!$C$5:$C$304,B25,'Fabric Inventory'!$L$5:$L$304))</f>
        <v/>
      </c>
      <c r="V25" s="19" t="str">
        <f>IF(B25="","",SUMIF('Fabric Inventory'!$C$5:$C$304,B25,'Fabric Inventory'!$N$5:$N$304))</f>
        <v/>
      </c>
      <c r="W25" s="19" t="str">
        <f>IF(B25="","",SUMIF('Fabric Inventory'!$C$5:$C$304,B25,'Fabric Inventory'!$O$5:$O$304))</f>
        <v/>
      </c>
    </row>
    <row r="26" spans="1:23">
      <c r="A26" s="7" t="str">
        <f>IF('FGPO Master'!A20="","",'FGPO Master'!E20)</f>
        <v/>
      </c>
      <c r="B26" s="7" t="str">
        <f>IF('FGPO Master'!A20="","",IF('FGPO Master'!D20="FGPO Pending","FGPO Pending",'FGPO Master'!B20))</f>
        <v/>
      </c>
      <c r="C26" s="7" t="str">
        <f>IF('FGPO Master'!A20="","",'FGPO Master'!D20)</f>
        <v/>
      </c>
      <c r="D26" s="7" t="str">
        <f>IF('FGPO Master'!A20="","",'FGPO Master'!F20)</f>
        <v/>
      </c>
      <c r="E26" s="7" t="str">
        <f>IF('FGPO Master'!A20="","",'FGPO Master'!G20)</f>
        <v/>
      </c>
      <c r="F26" s="19" t="str">
        <f>IF('FGPO Master'!A20="","",'FGPO Master'!H20)</f>
        <v/>
      </c>
      <c r="G26" s="19" t="str">
        <f>IF('FGPO Master'!A20="","",'FGPO Master'!M20)</f>
        <v/>
      </c>
      <c r="H26" s="19" t="str">
        <f>IF(B26="","",SUMIF('Fabric Requirement'!$B$5:$B$304,B26,'Fabric Requirement'!$M$5:$M$304)+SUMIF('Fabric Requirement'!$B$5:$B$304,B26,'Fabric Requirement'!$O$5:$O$304))</f>
        <v/>
      </c>
      <c r="I26" s="19" t="str">
        <f>IF(B26="","",SUMIF('Fabric PO'!$B$5:$B$304,B26,'Fabric PO'!$H$5:$H$304))</f>
        <v/>
      </c>
      <c r="J26" s="19" t="str">
        <f>IF(B26="","",SUMIF('Mill Production'!$C$5:$C$304,B26,'Mill Production'!$I$5:$I$304))</f>
        <v/>
      </c>
      <c r="K26" s="7" t="str">
        <f>IF(B26="","",IF(COUNTIF('Mill Test'!$C$5:$C$304,B26)=0,"Pending",IF(COUNTIFS('Mill Test'!$C$5:$C$304,B26,'Mill Test'!$T$5:$T$304,"Failed")&gt;0,"Failed","Passed")))</f>
        <v/>
      </c>
      <c r="L26" s="19" t="str">
        <f>IF(B26="","",SUMIF('Fabric Shipment'!$C$5:$C$304,B26,'Fabric Shipment'!$G$5:$G$304))</f>
        <v/>
      </c>
      <c r="M26" s="19" t="str">
        <f>IF(B26="","",SUMIF('Fabric Shipment'!$C$5:$C$304,B26,'Fabric Shipment'!$R$5:$R$304))</f>
        <v/>
      </c>
      <c r="N26" s="19" t="str">
        <f>IF(B26="","",SUMIF('Fabric Receiving'!$E$5:$E$304,B26,'Fabric Receiving'!$H$5:$H$304))</f>
        <v/>
      </c>
      <c r="O26" s="19" t="str">
        <f>IF(B26="","",SUMIF('Fabric Receiving'!$E$5:$E$304,B26,'Fabric Receiving'!$I$5:$I$304))</f>
        <v/>
      </c>
      <c r="P26" s="7" t="str">
        <f>IF(B26="","",IF(COUNTIF('Four-Point'!$E$5:$E$304,B26)=0,"Pending",IF(COUNTIFS('Four-Point'!$E$5:$E$304,B26,'Four-Point'!$T$5:$T$304,"Failed")&gt;0,"Failed","Passed")))</f>
        <v/>
      </c>
      <c r="Q26" s="7" t="str">
        <f>IF(B26="","",IF(COUNTIF('Internal Test'!$D$5:$D$304,B26)=0,"Pending",IF(COUNTIFS('Internal Test'!$D$5:$D$304,B26,'Internal Test'!$AA$5:$AA$304,"Failed")&gt;0,"Failed","Passed")))</f>
        <v/>
      </c>
      <c r="R26" s="7" t="str">
        <f>IF(B26="","",IF(COUNTIF('Shade Match'!$C$5:$C$304,B26)=0,"Pending",IF(COUNTIFS('Shade Match'!$C$5:$C$304,B26,'Shade Match'!$Q$5:$Q$304,"Failed")&gt;0,"Failed","Approved")))</f>
        <v/>
      </c>
      <c r="S26" s="19" t="str">
        <f>IF(B26="","",SUMIF('Fabric Inventory'!$C$5:$C$304,B26,'Fabric Inventory'!$H$5:$H$304))</f>
        <v/>
      </c>
      <c r="T26" s="19" t="str">
        <f>IF(B26="","",SUMIF('Fabric Inventory'!$C$5:$C$304,B26,'Fabric Inventory'!$K$5:$K$304))</f>
        <v/>
      </c>
      <c r="U26" s="19" t="str">
        <f>IF(B26="","",SUMIF('Fabric Inventory'!$C$5:$C$304,B26,'Fabric Inventory'!$L$5:$L$304))</f>
        <v/>
      </c>
      <c r="V26" s="19" t="str">
        <f>IF(B26="","",SUMIF('Fabric Inventory'!$C$5:$C$304,B26,'Fabric Inventory'!$N$5:$N$304))</f>
        <v/>
      </c>
      <c r="W26" s="19" t="str">
        <f>IF(B26="","",SUMIF('Fabric Inventory'!$C$5:$C$304,B26,'Fabric Inventory'!$O$5:$O$304))</f>
        <v/>
      </c>
    </row>
    <row r="27" spans="1:23">
      <c r="A27" s="7" t="str">
        <f>IF('FGPO Master'!A21="","",'FGPO Master'!E21)</f>
        <v/>
      </c>
      <c r="B27" s="7" t="str">
        <f>IF('FGPO Master'!A21="","",IF('FGPO Master'!D21="FGPO Pending","FGPO Pending",'FGPO Master'!B21))</f>
        <v/>
      </c>
      <c r="C27" s="7" t="str">
        <f>IF('FGPO Master'!A21="","",'FGPO Master'!D21)</f>
        <v/>
      </c>
      <c r="D27" s="7" t="str">
        <f>IF('FGPO Master'!A21="","",'FGPO Master'!F21)</f>
        <v/>
      </c>
      <c r="E27" s="7" t="str">
        <f>IF('FGPO Master'!A21="","",'FGPO Master'!G21)</f>
        <v/>
      </c>
      <c r="F27" s="19" t="str">
        <f>IF('FGPO Master'!A21="","",'FGPO Master'!H21)</f>
        <v/>
      </c>
      <c r="G27" s="19" t="str">
        <f>IF('FGPO Master'!A21="","",'FGPO Master'!M21)</f>
        <v/>
      </c>
      <c r="H27" s="19" t="str">
        <f>IF(B27="","",SUMIF('Fabric Requirement'!$B$5:$B$304,B27,'Fabric Requirement'!$M$5:$M$304)+SUMIF('Fabric Requirement'!$B$5:$B$304,B27,'Fabric Requirement'!$O$5:$O$304))</f>
        <v/>
      </c>
      <c r="I27" s="19" t="str">
        <f>IF(B27="","",SUMIF('Fabric PO'!$B$5:$B$304,B27,'Fabric PO'!$H$5:$H$304))</f>
        <v/>
      </c>
      <c r="J27" s="19" t="str">
        <f>IF(B27="","",SUMIF('Mill Production'!$C$5:$C$304,B27,'Mill Production'!$I$5:$I$304))</f>
        <v/>
      </c>
      <c r="K27" s="7" t="str">
        <f>IF(B27="","",IF(COUNTIF('Mill Test'!$C$5:$C$304,B27)=0,"Pending",IF(COUNTIFS('Mill Test'!$C$5:$C$304,B27,'Mill Test'!$T$5:$T$304,"Failed")&gt;0,"Failed","Passed")))</f>
        <v/>
      </c>
      <c r="L27" s="19" t="str">
        <f>IF(B27="","",SUMIF('Fabric Shipment'!$C$5:$C$304,B27,'Fabric Shipment'!$G$5:$G$304))</f>
        <v/>
      </c>
      <c r="M27" s="19" t="str">
        <f>IF(B27="","",SUMIF('Fabric Shipment'!$C$5:$C$304,B27,'Fabric Shipment'!$R$5:$R$304))</f>
        <v/>
      </c>
      <c r="N27" s="19" t="str">
        <f>IF(B27="","",SUMIF('Fabric Receiving'!$E$5:$E$304,B27,'Fabric Receiving'!$H$5:$H$304))</f>
        <v/>
      </c>
      <c r="O27" s="19" t="str">
        <f>IF(B27="","",SUMIF('Fabric Receiving'!$E$5:$E$304,B27,'Fabric Receiving'!$I$5:$I$304))</f>
        <v/>
      </c>
      <c r="P27" s="7" t="str">
        <f>IF(B27="","",IF(COUNTIF('Four-Point'!$E$5:$E$304,B27)=0,"Pending",IF(COUNTIFS('Four-Point'!$E$5:$E$304,B27,'Four-Point'!$T$5:$T$304,"Failed")&gt;0,"Failed","Passed")))</f>
        <v/>
      </c>
      <c r="Q27" s="7" t="str">
        <f>IF(B27="","",IF(COUNTIF('Internal Test'!$D$5:$D$304,B27)=0,"Pending",IF(COUNTIFS('Internal Test'!$D$5:$D$304,B27,'Internal Test'!$AA$5:$AA$304,"Failed")&gt;0,"Failed","Passed")))</f>
        <v/>
      </c>
      <c r="R27" s="7" t="str">
        <f>IF(B27="","",IF(COUNTIF('Shade Match'!$C$5:$C$304,B27)=0,"Pending",IF(COUNTIFS('Shade Match'!$C$5:$C$304,B27,'Shade Match'!$Q$5:$Q$304,"Failed")&gt;0,"Failed","Approved")))</f>
        <v/>
      </c>
      <c r="S27" s="19" t="str">
        <f>IF(B27="","",SUMIF('Fabric Inventory'!$C$5:$C$304,B27,'Fabric Inventory'!$H$5:$H$304))</f>
        <v/>
      </c>
      <c r="T27" s="19" t="str">
        <f>IF(B27="","",SUMIF('Fabric Inventory'!$C$5:$C$304,B27,'Fabric Inventory'!$K$5:$K$304))</f>
        <v/>
      </c>
      <c r="U27" s="19" t="str">
        <f>IF(B27="","",SUMIF('Fabric Inventory'!$C$5:$C$304,B27,'Fabric Inventory'!$L$5:$L$304))</f>
        <v/>
      </c>
      <c r="V27" s="19" t="str">
        <f>IF(B27="","",SUMIF('Fabric Inventory'!$C$5:$C$304,B27,'Fabric Inventory'!$N$5:$N$304))</f>
        <v/>
      </c>
      <c r="W27" s="19" t="str">
        <f>IF(B27="","",SUMIF('Fabric Inventory'!$C$5:$C$304,B27,'Fabric Inventory'!$O$5:$O$304))</f>
        <v/>
      </c>
    </row>
    <row r="28" spans="1:23">
      <c r="A28" s="7" t="str">
        <f>IF('FGPO Master'!A22="","",'FGPO Master'!E22)</f>
        <v/>
      </c>
      <c r="B28" s="7" t="str">
        <f>IF('FGPO Master'!A22="","",IF('FGPO Master'!D22="FGPO Pending","FGPO Pending",'FGPO Master'!B22))</f>
        <v/>
      </c>
      <c r="C28" s="7" t="str">
        <f>IF('FGPO Master'!A22="","",'FGPO Master'!D22)</f>
        <v/>
      </c>
      <c r="D28" s="7" t="str">
        <f>IF('FGPO Master'!A22="","",'FGPO Master'!F22)</f>
        <v/>
      </c>
      <c r="E28" s="7" t="str">
        <f>IF('FGPO Master'!A22="","",'FGPO Master'!G22)</f>
        <v/>
      </c>
      <c r="F28" s="19" t="str">
        <f>IF('FGPO Master'!A22="","",'FGPO Master'!H22)</f>
        <v/>
      </c>
      <c r="G28" s="19" t="str">
        <f>IF('FGPO Master'!A22="","",'FGPO Master'!M22)</f>
        <v/>
      </c>
      <c r="H28" s="19" t="str">
        <f>IF(B28="","",SUMIF('Fabric Requirement'!$B$5:$B$304,B28,'Fabric Requirement'!$M$5:$M$304)+SUMIF('Fabric Requirement'!$B$5:$B$304,B28,'Fabric Requirement'!$O$5:$O$304))</f>
        <v/>
      </c>
      <c r="I28" s="19" t="str">
        <f>IF(B28="","",SUMIF('Fabric PO'!$B$5:$B$304,B28,'Fabric PO'!$H$5:$H$304))</f>
        <v/>
      </c>
      <c r="J28" s="19" t="str">
        <f>IF(B28="","",SUMIF('Mill Production'!$C$5:$C$304,B28,'Mill Production'!$I$5:$I$304))</f>
        <v/>
      </c>
      <c r="K28" s="7" t="str">
        <f>IF(B28="","",IF(COUNTIF('Mill Test'!$C$5:$C$304,B28)=0,"Pending",IF(COUNTIFS('Mill Test'!$C$5:$C$304,B28,'Mill Test'!$T$5:$T$304,"Failed")&gt;0,"Failed","Passed")))</f>
        <v/>
      </c>
      <c r="L28" s="19" t="str">
        <f>IF(B28="","",SUMIF('Fabric Shipment'!$C$5:$C$304,B28,'Fabric Shipment'!$G$5:$G$304))</f>
        <v/>
      </c>
      <c r="M28" s="19" t="str">
        <f>IF(B28="","",SUMIF('Fabric Shipment'!$C$5:$C$304,B28,'Fabric Shipment'!$R$5:$R$304))</f>
        <v/>
      </c>
      <c r="N28" s="19" t="str">
        <f>IF(B28="","",SUMIF('Fabric Receiving'!$E$5:$E$304,B28,'Fabric Receiving'!$H$5:$H$304))</f>
        <v/>
      </c>
      <c r="O28" s="19" t="str">
        <f>IF(B28="","",SUMIF('Fabric Receiving'!$E$5:$E$304,B28,'Fabric Receiving'!$I$5:$I$304))</f>
        <v/>
      </c>
      <c r="P28" s="7" t="str">
        <f>IF(B28="","",IF(COUNTIF('Four-Point'!$E$5:$E$304,B28)=0,"Pending",IF(COUNTIFS('Four-Point'!$E$5:$E$304,B28,'Four-Point'!$T$5:$T$304,"Failed")&gt;0,"Failed","Passed")))</f>
        <v/>
      </c>
      <c r="Q28" s="7" t="str">
        <f>IF(B28="","",IF(COUNTIF('Internal Test'!$D$5:$D$304,B28)=0,"Pending",IF(COUNTIFS('Internal Test'!$D$5:$D$304,B28,'Internal Test'!$AA$5:$AA$304,"Failed")&gt;0,"Failed","Passed")))</f>
        <v/>
      </c>
      <c r="R28" s="7" t="str">
        <f>IF(B28="","",IF(COUNTIF('Shade Match'!$C$5:$C$304,B28)=0,"Pending",IF(COUNTIFS('Shade Match'!$C$5:$C$304,B28,'Shade Match'!$Q$5:$Q$304,"Failed")&gt;0,"Failed","Approved")))</f>
        <v/>
      </c>
      <c r="S28" s="19" t="str">
        <f>IF(B28="","",SUMIF('Fabric Inventory'!$C$5:$C$304,B28,'Fabric Inventory'!$H$5:$H$304))</f>
        <v/>
      </c>
      <c r="T28" s="19" t="str">
        <f>IF(B28="","",SUMIF('Fabric Inventory'!$C$5:$C$304,B28,'Fabric Inventory'!$K$5:$K$304))</f>
        <v/>
      </c>
      <c r="U28" s="19" t="str">
        <f>IF(B28="","",SUMIF('Fabric Inventory'!$C$5:$C$304,B28,'Fabric Inventory'!$L$5:$L$304))</f>
        <v/>
      </c>
      <c r="V28" s="19" t="str">
        <f>IF(B28="","",SUMIF('Fabric Inventory'!$C$5:$C$304,B28,'Fabric Inventory'!$N$5:$N$304))</f>
        <v/>
      </c>
      <c r="W28" s="19" t="str">
        <f>IF(B28="","",SUMIF('Fabric Inventory'!$C$5:$C$304,B28,'Fabric Inventory'!$O$5:$O$304))</f>
        <v/>
      </c>
    </row>
    <row r="29" spans="1:23">
      <c r="A29" s="7" t="str">
        <f>IF('FGPO Master'!A23="","",'FGPO Master'!E23)</f>
        <v/>
      </c>
      <c r="B29" s="7" t="str">
        <f>IF('FGPO Master'!A23="","",IF('FGPO Master'!D23="FGPO Pending","FGPO Pending",'FGPO Master'!B23))</f>
        <v/>
      </c>
      <c r="C29" s="7" t="str">
        <f>IF('FGPO Master'!A23="","",'FGPO Master'!D23)</f>
        <v/>
      </c>
      <c r="D29" s="7" t="str">
        <f>IF('FGPO Master'!A23="","",'FGPO Master'!F23)</f>
        <v/>
      </c>
      <c r="E29" s="7" t="str">
        <f>IF('FGPO Master'!A23="","",'FGPO Master'!G23)</f>
        <v/>
      </c>
      <c r="F29" s="19" t="str">
        <f>IF('FGPO Master'!A23="","",'FGPO Master'!H23)</f>
        <v/>
      </c>
      <c r="G29" s="19" t="str">
        <f>IF('FGPO Master'!A23="","",'FGPO Master'!M23)</f>
        <v/>
      </c>
      <c r="H29" s="19" t="str">
        <f>IF(B29="","",SUMIF('Fabric Requirement'!$B$5:$B$304,B29,'Fabric Requirement'!$M$5:$M$304)+SUMIF('Fabric Requirement'!$B$5:$B$304,B29,'Fabric Requirement'!$O$5:$O$304))</f>
        <v/>
      </c>
      <c r="I29" s="19" t="str">
        <f>IF(B29="","",SUMIF('Fabric PO'!$B$5:$B$304,B29,'Fabric PO'!$H$5:$H$304))</f>
        <v/>
      </c>
      <c r="J29" s="19" t="str">
        <f>IF(B29="","",SUMIF('Mill Production'!$C$5:$C$304,B29,'Mill Production'!$I$5:$I$304))</f>
        <v/>
      </c>
      <c r="K29" s="7" t="str">
        <f>IF(B29="","",IF(COUNTIF('Mill Test'!$C$5:$C$304,B29)=0,"Pending",IF(COUNTIFS('Mill Test'!$C$5:$C$304,B29,'Mill Test'!$T$5:$T$304,"Failed")&gt;0,"Failed","Passed")))</f>
        <v/>
      </c>
      <c r="L29" s="19" t="str">
        <f>IF(B29="","",SUMIF('Fabric Shipment'!$C$5:$C$304,B29,'Fabric Shipment'!$G$5:$G$304))</f>
        <v/>
      </c>
      <c r="M29" s="19" t="str">
        <f>IF(B29="","",SUMIF('Fabric Shipment'!$C$5:$C$304,B29,'Fabric Shipment'!$R$5:$R$304))</f>
        <v/>
      </c>
      <c r="N29" s="19" t="str">
        <f>IF(B29="","",SUMIF('Fabric Receiving'!$E$5:$E$304,B29,'Fabric Receiving'!$H$5:$H$304))</f>
        <v/>
      </c>
      <c r="O29" s="19" t="str">
        <f>IF(B29="","",SUMIF('Fabric Receiving'!$E$5:$E$304,B29,'Fabric Receiving'!$I$5:$I$304))</f>
        <v/>
      </c>
      <c r="P29" s="7" t="str">
        <f>IF(B29="","",IF(COUNTIF('Four-Point'!$E$5:$E$304,B29)=0,"Pending",IF(COUNTIFS('Four-Point'!$E$5:$E$304,B29,'Four-Point'!$T$5:$T$304,"Failed")&gt;0,"Failed","Passed")))</f>
        <v/>
      </c>
      <c r="Q29" s="7" t="str">
        <f>IF(B29="","",IF(COUNTIF('Internal Test'!$D$5:$D$304,B29)=0,"Pending",IF(COUNTIFS('Internal Test'!$D$5:$D$304,B29,'Internal Test'!$AA$5:$AA$304,"Failed")&gt;0,"Failed","Passed")))</f>
        <v/>
      </c>
      <c r="R29" s="7" t="str">
        <f>IF(B29="","",IF(COUNTIF('Shade Match'!$C$5:$C$304,B29)=0,"Pending",IF(COUNTIFS('Shade Match'!$C$5:$C$304,B29,'Shade Match'!$Q$5:$Q$304,"Failed")&gt;0,"Failed","Approved")))</f>
        <v/>
      </c>
      <c r="S29" s="19" t="str">
        <f>IF(B29="","",SUMIF('Fabric Inventory'!$C$5:$C$304,B29,'Fabric Inventory'!$H$5:$H$304))</f>
        <v/>
      </c>
      <c r="T29" s="19" t="str">
        <f>IF(B29="","",SUMIF('Fabric Inventory'!$C$5:$C$304,B29,'Fabric Inventory'!$K$5:$K$304))</f>
        <v/>
      </c>
      <c r="U29" s="19" t="str">
        <f>IF(B29="","",SUMIF('Fabric Inventory'!$C$5:$C$304,B29,'Fabric Inventory'!$L$5:$L$304))</f>
        <v/>
      </c>
      <c r="V29" s="19" t="str">
        <f>IF(B29="","",SUMIF('Fabric Inventory'!$C$5:$C$304,B29,'Fabric Inventory'!$N$5:$N$304))</f>
        <v/>
      </c>
      <c r="W29" s="19" t="str">
        <f>IF(B29="","",SUMIF('Fabric Inventory'!$C$5:$C$304,B29,'Fabric Inventory'!$O$5:$O$304))</f>
        <v/>
      </c>
    </row>
    <row r="30" spans="1:23">
      <c r="A30" s="7" t="str">
        <f>IF('FGPO Master'!A24="","",'FGPO Master'!E24)</f>
        <v/>
      </c>
      <c r="B30" s="7" t="str">
        <f>IF('FGPO Master'!A24="","",IF('FGPO Master'!D24="FGPO Pending","FGPO Pending",'FGPO Master'!B24))</f>
        <v/>
      </c>
      <c r="C30" s="7" t="str">
        <f>IF('FGPO Master'!A24="","",'FGPO Master'!D24)</f>
        <v/>
      </c>
      <c r="D30" s="7" t="str">
        <f>IF('FGPO Master'!A24="","",'FGPO Master'!F24)</f>
        <v/>
      </c>
      <c r="E30" s="7" t="str">
        <f>IF('FGPO Master'!A24="","",'FGPO Master'!G24)</f>
        <v/>
      </c>
      <c r="F30" s="19" t="str">
        <f>IF('FGPO Master'!A24="","",'FGPO Master'!H24)</f>
        <v/>
      </c>
      <c r="G30" s="19" t="str">
        <f>IF('FGPO Master'!A24="","",'FGPO Master'!M24)</f>
        <v/>
      </c>
      <c r="H30" s="19" t="str">
        <f>IF(B30="","",SUMIF('Fabric Requirement'!$B$5:$B$304,B30,'Fabric Requirement'!$M$5:$M$304)+SUMIF('Fabric Requirement'!$B$5:$B$304,B30,'Fabric Requirement'!$O$5:$O$304))</f>
        <v/>
      </c>
      <c r="I30" s="19" t="str">
        <f>IF(B30="","",SUMIF('Fabric PO'!$B$5:$B$304,B30,'Fabric PO'!$H$5:$H$304))</f>
        <v/>
      </c>
      <c r="J30" s="19" t="str">
        <f>IF(B30="","",SUMIF('Mill Production'!$C$5:$C$304,B30,'Mill Production'!$I$5:$I$304))</f>
        <v/>
      </c>
      <c r="K30" s="7" t="str">
        <f>IF(B30="","",IF(COUNTIF('Mill Test'!$C$5:$C$304,B30)=0,"Pending",IF(COUNTIFS('Mill Test'!$C$5:$C$304,B30,'Mill Test'!$T$5:$T$304,"Failed")&gt;0,"Failed","Passed")))</f>
        <v/>
      </c>
      <c r="L30" s="19" t="str">
        <f>IF(B30="","",SUMIF('Fabric Shipment'!$C$5:$C$304,B30,'Fabric Shipment'!$G$5:$G$304))</f>
        <v/>
      </c>
      <c r="M30" s="19" t="str">
        <f>IF(B30="","",SUMIF('Fabric Shipment'!$C$5:$C$304,B30,'Fabric Shipment'!$R$5:$R$304))</f>
        <v/>
      </c>
      <c r="N30" s="19" t="str">
        <f>IF(B30="","",SUMIF('Fabric Receiving'!$E$5:$E$304,B30,'Fabric Receiving'!$H$5:$H$304))</f>
        <v/>
      </c>
      <c r="O30" s="19" t="str">
        <f>IF(B30="","",SUMIF('Fabric Receiving'!$E$5:$E$304,B30,'Fabric Receiving'!$I$5:$I$304))</f>
        <v/>
      </c>
      <c r="P30" s="7" t="str">
        <f>IF(B30="","",IF(COUNTIF('Four-Point'!$E$5:$E$304,B30)=0,"Pending",IF(COUNTIFS('Four-Point'!$E$5:$E$304,B30,'Four-Point'!$T$5:$T$304,"Failed")&gt;0,"Failed","Passed")))</f>
        <v/>
      </c>
      <c r="Q30" s="7" t="str">
        <f>IF(B30="","",IF(COUNTIF('Internal Test'!$D$5:$D$304,B30)=0,"Pending",IF(COUNTIFS('Internal Test'!$D$5:$D$304,B30,'Internal Test'!$AA$5:$AA$304,"Failed")&gt;0,"Failed","Passed")))</f>
        <v/>
      </c>
      <c r="R30" s="7" t="str">
        <f>IF(B30="","",IF(COUNTIF('Shade Match'!$C$5:$C$304,B30)=0,"Pending",IF(COUNTIFS('Shade Match'!$C$5:$C$304,B30,'Shade Match'!$Q$5:$Q$304,"Failed")&gt;0,"Failed","Approved")))</f>
        <v/>
      </c>
      <c r="S30" s="19" t="str">
        <f>IF(B30="","",SUMIF('Fabric Inventory'!$C$5:$C$304,B30,'Fabric Inventory'!$H$5:$H$304))</f>
        <v/>
      </c>
      <c r="T30" s="19" t="str">
        <f>IF(B30="","",SUMIF('Fabric Inventory'!$C$5:$C$304,B30,'Fabric Inventory'!$K$5:$K$304))</f>
        <v/>
      </c>
      <c r="U30" s="19" t="str">
        <f>IF(B30="","",SUMIF('Fabric Inventory'!$C$5:$C$304,B30,'Fabric Inventory'!$L$5:$L$304))</f>
        <v/>
      </c>
      <c r="V30" s="19" t="str">
        <f>IF(B30="","",SUMIF('Fabric Inventory'!$C$5:$C$304,B30,'Fabric Inventory'!$N$5:$N$304))</f>
        <v/>
      </c>
      <c r="W30" s="19" t="str">
        <f>IF(B30="","",SUMIF('Fabric Inventory'!$C$5:$C$304,B30,'Fabric Inventory'!$O$5:$O$304))</f>
        <v/>
      </c>
    </row>
    <row r="31" spans="1:23">
      <c r="A31" s="7" t="str">
        <f>IF('FGPO Master'!A25="","",'FGPO Master'!E25)</f>
        <v/>
      </c>
      <c r="B31" s="7" t="str">
        <f>IF('FGPO Master'!A25="","",IF('FGPO Master'!D25="FGPO Pending","FGPO Pending",'FGPO Master'!B25))</f>
        <v/>
      </c>
      <c r="C31" s="7" t="str">
        <f>IF('FGPO Master'!A25="","",'FGPO Master'!D25)</f>
        <v/>
      </c>
      <c r="D31" s="7" t="str">
        <f>IF('FGPO Master'!A25="","",'FGPO Master'!F25)</f>
        <v/>
      </c>
      <c r="E31" s="7" t="str">
        <f>IF('FGPO Master'!A25="","",'FGPO Master'!G25)</f>
        <v/>
      </c>
      <c r="F31" s="19" t="str">
        <f>IF('FGPO Master'!A25="","",'FGPO Master'!H25)</f>
        <v/>
      </c>
      <c r="G31" s="19" t="str">
        <f>IF('FGPO Master'!A25="","",'FGPO Master'!M25)</f>
        <v/>
      </c>
      <c r="H31" s="19" t="str">
        <f>IF(B31="","",SUMIF('Fabric Requirement'!$B$5:$B$304,B31,'Fabric Requirement'!$M$5:$M$304)+SUMIF('Fabric Requirement'!$B$5:$B$304,B31,'Fabric Requirement'!$O$5:$O$304))</f>
        <v/>
      </c>
      <c r="I31" s="19" t="str">
        <f>IF(B31="","",SUMIF('Fabric PO'!$B$5:$B$304,B31,'Fabric PO'!$H$5:$H$304))</f>
        <v/>
      </c>
      <c r="J31" s="19" t="str">
        <f>IF(B31="","",SUMIF('Mill Production'!$C$5:$C$304,B31,'Mill Production'!$I$5:$I$304))</f>
        <v/>
      </c>
      <c r="K31" s="7" t="str">
        <f>IF(B31="","",IF(COUNTIF('Mill Test'!$C$5:$C$304,B31)=0,"Pending",IF(COUNTIFS('Mill Test'!$C$5:$C$304,B31,'Mill Test'!$T$5:$T$304,"Failed")&gt;0,"Failed","Passed")))</f>
        <v/>
      </c>
      <c r="L31" s="19" t="str">
        <f>IF(B31="","",SUMIF('Fabric Shipment'!$C$5:$C$304,B31,'Fabric Shipment'!$G$5:$G$304))</f>
        <v/>
      </c>
      <c r="M31" s="19" t="str">
        <f>IF(B31="","",SUMIF('Fabric Shipment'!$C$5:$C$304,B31,'Fabric Shipment'!$R$5:$R$304))</f>
        <v/>
      </c>
      <c r="N31" s="19" t="str">
        <f>IF(B31="","",SUMIF('Fabric Receiving'!$E$5:$E$304,B31,'Fabric Receiving'!$H$5:$H$304))</f>
        <v/>
      </c>
      <c r="O31" s="19" t="str">
        <f>IF(B31="","",SUMIF('Fabric Receiving'!$E$5:$E$304,B31,'Fabric Receiving'!$I$5:$I$304))</f>
        <v/>
      </c>
      <c r="P31" s="7" t="str">
        <f>IF(B31="","",IF(COUNTIF('Four-Point'!$E$5:$E$304,B31)=0,"Pending",IF(COUNTIFS('Four-Point'!$E$5:$E$304,B31,'Four-Point'!$T$5:$T$304,"Failed")&gt;0,"Failed","Passed")))</f>
        <v/>
      </c>
      <c r="Q31" s="7" t="str">
        <f>IF(B31="","",IF(COUNTIF('Internal Test'!$D$5:$D$304,B31)=0,"Pending",IF(COUNTIFS('Internal Test'!$D$5:$D$304,B31,'Internal Test'!$AA$5:$AA$304,"Failed")&gt;0,"Failed","Passed")))</f>
        <v/>
      </c>
      <c r="R31" s="7" t="str">
        <f>IF(B31="","",IF(COUNTIF('Shade Match'!$C$5:$C$304,B31)=0,"Pending",IF(COUNTIFS('Shade Match'!$C$5:$C$304,B31,'Shade Match'!$Q$5:$Q$304,"Failed")&gt;0,"Failed","Approved")))</f>
        <v/>
      </c>
      <c r="S31" s="19" t="str">
        <f>IF(B31="","",SUMIF('Fabric Inventory'!$C$5:$C$304,B31,'Fabric Inventory'!$H$5:$H$304))</f>
        <v/>
      </c>
      <c r="T31" s="19" t="str">
        <f>IF(B31="","",SUMIF('Fabric Inventory'!$C$5:$C$304,B31,'Fabric Inventory'!$K$5:$K$304))</f>
        <v/>
      </c>
      <c r="U31" s="19" t="str">
        <f>IF(B31="","",SUMIF('Fabric Inventory'!$C$5:$C$304,B31,'Fabric Inventory'!$L$5:$L$304))</f>
        <v/>
      </c>
      <c r="V31" s="19" t="str">
        <f>IF(B31="","",SUMIF('Fabric Inventory'!$C$5:$C$304,B31,'Fabric Inventory'!$N$5:$N$304))</f>
        <v/>
      </c>
      <c r="W31" s="19" t="str">
        <f>IF(B31="","",SUMIF('Fabric Inventory'!$C$5:$C$304,B31,'Fabric Inventory'!$O$5:$O$304))</f>
        <v/>
      </c>
    </row>
    <row r="32" spans="1:23">
      <c r="A32" s="7" t="str">
        <f>IF('FGPO Master'!A26="","",'FGPO Master'!E26)</f>
        <v/>
      </c>
      <c r="B32" s="7" t="str">
        <f>IF('FGPO Master'!A26="","",IF('FGPO Master'!D26="FGPO Pending","FGPO Pending",'FGPO Master'!B26))</f>
        <v/>
      </c>
      <c r="C32" s="7" t="str">
        <f>IF('FGPO Master'!A26="","",'FGPO Master'!D26)</f>
        <v/>
      </c>
      <c r="D32" s="7" t="str">
        <f>IF('FGPO Master'!A26="","",'FGPO Master'!F26)</f>
        <v/>
      </c>
      <c r="E32" s="7" t="str">
        <f>IF('FGPO Master'!A26="","",'FGPO Master'!G26)</f>
        <v/>
      </c>
      <c r="F32" s="19" t="str">
        <f>IF('FGPO Master'!A26="","",'FGPO Master'!H26)</f>
        <v/>
      </c>
      <c r="G32" s="19" t="str">
        <f>IF('FGPO Master'!A26="","",'FGPO Master'!M26)</f>
        <v/>
      </c>
      <c r="H32" s="19" t="str">
        <f>IF(B32="","",SUMIF('Fabric Requirement'!$B$5:$B$304,B32,'Fabric Requirement'!$M$5:$M$304)+SUMIF('Fabric Requirement'!$B$5:$B$304,B32,'Fabric Requirement'!$O$5:$O$304))</f>
        <v/>
      </c>
      <c r="I32" s="19" t="str">
        <f>IF(B32="","",SUMIF('Fabric PO'!$B$5:$B$304,B32,'Fabric PO'!$H$5:$H$304))</f>
        <v/>
      </c>
      <c r="J32" s="19" t="str">
        <f>IF(B32="","",SUMIF('Mill Production'!$C$5:$C$304,B32,'Mill Production'!$I$5:$I$304))</f>
        <v/>
      </c>
      <c r="K32" s="7" t="str">
        <f>IF(B32="","",IF(COUNTIF('Mill Test'!$C$5:$C$304,B32)=0,"Pending",IF(COUNTIFS('Mill Test'!$C$5:$C$304,B32,'Mill Test'!$T$5:$T$304,"Failed")&gt;0,"Failed","Passed")))</f>
        <v/>
      </c>
      <c r="L32" s="19" t="str">
        <f>IF(B32="","",SUMIF('Fabric Shipment'!$C$5:$C$304,B32,'Fabric Shipment'!$G$5:$G$304))</f>
        <v/>
      </c>
      <c r="M32" s="19" t="str">
        <f>IF(B32="","",SUMIF('Fabric Shipment'!$C$5:$C$304,B32,'Fabric Shipment'!$R$5:$R$304))</f>
        <v/>
      </c>
      <c r="N32" s="19" t="str">
        <f>IF(B32="","",SUMIF('Fabric Receiving'!$E$5:$E$304,B32,'Fabric Receiving'!$H$5:$H$304))</f>
        <v/>
      </c>
      <c r="O32" s="19" t="str">
        <f>IF(B32="","",SUMIF('Fabric Receiving'!$E$5:$E$304,B32,'Fabric Receiving'!$I$5:$I$304))</f>
        <v/>
      </c>
      <c r="P32" s="7" t="str">
        <f>IF(B32="","",IF(COUNTIF('Four-Point'!$E$5:$E$304,B32)=0,"Pending",IF(COUNTIFS('Four-Point'!$E$5:$E$304,B32,'Four-Point'!$T$5:$T$304,"Failed")&gt;0,"Failed","Passed")))</f>
        <v/>
      </c>
      <c r="Q32" s="7" t="str">
        <f>IF(B32="","",IF(COUNTIF('Internal Test'!$D$5:$D$304,B32)=0,"Pending",IF(COUNTIFS('Internal Test'!$D$5:$D$304,B32,'Internal Test'!$AA$5:$AA$304,"Failed")&gt;0,"Failed","Passed")))</f>
        <v/>
      </c>
      <c r="R32" s="7" t="str">
        <f>IF(B32="","",IF(COUNTIF('Shade Match'!$C$5:$C$304,B32)=0,"Pending",IF(COUNTIFS('Shade Match'!$C$5:$C$304,B32,'Shade Match'!$Q$5:$Q$304,"Failed")&gt;0,"Failed","Approved")))</f>
        <v/>
      </c>
      <c r="S32" s="19" t="str">
        <f>IF(B32="","",SUMIF('Fabric Inventory'!$C$5:$C$304,B32,'Fabric Inventory'!$H$5:$H$304))</f>
        <v/>
      </c>
      <c r="T32" s="19" t="str">
        <f>IF(B32="","",SUMIF('Fabric Inventory'!$C$5:$C$304,B32,'Fabric Inventory'!$K$5:$K$304))</f>
        <v/>
      </c>
      <c r="U32" s="19" t="str">
        <f>IF(B32="","",SUMIF('Fabric Inventory'!$C$5:$C$304,B32,'Fabric Inventory'!$L$5:$L$304))</f>
        <v/>
      </c>
      <c r="V32" s="19" t="str">
        <f>IF(B32="","",SUMIF('Fabric Inventory'!$C$5:$C$304,B32,'Fabric Inventory'!$N$5:$N$304))</f>
        <v/>
      </c>
      <c r="W32" s="19" t="str">
        <f>IF(B32="","",SUMIF('Fabric Inventory'!$C$5:$C$304,B32,'Fabric Inventory'!$O$5:$O$304))</f>
        <v/>
      </c>
    </row>
    <row r="33" spans="1:23">
      <c r="A33" s="7" t="str">
        <f>IF('FGPO Master'!A27="","",'FGPO Master'!E27)</f>
        <v/>
      </c>
      <c r="B33" s="7" t="str">
        <f>IF('FGPO Master'!A27="","",IF('FGPO Master'!D27="FGPO Pending","FGPO Pending",'FGPO Master'!B27))</f>
        <v/>
      </c>
      <c r="C33" s="7" t="str">
        <f>IF('FGPO Master'!A27="","",'FGPO Master'!D27)</f>
        <v/>
      </c>
      <c r="D33" s="7" t="str">
        <f>IF('FGPO Master'!A27="","",'FGPO Master'!F27)</f>
        <v/>
      </c>
      <c r="E33" s="7" t="str">
        <f>IF('FGPO Master'!A27="","",'FGPO Master'!G27)</f>
        <v/>
      </c>
      <c r="F33" s="19" t="str">
        <f>IF('FGPO Master'!A27="","",'FGPO Master'!H27)</f>
        <v/>
      </c>
      <c r="G33" s="19" t="str">
        <f>IF('FGPO Master'!A27="","",'FGPO Master'!M27)</f>
        <v/>
      </c>
      <c r="H33" s="19" t="str">
        <f>IF(B33="","",SUMIF('Fabric Requirement'!$B$5:$B$304,B33,'Fabric Requirement'!$M$5:$M$304)+SUMIF('Fabric Requirement'!$B$5:$B$304,B33,'Fabric Requirement'!$O$5:$O$304))</f>
        <v/>
      </c>
      <c r="I33" s="19" t="str">
        <f>IF(B33="","",SUMIF('Fabric PO'!$B$5:$B$304,B33,'Fabric PO'!$H$5:$H$304))</f>
        <v/>
      </c>
      <c r="J33" s="19" t="str">
        <f>IF(B33="","",SUMIF('Mill Production'!$C$5:$C$304,B33,'Mill Production'!$I$5:$I$304))</f>
        <v/>
      </c>
      <c r="K33" s="7" t="str">
        <f>IF(B33="","",IF(COUNTIF('Mill Test'!$C$5:$C$304,B33)=0,"Pending",IF(COUNTIFS('Mill Test'!$C$5:$C$304,B33,'Mill Test'!$T$5:$T$304,"Failed")&gt;0,"Failed","Passed")))</f>
        <v/>
      </c>
      <c r="L33" s="19" t="str">
        <f>IF(B33="","",SUMIF('Fabric Shipment'!$C$5:$C$304,B33,'Fabric Shipment'!$G$5:$G$304))</f>
        <v/>
      </c>
      <c r="M33" s="19" t="str">
        <f>IF(B33="","",SUMIF('Fabric Shipment'!$C$5:$C$304,B33,'Fabric Shipment'!$R$5:$R$304))</f>
        <v/>
      </c>
      <c r="N33" s="19" t="str">
        <f>IF(B33="","",SUMIF('Fabric Receiving'!$E$5:$E$304,B33,'Fabric Receiving'!$H$5:$H$304))</f>
        <v/>
      </c>
      <c r="O33" s="19" t="str">
        <f>IF(B33="","",SUMIF('Fabric Receiving'!$E$5:$E$304,B33,'Fabric Receiving'!$I$5:$I$304))</f>
        <v/>
      </c>
      <c r="P33" s="7" t="str">
        <f>IF(B33="","",IF(COUNTIF('Four-Point'!$E$5:$E$304,B33)=0,"Pending",IF(COUNTIFS('Four-Point'!$E$5:$E$304,B33,'Four-Point'!$T$5:$T$304,"Failed")&gt;0,"Failed","Passed")))</f>
        <v/>
      </c>
      <c r="Q33" s="7" t="str">
        <f>IF(B33="","",IF(COUNTIF('Internal Test'!$D$5:$D$304,B33)=0,"Pending",IF(COUNTIFS('Internal Test'!$D$5:$D$304,B33,'Internal Test'!$AA$5:$AA$304,"Failed")&gt;0,"Failed","Passed")))</f>
        <v/>
      </c>
      <c r="R33" s="7" t="str">
        <f>IF(B33="","",IF(COUNTIF('Shade Match'!$C$5:$C$304,B33)=0,"Pending",IF(COUNTIFS('Shade Match'!$C$5:$C$304,B33,'Shade Match'!$Q$5:$Q$304,"Failed")&gt;0,"Failed","Approved")))</f>
        <v/>
      </c>
      <c r="S33" s="19" t="str">
        <f>IF(B33="","",SUMIF('Fabric Inventory'!$C$5:$C$304,B33,'Fabric Inventory'!$H$5:$H$304))</f>
        <v/>
      </c>
      <c r="T33" s="19" t="str">
        <f>IF(B33="","",SUMIF('Fabric Inventory'!$C$5:$C$304,B33,'Fabric Inventory'!$K$5:$K$304))</f>
        <v/>
      </c>
      <c r="U33" s="19" t="str">
        <f>IF(B33="","",SUMIF('Fabric Inventory'!$C$5:$C$304,B33,'Fabric Inventory'!$L$5:$L$304))</f>
        <v/>
      </c>
      <c r="V33" s="19" t="str">
        <f>IF(B33="","",SUMIF('Fabric Inventory'!$C$5:$C$304,B33,'Fabric Inventory'!$N$5:$N$304))</f>
        <v/>
      </c>
      <c r="W33" s="19" t="str">
        <f>IF(B33="","",SUMIF('Fabric Inventory'!$C$5:$C$304,B33,'Fabric Inventory'!$O$5:$O$304))</f>
        <v/>
      </c>
    </row>
    <row r="34" spans="1:23">
      <c r="A34" s="7" t="str">
        <f>IF('FGPO Master'!A28="","",'FGPO Master'!E28)</f>
        <v/>
      </c>
      <c r="B34" s="7" t="str">
        <f>IF('FGPO Master'!A28="","",IF('FGPO Master'!D28="FGPO Pending","FGPO Pending",'FGPO Master'!B28))</f>
        <v/>
      </c>
      <c r="C34" s="7" t="str">
        <f>IF('FGPO Master'!A28="","",'FGPO Master'!D28)</f>
        <v/>
      </c>
      <c r="D34" s="7" t="str">
        <f>IF('FGPO Master'!A28="","",'FGPO Master'!F28)</f>
        <v/>
      </c>
      <c r="E34" s="7" t="str">
        <f>IF('FGPO Master'!A28="","",'FGPO Master'!G28)</f>
        <v/>
      </c>
      <c r="F34" s="19" t="str">
        <f>IF('FGPO Master'!A28="","",'FGPO Master'!H28)</f>
        <v/>
      </c>
      <c r="G34" s="19" t="str">
        <f>IF('FGPO Master'!A28="","",'FGPO Master'!M28)</f>
        <v/>
      </c>
      <c r="H34" s="19" t="str">
        <f>IF(B34="","",SUMIF('Fabric Requirement'!$B$5:$B$304,B34,'Fabric Requirement'!$M$5:$M$304)+SUMIF('Fabric Requirement'!$B$5:$B$304,B34,'Fabric Requirement'!$O$5:$O$304))</f>
        <v/>
      </c>
      <c r="I34" s="19" t="str">
        <f>IF(B34="","",SUMIF('Fabric PO'!$B$5:$B$304,B34,'Fabric PO'!$H$5:$H$304))</f>
        <v/>
      </c>
      <c r="J34" s="19" t="str">
        <f>IF(B34="","",SUMIF('Mill Production'!$C$5:$C$304,B34,'Mill Production'!$I$5:$I$304))</f>
        <v/>
      </c>
      <c r="K34" s="7" t="str">
        <f>IF(B34="","",IF(COUNTIF('Mill Test'!$C$5:$C$304,B34)=0,"Pending",IF(COUNTIFS('Mill Test'!$C$5:$C$304,B34,'Mill Test'!$T$5:$T$304,"Failed")&gt;0,"Failed","Passed")))</f>
        <v/>
      </c>
      <c r="L34" s="19" t="str">
        <f>IF(B34="","",SUMIF('Fabric Shipment'!$C$5:$C$304,B34,'Fabric Shipment'!$G$5:$G$304))</f>
        <v/>
      </c>
      <c r="M34" s="19" t="str">
        <f>IF(B34="","",SUMIF('Fabric Shipment'!$C$5:$C$304,B34,'Fabric Shipment'!$R$5:$R$304))</f>
        <v/>
      </c>
      <c r="N34" s="19" t="str">
        <f>IF(B34="","",SUMIF('Fabric Receiving'!$E$5:$E$304,B34,'Fabric Receiving'!$H$5:$H$304))</f>
        <v/>
      </c>
      <c r="O34" s="19" t="str">
        <f>IF(B34="","",SUMIF('Fabric Receiving'!$E$5:$E$304,B34,'Fabric Receiving'!$I$5:$I$304))</f>
        <v/>
      </c>
      <c r="P34" s="7" t="str">
        <f>IF(B34="","",IF(COUNTIF('Four-Point'!$E$5:$E$304,B34)=0,"Pending",IF(COUNTIFS('Four-Point'!$E$5:$E$304,B34,'Four-Point'!$T$5:$T$304,"Failed")&gt;0,"Failed","Passed")))</f>
        <v/>
      </c>
      <c r="Q34" s="7" t="str">
        <f>IF(B34="","",IF(COUNTIF('Internal Test'!$D$5:$D$304,B34)=0,"Pending",IF(COUNTIFS('Internal Test'!$D$5:$D$304,B34,'Internal Test'!$AA$5:$AA$304,"Failed")&gt;0,"Failed","Passed")))</f>
        <v/>
      </c>
      <c r="R34" s="7" t="str">
        <f>IF(B34="","",IF(COUNTIF('Shade Match'!$C$5:$C$304,B34)=0,"Pending",IF(COUNTIFS('Shade Match'!$C$5:$C$304,B34,'Shade Match'!$Q$5:$Q$304,"Failed")&gt;0,"Failed","Approved")))</f>
        <v/>
      </c>
      <c r="S34" s="19" t="str">
        <f>IF(B34="","",SUMIF('Fabric Inventory'!$C$5:$C$304,B34,'Fabric Inventory'!$H$5:$H$304))</f>
        <v/>
      </c>
      <c r="T34" s="19" t="str">
        <f>IF(B34="","",SUMIF('Fabric Inventory'!$C$5:$C$304,B34,'Fabric Inventory'!$K$5:$K$304))</f>
        <v/>
      </c>
      <c r="U34" s="19" t="str">
        <f>IF(B34="","",SUMIF('Fabric Inventory'!$C$5:$C$304,B34,'Fabric Inventory'!$L$5:$L$304))</f>
        <v/>
      </c>
      <c r="V34" s="19" t="str">
        <f>IF(B34="","",SUMIF('Fabric Inventory'!$C$5:$C$304,B34,'Fabric Inventory'!$N$5:$N$304))</f>
        <v/>
      </c>
      <c r="W34" s="19" t="str">
        <f>IF(B34="","",SUMIF('Fabric Inventory'!$C$5:$C$304,B34,'Fabric Inventory'!$O$5:$O$304))</f>
        <v/>
      </c>
    </row>
    <row r="35" spans="1:23">
      <c r="A35" s="7" t="str">
        <f>IF('FGPO Master'!A29="","",'FGPO Master'!E29)</f>
        <v/>
      </c>
      <c r="B35" s="7" t="str">
        <f>IF('FGPO Master'!A29="","",IF('FGPO Master'!D29="FGPO Pending","FGPO Pending",'FGPO Master'!B29))</f>
        <v/>
      </c>
      <c r="C35" s="7" t="str">
        <f>IF('FGPO Master'!A29="","",'FGPO Master'!D29)</f>
        <v/>
      </c>
      <c r="D35" s="7" t="str">
        <f>IF('FGPO Master'!A29="","",'FGPO Master'!F29)</f>
        <v/>
      </c>
      <c r="E35" s="7" t="str">
        <f>IF('FGPO Master'!A29="","",'FGPO Master'!G29)</f>
        <v/>
      </c>
      <c r="F35" s="19" t="str">
        <f>IF('FGPO Master'!A29="","",'FGPO Master'!H29)</f>
        <v/>
      </c>
      <c r="G35" s="19" t="str">
        <f>IF('FGPO Master'!A29="","",'FGPO Master'!M29)</f>
        <v/>
      </c>
      <c r="H35" s="19" t="str">
        <f>IF(B35="","",SUMIF('Fabric Requirement'!$B$5:$B$304,B35,'Fabric Requirement'!$M$5:$M$304)+SUMIF('Fabric Requirement'!$B$5:$B$304,B35,'Fabric Requirement'!$O$5:$O$304))</f>
        <v/>
      </c>
      <c r="I35" s="19" t="str">
        <f>IF(B35="","",SUMIF('Fabric PO'!$B$5:$B$304,B35,'Fabric PO'!$H$5:$H$304))</f>
        <v/>
      </c>
      <c r="J35" s="19" t="str">
        <f>IF(B35="","",SUMIF('Mill Production'!$C$5:$C$304,B35,'Mill Production'!$I$5:$I$304))</f>
        <v/>
      </c>
      <c r="K35" s="7" t="str">
        <f>IF(B35="","",IF(COUNTIF('Mill Test'!$C$5:$C$304,B35)=0,"Pending",IF(COUNTIFS('Mill Test'!$C$5:$C$304,B35,'Mill Test'!$T$5:$T$304,"Failed")&gt;0,"Failed","Passed")))</f>
        <v/>
      </c>
      <c r="L35" s="19" t="str">
        <f>IF(B35="","",SUMIF('Fabric Shipment'!$C$5:$C$304,B35,'Fabric Shipment'!$G$5:$G$304))</f>
        <v/>
      </c>
      <c r="M35" s="19" t="str">
        <f>IF(B35="","",SUMIF('Fabric Shipment'!$C$5:$C$304,B35,'Fabric Shipment'!$R$5:$R$304))</f>
        <v/>
      </c>
      <c r="N35" s="19" t="str">
        <f>IF(B35="","",SUMIF('Fabric Receiving'!$E$5:$E$304,B35,'Fabric Receiving'!$H$5:$H$304))</f>
        <v/>
      </c>
      <c r="O35" s="19" t="str">
        <f>IF(B35="","",SUMIF('Fabric Receiving'!$E$5:$E$304,B35,'Fabric Receiving'!$I$5:$I$304))</f>
        <v/>
      </c>
      <c r="P35" s="7" t="str">
        <f>IF(B35="","",IF(COUNTIF('Four-Point'!$E$5:$E$304,B35)=0,"Pending",IF(COUNTIFS('Four-Point'!$E$5:$E$304,B35,'Four-Point'!$T$5:$T$304,"Failed")&gt;0,"Failed","Passed")))</f>
        <v/>
      </c>
      <c r="Q35" s="7" t="str">
        <f>IF(B35="","",IF(COUNTIF('Internal Test'!$D$5:$D$304,B35)=0,"Pending",IF(COUNTIFS('Internal Test'!$D$5:$D$304,B35,'Internal Test'!$AA$5:$AA$304,"Failed")&gt;0,"Failed","Passed")))</f>
        <v/>
      </c>
      <c r="R35" s="7" t="str">
        <f>IF(B35="","",IF(COUNTIF('Shade Match'!$C$5:$C$304,B35)=0,"Pending",IF(COUNTIFS('Shade Match'!$C$5:$C$304,B35,'Shade Match'!$Q$5:$Q$304,"Failed")&gt;0,"Failed","Approved")))</f>
        <v/>
      </c>
      <c r="S35" s="19" t="str">
        <f>IF(B35="","",SUMIF('Fabric Inventory'!$C$5:$C$304,B35,'Fabric Inventory'!$H$5:$H$304))</f>
        <v/>
      </c>
      <c r="T35" s="19" t="str">
        <f>IF(B35="","",SUMIF('Fabric Inventory'!$C$5:$C$304,B35,'Fabric Inventory'!$K$5:$K$304))</f>
        <v/>
      </c>
      <c r="U35" s="19" t="str">
        <f>IF(B35="","",SUMIF('Fabric Inventory'!$C$5:$C$304,B35,'Fabric Inventory'!$L$5:$L$304))</f>
        <v/>
      </c>
      <c r="V35" s="19" t="str">
        <f>IF(B35="","",SUMIF('Fabric Inventory'!$C$5:$C$304,B35,'Fabric Inventory'!$N$5:$N$304))</f>
        <v/>
      </c>
      <c r="W35" s="19" t="str">
        <f>IF(B35="","",SUMIF('Fabric Inventory'!$C$5:$C$304,B35,'Fabric Inventory'!$O$5:$O$304))</f>
        <v/>
      </c>
    </row>
    <row r="36" spans="1:23">
      <c r="A36" s="7" t="str">
        <f>IF('FGPO Master'!A30="","",'FGPO Master'!E30)</f>
        <v/>
      </c>
      <c r="B36" s="7" t="str">
        <f>IF('FGPO Master'!A30="","",IF('FGPO Master'!D30="FGPO Pending","FGPO Pending",'FGPO Master'!B30))</f>
        <v/>
      </c>
      <c r="C36" s="7" t="str">
        <f>IF('FGPO Master'!A30="","",'FGPO Master'!D30)</f>
        <v/>
      </c>
      <c r="D36" s="7" t="str">
        <f>IF('FGPO Master'!A30="","",'FGPO Master'!F30)</f>
        <v/>
      </c>
      <c r="E36" s="7" t="str">
        <f>IF('FGPO Master'!A30="","",'FGPO Master'!G30)</f>
        <v/>
      </c>
      <c r="F36" s="19" t="str">
        <f>IF('FGPO Master'!A30="","",'FGPO Master'!H30)</f>
        <v/>
      </c>
      <c r="G36" s="19" t="str">
        <f>IF('FGPO Master'!A30="","",'FGPO Master'!M30)</f>
        <v/>
      </c>
      <c r="H36" s="19" t="str">
        <f>IF(B36="","",SUMIF('Fabric Requirement'!$B$5:$B$304,B36,'Fabric Requirement'!$M$5:$M$304)+SUMIF('Fabric Requirement'!$B$5:$B$304,B36,'Fabric Requirement'!$O$5:$O$304))</f>
        <v/>
      </c>
      <c r="I36" s="19" t="str">
        <f>IF(B36="","",SUMIF('Fabric PO'!$B$5:$B$304,B36,'Fabric PO'!$H$5:$H$304))</f>
        <v/>
      </c>
      <c r="J36" s="19" t="str">
        <f>IF(B36="","",SUMIF('Mill Production'!$C$5:$C$304,B36,'Mill Production'!$I$5:$I$304))</f>
        <v/>
      </c>
      <c r="K36" s="7" t="str">
        <f>IF(B36="","",IF(COUNTIF('Mill Test'!$C$5:$C$304,B36)=0,"Pending",IF(COUNTIFS('Mill Test'!$C$5:$C$304,B36,'Mill Test'!$T$5:$T$304,"Failed")&gt;0,"Failed","Passed")))</f>
        <v/>
      </c>
      <c r="L36" s="19" t="str">
        <f>IF(B36="","",SUMIF('Fabric Shipment'!$C$5:$C$304,B36,'Fabric Shipment'!$G$5:$G$304))</f>
        <v/>
      </c>
      <c r="M36" s="19" t="str">
        <f>IF(B36="","",SUMIF('Fabric Shipment'!$C$5:$C$304,B36,'Fabric Shipment'!$R$5:$R$304))</f>
        <v/>
      </c>
      <c r="N36" s="19" t="str">
        <f>IF(B36="","",SUMIF('Fabric Receiving'!$E$5:$E$304,B36,'Fabric Receiving'!$H$5:$H$304))</f>
        <v/>
      </c>
      <c r="O36" s="19" t="str">
        <f>IF(B36="","",SUMIF('Fabric Receiving'!$E$5:$E$304,B36,'Fabric Receiving'!$I$5:$I$304))</f>
        <v/>
      </c>
      <c r="P36" s="7" t="str">
        <f>IF(B36="","",IF(COUNTIF('Four-Point'!$E$5:$E$304,B36)=0,"Pending",IF(COUNTIFS('Four-Point'!$E$5:$E$304,B36,'Four-Point'!$T$5:$T$304,"Failed")&gt;0,"Failed","Passed")))</f>
        <v/>
      </c>
      <c r="Q36" s="7" t="str">
        <f>IF(B36="","",IF(COUNTIF('Internal Test'!$D$5:$D$304,B36)=0,"Pending",IF(COUNTIFS('Internal Test'!$D$5:$D$304,B36,'Internal Test'!$AA$5:$AA$304,"Failed")&gt;0,"Failed","Passed")))</f>
        <v/>
      </c>
      <c r="R36" s="7" t="str">
        <f>IF(B36="","",IF(COUNTIF('Shade Match'!$C$5:$C$304,B36)=0,"Pending",IF(COUNTIFS('Shade Match'!$C$5:$C$304,B36,'Shade Match'!$Q$5:$Q$304,"Failed")&gt;0,"Failed","Approved")))</f>
        <v/>
      </c>
      <c r="S36" s="19" t="str">
        <f>IF(B36="","",SUMIF('Fabric Inventory'!$C$5:$C$304,B36,'Fabric Inventory'!$H$5:$H$304))</f>
        <v/>
      </c>
      <c r="T36" s="19" t="str">
        <f>IF(B36="","",SUMIF('Fabric Inventory'!$C$5:$C$304,B36,'Fabric Inventory'!$K$5:$K$304))</f>
        <v/>
      </c>
      <c r="U36" s="19" t="str">
        <f>IF(B36="","",SUMIF('Fabric Inventory'!$C$5:$C$304,B36,'Fabric Inventory'!$L$5:$L$304))</f>
        <v/>
      </c>
      <c r="V36" s="19" t="str">
        <f>IF(B36="","",SUMIF('Fabric Inventory'!$C$5:$C$304,B36,'Fabric Inventory'!$N$5:$N$304))</f>
        <v/>
      </c>
      <c r="W36" s="19" t="str">
        <f>IF(B36="","",SUMIF('Fabric Inventory'!$C$5:$C$304,B36,'Fabric Inventory'!$O$5:$O$304))</f>
        <v/>
      </c>
    </row>
    <row r="37" spans="1:23">
      <c r="A37" s="7" t="str">
        <f>IF('FGPO Master'!A31="","",'FGPO Master'!E31)</f>
        <v/>
      </c>
      <c r="B37" s="7" t="str">
        <f>IF('FGPO Master'!A31="","",IF('FGPO Master'!D31="FGPO Pending","FGPO Pending",'FGPO Master'!B31))</f>
        <v/>
      </c>
      <c r="C37" s="7" t="str">
        <f>IF('FGPO Master'!A31="","",'FGPO Master'!D31)</f>
        <v/>
      </c>
      <c r="D37" s="7" t="str">
        <f>IF('FGPO Master'!A31="","",'FGPO Master'!F31)</f>
        <v/>
      </c>
      <c r="E37" s="7" t="str">
        <f>IF('FGPO Master'!A31="","",'FGPO Master'!G31)</f>
        <v/>
      </c>
      <c r="F37" s="19" t="str">
        <f>IF('FGPO Master'!A31="","",'FGPO Master'!H31)</f>
        <v/>
      </c>
      <c r="G37" s="19" t="str">
        <f>IF('FGPO Master'!A31="","",'FGPO Master'!M31)</f>
        <v/>
      </c>
      <c r="H37" s="19" t="str">
        <f>IF(B37="","",SUMIF('Fabric Requirement'!$B$5:$B$304,B37,'Fabric Requirement'!$M$5:$M$304)+SUMIF('Fabric Requirement'!$B$5:$B$304,B37,'Fabric Requirement'!$O$5:$O$304))</f>
        <v/>
      </c>
      <c r="I37" s="19" t="str">
        <f>IF(B37="","",SUMIF('Fabric PO'!$B$5:$B$304,B37,'Fabric PO'!$H$5:$H$304))</f>
        <v/>
      </c>
      <c r="J37" s="19" t="str">
        <f>IF(B37="","",SUMIF('Mill Production'!$C$5:$C$304,B37,'Mill Production'!$I$5:$I$304))</f>
        <v/>
      </c>
      <c r="K37" s="7" t="str">
        <f>IF(B37="","",IF(COUNTIF('Mill Test'!$C$5:$C$304,B37)=0,"Pending",IF(COUNTIFS('Mill Test'!$C$5:$C$304,B37,'Mill Test'!$T$5:$T$304,"Failed")&gt;0,"Failed","Passed")))</f>
        <v/>
      </c>
      <c r="L37" s="19" t="str">
        <f>IF(B37="","",SUMIF('Fabric Shipment'!$C$5:$C$304,B37,'Fabric Shipment'!$G$5:$G$304))</f>
        <v/>
      </c>
      <c r="M37" s="19" t="str">
        <f>IF(B37="","",SUMIF('Fabric Shipment'!$C$5:$C$304,B37,'Fabric Shipment'!$R$5:$R$304))</f>
        <v/>
      </c>
      <c r="N37" s="19" t="str">
        <f>IF(B37="","",SUMIF('Fabric Receiving'!$E$5:$E$304,B37,'Fabric Receiving'!$H$5:$H$304))</f>
        <v/>
      </c>
      <c r="O37" s="19" t="str">
        <f>IF(B37="","",SUMIF('Fabric Receiving'!$E$5:$E$304,B37,'Fabric Receiving'!$I$5:$I$304))</f>
        <v/>
      </c>
      <c r="P37" s="7" t="str">
        <f>IF(B37="","",IF(COUNTIF('Four-Point'!$E$5:$E$304,B37)=0,"Pending",IF(COUNTIFS('Four-Point'!$E$5:$E$304,B37,'Four-Point'!$T$5:$T$304,"Failed")&gt;0,"Failed","Passed")))</f>
        <v/>
      </c>
      <c r="Q37" s="7" t="str">
        <f>IF(B37="","",IF(COUNTIF('Internal Test'!$D$5:$D$304,B37)=0,"Pending",IF(COUNTIFS('Internal Test'!$D$5:$D$304,B37,'Internal Test'!$AA$5:$AA$304,"Failed")&gt;0,"Failed","Passed")))</f>
        <v/>
      </c>
      <c r="R37" s="7" t="str">
        <f>IF(B37="","",IF(COUNTIF('Shade Match'!$C$5:$C$304,B37)=0,"Pending",IF(COUNTIFS('Shade Match'!$C$5:$C$304,B37,'Shade Match'!$Q$5:$Q$304,"Failed")&gt;0,"Failed","Approved")))</f>
        <v/>
      </c>
      <c r="S37" s="19" t="str">
        <f>IF(B37="","",SUMIF('Fabric Inventory'!$C$5:$C$304,B37,'Fabric Inventory'!$H$5:$H$304))</f>
        <v/>
      </c>
      <c r="T37" s="19" t="str">
        <f>IF(B37="","",SUMIF('Fabric Inventory'!$C$5:$C$304,B37,'Fabric Inventory'!$K$5:$K$304))</f>
        <v/>
      </c>
      <c r="U37" s="19" t="str">
        <f>IF(B37="","",SUMIF('Fabric Inventory'!$C$5:$C$304,B37,'Fabric Inventory'!$L$5:$L$304))</f>
        <v/>
      </c>
      <c r="V37" s="19" t="str">
        <f>IF(B37="","",SUMIF('Fabric Inventory'!$C$5:$C$304,B37,'Fabric Inventory'!$N$5:$N$304))</f>
        <v/>
      </c>
      <c r="W37" s="19" t="str">
        <f>IF(B37="","",SUMIF('Fabric Inventory'!$C$5:$C$304,B37,'Fabric Inventory'!$O$5:$O$304))</f>
        <v/>
      </c>
    </row>
    <row r="38" spans="1:23">
      <c r="A38" s="7" t="str">
        <f>IF('FGPO Master'!A32="","",'FGPO Master'!E32)</f>
        <v/>
      </c>
      <c r="B38" s="7" t="str">
        <f>IF('FGPO Master'!A32="","",IF('FGPO Master'!D32="FGPO Pending","FGPO Pending",'FGPO Master'!B32))</f>
        <v/>
      </c>
      <c r="C38" s="7" t="str">
        <f>IF('FGPO Master'!A32="","",'FGPO Master'!D32)</f>
        <v/>
      </c>
      <c r="D38" s="7" t="str">
        <f>IF('FGPO Master'!A32="","",'FGPO Master'!F32)</f>
        <v/>
      </c>
      <c r="E38" s="7" t="str">
        <f>IF('FGPO Master'!A32="","",'FGPO Master'!G32)</f>
        <v/>
      </c>
      <c r="F38" s="19" t="str">
        <f>IF('FGPO Master'!A32="","",'FGPO Master'!H32)</f>
        <v/>
      </c>
      <c r="G38" s="19" t="str">
        <f>IF('FGPO Master'!A32="","",'FGPO Master'!M32)</f>
        <v/>
      </c>
      <c r="H38" s="19" t="str">
        <f>IF(B38="","",SUMIF('Fabric Requirement'!$B$5:$B$304,B38,'Fabric Requirement'!$M$5:$M$304)+SUMIF('Fabric Requirement'!$B$5:$B$304,B38,'Fabric Requirement'!$O$5:$O$304))</f>
        <v/>
      </c>
      <c r="I38" s="19" t="str">
        <f>IF(B38="","",SUMIF('Fabric PO'!$B$5:$B$304,B38,'Fabric PO'!$H$5:$H$304))</f>
        <v/>
      </c>
      <c r="J38" s="19" t="str">
        <f>IF(B38="","",SUMIF('Mill Production'!$C$5:$C$304,B38,'Mill Production'!$I$5:$I$304))</f>
        <v/>
      </c>
      <c r="K38" s="7" t="str">
        <f>IF(B38="","",IF(COUNTIF('Mill Test'!$C$5:$C$304,B38)=0,"Pending",IF(COUNTIFS('Mill Test'!$C$5:$C$304,B38,'Mill Test'!$T$5:$T$304,"Failed")&gt;0,"Failed","Passed")))</f>
        <v/>
      </c>
      <c r="L38" s="19" t="str">
        <f>IF(B38="","",SUMIF('Fabric Shipment'!$C$5:$C$304,B38,'Fabric Shipment'!$G$5:$G$304))</f>
        <v/>
      </c>
      <c r="M38" s="19" t="str">
        <f>IF(B38="","",SUMIF('Fabric Shipment'!$C$5:$C$304,B38,'Fabric Shipment'!$R$5:$R$304))</f>
        <v/>
      </c>
      <c r="N38" s="19" t="str">
        <f>IF(B38="","",SUMIF('Fabric Receiving'!$E$5:$E$304,B38,'Fabric Receiving'!$H$5:$H$304))</f>
        <v/>
      </c>
      <c r="O38" s="19" t="str">
        <f>IF(B38="","",SUMIF('Fabric Receiving'!$E$5:$E$304,B38,'Fabric Receiving'!$I$5:$I$304))</f>
        <v/>
      </c>
      <c r="P38" s="7" t="str">
        <f>IF(B38="","",IF(COUNTIF('Four-Point'!$E$5:$E$304,B38)=0,"Pending",IF(COUNTIFS('Four-Point'!$E$5:$E$304,B38,'Four-Point'!$T$5:$T$304,"Failed")&gt;0,"Failed","Passed")))</f>
        <v/>
      </c>
      <c r="Q38" s="7" t="str">
        <f>IF(B38="","",IF(COUNTIF('Internal Test'!$D$5:$D$304,B38)=0,"Pending",IF(COUNTIFS('Internal Test'!$D$5:$D$304,B38,'Internal Test'!$AA$5:$AA$304,"Failed")&gt;0,"Failed","Passed")))</f>
        <v/>
      </c>
      <c r="R38" s="7" t="str">
        <f>IF(B38="","",IF(COUNTIF('Shade Match'!$C$5:$C$304,B38)=0,"Pending",IF(COUNTIFS('Shade Match'!$C$5:$C$304,B38,'Shade Match'!$Q$5:$Q$304,"Failed")&gt;0,"Failed","Approved")))</f>
        <v/>
      </c>
      <c r="S38" s="19" t="str">
        <f>IF(B38="","",SUMIF('Fabric Inventory'!$C$5:$C$304,B38,'Fabric Inventory'!$H$5:$H$304))</f>
        <v/>
      </c>
      <c r="T38" s="19" t="str">
        <f>IF(B38="","",SUMIF('Fabric Inventory'!$C$5:$C$304,B38,'Fabric Inventory'!$K$5:$K$304))</f>
        <v/>
      </c>
      <c r="U38" s="19" t="str">
        <f>IF(B38="","",SUMIF('Fabric Inventory'!$C$5:$C$304,B38,'Fabric Inventory'!$L$5:$L$304))</f>
        <v/>
      </c>
      <c r="V38" s="19" t="str">
        <f>IF(B38="","",SUMIF('Fabric Inventory'!$C$5:$C$304,B38,'Fabric Inventory'!$N$5:$N$304))</f>
        <v/>
      </c>
      <c r="W38" s="19" t="str">
        <f>IF(B38="","",SUMIF('Fabric Inventory'!$C$5:$C$304,B38,'Fabric Inventory'!$O$5:$O$304))</f>
        <v/>
      </c>
    </row>
    <row r="39" spans="1:23">
      <c r="A39" s="7" t="str">
        <f>IF('FGPO Master'!A33="","",'FGPO Master'!E33)</f>
        <v/>
      </c>
      <c r="B39" s="7" t="str">
        <f>IF('FGPO Master'!A33="","",IF('FGPO Master'!D33="FGPO Pending","FGPO Pending",'FGPO Master'!B33))</f>
        <v/>
      </c>
      <c r="C39" s="7" t="str">
        <f>IF('FGPO Master'!A33="","",'FGPO Master'!D33)</f>
        <v/>
      </c>
      <c r="D39" s="7" t="str">
        <f>IF('FGPO Master'!A33="","",'FGPO Master'!F33)</f>
        <v/>
      </c>
      <c r="E39" s="7" t="str">
        <f>IF('FGPO Master'!A33="","",'FGPO Master'!G33)</f>
        <v/>
      </c>
      <c r="F39" s="19" t="str">
        <f>IF('FGPO Master'!A33="","",'FGPO Master'!H33)</f>
        <v/>
      </c>
      <c r="G39" s="19" t="str">
        <f>IF('FGPO Master'!A33="","",'FGPO Master'!M33)</f>
        <v/>
      </c>
      <c r="H39" s="19" t="str">
        <f>IF(B39="","",SUMIF('Fabric Requirement'!$B$5:$B$304,B39,'Fabric Requirement'!$M$5:$M$304)+SUMIF('Fabric Requirement'!$B$5:$B$304,B39,'Fabric Requirement'!$O$5:$O$304))</f>
        <v/>
      </c>
      <c r="I39" s="19" t="str">
        <f>IF(B39="","",SUMIF('Fabric PO'!$B$5:$B$304,B39,'Fabric PO'!$H$5:$H$304))</f>
        <v/>
      </c>
      <c r="J39" s="19" t="str">
        <f>IF(B39="","",SUMIF('Mill Production'!$C$5:$C$304,B39,'Mill Production'!$I$5:$I$304))</f>
        <v/>
      </c>
      <c r="K39" s="7" t="str">
        <f>IF(B39="","",IF(COUNTIF('Mill Test'!$C$5:$C$304,B39)=0,"Pending",IF(COUNTIFS('Mill Test'!$C$5:$C$304,B39,'Mill Test'!$T$5:$T$304,"Failed")&gt;0,"Failed","Passed")))</f>
        <v/>
      </c>
      <c r="L39" s="19" t="str">
        <f>IF(B39="","",SUMIF('Fabric Shipment'!$C$5:$C$304,B39,'Fabric Shipment'!$G$5:$G$304))</f>
        <v/>
      </c>
      <c r="M39" s="19" t="str">
        <f>IF(B39="","",SUMIF('Fabric Shipment'!$C$5:$C$304,B39,'Fabric Shipment'!$R$5:$R$304))</f>
        <v/>
      </c>
      <c r="N39" s="19" t="str">
        <f>IF(B39="","",SUMIF('Fabric Receiving'!$E$5:$E$304,B39,'Fabric Receiving'!$H$5:$H$304))</f>
        <v/>
      </c>
      <c r="O39" s="19" t="str">
        <f>IF(B39="","",SUMIF('Fabric Receiving'!$E$5:$E$304,B39,'Fabric Receiving'!$I$5:$I$304))</f>
        <v/>
      </c>
      <c r="P39" s="7" t="str">
        <f>IF(B39="","",IF(COUNTIF('Four-Point'!$E$5:$E$304,B39)=0,"Pending",IF(COUNTIFS('Four-Point'!$E$5:$E$304,B39,'Four-Point'!$T$5:$T$304,"Failed")&gt;0,"Failed","Passed")))</f>
        <v/>
      </c>
      <c r="Q39" s="7" t="str">
        <f>IF(B39="","",IF(COUNTIF('Internal Test'!$D$5:$D$304,B39)=0,"Pending",IF(COUNTIFS('Internal Test'!$D$5:$D$304,B39,'Internal Test'!$AA$5:$AA$304,"Failed")&gt;0,"Failed","Passed")))</f>
        <v/>
      </c>
      <c r="R39" s="7" t="str">
        <f>IF(B39="","",IF(COUNTIF('Shade Match'!$C$5:$C$304,B39)=0,"Pending",IF(COUNTIFS('Shade Match'!$C$5:$C$304,B39,'Shade Match'!$Q$5:$Q$304,"Failed")&gt;0,"Failed","Approved")))</f>
        <v/>
      </c>
      <c r="S39" s="19" t="str">
        <f>IF(B39="","",SUMIF('Fabric Inventory'!$C$5:$C$304,B39,'Fabric Inventory'!$H$5:$H$304))</f>
        <v/>
      </c>
      <c r="T39" s="19" t="str">
        <f>IF(B39="","",SUMIF('Fabric Inventory'!$C$5:$C$304,B39,'Fabric Inventory'!$K$5:$K$304))</f>
        <v/>
      </c>
      <c r="U39" s="19" t="str">
        <f>IF(B39="","",SUMIF('Fabric Inventory'!$C$5:$C$304,B39,'Fabric Inventory'!$L$5:$L$304))</f>
        <v/>
      </c>
      <c r="V39" s="19" t="str">
        <f>IF(B39="","",SUMIF('Fabric Inventory'!$C$5:$C$304,B39,'Fabric Inventory'!$N$5:$N$304))</f>
        <v/>
      </c>
      <c r="W39" s="19" t="str">
        <f>IF(B39="","",SUMIF('Fabric Inventory'!$C$5:$C$304,B39,'Fabric Inventory'!$O$5:$O$304))</f>
        <v/>
      </c>
    </row>
    <row r="40" spans="1:23">
      <c r="A40" s="7" t="str">
        <f>IF('FGPO Master'!A34="","",'FGPO Master'!E34)</f>
        <v/>
      </c>
      <c r="B40" s="7" t="str">
        <f>IF('FGPO Master'!A34="","",IF('FGPO Master'!D34="FGPO Pending","FGPO Pending",'FGPO Master'!B34))</f>
        <v/>
      </c>
      <c r="C40" s="7" t="str">
        <f>IF('FGPO Master'!A34="","",'FGPO Master'!D34)</f>
        <v/>
      </c>
      <c r="D40" s="7" t="str">
        <f>IF('FGPO Master'!A34="","",'FGPO Master'!F34)</f>
        <v/>
      </c>
      <c r="E40" s="7" t="str">
        <f>IF('FGPO Master'!A34="","",'FGPO Master'!G34)</f>
        <v/>
      </c>
      <c r="F40" s="19" t="str">
        <f>IF('FGPO Master'!A34="","",'FGPO Master'!H34)</f>
        <v/>
      </c>
      <c r="G40" s="19" t="str">
        <f>IF('FGPO Master'!A34="","",'FGPO Master'!M34)</f>
        <v/>
      </c>
      <c r="H40" s="19" t="str">
        <f>IF(B40="","",SUMIF('Fabric Requirement'!$B$5:$B$304,B40,'Fabric Requirement'!$M$5:$M$304)+SUMIF('Fabric Requirement'!$B$5:$B$304,B40,'Fabric Requirement'!$O$5:$O$304))</f>
        <v/>
      </c>
      <c r="I40" s="19" t="str">
        <f>IF(B40="","",SUMIF('Fabric PO'!$B$5:$B$304,B40,'Fabric PO'!$H$5:$H$304))</f>
        <v/>
      </c>
      <c r="J40" s="19" t="str">
        <f>IF(B40="","",SUMIF('Mill Production'!$C$5:$C$304,B40,'Mill Production'!$I$5:$I$304))</f>
        <v/>
      </c>
      <c r="K40" s="7" t="str">
        <f>IF(B40="","",IF(COUNTIF('Mill Test'!$C$5:$C$304,B40)=0,"Pending",IF(COUNTIFS('Mill Test'!$C$5:$C$304,B40,'Mill Test'!$T$5:$T$304,"Failed")&gt;0,"Failed","Passed")))</f>
        <v/>
      </c>
      <c r="L40" s="19" t="str">
        <f>IF(B40="","",SUMIF('Fabric Shipment'!$C$5:$C$304,B40,'Fabric Shipment'!$G$5:$G$304))</f>
        <v/>
      </c>
      <c r="M40" s="19" t="str">
        <f>IF(B40="","",SUMIF('Fabric Shipment'!$C$5:$C$304,B40,'Fabric Shipment'!$R$5:$R$304))</f>
        <v/>
      </c>
      <c r="N40" s="19" t="str">
        <f>IF(B40="","",SUMIF('Fabric Receiving'!$E$5:$E$304,B40,'Fabric Receiving'!$H$5:$H$304))</f>
        <v/>
      </c>
      <c r="O40" s="19" t="str">
        <f>IF(B40="","",SUMIF('Fabric Receiving'!$E$5:$E$304,B40,'Fabric Receiving'!$I$5:$I$304))</f>
        <v/>
      </c>
      <c r="P40" s="7" t="str">
        <f>IF(B40="","",IF(COUNTIF('Four-Point'!$E$5:$E$304,B40)=0,"Pending",IF(COUNTIFS('Four-Point'!$E$5:$E$304,B40,'Four-Point'!$T$5:$T$304,"Failed")&gt;0,"Failed","Passed")))</f>
        <v/>
      </c>
      <c r="Q40" s="7" t="str">
        <f>IF(B40="","",IF(COUNTIF('Internal Test'!$D$5:$D$304,B40)=0,"Pending",IF(COUNTIFS('Internal Test'!$D$5:$D$304,B40,'Internal Test'!$AA$5:$AA$304,"Failed")&gt;0,"Failed","Passed")))</f>
        <v/>
      </c>
      <c r="R40" s="7" t="str">
        <f>IF(B40="","",IF(COUNTIF('Shade Match'!$C$5:$C$304,B40)=0,"Pending",IF(COUNTIFS('Shade Match'!$C$5:$C$304,B40,'Shade Match'!$Q$5:$Q$304,"Failed")&gt;0,"Failed","Approved")))</f>
        <v/>
      </c>
      <c r="S40" s="19" t="str">
        <f>IF(B40="","",SUMIF('Fabric Inventory'!$C$5:$C$304,B40,'Fabric Inventory'!$H$5:$H$304))</f>
        <v/>
      </c>
      <c r="T40" s="19" t="str">
        <f>IF(B40="","",SUMIF('Fabric Inventory'!$C$5:$C$304,B40,'Fabric Inventory'!$K$5:$K$304))</f>
        <v/>
      </c>
      <c r="U40" s="19" t="str">
        <f>IF(B40="","",SUMIF('Fabric Inventory'!$C$5:$C$304,B40,'Fabric Inventory'!$L$5:$L$304))</f>
        <v/>
      </c>
      <c r="V40" s="19" t="str">
        <f>IF(B40="","",SUMIF('Fabric Inventory'!$C$5:$C$304,B40,'Fabric Inventory'!$N$5:$N$304))</f>
        <v/>
      </c>
      <c r="W40" s="19" t="str">
        <f>IF(B40="","",SUMIF('Fabric Inventory'!$C$5:$C$304,B40,'Fabric Inventory'!$O$5:$O$304))</f>
        <v/>
      </c>
    </row>
    <row r="41" spans="1:23">
      <c r="A41" s="7" t="str">
        <f>IF('FGPO Master'!A35="","",'FGPO Master'!E35)</f>
        <v/>
      </c>
      <c r="B41" s="7" t="str">
        <f>IF('FGPO Master'!A35="","",IF('FGPO Master'!D35="FGPO Pending","FGPO Pending",'FGPO Master'!B35))</f>
        <v/>
      </c>
      <c r="C41" s="7" t="str">
        <f>IF('FGPO Master'!A35="","",'FGPO Master'!D35)</f>
        <v/>
      </c>
      <c r="D41" s="7" t="str">
        <f>IF('FGPO Master'!A35="","",'FGPO Master'!F35)</f>
        <v/>
      </c>
      <c r="E41" s="7" t="str">
        <f>IF('FGPO Master'!A35="","",'FGPO Master'!G35)</f>
        <v/>
      </c>
      <c r="F41" s="19" t="str">
        <f>IF('FGPO Master'!A35="","",'FGPO Master'!H35)</f>
        <v/>
      </c>
      <c r="G41" s="19" t="str">
        <f>IF('FGPO Master'!A35="","",'FGPO Master'!M35)</f>
        <v/>
      </c>
      <c r="H41" s="19" t="str">
        <f>IF(B41="","",SUMIF('Fabric Requirement'!$B$5:$B$304,B41,'Fabric Requirement'!$M$5:$M$304)+SUMIF('Fabric Requirement'!$B$5:$B$304,B41,'Fabric Requirement'!$O$5:$O$304))</f>
        <v/>
      </c>
      <c r="I41" s="19" t="str">
        <f>IF(B41="","",SUMIF('Fabric PO'!$B$5:$B$304,B41,'Fabric PO'!$H$5:$H$304))</f>
        <v/>
      </c>
      <c r="J41" s="19" t="str">
        <f>IF(B41="","",SUMIF('Mill Production'!$C$5:$C$304,B41,'Mill Production'!$I$5:$I$304))</f>
        <v/>
      </c>
      <c r="K41" s="7" t="str">
        <f>IF(B41="","",IF(COUNTIF('Mill Test'!$C$5:$C$304,B41)=0,"Pending",IF(COUNTIFS('Mill Test'!$C$5:$C$304,B41,'Mill Test'!$T$5:$T$304,"Failed")&gt;0,"Failed","Passed")))</f>
        <v/>
      </c>
      <c r="L41" s="19" t="str">
        <f>IF(B41="","",SUMIF('Fabric Shipment'!$C$5:$C$304,B41,'Fabric Shipment'!$G$5:$G$304))</f>
        <v/>
      </c>
      <c r="M41" s="19" t="str">
        <f>IF(B41="","",SUMIF('Fabric Shipment'!$C$5:$C$304,B41,'Fabric Shipment'!$R$5:$R$304))</f>
        <v/>
      </c>
      <c r="N41" s="19" t="str">
        <f>IF(B41="","",SUMIF('Fabric Receiving'!$E$5:$E$304,B41,'Fabric Receiving'!$H$5:$H$304))</f>
        <v/>
      </c>
      <c r="O41" s="19" t="str">
        <f>IF(B41="","",SUMIF('Fabric Receiving'!$E$5:$E$304,B41,'Fabric Receiving'!$I$5:$I$304))</f>
        <v/>
      </c>
      <c r="P41" s="7" t="str">
        <f>IF(B41="","",IF(COUNTIF('Four-Point'!$E$5:$E$304,B41)=0,"Pending",IF(COUNTIFS('Four-Point'!$E$5:$E$304,B41,'Four-Point'!$T$5:$T$304,"Failed")&gt;0,"Failed","Passed")))</f>
        <v/>
      </c>
      <c r="Q41" s="7" t="str">
        <f>IF(B41="","",IF(COUNTIF('Internal Test'!$D$5:$D$304,B41)=0,"Pending",IF(COUNTIFS('Internal Test'!$D$5:$D$304,B41,'Internal Test'!$AA$5:$AA$304,"Failed")&gt;0,"Failed","Passed")))</f>
        <v/>
      </c>
      <c r="R41" s="7" t="str">
        <f>IF(B41="","",IF(COUNTIF('Shade Match'!$C$5:$C$304,B41)=0,"Pending",IF(COUNTIFS('Shade Match'!$C$5:$C$304,B41,'Shade Match'!$Q$5:$Q$304,"Failed")&gt;0,"Failed","Approved")))</f>
        <v/>
      </c>
      <c r="S41" s="19" t="str">
        <f>IF(B41="","",SUMIF('Fabric Inventory'!$C$5:$C$304,B41,'Fabric Inventory'!$H$5:$H$304))</f>
        <v/>
      </c>
      <c r="T41" s="19" t="str">
        <f>IF(B41="","",SUMIF('Fabric Inventory'!$C$5:$C$304,B41,'Fabric Inventory'!$K$5:$K$304))</f>
        <v/>
      </c>
      <c r="U41" s="19" t="str">
        <f>IF(B41="","",SUMIF('Fabric Inventory'!$C$5:$C$304,B41,'Fabric Inventory'!$L$5:$L$304))</f>
        <v/>
      </c>
      <c r="V41" s="19" t="str">
        <f>IF(B41="","",SUMIF('Fabric Inventory'!$C$5:$C$304,B41,'Fabric Inventory'!$N$5:$N$304))</f>
        <v/>
      </c>
      <c r="W41" s="19" t="str">
        <f>IF(B41="","",SUMIF('Fabric Inventory'!$C$5:$C$304,B41,'Fabric Inventory'!$O$5:$O$304))</f>
        <v/>
      </c>
    </row>
    <row r="42" spans="1:23">
      <c r="A42" s="7" t="str">
        <f>IF('FGPO Master'!A36="","",'FGPO Master'!E36)</f>
        <v/>
      </c>
      <c r="B42" s="7" t="str">
        <f>IF('FGPO Master'!A36="","",IF('FGPO Master'!D36="FGPO Pending","FGPO Pending",'FGPO Master'!B36))</f>
        <v/>
      </c>
      <c r="C42" s="7" t="str">
        <f>IF('FGPO Master'!A36="","",'FGPO Master'!D36)</f>
        <v/>
      </c>
      <c r="D42" s="7" t="str">
        <f>IF('FGPO Master'!A36="","",'FGPO Master'!F36)</f>
        <v/>
      </c>
      <c r="E42" s="7" t="str">
        <f>IF('FGPO Master'!A36="","",'FGPO Master'!G36)</f>
        <v/>
      </c>
      <c r="F42" s="19" t="str">
        <f>IF('FGPO Master'!A36="","",'FGPO Master'!H36)</f>
        <v/>
      </c>
      <c r="G42" s="19" t="str">
        <f>IF('FGPO Master'!A36="","",'FGPO Master'!M36)</f>
        <v/>
      </c>
      <c r="H42" s="19" t="str">
        <f>IF(B42="","",SUMIF('Fabric Requirement'!$B$5:$B$304,B42,'Fabric Requirement'!$M$5:$M$304)+SUMIF('Fabric Requirement'!$B$5:$B$304,B42,'Fabric Requirement'!$O$5:$O$304))</f>
        <v/>
      </c>
      <c r="I42" s="19" t="str">
        <f>IF(B42="","",SUMIF('Fabric PO'!$B$5:$B$304,B42,'Fabric PO'!$H$5:$H$304))</f>
        <v/>
      </c>
      <c r="J42" s="19" t="str">
        <f>IF(B42="","",SUMIF('Mill Production'!$C$5:$C$304,B42,'Mill Production'!$I$5:$I$304))</f>
        <v/>
      </c>
      <c r="K42" s="7" t="str">
        <f>IF(B42="","",IF(COUNTIF('Mill Test'!$C$5:$C$304,B42)=0,"Pending",IF(COUNTIFS('Mill Test'!$C$5:$C$304,B42,'Mill Test'!$T$5:$T$304,"Failed")&gt;0,"Failed","Passed")))</f>
        <v/>
      </c>
      <c r="L42" s="19" t="str">
        <f>IF(B42="","",SUMIF('Fabric Shipment'!$C$5:$C$304,B42,'Fabric Shipment'!$G$5:$G$304))</f>
        <v/>
      </c>
      <c r="M42" s="19" t="str">
        <f>IF(B42="","",SUMIF('Fabric Shipment'!$C$5:$C$304,B42,'Fabric Shipment'!$R$5:$R$304))</f>
        <v/>
      </c>
      <c r="N42" s="19" t="str">
        <f>IF(B42="","",SUMIF('Fabric Receiving'!$E$5:$E$304,B42,'Fabric Receiving'!$H$5:$H$304))</f>
        <v/>
      </c>
      <c r="O42" s="19" t="str">
        <f>IF(B42="","",SUMIF('Fabric Receiving'!$E$5:$E$304,B42,'Fabric Receiving'!$I$5:$I$304))</f>
        <v/>
      </c>
      <c r="P42" s="7" t="str">
        <f>IF(B42="","",IF(COUNTIF('Four-Point'!$E$5:$E$304,B42)=0,"Pending",IF(COUNTIFS('Four-Point'!$E$5:$E$304,B42,'Four-Point'!$T$5:$T$304,"Failed")&gt;0,"Failed","Passed")))</f>
        <v/>
      </c>
      <c r="Q42" s="7" t="str">
        <f>IF(B42="","",IF(COUNTIF('Internal Test'!$D$5:$D$304,B42)=0,"Pending",IF(COUNTIFS('Internal Test'!$D$5:$D$304,B42,'Internal Test'!$AA$5:$AA$304,"Failed")&gt;0,"Failed","Passed")))</f>
        <v/>
      </c>
      <c r="R42" s="7" t="str">
        <f>IF(B42="","",IF(COUNTIF('Shade Match'!$C$5:$C$304,B42)=0,"Pending",IF(COUNTIFS('Shade Match'!$C$5:$C$304,B42,'Shade Match'!$Q$5:$Q$304,"Failed")&gt;0,"Failed","Approved")))</f>
        <v/>
      </c>
      <c r="S42" s="19" t="str">
        <f>IF(B42="","",SUMIF('Fabric Inventory'!$C$5:$C$304,B42,'Fabric Inventory'!$H$5:$H$304))</f>
        <v/>
      </c>
      <c r="T42" s="19" t="str">
        <f>IF(B42="","",SUMIF('Fabric Inventory'!$C$5:$C$304,B42,'Fabric Inventory'!$K$5:$K$304))</f>
        <v/>
      </c>
      <c r="U42" s="19" t="str">
        <f>IF(B42="","",SUMIF('Fabric Inventory'!$C$5:$C$304,B42,'Fabric Inventory'!$L$5:$L$304))</f>
        <v/>
      </c>
      <c r="V42" s="19" t="str">
        <f>IF(B42="","",SUMIF('Fabric Inventory'!$C$5:$C$304,B42,'Fabric Inventory'!$N$5:$N$304))</f>
        <v/>
      </c>
      <c r="W42" s="19" t="str">
        <f>IF(B42="","",SUMIF('Fabric Inventory'!$C$5:$C$304,B42,'Fabric Inventory'!$O$5:$O$304))</f>
        <v/>
      </c>
    </row>
    <row r="43" spans="1:23">
      <c r="A43" s="7" t="str">
        <f>IF('FGPO Master'!A37="","",'FGPO Master'!E37)</f>
        <v/>
      </c>
      <c r="B43" s="7" t="str">
        <f>IF('FGPO Master'!A37="","",IF('FGPO Master'!D37="FGPO Pending","FGPO Pending",'FGPO Master'!B37))</f>
        <v/>
      </c>
      <c r="C43" s="7" t="str">
        <f>IF('FGPO Master'!A37="","",'FGPO Master'!D37)</f>
        <v/>
      </c>
      <c r="D43" s="7" t="str">
        <f>IF('FGPO Master'!A37="","",'FGPO Master'!F37)</f>
        <v/>
      </c>
      <c r="E43" s="7" t="str">
        <f>IF('FGPO Master'!A37="","",'FGPO Master'!G37)</f>
        <v/>
      </c>
      <c r="F43" s="19" t="str">
        <f>IF('FGPO Master'!A37="","",'FGPO Master'!H37)</f>
        <v/>
      </c>
      <c r="G43" s="19" t="str">
        <f>IF('FGPO Master'!A37="","",'FGPO Master'!M37)</f>
        <v/>
      </c>
      <c r="H43" s="19" t="str">
        <f>IF(B43="","",SUMIF('Fabric Requirement'!$B$5:$B$304,B43,'Fabric Requirement'!$M$5:$M$304)+SUMIF('Fabric Requirement'!$B$5:$B$304,B43,'Fabric Requirement'!$O$5:$O$304))</f>
        <v/>
      </c>
      <c r="I43" s="19" t="str">
        <f>IF(B43="","",SUMIF('Fabric PO'!$B$5:$B$304,B43,'Fabric PO'!$H$5:$H$304))</f>
        <v/>
      </c>
      <c r="J43" s="19" t="str">
        <f>IF(B43="","",SUMIF('Mill Production'!$C$5:$C$304,B43,'Mill Production'!$I$5:$I$304))</f>
        <v/>
      </c>
      <c r="K43" s="7" t="str">
        <f>IF(B43="","",IF(COUNTIF('Mill Test'!$C$5:$C$304,B43)=0,"Pending",IF(COUNTIFS('Mill Test'!$C$5:$C$304,B43,'Mill Test'!$T$5:$T$304,"Failed")&gt;0,"Failed","Passed")))</f>
        <v/>
      </c>
      <c r="L43" s="19" t="str">
        <f>IF(B43="","",SUMIF('Fabric Shipment'!$C$5:$C$304,B43,'Fabric Shipment'!$G$5:$G$304))</f>
        <v/>
      </c>
      <c r="M43" s="19" t="str">
        <f>IF(B43="","",SUMIF('Fabric Shipment'!$C$5:$C$304,B43,'Fabric Shipment'!$R$5:$R$304))</f>
        <v/>
      </c>
      <c r="N43" s="19" t="str">
        <f>IF(B43="","",SUMIF('Fabric Receiving'!$E$5:$E$304,B43,'Fabric Receiving'!$H$5:$H$304))</f>
        <v/>
      </c>
      <c r="O43" s="19" t="str">
        <f>IF(B43="","",SUMIF('Fabric Receiving'!$E$5:$E$304,B43,'Fabric Receiving'!$I$5:$I$304))</f>
        <v/>
      </c>
      <c r="P43" s="7" t="str">
        <f>IF(B43="","",IF(COUNTIF('Four-Point'!$E$5:$E$304,B43)=0,"Pending",IF(COUNTIFS('Four-Point'!$E$5:$E$304,B43,'Four-Point'!$T$5:$T$304,"Failed")&gt;0,"Failed","Passed")))</f>
        <v/>
      </c>
      <c r="Q43" s="7" t="str">
        <f>IF(B43="","",IF(COUNTIF('Internal Test'!$D$5:$D$304,B43)=0,"Pending",IF(COUNTIFS('Internal Test'!$D$5:$D$304,B43,'Internal Test'!$AA$5:$AA$304,"Failed")&gt;0,"Failed","Passed")))</f>
        <v/>
      </c>
      <c r="R43" s="7" t="str">
        <f>IF(B43="","",IF(COUNTIF('Shade Match'!$C$5:$C$304,B43)=0,"Pending",IF(COUNTIFS('Shade Match'!$C$5:$C$304,B43,'Shade Match'!$Q$5:$Q$304,"Failed")&gt;0,"Failed","Approved")))</f>
        <v/>
      </c>
      <c r="S43" s="19" t="str">
        <f>IF(B43="","",SUMIF('Fabric Inventory'!$C$5:$C$304,B43,'Fabric Inventory'!$H$5:$H$304))</f>
        <v/>
      </c>
      <c r="T43" s="19" t="str">
        <f>IF(B43="","",SUMIF('Fabric Inventory'!$C$5:$C$304,B43,'Fabric Inventory'!$K$5:$K$304))</f>
        <v/>
      </c>
      <c r="U43" s="19" t="str">
        <f>IF(B43="","",SUMIF('Fabric Inventory'!$C$5:$C$304,B43,'Fabric Inventory'!$L$5:$L$304))</f>
        <v/>
      </c>
      <c r="V43" s="19" t="str">
        <f>IF(B43="","",SUMIF('Fabric Inventory'!$C$5:$C$304,B43,'Fabric Inventory'!$N$5:$N$304))</f>
        <v/>
      </c>
      <c r="W43" s="19" t="str">
        <f>IF(B43="","",SUMIF('Fabric Inventory'!$C$5:$C$304,B43,'Fabric Inventory'!$O$5:$O$304))</f>
        <v/>
      </c>
    </row>
    <row r="44" spans="1:23">
      <c r="A44" s="7" t="str">
        <f>IF('FGPO Master'!A38="","",'FGPO Master'!E38)</f>
        <v/>
      </c>
      <c r="B44" s="7" t="str">
        <f>IF('FGPO Master'!A38="","",IF('FGPO Master'!D38="FGPO Pending","FGPO Pending",'FGPO Master'!B38))</f>
        <v/>
      </c>
      <c r="C44" s="7" t="str">
        <f>IF('FGPO Master'!A38="","",'FGPO Master'!D38)</f>
        <v/>
      </c>
      <c r="D44" s="7" t="str">
        <f>IF('FGPO Master'!A38="","",'FGPO Master'!F38)</f>
        <v/>
      </c>
      <c r="E44" s="7" t="str">
        <f>IF('FGPO Master'!A38="","",'FGPO Master'!G38)</f>
        <v/>
      </c>
      <c r="F44" s="19" t="str">
        <f>IF('FGPO Master'!A38="","",'FGPO Master'!H38)</f>
        <v/>
      </c>
      <c r="G44" s="19" t="str">
        <f>IF('FGPO Master'!A38="","",'FGPO Master'!M38)</f>
        <v/>
      </c>
      <c r="H44" s="19" t="str">
        <f>IF(B44="","",SUMIF('Fabric Requirement'!$B$5:$B$304,B44,'Fabric Requirement'!$M$5:$M$304)+SUMIF('Fabric Requirement'!$B$5:$B$304,B44,'Fabric Requirement'!$O$5:$O$304))</f>
        <v/>
      </c>
      <c r="I44" s="19" t="str">
        <f>IF(B44="","",SUMIF('Fabric PO'!$B$5:$B$304,B44,'Fabric PO'!$H$5:$H$304))</f>
        <v/>
      </c>
      <c r="J44" s="19" t="str">
        <f>IF(B44="","",SUMIF('Mill Production'!$C$5:$C$304,B44,'Mill Production'!$I$5:$I$304))</f>
        <v/>
      </c>
      <c r="K44" s="7" t="str">
        <f>IF(B44="","",IF(COUNTIF('Mill Test'!$C$5:$C$304,B44)=0,"Pending",IF(COUNTIFS('Mill Test'!$C$5:$C$304,B44,'Mill Test'!$T$5:$T$304,"Failed")&gt;0,"Failed","Passed")))</f>
        <v/>
      </c>
      <c r="L44" s="19" t="str">
        <f>IF(B44="","",SUMIF('Fabric Shipment'!$C$5:$C$304,B44,'Fabric Shipment'!$G$5:$G$304))</f>
        <v/>
      </c>
      <c r="M44" s="19" t="str">
        <f>IF(B44="","",SUMIF('Fabric Shipment'!$C$5:$C$304,B44,'Fabric Shipment'!$R$5:$R$304))</f>
        <v/>
      </c>
      <c r="N44" s="19" t="str">
        <f>IF(B44="","",SUMIF('Fabric Receiving'!$E$5:$E$304,B44,'Fabric Receiving'!$H$5:$H$304))</f>
        <v/>
      </c>
      <c r="O44" s="19" t="str">
        <f>IF(B44="","",SUMIF('Fabric Receiving'!$E$5:$E$304,B44,'Fabric Receiving'!$I$5:$I$304))</f>
        <v/>
      </c>
      <c r="P44" s="7" t="str">
        <f>IF(B44="","",IF(COUNTIF('Four-Point'!$E$5:$E$304,B44)=0,"Pending",IF(COUNTIFS('Four-Point'!$E$5:$E$304,B44,'Four-Point'!$T$5:$T$304,"Failed")&gt;0,"Failed","Passed")))</f>
        <v/>
      </c>
      <c r="Q44" s="7" t="str">
        <f>IF(B44="","",IF(COUNTIF('Internal Test'!$D$5:$D$304,B44)=0,"Pending",IF(COUNTIFS('Internal Test'!$D$5:$D$304,B44,'Internal Test'!$AA$5:$AA$304,"Failed")&gt;0,"Failed","Passed")))</f>
        <v/>
      </c>
      <c r="R44" s="7" t="str">
        <f>IF(B44="","",IF(COUNTIF('Shade Match'!$C$5:$C$304,B44)=0,"Pending",IF(COUNTIFS('Shade Match'!$C$5:$C$304,B44,'Shade Match'!$Q$5:$Q$304,"Failed")&gt;0,"Failed","Approved")))</f>
        <v/>
      </c>
      <c r="S44" s="19" t="str">
        <f>IF(B44="","",SUMIF('Fabric Inventory'!$C$5:$C$304,B44,'Fabric Inventory'!$H$5:$H$304))</f>
        <v/>
      </c>
      <c r="T44" s="19" t="str">
        <f>IF(B44="","",SUMIF('Fabric Inventory'!$C$5:$C$304,B44,'Fabric Inventory'!$K$5:$K$304))</f>
        <v/>
      </c>
      <c r="U44" s="19" t="str">
        <f>IF(B44="","",SUMIF('Fabric Inventory'!$C$5:$C$304,B44,'Fabric Inventory'!$L$5:$L$304))</f>
        <v/>
      </c>
      <c r="V44" s="19" t="str">
        <f>IF(B44="","",SUMIF('Fabric Inventory'!$C$5:$C$304,B44,'Fabric Inventory'!$N$5:$N$304))</f>
        <v/>
      </c>
      <c r="W44" s="19" t="str">
        <f>IF(B44="","",SUMIF('Fabric Inventory'!$C$5:$C$304,B44,'Fabric Inventory'!$O$5:$O$304))</f>
        <v/>
      </c>
    </row>
    <row r="45" spans="1:23">
      <c r="A45" s="7" t="str">
        <f>IF('FGPO Master'!A39="","",'FGPO Master'!E39)</f>
        <v/>
      </c>
      <c r="B45" s="7" t="str">
        <f>IF('FGPO Master'!A39="","",IF('FGPO Master'!D39="FGPO Pending","FGPO Pending",'FGPO Master'!B39))</f>
        <v/>
      </c>
      <c r="C45" s="7" t="str">
        <f>IF('FGPO Master'!A39="","",'FGPO Master'!D39)</f>
        <v/>
      </c>
      <c r="D45" s="7" t="str">
        <f>IF('FGPO Master'!A39="","",'FGPO Master'!F39)</f>
        <v/>
      </c>
      <c r="E45" s="7" t="str">
        <f>IF('FGPO Master'!A39="","",'FGPO Master'!G39)</f>
        <v/>
      </c>
      <c r="F45" s="19" t="str">
        <f>IF('FGPO Master'!A39="","",'FGPO Master'!H39)</f>
        <v/>
      </c>
      <c r="G45" s="19" t="str">
        <f>IF('FGPO Master'!A39="","",'FGPO Master'!M39)</f>
        <v/>
      </c>
      <c r="H45" s="19" t="str">
        <f>IF(B45="","",SUMIF('Fabric Requirement'!$B$5:$B$304,B45,'Fabric Requirement'!$M$5:$M$304)+SUMIF('Fabric Requirement'!$B$5:$B$304,B45,'Fabric Requirement'!$O$5:$O$304))</f>
        <v/>
      </c>
      <c r="I45" s="19" t="str">
        <f>IF(B45="","",SUMIF('Fabric PO'!$B$5:$B$304,B45,'Fabric PO'!$H$5:$H$304))</f>
        <v/>
      </c>
      <c r="J45" s="19" t="str">
        <f>IF(B45="","",SUMIF('Mill Production'!$C$5:$C$304,B45,'Mill Production'!$I$5:$I$304))</f>
        <v/>
      </c>
      <c r="K45" s="7" t="str">
        <f>IF(B45="","",IF(COUNTIF('Mill Test'!$C$5:$C$304,B45)=0,"Pending",IF(COUNTIFS('Mill Test'!$C$5:$C$304,B45,'Mill Test'!$T$5:$T$304,"Failed")&gt;0,"Failed","Passed")))</f>
        <v/>
      </c>
      <c r="L45" s="19" t="str">
        <f>IF(B45="","",SUMIF('Fabric Shipment'!$C$5:$C$304,B45,'Fabric Shipment'!$G$5:$G$304))</f>
        <v/>
      </c>
      <c r="M45" s="19" t="str">
        <f>IF(B45="","",SUMIF('Fabric Shipment'!$C$5:$C$304,B45,'Fabric Shipment'!$R$5:$R$304))</f>
        <v/>
      </c>
      <c r="N45" s="19" t="str">
        <f>IF(B45="","",SUMIF('Fabric Receiving'!$E$5:$E$304,B45,'Fabric Receiving'!$H$5:$H$304))</f>
        <v/>
      </c>
      <c r="O45" s="19" t="str">
        <f>IF(B45="","",SUMIF('Fabric Receiving'!$E$5:$E$304,B45,'Fabric Receiving'!$I$5:$I$304))</f>
        <v/>
      </c>
      <c r="P45" s="7" t="str">
        <f>IF(B45="","",IF(COUNTIF('Four-Point'!$E$5:$E$304,B45)=0,"Pending",IF(COUNTIFS('Four-Point'!$E$5:$E$304,B45,'Four-Point'!$T$5:$T$304,"Failed")&gt;0,"Failed","Passed")))</f>
        <v/>
      </c>
      <c r="Q45" s="7" t="str">
        <f>IF(B45="","",IF(COUNTIF('Internal Test'!$D$5:$D$304,B45)=0,"Pending",IF(COUNTIFS('Internal Test'!$D$5:$D$304,B45,'Internal Test'!$AA$5:$AA$304,"Failed")&gt;0,"Failed","Passed")))</f>
        <v/>
      </c>
      <c r="R45" s="7" t="str">
        <f>IF(B45="","",IF(COUNTIF('Shade Match'!$C$5:$C$304,B45)=0,"Pending",IF(COUNTIFS('Shade Match'!$C$5:$C$304,B45,'Shade Match'!$Q$5:$Q$304,"Failed")&gt;0,"Failed","Approved")))</f>
        <v/>
      </c>
      <c r="S45" s="19" t="str">
        <f>IF(B45="","",SUMIF('Fabric Inventory'!$C$5:$C$304,B45,'Fabric Inventory'!$H$5:$H$304))</f>
        <v/>
      </c>
      <c r="T45" s="19" t="str">
        <f>IF(B45="","",SUMIF('Fabric Inventory'!$C$5:$C$304,B45,'Fabric Inventory'!$K$5:$K$304))</f>
        <v/>
      </c>
      <c r="U45" s="19" t="str">
        <f>IF(B45="","",SUMIF('Fabric Inventory'!$C$5:$C$304,B45,'Fabric Inventory'!$L$5:$L$304))</f>
        <v/>
      </c>
      <c r="V45" s="19" t="str">
        <f>IF(B45="","",SUMIF('Fabric Inventory'!$C$5:$C$304,B45,'Fabric Inventory'!$N$5:$N$304))</f>
        <v/>
      </c>
      <c r="W45" s="19" t="str">
        <f>IF(B45="","",SUMIF('Fabric Inventory'!$C$5:$C$304,B45,'Fabric Inventory'!$O$5:$O$304))</f>
        <v/>
      </c>
    </row>
    <row r="46" spans="1:23">
      <c r="A46" s="7" t="str">
        <f>IF('FGPO Master'!A40="","",'FGPO Master'!E40)</f>
        <v/>
      </c>
      <c r="B46" s="7" t="str">
        <f>IF('FGPO Master'!A40="","",IF('FGPO Master'!D40="FGPO Pending","FGPO Pending",'FGPO Master'!B40))</f>
        <v/>
      </c>
      <c r="C46" s="7" t="str">
        <f>IF('FGPO Master'!A40="","",'FGPO Master'!D40)</f>
        <v/>
      </c>
      <c r="D46" s="7" t="str">
        <f>IF('FGPO Master'!A40="","",'FGPO Master'!F40)</f>
        <v/>
      </c>
      <c r="E46" s="7" t="str">
        <f>IF('FGPO Master'!A40="","",'FGPO Master'!G40)</f>
        <v/>
      </c>
      <c r="F46" s="19" t="str">
        <f>IF('FGPO Master'!A40="","",'FGPO Master'!H40)</f>
        <v/>
      </c>
      <c r="G46" s="19" t="str">
        <f>IF('FGPO Master'!A40="","",'FGPO Master'!M40)</f>
        <v/>
      </c>
      <c r="H46" s="19" t="str">
        <f>IF(B46="","",SUMIF('Fabric Requirement'!$B$5:$B$304,B46,'Fabric Requirement'!$M$5:$M$304)+SUMIF('Fabric Requirement'!$B$5:$B$304,B46,'Fabric Requirement'!$O$5:$O$304))</f>
        <v/>
      </c>
      <c r="I46" s="19" t="str">
        <f>IF(B46="","",SUMIF('Fabric PO'!$B$5:$B$304,B46,'Fabric PO'!$H$5:$H$304))</f>
        <v/>
      </c>
      <c r="J46" s="19" t="str">
        <f>IF(B46="","",SUMIF('Mill Production'!$C$5:$C$304,B46,'Mill Production'!$I$5:$I$304))</f>
        <v/>
      </c>
      <c r="K46" s="7" t="str">
        <f>IF(B46="","",IF(COUNTIF('Mill Test'!$C$5:$C$304,B46)=0,"Pending",IF(COUNTIFS('Mill Test'!$C$5:$C$304,B46,'Mill Test'!$T$5:$T$304,"Failed")&gt;0,"Failed","Passed")))</f>
        <v/>
      </c>
      <c r="L46" s="19" t="str">
        <f>IF(B46="","",SUMIF('Fabric Shipment'!$C$5:$C$304,B46,'Fabric Shipment'!$G$5:$G$304))</f>
        <v/>
      </c>
      <c r="M46" s="19" t="str">
        <f>IF(B46="","",SUMIF('Fabric Shipment'!$C$5:$C$304,B46,'Fabric Shipment'!$R$5:$R$304))</f>
        <v/>
      </c>
      <c r="N46" s="19" t="str">
        <f>IF(B46="","",SUMIF('Fabric Receiving'!$E$5:$E$304,B46,'Fabric Receiving'!$H$5:$H$304))</f>
        <v/>
      </c>
      <c r="O46" s="19" t="str">
        <f>IF(B46="","",SUMIF('Fabric Receiving'!$E$5:$E$304,B46,'Fabric Receiving'!$I$5:$I$304))</f>
        <v/>
      </c>
      <c r="P46" s="7" t="str">
        <f>IF(B46="","",IF(COUNTIF('Four-Point'!$E$5:$E$304,B46)=0,"Pending",IF(COUNTIFS('Four-Point'!$E$5:$E$304,B46,'Four-Point'!$T$5:$T$304,"Failed")&gt;0,"Failed","Passed")))</f>
        <v/>
      </c>
      <c r="Q46" s="7" t="str">
        <f>IF(B46="","",IF(COUNTIF('Internal Test'!$D$5:$D$304,B46)=0,"Pending",IF(COUNTIFS('Internal Test'!$D$5:$D$304,B46,'Internal Test'!$AA$5:$AA$304,"Failed")&gt;0,"Failed","Passed")))</f>
        <v/>
      </c>
      <c r="R46" s="7" t="str">
        <f>IF(B46="","",IF(COUNTIF('Shade Match'!$C$5:$C$304,B46)=0,"Pending",IF(COUNTIFS('Shade Match'!$C$5:$C$304,B46,'Shade Match'!$Q$5:$Q$304,"Failed")&gt;0,"Failed","Approved")))</f>
        <v/>
      </c>
      <c r="S46" s="19" t="str">
        <f>IF(B46="","",SUMIF('Fabric Inventory'!$C$5:$C$304,B46,'Fabric Inventory'!$H$5:$H$304))</f>
        <v/>
      </c>
      <c r="T46" s="19" t="str">
        <f>IF(B46="","",SUMIF('Fabric Inventory'!$C$5:$C$304,B46,'Fabric Inventory'!$K$5:$K$304))</f>
        <v/>
      </c>
      <c r="U46" s="19" t="str">
        <f>IF(B46="","",SUMIF('Fabric Inventory'!$C$5:$C$304,B46,'Fabric Inventory'!$L$5:$L$304))</f>
        <v/>
      </c>
      <c r="V46" s="19" t="str">
        <f>IF(B46="","",SUMIF('Fabric Inventory'!$C$5:$C$304,B46,'Fabric Inventory'!$N$5:$N$304))</f>
        <v/>
      </c>
      <c r="W46" s="19" t="str">
        <f>IF(B46="","",SUMIF('Fabric Inventory'!$C$5:$C$304,B46,'Fabric Inventory'!$O$5:$O$304))</f>
        <v/>
      </c>
    </row>
    <row r="47" spans="1:23">
      <c r="A47" s="7" t="str">
        <f>IF('FGPO Master'!A41="","",'FGPO Master'!E41)</f>
        <v/>
      </c>
      <c r="B47" s="7" t="str">
        <f>IF('FGPO Master'!A41="","",IF('FGPO Master'!D41="FGPO Pending","FGPO Pending",'FGPO Master'!B41))</f>
        <v/>
      </c>
      <c r="C47" s="7" t="str">
        <f>IF('FGPO Master'!A41="","",'FGPO Master'!D41)</f>
        <v/>
      </c>
      <c r="D47" s="7" t="str">
        <f>IF('FGPO Master'!A41="","",'FGPO Master'!F41)</f>
        <v/>
      </c>
      <c r="E47" s="7" t="str">
        <f>IF('FGPO Master'!A41="","",'FGPO Master'!G41)</f>
        <v/>
      </c>
      <c r="F47" s="19" t="str">
        <f>IF('FGPO Master'!A41="","",'FGPO Master'!H41)</f>
        <v/>
      </c>
      <c r="G47" s="19" t="str">
        <f>IF('FGPO Master'!A41="","",'FGPO Master'!M41)</f>
        <v/>
      </c>
      <c r="H47" s="19" t="str">
        <f>IF(B47="","",SUMIF('Fabric Requirement'!$B$5:$B$304,B47,'Fabric Requirement'!$M$5:$M$304)+SUMIF('Fabric Requirement'!$B$5:$B$304,B47,'Fabric Requirement'!$O$5:$O$304))</f>
        <v/>
      </c>
      <c r="I47" s="19" t="str">
        <f>IF(B47="","",SUMIF('Fabric PO'!$B$5:$B$304,B47,'Fabric PO'!$H$5:$H$304))</f>
        <v/>
      </c>
      <c r="J47" s="19" t="str">
        <f>IF(B47="","",SUMIF('Mill Production'!$C$5:$C$304,B47,'Mill Production'!$I$5:$I$304))</f>
        <v/>
      </c>
      <c r="K47" s="7" t="str">
        <f>IF(B47="","",IF(COUNTIF('Mill Test'!$C$5:$C$304,B47)=0,"Pending",IF(COUNTIFS('Mill Test'!$C$5:$C$304,B47,'Mill Test'!$T$5:$T$304,"Failed")&gt;0,"Failed","Passed")))</f>
        <v/>
      </c>
      <c r="L47" s="19" t="str">
        <f>IF(B47="","",SUMIF('Fabric Shipment'!$C$5:$C$304,B47,'Fabric Shipment'!$G$5:$G$304))</f>
        <v/>
      </c>
      <c r="M47" s="19" t="str">
        <f>IF(B47="","",SUMIF('Fabric Shipment'!$C$5:$C$304,B47,'Fabric Shipment'!$R$5:$R$304))</f>
        <v/>
      </c>
      <c r="N47" s="19" t="str">
        <f>IF(B47="","",SUMIF('Fabric Receiving'!$E$5:$E$304,B47,'Fabric Receiving'!$H$5:$H$304))</f>
        <v/>
      </c>
      <c r="O47" s="19" t="str">
        <f>IF(B47="","",SUMIF('Fabric Receiving'!$E$5:$E$304,B47,'Fabric Receiving'!$I$5:$I$304))</f>
        <v/>
      </c>
      <c r="P47" s="7" t="str">
        <f>IF(B47="","",IF(COUNTIF('Four-Point'!$E$5:$E$304,B47)=0,"Pending",IF(COUNTIFS('Four-Point'!$E$5:$E$304,B47,'Four-Point'!$T$5:$T$304,"Failed")&gt;0,"Failed","Passed")))</f>
        <v/>
      </c>
      <c r="Q47" s="7" t="str">
        <f>IF(B47="","",IF(COUNTIF('Internal Test'!$D$5:$D$304,B47)=0,"Pending",IF(COUNTIFS('Internal Test'!$D$5:$D$304,B47,'Internal Test'!$AA$5:$AA$304,"Failed")&gt;0,"Failed","Passed")))</f>
        <v/>
      </c>
      <c r="R47" s="7" t="str">
        <f>IF(B47="","",IF(COUNTIF('Shade Match'!$C$5:$C$304,B47)=0,"Pending",IF(COUNTIFS('Shade Match'!$C$5:$C$304,B47,'Shade Match'!$Q$5:$Q$304,"Failed")&gt;0,"Failed","Approved")))</f>
        <v/>
      </c>
      <c r="S47" s="19" t="str">
        <f>IF(B47="","",SUMIF('Fabric Inventory'!$C$5:$C$304,B47,'Fabric Inventory'!$H$5:$H$304))</f>
        <v/>
      </c>
      <c r="T47" s="19" t="str">
        <f>IF(B47="","",SUMIF('Fabric Inventory'!$C$5:$C$304,B47,'Fabric Inventory'!$K$5:$K$304))</f>
        <v/>
      </c>
      <c r="U47" s="19" t="str">
        <f>IF(B47="","",SUMIF('Fabric Inventory'!$C$5:$C$304,B47,'Fabric Inventory'!$L$5:$L$304))</f>
        <v/>
      </c>
      <c r="V47" s="19" t="str">
        <f>IF(B47="","",SUMIF('Fabric Inventory'!$C$5:$C$304,B47,'Fabric Inventory'!$N$5:$N$304))</f>
        <v/>
      </c>
      <c r="W47" s="19" t="str">
        <f>IF(B47="","",SUMIF('Fabric Inventory'!$C$5:$C$304,B47,'Fabric Inventory'!$O$5:$O$304))</f>
        <v/>
      </c>
    </row>
    <row r="48" spans="1:23">
      <c r="A48" s="7" t="str">
        <f>IF('FGPO Master'!A42="","",'FGPO Master'!E42)</f>
        <v/>
      </c>
      <c r="B48" s="7" t="str">
        <f>IF('FGPO Master'!A42="","",IF('FGPO Master'!D42="FGPO Pending","FGPO Pending",'FGPO Master'!B42))</f>
        <v/>
      </c>
      <c r="C48" s="7" t="str">
        <f>IF('FGPO Master'!A42="","",'FGPO Master'!D42)</f>
        <v/>
      </c>
      <c r="D48" s="7" t="str">
        <f>IF('FGPO Master'!A42="","",'FGPO Master'!F42)</f>
        <v/>
      </c>
      <c r="E48" s="7" t="str">
        <f>IF('FGPO Master'!A42="","",'FGPO Master'!G42)</f>
        <v/>
      </c>
      <c r="F48" s="19" t="str">
        <f>IF('FGPO Master'!A42="","",'FGPO Master'!H42)</f>
        <v/>
      </c>
      <c r="G48" s="19" t="str">
        <f>IF('FGPO Master'!A42="","",'FGPO Master'!M42)</f>
        <v/>
      </c>
      <c r="H48" s="19" t="str">
        <f>IF(B48="","",SUMIF('Fabric Requirement'!$B$5:$B$304,B48,'Fabric Requirement'!$M$5:$M$304)+SUMIF('Fabric Requirement'!$B$5:$B$304,B48,'Fabric Requirement'!$O$5:$O$304))</f>
        <v/>
      </c>
      <c r="I48" s="19" t="str">
        <f>IF(B48="","",SUMIF('Fabric PO'!$B$5:$B$304,B48,'Fabric PO'!$H$5:$H$304))</f>
        <v/>
      </c>
      <c r="J48" s="19" t="str">
        <f>IF(B48="","",SUMIF('Mill Production'!$C$5:$C$304,B48,'Mill Production'!$I$5:$I$304))</f>
        <v/>
      </c>
      <c r="K48" s="7" t="str">
        <f>IF(B48="","",IF(COUNTIF('Mill Test'!$C$5:$C$304,B48)=0,"Pending",IF(COUNTIFS('Mill Test'!$C$5:$C$304,B48,'Mill Test'!$T$5:$T$304,"Failed")&gt;0,"Failed","Passed")))</f>
        <v/>
      </c>
      <c r="L48" s="19" t="str">
        <f>IF(B48="","",SUMIF('Fabric Shipment'!$C$5:$C$304,B48,'Fabric Shipment'!$G$5:$G$304))</f>
        <v/>
      </c>
      <c r="M48" s="19" t="str">
        <f>IF(B48="","",SUMIF('Fabric Shipment'!$C$5:$C$304,B48,'Fabric Shipment'!$R$5:$R$304))</f>
        <v/>
      </c>
      <c r="N48" s="19" t="str">
        <f>IF(B48="","",SUMIF('Fabric Receiving'!$E$5:$E$304,B48,'Fabric Receiving'!$H$5:$H$304))</f>
        <v/>
      </c>
      <c r="O48" s="19" t="str">
        <f>IF(B48="","",SUMIF('Fabric Receiving'!$E$5:$E$304,B48,'Fabric Receiving'!$I$5:$I$304))</f>
        <v/>
      </c>
      <c r="P48" s="7" t="str">
        <f>IF(B48="","",IF(COUNTIF('Four-Point'!$E$5:$E$304,B48)=0,"Pending",IF(COUNTIFS('Four-Point'!$E$5:$E$304,B48,'Four-Point'!$T$5:$T$304,"Failed")&gt;0,"Failed","Passed")))</f>
        <v/>
      </c>
      <c r="Q48" s="7" t="str">
        <f>IF(B48="","",IF(COUNTIF('Internal Test'!$D$5:$D$304,B48)=0,"Pending",IF(COUNTIFS('Internal Test'!$D$5:$D$304,B48,'Internal Test'!$AA$5:$AA$304,"Failed")&gt;0,"Failed","Passed")))</f>
        <v/>
      </c>
      <c r="R48" s="7" t="str">
        <f>IF(B48="","",IF(COUNTIF('Shade Match'!$C$5:$C$304,B48)=0,"Pending",IF(COUNTIFS('Shade Match'!$C$5:$C$304,B48,'Shade Match'!$Q$5:$Q$304,"Failed")&gt;0,"Failed","Approved")))</f>
        <v/>
      </c>
      <c r="S48" s="19" t="str">
        <f>IF(B48="","",SUMIF('Fabric Inventory'!$C$5:$C$304,B48,'Fabric Inventory'!$H$5:$H$304))</f>
        <v/>
      </c>
      <c r="T48" s="19" t="str">
        <f>IF(B48="","",SUMIF('Fabric Inventory'!$C$5:$C$304,B48,'Fabric Inventory'!$K$5:$K$304))</f>
        <v/>
      </c>
      <c r="U48" s="19" t="str">
        <f>IF(B48="","",SUMIF('Fabric Inventory'!$C$5:$C$304,B48,'Fabric Inventory'!$L$5:$L$304))</f>
        <v/>
      </c>
      <c r="V48" s="19" t="str">
        <f>IF(B48="","",SUMIF('Fabric Inventory'!$C$5:$C$304,B48,'Fabric Inventory'!$N$5:$N$304))</f>
        <v/>
      </c>
      <c r="W48" s="19" t="str">
        <f>IF(B48="","",SUMIF('Fabric Inventory'!$C$5:$C$304,B48,'Fabric Inventory'!$O$5:$O$304))</f>
        <v/>
      </c>
    </row>
    <row r="49" spans="1:23">
      <c r="A49" s="7" t="str">
        <f>IF('FGPO Master'!A43="","",'FGPO Master'!E43)</f>
        <v/>
      </c>
      <c r="B49" s="7" t="str">
        <f>IF('FGPO Master'!A43="","",IF('FGPO Master'!D43="FGPO Pending","FGPO Pending",'FGPO Master'!B43))</f>
        <v/>
      </c>
      <c r="C49" s="7" t="str">
        <f>IF('FGPO Master'!A43="","",'FGPO Master'!D43)</f>
        <v/>
      </c>
      <c r="D49" s="7" t="str">
        <f>IF('FGPO Master'!A43="","",'FGPO Master'!F43)</f>
        <v/>
      </c>
      <c r="E49" s="7" t="str">
        <f>IF('FGPO Master'!A43="","",'FGPO Master'!G43)</f>
        <v/>
      </c>
      <c r="F49" s="19" t="str">
        <f>IF('FGPO Master'!A43="","",'FGPO Master'!H43)</f>
        <v/>
      </c>
      <c r="G49" s="19" t="str">
        <f>IF('FGPO Master'!A43="","",'FGPO Master'!M43)</f>
        <v/>
      </c>
      <c r="H49" s="19" t="str">
        <f>IF(B49="","",SUMIF('Fabric Requirement'!$B$5:$B$304,B49,'Fabric Requirement'!$M$5:$M$304)+SUMIF('Fabric Requirement'!$B$5:$B$304,B49,'Fabric Requirement'!$O$5:$O$304))</f>
        <v/>
      </c>
      <c r="I49" s="19" t="str">
        <f>IF(B49="","",SUMIF('Fabric PO'!$B$5:$B$304,B49,'Fabric PO'!$H$5:$H$304))</f>
        <v/>
      </c>
      <c r="J49" s="19" t="str">
        <f>IF(B49="","",SUMIF('Mill Production'!$C$5:$C$304,B49,'Mill Production'!$I$5:$I$304))</f>
        <v/>
      </c>
      <c r="K49" s="7" t="str">
        <f>IF(B49="","",IF(COUNTIF('Mill Test'!$C$5:$C$304,B49)=0,"Pending",IF(COUNTIFS('Mill Test'!$C$5:$C$304,B49,'Mill Test'!$T$5:$T$304,"Failed")&gt;0,"Failed","Passed")))</f>
        <v/>
      </c>
      <c r="L49" s="19" t="str">
        <f>IF(B49="","",SUMIF('Fabric Shipment'!$C$5:$C$304,B49,'Fabric Shipment'!$G$5:$G$304))</f>
        <v/>
      </c>
      <c r="M49" s="19" t="str">
        <f>IF(B49="","",SUMIF('Fabric Shipment'!$C$5:$C$304,B49,'Fabric Shipment'!$R$5:$R$304))</f>
        <v/>
      </c>
      <c r="N49" s="19" t="str">
        <f>IF(B49="","",SUMIF('Fabric Receiving'!$E$5:$E$304,B49,'Fabric Receiving'!$H$5:$H$304))</f>
        <v/>
      </c>
      <c r="O49" s="19" t="str">
        <f>IF(B49="","",SUMIF('Fabric Receiving'!$E$5:$E$304,B49,'Fabric Receiving'!$I$5:$I$304))</f>
        <v/>
      </c>
      <c r="P49" s="7" t="str">
        <f>IF(B49="","",IF(COUNTIF('Four-Point'!$E$5:$E$304,B49)=0,"Pending",IF(COUNTIFS('Four-Point'!$E$5:$E$304,B49,'Four-Point'!$T$5:$T$304,"Failed")&gt;0,"Failed","Passed")))</f>
        <v/>
      </c>
      <c r="Q49" s="7" t="str">
        <f>IF(B49="","",IF(COUNTIF('Internal Test'!$D$5:$D$304,B49)=0,"Pending",IF(COUNTIFS('Internal Test'!$D$5:$D$304,B49,'Internal Test'!$AA$5:$AA$304,"Failed")&gt;0,"Failed","Passed")))</f>
        <v/>
      </c>
      <c r="R49" s="7" t="str">
        <f>IF(B49="","",IF(COUNTIF('Shade Match'!$C$5:$C$304,B49)=0,"Pending",IF(COUNTIFS('Shade Match'!$C$5:$C$304,B49,'Shade Match'!$Q$5:$Q$304,"Failed")&gt;0,"Failed","Approved")))</f>
        <v/>
      </c>
      <c r="S49" s="19" t="str">
        <f>IF(B49="","",SUMIF('Fabric Inventory'!$C$5:$C$304,B49,'Fabric Inventory'!$H$5:$H$304))</f>
        <v/>
      </c>
      <c r="T49" s="19" t="str">
        <f>IF(B49="","",SUMIF('Fabric Inventory'!$C$5:$C$304,B49,'Fabric Inventory'!$K$5:$K$304))</f>
        <v/>
      </c>
      <c r="U49" s="19" t="str">
        <f>IF(B49="","",SUMIF('Fabric Inventory'!$C$5:$C$304,B49,'Fabric Inventory'!$L$5:$L$304))</f>
        <v/>
      </c>
      <c r="V49" s="19" t="str">
        <f>IF(B49="","",SUMIF('Fabric Inventory'!$C$5:$C$304,B49,'Fabric Inventory'!$N$5:$N$304))</f>
        <v/>
      </c>
      <c r="W49" s="19" t="str">
        <f>IF(B49="","",SUMIF('Fabric Inventory'!$C$5:$C$304,B49,'Fabric Inventory'!$O$5:$O$304))</f>
        <v/>
      </c>
    </row>
    <row r="50" spans="1:23">
      <c r="A50" s="7" t="str">
        <f>IF('FGPO Master'!A44="","",'FGPO Master'!E44)</f>
        <v/>
      </c>
      <c r="B50" s="7" t="str">
        <f>IF('FGPO Master'!A44="","",IF('FGPO Master'!D44="FGPO Pending","FGPO Pending",'FGPO Master'!B44))</f>
        <v/>
      </c>
      <c r="C50" s="7" t="str">
        <f>IF('FGPO Master'!A44="","",'FGPO Master'!D44)</f>
        <v/>
      </c>
      <c r="D50" s="7" t="str">
        <f>IF('FGPO Master'!A44="","",'FGPO Master'!F44)</f>
        <v/>
      </c>
      <c r="E50" s="7" t="str">
        <f>IF('FGPO Master'!A44="","",'FGPO Master'!G44)</f>
        <v/>
      </c>
      <c r="F50" s="19" t="str">
        <f>IF('FGPO Master'!A44="","",'FGPO Master'!H44)</f>
        <v/>
      </c>
      <c r="G50" s="19" t="str">
        <f>IF('FGPO Master'!A44="","",'FGPO Master'!M44)</f>
        <v/>
      </c>
      <c r="H50" s="19" t="str">
        <f>IF(B50="","",SUMIF('Fabric Requirement'!$B$5:$B$304,B50,'Fabric Requirement'!$M$5:$M$304)+SUMIF('Fabric Requirement'!$B$5:$B$304,B50,'Fabric Requirement'!$O$5:$O$304))</f>
        <v/>
      </c>
      <c r="I50" s="19" t="str">
        <f>IF(B50="","",SUMIF('Fabric PO'!$B$5:$B$304,B50,'Fabric PO'!$H$5:$H$304))</f>
        <v/>
      </c>
      <c r="J50" s="19" t="str">
        <f>IF(B50="","",SUMIF('Mill Production'!$C$5:$C$304,B50,'Mill Production'!$I$5:$I$304))</f>
        <v/>
      </c>
      <c r="K50" s="7" t="str">
        <f>IF(B50="","",IF(COUNTIF('Mill Test'!$C$5:$C$304,B50)=0,"Pending",IF(COUNTIFS('Mill Test'!$C$5:$C$304,B50,'Mill Test'!$T$5:$T$304,"Failed")&gt;0,"Failed","Passed")))</f>
        <v/>
      </c>
      <c r="L50" s="19" t="str">
        <f>IF(B50="","",SUMIF('Fabric Shipment'!$C$5:$C$304,B50,'Fabric Shipment'!$G$5:$G$304))</f>
        <v/>
      </c>
      <c r="M50" s="19" t="str">
        <f>IF(B50="","",SUMIF('Fabric Shipment'!$C$5:$C$304,B50,'Fabric Shipment'!$R$5:$R$304))</f>
        <v/>
      </c>
      <c r="N50" s="19" t="str">
        <f>IF(B50="","",SUMIF('Fabric Receiving'!$E$5:$E$304,B50,'Fabric Receiving'!$H$5:$H$304))</f>
        <v/>
      </c>
      <c r="O50" s="19" t="str">
        <f>IF(B50="","",SUMIF('Fabric Receiving'!$E$5:$E$304,B50,'Fabric Receiving'!$I$5:$I$304))</f>
        <v/>
      </c>
      <c r="P50" s="7" t="str">
        <f>IF(B50="","",IF(COUNTIF('Four-Point'!$E$5:$E$304,B50)=0,"Pending",IF(COUNTIFS('Four-Point'!$E$5:$E$304,B50,'Four-Point'!$T$5:$T$304,"Failed")&gt;0,"Failed","Passed")))</f>
        <v/>
      </c>
      <c r="Q50" s="7" t="str">
        <f>IF(B50="","",IF(COUNTIF('Internal Test'!$D$5:$D$304,B50)=0,"Pending",IF(COUNTIFS('Internal Test'!$D$5:$D$304,B50,'Internal Test'!$AA$5:$AA$304,"Failed")&gt;0,"Failed","Passed")))</f>
        <v/>
      </c>
      <c r="R50" s="7" t="str">
        <f>IF(B50="","",IF(COUNTIF('Shade Match'!$C$5:$C$304,B50)=0,"Pending",IF(COUNTIFS('Shade Match'!$C$5:$C$304,B50,'Shade Match'!$Q$5:$Q$304,"Failed")&gt;0,"Failed","Approved")))</f>
        <v/>
      </c>
      <c r="S50" s="19" t="str">
        <f>IF(B50="","",SUMIF('Fabric Inventory'!$C$5:$C$304,B50,'Fabric Inventory'!$H$5:$H$304))</f>
        <v/>
      </c>
      <c r="T50" s="19" t="str">
        <f>IF(B50="","",SUMIF('Fabric Inventory'!$C$5:$C$304,B50,'Fabric Inventory'!$K$5:$K$304))</f>
        <v/>
      </c>
      <c r="U50" s="19" t="str">
        <f>IF(B50="","",SUMIF('Fabric Inventory'!$C$5:$C$304,B50,'Fabric Inventory'!$L$5:$L$304))</f>
        <v/>
      </c>
      <c r="V50" s="19" t="str">
        <f>IF(B50="","",SUMIF('Fabric Inventory'!$C$5:$C$304,B50,'Fabric Inventory'!$N$5:$N$304))</f>
        <v/>
      </c>
      <c r="W50" s="19" t="str">
        <f>IF(B50="","",SUMIF('Fabric Inventory'!$C$5:$C$304,B50,'Fabric Inventory'!$O$5:$O$304))</f>
        <v/>
      </c>
    </row>
    <row r="51" spans="1:23">
      <c r="A51" s="7" t="str">
        <f>IF('FGPO Master'!A45="","",'FGPO Master'!E45)</f>
        <v/>
      </c>
      <c r="B51" s="7" t="str">
        <f>IF('FGPO Master'!A45="","",IF('FGPO Master'!D45="FGPO Pending","FGPO Pending",'FGPO Master'!B45))</f>
        <v/>
      </c>
      <c r="C51" s="7" t="str">
        <f>IF('FGPO Master'!A45="","",'FGPO Master'!D45)</f>
        <v/>
      </c>
      <c r="D51" s="7" t="str">
        <f>IF('FGPO Master'!A45="","",'FGPO Master'!F45)</f>
        <v/>
      </c>
      <c r="E51" s="7" t="str">
        <f>IF('FGPO Master'!A45="","",'FGPO Master'!G45)</f>
        <v/>
      </c>
      <c r="F51" s="19" t="str">
        <f>IF('FGPO Master'!A45="","",'FGPO Master'!H45)</f>
        <v/>
      </c>
      <c r="G51" s="19" t="str">
        <f>IF('FGPO Master'!A45="","",'FGPO Master'!M45)</f>
        <v/>
      </c>
      <c r="H51" s="19" t="str">
        <f>IF(B51="","",SUMIF('Fabric Requirement'!$B$5:$B$304,B51,'Fabric Requirement'!$M$5:$M$304)+SUMIF('Fabric Requirement'!$B$5:$B$304,B51,'Fabric Requirement'!$O$5:$O$304))</f>
        <v/>
      </c>
      <c r="I51" s="19" t="str">
        <f>IF(B51="","",SUMIF('Fabric PO'!$B$5:$B$304,B51,'Fabric PO'!$H$5:$H$304))</f>
        <v/>
      </c>
      <c r="J51" s="19" t="str">
        <f>IF(B51="","",SUMIF('Mill Production'!$C$5:$C$304,B51,'Mill Production'!$I$5:$I$304))</f>
        <v/>
      </c>
      <c r="K51" s="7" t="str">
        <f>IF(B51="","",IF(COUNTIF('Mill Test'!$C$5:$C$304,B51)=0,"Pending",IF(COUNTIFS('Mill Test'!$C$5:$C$304,B51,'Mill Test'!$T$5:$T$304,"Failed")&gt;0,"Failed","Passed")))</f>
        <v/>
      </c>
      <c r="L51" s="19" t="str">
        <f>IF(B51="","",SUMIF('Fabric Shipment'!$C$5:$C$304,B51,'Fabric Shipment'!$G$5:$G$304))</f>
        <v/>
      </c>
      <c r="M51" s="19" t="str">
        <f>IF(B51="","",SUMIF('Fabric Shipment'!$C$5:$C$304,B51,'Fabric Shipment'!$R$5:$R$304))</f>
        <v/>
      </c>
      <c r="N51" s="19" t="str">
        <f>IF(B51="","",SUMIF('Fabric Receiving'!$E$5:$E$304,B51,'Fabric Receiving'!$H$5:$H$304))</f>
        <v/>
      </c>
      <c r="O51" s="19" t="str">
        <f>IF(B51="","",SUMIF('Fabric Receiving'!$E$5:$E$304,B51,'Fabric Receiving'!$I$5:$I$304))</f>
        <v/>
      </c>
      <c r="P51" s="7" t="str">
        <f>IF(B51="","",IF(COUNTIF('Four-Point'!$E$5:$E$304,B51)=0,"Pending",IF(COUNTIFS('Four-Point'!$E$5:$E$304,B51,'Four-Point'!$T$5:$T$304,"Failed")&gt;0,"Failed","Passed")))</f>
        <v/>
      </c>
      <c r="Q51" s="7" t="str">
        <f>IF(B51="","",IF(COUNTIF('Internal Test'!$D$5:$D$304,B51)=0,"Pending",IF(COUNTIFS('Internal Test'!$D$5:$D$304,B51,'Internal Test'!$AA$5:$AA$304,"Failed")&gt;0,"Failed","Passed")))</f>
        <v/>
      </c>
      <c r="R51" s="7" t="str">
        <f>IF(B51="","",IF(COUNTIF('Shade Match'!$C$5:$C$304,B51)=0,"Pending",IF(COUNTIFS('Shade Match'!$C$5:$C$304,B51,'Shade Match'!$Q$5:$Q$304,"Failed")&gt;0,"Failed","Approved")))</f>
        <v/>
      </c>
      <c r="S51" s="19" t="str">
        <f>IF(B51="","",SUMIF('Fabric Inventory'!$C$5:$C$304,B51,'Fabric Inventory'!$H$5:$H$304))</f>
        <v/>
      </c>
      <c r="T51" s="19" t="str">
        <f>IF(B51="","",SUMIF('Fabric Inventory'!$C$5:$C$304,B51,'Fabric Inventory'!$K$5:$K$304))</f>
        <v/>
      </c>
      <c r="U51" s="19" t="str">
        <f>IF(B51="","",SUMIF('Fabric Inventory'!$C$5:$C$304,B51,'Fabric Inventory'!$L$5:$L$304))</f>
        <v/>
      </c>
      <c r="V51" s="19" t="str">
        <f>IF(B51="","",SUMIF('Fabric Inventory'!$C$5:$C$304,B51,'Fabric Inventory'!$N$5:$N$304))</f>
        <v/>
      </c>
      <c r="W51" s="19" t="str">
        <f>IF(B51="","",SUMIF('Fabric Inventory'!$C$5:$C$304,B51,'Fabric Inventory'!$O$5:$O$304))</f>
        <v/>
      </c>
    </row>
    <row r="52" spans="1:23">
      <c r="A52" s="7" t="str">
        <f>IF('FGPO Master'!A46="","",'FGPO Master'!E46)</f>
        <v/>
      </c>
      <c r="B52" s="7" t="str">
        <f>IF('FGPO Master'!A46="","",IF('FGPO Master'!D46="FGPO Pending","FGPO Pending",'FGPO Master'!B46))</f>
        <v/>
      </c>
      <c r="C52" s="7" t="str">
        <f>IF('FGPO Master'!A46="","",'FGPO Master'!D46)</f>
        <v/>
      </c>
      <c r="D52" s="7" t="str">
        <f>IF('FGPO Master'!A46="","",'FGPO Master'!F46)</f>
        <v/>
      </c>
      <c r="E52" s="7" t="str">
        <f>IF('FGPO Master'!A46="","",'FGPO Master'!G46)</f>
        <v/>
      </c>
      <c r="F52" s="19" t="str">
        <f>IF('FGPO Master'!A46="","",'FGPO Master'!H46)</f>
        <v/>
      </c>
      <c r="G52" s="19" t="str">
        <f>IF('FGPO Master'!A46="","",'FGPO Master'!M46)</f>
        <v/>
      </c>
      <c r="H52" s="19" t="str">
        <f>IF(B52="","",SUMIF('Fabric Requirement'!$B$5:$B$304,B52,'Fabric Requirement'!$M$5:$M$304)+SUMIF('Fabric Requirement'!$B$5:$B$304,B52,'Fabric Requirement'!$O$5:$O$304))</f>
        <v/>
      </c>
      <c r="I52" s="19" t="str">
        <f>IF(B52="","",SUMIF('Fabric PO'!$B$5:$B$304,B52,'Fabric PO'!$H$5:$H$304))</f>
        <v/>
      </c>
      <c r="J52" s="19" t="str">
        <f>IF(B52="","",SUMIF('Mill Production'!$C$5:$C$304,B52,'Mill Production'!$I$5:$I$304))</f>
        <v/>
      </c>
      <c r="K52" s="7" t="str">
        <f>IF(B52="","",IF(COUNTIF('Mill Test'!$C$5:$C$304,B52)=0,"Pending",IF(COUNTIFS('Mill Test'!$C$5:$C$304,B52,'Mill Test'!$T$5:$T$304,"Failed")&gt;0,"Failed","Passed")))</f>
        <v/>
      </c>
      <c r="L52" s="19" t="str">
        <f>IF(B52="","",SUMIF('Fabric Shipment'!$C$5:$C$304,B52,'Fabric Shipment'!$G$5:$G$304))</f>
        <v/>
      </c>
      <c r="M52" s="19" t="str">
        <f>IF(B52="","",SUMIF('Fabric Shipment'!$C$5:$C$304,B52,'Fabric Shipment'!$R$5:$R$304))</f>
        <v/>
      </c>
      <c r="N52" s="19" t="str">
        <f>IF(B52="","",SUMIF('Fabric Receiving'!$E$5:$E$304,B52,'Fabric Receiving'!$H$5:$H$304))</f>
        <v/>
      </c>
      <c r="O52" s="19" t="str">
        <f>IF(B52="","",SUMIF('Fabric Receiving'!$E$5:$E$304,B52,'Fabric Receiving'!$I$5:$I$304))</f>
        <v/>
      </c>
      <c r="P52" s="7" t="str">
        <f>IF(B52="","",IF(COUNTIF('Four-Point'!$E$5:$E$304,B52)=0,"Pending",IF(COUNTIFS('Four-Point'!$E$5:$E$304,B52,'Four-Point'!$T$5:$T$304,"Failed")&gt;0,"Failed","Passed")))</f>
        <v/>
      </c>
      <c r="Q52" s="7" t="str">
        <f>IF(B52="","",IF(COUNTIF('Internal Test'!$D$5:$D$304,B52)=0,"Pending",IF(COUNTIFS('Internal Test'!$D$5:$D$304,B52,'Internal Test'!$AA$5:$AA$304,"Failed")&gt;0,"Failed","Passed")))</f>
        <v/>
      </c>
      <c r="R52" s="7" t="str">
        <f>IF(B52="","",IF(COUNTIF('Shade Match'!$C$5:$C$304,B52)=0,"Pending",IF(COUNTIFS('Shade Match'!$C$5:$C$304,B52,'Shade Match'!$Q$5:$Q$304,"Failed")&gt;0,"Failed","Approved")))</f>
        <v/>
      </c>
      <c r="S52" s="19" t="str">
        <f>IF(B52="","",SUMIF('Fabric Inventory'!$C$5:$C$304,B52,'Fabric Inventory'!$H$5:$H$304))</f>
        <v/>
      </c>
      <c r="T52" s="19" t="str">
        <f>IF(B52="","",SUMIF('Fabric Inventory'!$C$5:$C$304,B52,'Fabric Inventory'!$K$5:$K$304))</f>
        <v/>
      </c>
      <c r="U52" s="19" t="str">
        <f>IF(B52="","",SUMIF('Fabric Inventory'!$C$5:$C$304,B52,'Fabric Inventory'!$L$5:$L$304))</f>
        <v/>
      </c>
      <c r="V52" s="19" t="str">
        <f>IF(B52="","",SUMIF('Fabric Inventory'!$C$5:$C$304,B52,'Fabric Inventory'!$N$5:$N$304))</f>
        <v/>
      </c>
      <c r="W52" s="19" t="str">
        <f>IF(B52="","",SUMIF('Fabric Inventory'!$C$5:$C$304,B52,'Fabric Inventory'!$O$5:$O$304))</f>
        <v/>
      </c>
    </row>
    <row r="53" spans="1:23">
      <c r="A53" s="7" t="str">
        <f>IF('FGPO Master'!A47="","",'FGPO Master'!E47)</f>
        <v/>
      </c>
      <c r="B53" s="7" t="str">
        <f>IF('FGPO Master'!A47="","",IF('FGPO Master'!D47="FGPO Pending","FGPO Pending",'FGPO Master'!B47))</f>
        <v/>
      </c>
      <c r="C53" s="7" t="str">
        <f>IF('FGPO Master'!A47="","",'FGPO Master'!D47)</f>
        <v/>
      </c>
      <c r="D53" s="7" t="str">
        <f>IF('FGPO Master'!A47="","",'FGPO Master'!F47)</f>
        <v/>
      </c>
      <c r="E53" s="7" t="str">
        <f>IF('FGPO Master'!A47="","",'FGPO Master'!G47)</f>
        <v/>
      </c>
      <c r="F53" s="19" t="str">
        <f>IF('FGPO Master'!A47="","",'FGPO Master'!H47)</f>
        <v/>
      </c>
      <c r="G53" s="19" t="str">
        <f>IF('FGPO Master'!A47="","",'FGPO Master'!M47)</f>
        <v/>
      </c>
      <c r="H53" s="19" t="str">
        <f>IF(B53="","",SUMIF('Fabric Requirement'!$B$5:$B$304,B53,'Fabric Requirement'!$M$5:$M$304)+SUMIF('Fabric Requirement'!$B$5:$B$304,B53,'Fabric Requirement'!$O$5:$O$304))</f>
        <v/>
      </c>
      <c r="I53" s="19" t="str">
        <f>IF(B53="","",SUMIF('Fabric PO'!$B$5:$B$304,B53,'Fabric PO'!$H$5:$H$304))</f>
        <v/>
      </c>
      <c r="J53" s="19" t="str">
        <f>IF(B53="","",SUMIF('Mill Production'!$C$5:$C$304,B53,'Mill Production'!$I$5:$I$304))</f>
        <v/>
      </c>
      <c r="K53" s="7" t="str">
        <f>IF(B53="","",IF(COUNTIF('Mill Test'!$C$5:$C$304,B53)=0,"Pending",IF(COUNTIFS('Mill Test'!$C$5:$C$304,B53,'Mill Test'!$T$5:$T$304,"Failed")&gt;0,"Failed","Passed")))</f>
        <v/>
      </c>
      <c r="L53" s="19" t="str">
        <f>IF(B53="","",SUMIF('Fabric Shipment'!$C$5:$C$304,B53,'Fabric Shipment'!$G$5:$G$304))</f>
        <v/>
      </c>
      <c r="M53" s="19" t="str">
        <f>IF(B53="","",SUMIF('Fabric Shipment'!$C$5:$C$304,B53,'Fabric Shipment'!$R$5:$R$304))</f>
        <v/>
      </c>
      <c r="N53" s="19" t="str">
        <f>IF(B53="","",SUMIF('Fabric Receiving'!$E$5:$E$304,B53,'Fabric Receiving'!$H$5:$H$304))</f>
        <v/>
      </c>
      <c r="O53" s="19" t="str">
        <f>IF(B53="","",SUMIF('Fabric Receiving'!$E$5:$E$304,B53,'Fabric Receiving'!$I$5:$I$304))</f>
        <v/>
      </c>
      <c r="P53" s="7" t="str">
        <f>IF(B53="","",IF(COUNTIF('Four-Point'!$E$5:$E$304,B53)=0,"Pending",IF(COUNTIFS('Four-Point'!$E$5:$E$304,B53,'Four-Point'!$T$5:$T$304,"Failed")&gt;0,"Failed","Passed")))</f>
        <v/>
      </c>
      <c r="Q53" s="7" t="str">
        <f>IF(B53="","",IF(COUNTIF('Internal Test'!$D$5:$D$304,B53)=0,"Pending",IF(COUNTIFS('Internal Test'!$D$5:$D$304,B53,'Internal Test'!$AA$5:$AA$304,"Failed")&gt;0,"Failed","Passed")))</f>
        <v/>
      </c>
      <c r="R53" s="7" t="str">
        <f>IF(B53="","",IF(COUNTIF('Shade Match'!$C$5:$C$304,B53)=0,"Pending",IF(COUNTIFS('Shade Match'!$C$5:$C$304,B53,'Shade Match'!$Q$5:$Q$304,"Failed")&gt;0,"Failed","Approved")))</f>
        <v/>
      </c>
      <c r="S53" s="19" t="str">
        <f>IF(B53="","",SUMIF('Fabric Inventory'!$C$5:$C$304,B53,'Fabric Inventory'!$H$5:$H$304))</f>
        <v/>
      </c>
      <c r="T53" s="19" t="str">
        <f>IF(B53="","",SUMIF('Fabric Inventory'!$C$5:$C$304,B53,'Fabric Inventory'!$K$5:$K$304))</f>
        <v/>
      </c>
      <c r="U53" s="19" t="str">
        <f>IF(B53="","",SUMIF('Fabric Inventory'!$C$5:$C$304,B53,'Fabric Inventory'!$L$5:$L$304))</f>
        <v/>
      </c>
      <c r="V53" s="19" t="str">
        <f>IF(B53="","",SUMIF('Fabric Inventory'!$C$5:$C$304,B53,'Fabric Inventory'!$N$5:$N$304))</f>
        <v/>
      </c>
      <c r="W53" s="19" t="str">
        <f>IF(B53="","",SUMIF('Fabric Inventory'!$C$5:$C$304,B53,'Fabric Inventory'!$O$5:$O$304))</f>
        <v/>
      </c>
    </row>
    <row r="54" spans="1:23">
      <c r="A54" s="7" t="str">
        <f>IF('FGPO Master'!A48="","",'FGPO Master'!E48)</f>
        <v/>
      </c>
      <c r="B54" s="7" t="str">
        <f>IF('FGPO Master'!A48="","",IF('FGPO Master'!D48="FGPO Pending","FGPO Pending",'FGPO Master'!B48))</f>
        <v/>
      </c>
      <c r="C54" s="7" t="str">
        <f>IF('FGPO Master'!A48="","",'FGPO Master'!D48)</f>
        <v/>
      </c>
      <c r="D54" s="7" t="str">
        <f>IF('FGPO Master'!A48="","",'FGPO Master'!F48)</f>
        <v/>
      </c>
      <c r="E54" s="7" t="str">
        <f>IF('FGPO Master'!A48="","",'FGPO Master'!G48)</f>
        <v/>
      </c>
      <c r="F54" s="19" t="str">
        <f>IF('FGPO Master'!A48="","",'FGPO Master'!H48)</f>
        <v/>
      </c>
      <c r="G54" s="19" t="str">
        <f>IF('FGPO Master'!A48="","",'FGPO Master'!M48)</f>
        <v/>
      </c>
      <c r="H54" s="19" t="str">
        <f>IF(B54="","",SUMIF('Fabric Requirement'!$B$5:$B$304,B54,'Fabric Requirement'!$M$5:$M$304)+SUMIF('Fabric Requirement'!$B$5:$B$304,B54,'Fabric Requirement'!$O$5:$O$304))</f>
        <v/>
      </c>
      <c r="I54" s="19" t="str">
        <f>IF(B54="","",SUMIF('Fabric PO'!$B$5:$B$304,B54,'Fabric PO'!$H$5:$H$304))</f>
        <v/>
      </c>
      <c r="J54" s="19" t="str">
        <f>IF(B54="","",SUMIF('Mill Production'!$C$5:$C$304,B54,'Mill Production'!$I$5:$I$304))</f>
        <v/>
      </c>
      <c r="K54" s="7" t="str">
        <f>IF(B54="","",IF(COUNTIF('Mill Test'!$C$5:$C$304,B54)=0,"Pending",IF(COUNTIFS('Mill Test'!$C$5:$C$304,B54,'Mill Test'!$T$5:$T$304,"Failed")&gt;0,"Failed","Passed")))</f>
        <v/>
      </c>
      <c r="L54" s="19" t="str">
        <f>IF(B54="","",SUMIF('Fabric Shipment'!$C$5:$C$304,B54,'Fabric Shipment'!$G$5:$G$304))</f>
        <v/>
      </c>
      <c r="M54" s="19" t="str">
        <f>IF(B54="","",SUMIF('Fabric Shipment'!$C$5:$C$304,B54,'Fabric Shipment'!$R$5:$R$304))</f>
        <v/>
      </c>
      <c r="N54" s="19" t="str">
        <f>IF(B54="","",SUMIF('Fabric Receiving'!$E$5:$E$304,B54,'Fabric Receiving'!$H$5:$H$304))</f>
        <v/>
      </c>
      <c r="O54" s="19" t="str">
        <f>IF(B54="","",SUMIF('Fabric Receiving'!$E$5:$E$304,B54,'Fabric Receiving'!$I$5:$I$304))</f>
        <v/>
      </c>
      <c r="P54" s="7" t="str">
        <f>IF(B54="","",IF(COUNTIF('Four-Point'!$E$5:$E$304,B54)=0,"Pending",IF(COUNTIFS('Four-Point'!$E$5:$E$304,B54,'Four-Point'!$T$5:$T$304,"Failed")&gt;0,"Failed","Passed")))</f>
        <v/>
      </c>
      <c r="Q54" s="7" t="str">
        <f>IF(B54="","",IF(COUNTIF('Internal Test'!$D$5:$D$304,B54)=0,"Pending",IF(COUNTIFS('Internal Test'!$D$5:$D$304,B54,'Internal Test'!$AA$5:$AA$304,"Failed")&gt;0,"Failed","Passed")))</f>
        <v/>
      </c>
      <c r="R54" s="7" t="str">
        <f>IF(B54="","",IF(COUNTIF('Shade Match'!$C$5:$C$304,B54)=0,"Pending",IF(COUNTIFS('Shade Match'!$C$5:$C$304,B54,'Shade Match'!$Q$5:$Q$304,"Failed")&gt;0,"Failed","Approved")))</f>
        <v/>
      </c>
      <c r="S54" s="19" t="str">
        <f>IF(B54="","",SUMIF('Fabric Inventory'!$C$5:$C$304,B54,'Fabric Inventory'!$H$5:$H$304))</f>
        <v/>
      </c>
      <c r="T54" s="19" t="str">
        <f>IF(B54="","",SUMIF('Fabric Inventory'!$C$5:$C$304,B54,'Fabric Inventory'!$K$5:$K$304))</f>
        <v/>
      </c>
      <c r="U54" s="19" t="str">
        <f>IF(B54="","",SUMIF('Fabric Inventory'!$C$5:$C$304,B54,'Fabric Inventory'!$L$5:$L$304))</f>
        <v/>
      </c>
      <c r="V54" s="19" t="str">
        <f>IF(B54="","",SUMIF('Fabric Inventory'!$C$5:$C$304,B54,'Fabric Inventory'!$N$5:$N$304))</f>
        <v/>
      </c>
      <c r="W54" s="19" t="str">
        <f>IF(B54="","",SUMIF('Fabric Inventory'!$C$5:$C$304,B54,'Fabric Inventory'!$O$5:$O$304))</f>
        <v/>
      </c>
    </row>
    <row r="55" spans="1:23">
      <c r="A55" s="7" t="str">
        <f>IF('FGPO Master'!A49="","",'FGPO Master'!E49)</f>
        <v/>
      </c>
      <c r="B55" s="7" t="str">
        <f>IF('FGPO Master'!A49="","",IF('FGPO Master'!D49="FGPO Pending","FGPO Pending",'FGPO Master'!B49))</f>
        <v/>
      </c>
      <c r="C55" s="7" t="str">
        <f>IF('FGPO Master'!A49="","",'FGPO Master'!D49)</f>
        <v/>
      </c>
      <c r="D55" s="7" t="str">
        <f>IF('FGPO Master'!A49="","",'FGPO Master'!F49)</f>
        <v/>
      </c>
      <c r="E55" s="7" t="str">
        <f>IF('FGPO Master'!A49="","",'FGPO Master'!G49)</f>
        <v/>
      </c>
      <c r="F55" s="19" t="str">
        <f>IF('FGPO Master'!A49="","",'FGPO Master'!H49)</f>
        <v/>
      </c>
      <c r="G55" s="19" t="str">
        <f>IF('FGPO Master'!A49="","",'FGPO Master'!M49)</f>
        <v/>
      </c>
      <c r="H55" s="19" t="str">
        <f>IF(B55="","",SUMIF('Fabric Requirement'!$B$5:$B$304,B55,'Fabric Requirement'!$M$5:$M$304)+SUMIF('Fabric Requirement'!$B$5:$B$304,B55,'Fabric Requirement'!$O$5:$O$304))</f>
        <v/>
      </c>
      <c r="I55" s="19" t="str">
        <f>IF(B55="","",SUMIF('Fabric PO'!$B$5:$B$304,B55,'Fabric PO'!$H$5:$H$304))</f>
        <v/>
      </c>
      <c r="J55" s="19" t="str">
        <f>IF(B55="","",SUMIF('Mill Production'!$C$5:$C$304,B55,'Mill Production'!$I$5:$I$304))</f>
        <v/>
      </c>
      <c r="K55" s="7" t="str">
        <f>IF(B55="","",IF(COUNTIF('Mill Test'!$C$5:$C$304,B55)=0,"Pending",IF(COUNTIFS('Mill Test'!$C$5:$C$304,B55,'Mill Test'!$T$5:$T$304,"Failed")&gt;0,"Failed","Passed")))</f>
        <v/>
      </c>
      <c r="L55" s="19" t="str">
        <f>IF(B55="","",SUMIF('Fabric Shipment'!$C$5:$C$304,B55,'Fabric Shipment'!$G$5:$G$304))</f>
        <v/>
      </c>
      <c r="M55" s="19" t="str">
        <f>IF(B55="","",SUMIF('Fabric Shipment'!$C$5:$C$304,B55,'Fabric Shipment'!$R$5:$R$304))</f>
        <v/>
      </c>
      <c r="N55" s="19" t="str">
        <f>IF(B55="","",SUMIF('Fabric Receiving'!$E$5:$E$304,B55,'Fabric Receiving'!$H$5:$H$304))</f>
        <v/>
      </c>
      <c r="O55" s="19" t="str">
        <f>IF(B55="","",SUMIF('Fabric Receiving'!$E$5:$E$304,B55,'Fabric Receiving'!$I$5:$I$304))</f>
        <v/>
      </c>
      <c r="P55" s="7" t="str">
        <f>IF(B55="","",IF(COUNTIF('Four-Point'!$E$5:$E$304,B55)=0,"Pending",IF(COUNTIFS('Four-Point'!$E$5:$E$304,B55,'Four-Point'!$T$5:$T$304,"Failed")&gt;0,"Failed","Passed")))</f>
        <v/>
      </c>
      <c r="Q55" s="7" t="str">
        <f>IF(B55="","",IF(COUNTIF('Internal Test'!$D$5:$D$304,B55)=0,"Pending",IF(COUNTIFS('Internal Test'!$D$5:$D$304,B55,'Internal Test'!$AA$5:$AA$304,"Failed")&gt;0,"Failed","Passed")))</f>
        <v/>
      </c>
      <c r="R55" s="7" t="str">
        <f>IF(B55="","",IF(COUNTIF('Shade Match'!$C$5:$C$304,B55)=0,"Pending",IF(COUNTIFS('Shade Match'!$C$5:$C$304,B55,'Shade Match'!$Q$5:$Q$304,"Failed")&gt;0,"Failed","Approved")))</f>
        <v/>
      </c>
      <c r="S55" s="19" t="str">
        <f>IF(B55="","",SUMIF('Fabric Inventory'!$C$5:$C$304,B55,'Fabric Inventory'!$H$5:$H$304))</f>
        <v/>
      </c>
      <c r="T55" s="19" t="str">
        <f>IF(B55="","",SUMIF('Fabric Inventory'!$C$5:$C$304,B55,'Fabric Inventory'!$K$5:$K$304))</f>
        <v/>
      </c>
      <c r="U55" s="19" t="str">
        <f>IF(B55="","",SUMIF('Fabric Inventory'!$C$5:$C$304,B55,'Fabric Inventory'!$L$5:$L$304))</f>
        <v/>
      </c>
      <c r="V55" s="19" t="str">
        <f>IF(B55="","",SUMIF('Fabric Inventory'!$C$5:$C$304,B55,'Fabric Inventory'!$N$5:$N$304))</f>
        <v/>
      </c>
      <c r="W55" s="19" t="str">
        <f>IF(B55="","",SUMIF('Fabric Inventory'!$C$5:$C$304,B55,'Fabric Inventory'!$O$5:$O$304))</f>
        <v/>
      </c>
    </row>
    <row r="56" spans="1:23">
      <c r="A56" s="7" t="str">
        <f>IF('FGPO Master'!A50="","",'FGPO Master'!E50)</f>
        <v/>
      </c>
      <c r="B56" s="7" t="str">
        <f>IF('FGPO Master'!A50="","",IF('FGPO Master'!D50="FGPO Pending","FGPO Pending",'FGPO Master'!B50))</f>
        <v/>
      </c>
      <c r="C56" s="7" t="str">
        <f>IF('FGPO Master'!A50="","",'FGPO Master'!D50)</f>
        <v/>
      </c>
      <c r="D56" s="7" t="str">
        <f>IF('FGPO Master'!A50="","",'FGPO Master'!F50)</f>
        <v/>
      </c>
      <c r="E56" s="7" t="str">
        <f>IF('FGPO Master'!A50="","",'FGPO Master'!G50)</f>
        <v/>
      </c>
      <c r="F56" s="19" t="str">
        <f>IF('FGPO Master'!A50="","",'FGPO Master'!H50)</f>
        <v/>
      </c>
      <c r="G56" s="19" t="str">
        <f>IF('FGPO Master'!A50="","",'FGPO Master'!M50)</f>
        <v/>
      </c>
      <c r="H56" s="19" t="str">
        <f>IF(B56="","",SUMIF('Fabric Requirement'!$B$5:$B$304,B56,'Fabric Requirement'!$M$5:$M$304)+SUMIF('Fabric Requirement'!$B$5:$B$304,B56,'Fabric Requirement'!$O$5:$O$304))</f>
        <v/>
      </c>
      <c r="I56" s="19" t="str">
        <f>IF(B56="","",SUMIF('Fabric PO'!$B$5:$B$304,B56,'Fabric PO'!$H$5:$H$304))</f>
        <v/>
      </c>
      <c r="J56" s="19" t="str">
        <f>IF(B56="","",SUMIF('Mill Production'!$C$5:$C$304,B56,'Mill Production'!$I$5:$I$304))</f>
        <v/>
      </c>
      <c r="K56" s="7" t="str">
        <f>IF(B56="","",IF(COUNTIF('Mill Test'!$C$5:$C$304,B56)=0,"Pending",IF(COUNTIFS('Mill Test'!$C$5:$C$304,B56,'Mill Test'!$T$5:$T$304,"Failed")&gt;0,"Failed","Passed")))</f>
        <v/>
      </c>
      <c r="L56" s="19" t="str">
        <f>IF(B56="","",SUMIF('Fabric Shipment'!$C$5:$C$304,B56,'Fabric Shipment'!$G$5:$G$304))</f>
        <v/>
      </c>
      <c r="M56" s="19" t="str">
        <f>IF(B56="","",SUMIF('Fabric Shipment'!$C$5:$C$304,B56,'Fabric Shipment'!$R$5:$R$304))</f>
        <v/>
      </c>
      <c r="N56" s="19" t="str">
        <f>IF(B56="","",SUMIF('Fabric Receiving'!$E$5:$E$304,B56,'Fabric Receiving'!$H$5:$H$304))</f>
        <v/>
      </c>
      <c r="O56" s="19" t="str">
        <f>IF(B56="","",SUMIF('Fabric Receiving'!$E$5:$E$304,B56,'Fabric Receiving'!$I$5:$I$304))</f>
        <v/>
      </c>
      <c r="P56" s="7" t="str">
        <f>IF(B56="","",IF(COUNTIF('Four-Point'!$E$5:$E$304,B56)=0,"Pending",IF(COUNTIFS('Four-Point'!$E$5:$E$304,B56,'Four-Point'!$T$5:$T$304,"Failed")&gt;0,"Failed","Passed")))</f>
        <v/>
      </c>
      <c r="Q56" s="7" t="str">
        <f>IF(B56="","",IF(COUNTIF('Internal Test'!$D$5:$D$304,B56)=0,"Pending",IF(COUNTIFS('Internal Test'!$D$5:$D$304,B56,'Internal Test'!$AA$5:$AA$304,"Failed")&gt;0,"Failed","Passed")))</f>
        <v/>
      </c>
      <c r="R56" s="7" t="str">
        <f>IF(B56="","",IF(COUNTIF('Shade Match'!$C$5:$C$304,B56)=0,"Pending",IF(COUNTIFS('Shade Match'!$C$5:$C$304,B56,'Shade Match'!$Q$5:$Q$304,"Failed")&gt;0,"Failed","Approved")))</f>
        <v/>
      </c>
      <c r="S56" s="19" t="str">
        <f>IF(B56="","",SUMIF('Fabric Inventory'!$C$5:$C$304,B56,'Fabric Inventory'!$H$5:$H$304))</f>
        <v/>
      </c>
      <c r="T56" s="19" t="str">
        <f>IF(B56="","",SUMIF('Fabric Inventory'!$C$5:$C$304,B56,'Fabric Inventory'!$K$5:$K$304))</f>
        <v/>
      </c>
      <c r="U56" s="19" t="str">
        <f>IF(B56="","",SUMIF('Fabric Inventory'!$C$5:$C$304,B56,'Fabric Inventory'!$L$5:$L$304))</f>
        <v/>
      </c>
      <c r="V56" s="19" t="str">
        <f>IF(B56="","",SUMIF('Fabric Inventory'!$C$5:$C$304,B56,'Fabric Inventory'!$N$5:$N$304))</f>
        <v/>
      </c>
      <c r="W56" s="19" t="str">
        <f>IF(B56="","",SUMIF('Fabric Inventory'!$C$5:$C$304,B56,'Fabric Inventory'!$O$5:$O$304))</f>
        <v/>
      </c>
    </row>
    <row r="57" spans="1:23">
      <c r="A57" s="7" t="str">
        <f>IF('FGPO Master'!A51="","",'FGPO Master'!E51)</f>
        <v/>
      </c>
      <c r="B57" s="7" t="str">
        <f>IF('FGPO Master'!A51="","",IF('FGPO Master'!D51="FGPO Pending","FGPO Pending",'FGPO Master'!B51))</f>
        <v/>
      </c>
      <c r="C57" s="7" t="str">
        <f>IF('FGPO Master'!A51="","",'FGPO Master'!D51)</f>
        <v/>
      </c>
      <c r="D57" s="7" t="str">
        <f>IF('FGPO Master'!A51="","",'FGPO Master'!F51)</f>
        <v/>
      </c>
      <c r="E57" s="7" t="str">
        <f>IF('FGPO Master'!A51="","",'FGPO Master'!G51)</f>
        <v/>
      </c>
      <c r="F57" s="19" t="str">
        <f>IF('FGPO Master'!A51="","",'FGPO Master'!H51)</f>
        <v/>
      </c>
      <c r="G57" s="19" t="str">
        <f>IF('FGPO Master'!A51="","",'FGPO Master'!M51)</f>
        <v/>
      </c>
      <c r="H57" s="19" t="str">
        <f>IF(B57="","",SUMIF('Fabric Requirement'!$B$5:$B$304,B57,'Fabric Requirement'!$M$5:$M$304)+SUMIF('Fabric Requirement'!$B$5:$B$304,B57,'Fabric Requirement'!$O$5:$O$304))</f>
        <v/>
      </c>
      <c r="I57" s="19" t="str">
        <f>IF(B57="","",SUMIF('Fabric PO'!$B$5:$B$304,B57,'Fabric PO'!$H$5:$H$304))</f>
        <v/>
      </c>
      <c r="J57" s="19" t="str">
        <f>IF(B57="","",SUMIF('Mill Production'!$C$5:$C$304,B57,'Mill Production'!$I$5:$I$304))</f>
        <v/>
      </c>
      <c r="K57" s="7" t="str">
        <f>IF(B57="","",IF(COUNTIF('Mill Test'!$C$5:$C$304,B57)=0,"Pending",IF(COUNTIFS('Mill Test'!$C$5:$C$304,B57,'Mill Test'!$T$5:$T$304,"Failed")&gt;0,"Failed","Passed")))</f>
        <v/>
      </c>
      <c r="L57" s="19" t="str">
        <f>IF(B57="","",SUMIF('Fabric Shipment'!$C$5:$C$304,B57,'Fabric Shipment'!$G$5:$G$304))</f>
        <v/>
      </c>
      <c r="M57" s="19" t="str">
        <f>IF(B57="","",SUMIF('Fabric Shipment'!$C$5:$C$304,B57,'Fabric Shipment'!$R$5:$R$304))</f>
        <v/>
      </c>
      <c r="N57" s="19" t="str">
        <f>IF(B57="","",SUMIF('Fabric Receiving'!$E$5:$E$304,B57,'Fabric Receiving'!$H$5:$H$304))</f>
        <v/>
      </c>
      <c r="O57" s="19" t="str">
        <f>IF(B57="","",SUMIF('Fabric Receiving'!$E$5:$E$304,B57,'Fabric Receiving'!$I$5:$I$304))</f>
        <v/>
      </c>
      <c r="P57" s="7" t="str">
        <f>IF(B57="","",IF(COUNTIF('Four-Point'!$E$5:$E$304,B57)=0,"Pending",IF(COUNTIFS('Four-Point'!$E$5:$E$304,B57,'Four-Point'!$T$5:$T$304,"Failed")&gt;0,"Failed","Passed")))</f>
        <v/>
      </c>
      <c r="Q57" s="7" t="str">
        <f>IF(B57="","",IF(COUNTIF('Internal Test'!$D$5:$D$304,B57)=0,"Pending",IF(COUNTIFS('Internal Test'!$D$5:$D$304,B57,'Internal Test'!$AA$5:$AA$304,"Failed")&gt;0,"Failed","Passed")))</f>
        <v/>
      </c>
      <c r="R57" s="7" t="str">
        <f>IF(B57="","",IF(COUNTIF('Shade Match'!$C$5:$C$304,B57)=0,"Pending",IF(COUNTIFS('Shade Match'!$C$5:$C$304,B57,'Shade Match'!$Q$5:$Q$304,"Failed")&gt;0,"Failed","Approved")))</f>
        <v/>
      </c>
      <c r="S57" s="19" t="str">
        <f>IF(B57="","",SUMIF('Fabric Inventory'!$C$5:$C$304,B57,'Fabric Inventory'!$H$5:$H$304))</f>
        <v/>
      </c>
      <c r="T57" s="19" t="str">
        <f>IF(B57="","",SUMIF('Fabric Inventory'!$C$5:$C$304,B57,'Fabric Inventory'!$K$5:$K$304))</f>
        <v/>
      </c>
      <c r="U57" s="19" t="str">
        <f>IF(B57="","",SUMIF('Fabric Inventory'!$C$5:$C$304,B57,'Fabric Inventory'!$L$5:$L$304))</f>
        <v/>
      </c>
      <c r="V57" s="19" t="str">
        <f>IF(B57="","",SUMIF('Fabric Inventory'!$C$5:$C$304,B57,'Fabric Inventory'!$N$5:$N$304))</f>
        <v/>
      </c>
      <c r="W57" s="19" t="str">
        <f>IF(B57="","",SUMIF('Fabric Inventory'!$C$5:$C$304,B57,'Fabric Inventory'!$O$5:$O$304))</f>
        <v/>
      </c>
    </row>
    <row r="58" spans="1:23">
      <c r="A58" s="7" t="str">
        <f>IF('FGPO Master'!A52="","",'FGPO Master'!E52)</f>
        <v/>
      </c>
      <c r="B58" s="7" t="str">
        <f>IF('FGPO Master'!A52="","",IF('FGPO Master'!D52="FGPO Pending","FGPO Pending",'FGPO Master'!B52))</f>
        <v/>
      </c>
      <c r="C58" s="7" t="str">
        <f>IF('FGPO Master'!A52="","",'FGPO Master'!D52)</f>
        <v/>
      </c>
      <c r="D58" s="7" t="str">
        <f>IF('FGPO Master'!A52="","",'FGPO Master'!F52)</f>
        <v/>
      </c>
      <c r="E58" s="7" t="str">
        <f>IF('FGPO Master'!A52="","",'FGPO Master'!G52)</f>
        <v/>
      </c>
      <c r="F58" s="19" t="str">
        <f>IF('FGPO Master'!A52="","",'FGPO Master'!H52)</f>
        <v/>
      </c>
      <c r="G58" s="19" t="str">
        <f>IF('FGPO Master'!A52="","",'FGPO Master'!M52)</f>
        <v/>
      </c>
      <c r="H58" s="19" t="str">
        <f>IF(B58="","",SUMIF('Fabric Requirement'!$B$5:$B$304,B58,'Fabric Requirement'!$M$5:$M$304)+SUMIF('Fabric Requirement'!$B$5:$B$304,B58,'Fabric Requirement'!$O$5:$O$304))</f>
        <v/>
      </c>
      <c r="I58" s="19" t="str">
        <f>IF(B58="","",SUMIF('Fabric PO'!$B$5:$B$304,B58,'Fabric PO'!$H$5:$H$304))</f>
        <v/>
      </c>
      <c r="J58" s="19" t="str">
        <f>IF(B58="","",SUMIF('Mill Production'!$C$5:$C$304,B58,'Mill Production'!$I$5:$I$304))</f>
        <v/>
      </c>
      <c r="K58" s="7" t="str">
        <f>IF(B58="","",IF(COUNTIF('Mill Test'!$C$5:$C$304,B58)=0,"Pending",IF(COUNTIFS('Mill Test'!$C$5:$C$304,B58,'Mill Test'!$T$5:$T$304,"Failed")&gt;0,"Failed","Passed")))</f>
        <v/>
      </c>
      <c r="L58" s="19" t="str">
        <f>IF(B58="","",SUMIF('Fabric Shipment'!$C$5:$C$304,B58,'Fabric Shipment'!$G$5:$G$304))</f>
        <v/>
      </c>
      <c r="M58" s="19" t="str">
        <f>IF(B58="","",SUMIF('Fabric Shipment'!$C$5:$C$304,B58,'Fabric Shipment'!$R$5:$R$304))</f>
        <v/>
      </c>
      <c r="N58" s="19" t="str">
        <f>IF(B58="","",SUMIF('Fabric Receiving'!$E$5:$E$304,B58,'Fabric Receiving'!$H$5:$H$304))</f>
        <v/>
      </c>
      <c r="O58" s="19" t="str">
        <f>IF(B58="","",SUMIF('Fabric Receiving'!$E$5:$E$304,B58,'Fabric Receiving'!$I$5:$I$304))</f>
        <v/>
      </c>
      <c r="P58" s="7" t="str">
        <f>IF(B58="","",IF(COUNTIF('Four-Point'!$E$5:$E$304,B58)=0,"Pending",IF(COUNTIFS('Four-Point'!$E$5:$E$304,B58,'Four-Point'!$T$5:$T$304,"Failed")&gt;0,"Failed","Passed")))</f>
        <v/>
      </c>
      <c r="Q58" s="7" t="str">
        <f>IF(B58="","",IF(COUNTIF('Internal Test'!$D$5:$D$304,B58)=0,"Pending",IF(COUNTIFS('Internal Test'!$D$5:$D$304,B58,'Internal Test'!$AA$5:$AA$304,"Failed")&gt;0,"Failed","Passed")))</f>
        <v/>
      </c>
      <c r="R58" s="7" t="str">
        <f>IF(B58="","",IF(COUNTIF('Shade Match'!$C$5:$C$304,B58)=0,"Pending",IF(COUNTIFS('Shade Match'!$C$5:$C$304,B58,'Shade Match'!$Q$5:$Q$304,"Failed")&gt;0,"Failed","Approved")))</f>
        <v/>
      </c>
      <c r="S58" s="19" t="str">
        <f>IF(B58="","",SUMIF('Fabric Inventory'!$C$5:$C$304,B58,'Fabric Inventory'!$H$5:$H$304))</f>
        <v/>
      </c>
      <c r="T58" s="19" t="str">
        <f>IF(B58="","",SUMIF('Fabric Inventory'!$C$5:$C$304,B58,'Fabric Inventory'!$K$5:$K$304))</f>
        <v/>
      </c>
      <c r="U58" s="19" t="str">
        <f>IF(B58="","",SUMIF('Fabric Inventory'!$C$5:$C$304,B58,'Fabric Inventory'!$L$5:$L$304))</f>
        <v/>
      </c>
      <c r="V58" s="19" t="str">
        <f>IF(B58="","",SUMIF('Fabric Inventory'!$C$5:$C$304,B58,'Fabric Inventory'!$N$5:$N$304))</f>
        <v/>
      </c>
      <c r="W58" s="19" t="str">
        <f>IF(B58="","",SUMIF('Fabric Inventory'!$C$5:$C$304,B58,'Fabric Inventory'!$O$5:$O$304))</f>
        <v/>
      </c>
    </row>
    <row r="59" spans="1:23">
      <c r="A59" s="7" t="str">
        <f>IF('FGPO Master'!A53="","",'FGPO Master'!E53)</f>
        <v/>
      </c>
      <c r="B59" s="7" t="str">
        <f>IF('FGPO Master'!A53="","",IF('FGPO Master'!D53="FGPO Pending","FGPO Pending",'FGPO Master'!B53))</f>
        <v/>
      </c>
      <c r="C59" s="7" t="str">
        <f>IF('FGPO Master'!A53="","",'FGPO Master'!D53)</f>
        <v/>
      </c>
      <c r="D59" s="7" t="str">
        <f>IF('FGPO Master'!A53="","",'FGPO Master'!F53)</f>
        <v/>
      </c>
      <c r="E59" s="7" t="str">
        <f>IF('FGPO Master'!A53="","",'FGPO Master'!G53)</f>
        <v/>
      </c>
      <c r="F59" s="19" t="str">
        <f>IF('FGPO Master'!A53="","",'FGPO Master'!H53)</f>
        <v/>
      </c>
      <c r="G59" s="19" t="str">
        <f>IF('FGPO Master'!A53="","",'FGPO Master'!M53)</f>
        <v/>
      </c>
      <c r="H59" s="19" t="str">
        <f>IF(B59="","",SUMIF('Fabric Requirement'!$B$5:$B$304,B59,'Fabric Requirement'!$M$5:$M$304)+SUMIF('Fabric Requirement'!$B$5:$B$304,B59,'Fabric Requirement'!$O$5:$O$304))</f>
        <v/>
      </c>
      <c r="I59" s="19" t="str">
        <f>IF(B59="","",SUMIF('Fabric PO'!$B$5:$B$304,B59,'Fabric PO'!$H$5:$H$304))</f>
        <v/>
      </c>
      <c r="J59" s="19" t="str">
        <f>IF(B59="","",SUMIF('Mill Production'!$C$5:$C$304,B59,'Mill Production'!$I$5:$I$304))</f>
        <v/>
      </c>
      <c r="K59" s="7" t="str">
        <f>IF(B59="","",IF(COUNTIF('Mill Test'!$C$5:$C$304,B59)=0,"Pending",IF(COUNTIFS('Mill Test'!$C$5:$C$304,B59,'Mill Test'!$T$5:$T$304,"Failed")&gt;0,"Failed","Passed")))</f>
        <v/>
      </c>
      <c r="L59" s="19" t="str">
        <f>IF(B59="","",SUMIF('Fabric Shipment'!$C$5:$C$304,B59,'Fabric Shipment'!$G$5:$G$304))</f>
        <v/>
      </c>
      <c r="M59" s="19" t="str">
        <f>IF(B59="","",SUMIF('Fabric Shipment'!$C$5:$C$304,B59,'Fabric Shipment'!$R$5:$R$304))</f>
        <v/>
      </c>
      <c r="N59" s="19" t="str">
        <f>IF(B59="","",SUMIF('Fabric Receiving'!$E$5:$E$304,B59,'Fabric Receiving'!$H$5:$H$304))</f>
        <v/>
      </c>
      <c r="O59" s="19" t="str">
        <f>IF(B59="","",SUMIF('Fabric Receiving'!$E$5:$E$304,B59,'Fabric Receiving'!$I$5:$I$304))</f>
        <v/>
      </c>
      <c r="P59" s="7" t="str">
        <f>IF(B59="","",IF(COUNTIF('Four-Point'!$E$5:$E$304,B59)=0,"Pending",IF(COUNTIFS('Four-Point'!$E$5:$E$304,B59,'Four-Point'!$T$5:$T$304,"Failed")&gt;0,"Failed","Passed")))</f>
        <v/>
      </c>
      <c r="Q59" s="7" t="str">
        <f>IF(B59="","",IF(COUNTIF('Internal Test'!$D$5:$D$304,B59)=0,"Pending",IF(COUNTIFS('Internal Test'!$D$5:$D$304,B59,'Internal Test'!$AA$5:$AA$304,"Failed")&gt;0,"Failed","Passed")))</f>
        <v/>
      </c>
      <c r="R59" s="7" t="str">
        <f>IF(B59="","",IF(COUNTIF('Shade Match'!$C$5:$C$304,B59)=0,"Pending",IF(COUNTIFS('Shade Match'!$C$5:$C$304,B59,'Shade Match'!$Q$5:$Q$304,"Failed")&gt;0,"Failed","Approved")))</f>
        <v/>
      </c>
      <c r="S59" s="19" t="str">
        <f>IF(B59="","",SUMIF('Fabric Inventory'!$C$5:$C$304,B59,'Fabric Inventory'!$H$5:$H$304))</f>
        <v/>
      </c>
      <c r="T59" s="19" t="str">
        <f>IF(B59="","",SUMIF('Fabric Inventory'!$C$5:$C$304,B59,'Fabric Inventory'!$K$5:$K$304))</f>
        <v/>
      </c>
      <c r="U59" s="19" t="str">
        <f>IF(B59="","",SUMIF('Fabric Inventory'!$C$5:$C$304,B59,'Fabric Inventory'!$L$5:$L$304))</f>
        <v/>
      </c>
      <c r="V59" s="19" t="str">
        <f>IF(B59="","",SUMIF('Fabric Inventory'!$C$5:$C$304,B59,'Fabric Inventory'!$N$5:$N$304))</f>
        <v/>
      </c>
      <c r="W59" s="19" t="str">
        <f>IF(B59="","",SUMIF('Fabric Inventory'!$C$5:$C$304,B59,'Fabric Inventory'!$O$5:$O$304))</f>
        <v/>
      </c>
    </row>
    <row r="60" spans="1:23">
      <c r="A60" s="7" t="str">
        <f>IF('FGPO Master'!A54="","",'FGPO Master'!E54)</f>
        <v/>
      </c>
      <c r="B60" s="7" t="str">
        <f>IF('FGPO Master'!A54="","",IF('FGPO Master'!D54="FGPO Pending","FGPO Pending",'FGPO Master'!B54))</f>
        <v/>
      </c>
      <c r="C60" s="7" t="str">
        <f>IF('FGPO Master'!A54="","",'FGPO Master'!D54)</f>
        <v/>
      </c>
      <c r="D60" s="7" t="str">
        <f>IF('FGPO Master'!A54="","",'FGPO Master'!F54)</f>
        <v/>
      </c>
      <c r="E60" s="7" t="str">
        <f>IF('FGPO Master'!A54="","",'FGPO Master'!G54)</f>
        <v/>
      </c>
      <c r="F60" s="19" t="str">
        <f>IF('FGPO Master'!A54="","",'FGPO Master'!H54)</f>
        <v/>
      </c>
      <c r="G60" s="19" t="str">
        <f>IF('FGPO Master'!A54="","",'FGPO Master'!M54)</f>
        <v/>
      </c>
      <c r="H60" s="19" t="str">
        <f>IF(B60="","",SUMIF('Fabric Requirement'!$B$5:$B$304,B60,'Fabric Requirement'!$M$5:$M$304)+SUMIF('Fabric Requirement'!$B$5:$B$304,B60,'Fabric Requirement'!$O$5:$O$304))</f>
        <v/>
      </c>
      <c r="I60" s="19" t="str">
        <f>IF(B60="","",SUMIF('Fabric PO'!$B$5:$B$304,B60,'Fabric PO'!$H$5:$H$304))</f>
        <v/>
      </c>
      <c r="J60" s="19" t="str">
        <f>IF(B60="","",SUMIF('Mill Production'!$C$5:$C$304,B60,'Mill Production'!$I$5:$I$304))</f>
        <v/>
      </c>
      <c r="K60" s="7" t="str">
        <f>IF(B60="","",IF(COUNTIF('Mill Test'!$C$5:$C$304,B60)=0,"Pending",IF(COUNTIFS('Mill Test'!$C$5:$C$304,B60,'Mill Test'!$T$5:$T$304,"Failed")&gt;0,"Failed","Passed")))</f>
        <v/>
      </c>
      <c r="L60" s="19" t="str">
        <f>IF(B60="","",SUMIF('Fabric Shipment'!$C$5:$C$304,B60,'Fabric Shipment'!$G$5:$G$304))</f>
        <v/>
      </c>
      <c r="M60" s="19" t="str">
        <f>IF(B60="","",SUMIF('Fabric Shipment'!$C$5:$C$304,B60,'Fabric Shipment'!$R$5:$R$304))</f>
        <v/>
      </c>
      <c r="N60" s="19" t="str">
        <f>IF(B60="","",SUMIF('Fabric Receiving'!$E$5:$E$304,B60,'Fabric Receiving'!$H$5:$H$304))</f>
        <v/>
      </c>
      <c r="O60" s="19" t="str">
        <f>IF(B60="","",SUMIF('Fabric Receiving'!$E$5:$E$304,B60,'Fabric Receiving'!$I$5:$I$304))</f>
        <v/>
      </c>
      <c r="P60" s="7" t="str">
        <f>IF(B60="","",IF(COUNTIF('Four-Point'!$E$5:$E$304,B60)=0,"Pending",IF(COUNTIFS('Four-Point'!$E$5:$E$304,B60,'Four-Point'!$T$5:$T$304,"Failed")&gt;0,"Failed","Passed")))</f>
        <v/>
      </c>
      <c r="Q60" s="7" t="str">
        <f>IF(B60="","",IF(COUNTIF('Internal Test'!$D$5:$D$304,B60)=0,"Pending",IF(COUNTIFS('Internal Test'!$D$5:$D$304,B60,'Internal Test'!$AA$5:$AA$304,"Failed")&gt;0,"Failed","Passed")))</f>
        <v/>
      </c>
      <c r="R60" s="7" t="str">
        <f>IF(B60="","",IF(COUNTIF('Shade Match'!$C$5:$C$304,B60)=0,"Pending",IF(COUNTIFS('Shade Match'!$C$5:$C$304,B60,'Shade Match'!$Q$5:$Q$304,"Failed")&gt;0,"Failed","Approved")))</f>
        <v/>
      </c>
      <c r="S60" s="19" t="str">
        <f>IF(B60="","",SUMIF('Fabric Inventory'!$C$5:$C$304,B60,'Fabric Inventory'!$H$5:$H$304))</f>
        <v/>
      </c>
      <c r="T60" s="19" t="str">
        <f>IF(B60="","",SUMIF('Fabric Inventory'!$C$5:$C$304,B60,'Fabric Inventory'!$K$5:$K$304))</f>
        <v/>
      </c>
      <c r="U60" s="19" t="str">
        <f>IF(B60="","",SUMIF('Fabric Inventory'!$C$5:$C$304,B60,'Fabric Inventory'!$L$5:$L$304))</f>
        <v/>
      </c>
      <c r="V60" s="19" t="str">
        <f>IF(B60="","",SUMIF('Fabric Inventory'!$C$5:$C$304,B60,'Fabric Inventory'!$N$5:$N$304))</f>
        <v/>
      </c>
      <c r="W60" s="19" t="str">
        <f>IF(B60="","",SUMIF('Fabric Inventory'!$C$5:$C$304,B60,'Fabric Inventory'!$O$5:$O$304))</f>
        <v/>
      </c>
    </row>
    <row r="61" spans="1:23">
      <c r="A61" s="7" t="str">
        <f>IF('FGPO Master'!A55="","",'FGPO Master'!E55)</f>
        <v/>
      </c>
      <c r="B61" s="7" t="str">
        <f>IF('FGPO Master'!A55="","",IF('FGPO Master'!D55="FGPO Pending","FGPO Pending",'FGPO Master'!B55))</f>
        <v/>
      </c>
      <c r="C61" s="7" t="str">
        <f>IF('FGPO Master'!A55="","",'FGPO Master'!D55)</f>
        <v/>
      </c>
      <c r="D61" s="7" t="str">
        <f>IF('FGPO Master'!A55="","",'FGPO Master'!F55)</f>
        <v/>
      </c>
      <c r="E61" s="7" t="str">
        <f>IF('FGPO Master'!A55="","",'FGPO Master'!G55)</f>
        <v/>
      </c>
      <c r="F61" s="19" t="str">
        <f>IF('FGPO Master'!A55="","",'FGPO Master'!H55)</f>
        <v/>
      </c>
      <c r="G61" s="19" t="str">
        <f>IF('FGPO Master'!A55="","",'FGPO Master'!M55)</f>
        <v/>
      </c>
      <c r="H61" s="19" t="str">
        <f>IF(B61="","",SUMIF('Fabric Requirement'!$B$5:$B$304,B61,'Fabric Requirement'!$M$5:$M$304)+SUMIF('Fabric Requirement'!$B$5:$B$304,B61,'Fabric Requirement'!$O$5:$O$304))</f>
        <v/>
      </c>
      <c r="I61" s="19" t="str">
        <f>IF(B61="","",SUMIF('Fabric PO'!$B$5:$B$304,B61,'Fabric PO'!$H$5:$H$304))</f>
        <v/>
      </c>
      <c r="J61" s="19" t="str">
        <f>IF(B61="","",SUMIF('Mill Production'!$C$5:$C$304,B61,'Mill Production'!$I$5:$I$304))</f>
        <v/>
      </c>
      <c r="K61" s="7" t="str">
        <f>IF(B61="","",IF(COUNTIF('Mill Test'!$C$5:$C$304,B61)=0,"Pending",IF(COUNTIFS('Mill Test'!$C$5:$C$304,B61,'Mill Test'!$T$5:$T$304,"Failed")&gt;0,"Failed","Passed")))</f>
        <v/>
      </c>
      <c r="L61" s="19" t="str">
        <f>IF(B61="","",SUMIF('Fabric Shipment'!$C$5:$C$304,B61,'Fabric Shipment'!$G$5:$G$304))</f>
        <v/>
      </c>
      <c r="M61" s="19" t="str">
        <f>IF(B61="","",SUMIF('Fabric Shipment'!$C$5:$C$304,B61,'Fabric Shipment'!$R$5:$R$304))</f>
        <v/>
      </c>
      <c r="N61" s="19" t="str">
        <f>IF(B61="","",SUMIF('Fabric Receiving'!$E$5:$E$304,B61,'Fabric Receiving'!$H$5:$H$304))</f>
        <v/>
      </c>
      <c r="O61" s="19" t="str">
        <f>IF(B61="","",SUMIF('Fabric Receiving'!$E$5:$E$304,B61,'Fabric Receiving'!$I$5:$I$304))</f>
        <v/>
      </c>
      <c r="P61" s="7" t="str">
        <f>IF(B61="","",IF(COUNTIF('Four-Point'!$E$5:$E$304,B61)=0,"Pending",IF(COUNTIFS('Four-Point'!$E$5:$E$304,B61,'Four-Point'!$T$5:$T$304,"Failed")&gt;0,"Failed","Passed")))</f>
        <v/>
      </c>
      <c r="Q61" s="7" t="str">
        <f>IF(B61="","",IF(COUNTIF('Internal Test'!$D$5:$D$304,B61)=0,"Pending",IF(COUNTIFS('Internal Test'!$D$5:$D$304,B61,'Internal Test'!$AA$5:$AA$304,"Failed")&gt;0,"Failed","Passed")))</f>
        <v/>
      </c>
      <c r="R61" s="7" t="str">
        <f>IF(B61="","",IF(COUNTIF('Shade Match'!$C$5:$C$304,B61)=0,"Pending",IF(COUNTIFS('Shade Match'!$C$5:$C$304,B61,'Shade Match'!$Q$5:$Q$304,"Failed")&gt;0,"Failed","Approved")))</f>
        <v/>
      </c>
      <c r="S61" s="19" t="str">
        <f>IF(B61="","",SUMIF('Fabric Inventory'!$C$5:$C$304,B61,'Fabric Inventory'!$H$5:$H$304))</f>
        <v/>
      </c>
      <c r="T61" s="19" t="str">
        <f>IF(B61="","",SUMIF('Fabric Inventory'!$C$5:$C$304,B61,'Fabric Inventory'!$K$5:$K$304))</f>
        <v/>
      </c>
      <c r="U61" s="19" t="str">
        <f>IF(B61="","",SUMIF('Fabric Inventory'!$C$5:$C$304,B61,'Fabric Inventory'!$L$5:$L$304))</f>
        <v/>
      </c>
      <c r="V61" s="19" t="str">
        <f>IF(B61="","",SUMIF('Fabric Inventory'!$C$5:$C$304,B61,'Fabric Inventory'!$N$5:$N$304))</f>
        <v/>
      </c>
      <c r="W61" s="19" t="str">
        <f>IF(B61="","",SUMIF('Fabric Inventory'!$C$5:$C$304,B61,'Fabric Inventory'!$O$5:$O$304))</f>
        <v/>
      </c>
    </row>
    <row r="62" spans="1:23">
      <c r="A62" s="7" t="str">
        <f>IF('FGPO Master'!A56="","",'FGPO Master'!E56)</f>
        <v/>
      </c>
      <c r="B62" s="7" t="str">
        <f>IF('FGPO Master'!A56="","",IF('FGPO Master'!D56="FGPO Pending","FGPO Pending",'FGPO Master'!B56))</f>
        <v/>
      </c>
      <c r="C62" s="7" t="str">
        <f>IF('FGPO Master'!A56="","",'FGPO Master'!D56)</f>
        <v/>
      </c>
      <c r="D62" s="7" t="str">
        <f>IF('FGPO Master'!A56="","",'FGPO Master'!F56)</f>
        <v/>
      </c>
      <c r="E62" s="7" t="str">
        <f>IF('FGPO Master'!A56="","",'FGPO Master'!G56)</f>
        <v/>
      </c>
      <c r="F62" s="19" t="str">
        <f>IF('FGPO Master'!A56="","",'FGPO Master'!H56)</f>
        <v/>
      </c>
      <c r="G62" s="19" t="str">
        <f>IF('FGPO Master'!A56="","",'FGPO Master'!M56)</f>
        <v/>
      </c>
      <c r="H62" s="19" t="str">
        <f>IF(B62="","",SUMIF('Fabric Requirement'!$B$5:$B$304,B62,'Fabric Requirement'!$M$5:$M$304)+SUMIF('Fabric Requirement'!$B$5:$B$304,B62,'Fabric Requirement'!$O$5:$O$304))</f>
        <v/>
      </c>
      <c r="I62" s="19" t="str">
        <f>IF(B62="","",SUMIF('Fabric PO'!$B$5:$B$304,B62,'Fabric PO'!$H$5:$H$304))</f>
        <v/>
      </c>
      <c r="J62" s="19" t="str">
        <f>IF(B62="","",SUMIF('Mill Production'!$C$5:$C$304,B62,'Mill Production'!$I$5:$I$304))</f>
        <v/>
      </c>
      <c r="K62" s="7" t="str">
        <f>IF(B62="","",IF(COUNTIF('Mill Test'!$C$5:$C$304,B62)=0,"Pending",IF(COUNTIFS('Mill Test'!$C$5:$C$304,B62,'Mill Test'!$T$5:$T$304,"Failed")&gt;0,"Failed","Passed")))</f>
        <v/>
      </c>
      <c r="L62" s="19" t="str">
        <f>IF(B62="","",SUMIF('Fabric Shipment'!$C$5:$C$304,B62,'Fabric Shipment'!$G$5:$G$304))</f>
        <v/>
      </c>
      <c r="M62" s="19" t="str">
        <f>IF(B62="","",SUMIF('Fabric Shipment'!$C$5:$C$304,B62,'Fabric Shipment'!$R$5:$R$304))</f>
        <v/>
      </c>
      <c r="N62" s="19" t="str">
        <f>IF(B62="","",SUMIF('Fabric Receiving'!$E$5:$E$304,B62,'Fabric Receiving'!$H$5:$H$304))</f>
        <v/>
      </c>
      <c r="O62" s="19" t="str">
        <f>IF(B62="","",SUMIF('Fabric Receiving'!$E$5:$E$304,B62,'Fabric Receiving'!$I$5:$I$304))</f>
        <v/>
      </c>
      <c r="P62" s="7" t="str">
        <f>IF(B62="","",IF(COUNTIF('Four-Point'!$E$5:$E$304,B62)=0,"Pending",IF(COUNTIFS('Four-Point'!$E$5:$E$304,B62,'Four-Point'!$T$5:$T$304,"Failed")&gt;0,"Failed","Passed")))</f>
        <v/>
      </c>
      <c r="Q62" s="7" t="str">
        <f>IF(B62="","",IF(COUNTIF('Internal Test'!$D$5:$D$304,B62)=0,"Pending",IF(COUNTIFS('Internal Test'!$D$5:$D$304,B62,'Internal Test'!$AA$5:$AA$304,"Failed")&gt;0,"Failed","Passed")))</f>
        <v/>
      </c>
      <c r="R62" s="7" t="str">
        <f>IF(B62="","",IF(COUNTIF('Shade Match'!$C$5:$C$304,B62)=0,"Pending",IF(COUNTIFS('Shade Match'!$C$5:$C$304,B62,'Shade Match'!$Q$5:$Q$304,"Failed")&gt;0,"Failed","Approved")))</f>
        <v/>
      </c>
      <c r="S62" s="19" t="str">
        <f>IF(B62="","",SUMIF('Fabric Inventory'!$C$5:$C$304,B62,'Fabric Inventory'!$H$5:$H$304))</f>
        <v/>
      </c>
      <c r="T62" s="19" t="str">
        <f>IF(B62="","",SUMIF('Fabric Inventory'!$C$5:$C$304,B62,'Fabric Inventory'!$K$5:$K$304))</f>
        <v/>
      </c>
      <c r="U62" s="19" t="str">
        <f>IF(B62="","",SUMIF('Fabric Inventory'!$C$5:$C$304,B62,'Fabric Inventory'!$L$5:$L$304))</f>
        <v/>
      </c>
      <c r="V62" s="19" t="str">
        <f>IF(B62="","",SUMIF('Fabric Inventory'!$C$5:$C$304,B62,'Fabric Inventory'!$N$5:$N$304))</f>
        <v/>
      </c>
      <c r="W62" s="19" t="str">
        <f>IF(B62="","",SUMIF('Fabric Inventory'!$C$5:$C$304,B62,'Fabric Inventory'!$O$5:$O$304))</f>
        <v/>
      </c>
    </row>
    <row r="63" spans="1:23">
      <c r="A63" s="7" t="str">
        <f>IF('FGPO Master'!A57="","",'FGPO Master'!E57)</f>
        <v/>
      </c>
      <c r="B63" s="7" t="str">
        <f>IF('FGPO Master'!A57="","",IF('FGPO Master'!D57="FGPO Pending","FGPO Pending",'FGPO Master'!B57))</f>
        <v/>
      </c>
      <c r="C63" s="7" t="str">
        <f>IF('FGPO Master'!A57="","",'FGPO Master'!D57)</f>
        <v/>
      </c>
      <c r="D63" s="7" t="str">
        <f>IF('FGPO Master'!A57="","",'FGPO Master'!F57)</f>
        <v/>
      </c>
      <c r="E63" s="7" t="str">
        <f>IF('FGPO Master'!A57="","",'FGPO Master'!G57)</f>
        <v/>
      </c>
      <c r="F63" s="19" t="str">
        <f>IF('FGPO Master'!A57="","",'FGPO Master'!H57)</f>
        <v/>
      </c>
      <c r="G63" s="19" t="str">
        <f>IF('FGPO Master'!A57="","",'FGPO Master'!M57)</f>
        <v/>
      </c>
      <c r="H63" s="19" t="str">
        <f>IF(B63="","",SUMIF('Fabric Requirement'!$B$5:$B$304,B63,'Fabric Requirement'!$M$5:$M$304)+SUMIF('Fabric Requirement'!$B$5:$B$304,B63,'Fabric Requirement'!$O$5:$O$304))</f>
        <v/>
      </c>
      <c r="I63" s="19" t="str">
        <f>IF(B63="","",SUMIF('Fabric PO'!$B$5:$B$304,B63,'Fabric PO'!$H$5:$H$304))</f>
        <v/>
      </c>
      <c r="J63" s="19" t="str">
        <f>IF(B63="","",SUMIF('Mill Production'!$C$5:$C$304,B63,'Mill Production'!$I$5:$I$304))</f>
        <v/>
      </c>
      <c r="K63" s="7" t="str">
        <f>IF(B63="","",IF(COUNTIF('Mill Test'!$C$5:$C$304,B63)=0,"Pending",IF(COUNTIFS('Mill Test'!$C$5:$C$304,B63,'Mill Test'!$T$5:$T$304,"Failed")&gt;0,"Failed","Passed")))</f>
        <v/>
      </c>
      <c r="L63" s="19" t="str">
        <f>IF(B63="","",SUMIF('Fabric Shipment'!$C$5:$C$304,B63,'Fabric Shipment'!$G$5:$G$304))</f>
        <v/>
      </c>
      <c r="M63" s="19" t="str">
        <f>IF(B63="","",SUMIF('Fabric Shipment'!$C$5:$C$304,B63,'Fabric Shipment'!$R$5:$R$304))</f>
        <v/>
      </c>
      <c r="N63" s="19" t="str">
        <f>IF(B63="","",SUMIF('Fabric Receiving'!$E$5:$E$304,B63,'Fabric Receiving'!$H$5:$H$304))</f>
        <v/>
      </c>
      <c r="O63" s="19" t="str">
        <f>IF(B63="","",SUMIF('Fabric Receiving'!$E$5:$E$304,B63,'Fabric Receiving'!$I$5:$I$304))</f>
        <v/>
      </c>
      <c r="P63" s="7" t="str">
        <f>IF(B63="","",IF(COUNTIF('Four-Point'!$E$5:$E$304,B63)=0,"Pending",IF(COUNTIFS('Four-Point'!$E$5:$E$304,B63,'Four-Point'!$T$5:$T$304,"Failed")&gt;0,"Failed","Passed")))</f>
        <v/>
      </c>
      <c r="Q63" s="7" t="str">
        <f>IF(B63="","",IF(COUNTIF('Internal Test'!$D$5:$D$304,B63)=0,"Pending",IF(COUNTIFS('Internal Test'!$D$5:$D$304,B63,'Internal Test'!$AA$5:$AA$304,"Failed")&gt;0,"Failed","Passed")))</f>
        <v/>
      </c>
      <c r="R63" s="7" t="str">
        <f>IF(B63="","",IF(COUNTIF('Shade Match'!$C$5:$C$304,B63)=0,"Pending",IF(COUNTIFS('Shade Match'!$C$5:$C$304,B63,'Shade Match'!$Q$5:$Q$304,"Failed")&gt;0,"Failed","Approved")))</f>
        <v/>
      </c>
      <c r="S63" s="19" t="str">
        <f>IF(B63="","",SUMIF('Fabric Inventory'!$C$5:$C$304,B63,'Fabric Inventory'!$H$5:$H$304))</f>
        <v/>
      </c>
      <c r="T63" s="19" t="str">
        <f>IF(B63="","",SUMIF('Fabric Inventory'!$C$5:$C$304,B63,'Fabric Inventory'!$K$5:$K$304))</f>
        <v/>
      </c>
      <c r="U63" s="19" t="str">
        <f>IF(B63="","",SUMIF('Fabric Inventory'!$C$5:$C$304,B63,'Fabric Inventory'!$L$5:$L$304))</f>
        <v/>
      </c>
      <c r="V63" s="19" t="str">
        <f>IF(B63="","",SUMIF('Fabric Inventory'!$C$5:$C$304,B63,'Fabric Inventory'!$N$5:$N$304))</f>
        <v/>
      </c>
      <c r="W63" s="19" t="str">
        <f>IF(B63="","",SUMIF('Fabric Inventory'!$C$5:$C$304,B63,'Fabric Inventory'!$O$5:$O$304))</f>
        <v/>
      </c>
    </row>
    <row r="64" spans="1:23">
      <c r="A64" s="7" t="str">
        <f>IF('FGPO Master'!A58="","",'FGPO Master'!E58)</f>
        <v/>
      </c>
      <c r="B64" s="7" t="str">
        <f>IF('FGPO Master'!A58="","",IF('FGPO Master'!D58="FGPO Pending","FGPO Pending",'FGPO Master'!B58))</f>
        <v/>
      </c>
      <c r="C64" s="7" t="str">
        <f>IF('FGPO Master'!A58="","",'FGPO Master'!D58)</f>
        <v/>
      </c>
      <c r="D64" s="7" t="str">
        <f>IF('FGPO Master'!A58="","",'FGPO Master'!F58)</f>
        <v/>
      </c>
      <c r="E64" s="7" t="str">
        <f>IF('FGPO Master'!A58="","",'FGPO Master'!G58)</f>
        <v/>
      </c>
      <c r="F64" s="19" t="str">
        <f>IF('FGPO Master'!A58="","",'FGPO Master'!H58)</f>
        <v/>
      </c>
      <c r="G64" s="19" t="str">
        <f>IF('FGPO Master'!A58="","",'FGPO Master'!M58)</f>
        <v/>
      </c>
      <c r="H64" s="19" t="str">
        <f>IF(B64="","",SUMIF('Fabric Requirement'!$B$5:$B$304,B64,'Fabric Requirement'!$M$5:$M$304)+SUMIF('Fabric Requirement'!$B$5:$B$304,B64,'Fabric Requirement'!$O$5:$O$304))</f>
        <v/>
      </c>
      <c r="I64" s="19" t="str">
        <f>IF(B64="","",SUMIF('Fabric PO'!$B$5:$B$304,B64,'Fabric PO'!$H$5:$H$304))</f>
        <v/>
      </c>
      <c r="J64" s="19" t="str">
        <f>IF(B64="","",SUMIF('Mill Production'!$C$5:$C$304,B64,'Mill Production'!$I$5:$I$304))</f>
        <v/>
      </c>
      <c r="K64" s="7" t="str">
        <f>IF(B64="","",IF(COUNTIF('Mill Test'!$C$5:$C$304,B64)=0,"Pending",IF(COUNTIFS('Mill Test'!$C$5:$C$304,B64,'Mill Test'!$T$5:$T$304,"Failed")&gt;0,"Failed","Passed")))</f>
        <v/>
      </c>
      <c r="L64" s="19" t="str">
        <f>IF(B64="","",SUMIF('Fabric Shipment'!$C$5:$C$304,B64,'Fabric Shipment'!$G$5:$G$304))</f>
        <v/>
      </c>
      <c r="M64" s="19" t="str">
        <f>IF(B64="","",SUMIF('Fabric Shipment'!$C$5:$C$304,B64,'Fabric Shipment'!$R$5:$R$304))</f>
        <v/>
      </c>
      <c r="N64" s="19" t="str">
        <f>IF(B64="","",SUMIF('Fabric Receiving'!$E$5:$E$304,B64,'Fabric Receiving'!$H$5:$H$304))</f>
        <v/>
      </c>
      <c r="O64" s="19" t="str">
        <f>IF(B64="","",SUMIF('Fabric Receiving'!$E$5:$E$304,B64,'Fabric Receiving'!$I$5:$I$304))</f>
        <v/>
      </c>
      <c r="P64" s="7" t="str">
        <f>IF(B64="","",IF(COUNTIF('Four-Point'!$E$5:$E$304,B64)=0,"Pending",IF(COUNTIFS('Four-Point'!$E$5:$E$304,B64,'Four-Point'!$T$5:$T$304,"Failed")&gt;0,"Failed","Passed")))</f>
        <v/>
      </c>
      <c r="Q64" s="7" t="str">
        <f>IF(B64="","",IF(COUNTIF('Internal Test'!$D$5:$D$304,B64)=0,"Pending",IF(COUNTIFS('Internal Test'!$D$5:$D$304,B64,'Internal Test'!$AA$5:$AA$304,"Failed")&gt;0,"Failed","Passed")))</f>
        <v/>
      </c>
      <c r="R64" s="7" t="str">
        <f>IF(B64="","",IF(COUNTIF('Shade Match'!$C$5:$C$304,B64)=0,"Pending",IF(COUNTIFS('Shade Match'!$C$5:$C$304,B64,'Shade Match'!$Q$5:$Q$304,"Failed")&gt;0,"Failed","Approved")))</f>
        <v/>
      </c>
      <c r="S64" s="19" t="str">
        <f>IF(B64="","",SUMIF('Fabric Inventory'!$C$5:$C$304,B64,'Fabric Inventory'!$H$5:$H$304))</f>
        <v/>
      </c>
      <c r="T64" s="19" t="str">
        <f>IF(B64="","",SUMIF('Fabric Inventory'!$C$5:$C$304,B64,'Fabric Inventory'!$K$5:$K$304))</f>
        <v/>
      </c>
      <c r="U64" s="19" t="str">
        <f>IF(B64="","",SUMIF('Fabric Inventory'!$C$5:$C$304,B64,'Fabric Inventory'!$L$5:$L$304))</f>
        <v/>
      </c>
      <c r="V64" s="19" t="str">
        <f>IF(B64="","",SUMIF('Fabric Inventory'!$C$5:$C$304,B64,'Fabric Inventory'!$N$5:$N$304))</f>
        <v/>
      </c>
      <c r="W64" s="19" t="str">
        <f>IF(B64="","",SUMIF('Fabric Inventory'!$C$5:$C$304,B64,'Fabric Inventory'!$O$5:$O$304))</f>
        <v/>
      </c>
    </row>
    <row r="65" spans="1:23">
      <c r="A65" s="7" t="str">
        <f>IF('FGPO Master'!A59="","",'FGPO Master'!E59)</f>
        <v/>
      </c>
      <c r="B65" s="7" t="str">
        <f>IF('FGPO Master'!A59="","",IF('FGPO Master'!D59="FGPO Pending","FGPO Pending",'FGPO Master'!B59))</f>
        <v/>
      </c>
      <c r="C65" s="7" t="str">
        <f>IF('FGPO Master'!A59="","",'FGPO Master'!D59)</f>
        <v/>
      </c>
      <c r="D65" s="7" t="str">
        <f>IF('FGPO Master'!A59="","",'FGPO Master'!F59)</f>
        <v/>
      </c>
      <c r="E65" s="7" t="str">
        <f>IF('FGPO Master'!A59="","",'FGPO Master'!G59)</f>
        <v/>
      </c>
      <c r="F65" s="19" t="str">
        <f>IF('FGPO Master'!A59="","",'FGPO Master'!H59)</f>
        <v/>
      </c>
      <c r="G65" s="19" t="str">
        <f>IF('FGPO Master'!A59="","",'FGPO Master'!M59)</f>
        <v/>
      </c>
      <c r="H65" s="19" t="str">
        <f>IF(B65="","",SUMIF('Fabric Requirement'!$B$5:$B$304,B65,'Fabric Requirement'!$M$5:$M$304)+SUMIF('Fabric Requirement'!$B$5:$B$304,B65,'Fabric Requirement'!$O$5:$O$304))</f>
        <v/>
      </c>
      <c r="I65" s="19" t="str">
        <f>IF(B65="","",SUMIF('Fabric PO'!$B$5:$B$304,B65,'Fabric PO'!$H$5:$H$304))</f>
        <v/>
      </c>
      <c r="J65" s="19" t="str">
        <f>IF(B65="","",SUMIF('Mill Production'!$C$5:$C$304,B65,'Mill Production'!$I$5:$I$304))</f>
        <v/>
      </c>
      <c r="K65" s="7" t="str">
        <f>IF(B65="","",IF(COUNTIF('Mill Test'!$C$5:$C$304,B65)=0,"Pending",IF(COUNTIFS('Mill Test'!$C$5:$C$304,B65,'Mill Test'!$T$5:$T$304,"Failed")&gt;0,"Failed","Passed")))</f>
        <v/>
      </c>
      <c r="L65" s="19" t="str">
        <f>IF(B65="","",SUMIF('Fabric Shipment'!$C$5:$C$304,B65,'Fabric Shipment'!$G$5:$G$304))</f>
        <v/>
      </c>
      <c r="M65" s="19" t="str">
        <f>IF(B65="","",SUMIF('Fabric Shipment'!$C$5:$C$304,B65,'Fabric Shipment'!$R$5:$R$304))</f>
        <v/>
      </c>
      <c r="N65" s="19" t="str">
        <f>IF(B65="","",SUMIF('Fabric Receiving'!$E$5:$E$304,B65,'Fabric Receiving'!$H$5:$H$304))</f>
        <v/>
      </c>
      <c r="O65" s="19" t="str">
        <f>IF(B65="","",SUMIF('Fabric Receiving'!$E$5:$E$304,B65,'Fabric Receiving'!$I$5:$I$304))</f>
        <v/>
      </c>
      <c r="P65" s="7" t="str">
        <f>IF(B65="","",IF(COUNTIF('Four-Point'!$E$5:$E$304,B65)=0,"Pending",IF(COUNTIFS('Four-Point'!$E$5:$E$304,B65,'Four-Point'!$T$5:$T$304,"Failed")&gt;0,"Failed","Passed")))</f>
        <v/>
      </c>
      <c r="Q65" s="7" t="str">
        <f>IF(B65="","",IF(COUNTIF('Internal Test'!$D$5:$D$304,B65)=0,"Pending",IF(COUNTIFS('Internal Test'!$D$5:$D$304,B65,'Internal Test'!$AA$5:$AA$304,"Failed")&gt;0,"Failed","Passed")))</f>
        <v/>
      </c>
      <c r="R65" s="7" t="str">
        <f>IF(B65="","",IF(COUNTIF('Shade Match'!$C$5:$C$304,B65)=0,"Pending",IF(COUNTIFS('Shade Match'!$C$5:$C$304,B65,'Shade Match'!$Q$5:$Q$304,"Failed")&gt;0,"Failed","Approved")))</f>
        <v/>
      </c>
      <c r="S65" s="19" t="str">
        <f>IF(B65="","",SUMIF('Fabric Inventory'!$C$5:$C$304,B65,'Fabric Inventory'!$H$5:$H$304))</f>
        <v/>
      </c>
      <c r="T65" s="19" t="str">
        <f>IF(B65="","",SUMIF('Fabric Inventory'!$C$5:$C$304,B65,'Fabric Inventory'!$K$5:$K$304))</f>
        <v/>
      </c>
      <c r="U65" s="19" t="str">
        <f>IF(B65="","",SUMIF('Fabric Inventory'!$C$5:$C$304,B65,'Fabric Inventory'!$L$5:$L$304))</f>
        <v/>
      </c>
      <c r="V65" s="19" t="str">
        <f>IF(B65="","",SUMIF('Fabric Inventory'!$C$5:$C$304,B65,'Fabric Inventory'!$N$5:$N$304))</f>
        <v/>
      </c>
      <c r="W65" s="19" t="str">
        <f>IF(B65="","",SUMIF('Fabric Inventory'!$C$5:$C$304,B65,'Fabric Inventory'!$O$5:$O$304))</f>
        <v/>
      </c>
    </row>
    <row r="66" spans="1:23">
      <c r="A66" s="7" t="str">
        <f>IF('FGPO Master'!A60="","",'FGPO Master'!E60)</f>
        <v/>
      </c>
      <c r="B66" s="7" t="str">
        <f>IF('FGPO Master'!A60="","",IF('FGPO Master'!D60="FGPO Pending","FGPO Pending",'FGPO Master'!B60))</f>
        <v/>
      </c>
      <c r="C66" s="7" t="str">
        <f>IF('FGPO Master'!A60="","",'FGPO Master'!D60)</f>
        <v/>
      </c>
      <c r="D66" s="7" t="str">
        <f>IF('FGPO Master'!A60="","",'FGPO Master'!F60)</f>
        <v/>
      </c>
      <c r="E66" s="7" t="str">
        <f>IF('FGPO Master'!A60="","",'FGPO Master'!G60)</f>
        <v/>
      </c>
      <c r="F66" s="19" t="str">
        <f>IF('FGPO Master'!A60="","",'FGPO Master'!H60)</f>
        <v/>
      </c>
      <c r="G66" s="19" t="str">
        <f>IF('FGPO Master'!A60="","",'FGPO Master'!M60)</f>
        <v/>
      </c>
      <c r="H66" s="19" t="str">
        <f>IF(B66="","",SUMIF('Fabric Requirement'!$B$5:$B$304,B66,'Fabric Requirement'!$M$5:$M$304)+SUMIF('Fabric Requirement'!$B$5:$B$304,B66,'Fabric Requirement'!$O$5:$O$304))</f>
        <v/>
      </c>
      <c r="I66" s="19" t="str">
        <f>IF(B66="","",SUMIF('Fabric PO'!$B$5:$B$304,B66,'Fabric PO'!$H$5:$H$304))</f>
        <v/>
      </c>
      <c r="J66" s="19" t="str">
        <f>IF(B66="","",SUMIF('Mill Production'!$C$5:$C$304,B66,'Mill Production'!$I$5:$I$304))</f>
        <v/>
      </c>
      <c r="K66" s="7" t="str">
        <f>IF(B66="","",IF(COUNTIF('Mill Test'!$C$5:$C$304,B66)=0,"Pending",IF(COUNTIFS('Mill Test'!$C$5:$C$304,B66,'Mill Test'!$T$5:$T$304,"Failed")&gt;0,"Failed","Passed")))</f>
        <v/>
      </c>
      <c r="L66" s="19" t="str">
        <f>IF(B66="","",SUMIF('Fabric Shipment'!$C$5:$C$304,B66,'Fabric Shipment'!$G$5:$G$304))</f>
        <v/>
      </c>
      <c r="M66" s="19" t="str">
        <f>IF(B66="","",SUMIF('Fabric Shipment'!$C$5:$C$304,B66,'Fabric Shipment'!$R$5:$R$304))</f>
        <v/>
      </c>
      <c r="N66" s="19" t="str">
        <f>IF(B66="","",SUMIF('Fabric Receiving'!$E$5:$E$304,B66,'Fabric Receiving'!$H$5:$H$304))</f>
        <v/>
      </c>
      <c r="O66" s="19" t="str">
        <f>IF(B66="","",SUMIF('Fabric Receiving'!$E$5:$E$304,B66,'Fabric Receiving'!$I$5:$I$304))</f>
        <v/>
      </c>
      <c r="P66" s="7" t="str">
        <f>IF(B66="","",IF(COUNTIF('Four-Point'!$E$5:$E$304,B66)=0,"Pending",IF(COUNTIFS('Four-Point'!$E$5:$E$304,B66,'Four-Point'!$T$5:$T$304,"Failed")&gt;0,"Failed","Passed")))</f>
        <v/>
      </c>
      <c r="Q66" s="7" t="str">
        <f>IF(B66="","",IF(COUNTIF('Internal Test'!$D$5:$D$304,B66)=0,"Pending",IF(COUNTIFS('Internal Test'!$D$5:$D$304,B66,'Internal Test'!$AA$5:$AA$304,"Failed")&gt;0,"Failed","Passed")))</f>
        <v/>
      </c>
      <c r="R66" s="7" t="str">
        <f>IF(B66="","",IF(COUNTIF('Shade Match'!$C$5:$C$304,B66)=0,"Pending",IF(COUNTIFS('Shade Match'!$C$5:$C$304,B66,'Shade Match'!$Q$5:$Q$304,"Failed")&gt;0,"Failed","Approved")))</f>
        <v/>
      </c>
      <c r="S66" s="19" t="str">
        <f>IF(B66="","",SUMIF('Fabric Inventory'!$C$5:$C$304,B66,'Fabric Inventory'!$H$5:$H$304))</f>
        <v/>
      </c>
      <c r="T66" s="19" t="str">
        <f>IF(B66="","",SUMIF('Fabric Inventory'!$C$5:$C$304,B66,'Fabric Inventory'!$K$5:$K$304))</f>
        <v/>
      </c>
      <c r="U66" s="19" t="str">
        <f>IF(B66="","",SUMIF('Fabric Inventory'!$C$5:$C$304,B66,'Fabric Inventory'!$L$5:$L$304))</f>
        <v/>
      </c>
      <c r="V66" s="19" t="str">
        <f>IF(B66="","",SUMIF('Fabric Inventory'!$C$5:$C$304,B66,'Fabric Inventory'!$N$5:$N$304))</f>
        <v/>
      </c>
      <c r="W66" s="19" t="str">
        <f>IF(B66="","",SUMIF('Fabric Inventory'!$C$5:$C$304,B66,'Fabric Inventory'!$O$5:$O$304))</f>
        <v/>
      </c>
    </row>
    <row r="67" spans="1:23">
      <c r="A67" s="7" t="str">
        <f>IF('FGPO Master'!A61="","",'FGPO Master'!E61)</f>
        <v/>
      </c>
      <c r="B67" s="7" t="str">
        <f>IF('FGPO Master'!A61="","",IF('FGPO Master'!D61="FGPO Pending","FGPO Pending",'FGPO Master'!B61))</f>
        <v/>
      </c>
      <c r="C67" s="7" t="str">
        <f>IF('FGPO Master'!A61="","",'FGPO Master'!D61)</f>
        <v/>
      </c>
      <c r="D67" s="7" t="str">
        <f>IF('FGPO Master'!A61="","",'FGPO Master'!F61)</f>
        <v/>
      </c>
      <c r="E67" s="7" t="str">
        <f>IF('FGPO Master'!A61="","",'FGPO Master'!G61)</f>
        <v/>
      </c>
      <c r="F67" s="19" t="str">
        <f>IF('FGPO Master'!A61="","",'FGPO Master'!H61)</f>
        <v/>
      </c>
      <c r="G67" s="19" t="str">
        <f>IF('FGPO Master'!A61="","",'FGPO Master'!M61)</f>
        <v/>
      </c>
      <c r="H67" s="19" t="str">
        <f>IF(B67="","",SUMIF('Fabric Requirement'!$B$5:$B$304,B67,'Fabric Requirement'!$M$5:$M$304)+SUMIF('Fabric Requirement'!$B$5:$B$304,B67,'Fabric Requirement'!$O$5:$O$304))</f>
        <v/>
      </c>
      <c r="I67" s="19" t="str">
        <f>IF(B67="","",SUMIF('Fabric PO'!$B$5:$B$304,B67,'Fabric PO'!$H$5:$H$304))</f>
        <v/>
      </c>
      <c r="J67" s="19" t="str">
        <f>IF(B67="","",SUMIF('Mill Production'!$C$5:$C$304,B67,'Mill Production'!$I$5:$I$304))</f>
        <v/>
      </c>
      <c r="K67" s="7" t="str">
        <f>IF(B67="","",IF(COUNTIF('Mill Test'!$C$5:$C$304,B67)=0,"Pending",IF(COUNTIFS('Mill Test'!$C$5:$C$304,B67,'Mill Test'!$T$5:$T$304,"Failed")&gt;0,"Failed","Passed")))</f>
        <v/>
      </c>
      <c r="L67" s="19" t="str">
        <f>IF(B67="","",SUMIF('Fabric Shipment'!$C$5:$C$304,B67,'Fabric Shipment'!$G$5:$G$304))</f>
        <v/>
      </c>
      <c r="M67" s="19" t="str">
        <f>IF(B67="","",SUMIF('Fabric Shipment'!$C$5:$C$304,B67,'Fabric Shipment'!$R$5:$R$304))</f>
        <v/>
      </c>
      <c r="N67" s="19" t="str">
        <f>IF(B67="","",SUMIF('Fabric Receiving'!$E$5:$E$304,B67,'Fabric Receiving'!$H$5:$H$304))</f>
        <v/>
      </c>
      <c r="O67" s="19" t="str">
        <f>IF(B67="","",SUMIF('Fabric Receiving'!$E$5:$E$304,B67,'Fabric Receiving'!$I$5:$I$304))</f>
        <v/>
      </c>
      <c r="P67" s="7" t="str">
        <f>IF(B67="","",IF(COUNTIF('Four-Point'!$E$5:$E$304,B67)=0,"Pending",IF(COUNTIFS('Four-Point'!$E$5:$E$304,B67,'Four-Point'!$T$5:$T$304,"Failed")&gt;0,"Failed","Passed")))</f>
        <v/>
      </c>
      <c r="Q67" s="7" t="str">
        <f>IF(B67="","",IF(COUNTIF('Internal Test'!$D$5:$D$304,B67)=0,"Pending",IF(COUNTIFS('Internal Test'!$D$5:$D$304,B67,'Internal Test'!$AA$5:$AA$304,"Failed")&gt;0,"Failed","Passed")))</f>
        <v/>
      </c>
      <c r="R67" s="7" t="str">
        <f>IF(B67="","",IF(COUNTIF('Shade Match'!$C$5:$C$304,B67)=0,"Pending",IF(COUNTIFS('Shade Match'!$C$5:$C$304,B67,'Shade Match'!$Q$5:$Q$304,"Failed")&gt;0,"Failed","Approved")))</f>
        <v/>
      </c>
      <c r="S67" s="19" t="str">
        <f>IF(B67="","",SUMIF('Fabric Inventory'!$C$5:$C$304,B67,'Fabric Inventory'!$H$5:$H$304))</f>
        <v/>
      </c>
      <c r="T67" s="19" t="str">
        <f>IF(B67="","",SUMIF('Fabric Inventory'!$C$5:$C$304,B67,'Fabric Inventory'!$K$5:$K$304))</f>
        <v/>
      </c>
      <c r="U67" s="19" t="str">
        <f>IF(B67="","",SUMIF('Fabric Inventory'!$C$5:$C$304,B67,'Fabric Inventory'!$L$5:$L$304))</f>
        <v/>
      </c>
      <c r="V67" s="19" t="str">
        <f>IF(B67="","",SUMIF('Fabric Inventory'!$C$5:$C$304,B67,'Fabric Inventory'!$N$5:$N$304))</f>
        <v/>
      </c>
      <c r="W67" s="19" t="str">
        <f>IF(B67="","",SUMIF('Fabric Inventory'!$C$5:$C$304,B67,'Fabric Inventory'!$O$5:$O$304))</f>
        <v/>
      </c>
    </row>
    <row r="68" spans="1:23">
      <c r="A68" s="7" t="str">
        <f>IF('FGPO Master'!A62="","",'FGPO Master'!E62)</f>
        <v/>
      </c>
      <c r="B68" s="7" t="str">
        <f>IF('FGPO Master'!A62="","",IF('FGPO Master'!D62="FGPO Pending","FGPO Pending",'FGPO Master'!B62))</f>
        <v/>
      </c>
      <c r="C68" s="7" t="str">
        <f>IF('FGPO Master'!A62="","",'FGPO Master'!D62)</f>
        <v/>
      </c>
      <c r="D68" s="7" t="str">
        <f>IF('FGPO Master'!A62="","",'FGPO Master'!F62)</f>
        <v/>
      </c>
      <c r="E68" s="7" t="str">
        <f>IF('FGPO Master'!A62="","",'FGPO Master'!G62)</f>
        <v/>
      </c>
      <c r="F68" s="19" t="str">
        <f>IF('FGPO Master'!A62="","",'FGPO Master'!H62)</f>
        <v/>
      </c>
      <c r="G68" s="19" t="str">
        <f>IF('FGPO Master'!A62="","",'FGPO Master'!M62)</f>
        <v/>
      </c>
      <c r="H68" s="19" t="str">
        <f>IF(B68="","",SUMIF('Fabric Requirement'!$B$5:$B$304,B68,'Fabric Requirement'!$M$5:$M$304)+SUMIF('Fabric Requirement'!$B$5:$B$304,B68,'Fabric Requirement'!$O$5:$O$304))</f>
        <v/>
      </c>
      <c r="I68" s="19" t="str">
        <f>IF(B68="","",SUMIF('Fabric PO'!$B$5:$B$304,B68,'Fabric PO'!$H$5:$H$304))</f>
        <v/>
      </c>
      <c r="J68" s="19" t="str">
        <f>IF(B68="","",SUMIF('Mill Production'!$C$5:$C$304,B68,'Mill Production'!$I$5:$I$304))</f>
        <v/>
      </c>
      <c r="K68" s="7" t="str">
        <f>IF(B68="","",IF(COUNTIF('Mill Test'!$C$5:$C$304,B68)=0,"Pending",IF(COUNTIFS('Mill Test'!$C$5:$C$304,B68,'Mill Test'!$T$5:$T$304,"Failed")&gt;0,"Failed","Passed")))</f>
        <v/>
      </c>
      <c r="L68" s="19" t="str">
        <f>IF(B68="","",SUMIF('Fabric Shipment'!$C$5:$C$304,B68,'Fabric Shipment'!$G$5:$G$304))</f>
        <v/>
      </c>
      <c r="M68" s="19" t="str">
        <f>IF(B68="","",SUMIF('Fabric Shipment'!$C$5:$C$304,B68,'Fabric Shipment'!$R$5:$R$304))</f>
        <v/>
      </c>
      <c r="N68" s="19" t="str">
        <f>IF(B68="","",SUMIF('Fabric Receiving'!$E$5:$E$304,B68,'Fabric Receiving'!$H$5:$H$304))</f>
        <v/>
      </c>
      <c r="O68" s="19" t="str">
        <f>IF(B68="","",SUMIF('Fabric Receiving'!$E$5:$E$304,B68,'Fabric Receiving'!$I$5:$I$304))</f>
        <v/>
      </c>
      <c r="P68" s="7" t="str">
        <f>IF(B68="","",IF(COUNTIF('Four-Point'!$E$5:$E$304,B68)=0,"Pending",IF(COUNTIFS('Four-Point'!$E$5:$E$304,B68,'Four-Point'!$T$5:$T$304,"Failed")&gt;0,"Failed","Passed")))</f>
        <v/>
      </c>
      <c r="Q68" s="7" t="str">
        <f>IF(B68="","",IF(COUNTIF('Internal Test'!$D$5:$D$304,B68)=0,"Pending",IF(COUNTIFS('Internal Test'!$D$5:$D$304,B68,'Internal Test'!$AA$5:$AA$304,"Failed")&gt;0,"Failed","Passed")))</f>
        <v/>
      </c>
      <c r="R68" s="7" t="str">
        <f>IF(B68="","",IF(COUNTIF('Shade Match'!$C$5:$C$304,B68)=0,"Pending",IF(COUNTIFS('Shade Match'!$C$5:$C$304,B68,'Shade Match'!$Q$5:$Q$304,"Failed")&gt;0,"Failed","Approved")))</f>
        <v/>
      </c>
      <c r="S68" s="19" t="str">
        <f>IF(B68="","",SUMIF('Fabric Inventory'!$C$5:$C$304,B68,'Fabric Inventory'!$H$5:$H$304))</f>
        <v/>
      </c>
      <c r="T68" s="19" t="str">
        <f>IF(B68="","",SUMIF('Fabric Inventory'!$C$5:$C$304,B68,'Fabric Inventory'!$K$5:$K$304))</f>
        <v/>
      </c>
      <c r="U68" s="19" t="str">
        <f>IF(B68="","",SUMIF('Fabric Inventory'!$C$5:$C$304,B68,'Fabric Inventory'!$L$5:$L$304))</f>
        <v/>
      </c>
      <c r="V68" s="19" t="str">
        <f>IF(B68="","",SUMIF('Fabric Inventory'!$C$5:$C$304,B68,'Fabric Inventory'!$N$5:$N$304))</f>
        <v/>
      </c>
      <c r="W68" s="19" t="str">
        <f>IF(B68="","",SUMIF('Fabric Inventory'!$C$5:$C$304,B68,'Fabric Inventory'!$O$5:$O$304))</f>
        <v/>
      </c>
    </row>
    <row r="69" spans="1:23">
      <c r="A69" s="7" t="str">
        <f>IF('FGPO Master'!A63="","",'FGPO Master'!E63)</f>
        <v/>
      </c>
      <c r="B69" s="7" t="str">
        <f>IF('FGPO Master'!A63="","",IF('FGPO Master'!D63="FGPO Pending","FGPO Pending",'FGPO Master'!B63))</f>
        <v/>
      </c>
      <c r="C69" s="7" t="str">
        <f>IF('FGPO Master'!A63="","",'FGPO Master'!D63)</f>
        <v/>
      </c>
      <c r="D69" s="7" t="str">
        <f>IF('FGPO Master'!A63="","",'FGPO Master'!F63)</f>
        <v/>
      </c>
      <c r="E69" s="7" t="str">
        <f>IF('FGPO Master'!A63="","",'FGPO Master'!G63)</f>
        <v/>
      </c>
      <c r="F69" s="19" t="str">
        <f>IF('FGPO Master'!A63="","",'FGPO Master'!H63)</f>
        <v/>
      </c>
      <c r="G69" s="19" t="str">
        <f>IF('FGPO Master'!A63="","",'FGPO Master'!M63)</f>
        <v/>
      </c>
      <c r="H69" s="19" t="str">
        <f>IF(B69="","",SUMIF('Fabric Requirement'!$B$5:$B$304,B69,'Fabric Requirement'!$M$5:$M$304)+SUMIF('Fabric Requirement'!$B$5:$B$304,B69,'Fabric Requirement'!$O$5:$O$304))</f>
        <v/>
      </c>
      <c r="I69" s="19" t="str">
        <f>IF(B69="","",SUMIF('Fabric PO'!$B$5:$B$304,B69,'Fabric PO'!$H$5:$H$304))</f>
        <v/>
      </c>
      <c r="J69" s="19" t="str">
        <f>IF(B69="","",SUMIF('Mill Production'!$C$5:$C$304,B69,'Mill Production'!$I$5:$I$304))</f>
        <v/>
      </c>
      <c r="K69" s="7" t="str">
        <f>IF(B69="","",IF(COUNTIF('Mill Test'!$C$5:$C$304,B69)=0,"Pending",IF(COUNTIFS('Mill Test'!$C$5:$C$304,B69,'Mill Test'!$T$5:$T$304,"Failed")&gt;0,"Failed","Passed")))</f>
        <v/>
      </c>
      <c r="L69" s="19" t="str">
        <f>IF(B69="","",SUMIF('Fabric Shipment'!$C$5:$C$304,B69,'Fabric Shipment'!$G$5:$G$304))</f>
        <v/>
      </c>
      <c r="M69" s="19" t="str">
        <f>IF(B69="","",SUMIF('Fabric Shipment'!$C$5:$C$304,B69,'Fabric Shipment'!$R$5:$R$304))</f>
        <v/>
      </c>
      <c r="N69" s="19" t="str">
        <f>IF(B69="","",SUMIF('Fabric Receiving'!$E$5:$E$304,B69,'Fabric Receiving'!$H$5:$H$304))</f>
        <v/>
      </c>
      <c r="O69" s="19" t="str">
        <f>IF(B69="","",SUMIF('Fabric Receiving'!$E$5:$E$304,B69,'Fabric Receiving'!$I$5:$I$304))</f>
        <v/>
      </c>
      <c r="P69" s="7" t="str">
        <f>IF(B69="","",IF(COUNTIF('Four-Point'!$E$5:$E$304,B69)=0,"Pending",IF(COUNTIFS('Four-Point'!$E$5:$E$304,B69,'Four-Point'!$T$5:$T$304,"Failed")&gt;0,"Failed","Passed")))</f>
        <v/>
      </c>
      <c r="Q69" s="7" t="str">
        <f>IF(B69="","",IF(COUNTIF('Internal Test'!$D$5:$D$304,B69)=0,"Pending",IF(COUNTIFS('Internal Test'!$D$5:$D$304,B69,'Internal Test'!$AA$5:$AA$304,"Failed")&gt;0,"Failed","Passed")))</f>
        <v/>
      </c>
      <c r="R69" s="7" t="str">
        <f>IF(B69="","",IF(COUNTIF('Shade Match'!$C$5:$C$304,B69)=0,"Pending",IF(COUNTIFS('Shade Match'!$C$5:$C$304,B69,'Shade Match'!$Q$5:$Q$304,"Failed")&gt;0,"Failed","Approved")))</f>
        <v/>
      </c>
      <c r="S69" s="19" t="str">
        <f>IF(B69="","",SUMIF('Fabric Inventory'!$C$5:$C$304,B69,'Fabric Inventory'!$H$5:$H$304))</f>
        <v/>
      </c>
      <c r="T69" s="19" t="str">
        <f>IF(B69="","",SUMIF('Fabric Inventory'!$C$5:$C$304,B69,'Fabric Inventory'!$K$5:$K$304))</f>
        <v/>
      </c>
      <c r="U69" s="19" t="str">
        <f>IF(B69="","",SUMIF('Fabric Inventory'!$C$5:$C$304,B69,'Fabric Inventory'!$L$5:$L$304))</f>
        <v/>
      </c>
      <c r="V69" s="19" t="str">
        <f>IF(B69="","",SUMIF('Fabric Inventory'!$C$5:$C$304,B69,'Fabric Inventory'!$N$5:$N$304))</f>
        <v/>
      </c>
      <c r="W69" s="19" t="str">
        <f>IF(B69="","",SUMIF('Fabric Inventory'!$C$5:$C$304,B69,'Fabric Inventory'!$O$5:$O$304))</f>
        <v/>
      </c>
    </row>
    <row r="70" spans="1:23">
      <c r="A70" s="7" t="str">
        <f>IF('FGPO Master'!A64="","",'FGPO Master'!E64)</f>
        <v/>
      </c>
      <c r="B70" s="7" t="str">
        <f>IF('FGPO Master'!A64="","",IF('FGPO Master'!D64="FGPO Pending","FGPO Pending",'FGPO Master'!B64))</f>
        <v/>
      </c>
      <c r="C70" s="7" t="str">
        <f>IF('FGPO Master'!A64="","",'FGPO Master'!D64)</f>
        <v/>
      </c>
      <c r="D70" s="7" t="str">
        <f>IF('FGPO Master'!A64="","",'FGPO Master'!F64)</f>
        <v/>
      </c>
      <c r="E70" s="7" t="str">
        <f>IF('FGPO Master'!A64="","",'FGPO Master'!G64)</f>
        <v/>
      </c>
      <c r="F70" s="19" t="str">
        <f>IF('FGPO Master'!A64="","",'FGPO Master'!H64)</f>
        <v/>
      </c>
      <c r="G70" s="19" t="str">
        <f>IF('FGPO Master'!A64="","",'FGPO Master'!M64)</f>
        <v/>
      </c>
      <c r="H70" s="19" t="str">
        <f>IF(B70="","",SUMIF('Fabric Requirement'!$B$5:$B$304,B70,'Fabric Requirement'!$M$5:$M$304)+SUMIF('Fabric Requirement'!$B$5:$B$304,B70,'Fabric Requirement'!$O$5:$O$304))</f>
        <v/>
      </c>
      <c r="I70" s="19" t="str">
        <f>IF(B70="","",SUMIF('Fabric PO'!$B$5:$B$304,B70,'Fabric PO'!$H$5:$H$304))</f>
        <v/>
      </c>
      <c r="J70" s="19" t="str">
        <f>IF(B70="","",SUMIF('Mill Production'!$C$5:$C$304,B70,'Mill Production'!$I$5:$I$304))</f>
        <v/>
      </c>
      <c r="K70" s="7" t="str">
        <f>IF(B70="","",IF(COUNTIF('Mill Test'!$C$5:$C$304,B70)=0,"Pending",IF(COUNTIFS('Mill Test'!$C$5:$C$304,B70,'Mill Test'!$T$5:$T$304,"Failed")&gt;0,"Failed","Passed")))</f>
        <v/>
      </c>
      <c r="L70" s="19" t="str">
        <f>IF(B70="","",SUMIF('Fabric Shipment'!$C$5:$C$304,B70,'Fabric Shipment'!$G$5:$G$304))</f>
        <v/>
      </c>
      <c r="M70" s="19" t="str">
        <f>IF(B70="","",SUMIF('Fabric Shipment'!$C$5:$C$304,B70,'Fabric Shipment'!$R$5:$R$304))</f>
        <v/>
      </c>
      <c r="N70" s="19" t="str">
        <f>IF(B70="","",SUMIF('Fabric Receiving'!$E$5:$E$304,B70,'Fabric Receiving'!$H$5:$H$304))</f>
        <v/>
      </c>
      <c r="O70" s="19" t="str">
        <f>IF(B70="","",SUMIF('Fabric Receiving'!$E$5:$E$304,B70,'Fabric Receiving'!$I$5:$I$304))</f>
        <v/>
      </c>
      <c r="P70" s="7" t="str">
        <f>IF(B70="","",IF(COUNTIF('Four-Point'!$E$5:$E$304,B70)=0,"Pending",IF(COUNTIFS('Four-Point'!$E$5:$E$304,B70,'Four-Point'!$T$5:$T$304,"Failed")&gt;0,"Failed","Passed")))</f>
        <v/>
      </c>
      <c r="Q70" s="7" t="str">
        <f>IF(B70="","",IF(COUNTIF('Internal Test'!$D$5:$D$304,B70)=0,"Pending",IF(COUNTIFS('Internal Test'!$D$5:$D$304,B70,'Internal Test'!$AA$5:$AA$304,"Failed")&gt;0,"Failed","Passed")))</f>
        <v/>
      </c>
      <c r="R70" s="7" t="str">
        <f>IF(B70="","",IF(COUNTIF('Shade Match'!$C$5:$C$304,B70)=0,"Pending",IF(COUNTIFS('Shade Match'!$C$5:$C$304,B70,'Shade Match'!$Q$5:$Q$304,"Failed")&gt;0,"Failed","Approved")))</f>
        <v/>
      </c>
      <c r="S70" s="19" t="str">
        <f>IF(B70="","",SUMIF('Fabric Inventory'!$C$5:$C$304,B70,'Fabric Inventory'!$H$5:$H$304))</f>
        <v/>
      </c>
      <c r="T70" s="19" t="str">
        <f>IF(B70="","",SUMIF('Fabric Inventory'!$C$5:$C$304,B70,'Fabric Inventory'!$K$5:$K$304))</f>
        <v/>
      </c>
      <c r="U70" s="19" t="str">
        <f>IF(B70="","",SUMIF('Fabric Inventory'!$C$5:$C$304,B70,'Fabric Inventory'!$L$5:$L$304))</f>
        <v/>
      </c>
      <c r="V70" s="19" t="str">
        <f>IF(B70="","",SUMIF('Fabric Inventory'!$C$5:$C$304,B70,'Fabric Inventory'!$N$5:$N$304))</f>
        <v/>
      </c>
      <c r="W70" s="19" t="str">
        <f>IF(B70="","",SUMIF('Fabric Inventory'!$C$5:$C$304,B70,'Fabric Inventory'!$O$5:$O$304))</f>
        <v/>
      </c>
    </row>
    <row r="71" spans="1:23">
      <c r="A71" s="7" t="str">
        <f>IF('FGPO Master'!A65="","",'FGPO Master'!E65)</f>
        <v/>
      </c>
      <c r="B71" s="7" t="str">
        <f>IF('FGPO Master'!A65="","",IF('FGPO Master'!D65="FGPO Pending","FGPO Pending",'FGPO Master'!B65))</f>
        <v/>
      </c>
      <c r="C71" s="7" t="str">
        <f>IF('FGPO Master'!A65="","",'FGPO Master'!D65)</f>
        <v/>
      </c>
      <c r="D71" s="7" t="str">
        <f>IF('FGPO Master'!A65="","",'FGPO Master'!F65)</f>
        <v/>
      </c>
      <c r="E71" s="7" t="str">
        <f>IF('FGPO Master'!A65="","",'FGPO Master'!G65)</f>
        <v/>
      </c>
      <c r="F71" s="19" t="str">
        <f>IF('FGPO Master'!A65="","",'FGPO Master'!H65)</f>
        <v/>
      </c>
      <c r="G71" s="19" t="str">
        <f>IF('FGPO Master'!A65="","",'FGPO Master'!M65)</f>
        <v/>
      </c>
      <c r="H71" s="19" t="str">
        <f>IF(B71="","",SUMIF('Fabric Requirement'!$B$5:$B$304,B71,'Fabric Requirement'!$M$5:$M$304)+SUMIF('Fabric Requirement'!$B$5:$B$304,B71,'Fabric Requirement'!$O$5:$O$304))</f>
        <v/>
      </c>
      <c r="I71" s="19" t="str">
        <f>IF(B71="","",SUMIF('Fabric PO'!$B$5:$B$304,B71,'Fabric PO'!$H$5:$H$304))</f>
        <v/>
      </c>
      <c r="J71" s="19" t="str">
        <f>IF(B71="","",SUMIF('Mill Production'!$C$5:$C$304,B71,'Mill Production'!$I$5:$I$304))</f>
        <v/>
      </c>
      <c r="K71" s="7" t="str">
        <f>IF(B71="","",IF(COUNTIF('Mill Test'!$C$5:$C$304,B71)=0,"Pending",IF(COUNTIFS('Mill Test'!$C$5:$C$304,B71,'Mill Test'!$T$5:$T$304,"Failed")&gt;0,"Failed","Passed")))</f>
        <v/>
      </c>
      <c r="L71" s="19" t="str">
        <f>IF(B71="","",SUMIF('Fabric Shipment'!$C$5:$C$304,B71,'Fabric Shipment'!$G$5:$G$304))</f>
        <v/>
      </c>
      <c r="M71" s="19" t="str">
        <f>IF(B71="","",SUMIF('Fabric Shipment'!$C$5:$C$304,B71,'Fabric Shipment'!$R$5:$R$304))</f>
        <v/>
      </c>
      <c r="N71" s="19" t="str">
        <f>IF(B71="","",SUMIF('Fabric Receiving'!$E$5:$E$304,B71,'Fabric Receiving'!$H$5:$H$304))</f>
        <v/>
      </c>
      <c r="O71" s="19" t="str">
        <f>IF(B71="","",SUMIF('Fabric Receiving'!$E$5:$E$304,B71,'Fabric Receiving'!$I$5:$I$304))</f>
        <v/>
      </c>
      <c r="P71" s="7" t="str">
        <f>IF(B71="","",IF(COUNTIF('Four-Point'!$E$5:$E$304,B71)=0,"Pending",IF(COUNTIFS('Four-Point'!$E$5:$E$304,B71,'Four-Point'!$T$5:$T$304,"Failed")&gt;0,"Failed","Passed")))</f>
        <v/>
      </c>
      <c r="Q71" s="7" t="str">
        <f>IF(B71="","",IF(COUNTIF('Internal Test'!$D$5:$D$304,B71)=0,"Pending",IF(COUNTIFS('Internal Test'!$D$5:$D$304,B71,'Internal Test'!$AA$5:$AA$304,"Failed")&gt;0,"Failed","Passed")))</f>
        <v/>
      </c>
      <c r="R71" s="7" t="str">
        <f>IF(B71="","",IF(COUNTIF('Shade Match'!$C$5:$C$304,B71)=0,"Pending",IF(COUNTIFS('Shade Match'!$C$5:$C$304,B71,'Shade Match'!$Q$5:$Q$304,"Failed")&gt;0,"Failed","Approved")))</f>
        <v/>
      </c>
      <c r="S71" s="19" t="str">
        <f>IF(B71="","",SUMIF('Fabric Inventory'!$C$5:$C$304,B71,'Fabric Inventory'!$H$5:$H$304))</f>
        <v/>
      </c>
      <c r="T71" s="19" t="str">
        <f>IF(B71="","",SUMIF('Fabric Inventory'!$C$5:$C$304,B71,'Fabric Inventory'!$K$5:$K$304))</f>
        <v/>
      </c>
      <c r="U71" s="19" t="str">
        <f>IF(B71="","",SUMIF('Fabric Inventory'!$C$5:$C$304,B71,'Fabric Inventory'!$L$5:$L$304))</f>
        <v/>
      </c>
      <c r="V71" s="19" t="str">
        <f>IF(B71="","",SUMIF('Fabric Inventory'!$C$5:$C$304,B71,'Fabric Inventory'!$N$5:$N$304))</f>
        <v/>
      </c>
      <c r="W71" s="19" t="str">
        <f>IF(B71="","",SUMIF('Fabric Inventory'!$C$5:$C$304,B71,'Fabric Inventory'!$O$5:$O$304))</f>
        <v/>
      </c>
    </row>
    <row r="72" spans="1:23">
      <c r="A72" s="7" t="str">
        <f>IF('FGPO Master'!A66="","",'FGPO Master'!E66)</f>
        <v/>
      </c>
      <c r="B72" s="7" t="str">
        <f>IF('FGPO Master'!A66="","",IF('FGPO Master'!D66="FGPO Pending","FGPO Pending",'FGPO Master'!B66))</f>
        <v/>
      </c>
      <c r="C72" s="7" t="str">
        <f>IF('FGPO Master'!A66="","",'FGPO Master'!D66)</f>
        <v/>
      </c>
      <c r="D72" s="7" t="str">
        <f>IF('FGPO Master'!A66="","",'FGPO Master'!F66)</f>
        <v/>
      </c>
      <c r="E72" s="7" t="str">
        <f>IF('FGPO Master'!A66="","",'FGPO Master'!G66)</f>
        <v/>
      </c>
      <c r="F72" s="19" t="str">
        <f>IF('FGPO Master'!A66="","",'FGPO Master'!H66)</f>
        <v/>
      </c>
      <c r="G72" s="19" t="str">
        <f>IF('FGPO Master'!A66="","",'FGPO Master'!M66)</f>
        <v/>
      </c>
      <c r="H72" s="19" t="str">
        <f>IF(B72="","",SUMIF('Fabric Requirement'!$B$5:$B$304,B72,'Fabric Requirement'!$M$5:$M$304)+SUMIF('Fabric Requirement'!$B$5:$B$304,B72,'Fabric Requirement'!$O$5:$O$304))</f>
        <v/>
      </c>
      <c r="I72" s="19" t="str">
        <f>IF(B72="","",SUMIF('Fabric PO'!$B$5:$B$304,B72,'Fabric PO'!$H$5:$H$304))</f>
        <v/>
      </c>
      <c r="J72" s="19" t="str">
        <f>IF(B72="","",SUMIF('Mill Production'!$C$5:$C$304,B72,'Mill Production'!$I$5:$I$304))</f>
        <v/>
      </c>
      <c r="K72" s="7" t="str">
        <f>IF(B72="","",IF(COUNTIF('Mill Test'!$C$5:$C$304,B72)=0,"Pending",IF(COUNTIFS('Mill Test'!$C$5:$C$304,B72,'Mill Test'!$T$5:$T$304,"Failed")&gt;0,"Failed","Passed")))</f>
        <v/>
      </c>
      <c r="L72" s="19" t="str">
        <f>IF(B72="","",SUMIF('Fabric Shipment'!$C$5:$C$304,B72,'Fabric Shipment'!$G$5:$G$304))</f>
        <v/>
      </c>
      <c r="M72" s="19" t="str">
        <f>IF(B72="","",SUMIF('Fabric Shipment'!$C$5:$C$304,B72,'Fabric Shipment'!$R$5:$R$304))</f>
        <v/>
      </c>
      <c r="N72" s="19" t="str">
        <f>IF(B72="","",SUMIF('Fabric Receiving'!$E$5:$E$304,B72,'Fabric Receiving'!$H$5:$H$304))</f>
        <v/>
      </c>
      <c r="O72" s="19" t="str">
        <f>IF(B72="","",SUMIF('Fabric Receiving'!$E$5:$E$304,B72,'Fabric Receiving'!$I$5:$I$304))</f>
        <v/>
      </c>
      <c r="P72" s="7" t="str">
        <f>IF(B72="","",IF(COUNTIF('Four-Point'!$E$5:$E$304,B72)=0,"Pending",IF(COUNTIFS('Four-Point'!$E$5:$E$304,B72,'Four-Point'!$T$5:$T$304,"Failed")&gt;0,"Failed","Passed")))</f>
        <v/>
      </c>
      <c r="Q72" s="7" t="str">
        <f>IF(B72="","",IF(COUNTIF('Internal Test'!$D$5:$D$304,B72)=0,"Pending",IF(COUNTIFS('Internal Test'!$D$5:$D$304,B72,'Internal Test'!$AA$5:$AA$304,"Failed")&gt;0,"Failed","Passed")))</f>
        <v/>
      </c>
      <c r="R72" s="7" t="str">
        <f>IF(B72="","",IF(COUNTIF('Shade Match'!$C$5:$C$304,B72)=0,"Pending",IF(COUNTIFS('Shade Match'!$C$5:$C$304,B72,'Shade Match'!$Q$5:$Q$304,"Failed")&gt;0,"Failed","Approved")))</f>
        <v/>
      </c>
      <c r="S72" s="19" t="str">
        <f>IF(B72="","",SUMIF('Fabric Inventory'!$C$5:$C$304,B72,'Fabric Inventory'!$H$5:$H$304))</f>
        <v/>
      </c>
      <c r="T72" s="19" t="str">
        <f>IF(B72="","",SUMIF('Fabric Inventory'!$C$5:$C$304,B72,'Fabric Inventory'!$K$5:$K$304))</f>
        <v/>
      </c>
      <c r="U72" s="19" t="str">
        <f>IF(B72="","",SUMIF('Fabric Inventory'!$C$5:$C$304,B72,'Fabric Inventory'!$L$5:$L$304))</f>
        <v/>
      </c>
      <c r="V72" s="19" t="str">
        <f>IF(B72="","",SUMIF('Fabric Inventory'!$C$5:$C$304,B72,'Fabric Inventory'!$N$5:$N$304))</f>
        <v/>
      </c>
      <c r="W72" s="19" t="str">
        <f>IF(B72="","",SUMIF('Fabric Inventory'!$C$5:$C$304,B72,'Fabric Inventory'!$O$5:$O$304))</f>
        <v/>
      </c>
    </row>
    <row r="73" spans="1:23">
      <c r="A73" s="7" t="str">
        <f>IF('FGPO Master'!A67="","",'FGPO Master'!E67)</f>
        <v/>
      </c>
      <c r="B73" s="7" t="str">
        <f>IF('FGPO Master'!A67="","",IF('FGPO Master'!D67="FGPO Pending","FGPO Pending",'FGPO Master'!B67))</f>
        <v/>
      </c>
      <c r="C73" s="7" t="str">
        <f>IF('FGPO Master'!A67="","",'FGPO Master'!D67)</f>
        <v/>
      </c>
      <c r="D73" s="7" t="str">
        <f>IF('FGPO Master'!A67="","",'FGPO Master'!F67)</f>
        <v/>
      </c>
      <c r="E73" s="7" t="str">
        <f>IF('FGPO Master'!A67="","",'FGPO Master'!G67)</f>
        <v/>
      </c>
      <c r="F73" s="19" t="str">
        <f>IF('FGPO Master'!A67="","",'FGPO Master'!H67)</f>
        <v/>
      </c>
      <c r="G73" s="19" t="str">
        <f>IF('FGPO Master'!A67="","",'FGPO Master'!M67)</f>
        <v/>
      </c>
      <c r="H73" s="19" t="str">
        <f>IF(B73="","",SUMIF('Fabric Requirement'!$B$5:$B$304,B73,'Fabric Requirement'!$M$5:$M$304)+SUMIF('Fabric Requirement'!$B$5:$B$304,B73,'Fabric Requirement'!$O$5:$O$304))</f>
        <v/>
      </c>
      <c r="I73" s="19" t="str">
        <f>IF(B73="","",SUMIF('Fabric PO'!$B$5:$B$304,B73,'Fabric PO'!$H$5:$H$304))</f>
        <v/>
      </c>
      <c r="J73" s="19" t="str">
        <f>IF(B73="","",SUMIF('Mill Production'!$C$5:$C$304,B73,'Mill Production'!$I$5:$I$304))</f>
        <v/>
      </c>
      <c r="K73" s="7" t="str">
        <f>IF(B73="","",IF(COUNTIF('Mill Test'!$C$5:$C$304,B73)=0,"Pending",IF(COUNTIFS('Mill Test'!$C$5:$C$304,B73,'Mill Test'!$T$5:$T$304,"Failed")&gt;0,"Failed","Passed")))</f>
        <v/>
      </c>
      <c r="L73" s="19" t="str">
        <f>IF(B73="","",SUMIF('Fabric Shipment'!$C$5:$C$304,B73,'Fabric Shipment'!$G$5:$G$304))</f>
        <v/>
      </c>
      <c r="M73" s="19" t="str">
        <f>IF(B73="","",SUMIF('Fabric Shipment'!$C$5:$C$304,B73,'Fabric Shipment'!$R$5:$R$304))</f>
        <v/>
      </c>
      <c r="N73" s="19" t="str">
        <f>IF(B73="","",SUMIF('Fabric Receiving'!$E$5:$E$304,B73,'Fabric Receiving'!$H$5:$H$304))</f>
        <v/>
      </c>
      <c r="O73" s="19" t="str">
        <f>IF(B73="","",SUMIF('Fabric Receiving'!$E$5:$E$304,B73,'Fabric Receiving'!$I$5:$I$304))</f>
        <v/>
      </c>
      <c r="P73" s="7" t="str">
        <f>IF(B73="","",IF(COUNTIF('Four-Point'!$E$5:$E$304,B73)=0,"Pending",IF(COUNTIFS('Four-Point'!$E$5:$E$304,B73,'Four-Point'!$T$5:$T$304,"Failed")&gt;0,"Failed","Passed")))</f>
        <v/>
      </c>
      <c r="Q73" s="7" t="str">
        <f>IF(B73="","",IF(COUNTIF('Internal Test'!$D$5:$D$304,B73)=0,"Pending",IF(COUNTIFS('Internal Test'!$D$5:$D$304,B73,'Internal Test'!$AA$5:$AA$304,"Failed")&gt;0,"Failed","Passed")))</f>
        <v/>
      </c>
      <c r="R73" s="7" t="str">
        <f>IF(B73="","",IF(COUNTIF('Shade Match'!$C$5:$C$304,B73)=0,"Pending",IF(COUNTIFS('Shade Match'!$C$5:$C$304,B73,'Shade Match'!$Q$5:$Q$304,"Failed")&gt;0,"Failed","Approved")))</f>
        <v/>
      </c>
      <c r="S73" s="19" t="str">
        <f>IF(B73="","",SUMIF('Fabric Inventory'!$C$5:$C$304,B73,'Fabric Inventory'!$H$5:$H$304))</f>
        <v/>
      </c>
      <c r="T73" s="19" t="str">
        <f>IF(B73="","",SUMIF('Fabric Inventory'!$C$5:$C$304,B73,'Fabric Inventory'!$K$5:$K$304))</f>
        <v/>
      </c>
      <c r="U73" s="19" t="str">
        <f>IF(B73="","",SUMIF('Fabric Inventory'!$C$5:$C$304,B73,'Fabric Inventory'!$L$5:$L$304))</f>
        <v/>
      </c>
      <c r="V73" s="19" t="str">
        <f>IF(B73="","",SUMIF('Fabric Inventory'!$C$5:$C$304,B73,'Fabric Inventory'!$N$5:$N$304))</f>
        <v/>
      </c>
      <c r="W73" s="19" t="str">
        <f>IF(B73="","",SUMIF('Fabric Inventory'!$C$5:$C$304,B73,'Fabric Inventory'!$O$5:$O$304))</f>
        <v/>
      </c>
    </row>
    <row r="74" spans="1:23">
      <c r="A74" s="7" t="str">
        <f>IF('FGPO Master'!A68="","",'FGPO Master'!E68)</f>
        <v/>
      </c>
      <c r="B74" s="7" t="str">
        <f>IF('FGPO Master'!A68="","",IF('FGPO Master'!D68="FGPO Pending","FGPO Pending",'FGPO Master'!B68))</f>
        <v/>
      </c>
      <c r="C74" s="7" t="str">
        <f>IF('FGPO Master'!A68="","",'FGPO Master'!D68)</f>
        <v/>
      </c>
      <c r="D74" s="7" t="str">
        <f>IF('FGPO Master'!A68="","",'FGPO Master'!F68)</f>
        <v/>
      </c>
      <c r="E74" s="7" t="str">
        <f>IF('FGPO Master'!A68="","",'FGPO Master'!G68)</f>
        <v/>
      </c>
      <c r="F74" s="19" t="str">
        <f>IF('FGPO Master'!A68="","",'FGPO Master'!H68)</f>
        <v/>
      </c>
      <c r="G74" s="19" t="str">
        <f>IF('FGPO Master'!A68="","",'FGPO Master'!M68)</f>
        <v/>
      </c>
      <c r="H74" s="19" t="str">
        <f>IF(B74="","",SUMIF('Fabric Requirement'!$B$5:$B$304,B74,'Fabric Requirement'!$M$5:$M$304)+SUMIF('Fabric Requirement'!$B$5:$B$304,B74,'Fabric Requirement'!$O$5:$O$304))</f>
        <v/>
      </c>
      <c r="I74" s="19" t="str">
        <f>IF(B74="","",SUMIF('Fabric PO'!$B$5:$B$304,B74,'Fabric PO'!$H$5:$H$304))</f>
        <v/>
      </c>
      <c r="J74" s="19" t="str">
        <f>IF(B74="","",SUMIF('Mill Production'!$C$5:$C$304,B74,'Mill Production'!$I$5:$I$304))</f>
        <v/>
      </c>
      <c r="K74" s="7" t="str">
        <f>IF(B74="","",IF(COUNTIF('Mill Test'!$C$5:$C$304,B74)=0,"Pending",IF(COUNTIFS('Mill Test'!$C$5:$C$304,B74,'Mill Test'!$T$5:$T$304,"Failed")&gt;0,"Failed","Passed")))</f>
        <v/>
      </c>
      <c r="L74" s="19" t="str">
        <f>IF(B74="","",SUMIF('Fabric Shipment'!$C$5:$C$304,B74,'Fabric Shipment'!$G$5:$G$304))</f>
        <v/>
      </c>
      <c r="M74" s="19" t="str">
        <f>IF(B74="","",SUMIF('Fabric Shipment'!$C$5:$C$304,B74,'Fabric Shipment'!$R$5:$R$304))</f>
        <v/>
      </c>
      <c r="N74" s="19" t="str">
        <f>IF(B74="","",SUMIF('Fabric Receiving'!$E$5:$E$304,B74,'Fabric Receiving'!$H$5:$H$304))</f>
        <v/>
      </c>
      <c r="O74" s="19" t="str">
        <f>IF(B74="","",SUMIF('Fabric Receiving'!$E$5:$E$304,B74,'Fabric Receiving'!$I$5:$I$304))</f>
        <v/>
      </c>
      <c r="P74" s="7" t="str">
        <f>IF(B74="","",IF(COUNTIF('Four-Point'!$E$5:$E$304,B74)=0,"Pending",IF(COUNTIFS('Four-Point'!$E$5:$E$304,B74,'Four-Point'!$T$5:$T$304,"Failed")&gt;0,"Failed","Passed")))</f>
        <v/>
      </c>
      <c r="Q74" s="7" t="str">
        <f>IF(B74="","",IF(COUNTIF('Internal Test'!$D$5:$D$304,B74)=0,"Pending",IF(COUNTIFS('Internal Test'!$D$5:$D$304,B74,'Internal Test'!$AA$5:$AA$304,"Failed")&gt;0,"Failed","Passed")))</f>
        <v/>
      </c>
      <c r="R74" s="7" t="str">
        <f>IF(B74="","",IF(COUNTIF('Shade Match'!$C$5:$C$304,B74)=0,"Pending",IF(COUNTIFS('Shade Match'!$C$5:$C$304,B74,'Shade Match'!$Q$5:$Q$304,"Failed")&gt;0,"Failed","Approved")))</f>
        <v/>
      </c>
      <c r="S74" s="19" t="str">
        <f>IF(B74="","",SUMIF('Fabric Inventory'!$C$5:$C$304,B74,'Fabric Inventory'!$H$5:$H$304))</f>
        <v/>
      </c>
      <c r="T74" s="19" t="str">
        <f>IF(B74="","",SUMIF('Fabric Inventory'!$C$5:$C$304,B74,'Fabric Inventory'!$K$5:$K$304))</f>
        <v/>
      </c>
      <c r="U74" s="19" t="str">
        <f>IF(B74="","",SUMIF('Fabric Inventory'!$C$5:$C$304,B74,'Fabric Inventory'!$L$5:$L$304))</f>
        <v/>
      </c>
      <c r="V74" s="19" t="str">
        <f>IF(B74="","",SUMIF('Fabric Inventory'!$C$5:$C$304,B74,'Fabric Inventory'!$N$5:$N$304))</f>
        <v/>
      </c>
      <c r="W74" s="19" t="str">
        <f>IF(B74="","",SUMIF('Fabric Inventory'!$C$5:$C$304,B74,'Fabric Inventory'!$O$5:$O$304))</f>
        <v/>
      </c>
    </row>
    <row r="75" spans="1:23">
      <c r="A75" s="7" t="str">
        <f>IF('FGPO Master'!A69="","",'FGPO Master'!E69)</f>
        <v/>
      </c>
      <c r="B75" s="7" t="str">
        <f>IF('FGPO Master'!A69="","",IF('FGPO Master'!D69="FGPO Pending","FGPO Pending",'FGPO Master'!B69))</f>
        <v/>
      </c>
      <c r="C75" s="7" t="str">
        <f>IF('FGPO Master'!A69="","",'FGPO Master'!D69)</f>
        <v/>
      </c>
      <c r="D75" s="7" t="str">
        <f>IF('FGPO Master'!A69="","",'FGPO Master'!F69)</f>
        <v/>
      </c>
      <c r="E75" s="7" t="str">
        <f>IF('FGPO Master'!A69="","",'FGPO Master'!G69)</f>
        <v/>
      </c>
      <c r="F75" s="19" t="str">
        <f>IF('FGPO Master'!A69="","",'FGPO Master'!H69)</f>
        <v/>
      </c>
      <c r="G75" s="19" t="str">
        <f>IF('FGPO Master'!A69="","",'FGPO Master'!M69)</f>
        <v/>
      </c>
      <c r="H75" s="19" t="str">
        <f>IF(B75="","",SUMIF('Fabric Requirement'!$B$5:$B$304,B75,'Fabric Requirement'!$M$5:$M$304)+SUMIF('Fabric Requirement'!$B$5:$B$304,B75,'Fabric Requirement'!$O$5:$O$304))</f>
        <v/>
      </c>
      <c r="I75" s="19" t="str">
        <f>IF(B75="","",SUMIF('Fabric PO'!$B$5:$B$304,B75,'Fabric PO'!$H$5:$H$304))</f>
        <v/>
      </c>
      <c r="J75" s="19" t="str">
        <f>IF(B75="","",SUMIF('Mill Production'!$C$5:$C$304,B75,'Mill Production'!$I$5:$I$304))</f>
        <v/>
      </c>
      <c r="K75" s="7" t="str">
        <f>IF(B75="","",IF(COUNTIF('Mill Test'!$C$5:$C$304,B75)=0,"Pending",IF(COUNTIFS('Mill Test'!$C$5:$C$304,B75,'Mill Test'!$T$5:$T$304,"Failed")&gt;0,"Failed","Passed")))</f>
        <v/>
      </c>
      <c r="L75" s="19" t="str">
        <f>IF(B75="","",SUMIF('Fabric Shipment'!$C$5:$C$304,B75,'Fabric Shipment'!$G$5:$G$304))</f>
        <v/>
      </c>
      <c r="M75" s="19" t="str">
        <f>IF(B75="","",SUMIF('Fabric Shipment'!$C$5:$C$304,B75,'Fabric Shipment'!$R$5:$R$304))</f>
        <v/>
      </c>
      <c r="N75" s="19" t="str">
        <f>IF(B75="","",SUMIF('Fabric Receiving'!$E$5:$E$304,B75,'Fabric Receiving'!$H$5:$H$304))</f>
        <v/>
      </c>
      <c r="O75" s="19" t="str">
        <f>IF(B75="","",SUMIF('Fabric Receiving'!$E$5:$E$304,B75,'Fabric Receiving'!$I$5:$I$304))</f>
        <v/>
      </c>
      <c r="P75" s="7" t="str">
        <f>IF(B75="","",IF(COUNTIF('Four-Point'!$E$5:$E$304,B75)=0,"Pending",IF(COUNTIFS('Four-Point'!$E$5:$E$304,B75,'Four-Point'!$T$5:$T$304,"Failed")&gt;0,"Failed","Passed")))</f>
        <v/>
      </c>
      <c r="Q75" s="7" t="str">
        <f>IF(B75="","",IF(COUNTIF('Internal Test'!$D$5:$D$304,B75)=0,"Pending",IF(COUNTIFS('Internal Test'!$D$5:$D$304,B75,'Internal Test'!$AA$5:$AA$304,"Failed")&gt;0,"Failed","Passed")))</f>
        <v/>
      </c>
      <c r="R75" s="7" t="str">
        <f>IF(B75="","",IF(COUNTIF('Shade Match'!$C$5:$C$304,B75)=0,"Pending",IF(COUNTIFS('Shade Match'!$C$5:$C$304,B75,'Shade Match'!$Q$5:$Q$304,"Failed")&gt;0,"Failed","Approved")))</f>
        <v/>
      </c>
      <c r="S75" s="19" t="str">
        <f>IF(B75="","",SUMIF('Fabric Inventory'!$C$5:$C$304,B75,'Fabric Inventory'!$H$5:$H$304))</f>
        <v/>
      </c>
      <c r="T75" s="19" t="str">
        <f>IF(B75="","",SUMIF('Fabric Inventory'!$C$5:$C$304,B75,'Fabric Inventory'!$K$5:$K$304))</f>
        <v/>
      </c>
      <c r="U75" s="19" t="str">
        <f>IF(B75="","",SUMIF('Fabric Inventory'!$C$5:$C$304,B75,'Fabric Inventory'!$L$5:$L$304))</f>
        <v/>
      </c>
      <c r="V75" s="19" t="str">
        <f>IF(B75="","",SUMIF('Fabric Inventory'!$C$5:$C$304,B75,'Fabric Inventory'!$N$5:$N$304))</f>
        <v/>
      </c>
      <c r="W75" s="19" t="str">
        <f>IF(B75="","",SUMIF('Fabric Inventory'!$C$5:$C$304,B75,'Fabric Inventory'!$O$5:$O$304))</f>
        <v/>
      </c>
    </row>
    <row r="76" spans="1:23">
      <c r="A76" s="7" t="str">
        <f>IF('FGPO Master'!A70="","",'FGPO Master'!E70)</f>
        <v/>
      </c>
      <c r="B76" s="7" t="str">
        <f>IF('FGPO Master'!A70="","",IF('FGPO Master'!D70="FGPO Pending","FGPO Pending",'FGPO Master'!B70))</f>
        <v/>
      </c>
      <c r="C76" s="7" t="str">
        <f>IF('FGPO Master'!A70="","",'FGPO Master'!D70)</f>
        <v/>
      </c>
      <c r="D76" s="7" t="str">
        <f>IF('FGPO Master'!A70="","",'FGPO Master'!F70)</f>
        <v/>
      </c>
      <c r="E76" s="7" t="str">
        <f>IF('FGPO Master'!A70="","",'FGPO Master'!G70)</f>
        <v/>
      </c>
      <c r="F76" s="19" t="str">
        <f>IF('FGPO Master'!A70="","",'FGPO Master'!H70)</f>
        <v/>
      </c>
      <c r="G76" s="19" t="str">
        <f>IF('FGPO Master'!A70="","",'FGPO Master'!M70)</f>
        <v/>
      </c>
      <c r="H76" s="19" t="str">
        <f>IF(B76="","",SUMIF('Fabric Requirement'!$B$5:$B$304,B76,'Fabric Requirement'!$M$5:$M$304)+SUMIF('Fabric Requirement'!$B$5:$B$304,B76,'Fabric Requirement'!$O$5:$O$304))</f>
        <v/>
      </c>
      <c r="I76" s="19" t="str">
        <f>IF(B76="","",SUMIF('Fabric PO'!$B$5:$B$304,B76,'Fabric PO'!$H$5:$H$304))</f>
        <v/>
      </c>
      <c r="J76" s="19" t="str">
        <f>IF(B76="","",SUMIF('Mill Production'!$C$5:$C$304,B76,'Mill Production'!$I$5:$I$304))</f>
        <v/>
      </c>
      <c r="K76" s="7" t="str">
        <f>IF(B76="","",IF(COUNTIF('Mill Test'!$C$5:$C$304,B76)=0,"Pending",IF(COUNTIFS('Mill Test'!$C$5:$C$304,B76,'Mill Test'!$T$5:$T$304,"Failed")&gt;0,"Failed","Passed")))</f>
        <v/>
      </c>
      <c r="L76" s="19" t="str">
        <f>IF(B76="","",SUMIF('Fabric Shipment'!$C$5:$C$304,B76,'Fabric Shipment'!$G$5:$G$304))</f>
        <v/>
      </c>
      <c r="M76" s="19" t="str">
        <f>IF(B76="","",SUMIF('Fabric Shipment'!$C$5:$C$304,B76,'Fabric Shipment'!$R$5:$R$304))</f>
        <v/>
      </c>
      <c r="N76" s="19" t="str">
        <f>IF(B76="","",SUMIF('Fabric Receiving'!$E$5:$E$304,B76,'Fabric Receiving'!$H$5:$H$304))</f>
        <v/>
      </c>
      <c r="O76" s="19" t="str">
        <f>IF(B76="","",SUMIF('Fabric Receiving'!$E$5:$E$304,B76,'Fabric Receiving'!$I$5:$I$304))</f>
        <v/>
      </c>
      <c r="P76" s="7" t="str">
        <f>IF(B76="","",IF(COUNTIF('Four-Point'!$E$5:$E$304,B76)=0,"Pending",IF(COUNTIFS('Four-Point'!$E$5:$E$304,B76,'Four-Point'!$T$5:$T$304,"Failed")&gt;0,"Failed","Passed")))</f>
        <v/>
      </c>
      <c r="Q76" s="7" t="str">
        <f>IF(B76="","",IF(COUNTIF('Internal Test'!$D$5:$D$304,B76)=0,"Pending",IF(COUNTIFS('Internal Test'!$D$5:$D$304,B76,'Internal Test'!$AA$5:$AA$304,"Failed")&gt;0,"Failed","Passed")))</f>
        <v/>
      </c>
      <c r="R76" s="7" t="str">
        <f>IF(B76="","",IF(COUNTIF('Shade Match'!$C$5:$C$304,B76)=0,"Pending",IF(COUNTIFS('Shade Match'!$C$5:$C$304,B76,'Shade Match'!$Q$5:$Q$304,"Failed")&gt;0,"Failed","Approved")))</f>
        <v/>
      </c>
      <c r="S76" s="19" t="str">
        <f>IF(B76="","",SUMIF('Fabric Inventory'!$C$5:$C$304,B76,'Fabric Inventory'!$H$5:$H$304))</f>
        <v/>
      </c>
      <c r="T76" s="19" t="str">
        <f>IF(B76="","",SUMIF('Fabric Inventory'!$C$5:$C$304,B76,'Fabric Inventory'!$K$5:$K$304))</f>
        <v/>
      </c>
      <c r="U76" s="19" t="str">
        <f>IF(B76="","",SUMIF('Fabric Inventory'!$C$5:$C$304,B76,'Fabric Inventory'!$L$5:$L$304))</f>
        <v/>
      </c>
      <c r="V76" s="19" t="str">
        <f>IF(B76="","",SUMIF('Fabric Inventory'!$C$5:$C$304,B76,'Fabric Inventory'!$N$5:$N$304))</f>
        <v/>
      </c>
      <c r="W76" s="19" t="str">
        <f>IF(B76="","",SUMIF('Fabric Inventory'!$C$5:$C$304,B76,'Fabric Inventory'!$O$5:$O$304))</f>
        <v/>
      </c>
    </row>
    <row r="77" spans="1:23">
      <c r="A77" s="7" t="str">
        <f>IF('FGPO Master'!A71="","",'FGPO Master'!E71)</f>
        <v/>
      </c>
      <c r="B77" s="7" t="str">
        <f>IF('FGPO Master'!A71="","",IF('FGPO Master'!D71="FGPO Pending","FGPO Pending",'FGPO Master'!B71))</f>
        <v/>
      </c>
      <c r="C77" s="7" t="str">
        <f>IF('FGPO Master'!A71="","",'FGPO Master'!D71)</f>
        <v/>
      </c>
      <c r="D77" s="7" t="str">
        <f>IF('FGPO Master'!A71="","",'FGPO Master'!F71)</f>
        <v/>
      </c>
      <c r="E77" s="7" t="str">
        <f>IF('FGPO Master'!A71="","",'FGPO Master'!G71)</f>
        <v/>
      </c>
      <c r="F77" s="19" t="str">
        <f>IF('FGPO Master'!A71="","",'FGPO Master'!H71)</f>
        <v/>
      </c>
      <c r="G77" s="19" t="str">
        <f>IF('FGPO Master'!A71="","",'FGPO Master'!M71)</f>
        <v/>
      </c>
      <c r="H77" s="19" t="str">
        <f>IF(B77="","",SUMIF('Fabric Requirement'!$B$5:$B$304,B77,'Fabric Requirement'!$M$5:$M$304)+SUMIF('Fabric Requirement'!$B$5:$B$304,B77,'Fabric Requirement'!$O$5:$O$304))</f>
        <v/>
      </c>
      <c r="I77" s="19" t="str">
        <f>IF(B77="","",SUMIF('Fabric PO'!$B$5:$B$304,B77,'Fabric PO'!$H$5:$H$304))</f>
        <v/>
      </c>
      <c r="J77" s="19" t="str">
        <f>IF(B77="","",SUMIF('Mill Production'!$C$5:$C$304,B77,'Mill Production'!$I$5:$I$304))</f>
        <v/>
      </c>
      <c r="K77" s="7" t="str">
        <f>IF(B77="","",IF(COUNTIF('Mill Test'!$C$5:$C$304,B77)=0,"Pending",IF(COUNTIFS('Mill Test'!$C$5:$C$304,B77,'Mill Test'!$T$5:$T$304,"Failed")&gt;0,"Failed","Passed")))</f>
        <v/>
      </c>
      <c r="L77" s="19" t="str">
        <f>IF(B77="","",SUMIF('Fabric Shipment'!$C$5:$C$304,B77,'Fabric Shipment'!$G$5:$G$304))</f>
        <v/>
      </c>
      <c r="M77" s="19" t="str">
        <f>IF(B77="","",SUMIF('Fabric Shipment'!$C$5:$C$304,B77,'Fabric Shipment'!$R$5:$R$304))</f>
        <v/>
      </c>
      <c r="N77" s="19" t="str">
        <f>IF(B77="","",SUMIF('Fabric Receiving'!$E$5:$E$304,B77,'Fabric Receiving'!$H$5:$H$304))</f>
        <v/>
      </c>
      <c r="O77" s="19" t="str">
        <f>IF(B77="","",SUMIF('Fabric Receiving'!$E$5:$E$304,B77,'Fabric Receiving'!$I$5:$I$304))</f>
        <v/>
      </c>
      <c r="P77" s="7" t="str">
        <f>IF(B77="","",IF(COUNTIF('Four-Point'!$E$5:$E$304,B77)=0,"Pending",IF(COUNTIFS('Four-Point'!$E$5:$E$304,B77,'Four-Point'!$T$5:$T$304,"Failed")&gt;0,"Failed","Passed")))</f>
        <v/>
      </c>
      <c r="Q77" s="7" t="str">
        <f>IF(B77="","",IF(COUNTIF('Internal Test'!$D$5:$D$304,B77)=0,"Pending",IF(COUNTIFS('Internal Test'!$D$5:$D$304,B77,'Internal Test'!$AA$5:$AA$304,"Failed")&gt;0,"Failed","Passed")))</f>
        <v/>
      </c>
      <c r="R77" s="7" t="str">
        <f>IF(B77="","",IF(COUNTIF('Shade Match'!$C$5:$C$304,B77)=0,"Pending",IF(COUNTIFS('Shade Match'!$C$5:$C$304,B77,'Shade Match'!$Q$5:$Q$304,"Failed")&gt;0,"Failed","Approved")))</f>
        <v/>
      </c>
      <c r="S77" s="19" t="str">
        <f>IF(B77="","",SUMIF('Fabric Inventory'!$C$5:$C$304,B77,'Fabric Inventory'!$H$5:$H$304))</f>
        <v/>
      </c>
      <c r="T77" s="19" t="str">
        <f>IF(B77="","",SUMIF('Fabric Inventory'!$C$5:$C$304,B77,'Fabric Inventory'!$K$5:$K$304))</f>
        <v/>
      </c>
      <c r="U77" s="19" t="str">
        <f>IF(B77="","",SUMIF('Fabric Inventory'!$C$5:$C$304,B77,'Fabric Inventory'!$L$5:$L$304))</f>
        <v/>
      </c>
      <c r="V77" s="19" t="str">
        <f>IF(B77="","",SUMIF('Fabric Inventory'!$C$5:$C$304,B77,'Fabric Inventory'!$N$5:$N$304))</f>
        <v/>
      </c>
      <c r="W77" s="19" t="str">
        <f>IF(B77="","",SUMIF('Fabric Inventory'!$C$5:$C$304,B77,'Fabric Inventory'!$O$5:$O$304))</f>
        <v/>
      </c>
    </row>
    <row r="78" spans="1:23">
      <c r="A78" s="7" t="str">
        <f>IF('FGPO Master'!A72="","",'FGPO Master'!E72)</f>
        <v/>
      </c>
      <c r="B78" s="7" t="str">
        <f>IF('FGPO Master'!A72="","",IF('FGPO Master'!D72="FGPO Pending","FGPO Pending",'FGPO Master'!B72))</f>
        <v/>
      </c>
      <c r="C78" s="7" t="str">
        <f>IF('FGPO Master'!A72="","",'FGPO Master'!D72)</f>
        <v/>
      </c>
      <c r="D78" s="7" t="str">
        <f>IF('FGPO Master'!A72="","",'FGPO Master'!F72)</f>
        <v/>
      </c>
      <c r="E78" s="7" t="str">
        <f>IF('FGPO Master'!A72="","",'FGPO Master'!G72)</f>
        <v/>
      </c>
      <c r="F78" s="19" t="str">
        <f>IF('FGPO Master'!A72="","",'FGPO Master'!H72)</f>
        <v/>
      </c>
      <c r="G78" s="19" t="str">
        <f>IF('FGPO Master'!A72="","",'FGPO Master'!M72)</f>
        <v/>
      </c>
      <c r="H78" s="19" t="str">
        <f>IF(B78="","",SUMIF('Fabric Requirement'!$B$5:$B$304,B78,'Fabric Requirement'!$M$5:$M$304)+SUMIF('Fabric Requirement'!$B$5:$B$304,B78,'Fabric Requirement'!$O$5:$O$304))</f>
        <v/>
      </c>
      <c r="I78" s="19" t="str">
        <f>IF(B78="","",SUMIF('Fabric PO'!$B$5:$B$304,B78,'Fabric PO'!$H$5:$H$304))</f>
        <v/>
      </c>
      <c r="J78" s="19" t="str">
        <f>IF(B78="","",SUMIF('Mill Production'!$C$5:$C$304,B78,'Mill Production'!$I$5:$I$304))</f>
        <v/>
      </c>
      <c r="K78" s="7" t="str">
        <f>IF(B78="","",IF(COUNTIF('Mill Test'!$C$5:$C$304,B78)=0,"Pending",IF(COUNTIFS('Mill Test'!$C$5:$C$304,B78,'Mill Test'!$T$5:$T$304,"Failed")&gt;0,"Failed","Passed")))</f>
        <v/>
      </c>
      <c r="L78" s="19" t="str">
        <f>IF(B78="","",SUMIF('Fabric Shipment'!$C$5:$C$304,B78,'Fabric Shipment'!$G$5:$G$304))</f>
        <v/>
      </c>
      <c r="M78" s="19" t="str">
        <f>IF(B78="","",SUMIF('Fabric Shipment'!$C$5:$C$304,B78,'Fabric Shipment'!$R$5:$R$304))</f>
        <v/>
      </c>
      <c r="N78" s="19" t="str">
        <f>IF(B78="","",SUMIF('Fabric Receiving'!$E$5:$E$304,B78,'Fabric Receiving'!$H$5:$H$304))</f>
        <v/>
      </c>
      <c r="O78" s="19" t="str">
        <f>IF(B78="","",SUMIF('Fabric Receiving'!$E$5:$E$304,B78,'Fabric Receiving'!$I$5:$I$304))</f>
        <v/>
      </c>
      <c r="P78" s="7" t="str">
        <f>IF(B78="","",IF(COUNTIF('Four-Point'!$E$5:$E$304,B78)=0,"Pending",IF(COUNTIFS('Four-Point'!$E$5:$E$304,B78,'Four-Point'!$T$5:$T$304,"Failed")&gt;0,"Failed","Passed")))</f>
        <v/>
      </c>
      <c r="Q78" s="7" t="str">
        <f>IF(B78="","",IF(COUNTIF('Internal Test'!$D$5:$D$304,B78)=0,"Pending",IF(COUNTIFS('Internal Test'!$D$5:$D$304,B78,'Internal Test'!$AA$5:$AA$304,"Failed")&gt;0,"Failed","Passed")))</f>
        <v/>
      </c>
      <c r="R78" s="7" t="str">
        <f>IF(B78="","",IF(COUNTIF('Shade Match'!$C$5:$C$304,B78)=0,"Pending",IF(COUNTIFS('Shade Match'!$C$5:$C$304,B78,'Shade Match'!$Q$5:$Q$304,"Failed")&gt;0,"Failed","Approved")))</f>
        <v/>
      </c>
      <c r="S78" s="19" t="str">
        <f>IF(B78="","",SUMIF('Fabric Inventory'!$C$5:$C$304,B78,'Fabric Inventory'!$H$5:$H$304))</f>
        <v/>
      </c>
      <c r="T78" s="19" t="str">
        <f>IF(B78="","",SUMIF('Fabric Inventory'!$C$5:$C$304,B78,'Fabric Inventory'!$K$5:$K$304))</f>
        <v/>
      </c>
      <c r="U78" s="19" t="str">
        <f>IF(B78="","",SUMIF('Fabric Inventory'!$C$5:$C$304,B78,'Fabric Inventory'!$L$5:$L$304))</f>
        <v/>
      </c>
      <c r="V78" s="19" t="str">
        <f>IF(B78="","",SUMIF('Fabric Inventory'!$C$5:$C$304,B78,'Fabric Inventory'!$N$5:$N$304))</f>
        <v/>
      </c>
      <c r="W78" s="19" t="str">
        <f>IF(B78="","",SUMIF('Fabric Inventory'!$C$5:$C$304,B78,'Fabric Inventory'!$O$5:$O$304))</f>
        <v/>
      </c>
    </row>
    <row r="79" spans="1:23">
      <c r="A79" s="7" t="str">
        <f>IF('FGPO Master'!A73="","",'FGPO Master'!E73)</f>
        <v/>
      </c>
      <c r="B79" s="7" t="str">
        <f>IF('FGPO Master'!A73="","",IF('FGPO Master'!D73="FGPO Pending","FGPO Pending",'FGPO Master'!B73))</f>
        <v/>
      </c>
      <c r="C79" s="7" t="str">
        <f>IF('FGPO Master'!A73="","",'FGPO Master'!D73)</f>
        <v/>
      </c>
      <c r="D79" s="7" t="str">
        <f>IF('FGPO Master'!A73="","",'FGPO Master'!F73)</f>
        <v/>
      </c>
      <c r="E79" s="7" t="str">
        <f>IF('FGPO Master'!A73="","",'FGPO Master'!G73)</f>
        <v/>
      </c>
      <c r="F79" s="19" t="str">
        <f>IF('FGPO Master'!A73="","",'FGPO Master'!H73)</f>
        <v/>
      </c>
      <c r="G79" s="19" t="str">
        <f>IF('FGPO Master'!A73="","",'FGPO Master'!M73)</f>
        <v/>
      </c>
      <c r="H79" s="19" t="str">
        <f>IF(B79="","",SUMIF('Fabric Requirement'!$B$5:$B$304,B79,'Fabric Requirement'!$M$5:$M$304)+SUMIF('Fabric Requirement'!$B$5:$B$304,B79,'Fabric Requirement'!$O$5:$O$304))</f>
        <v/>
      </c>
      <c r="I79" s="19" t="str">
        <f>IF(B79="","",SUMIF('Fabric PO'!$B$5:$B$304,B79,'Fabric PO'!$H$5:$H$304))</f>
        <v/>
      </c>
      <c r="J79" s="19" t="str">
        <f>IF(B79="","",SUMIF('Mill Production'!$C$5:$C$304,B79,'Mill Production'!$I$5:$I$304))</f>
        <v/>
      </c>
      <c r="K79" s="7" t="str">
        <f>IF(B79="","",IF(COUNTIF('Mill Test'!$C$5:$C$304,B79)=0,"Pending",IF(COUNTIFS('Mill Test'!$C$5:$C$304,B79,'Mill Test'!$T$5:$T$304,"Failed")&gt;0,"Failed","Passed")))</f>
        <v/>
      </c>
      <c r="L79" s="19" t="str">
        <f>IF(B79="","",SUMIF('Fabric Shipment'!$C$5:$C$304,B79,'Fabric Shipment'!$G$5:$G$304))</f>
        <v/>
      </c>
      <c r="M79" s="19" t="str">
        <f>IF(B79="","",SUMIF('Fabric Shipment'!$C$5:$C$304,B79,'Fabric Shipment'!$R$5:$R$304))</f>
        <v/>
      </c>
      <c r="N79" s="19" t="str">
        <f>IF(B79="","",SUMIF('Fabric Receiving'!$E$5:$E$304,B79,'Fabric Receiving'!$H$5:$H$304))</f>
        <v/>
      </c>
      <c r="O79" s="19" t="str">
        <f>IF(B79="","",SUMIF('Fabric Receiving'!$E$5:$E$304,B79,'Fabric Receiving'!$I$5:$I$304))</f>
        <v/>
      </c>
      <c r="P79" s="7" t="str">
        <f>IF(B79="","",IF(COUNTIF('Four-Point'!$E$5:$E$304,B79)=0,"Pending",IF(COUNTIFS('Four-Point'!$E$5:$E$304,B79,'Four-Point'!$T$5:$T$304,"Failed")&gt;0,"Failed","Passed")))</f>
        <v/>
      </c>
      <c r="Q79" s="7" t="str">
        <f>IF(B79="","",IF(COUNTIF('Internal Test'!$D$5:$D$304,B79)=0,"Pending",IF(COUNTIFS('Internal Test'!$D$5:$D$304,B79,'Internal Test'!$AA$5:$AA$304,"Failed")&gt;0,"Failed","Passed")))</f>
        <v/>
      </c>
      <c r="R79" s="7" t="str">
        <f>IF(B79="","",IF(COUNTIF('Shade Match'!$C$5:$C$304,B79)=0,"Pending",IF(COUNTIFS('Shade Match'!$C$5:$C$304,B79,'Shade Match'!$Q$5:$Q$304,"Failed")&gt;0,"Failed","Approved")))</f>
        <v/>
      </c>
      <c r="S79" s="19" t="str">
        <f>IF(B79="","",SUMIF('Fabric Inventory'!$C$5:$C$304,B79,'Fabric Inventory'!$H$5:$H$304))</f>
        <v/>
      </c>
      <c r="T79" s="19" t="str">
        <f>IF(B79="","",SUMIF('Fabric Inventory'!$C$5:$C$304,B79,'Fabric Inventory'!$K$5:$K$304))</f>
        <v/>
      </c>
      <c r="U79" s="19" t="str">
        <f>IF(B79="","",SUMIF('Fabric Inventory'!$C$5:$C$304,B79,'Fabric Inventory'!$L$5:$L$304))</f>
        <v/>
      </c>
      <c r="V79" s="19" t="str">
        <f>IF(B79="","",SUMIF('Fabric Inventory'!$C$5:$C$304,B79,'Fabric Inventory'!$N$5:$N$304))</f>
        <v/>
      </c>
      <c r="W79" s="19" t="str">
        <f>IF(B79="","",SUMIF('Fabric Inventory'!$C$5:$C$304,B79,'Fabric Inventory'!$O$5:$O$304))</f>
        <v/>
      </c>
    </row>
    <row r="80" spans="1:23">
      <c r="A80" s="7" t="str">
        <f>IF('FGPO Master'!A74="","",'FGPO Master'!E74)</f>
        <v/>
      </c>
      <c r="B80" s="7" t="str">
        <f>IF('FGPO Master'!A74="","",IF('FGPO Master'!D74="FGPO Pending","FGPO Pending",'FGPO Master'!B74))</f>
        <v/>
      </c>
      <c r="C80" s="7" t="str">
        <f>IF('FGPO Master'!A74="","",'FGPO Master'!D74)</f>
        <v/>
      </c>
      <c r="D80" s="7" t="str">
        <f>IF('FGPO Master'!A74="","",'FGPO Master'!F74)</f>
        <v/>
      </c>
      <c r="E80" s="7" t="str">
        <f>IF('FGPO Master'!A74="","",'FGPO Master'!G74)</f>
        <v/>
      </c>
      <c r="F80" s="19" t="str">
        <f>IF('FGPO Master'!A74="","",'FGPO Master'!H74)</f>
        <v/>
      </c>
      <c r="G80" s="19" t="str">
        <f>IF('FGPO Master'!A74="","",'FGPO Master'!M74)</f>
        <v/>
      </c>
      <c r="H80" s="19" t="str">
        <f>IF(B80="","",SUMIF('Fabric Requirement'!$B$5:$B$304,B80,'Fabric Requirement'!$M$5:$M$304)+SUMIF('Fabric Requirement'!$B$5:$B$304,B80,'Fabric Requirement'!$O$5:$O$304))</f>
        <v/>
      </c>
      <c r="I80" s="19" t="str">
        <f>IF(B80="","",SUMIF('Fabric PO'!$B$5:$B$304,B80,'Fabric PO'!$H$5:$H$304))</f>
        <v/>
      </c>
      <c r="J80" s="19" t="str">
        <f>IF(B80="","",SUMIF('Mill Production'!$C$5:$C$304,B80,'Mill Production'!$I$5:$I$304))</f>
        <v/>
      </c>
      <c r="K80" s="7" t="str">
        <f>IF(B80="","",IF(COUNTIF('Mill Test'!$C$5:$C$304,B80)=0,"Pending",IF(COUNTIFS('Mill Test'!$C$5:$C$304,B80,'Mill Test'!$T$5:$T$304,"Failed")&gt;0,"Failed","Passed")))</f>
        <v/>
      </c>
      <c r="L80" s="19" t="str">
        <f>IF(B80="","",SUMIF('Fabric Shipment'!$C$5:$C$304,B80,'Fabric Shipment'!$G$5:$G$304))</f>
        <v/>
      </c>
      <c r="M80" s="19" t="str">
        <f>IF(B80="","",SUMIF('Fabric Shipment'!$C$5:$C$304,B80,'Fabric Shipment'!$R$5:$R$304))</f>
        <v/>
      </c>
      <c r="N80" s="19" t="str">
        <f>IF(B80="","",SUMIF('Fabric Receiving'!$E$5:$E$304,B80,'Fabric Receiving'!$H$5:$H$304))</f>
        <v/>
      </c>
      <c r="O80" s="19" t="str">
        <f>IF(B80="","",SUMIF('Fabric Receiving'!$E$5:$E$304,B80,'Fabric Receiving'!$I$5:$I$304))</f>
        <v/>
      </c>
      <c r="P80" s="7" t="str">
        <f>IF(B80="","",IF(COUNTIF('Four-Point'!$E$5:$E$304,B80)=0,"Pending",IF(COUNTIFS('Four-Point'!$E$5:$E$304,B80,'Four-Point'!$T$5:$T$304,"Failed")&gt;0,"Failed","Passed")))</f>
        <v/>
      </c>
      <c r="Q80" s="7" t="str">
        <f>IF(B80="","",IF(COUNTIF('Internal Test'!$D$5:$D$304,B80)=0,"Pending",IF(COUNTIFS('Internal Test'!$D$5:$D$304,B80,'Internal Test'!$AA$5:$AA$304,"Failed")&gt;0,"Failed","Passed")))</f>
        <v/>
      </c>
      <c r="R80" s="7" t="str">
        <f>IF(B80="","",IF(COUNTIF('Shade Match'!$C$5:$C$304,B80)=0,"Pending",IF(COUNTIFS('Shade Match'!$C$5:$C$304,B80,'Shade Match'!$Q$5:$Q$304,"Failed")&gt;0,"Failed","Approved")))</f>
        <v/>
      </c>
      <c r="S80" s="19" t="str">
        <f>IF(B80="","",SUMIF('Fabric Inventory'!$C$5:$C$304,B80,'Fabric Inventory'!$H$5:$H$304))</f>
        <v/>
      </c>
      <c r="T80" s="19" t="str">
        <f>IF(B80="","",SUMIF('Fabric Inventory'!$C$5:$C$304,B80,'Fabric Inventory'!$K$5:$K$304))</f>
        <v/>
      </c>
      <c r="U80" s="19" t="str">
        <f>IF(B80="","",SUMIF('Fabric Inventory'!$C$5:$C$304,B80,'Fabric Inventory'!$L$5:$L$304))</f>
        <v/>
      </c>
      <c r="V80" s="19" t="str">
        <f>IF(B80="","",SUMIF('Fabric Inventory'!$C$5:$C$304,B80,'Fabric Inventory'!$N$5:$N$304))</f>
        <v/>
      </c>
      <c r="W80" s="19" t="str">
        <f>IF(B80="","",SUMIF('Fabric Inventory'!$C$5:$C$304,B80,'Fabric Inventory'!$O$5:$O$304))</f>
        <v/>
      </c>
    </row>
    <row r="81" spans="1:23">
      <c r="A81" s="7" t="str">
        <f>IF('FGPO Master'!A75="","",'FGPO Master'!E75)</f>
        <v/>
      </c>
      <c r="B81" s="7" t="str">
        <f>IF('FGPO Master'!A75="","",IF('FGPO Master'!D75="FGPO Pending","FGPO Pending",'FGPO Master'!B75))</f>
        <v/>
      </c>
      <c r="C81" s="7" t="str">
        <f>IF('FGPO Master'!A75="","",'FGPO Master'!D75)</f>
        <v/>
      </c>
      <c r="D81" s="7" t="str">
        <f>IF('FGPO Master'!A75="","",'FGPO Master'!F75)</f>
        <v/>
      </c>
      <c r="E81" s="7" t="str">
        <f>IF('FGPO Master'!A75="","",'FGPO Master'!G75)</f>
        <v/>
      </c>
      <c r="F81" s="19" t="str">
        <f>IF('FGPO Master'!A75="","",'FGPO Master'!H75)</f>
        <v/>
      </c>
      <c r="G81" s="19" t="str">
        <f>IF('FGPO Master'!A75="","",'FGPO Master'!M75)</f>
        <v/>
      </c>
      <c r="H81" s="19" t="str">
        <f>IF(B81="","",SUMIF('Fabric Requirement'!$B$5:$B$304,B81,'Fabric Requirement'!$M$5:$M$304)+SUMIF('Fabric Requirement'!$B$5:$B$304,B81,'Fabric Requirement'!$O$5:$O$304))</f>
        <v/>
      </c>
      <c r="I81" s="19" t="str">
        <f>IF(B81="","",SUMIF('Fabric PO'!$B$5:$B$304,B81,'Fabric PO'!$H$5:$H$304))</f>
        <v/>
      </c>
      <c r="J81" s="19" t="str">
        <f>IF(B81="","",SUMIF('Mill Production'!$C$5:$C$304,B81,'Mill Production'!$I$5:$I$304))</f>
        <v/>
      </c>
      <c r="K81" s="7" t="str">
        <f>IF(B81="","",IF(COUNTIF('Mill Test'!$C$5:$C$304,B81)=0,"Pending",IF(COUNTIFS('Mill Test'!$C$5:$C$304,B81,'Mill Test'!$T$5:$T$304,"Failed")&gt;0,"Failed","Passed")))</f>
        <v/>
      </c>
      <c r="L81" s="19" t="str">
        <f>IF(B81="","",SUMIF('Fabric Shipment'!$C$5:$C$304,B81,'Fabric Shipment'!$G$5:$G$304))</f>
        <v/>
      </c>
      <c r="M81" s="19" t="str">
        <f>IF(B81="","",SUMIF('Fabric Shipment'!$C$5:$C$304,B81,'Fabric Shipment'!$R$5:$R$304))</f>
        <v/>
      </c>
      <c r="N81" s="19" t="str">
        <f>IF(B81="","",SUMIF('Fabric Receiving'!$E$5:$E$304,B81,'Fabric Receiving'!$H$5:$H$304))</f>
        <v/>
      </c>
      <c r="O81" s="19" t="str">
        <f>IF(B81="","",SUMIF('Fabric Receiving'!$E$5:$E$304,B81,'Fabric Receiving'!$I$5:$I$304))</f>
        <v/>
      </c>
      <c r="P81" s="7" t="str">
        <f>IF(B81="","",IF(COUNTIF('Four-Point'!$E$5:$E$304,B81)=0,"Pending",IF(COUNTIFS('Four-Point'!$E$5:$E$304,B81,'Four-Point'!$T$5:$T$304,"Failed")&gt;0,"Failed","Passed")))</f>
        <v/>
      </c>
      <c r="Q81" s="7" t="str">
        <f>IF(B81="","",IF(COUNTIF('Internal Test'!$D$5:$D$304,B81)=0,"Pending",IF(COUNTIFS('Internal Test'!$D$5:$D$304,B81,'Internal Test'!$AA$5:$AA$304,"Failed")&gt;0,"Failed","Passed")))</f>
        <v/>
      </c>
      <c r="R81" s="7" t="str">
        <f>IF(B81="","",IF(COUNTIF('Shade Match'!$C$5:$C$304,B81)=0,"Pending",IF(COUNTIFS('Shade Match'!$C$5:$C$304,B81,'Shade Match'!$Q$5:$Q$304,"Failed")&gt;0,"Failed","Approved")))</f>
        <v/>
      </c>
      <c r="S81" s="19" t="str">
        <f>IF(B81="","",SUMIF('Fabric Inventory'!$C$5:$C$304,B81,'Fabric Inventory'!$H$5:$H$304))</f>
        <v/>
      </c>
      <c r="T81" s="19" t="str">
        <f>IF(B81="","",SUMIF('Fabric Inventory'!$C$5:$C$304,B81,'Fabric Inventory'!$K$5:$K$304))</f>
        <v/>
      </c>
      <c r="U81" s="19" t="str">
        <f>IF(B81="","",SUMIF('Fabric Inventory'!$C$5:$C$304,B81,'Fabric Inventory'!$L$5:$L$304))</f>
        <v/>
      </c>
      <c r="V81" s="19" t="str">
        <f>IF(B81="","",SUMIF('Fabric Inventory'!$C$5:$C$304,B81,'Fabric Inventory'!$N$5:$N$304))</f>
        <v/>
      </c>
      <c r="W81" s="19" t="str">
        <f>IF(B81="","",SUMIF('Fabric Inventory'!$C$5:$C$304,B81,'Fabric Inventory'!$O$5:$O$304))</f>
        <v/>
      </c>
    </row>
    <row r="82" spans="1:23">
      <c r="A82" s="7" t="str">
        <f>IF('FGPO Master'!A76="","",'FGPO Master'!E76)</f>
        <v/>
      </c>
      <c r="B82" s="7" t="str">
        <f>IF('FGPO Master'!A76="","",IF('FGPO Master'!D76="FGPO Pending","FGPO Pending",'FGPO Master'!B76))</f>
        <v/>
      </c>
      <c r="C82" s="7" t="str">
        <f>IF('FGPO Master'!A76="","",'FGPO Master'!D76)</f>
        <v/>
      </c>
      <c r="D82" s="7" t="str">
        <f>IF('FGPO Master'!A76="","",'FGPO Master'!F76)</f>
        <v/>
      </c>
      <c r="E82" s="7" t="str">
        <f>IF('FGPO Master'!A76="","",'FGPO Master'!G76)</f>
        <v/>
      </c>
      <c r="F82" s="19" t="str">
        <f>IF('FGPO Master'!A76="","",'FGPO Master'!H76)</f>
        <v/>
      </c>
      <c r="G82" s="19" t="str">
        <f>IF('FGPO Master'!A76="","",'FGPO Master'!M76)</f>
        <v/>
      </c>
      <c r="H82" s="19" t="str">
        <f>IF(B82="","",SUMIF('Fabric Requirement'!$B$5:$B$304,B82,'Fabric Requirement'!$M$5:$M$304)+SUMIF('Fabric Requirement'!$B$5:$B$304,B82,'Fabric Requirement'!$O$5:$O$304))</f>
        <v/>
      </c>
      <c r="I82" s="19" t="str">
        <f>IF(B82="","",SUMIF('Fabric PO'!$B$5:$B$304,B82,'Fabric PO'!$H$5:$H$304))</f>
        <v/>
      </c>
      <c r="J82" s="19" t="str">
        <f>IF(B82="","",SUMIF('Mill Production'!$C$5:$C$304,B82,'Mill Production'!$I$5:$I$304))</f>
        <v/>
      </c>
      <c r="K82" s="7" t="str">
        <f>IF(B82="","",IF(COUNTIF('Mill Test'!$C$5:$C$304,B82)=0,"Pending",IF(COUNTIFS('Mill Test'!$C$5:$C$304,B82,'Mill Test'!$T$5:$T$304,"Failed")&gt;0,"Failed","Passed")))</f>
        <v/>
      </c>
      <c r="L82" s="19" t="str">
        <f>IF(B82="","",SUMIF('Fabric Shipment'!$C$5:$C$304,B82,'Fabric Shipment'!$G$5:$G$304))</f>
        <v/>
      </c>
      <c r="M82" s="19" t="str">
        <f>IF(B82="","",SUMIF('Fabric Shipment'!$C$5:$C$304,B82,'Fabric Shipment'!$R$5:$R$304))</f>
        <v/>
      </c>
      <c r="N82" s="19" t="str">
        <f>IF(B82="","",SUMIF('Fabric Receiving'!$E$5:$E$304,B82,'Fabric Receiving'!$H$5:$H$304))</f>
        <v/>
      </c>
      <c r="O82" s="19" t="str">
        <f>IF(B82="","",SUMIF('Fabric Receiving'!$E$5:$E$304,B82,'Fabric Receiving'!$I$5:$I$304))</f>
        <v/>
      </c>
      <c r="P82" s="7" t="str">
        <f>IF(B82="","",IF(COUNTIF('Four-Point'!$E$5:$E$304,B82)=0,"Pending",IF(COUNTIFS('Four-Point'!$E$5:$E$304,B82,'Four-Point'!$T$5:$T$304,"Failed")&gt;0,"Failed","Passed")))</f>
        <v/>
      </c>
      <c r="Q82" s="7" t="str">
        <f>IF(B82="","",IF(COUNTIF('Internal Test'!$D$5:$D$304,B82)=0,"Pending",IF(COUNTIFS('Internal Test'!$D$5:$D$304,B82,'Internal Test'!$AA$5:$AA$304,"Failed")&gt;0,"Failed","Passed")))</f>
        <v/>
      </c>
      <c r="R82" s="7" t="str">
        <f>IF(B82="","",IF(COUNTIF('Shade Match'!$C$5:$C$304,B82)=0,"Pending",IF(COUNTIFS('Shade Match'!$C$5:$C$304,B82,'Shade Match'!$Q$5:$Q$304,"Failed")&gt;0,"Failed","Approved")))</f>
        <v/>
      </c>
      <c r="S82" s="19" t="str">
        <f>IF(B82="","",SUMIF('Fabric Inventory'!$C$5:$C$304,B82,'Fabric Inventory'!$H$5:$H$304))</f>
        <v/>
      </c>
      <c r="T82" s="19" t="str">
        <f>IF(B82="","",SUMIF('Fabric Inventory'!$C$5:$C$304,B82,'Fabric Inventory'!$K$5:$K$304))</f>
        <v/>
      </c>
      <c r="U82" s="19" t="str">
        <f>IF(B82="","",SUMIF('Fabric Inventory'!$C$5:$C$304,B82,'Fabric Inventory'!$L$5:$L$304))</f>
        <v/>
      </c>
      <c r="V82" s="19" t="str">
        <f>IF(B82="","",SUMIF('Fabric Inventory'!$C$5:$C$304,B82,'Fabric Inventory'!$N$5:$N$304))</f>
        <v/>
      </c>
      <c r="W82" s="19" t="str">
        <f>IF(B82="","",SUMIF('Fabric Inventory'!$C$5:$C$304,B82,'Fabric Inventory'!$O$5:$O$304))</f>
        <v/>
      </c>
    </row>
    <row r="83" spans="1:23">
      <c r="A83" s="7" t="str">
        <f>IF('FGPO Master'!A77="","",'FGPO Master'!E77)</f>
        <v/>
      </c>
      <c r="B83" s="7" t="str">
        <f>IF('FGPO Master'!A77="","",IF('FGPO Master'!D77="FGPO Pending","FGPO Pending",'FGPO Master'!B77))</f>
        <v/>
      </c>
      <c r="C83" s="7" t="str">
        <f>IF('FGPO Master'!A77="","",'FGPO Master'!D77)</f>
        <v/>
      </c>
      <c r="D83" s="7" t="str">
        <f>IF('FGPO Master'!A77="","",'FGPO Master'!F77)</f>
        <v/>
      </c>
      <c r="E83" s="7" t="str">
        <f>IF('FGPO Master'!A77="","",'FGPO Master'!G77)</f>
        <v/>
      </c>
      <c r="F83" s="19" t="str">
        <f>IF('FGPO Master'!A77="","",'FGPO Master'!H77)</f>
        <v/>
      </c>
      <c r="G83" s="19" t="str">
        <f>IF('FGPO Master'!A77="","",'FGPO Master'!M77)</f>
        <v/>
      </c>
      <c r="H83" s="19" t="str">
        <f>IF(B83="","",SUMIF('Fabric Requirement'!$B$5:$B$304,B83,'Fabric Requirement'!$M$5:$M$304)+SUMIF('Fabric Requirement'!$B$5:$B$304,B83,'Fabric Requirement'!$O$5:$O$304))</f>
        <v/>
      </c>
      <c r="I83" s="19" t="str">
        <f>IF(B83="","",SUMIF('Fabric PO'!$B$5:$B$304,B83,'Fabric PO'!$H$5:$H$304))</f>
        <v/>
      </c>
      <c r="J83" s="19" t="str">
        <f>IF(B83="","",SUMIF('Mill Production'!$C$5:$C$304,B83,'Mill Production'!$I$5:$I$304))</f>
        <v/>
      </c>
      <c r="K83" s="7" t="str">
        <f>IF(B83="","",IF(COUNTIF('Mill Test'!$C$5:$C$304,B83)=0,"Pending",IF(COUNTIFS('Mill Test'!$C$5:$C$304,B83,'Mill Test'!$T$5:$T$304,"Failed")&gt;0,"Failed","Passed")))</f>
        <v/>
      </c>
      <c r="L83" s="19" t="str">
        <f>IF(B83="","",SUMIF('Fabric Shipment'!$C$5:$C$304,B83,'Fabric Shipment'!$G$5:$G$304))</f>
        <v/>
      </c>
      <c r="M83" s="19" t="str">
        <f>IF(B83="","",SUMIF('Fabric Shipment'!$C$5:$C$304,B83,'Fabric Shipment'!$R$5:$R$304))</f>
        <v/>
      </c>
      <c r="N83" s="19" t="str">
        <f>IF(B83="","",SUMIF('Fabric Receiving'!$E$5:$E$304,B83,'Fabric Receiving'!$H$5:$H$304))</f>
        <v/>
      </c>
      <c r="O83" s="19" t="str">
        <f>IF(B83="","",SUMIF('Fabric Receiving'!$E$5:$E$304,B83,'Fabric Receiving'!$I$5:$I$304))</f>
        <v/>
      </c>
      <c r="P83" s="7" t="str">
        <f>IF(B83="","",IF(COUNTIF('Four-Point'!$E$5:$E$304,B83)=0,"Pending",IF(COUNTIFS('Four-Point'!$E$5:$E$304,B83,'Four-Point'!$T$5:$T$304,"Failed")&gt;0,"Failed","Passed")))</f>
        <v/>
      </c>
      <c r="Q83" s="7" t="str">
        <f>IF(B83="","",IF(COUNTIF('Internal Test'!$D$5:$D$304,B83)=0,"Pending",IF(COUNTIFS('Internal Test'!$D$5:$D$304,B83,'Internal Test'!$AA$5:$AA$304,"Failed")&gt;0,"Failed","Passed")))</f>
        <v/>
      </c>
      <c r="R83" s="7" t="str">
        <f>IF(B83="","",IF(COUNTIF('Shade Match'!$C$5:$C$304,B83)=0,"Pending",IF(COUNTIFS('Shade Match'!$C$5:$C$304,B83,'Shade Match'!$Q$5:$Q$304,"Failed")&gt;0,"Failed","Approved")))</f>
        <v/>
      </c>
      <c r="S83" s="19" t="str">
        <f>IF(B83="","",SUMIF('Fabric Inventory'!$C$5:$C$304,B83,'Fabric Inventory'!$H$5:$H$304))</f>
        <v/>
      </c>
      <c r="T83" s="19" t="str">
        <f>IF(B83="","",SUMIF('Fabric Inventory'!$C$5:$C$304,B83,'Fabric Inventory'!$K$5:$K$304))</f>
        <v/>
      </c>
      <c r="U83" s="19" t="str">
        <f>IF(B83="","",SUMIF('Fabric Inventory'!$C$5:$C$304,B83,'Fabric Inventory'!$L$5:$L$304))</f>
        <v/>
      </c>
      <c r="V83" s="19" t="str">
        <f>IF(B83="","",SUMIF('Fabric Inventory'!$C$5:$C$304,B83,'Fabric Inventory'!$N$5:$N$304))</f>
        <v/>
      </c>
      <c r="W83" s="19" t="str">
        <f>IF(B83="","",SUMIF('Fabric Inventory'!$C$5:$C$304,B83,'Fabric Inventory'!$O$5:$O$304))</f>
        <v/>
      </c>
    </row>
    <row r="84" spans="1:23">
      <c r="A84" s="7" t="str">
        <f>IF('FGPO Master'!A78="","",'FGPO Master'!E78)</f>
        <v/>
      </c>
      <c r="B84" s="7" t="str">
        <f>IF('FGPO Master'!A78="","",IF('FGPO Master'!D78="FGPO Pending","FGPO Pending",'FGPO Master'!B78))</f>
        <v/>
      </c>
      <c r="C84" s="7" t="str">
        <f>IF('FGPO Master'!A78="","",'FGPO Master'!D78)</f>
        <v/>
      </c>
      <c r="D84" s="7" t="str">
        <f>IF('FGPO Master'!A78="","",'FGPO Master'!F78)</f>
        <v/>
      </c>
      <c r="E84" s="7" t="str">
        <f>IF('FGPO Master'!A78="","",'FGPO Master'!G78)</f>
        <v/>
      </c>
      <c r="F84" s="19" t="str">
        <f>IF('FGPO Master'!A78="","",'FGPO Master'!H78)</f>
        <v/>
      </c>
      <c r="G84" s="19" t="str">
        <f>IF('FGPO Master'!A78="","",'FGPO Master'!M78)</f>
        <v/>
      </c>
      <c r="H84" s="19" t="str">
        <f>IF(B84="","",SUMIF('Fabric Requirement'!$B$5:$B$304,B84,'Fabric Requirement'!$M$5:$M$304)+SUMIF('Fabric Requirement'!$B$5:$B$304,B84,'Fabric Requirement'!$O$5:$O$304))</f>
        <v/>
      </c>
      <c r="I84" s="19" t="str">
        <f>IF(B84="","",SUMIF('Fabric PO'!$B$5:$B$304,B84,'Fabric PO'!$H$5:$H$304))</f>
        <v/>
      </c>
      <c r="J84" s="19" t="str">
        <f>IF(B84="","",SUMIF('Mill Production'!$C$5:$C$304,B84,'Mill Production'!$I$5:$I$304))</f>
        <v/>
      </c>
      <c r="K84" s="7" t="str">
        <f>IF(B84="","",IF(COUNTIF('Mill Test'!$C$5:$C$304,B84)=0,"Pending",IF(COUNTIFS('Mill Test'!$C$5:$C$304,B84,'Mill Test'!$T$5:$T$304,"Failed")&gt;0,"Failed","Passed")))</f>
        <v/>
      </c>
      <c r="L84" s="19" t="str">
        <f>IF(B84="","",SUMIF('Fabric Shipment'!$C$5:$C$304,B84,'Fabric Shipment'!$G$5:$G$304))</f>
        <v/>
      </c>
      <c r="M84" s="19" t="str">
        <f>IF(B84="","",SUMIF('Fabric Shipment'!$C$5:$C$304,B84,'Fabric Shipment'!$R$5:$R$304))</f>
        <v/>
      </c>
      <c r="N84" s="19" t="str">
        <f>IF(B84="","",SUMIF('Fabric Receiving'!$E$5:$E$304,B84,'Fabric Receiving'!$H$5:$H$304))</f>
        <v/>
      </c>
      <c r="O84" s="19" t="str">
        <f>IF(B84="","",SUMIF('Fabric Receiving'!$E$5:$E$304,B84,'Fabric Receiving'!$I$5:$I$304))</f>
        <v/>
      </c>
      <c r="P84" s="7" t="str">
        <f>IF(B84="","",IF(COUNTIF('Four-Point'!$E$5:$E$304,B84)=0,"Pending",IF(COUNTIFS('Four-Point'!$E$5:$E$304,B84,'Four-Point'!$T$5:$T$304,"Failed")&gt;0,"Failed","Passed")))</f>
        <v/>
      </c>
      <c r="Q84" s="7" t="str">
        <f>IF(B84="","",IF(COUNTIF('Internal Test'!$D$5:$D$304,B84)=0,"Pending",IF(COUNTIFS('Internal Test'!$D$5:$D$304,B84,'Internal Test'!$AA$5:$AA$304,"Failed")&gt;0,"Failed","Passed")))</f>
        <v/>
      </c>
      <c r="R84" s="7" t="str">
        <f>IF(B84="","",IF(COUNTIF('Shade Match'!$C$5:$C$304,B84)=0,"Pending",IF(COUNTIFS('Shade Match'!$C$5:$C$304,B84,'Shade Match'!$Q$5:$Q$304,"Failed")&gt;0,"Failed","Approved")))</f>
        <v/>
      </c>
      <c r="S84" s="19" t="str">
        <f>IF(B84="","",SUMIF('Fabric Inventory'!$C$5:$C$304,B84,'Fabric Inventory'!$H$5:$H$304))</f>
        <v/>
      </c>
      <c r="T84" s="19" t="str">
        <f>IF(B84="","",SUMIF('Fabric Inventory'!$C$5:$C$304,B84,'Fabric Inventory'!$K$5:$K$304))</f>
        <v/>
      </c>
      <c r="U84" s="19" t="str">
        <f>IF(B84="","",SUMIF('Fabric Inventory'!$C$5:$C$304,B84,'Fabric Inventory'!$L$5:$L$304))</f>
        <v/>
      </c>
      <c r="V84" s="19" t="str">
        <f>IF(B84="","",SUMIF('Fabric Inventory'!$C$5:$C$304,B84,'Fabric Inventory'!$N$5:$N$304))</f>
        <v/>
      </c>
      <c r="W84" s="19" t="str">
        <f>IF(B84="","",SUMIF('Fabric Inventory'!$C$5:$C$304,B84,'Fabric Inventory'!$O$5:$O$304))</f>
        <v/>
      </c>
    </row>
    <row r="85" spans="1:23">
      <c r="A85" s="7" t="str">
        <f>IF('FGPO Master'!A79="","",'FGPO Master'!E79)</f>
        <v/>
      </c>
      <c r="B85" s="7" t="str">
        <f>IF('FGPO Master'!A79="","",IF('FGPO Master'!D79="FGPO Pending","FGPO Pending",'FGPO Master'!B79))</f>
        <v/>
      </c>
      <c r="C85" s="7" t="str">
        <f>IF('FGPO Master'!A79="","",'FGPO Master'!D79)</f>
        <v/>
      </c>
      <c r="D85" s="7" t="str">
        <f>IF('FGPO Master'!A79="","",'FGPO Master'!F79)</f>
        <v/>
      </c>
      <c r="E85" s="7" t="str">
        <f>IF('FGPO Master'!A79="","",'FGPO Master'!G79)</f>
        <v/>
      </c>
      <c r="F85" s="19" t="str">
        <f>IF('FGPO Master'!A79="","",'FGPO Master'!H79)</f>
        <v/>
      </c>
      <c r="G85" s="19" t="str">
        <f>IF('FGPO Master'!A79="","",'FGPO Master'!M79)</f>
        <v/>
      </c>
      <c r="H85" s="19" t="str">
        <f>IF(B85="","",SUMIF('Fabric Requirement'!$B$5:$B$304,B85,'Fabric Requirement'!$M$5:$M$304)+SUMIF('Fabric Requirement'!$B$5:$B$304,B85,'Fabric Requirement'!$O$5:$O$304))</f>
        <v/>
      </c>
      <c r="I85" s="19" t="str">
        <f>IF(B85="","",SUMIF('Fabric PO'!$B$5:$B$304,B85,'Fabric PO'!$H$5:$H$304))</f>
        <v/>
      </c>
      <c r="J85" s="19" t="str">
        <f>IF(B85="","",SUMIF('Mill Production'!$C$5:$C$304,B85,'Mill Production'!$I$5:$I$304))</f>
        <v/>
      </c>
      <c r="K85" s="7" t="str">
        <f>IF(B85="","",IF(COUNTIF('Mill Test'!$C$5:$C$304,B85)=0,"Pending",IF(COUNTIFS('Mill Test'!$C$5:$C$304,B85,'Mill Test'!$T$5:$T$304,"Failed")&gt;0,"Failed","Passed")))</f>
        <v/>
      </c>
      <c r="L85" s="19" t="str">
        <f>IF(B85="","",SUMIF('Fabric Shipment'!$C$5:$C$304,B85,'Fabric Shipment'!$G$5:$G$304))</f>
        <v/>
      </c>
      <c r="M85" s="19" t="str">
        <f>IF(B85="","",SUMIF('Fabric Shipment'!$C$5:$C$304,B85,'Fabric Shipment'!$R$5:$R$304))</f>
        <v/>
      </c>
      <c r="N85" s="19" t="str">
        <f>IF(B85="","",SUMIF('Fabric Receiving'!$E$5:$E$304,B85,'Fabric Receiving'!$H$5:$H$304))</f>
        <v/>
      </c>
      <c r="O85" s="19" t="str">
        <f>IF(B85="","",SUMIF('Fabric Receiving'!$E$5:$E$304,B85,'Fabric Receiving'!$I$5:$I$304))</f>
        <v/>
      </c>
      <c r="P85" s="7" t="str">
        <f>IF(B85="","",IF(COUNTIF('Four-Point'!$E$5:$E$304,B85)=0,"Pending",IF(COUNTIFS('Four-Point'!$E$5:$E$304,B85,'Four-Point'!$T$5:$T$304,"Failed")&gt;0,"Failed","Passed")))</f>
        <v/>
      </c>
      <c r="Q85" s="7" t="str">
        <f>IF(B85="","",IF(COUNTIF('Internal Test'!$D$5:$D$304,B85)=0,"Pending",IF(COUNTIFS('Internal Test'!$D$5:$D$304,B85,'Internal Test'!$AA$5:$AA$304,"Failed")&gt;0,"Failed","Passed")))</f>
        <v/>
      </c>
      <c r="R85" s="7" t="str">
        <f>IF(B85="","",IF(COUNTIF('Shade Match'!$C$5:$C$304,B85)=0,"Pending",IF(COUNTIFS('Shade Match'!$C$5:$C$304,B85,'Shade Match'!$Q$5:$Q$304,"Failed")&gt;0,"Failed","Approved")))</f>
        <v/>
      </c>
      <c r="S85" s="19" t="str">
        <f>IF(B85="","",SUMIF('Fabric Inventory'!$C$5:$C$304,B85,'Fabric Inventory'!$H$5:$H$304))</f>
        <v/>
      </c>
      <c r="T85" s="19" t="str">
        <f>IF(B85="","",SUMIF('Fabric Inventory'!$C$5:$C$304,B85,'Fabric Inventory'!$K$5:$K$304))</f>
        <v/>
      </c>
      <c r="U85" s="19" t="str">
        <f>IF(B85="","",SUMIF('Fabric Inventory'!$C$5:$C$304,B85,'Fabric Inventory'!$L$5:$L$304))</f>
        <v/>
      </c>
      <c r="V85" s="19" t="str">
        <f>IF(B85="","",SUMIF('Fabric Inventory'!$C$5:$C$304,B85,'Fabric Inventory'!$N$5:$N$304))</f>
        <v/>
      </c>
      <c r="W85" s="19" t="str">
        <f>IF(B85="","",SUMIF('Fabric Inventory'!$C$5:$C$304,B85,'Fabric Inventory'!$O$5:$O$304))</f>
        <v/>
      </c>
    </row>
    <row r="86" spans="1:23">
      <c r="A86" s="7" t="str">
        <f>IF('FGPO Master'!A80="","",'FGPO Master'!E80)</f>
        <v/>
      </c>
      <c r="B86" s="7" t="str">
        <f>IF('FGPO Master'!A80="","",IF('FGPO Master'!D80="FGPO Pending","FGPO Pending",'FGPO Master'!B80))</f>
        <v/>
      </c>
      <c r="C86" s="7" t="str">
        <f>IF('FGPO Master'!A80="","",'FGPO Master'!D80)</f>
        <v/>
      </c>
      <c r="D86" s="7" t="str">
        <f>IF('FGPO Master'!A80="","",'FGPO Master'!F80)</f>
        <v/>
      </c>
      <c r="E86" s="7" t="str">
        <f>IF('FGPO Master'!A80="","",'FGPO Master'!G80)</f>
        <v/>
      </c>
      <c r="F86" s="19" t="str">
        <f>IF('FGPO Master'!A80="","",'FGPO Master'!H80)</f>
        <v/>
      </c>
      <c r="G86" s="19" t="str">
        <f>IF('FGPO Master'!A80="","",'FGPO Master'!M80)</f>
        <v/>
      </c>
      <c r="H86" s="19" t="str">
        <f>IF(B86="","",SUMIF('Fabric Requirement'!$B$5:$B$304,B86,'Fabric Requirement'!$M$5:$M$304)+SUMIF('Fabric Requirement'!$B$5:$B$304,B86,'Fabric Requirement'!$O$5:$O$304))</f>
        <v/>
      </c>
      <c r="I86" s="19" t="str">
        <f>IF(B86="","",SUMIF('Fabric PO'!$B$5:$B$304,B86,'Fabric PO'!$H$5:$H$304))</f>
        <v/>
      </c>
      <c r="J86" s="19" t="str">
        <f>IF(B86="","",SUMIF('Mill Production'!$C$5:$C$304,B86,'Mill Production'!$I$5:$I$304))</f>
        <v/>
      </c>
      <c r="K86" s="7" t="str">
        <f>IF(B86="","",IF(COUNTIF('Mill Test'!$C$5:$C$304,B86)=0,"Pending",IF(COUNTIFS('Mill Test'!$C$5:$C$304,B86,'Mill Test'!$T$5:$T$304,"Failed")&gt;0,"Failed","Passed")))</f>
        <v/>
      </c>
      <c r="L86" s="19" t="str">
        <f>IF(B86="","",SUMIF('Fabric Shipment'!$C$5:$C$304,B86,'Fabric Shipment'!$G$5:$G$304))</f>
        <v/>
      </c>
      <c r="M86" s="19" t="str">
        <f>IF(B86="","",SUMIF('Fabric Shipment'!$C$5:$C$304,B86,'Fabric Shipment'!$R$5:$R$304))</f>
        <v/>
      </c>
      <c r="N86" s="19" t="str">
        <f>IF(B86="","",SUMIF('Fabric Receiving'!$E$5:$E$304,B86,'Fabric Receiving'!$H$5:$H$304))</f>
        <v/>
      </c>
      <c r="O86" s="19" t="str">
        <f>IF(B86="","",SUMIF('Fabric Receiving'!$E$5:$E$304,B86,'Fabric Receiving'!$I$5:$I$304))</f>
        <v/>
      </c>
      <c r="P86" s="7" t="str">
        <f>IF(B86="","",IF(COUNTIF('Four-Point'!$E$5:$E$304,B86)=0,"Pending",IF(COUNTIFS('Four-Point'!$E$5:$E$304,B86,'Four-Point'!$T$5:$T$304,"Failed")&gt;0,"Failed","Passed")))</f>
        <v/>
      </c>
      <c r="Q86" s="7" t="str">
        <f>IF(B86="","",IF(COUNTIF('Internal Test'!$D$5:$D$304,B86)=0,"Pending",IF(COUNTIFS('Internal Test'!$D$5:$D$304,B86,'Internal Test'!$AA$5:$AA$304,"Failed")&gt;0,"Failed","Passed")))</f>
        <v/>
      </c>
      <c r="R86" s="7" t="str">
        <f>IF(B86="","",IF(COUNTIF('Shade Match'!$C$5:$C$304,B86)=0,"Pending",IF(COUNTIFS('Shade Match'!$C$5:$C$304,B86,'Shade Match'!$Q$5:$Q$304,"Failed")&gt;0,"Failed","Approved")))</f>
        <v/>
      </c>
      <c r="S86" s="19" t="str">
        <f>IF(B86="","",SUMIF('Fabric Inventory'!$C$5:$C$304,B86,'Fabric Inventory'!$H$5:$H$304))</f>
        <v/>
      </c>
      <c r="T86" s="19" t="str">
        <f>IF(B86="","",SUMIF('Fabric Inventory'!$C$5:$C$304,B86,'Fabric Inventory'!$K$5:$K$304))</f>
        <v/>
      </c>
      <c r="U86" s="19" t="str">
        <f>IF(B86="","",SUMIF('Fabric Inventory'!$C$5:$C$304,B86,'Fabric Inventory'!$L$5:$L$304))</f>
        <v/>
      </c>
      <c r="V86" s="19" t="str">
        <f>IF(B86="","",SUMIF('Fabric Inventory'!$C$5:$C$304,B86,'Fabric Inventory'!$N$5:$N$304))</f>
        <v/>
      </c>
      <c r="W86" s="19" t="str">
        <f>IF(B86="","",SUMIF('Fabric Inventory'!$C$5:$C$304,B86,'Fabric Inventory'!$O$5:$O$304))</f>
        <v/>
      </c>
    </row>
    <row r="87" spans="1:23">
      <c r="A87" s="7" t="str">
        <f>IF('FGPO Master'!A81="","",'FGPO Master'!E81)</f>
        <v/>
      </c>
      <c r="B87" s="7" t="str">
        <f>IF('FGPO Master'!A81="","",IF('FGPO Master'!D81="FGPO Pending","FGPO Pending",'FGPO Master'!B81))</f>
        <v/>
      </c>
      <c r="C87" s="7" t="str">
        <f>IF('FGPO Master'!A81="","",'FGPO Master'!D81)</f>
        <v/>
      </c>
      <c r="D87" s="7" t="str">
        <f>IF('FGPO Master'!A81="","",'FGPO Master'!F81)</f>
        <v/>
      </c>
      <c r="E87" s="7" t="str">
        <f>IF('FGPO Master'!A81="","",'FGPO Master'!G81)</f>
        <v/>
      </c>
      <c r="F87" s="19" t="str">
        <f>IF('FGPO Master'!A81="","",'FGPO Master'!H81)</f>
        <v/>
      </c>
      <c r="G87" s="19" t="str">
        <f>IF('FGPO Master'!A81="","",'FGPO Master'!M81)</f>
        <v/>
      </c>
      <c r="H87" s="19" t="str">
        <f>IF(B87="","",SUMIF('Fabric Requirement'!$B$5:$B$304,B87,'Fabric Requirement'!$M$5:$M$304)+SUMIF('Fabric Requirement'!$B$5:$B$304,B87,'Fabric Requirement'!$O$5:$O$304))</f>
        <v/>
      </c>
      <c r="I87" s="19" t="str">
        <f>IF(B87="","",SUMIF('Fabric PO'!$B$5:$B$304,B87,'Fabric PO'!$H$5:$H$304))</f>
        <v/>
      </c>
      <c r="J87" s="19" t="str">
        <f>IF(B87="","",SUMIF('Mill Production'!$C$5:$C$304,B87,'Mill Production'!$I$5:$I$304))</f>
        <v/>
      </c>
      <c r="K87" s="7" t="str">
        <f>IF(B87="","",IF(COUNTIF('Mill Test'!$C$5:$C$304,B87)=0,"Pending",IF(COUNTIFS('Mill Test'!$C$5:$C$304,B87,'Mill Test'!$T$5:$T$304,"Failed")&gt;0,"Failed","Passed")))</f>
        <v/>
      </c>
      <c r="L87" s="19" t="str">
        <f>IF(B87="","",SUMIF('Fabric Shipment'!$C$5:$C$304,B87,'Fabric Shipment'!$G$5:$G$304))</f>
        <v/>
      </c>
      <c r="M87" s="19" t="str">
        <f>IF(B87="","",SUMIF('Fabric Shipment'!$C$5:$C$304,B87,'Fabric Shipment'!$R$5:$R$304))</f>
        <v/>
      </c>
      <c r="N87" s="19" t="str">
        <f>IF(B87="","",SUMIF('Fabric Receiving'!$E$5:$E$304,B87,'Fabric Receiving'!$H$5:$H$304))</f>
        <v/>
      </c>
      <c r="O87" s="19" t="str">
        <f>IF(B87="","",SUMIF('Fabric Receiving'!$E$5:$E$304,B87,'Fabric Receiving'!$I$5:$I$304))</f>
        <v/>
      </c>
      <c r="P87" s="7" t="str">
        <f>IF(B87="","",IF(COUNTIF('Four-Point'!$E$5:$E$304,B87)=0,"Pending",IF(COUNTIFS('Four-Point'!$E$5:$E$304,B87,'Four-Point'!$T$5:$T$304,"Failed")&gt;0,"Failed","Passed")))</f>
        <v/>
      </c>
      <c r="Q87" s="7" t="str">
        <f>IF(B87="","",IF(COUNTIF('Internal Test'!$D$5:$D$304,B87)=0,"Pending",IF(COUNTIFS('Internal Test'!$D$5:$D$304,B87,'Internal Test'!$AA$5:$AA$304,"Failed")&gt;0,"Failed","Passed")))</f>
        <v/>
      </c>
      <c r="R87" s="7" t="str">
        <f>IF(B87="","",IF(COUNTIF('Shade Match'!$C$5:$C$304,B87)=0,"Pending",IF(COUNTIFS('Shade Match'!$C$5:$C$304,B87,'Shade Match'!$Q$5:$Q$304,"Failed")&gt;0,"Failed","Approved")))</f>
        <v/>
      </c>
      <c r="S87" s="19" t="str">
        <f>IF(B87="","",SUMIF('Fabric Inventory'!$C$5:$C$304,B87,'Fabric Inventory'!$H$5:$H$304))</f>
        <v/>
      </c>
      <c r="T87" s="19" t="str">
        <f>IF(B87="","",SUMIF('Fabric Inventory'!$C$5:$C$304,B87,'Fabric Inventory'!$K$5:$K$304))</f>
        <v/>
      </c>
      <c r="U87" s="19" t="str">
        <f>IF(B87="","",SUMIF('Fabric Inventory'!$C$5:$C$304,B87,'Fabric Inventory'!$L$5:$L$304))</f>
        <v/>
      </c>
      <c r="V87" s="19" t="str">
        <f>IF(B87="","",SUMIF('Fabric Inventory'!$C$5:$C$304,B87,'Fabric Inventory'!$N$5:$N$304))</f>
        <v/>
      </c>
      <c r="W87" s="19" t="str">
        <f>IF(B87="","",SUMIF('Fabric Inventory'!$C$5:$C$304,B87,'Fabric Inventory'!$O$5:$O$304))</f>
        <v/>
      </c>
    </row>
    <row r="88" spans="1:23">
      <c r="A88" s="7" t="str">
        <f>IF('FGPO Master'!A82="","",'FGPO Master'!E82)</f>
        <v/>
      </c>
      <c r="B88" s="7" t="str">
        <f>IF('FGPO Master'!A82="","",IF('FGPO Master'!D82="FGPO Pending","FGPO Pending",'FGPO Master'!B82))</f>
        <v/>
      </c>
      <c r="C88" s="7" t="str">
        <f>IF('FGPO Master'!A82="","",'FGPO Master'!D82)</f>
        <v/>
      </c>
      <c r="D88" s="7" t="str">
        <f>IF('FGPO Master'!A82="","",'FGPO Master'!F82)</f>
        <v/>
      </c>
      <c r="E88" s="7" t="str">
        <f>IF('FGPO Master'!A82="","",'FGPO Master'!G82)</f>
        <v/>
      </c>
      <c r="F88" s="19" t="str">
        <f>IF('FGPO Master'!A82="","",'FGPO Master'!H82)</f>
        <v/>
      </c>
      <c r="G88" s="19" t="str">
        <f>IF('FGPO Master'!A82="","",'FGPO Master'!M82)</f>
        <v/>
      </c>
      <c r="H88" s="19" t="str">
        <f>IF(B88="","",SUMIF('Fabric Requirement'!$B$5:$B$304,B88,'Fabric Requirement'!$M$5:$M$304)+SUMIF('Fabric Requirement'!$B$5:$B$304,B88,'Fabric Requirement'!$O$5:$O$304))</f>
        <v/>
      </c>
      <c r="I88" s="19" t="str">
        <f>IF(B88="","",SUMIF('Fabric PO'!$B$5:$B$304,B88,'Fabric PO'!$H$5:$H$304))</f>
        <v/>
      </c>
      <c r="J88" s="19" t="str">
        <f>IF(B88="","",SUMIF('Mill Production'!$C$5:$C$304,B88,'Mill Production'!$I$5:$I$304))</f>
        <v/>
      </c>
      <c r="K88" s="7" t="str">
        <f>IF(B88="","",IF(COUNTIF('Mill Test'!$C$5:$C$304,B88)=0,"Pending",IF(COUNTIFS('Mill Test'!$C$5:$C$304,B88,'Mill Test'!$T$5:$T$304,"Failed")&gt;0,"Failed","Passed")))</f>
        <v/>
      </c>
      <c r="L88" s="19" t="str">
        <f>IF(B88="","",SUMIF('Fabric Shipment'!$C$5:$C$304,B88,'Fabric Shipment'!$G$5:$G$304))</f>
        <v/>
      </c>
      <c r="M88" s="19" t="str">
        <f>IF(B88="","",SUMIF('Fabric Shipment'!$C$5:$C$304,B88,'Fabric Shipment'!$R$5:$R$304))</f>
        <v/>
      </c>
      <c r="N88" s="19" t="str">
        <f>IF(B88="","",SUMIF('Fabric Receiving'!$E$5:$E$304,B88,'Fabric Receiving'!$H$5:$H$304))</f>
        <v/>
      </c>
      <c r="O88" s="19" t="str">
        <f>IF(B88="","",SUMIF('Fabric Receiving'!$E$5:$E$304,B88,'Fabric Receiving'!$I$5:$I$304))</f>
        <v/>
      </c>
      <c r="P88" s="7" t="str">
        <f>IF(B88="","",IF(COUNTIF('Four-Point'!$E$5:$E$304,B88)=0,"Pending",IF(COUNTIFS('Four-Point'!$E$5:$E$304,B88,'Four-Point'!$T$5:$T$304,"Failed")&gt;0,"Failed","Passed")))</f>
        <v/>
      </c>
      <c r="Q88" s="7" t="str">
        <f>IF(B88="","",IF(COUNTIF('Internal Test'!$D$5:$D$304,B88)=0,"Pending",IF(COUNTIFS('Internal Test'!$D$5:$D$304,B88,'Internal Test'!$AA$5:$AA$304,"Failed")&gt;0,"Failed","Passed")))</f>
        <v/>
      </c>
      <c r="R88" s="7" t="str">
        <f>IF(B88="","",IF(COUNTIF('Shade Match'!$C$5:$C$304,B88)=0,"Pending",IF(COUNTIFS('Shade Match'!$C$5:$C$304,B88,'Shade Match'!$Q$5:$Q$304,"Failed")&gt;0,"Failed","Approved")))</f>
        <v/>
      </c>
      <c r="S88" s="19" t="str">
        <f>IF(B88="","",SUMIF('Fabric Inventory'!$C$5:$C$304,B88,'Fabric Inventory'!$H$5:$H$304))</f>
        <v/>
      </c>
      <c r="T88" s="19" t="str">
        <f>IF(B88="","",SUMIF('Fabric Inventory'!$C$5:$C$304,B88,'Fabric Inventory'!$K$5:$K$304))</f>
        <v/>
      </c>
      <c r="U88" s="19" t="str">
        <f>IF(B88="","",SUMIF('Fabric Inventory'!$C$5:$C$304,B88,'Fabric Inventory'!$L$5:$L$304))</f>
        <v/>
      </c>
      <c r="V88" s="19" t="str">
        <f>IF(B88="","",SUMIF('Fabric Inventory'!$C$5:$C$304,B88,'Fabric Inventory'!$N$5:$N$304))</f>
        <v/>
      </c>
      <c r="W88" s="19" t="str">
        <f>IF(B88="","",SUMIF('Fabric Inventory'!$C$5:$C$304,B88,'Fabric Inventory'!$O$5:$O$304))</f>
        <v/>
      </c>
    </row>
    <row r="89" spans="1:23">
      <c r="A89" s="7" t="str">
        <f>IF('FGPO Master'!A83="","",'FGPO Master'!E83)</f>
        <v/>
      </c>
      <c r="B89" s="7" t="str">
        <f>IF('FGPO Master'!A83="","",IF('FGPO Master'!D83="FGPO Pending","FGPO Pending",'FGPO Master'!B83))</f>
        <v/>
      </c>
      <c r="C89" s="7" t="str">
        <f>IF('FGPO Master'!A83="","",'FGPO Master'!D83)</f>
        <v/>
      </c>
      <c r="D89" s="7" t="str">
        <f>IF('FGPO Master'!A83="","",'FGPO Master'!F83)</f>
        <v/>
      </c>
      <c r="E89" s="7" t="str">
        <f>IF('FGPO Master'!A83="","",'FGPO Master'!G83)</f>
        <v/>
      </c>
      <c r="F89" s="19" t="str">
        <f>IF('FGPO Master'!A83="","",'FGPO Master'!H83)</f>
        <v/>
      </c>
      <c r="G89" s="19" t="str">
        <f>IF('FGPO Master'!A83="","",'FGPO Master'!M83)</f>
        <v/>
      </c>
      <c r="H89" s="19" t="str">
        <f>IF(B89="","",SUMIF('Fabric Requirement'!$B$5:$B$304,B89,'Fabric Requirement'!$M$5:$M$304)+SUMIF('Fabric Requirement'!$B$5:$B$304,B89,'Fabric Requirement'!$O$5:$O$304))</f>
        <v/>
      </c>
      <c r="I89" s="19" t="str">
        <f>IF(B89="","",SUMIF('Fabric PO'!$B$5:$B$304,B89,'Fabric PO'!$H$5:$H$304))</f>
        <v/>
      </c>
      <c r="J89" s="19" t="str">
        <f>IF(B89="","",SUMIF('Mill Production'!$C$5:$C$304,B89,'Mill Production'!$I$5:$I$304))</f>
        <v/>
      </c>
      <c r="K89" s="7" t="str">
        <f>IF(B89="","",IF(COUNTIF('Mill Test'!$C$5:$C$304,B89)=0,"Pending",IF(COUNTIFS('Mill Test'!$C$5:$C$304,B89,'Mill Test'!$T$5:$T$304,"Failed")&gt;0,"Failed","Passed")))</f>
        <v/>
      </c>
      <c r="L89" s="19" t="str">
        <f>IF(B89="","",SUMIF('Fabric Shipment'!$C$5:$C$304,B89,'Fabric Shipment'!$G$5:$G$304))</f>
        <v/>
      </c>
      <c r="M89" s="19" t="str">
        <f>IF(B89="","",SUMIF('Fabric Shipment'!$C$5:$C$304,B89,'Fabric Shipment'!$R$5:$R$304))</f>
        <v/>
      </c>
      <c r="N89" s="19" t="str">
        <f>IF(B89="","",SUMIF('Fabric Receiving'!$E$5:$E$304,B89,'Fabric Receiving'!$H$5:$H$304))</f>
        <v/>
      </c>
      <c r="O89" s="19" t="str">
        <f>IF(B89="","",SUMIF('Fabric Receiving'!$E$5:$E$304,B89,'Fabric Receiving'!$I$5:$I$304))</f>
        <v/>
      </c>
      <c r="P89" s="7" t="str">
        <f>IF(B89="","",IF(COUNTIF('Four-Point'!$E$5:$E$304,B89)=0,"Pending",IF(COUNTIFS('Four-Point'!$E$5:$E$304,B89,'Four-Point'!$T$5:$T$304,"Failed")&gt;0,"Failed","Passed")))</f>
        <v/>
      </c>
      <c r="Q89" s="7" t="str">
        <f>IF(B89="","",IF(COUNTIF('Internal Test'!$D$5:$D$304,B89)=0,"Pending",IF(COUNTIFS('Internal Test'!$D$5:$D$304,B89,'Internal Test'!$AA$5:$AA$304,"Failed")&gt;0,"Failed","Passed")))</f>
        <v/>
      </c>
      <c r="R89" s="7" t="str">
        <f>IF(B89="","",IF(COUNTIF('Shade Match'!$C$5:$C$304,B89)=0,"Pending",IF(COUNTIFS('Shade Match'!$C$5:$C$304,B89,'Shade Match'!$Q$5:$Q$304,"Failed")&gt;0,"Failed","Approved")))</f>
        <v/>
      </c>
      <c r="S89" s="19" t="str">
        <f>IF(B89="","",SUMIF('Fabric Inventory'!$C$5:$C$304,B89,'Fabric Inventory'!$H$5:$H$304))</f>
        <v/>
      </c>
      <c r="T89" s="19" t="str">
        <f>IF(B89="","",SUMIF('Fabric Inventory'!$C$5:$C$304,B89,'Fabric Inventory'!$K$5:$K$304))</f>
        <v/>
      </c>
      <c r="U89" s="19" t="str">
        <f>IF(B89="","",SUMIF('Fabric Inventory'!$C$5:$C$304,B89,'Fabric Inventory'!$L$5:$L$304))</f>
        <v/>
      </c>
      <c r="V89" s="19" t="str">
        <f>IF(B89="","",SUMIF('Fabric Inventory'!$C$5:$C$304,B89,'Fabric Inventory'!$N$5:$N$304))</f>
        <v/>
      </c>
      <c r="W89" s="19" t="str">
        <f>IF(B89="","",SUMIF('Fabric Inventory'!$C$5:$C$304,B89,'Fabric Inventory'!$O$5:$O$304))</f>
        <v/>
      </c>
    </row>
    <row r="90" spans="1:23">
      <c r="A90" s="7" t="str">
        <f>IF('FGPO Master'!A84="","",'FGPO Master'!E84)</f>
        <v/>
      </c>
      <c r="B90" s="7" t="str">
        <f>IF('FGPO Master'!A84="","",IF('FGPO Master'!D84="FGPO Pending","FGPO Pending",'FGPO Master'!B84))</f>
        <v/>
      </c>
      <c r="C90" s="7" t="str">
        <f>IF('FGPO Master'!A84="","",'FGPO Master'!D84)</f>
        <v/>
      </c>
      <c r="D90" s="7" t="str">
        <f>IF('FGPO Master'!A84="","",'FGPO Master'!F84)</f>
        <v/>
      </c>
      <c r="E90" s="7" t="str">
        <f>IF('FGPO Master'!A84="","",'FGPO Master'!G84)</f>
        <v/>
      </c>
      <c r="F90" s="19" t="str">
        <f>IF('FGPO Master'!A84="","",'FGPO Master'!H84)</f>
        <v/>
      </c>
      <c r="G90" s="19" t="str">
        <f>IF('FGPO Master'!A84="","",'FGPO Master'!M84)</f>
        <v/>
      </c>
      <c r="H90" s="19" t="str">
        <f>IF(B90="","",SUMIF('Fabric Requirement'!$B$5:$B$304,B90,'Fabric Requirement'!$M$5:$M$304)+SUMIF('Fabric Requirement'!$B$5:$B$304,B90,'Fabric Requirement'!$O$5:$O$304))</f>
        <v/>
      </c>
      <c r="I90" s="19" t="str">
        <f>IF(B90="","",SUMIF('Fabric PO'!$B$5:$B$304,B90,'Fabric PO'!$H$5:$H$304))</f>
        <v/>
      </c>
      <c r="J90" s="19" t="str">
        <f>IF(B90="","",SUMIF('Mill Production'!$C$5:$C$304,B90,'Mill Production'!$I$5:$I$304))</f>
        <v/>
      </c>
      <c r="K90" s="7" t="str">
        <f>IF(B90="","",IF(COUNTIF('Mill Test'!$C$5:$C$304,B90)=0,"Pending",IF(COUNTIFS('Mill Test'!$C$5:$C$304,B90,'Mill Test'!$T$5:$T$304,"Failed")&gt;0,"Failed","Passed")))</f>
        <v/>
      </c>
      <c r="L90" s="19" t="str">
        <f>IF(B90="","",SUMIF('Fabric Shipment'!$C$5:$C$304,B90,'Fabric Shipment'!$G$5:$G$304))</f>
        <v/>
      </c>
      <c r="M90" s="19" t="str">
        <f>IF(B90="","",SUMIF('Fabric Shipment'!$C$5:$C$304,B90,'Fabric Shipment'!$R$5:$R$304))</f>
        <v/>
      </c>
      <c r="N90" s="19" t="str">
        <f>IF(B90="","",SUMIF('Fabric Receiving'!$E$5:$E$304,B90,'Fabric Receiving'!$H$5:$H$304))</f>
        <v/>
      </c>
      <c r="O90" s="19" t="str">
        <f>IF(B90="","",SUMIF('Fabric Receiving'!$E$5:$E$304,B90,'Fabric Receiving'!$I$5:$I$304))</f>
        <v/>
      </c>
      <c r="P90" s="7" t="str">
        <f>IF(B90="","",IF(COUNTIF('Four-Point'!$E$5:$E$304,B90)=0,"Pending",IF(COUNTIFS('Four-Point'!$E$5:$E$304,B90,'Four-Point'!$T$5:$T$304,"Failed")&gt;0,"Failed","Passed")))</f>
        <v/>
      </c>
      <c r="Q90" s="7" t="str">
        <f>IF(B90="","",IF(COUNTIF('Internal Test'!$D$5:$D$304,B90)=0,"Pending",IF(COUNTIFS('Internal Test'!$D$5:$D$304,B90,'Internal Test'!$AA$5:$AA$304,"Failed")&gt;0,"Failed","Passed")))</f>
        <v/>
      </c>
      <c r="R90" s="7" t="str">
        <f>IF(B90="","",IF(COUNTIF('Shade Match'!$C$5:$C$304,B90)=0,"Pending",IF(COUNTIFS('Shade Match'!$C$5:$C$304,B90,'Shade Match'!$Q$5:$Q$304,"Failed")&gt;0,"Failed","Approved")))</f>
        <v/>
      </c>
      <c r="S90" s="19" t="str">
        <f>IF(B90="","",SUMIF('Fabric Inventory'!$C$5:$C$304,B90,'Fabric Inventory'!$H$5:$H$304))</f>
        <v/>
      </c>
      <c r="T90" s="19" t="str">
        <f>IF(B90="","",SUMIF('Fabric Inventory'!$C$5:$C$304,B90,'Fabric Inventory'!$K$5:$K$304))</f>
        <v/>
      </c>
      <c r="U90" s="19" t="str">
        <f>IF(B90="","",SUMIF('Fabric Inventory'!$C$5:$C$304,B90,'Fabric Inventory'!$L$5:$L$304))</f>
        <v/>
      </c>
      <c r="V90" s="19" t="str">
        <f>IF(B90="","",SUMIF('Fabric Inventory'!$C$5:$C$304,B90,'Fabric Inventory'!$N$5:$N$304))</f>
        <v/>
      </c>
      <c r="W90" s="19" t="str">
        <f>IF(B90="","",SUMIF('Fabric Inventory'!$C$5:$C$304,B90,'Fabric Inventory'!$O$5:$O$304))</f>
        <v/>
      </c>
    </row>
    <row r="91" spans="1:23">
      <c r="A91" s="7" t="str">
        <f>IF('FGPO Master'!A85="","",'FGPO Master'!E85)</f>
        <v/>
      </c>
      <c r="B91" s="7" t="str">
        <f>IF('FGPO Master'!A85="","",IF('FGPO Master'!D85="FGPO Pending","FGPO Pending",'FGPO Master'!B85))</f>
        <v/>
      </c>
      <c r="C91" s="7" t="str">
        <f>IF('FGPO Master'!A85="","",'FGPO Master'!D85)</f>
        <v/>
      </c>
      <c r="D91" s="7" t="str">
        <f>IF('FGPO Master'!A85="","",'FGPO Master'!F85)</f>
        <v/>
      </c>
      <c r="E91" s="7" t="str">
        <f>IF('FGPO Master'!A85="","",'FGPO Master'!G85)</f>
        <v/>
      </c>
      <c r="F91" s="19" t="str">
        <f>IF('FGPO Master'!A85="","",'FGPO Master'!H85)</f>
        <v/>
      </c>
      <c r="G91" s="19" t="str">
        <f>IF('FGPO Master'!A85="","",'FGPO Master'!M85)</f>
        <v/>
      </c>
      <c r="H91" s="19" t="str">
        <f>IF(B91="","",SUMIF('Fabric Requirement'!$B$5:$B$304,B91,'Fabric Requirement'!$M$5:$M$304)+SUMIF('Fabric Requirement'!$B$5:$B$304,B91,'Fabric Requirement'!$O$5:$O$304))</f>
        <v/>
      </c>
      <c r="I91" s="19" t="str">
        <f>IF(B91="","",SUMIF('Fabric PO'!$B$5:$B$304,B91,'Fabric PO'!$H$5:$H$304))</f>
        <v/>
      </c>
      <c r="J91" s="19" t="str">
        <f>IF(B91="","",SUMIF('Mill Production'!$C$5:$C$304,B91,'Mill Production'!$I$5:$I$304))</f>
        <v/>
      </c>
      <c r="K91" s="7" t="str">
        <f>IF(B91="","",IF(COUNTIF('Mill Test'!$C$5:$C$304,B91)=0,"Pending",IF(COUNTIFS('Mill Test'!$C$5:$C$304,B91,'Mill Test'!$T$5:$T$304,"Failed")&gt;0,"Failed","Passed")))</f>
        <v/>
      </c>
      <c r="L91" s="19" t="str">
        <f>IF(B91="","",SUMIF('Fabric Shipment'!$C$5:$C$304,B91,'Fabric Shipment'!$G$5:$G$304))</f>
        <v/>
      </c>
      <c r="M91" s="19" t="str">
        <f>IF(B91="","",SUMIF('Fabric Shipment'!$C$5:$C$304,B91,'Fabric Shipment'!$R$5:$R$304))</f>
        <v/>
      </c>
      <c r="N91" s="19" t="str">
        <f>IF(B91="","",SUMIF('Fabric Receiving'!$E$5:$E$304,B91,'Fabric Receiving'!$H$5:$H$304))</f>
        <v/>
      </c>
      <c r="O91" s="19" t="str">
        <f>IF(B91="","",SUMIF('Fabric Receiving'!$E$5:$E$304,B91,'Fabric Receiving'!$I$5:$I$304))</f>
        <v/>
      </c>
      <c r="P91" s="7" t="str">
        <f>IF(B91="","",IF(COUNTIF('Four-Point'!$E$5:$E$304,B91)=0,"Pending",IF(COUNTIFS('Four-Point'!$E$5:$E$304,B91,'Four-Point'!$T$5:$T$304,"Failed")&gt;0,"Failed","Passed")))</f>
        <v/>
      </c>
      <c r="Q91" s="7" t="str">
        <f>IF(B91="","",IF(COUNTIF('Internal Test'!$D$5:$D$304,B91)=0,"Pending",IF(COUNTIFS('Internal Test'!$D$5:$D$304,B91,'Internal Test'!$AA$5:$AA$304,"Failed")&gt;0,"Failed","Passed")))</f>
        <v/>
      </c>
      <c r="R91" s="7" t="str">
        <f>IF(B91="","",IF(COUNTIF('Shade Match'!$C$5:$C$304,B91)=0,"Pending",IF(COUNTIFS('Shade Match'!$C$5:$C$304,B91,'Shade Match'!$Q$5:$Q$304,"Failed")&gt;0,"Failed","Approved")))</f>
        <v/>
      </c>
      <c r="S91" s="19" t="str">
        <f>IF(B91="","",SUMIF('Fabric Inventory'!$C$5:$C$304,B91,'Fabric Inventory'!$H$5:$H$304))</f>
        <v/>
      </c>
      <c r="T91" s="19" t="str">
        <f>IF(B91="","",SUMIF('Fabric Inventory'!$C$5:$C$304,B91,'Fabric Inventory'!$K$5:$K$304))</f>
        <v/>
      </c>
      <c r="U91" s="19" t="str">
        <f>IF(B91="","",SUMIF('Fabric Inventory'!$C$5:$C$304,B91,'Fabric Inventory'!$L$5:$L$304))</f>
        <v/>
      </c>
      <c r="V91" s="19" t="str">
        <f>IF(B91="","",SUMIF('Fabric Inventory'!$C$5:$C$304,B91,'Fabric Inventory'!$N$5:$N$304))</f>
        <v/>
      </c>
      <c r="W91" s="19" t="str">
        <f>IF(B91="","",SUMIF('Fabric Inventory'!$C$5:$C$304,B91,'Fabric Inventory'!$O$5:$O$304))</f>
        <v/>
      </c>
    </row>
    <row r="92" spans="1:23">
      <c r="A92" s="7" t="str">
        <f>IF('FGPO Master'!A86="","",'FGPO Master'!E86)</f>
        <v/>
      </c>
      <c r="B92" s="7" t="str">
        <f>IF('FGPO Master'!A86="","",IF('FGPO Master'!D86="FGPO Pending","FGPO Pending",'FGPO Master'!B86))</f>
        <v/>
      </c>
      <c r="C92" s="7" t="str">
        <f>IF('FGPO Master'!A86="","",'FGPO Master'!D86)</f>
        <v/>
      </c>
      <c r="D92" s="7" t="str">
        <f>IF('FGPO Master'!A86="","",'FGPO Master'!F86)</f>
        <v/>
      </c>
      <c r="E92" s="7" t="str">
        <f>IF('FGPO Master'!A86="","",'FGPO Master'!G86)</f>
        <v/>
      </c>
      <c r="F92" s="19" t="str">
        <f>IF('FGPO Master'!A86="","",'FGPO Master'!H86)</f>
        <v/>
      </c>
      <c r="G92" s="19" t="str">
        <f>IF('FGPO Master'!A86="","",'FGPO Master'!M86)</f>
        <v/>
      </c>
      <c r="H92" s="19" t="str">
        <f>IF(B92="","",SUMIF('Fabric Requirement'!$B$5:$B$304,B92,'Fabric Requirement'!$M$5:$M$304)+SUMIF('Fabric Requirement'!$B$5:$B$304,B92,'Fabric Requirement'!$O$5:$O$304))</f>
        <v/>
      </c>
      <c r="I92" s="19" t="str">
        <f>IF(B92="","",SUMIF('Fabric PO'!$B$5:$B$304,B92,'Fabric PO'!$H$5:$H$304))</f>
        <v/>
      </c>
      <c r="J92" s="19" t="str">
        <f>IF(B92="","",SUMIF('Mill Production'!$C$5:$C$304,B92,'Mill Production'!$I$5:$I$304))</f>
        <v/>
      </c>
      <c r="K92" s="7" t="str">
        <f>IF(B92="","",IF(COUNTIF('Mill Test'!$C$5:$C$304,B92)=0,"Pending",IF(COUNTIFS('Mill Test'!$C$5:$C$304,B92,'Mill Test'!$T$5:$T$304,"Failed")&gt;0,"Failed","Passed")))</f>
        <v/>
      </c>
      <c r="L92" s="19" t="str">
        <f>IF(B92="","",SUMIF('Fabric Shipment'!$C$5:$C$304,B92,'Fabric Shipment'!$G$5:$G$304))</f>
        <v/>
      </c>
      <c r="M92" s="19" t="str">
        <f>IF(B92="","",SUMIF('Fabric Shipment'!$C$5:$C$304,B92,'Fabric Shipment'!$R$5:$R$304))</f>
        <v/>
      </c>
      <c r="N92" s="19" t="str">
        <f>IF(B92="","",SUMIF('Fabric Receiving'!$E$5:$E$304,B92,'Fabric Receiving'!$H$5:$H$304))</f>
        <v/>
      </c>
      <c r="O92" s="19" t="str">
        <f>IF(B92="","",SUMIF('Fabric Receiving'!$E$5:$E$304,B92,'Fabric Receiving'!$I$5:$I$304))</f>
        <v/>
      </c>
      <c r="P92" s="7" t="str">
        <f>IF(B92="","",IF(COUNTIF('Four-Point'!$E$5:$E$304,B92)=0,"Pending",IF(COUNTIFS('Four-Point'!$E$5:$E$304,B92,'Four-Point'!$T$5:$T$304,"Failed")&gt;0,"Failed","Passed")))</f>
        <v/>
      </c>
      <c r="Q92" s="7" t="str">
        <f>IF(B92="","",IF(COUNTIF('Internal Test'!$D$5:$D$304,B92)=0,"Pending",IF(COUNTIFS('Internal Test'!$D$5:$D$304,B92,'Internal Test'!$AA$5:$AA$304,"Failed")&gt;0,"Failed","Passed")))</f>
        <v/>
      </c>
      <c r="R92" s="7" t="str">
        <f>IF(B92="","",IF(COUNTIF('Shade Match'!$C$5:$C$304,B92)=0,"Pending",IF(COUNTIFS('Shade Match'!$C$5:$C$304,B92,'Shade Match'!$Q$5:$Q$304,"Failed")&gt;0,"Failed","Approved")))</f>
        <v/>
      </c>
      <c r="S92" s="19" t="str">
        <f>IF(B92="","",SUMIF('Fabric Inventory'!$C$5:$C$304,B92,'Fabric Inventory'!$H$5:$H$304))</f>
        <v/>
      </c>
      <c r="T92" s="19" t="str">
        <f>IF(B92="","",SUMIF('Fabric Inventory'!$C$5:$C$304,B92,'Fabric Inventory'!$K$5:$K$304))</f>
        <v/>
      </c>
      <c r="U92" s="19" t="str">
        <f>IF(B92="","",SUMIF('Fabric Inventory'!$C$5:$C$304,B92,'Fabric Inventory'!$L$5:$L$304))</f>
        <v/>
      </c>
      <c r="V92" s="19" t="str">
        <f>IF(B92="","",SUMIF('Fabric Inventory'!$C$5:$C$304,B92,'Fabric Inventory'!$N$5:$N$304))</f>
        <v/>
      </c>
      <c r="W92" s="19" t="str">
        <f>IF(B92="","",SUMIF('Fabric Inventory'!$C$5:$C$304,B92,'Fabric Inventory'!$O$5:$O$304))</f>
        <v/>
      </c>
    </row>
    <row r="93" spans="1:23">
      <c r="A93" s="7" t="str">
        <f>IF('FGPO Master'!A87="","",'FGPO Master'!E87)</f>
        <v/>
      </c>
      <c r="B93" s="7" t="str">
        <f>IF('FGPO Master'!A87="","",IF('FGPO Master'!D87="FGPO Pending","FGPO Pending",'FGPO Master'!B87))</f>
        <v/>
      </c>
      <c r="C93" s="7" t="str">
        <f>IF('FGPO Master'!A87="","",'FGPO Master'!D87)</f>
        <v/>
      </c>
      <c r="D93" s="7" t="str">
        <f>IF('FGPO Master'!A87="","",'FGPO Master'!F87)</f>
        <v/>
      </c>
      <c r="E93" s="7" t="str">
        <f>IF('FGPO Master'!A87="","",'FGPO Master'!G87)</f>
        <v/>
      </c>
      <c r="F93" s="19" t="str">
        <f>IF('FGPO Master'!A87="","",'FGPO Master'!H87)</f>
        <v/>
      </c>
      <c r="G93" s="19" t="str">
        <f>IF('FGPO Master'!A87="","",'FGPO Master'!M87)</f>
        <v/>
      </c>
      <c r="H93" s="19" t="str">
        <f>IF(B93="","",SUMIF('Fabric Requirement'!$B$5:$B$304,B93,'Fabric Requirement'!$M$5:$M$304)+SUMIF('Fabric Requirement'!$B$5:$B$304,B93,'Fabric Requirement'!$O$5:$O$304))</f>
        <v/>
      </c>
      <c r="I93" s="19" t="str">
        <f>IF(B93="","",SUMIF('Fabric PO'!$B$5:$B$304,B93,'Fabric PO'!$H$5:$H$304))</f>
        <v/>
      </c>
      <c r="J93" s="19" t="str">
        <f>IF(B93="","",SUMIF('Mill Production'!$C$5:$C$304,B93,'Mill Production'!$I$5:$I$304))</f>
        <v/>
      </c>
      <c r="K93" s="7" t="str">
        <f>IF(B93="","",IF(COUNTIF('Mill Test'!$C$5:$C$304,B93)=0,"Pending",IF(COUNTIFS('Mill Test'!$C$5:$C$304,B93,'Mill Test'!$T$5:$T$304,"Failed")&gt;0,"Failed","Passed")))</f>
        <v/>
      </c>
      <c r="L93" s="19" t="str">
        <f>IF(B93="","",SUMIF('Fabric Shipment'!$C$5:$C$304,B93,'Fabric Shipment'!$G$5:$G$304))</f>
        <v/>
      </c>
      <c r="M93" s="19" t="str">
        <f>IF(B93="","",SUMIF('Fabric Shipment'!$C$5:$C$304,B93,'Fabric Shipment'!$R$5:$R$304))</f>
        <v/>
      </c>
      <c r="N93" s="19" t="str">
        <f>IF(B93="","",SUMIF('Fabric Receiving'!$E$5:$E$304,B93,'Fabric Receiving'!$H$5:$H$304))</f>
        <v/>
      </c>
      <c r="O93" s="19" t="str">
        <f>IF(B93="","",SUMIF('Fabric Receiving'!$E$5:$E$304,B93,'Fabric Receiving'!$I$5:$I$304))</f>
        <v/>
      </c>
      <c r="P93" s="7" t="str">
        <f>IF(B93="","",IF(COUNTIF('Four-Point'!$E$5:$E$304,B93)=0,"Pending",IF(COUNTIFS('Four-Point'!$E$5:$E$304,B93,'Four-Point'!$T$5:$T$304,"Failed")&gt;0,"Failed","Passed")))</f>
        <v/>
      </c>
      <c r="Q93" s="7" t="str">
        <f>IF(B93="","",IF(COUNTIF('Internal Test'!$D$5:$D$304,B93)=0,"Pending",IF(COUNTIFS('Internal Test'!$D$5:$D$304,B93,'Internal Test'!$AA$5:$AA$304,"Failed")&gt;0,"Failed","Passed")))</f>
        <v/>
      </c>
      <c r="R93" s="7" t="str">
        <f>IF(B93="","",IF(COUNTIF('Shade Match'!$C$5:$C$304,B93)=0,"Pending",IF(COUNTIFS('Shade Match'!$C$5:$C$304,B93,'Shade Match'!$Q$5:$Q$304,"Failed")&gt;0,"Failed","Approved")))</f>
        <v/>
      </c>
      <c r="S93" s="19" t="str">
        <f>IF(B93="","",SUMIF('Fabric Inventory'!$C$5:$C$304,B93,'Fabric Inventory'!$H$5:$H$304))</f>
        <v/>
      </c>
      <c r="T93" s="19" t="str">
        <f>IF(B93="","",SUMIF('Fabric Inventory'!$C$5:$C$304,B93,'Fabric Inventory'!$K$5:$K$304))</f>
        <v/>
      </c>
      <c r="U93" s="19" t="str">
        <f>IF(B93="","",SUMIF('Fabric Inventory'!$C$5:$C$304,B93,'Fabric Inventory'!$L$5:$L$304))</f>
        <v/>
      </c>
      <c r="V93" s="19" t="str">
        <f>IF(B93="","",SUMIF('Fabric Inventory'!$C$5:$C$304,B93,'Fabric Inventory'!$N$5:$N$304))</f>
        <v/>
      </c>
      <c r="W93" s="19" t="str">
        <f>IF(B93="","",SUMIF('Fabric Inventory'!$C$5:$C$304,B93,'Fabric Inventory'!$O$5:$O$304))</f>
        <v/>
      </c>
    </row>
    <row r="94" spans="1:23">
      <c r="A94" s="7" t="str">
        <f>IF('FGPO Master'!A88="","",'FGPO Master'!E88)</f>
        <v/>
      </c>
      <c r="B94" s="7" t="str">
        <f>IF('FGPO Master'!A88="","",IF('FGPO Master'!D88="FGPO Pending","FGPO Pending",'FGPO Master'!B88))</f>
        <v/>
      </c>
      <c r="C94" s="7" t="str">
        <f>IF('FGPO Master'!A88="","",'FGPO Master'!D88)</f>
        <v/>
      </c>
      <c r="D94" s="7" t="str">
        <f>IF('FGPO Master'!A88="","",'FGPO Master'!F88)</f>
        <v/>
      </c>
      <c r="E94" s="7" t="str">
        <f>IF('FGPO Master'!A88="","",'FGPO Master'!G88)</f>
        <v/>
      </c>
      <c r="F94" s="19" t="str">
        <f>IF('FGPO Master'!A88="","",'FGPO Master'!H88)</f>
        <v/>
      </c>
      <c r="G94" s="19" t="str">
        <f>IF('FGPO Master'!A88="","",'FGPO Master'!M88)</f>
        <v/>
      </c>
      <c r="H94" s="19" t="str">
        <f>IF(B94="","",SUMIF('Fabric Requirement'!$B$5:$B$304,B94,'Fabric Requirement'!$M$5:$M$304)+SUMIF('Fabric Requirement'!$B$5:$B$304,B94,'Fabric Requirement'!$O$5:$O$304))</f>
        <v/>
      </c>
      <c r="I94" s="19" t="str">
        <f>IF(B94="","",SUMIF('Fabric PO'!$B$5:$B$304,B94,'Fabric PO'!$H$5:$H$304))</f>
        <v/>
      </c>
      <c r="J94" s="19" t="str">
        <f>IF(B94="","",SUMIF('Mill Production'!$C$5:$C$304,B94,'Mill Production'!$I$5:$I$304))</f>
        <v/>
      </c>
      <c r="K94" s="7" t="str">
        <f>IF(B94="","",IF(COUNTIF('Mill Test'!$C$5:$C$304,B94)=0,"Pending",IF(COUNTIFS('Mill Test'!$C$5:$C$304,B94,'Mill Test'!$T$5:$T$304,"Failed")&gt;0,"Failed","Passed")))</f>
        <v/>
      </c>
      <c r="L94" s="19" t="str">
        <f>IF(B94="","",SUMIF('Fabric Shipment'!$C$5:$C$304,B94,'Fabric Shipment'!$G$5:$G$304))</f>
        <v/>
      </c>
      <c r="M94" s="19" t="str">
        <f>IF(B94="","",SUMIF('Fabric Shipment'!$C$5:$C$304,B94,'Fabric Shipment'!$R$5:$R$304))</f>
        <v/>
      </c>
      <c r="N94" s="19" t="str">
        <f>IF(B94="","",SUMIF('Fabric Receiving'!$E$5:$E$304,B94,'Fabric Receiving'!$H$5:$H$304))</f>
        <v/>
      </c>
      <c r="O94" s="19" t="str">
        <f>IF(B94="","",SUMIF('Fabric Receiving'!$E$5:$E$304,B94,'Fabric Receiving'!$I$5:$I$304))</f>
        <v/>
      </c>
      <c r="P94" s="7" t="str">
        <f>IF(B94="","",IF(COUNTIF('Four-Point'!$E$5:$E$304,B94)=0,"Pending",IF(COUNTIFS('Four-Point'!$E$5:$E$304,B94,'Four-Point'!$T$5:$T$304,"Failed")&gt;0,"Failed","Passed")))</f>
        <v/>
      </c>
      <c r="Q94" s="7" t="str">
        <f>IF(B94="","",IF(COUNTIF('Internal Test'!$D$5:$D$304,B94)=0,"Pending",IF(COUNTIFS('Internal Test'!$D$5:$D$304,B94,'Internal Test'!$AA$5:$AA$304,"Failed")&gt;0,"Failed","Passed")))</f>
        <v/>
      </c>
      <c r="R94" s="7" t="str">
        <f>IF(B94="","",IF(COUNTIF('Shade Match'!$C$5:$C$304,B94)=0,"Pending",IF(COUNTIFS('Shade Match'!$C$5:$C$304,B94,'Shade Match'!$Q$5:$Q$304,"Failed")&gt;0,"Failed","Approved")))</f>
        <v/>
      </c>
      <c r="S94" s="19" t="str">
        <f>IF(B94="","",SUMIF('Fabric Inventory'!$C$5:$C$304,B94,'Fabric Inventory'!$H$5:$H$304))</f>
        <v/>
      </c>
      <c r="T94" s="19" t="str">
        <f>IF(B94="","",SUMIF('Fabric Inventory'!$C$5:$C$304,B94,'Fabric Inventory'!$K$5:$K$304))</f>
        <v/>
      </c>
      <c r="U94" s="19" t="str">
        <f>IF(B94="","",SUMIF('Fabric Inventory'!$C$5:$C$304,B94,'Fabric Inventory'!$L$5:$L$304))</f>
        <v/>
      </c>
      <c r="V94" s="19" t="str">
        <f>IF(B94="","",SUMIF('Fabric Inventory'!$C$5:$C$304,B94,'Fabric Inventory'!$N$5:$N$304))</f>
        <v/>
      </c>
      <c r="W94" s="19" t="str">
        <f>IF(B94="","",SUMIF('Fabric Inventory'!$C$5:$C$304,B94,'Fabric Inventory'!$O$5:$O$304))</f>
        <v/>
      </c>
    </row>
    <row r="95" spans="1:23">
      <c r="A95" s="7" t="str">
        <f>IF('FGPO Master'!A89="","",'FGPO Master'!E89)</f>
        <v/>
      </c>
      <c r="B95" s="7" t="str">
        <f>IF('FGPO Master'!A89="","",IF('FGPO Master'!D89="FGPO Pending","FGPO Pending",'FGPO Master'!B89))</f>
        <v/>
      </c>
      <c r="C95" s="7" t="str">
        <f>IF('FGPO Master'!A89="","",'FGPO Master'!D89)</f>
        <v/>
      </c>
      <c r="D95" s="7" t="str">
        <f>IF('FGPO Master'!A89="","",'FGPO Master'!F89)</f>
        <v/>
      </c>
      <c r="E95" s="7" t="str">
        <f>IF('FGPO Master'!A89="","",'FGPO Master'!G89)</f>
        <v/>
      </c>
      <c r="F95" s="19" t="str">
        <f>IF('FGPO Master'!A89="","",'FGPO Master'!H89)</f>
        <v/>
      </c>
      <c r="G95" s="19" t="str">
        <f>IF('FGPO Master'!A89="","",'FGPO Master'!M89)</f>
        <v/>
      </c>
      <c r="H95" s="19" t="str">
        <f>IF(B95="","",SUMIF('Fabric Requirement'!$B$5:$B$304,B95,'Fabric Requirement'!$M$5:$M$304)+SUMIF('Fabric Requirement'!$B$5:$B$304,B95,'Fabric Requirement'!$O$5:$O$304))</f>
        <v/>
      </c>
      <c r="I95" s="19" t="str">
        <f>IF(B95="","",SUMIF('Fabric PO'!$B$5:$B$304,B95,'Fabric PO'!$H$5:$H$304))</f>
        <v/>
      </c>
      <c r="J95" s="19" t="str">
        <f>IF(B95="","",SUMIF('Mill Production'!$C$5:$C$304,B95,'Mill Production'!$I$5:$I$304))</f>
        <v/>
      </c>
      <c r="K95" s="7" t="str">
        <f>IF(B95="","",IF(COUNTIF('Mill Test'!$C$5:$C$304,B95)=0,"Pending",IF(COUNTIFS('Mill Test'!$C$5:$C$304,B95,'Mill Test'!$T$5:$T$304,"Failed")&gt;0,"Failed","Passed")))</f>
        <v/>
      </c>
      <c r="L95" s="19" t="str">
        <f>IF(B95="","",SUMIF('Fabric Shipment'!$C$5:$C$304,B95,'Fabric Shipment'!$G$5:$G$304))</f>
        <v/>
      </c>
      <c r="M95" s="19" t="str">
        <f>IF(B95="","",SUMIF('Fabric Shipment'!$C$5:$C$304,B95,'Fabric Shipment'!$R$5:$R$304))</f>
        <v/>
      </c>
      <c r="N95" s="19" t="str">
        <f>IF(B95="","",SUMIF('Fabric Receiving'!$E$5:$E$304,B95,'Fabric Receiving'!$H$5:$H$304))</f>
        <v/>
      </c>
      <c r="O95" s="19" t="str">
        <f>IF(B95="","",SUMIF('Fabric Receiving'!$E$5:$E$304,B95,'Fabric Receiving'!$I$5:$I$304))</f>
        <v/>
      </c>
      <c r="P95" s="7" t="str">
        <f>IF(B95="","",IF(COUNTIF('Four-Point'!$E$5:$E$304,B95)=0,"Pending",IF(COUNTIFS('Four-Point'!$E$5:$E$304,B95,'Four-Point'!$T$5:$T$304,"Failed")&gt;0,"Failed","Passed")))</f>
        <v/>
      </c>
      <c r="Q95" s="7" t="str">
        <f>IF(B95="","",IF(COUNTIF('Internal Test'!$D$5:$D$304,B95)=0,"Pending",IF(COUNTIFS('Internal Test'!$D$5:$D$304,B95,'Internal Test'!$AA$5:$AA$304,"Failed")&gt;0,"Failed","Passed")))</f>
        <v/>
      </c>
      <c r="R95" s="7" t="str">
        <f>IF(B95="","",IF(COUNTIF('Shade Match'!$C$5:$C$304,B95)=0,"Pending",IF(COUNTIFS('Shade Match'!$C$5:$C$304,B95,'Shade Match'!$Q$5:$Q$304,"Failed")&gt;0,"Failed","Approved")))</f>
        <v/>
      </c>
      <c r="S95" s="19" t="str">
        <f>IF(B95="","",SUMIF('Fabric Inventory'!$C$5:$C$304,B95,'Fabric Inventory'!$H$5:$H$304))</f>
        <v/>
      </c>
      <c r="T95" s="19" t="str">
        <f>IF(B95="","",SUMIF('Fabric Inventory'!$C$5:$C$304,B95,'Fabric Inventory'!$K$5:$K$304))</f>
        <v/>
      </c>
      <c r="U95" s="19" t="str">
        <f>IF(B95="","",SUMIF('Fabric Inventory'!$C$5:$C$304,B95,'Fabric Inventory'!$L$5:$L$304))</f>
        <v/>
      </c>
      <c r="V95" s="19" t="str">
        <f>IF(B95="","",SUMIF('Fabric Inventory'!$C$5:$C$304,B95,'Fabric Inventory'!$N$5:$N$304))</f>
        <v/>
      </c>
      <c r="W95" s="19" t="str">
        <f>IF(B95="","",SUMIF('Fabric Inventory'!$C$5:$C$304,B95,'Fabric Inventory'!$O$5:$O$304))</f>
        <v/>
      </c>
    </row>
    <row r="96" spans="1:23">
      <c r="A96" s="7" t="str">
        <f>IF('FGPO Master'!A90="","",'FGPO Master'!E90)</f>
        <v/>
      </c>
      <c r="B96" s="7" t="str">
        <f>IF('FGPO Master'!A90="","",IF('FGPO Master'!D90="FGPO Pending","FGPO Pending",'FGPO Master'!B90))</f>
        <v/>
      </c>
      <c r="C96" s="7" t="str">
        <f>IF('FGPO Master'!A90="","",'FGPO Master'!D90)</f>
        <v/>
      </c>
      <c r="D96" s="7" t="str">
        <f>IF('FGPO Master'!A90="","",'FGPO Master'!F90)</f>
        <v/>
      </c>
      <c r="E96" s="7" t="str">
        <f>IF('FGPO Master'!A90="","",'FGPO Master'!G90)</f>
        <v/>
      </c>
      <c r="F96" s="19" t="str">
        <f>IF('FGPO Master'!A90="","",'FGPO Master'!H90)</f>
        <v/>
      </c>
      <c r="G96" s="19" t="str">
        <f>IF('FGPO Master'!A90="","",'FGPO Master'!M90)</f>
        <v/>
      </c>
      <c r="H96" s="19" t="str">
        <f>IF(B96="","",SUMIF('Fabric Requirement'!$B$5:$B$304,B96,'Fabric Requirement'!$M$5:$M$304)+SUMIF('Fabric Requirement'!$B$5:$B$304,B96,'Fabric Requirement'!$O$5:$O$304))</f>
        <v/>
      </c>
      <c r="I96" s="19" t="str">
        <f>IF(B96="","",SUMIF('Fabric PO'!$B$5:$B$304,B96,'Fabric PO'!$H$5:$H$304))</f>
        <v/>
      </c>
      <c r="J96" s="19" t="str">
        <f>IF(B96="","",SUMIF('Mill Production'!$C$5:$C$304,B96,'Mill Production'!$I$5:$I$304))</f>
        <v/>
      </c>
      <c r="K96" s="7" t="str">
        <f>IF(B96="","",IF(COUNTIF('Mill Test'!$C$5:$C$304,B96)=0,"Pending",IF(COUNTIFS('Mill Test'!$C$5:$C$304,B96,'Mill Test'!$T$5:$T$304,"Failed")&gt;0,"Failed","Passed")))</f>
        <v/>
      </c>
      <c r="L96" s="19" t="str">
        <f>IF(B96="","",SUMIF('Fabric Shipment'!$C$5:$C$304,B96,'Fabric Shipment'!$G$5:$G$304))</f>
        <v/>
      </c>
      <c r="M96" s="19" t="str">
        <f>IF(B96="","",SUMIF('Fabric Shipment'!$C$5:$C$304,B96,'Fabric Shipment'!$R$5:$R$304))</f>
        <v/>
      </c>
      <c r="N96" s="19" t="str">
        <f>IF(B96="","",SUMIF('Fabric Receiving'!$E$5:$E$304,B96,'Fabric Receiving'!$H$5:$H$304))</f>
        <v/>
      </c>
      <c r="O96" s="19" t="str">
        <f>IF(B96="","",SUMIF('Fabric Receiving'!$E$5:$E$304,B96,'Fabric Receiving'!$I$5:$I$304))</f>
        <v/>
      </c>
      <c r="P96" s="7" t="str">
        <f>IF(B96="","",IF(COUNTIF('Four-Point'!$E$5:$E$304,B96)=0,"Pending",IF(COUNTIFS('Four-Point'!$E$5:$E$304,B96,'Four-Point'!$T$5:$T$304,"Failed")&gt;0,"Failed","Passed")))</f>
        <v/>
      </c>
      <c r="Q96" s="7" t="str">
        <f>IF(B96="","",IF(COUNTIF('Internal Test'!$D$5:$D$304,B96)=0,"Pending",IF(COUNTIFS('Internal Test'!$D$5:$D$304,B96,'Internal Test'!$AA$5:$AA$304,"Failed")&gt;0,"Failed","Passed")))</f>
        <v/>
      </c>
      <c r="R96" s="7" t="str">
        <f>IF(B96="","",IF(COUNTIF('Shade Match'!$C$5:$C$304,B96)=0,"Pending",IF(COUNTIFS('Shade Match'!$C$5:$C$304,B96,'Shade Match'!$Q$5:$Q$304,"Failed")&gt;0,"Failed","Approved")))</f>
        <v/>
      </c>
      <c r="S96" s="19" t="str">
        <f>IF(B96="","",SUMIF('Fabric Inventory'!$C$5:$C$304,B96,'Fabric Inventory'!$H$5:$H$304))</f>
        <v/>
      </c>
      <c r="T96" s="19" t="str">
        <f>IF(B96="","",SUMIF('Fabric Inventory'!$C$5:$C$304,B96,'Fabric Inventory'!$K$5:$K$304))</f>
        <v/>
      </c>
      <c r="U96" s="19" t="str">
        <f>IF(B96="","",SUMIF('Fabric Inventory'!$C$5:$C$304,B96,'Fabric Inventory'!$L$5:$L$304))</f>
        <v/>
      </c>
      <c r="V96" s="19" t="str">
        <f>IF(B96="","",SUMIF('Fabric Inventory'!$C$5:$C$304,B96,'Fabric Inventory'!$N$5:$N$304))</f>
        <v/>
      </c>
      <c r="W96" s="19" t="str">
        <f>IF(B96="","",SUMIF('Fabric Inventory'!$C$5:$C$304,B96,'Fabric Inventory'!$O$5:$O$304))</f>
        <v/>
      </c>
    </row>
    <row r="97" spans="1:23">
      <c r="A97" s="7" t="str">
        <f>IF('FGPO Master'!A91="","",'FGPO Master'!E91)</f>
        <v/>
      </c>
      <c r="B97" s="7" t="str">
        <f>IF('FGPO Master'!A91="","",IF('FGPO Master'!D91="FGPO Pending","FGPO Pending",'FGPO Master'!B91))</f>
        <v/>
      </c>
      <c r="C97" s="7" t="str">
        <f>IF('FGPO Master'!A91="","",'FGPO Master'!D91)</f>
        <v/>
      </c>
      <c r="D97" s="7" t="str">
        <f>IF('FGPO Master'!A91="","",'FGPO Master'!F91)</f>
        <v/>
      </c>
      <c r="E97" s="7" t="str">
        <f>IF('FGPO Master'!A91="","",'FGPO Master'!G91)</f>
        <v/>
      </c>
      <c r="F97" s="19" t="str">
        <f>IF('FGPO Master'!A91="","",'FGPO Master'!H91)</f>
        <v/>
      </c>
      <c r="G97" s="19" t="str">
        <f>IF('FGPO Master'!A91="","",'FGPO Master'!M91)</f>
        <v/>
      </c>
      <c r="H97" s="19" t="str">
        <f>IF(B97="","",SUMIF('Fabric Requirement'!$B$5:$B$304,B97,'Fabric Requirement'!$M$5:$M$304)+SUMIF('Fabric Requirement'!$B$5:$B$304,B97,'Fabric Requirement'!$O$5:$O$304))</f>
        <v/>
      </c>
      <c r="I97" s="19" t="str">
        <f>IF(B97="","",SUMIF('Fabric PO'!$B$5:$B$304,B97,'Fabric PO'!$H$5:$H$304))</f>
        <v/>
      </c>
      <c r="J97" s="19" t="str">
        <f>IF(B97="","",SUMIF('Mill Production'!$C$5:$C$304,B97,'Mill Production'!$I$5:$I$304))</f>
        <v/>
      </c>
      <c r="K97" s="7" t="str">
        <f>IF(B97="","",IF(COUNTIF('Mill Test'!$C$5:$C$304,B97)=0,"Pending",IF(COUNTIFS('Mill Test'!$C$5:$C$304,B97,'Mill Test'!$T$5:$T$304,"Failed")&gt;0,"Failed","Passed")))</f>
        <v/>
      </c>
      <c r="L97" s="19" t="str">
        <f>IF(B97="","",SUMIF('Fabric Shipment'!$C$5:$C$304,B97,'Fabric Shipment'!$G$5:$G$304))</f>
        <v/>
      </c>
      <c r="M97" s="19" t="str">
        <f>IF(B97="","",SUMIF('Fabric Shipment'!$C$5:$C$304,B97,'Fabric Shipment'!$R$5:$R$304))</f>
        <v/>
      </c>
      <c r="N97" s="19" t="str">
        <f>IF(B97="","",SUMIF('Fabric Receiving'!$E$5:$E$304,B97,'Fabric Receiving'!$H$5:$H$304))</f>
        <v/>
      </c>
      <c r="O97" s="19" t="str">
        <f>IF(B97="","",SUMIF('Fabric Receiving'!$E$5:$E$304,B97,'Fabric Receiving'!$I$5:$I$304))</f>
        <v/>
      </c>
      <c r="P97" s="7" t="str">
        <f>IF(B97="","",IF(COUNTIF('Four-Point'!$E$5:$E$304,B97)=0,"Pending",IF(COUNTIFS('Four-Point'!$E$5:$E$304,B97,'Four-Point'!$T$5:$T$304,"Failed")&gt;0,"Failed","Passed")))</f>
        <v/>
      </c>
      <c r="Q97" s="7" t="str">
        <f>IF(B97="","",IF(COUNTIF('Internal Test'!$D$5:$D$304,B97)=0,"Pending",IF(COUNTIFS('Internal Test'!$D$5:$D$304,B97,'Internal Test'!$AA$5:$AA$304,"Failed")&gt;0,"Failed","Passed")))</f>
        <v/>
      </c>
      <c r="R97" s="7" t="str">
        <f>IF(B97="","",IF(COUNTIF('Shade Match'!$C$5:$C$304,B97)=0,"Pending",IF(COUNTIFS('Shade Match'!$C$5:$C$304,B97,'Shade Match'!$Q$5:$Q$304,"Failed")&gt;0,"Failed","Approved")))</f>
        <v/>
      </c>
      <c r="S97" s="19" t="str">
        <f>IF(B97="","",SUMIF('Fabric Inventory'!$C$5:$C$304,B97,'Fabric Inventory'!$H$5:$H$304))</f>
        <v/>
      </c>
      <c r="T97" s="19" t="str">
        <f>IF(B97="","",SUMIF('Fabric Inventory'!$C$5:$C$304,B97,'Fabric Inventory'!$K$5:$K$304))</f>
        <v/>
      </c>
      <c r="U97" s="19" t="str">
        <f>IF(B97="","",SUMIF('Fabric Inventory'!$C$5:$C$304,B97,'Fabric Inventory'!$L$5:$L$304))</f>
        <v/>
      </c>
      <c r="V97" s="19" t="str">
        <f>IF(B97="","",SUMIF('Fabric Inventory'!$C$5:$C$304,B97,'Fabric Inventory'!$N$5:$N$304))</f>
        <v/>
      </c>
      <c r="W97" s="19" t="str">
        <f>IF(B97="","",SUMIF('Fabric Inventory'!$C$5:$C$304,B97,'Fabric Inventory'!$O$5:$O$304))</f>
        <v/>
      </c>
    </row>
    <row r="98" spans="1:23">
      <c r="A98" s="7" t="str">
        <f>IF('FGPO Master'!A92="","",'FGPO Master'!E92)</f>
        <v/>
      </c>
      <c r="B98" s="7" t="str">
        <f>IF('FGPO Master'!A92="","",IF('FGPO Master'!D92="FGPO Pending","FGPO Pending",'FGPO Master'!B92))</f>
        <v/>
      </c>
      <c r="C98" s="7" t="str">
        <f>IF('FGPO Master'!A92="","",'FGPO Master'!D92)</f>
        <v/>
      </c>
      <c r="D98" s="7" t="str">
        <f>IF('FGPO Master'!A92="","",'FGPO Master'!F92)</f>
        <v/>
      </c>
      <c r="E98" s="7" t="str">
        <f>IF('FGPO Master'!A92="","",'FGPO Master'!G92)</f>
        <v/>
      </c>
      <c r="F98" s="19" t="str">
        <f>IF('FGPO Master'!A92="","",'FGPO Master'!H92)</f>
        <v/>
      </c>
      <c r="G98" s="19" t="str">
        <f>IF('FGPO Master'!A92="","",'FGPO Master'!M92)</f>
        <v/>
      </c>
      <c r="H98" s="19" t="str">
        <f>IF(B98="","",SUMIF('Fabric Requirement'!$B$5:$B$304,B98,'Fabric Requirement'!$M$5:$M$304)+SUMIF('Fabric Requirement'!$B$5:$B$304,B98,'Fabric Requirement'!$O$5:$O$304))</f>
        <v/>
      </c>
      <c r="I98" s="19" t="str">
        <f>IF(B98="","",SUMIF('Fabric PO'!$B$5:$B$304,B98,'Fabric PO'!$H$5:$H$304))</f>
        <v/>
      </c>
      <c r="J98" s="19" t="str">
        <f>IF(B98="","",SUMIF('Mill Production'!$C$5:$C$304,B98,'Mill Production'!$I$5:$I$304))</f>
        <v/>
      </c>
      <c r="K98" s="7" t="str">
        <f>IF(B98="","",IF(COUNTIF('Mill Test'!$C$5:$C$304,B98)=0,"Pending",IF(COUNTIFS('Mill Test'!$C$5:$C$304,B98,'Mill Test'!$T$5:$T$304,"Failed")&gt;0,"Failed","Passed")))</f>
        <v/>
      </c>
      <c r="L98" s="19" t="str">
        <f>IF(B98="","",SUMIF('Fabric Shipment'!$C$5:$C$304,B98,'Fabric Shipment'!$G$5:$G$304))</f>
        <v/>
      </c>
      <c r="M98" s="19" t="str">
        <f>IF(B98="","",SUMIF('Fabric Shipment'!$C$5:$C$304,B98,'Fabric Shipment'!$R$5:$R$304))</f>
        <v/>
      </c>
      <c r="N98" s="19" t="str">
        <f>IF(B98="","",SUMIF('Fabric Receiving'!$E$5:$E$304,B98,'Fabric Receiving'!$H$5:$H$304))</f>
        <v/>
      </c>
      <c r="O98" s="19" t="str">
        <f>IF(B98="","",SUMIF('Fabric Receiving'!$E$5:$E$304,B98,'Fabric Receiving'!$I$5:$I$304))</f>
        <v/>
      </c>
      <c r="P98" s="7" t="str">
        <f>IF(B98="","",IF(COUNTIF('Four-Point'!$E$5:$E$304,B98)=0,"Pending",IF(COUNTIFS('Four-Point'!$E$5:$E$304,B98,'Four-Point'!$T$5:$T$304,"Failed")&gt;0,"Failed","Passed")))</f>
        <v/>
      </c>
      <c r="Q98" s="7" t="str">
        <f>IF(B98="","",IF(COUNTIF('Internal Test'!$D$5:$D$304,B98)=0,"Pending",IF(COUNTIFS('Internal Test'!$D$5:$D$304,B98,'Internal Test'!$AA$5:$AA$304,"Failed")&gt;0,"Failed","Passed")))</f>
        <v/>
      </c>
      <c r="R98" s="7" t="str">
        <f>IF(B98="","",IF(COUNTIF('Shade Match'!$C$5:$C$304,B98)=0,"Pending",IF(COUNTIFS('Shade Match'!$C$5:$C$304,B98,'Shade Match'!$Q$5:$Q$304,"Failed")&gt;0,"Failed","Approved")))</f>
        <v/>
      </c>
      <c r="S98" s="19" t="str">
        <f>IF(B98="","",SUMIF('Fabric Inventory'!$C$5:$C$304,B98,'Fabric Inventory'!$H$5:$H$304))</f>
        <v/>
      </c>
      <c r="T98" s="19" t="str">
        <f>IF(B98="","",SUMIF('Fabric Inventory'!$C$5:$C$304,B98,'Fabric Inventory'!$K$5:$K$304))</f>
        <v/>
      </c>
      <c r="U98" s="19" t="str">
        <f>IF(B98="","",SUMIF('Fabric Inventory'!$C$5:$C$304,B98,'Fabric Inventory'!$L$5:$L$304))</f>
        <v/>
      </c>
      <c r="V98" s="19" t="str">
        <f>IF(B98="","",SUMIF('Fabric Inventory'!$C$5:$C$304,B98,'Fabric Inventory'!$N$5:$N$304))</f>
        <v/>
      </c>
      <c r="W98" s="19" t="str">
        <f>IF(B98="","",SUMIF('Fabric Inventory'!$C$5:$C$304,B98,'Fabric Inventory'!$O$5:$O$304))</f>
        <v/>
      </c>
    </row>
    <row r="99" spans="1:23">
      <c r="A99" s="7" t="str">
        <f>IF('FGPO Master'!A93="","",'FGPO Master'!E93)</f>
        <v/>
      </c>
      <c r="B99" s="7" t="str">
        <f>IF('FGPO Master'!A93="","",IF('FGPO Master'!D93="FGPO Pending","FGPO Pending",'FGPO Master'!B93))</f>
        <v/>
      </c>
      <c r="C99" s="7" t="str">
        <f>IF('FGPO Master'!A93="","",'FGPO Master'!D93)</f>
        <v/>
      </c>
      <c r="D99" s="7" t="str">
        <f>IF('FGPO Master'!A93="","",'FGPO Master'!F93)</f>
        <v/>
      </c>
      <c r="E99" s="7" t="str">
        <f>IF('FGPO Master'!A93="","",'FGPO Master'!G93)</f>
        <v/>
      </c>
      <c r="F99" s="19" t="str">
        <f>IF('FGPO Master'!A93="","",'FGPO Master'!H93)</f>
        <v/>
      </c>
      <c r="G99" s="19" t="str">
        <f>IF('FGPO Master'!A93="","",'FGPO Master'!M93)</f>
        <v/>
      </c>
      <c r="H99" s="19" t="str">
        <f>IF(B99="","",SUMIF('Fabric Requirement'!$B$5:$B$304,B99,'Fabric Requirement'!$M$5:$M$304)+SUMIF('Fabric Requirement'!$B$5:$B$304,B99,'Fabric Requirement'!$O$5:$O$304))</f>
        <v/>
      </c>
      <c r="I99" s="19" t="str">
        <f>IF(B99="","",SUMIF('Fabric PO'!$B$5:$B$304,B99,'Fabric PO'!$H$5:$H$304))</f>
        <v/>
      </c>
      <c r="J99" s="19" t="str">
        <f>IF(B99="","",SUMIF('Mill Production'!$C$5:$C$304,B99,'Mill Production'!$I$5:$I$304))</f>
        <v/>
      </c>
      <c r="K99" s="7" t="str">
        <f>IF(B99="","",IF(COUNTIF('Mill Test'!$C$5:$C$304,B99)=0,"Pending",IF(COUNTIFS('Mill Test'!$C$5:$C$304,B99,'Mill Test'!$T$5:$T$304,"Failed")&gt;0,"Failed","Passed")))</f>
        <v/>
      </c>
      <c r="L99" s="19" t="str">
        <f>IF(B99="","",SUMIF('Fabric Shipment'!$C$5:$C$304,B99,'Fabric Shipment'!$G$5:$G$304))</f>
        <v/>
      </c>
      <c r="M99" s="19" t="str">
        <f>IF(B99="","",SUMIF('Fabric Shipment'!$C$5:$C$304,B99,'Fabric Shipment'!$R$5:$R$304))</f>
        <v/>
      </c>
      <c r="N99" s="19" t="str">
        <f>IF(B99="","",SUMIF('Fabric Receiving'!$E$5:$E$304,B99,'Fabric Receiving'!$H$5:$H$304))</f>
        <v/>
      </c>
      <c r="O99" s="19" t="str">
        <f>IF(B99="","",SUMIF('Fabric Receiving'!$E$5:$E$304,B99,'Fabric Receiving'!$I$5:$I$304))</f>
        <v/>
      </c>
      <c r="P99" s="7" t="str">
        <f>IF(B99="","",IF(COUNTIF('Four-Point'!$E$5:$E$304,B99)=0,"Pending",IF(COUNTIFS('Four-Point'!$E$5:$E$304,B99,'Four-Point'!$T$5:$T$304,"Failed")&gt;0,"Failed","Passed")))</f>
        <v/>
      </c>
      <c r="Q99" s="7" t="str">
        <f>IF(B99="","",IF(COUNTIF('Internal Test'!$D$5:$D$304,B99)=0,"Pending",IF(COUNTIFS('Internal Test'!$D$5:$D$304,B99,'Internal Test'!$AA$5:$AA$304,"Failed")&gt;0,"Failed","Passed")))</f>
        <v/>
      </c>
      <c r="R99" s="7" t="str">
        <f>IF(B99="","",IF(COUNTIF('Shade Match'!$C$5:$C$304,B99)=0,"Pending",IF(COUNTIFS('Shade Match'!$C$5:$C$304,B99,'Shade Match'!$Q$5:$Q$304,"Failed")&gt;0,"Failed","Approved")))</f>
        <v/>
      </c>
      <c r="S99" s="19" t="str">
        <f>IF(B99="","",SUMIF('Fabric Inventory'!$C$5:$C$304,B99,'Fabric Inventory'!$H$5:$H$304))</f>
        <v/>
      </c>
      <c r="T99" s="19" t="str">
        <f>IF(B99="","",SUMIF('Fabric Inventory'!$C$5:$C$304,B99,'Fabric Inventory'!$K$5:$K$304))</f>
        <v/>
      </c>
      <c r="U99" s="19" t="str">
        <f>IF(B99="","",SUMIF('Fabric Inventory'!$C$5:$C$304,B99,'Fabric Inventory'!$L$5:$L$304))</f>
        <v/>
      </c>
      <c r="V99" s="19" t="str">
        <f>IF(B99="","",SUMIF('Fabric Inventory'!$C$5:$C$304,B99,'Fabric Inventory'!$N$5:$N$304))</f>
        <v/>
      </c>
      <c r="W99" s="19" t="str">
        <f>IF(B99="","",SUMIF('Fabric Inventory'!$C$5:$C$304,B99,'Fabric Inventory'!$O$5:$O$304))</f>
        <v/>
      </c>
    </row>
    <row r="100" spans="1:23">
      <c r="A100" s="7" t="str">
        <f>IF('FGPO Master'!A94="","",'FGPO Master'!E94)</f>
        <v/>
      </c>
      <c r="B100" s="7" t="str">
        <f>IF('FGPO Master'!A94="","",IF('FGPO Master'!D94="FGPO Pending","FGPO Pending",'FGPO Master'!B94))</f>
        <v/>
      </c>
      <c r="C100" s="7" t="str">
        <f>IF('FGPO Master'!A94="","",'FGPO Master'!D94)</f>
        <v/>
      </c>
      <c r="D100" s="7" t="str">
        <f>IF('FGPO Master'!A94="","",'FGPO Master'!F94)</f>
        <v/>
      </c>
      <c r="E100" s="7" t="str">
        <f>IF('FGPO Master'!A94="","",'FGPO Master'!G94)</f>
        <v/>
      </c>
      <c r="F100" s="19" t="str">
        <f>IF('FGPO Master'!A94="","",'FGPO Master'!H94)</f>
        <v/>
      </c>
      <c r="G100" s="19" t="str">
        <f>IF('FGPO Master'!A94="","",'FGPO Master'!M94)</f>
        <v/>
      </c>
      <c r="H100" s="19" t="str">
        <f>IF(B100="","",SUMIF('Fabric Requirement'!$B$5:$B$304,B100,'Fabric Requirement'!$M$5:$M$304)+SUMIF('Fabric Requirement'!$B$5:$B$304,B100,'Fabric Requirement'!$O$5:$O$304))</f>
        <v/>
      </c>
      <c r="I100" s="19" t="str">
        <f>IF(B100="","",SUMIF('Fabric PO'!$B$5:$B$304,B100,'Fabric PO'!$H$5:$H$304))</f>
        <v/>
      </c>
      <c r="J100" s="19" t="str">
        <f>IF(B100="","",SUMIF('Mill Production'!$C$5:$C$304,B100,'Mill Production'!$I$5:$I$304))</f>
        <v/>
      </c>
      <c r="K100" s="7" t="str">
        <f>IF(B100="","",IF(COUNTIF('Mill Test'!$C$5:$C$304,B100)=0,"Pending",IF(COUNTIFS('Mill Test'!$C$5:$C$304,B100,'Mill Test'!$T$5:$T$304,"Failed")&gt;0,"Failed","Passed")))</f>
        <v/>
      </c>
      <c r="L100" s="19" t="str">
        <f>IF(B100="","",SUMIF('Fabric Shipment'!$C$5:$C$304,B100,'Fabric Shipment'!$G$5:$G$304))</f>
        <v/>
      </c>
      <c r="M100" s="19" t="str">
        <f>IF(B100="","",SUMIF('Fabric Shipment'!$C$5:$C$304,B100,'Fabric Shipment'!$R$5:$R$304))</f>
        <v/>
      </c>
      <c r="N100" s="19" t="str">
        <f>IF(B100="","",SUMIF('Fabric Receiving'!$E$5:$E$304,B100,'Fabric Receiving'!$H$5:$H$304))</f>
        <v/>
      </c>
      <c r="O100" s="19" t="str">
        <f>IF(B100="","",SUMIF('Fabric Receiving'!$E$5:$E$304,B100,'Fabric Receiving'!$I$5:$I$304))</f>
        <v/>
      </c>
      <c r="P100" s="7" t="str">
        <f>IF(B100="","",IF(COUNTIF('Four-Point'!$E$5:$E$304,B100)=0,"Pending",IF(COUNTIFS('Four-Point'!$E$5:$E$304,B100,'Four-Point'!$T$5:$T$304,"Failed")&gt;0,"Failed","Passed")))</f>
        <v/>
      </c>
      <c r="Q100" s="7" t="str">
        <f>IF(B100="","",IF(COUNTIF('Internal Test'!$D$5:$D$304,B100)=0,"Pending",IF(COUNTIFS('Internal Test'!$D$5:$D$304,B100,'Internal Test'!$AA$5:$AA$304,"Failed")&gt;0,"Failed","Passed")))</f>
        <v/>
      </c>
      <c r="R100" s="7" t="str">
        <f>IF(B100="","",IF(COUNTIF('Shade Match'!$C$5:$C$304,B100)=0,"Pending",IF(COUNTIFS('Shade Match'!$C$5:$C$304,B100,'Shade Match'!$Q$5:$Q$304,"Failed")&gt;0,"Failed","Approved")))</f>
        <v/>
      </c>
      <c r="S100" s="19" t="str">
        <f>IF(B100="","",SUMIF('Fabric Inventory'!$C$5:$C$304,B100,'Fabric Inventory'!$H$5:$H$304))</f>
        <v/>
      </c>
      <c r="T100" s="19" t="str">
        <f>IF(B100="","",SUMIF('Fabric Inventory'!$C$5:$C$304,B100,'Fabric Inventory'!$K$5:$K$304))</f>
        <v/>
      </c>
      <c r="U100" s="19" t="str">
        <f>IF(B100="","",SUMIF('Fabric Inventory'!$C$5:$C$304,B100,'Fabric Inventory'!$L$5:$L$304))</f>
        <v/>
      </c>
      <c r="V100" s="19" t="str">
        <f>IF(B100="","",SUMIF('Fabric Inventory'!$C$5:$C$304,B100,'Fabric Inventory'!$N$5:$N$304))</f>
        <v/>
      </c>
      <c r="W100" s="19" t="str">
        <f>IF(B100="","",SUMIF('Fabric Inventory'!$C$5:$C$304,B100,'Fabric Inventory'!$O$5:$O$304))</f>
        <v/>
      </c>
    </row>
    <row r="101" spans="1:23">
      <c r="A101" s="7" t="str">
        <f>IF('FGPO Master'!A95="","",'FGPO Master'!E95)</f>
        <v/>
      </c>
      <c r="B101" s="7" t="str">
        <f>IF('FGPO Master'!A95="","",IF('FGPO Master'!D95="FGPO Pending","FGPO Pending",'FGPO Master'!B95))</f>
        <v/>
      </c>
      <c r="C101" s="7" t="str">
        <f>IF('FGPO Master'!A95="","",'FGPO Master'!D95)</f>
        <v/>
      </c>
      <c r="D101" s="7" t="str">
        <f>IF('FGPO Master'!A95="","",'FGPO Master'!F95)</f>
        <v/>
      </c>
      <c r="E101" s="7" t="str">
        <f>IF('FGPO Master'!A95="","",'FGPO Master'!G95)</f>
        <v/>
      </c>
      <c r="F101" s="19" t="str">
        <f>IF('FGPO Master'!A95="","",'FGPO Master'!H95)</f>
        <v/>
      </c>
      <c r="G101" s="19" t="str">
        <f>IF('FGPO Master'!A95="","",'FGPO Master'!M95)</f>
        <v/>
      </c>
      <c r="H101" s="19" t="str">
        <f>IF(B101="","",SUMIF('Fabric Requirement'!$B$5:$B$304,B101,'Fabric Requirement'!$M$5:$M$304)+SUMIF('Fabric Requirement'!$B$5:$B$304,B101,'Fabric Requirement'!$O$5:$O$304))</f>
        <v/>
      </c>
      <c r="I101" s="19" t="str">
        <f>IF(B101="","",SUMIF('Fabric PO'!$B$5:$B$304,B101,'Fabric PO'!$H$5:$H$304))</f>
        <v/>
      </c>
      <c r="J101" s="19" t="str">
        <f>IF(B101="","",SUMIF('Mill Production'!$C$5:$C$304,B101,'Mill Production'!$I$5:$I$304))</f>
        <v/>
      </c>
      <c r="K101" s="7" t="str">
        <f>IF(B101="","",IF(COUNTIF('Mill Test'!$C$5:$C$304,B101)=0,"Pending",IF(COUNTIFS('Mill Test'!$C$5:$C$304,B101,'Mill Test'!$T$5:$T$304,"Failed")&gt;0,"Failed","Passed")))</f>
        <v/>
      </c>
      <c r="L101" s="19" t="str">
        <f>IF(B101="","",SUMIF('Fabric Shipment'!$C$5:$C$304,B101,'Fabric Shipment'!$G$5:$G$304))</f>
        <v/>
      </c>
      <c r="M101" s="19" t="str">
        <f>IF(B101="","",SUMIF('Fabric Shipment'!$C$5:$C$304,B101,'Fabric Shipment'!$R$5:$R$304))</f>
        <v/>
      </c>
      <c r="N101" s="19" t="str">
        <f>IF(B101="","",SUMIF('Fabric Receiving'!$E$5:$E$304,B101,'Fabric Receiving'!$H$5:$H$304))</f>
        <v/>
      </c>
      <c r="O101" s="19" t="str">
        <f>IF(B101="","",SUMIF('Fabric Receiving'!$E$5:$E$304,B101,'Fabric Receiving'!$I$5:$I$304))</f>
        <v/>
      </c>
      <c r="P101" s="7" t="str">
        <f>IF(B101="","",IF(COUNTIF('Four-Point'!$E$5:$E$304,B101)=0,"Pending",IF(COUNTIFS('Four-Point'!$E$5:$E$304,B101,'Four-Point'!$T$5:$T$304,"Failed")&gt;0,"Failed","Passed")))</f>
        <v/>
      </c>
      <c r="Q101" s="7" t="str">
        <f>IF(B101="","",IF(COUNTIF('Internal Test'!$D$5:$D$304,B101)=0,"Pending",IF(COUNTIFS('Internal Test'!$D$5:$D$304,B101,'Internal Test'!$AA$5:$AA$304,"Failed")&gt;0,"Failed","Passed")))</f>
        <v/>
      </c>
      <c r="R101" s="7" t="str">
        <f>IF(B101="","",IF(COUNTIF('Shade Match'!$C$5:$C$304,B101)=0,"Pending",IF(COUNTIFS('Shade Match'!$C$5:$C$304,B101,'Shade Match'!$Q$5:$Q$304,"Failed")&gt;0,"Failed","Approved")))</f>
        <v/>
      </c>
      <c r="S101" s="19" t="str">
        <f>IF(B101="","",SUMIF('Fabric Inventory'!$C$5:$C$304,B101,'Fabric Inventory'!$H$5:$H$304))</f>
        <v/>
      </c>
      <c r="T101" s="19" t="str">
        <f>IF(B101="","",SUMIF('Fabric Inventory'!$C$5:$C$304,B101,'Fabric Inventory'!$K$5:$K$304))</f>
        <v/>
      </c>
      <c r="U101" s="19" t="str">
        <f>IF(B101="","",SUMIF('Fabric Inventory'!$C$5:$C$304,B101,'Fabric Inventory'!$L$5:$L$304))</f>
        <v/>
      </c>
      <c r="V101" s="19" t="str">
        <f>IF(B101="","",SUMIF('Fabric Inventory'!$C$5:$C$304,B101,'Fabric Inventory'!$N$5:$N$304))</f>
        <v/>
      </c>
      <c r="W101" s="19" t="str">
        <f>IF(B101="","",SUMIF('Fabric Inventory'!$C$5:$C$304,B101,'Fabric Inventory'!$O$5:$O$304))</f>
        <v/>
      </c>
    </row>
    <row r="102" spans="1:23">
      <c r="A102" s="7" t="str">
        <f>IF('FGPO Master'!A96="","",'FGPO Master'!E96)</f>
        <v/>
      </c>
      <c r="B102" s="7" t="str">
        <f>IF('FGPO Master'!A96="","",IF('FGPO Master'!D96="FGPO Pending","FGPO Pending",'FGPO Master'!B96))</f>
        <v/>
      </c>
      <c r="C102" s="7" t="str">
        <f>IF('FGPO Master'!A96="","",'FGPO Master'!D96)</f>
        <v/>
      </c>
      <c r="D102" s="7" t="str">
        <f>IF('FGPO Master'!A96="","",'FGPO Master'!F96)</f>
        <v/>
      </c>
      <c r="E102" s="7" t="str">
        <f>IF('FGPO Master'!A96="","",'FGPO Master'!G96)</f>
        <v/>
      </c>
      <c r="F102" s="19" t="str">
        <f>IF('FGPO Master'!A96="","",'FGPO Master'!H96)</f>
        <v/>
      </c>
      <c r="G102" s="19" t="str">
        <f>IF('FGPO Master'!A96="","",'FGPO Master'!M96)</f>
        <v/>
      </c>
      <c r="H102" s="19" t="str">
        <f>IF(B102="","",SUMIF('Fabric Requirement'!$B$5:$B$304,B102,'Fabric Requirement'!$M$5:$M$304)+SUMIF('Fabric Requirement'!$B$5:$B$304,B102,'Fabric Requirement'!$O$5:$O$304))</f>
        <v/>
      </c>
      <c r="I102" s="19" t="str">
        <f>IF(B102="","",SUMIF('Fabric PO'!$B$5:$B$304,B102,'Fabric PO'!$H$5:$H$304))</f>
        <v/>
      </c>
      <c r="J102" s="19" t="str">
        <f>IF(B102="","",SUMIF('Mill Production'!$C$5:$C$304,B102,'Mill Production'!$I$5:$I$304))</f>
        <v/>
      </c>
      <c r="K102" s="7" t="str">
        <f>IF(B102="","",IF(COUNTIF('Mill Test'!$C$5:$C$304,B102)=0,"Pending",IF(COUNTIFS('Mill Test'!$C$5:$C$304,B102,'Mill Test'!$T$5:$T$304,"Failed")&gt;0,"Failed","Passed")))</f>
        <v/>
      </c>
      <c r="L102" s="19" t="str">
        <f>IF(B102="","",SUMIF('Fabric Shipment'!$C$5:$C$304,B102,'Fabric Shipment'!$G$5:$G$304))</f>
        <v/>
      </c>
      <c r="M102" s="19" t="str">
        <f>IF(B102="","",SUMIF('Fabric Shipment'!$C$5:$C$304,B102,'Fabric Shipment'!$R$5:$R$304))</f>
        <v/>
      </c>
      <c r="N102" s="19" t="str">
        <f>IF(B102="","",SUMIF('Fabric Receiving'!$E$5:$E$304,B102,'Fabric Receiving'!$H$5:$H$304))</f>
        <v/>
      </c>
      <c r="O102" s="19" t="str">
        <f>IF(B102="","",SUMIF('Fabric Receiving'!$E$5:$E$304,B102,'Fabric Receiving'!$I$5:$I$304))</f>
        <v/>
      </c>
      <c r="P102" s="7" t="str">
        <f>IF(B102="","",IF(COUNTIF('Four-Point'!$E$5:$E$304,B102)=0,"Pending",IF(COUNTIFS('Four-Point'!$E$5:$E$304,B102,'Four-Point'!$T$5:$T$304,"Failed")&gt;0,"Failed","Passed")))</f>
        <v/>
      </c>
      <c r="Q102" s="7" t="str">
        <f>IF(B102="","",IF(COUNTIF('Internal Test'!$D$5:$D$304,B102)=0,"Pending",IF(COUNTIFS('Internal Test'!$D$5:$D$304,B102,'Internal Test'!$AA$5:$AA$304,"Failed")&gt;0,"Failed","Passed")))</f>
        <v/>
      </c>
      <c r="R102" s="7" t="str">
        <f>IF(B102="","",IF(COUNTIF('Shade Match'!$C$5:$C$304,B102)=0,"Pending",IF(COUNTIFS('Shade Match'!$C$5:$C$304,B102,'Shade Match'!$Q$5:$Q$304,"Failed")&gt;0,"Failed","Approved")))</f>
        <v/>
      </c>
      <c r="S102" s="19" t="str">
        <f>IF(B102="","",SUMIF('Fabric Inventory'!$C$5:$C$304,B102,'Fabric Inventory'!$H$5:$H$304))</f>
        <v/>
      </c>
      <c r="T102" s="19" t="str">
        <f>IF(B102="","",SUMIF('Fabric Inventory'!$C$5:$C$304,B102,'Fabric Inventory'!$K$5:$K$304))</f>
        <v/>
      </c>
      <c r="U102" s="19" t="str">
        <f>IF(B102="","",SUMIF('Fabric Inventory'!$C$5:$C$304,B102,'Fabric Inventory'!$L$5:$L$304))</f>
        <v/>
      </c>
      <c r="V102" s="19" t="str">
        <f>IF(B102="","",SUMIF('Fabric Inventory'!$C$5:$C$304,B102,'Fabric Inventory'!$N$5:$N$304))</f>
        <v/>
      </c>
      <c r="W102" s="19" t="str">
        <f>IF(B102="","",SUMIF('Fabric Inventory'!$C$5:$C$304,B102,'Fabric Inventory'!$O$5:$O$304))</f>
        <v/>
      </c>
    </row>
    <row r="103" spans="1:23">
      <c r="A103" s="7" t="str">
        <f>IF('FGPO Master'!A97="","",'FGPO Master'!E97)</f>
        <v/>
      </c>
      <c r="B103" s="7" t="str">
        <f>IF('FGPO Master'!A97="","",IF('FGPO Master'!D97="FGPO Pending","FGPO Pending",'FGPO Master'!B97))</f>
        <v/>
      </c>
      <c r="C103" s="7" t="str">
        <f>IF('FGPO Master'!A97="","",'FGPO Master'!D97)</f>
        <v/>
      </c>
      <c r="D103" s="7" t="str">
        <f>IF('FGPO Master'!A97="","",'FGPO Master'!F97)</f>
        <v/>
      </c>
      <c r="E103" s="7" t="str">
        <f>IF('FGPO Master'!A97="","",'FGPO Master'!G97)</f>
        <v/>
      </c>
      <c r="F103" s="19" t="str">
        <f>IF('FGPO Master'!A97="","",'FGPO Master'!H97)</f>
        <v/>
      </c>
      <c r="G103" s="19" t="str">
        <f>IF('FGPO Master'!A97="","",'FGPO Master'!M97)</f>
        <v/>
      </c>
      <c r="H103" s="19" t="str">
        <f>IF(B103="","",SUMIF('Fabric Requirement'!$B$5:$B$304,B103,'Fabric Requirement'!$M$5:$M$304)+SUMIF('Fabric Requirement'!$B$5:$B$304,B103,'Fabric Requirement'!$O$5:$O$304))</f>
        <v/>
      </c>
      <c r="I103" s="19" t="str">
        <f>IF(B103="","",SUMIF('Fabric PO'!$B$5:$B$304,B103,'Fabric PO'!$H$5:$H$304))</f>
        <v/>
      </c>
      <c r="J103" s="19" t="str">
        <f>IF(B103="","",SUMIF('Mill Production'!$C$5:$C$304,B103,'Mill Production'!$I$5:$I$304))</f>
        <v/>
      </c>
      <c r="K103" s="7" t="str">
        <f>IF(B103="","",IF(COUNTIF('Mill Test'!$C$5:$C$304,B103)=0,"Pending",IF(COUNTIFS('Mill Test'!$C$5:$C$304,B103,'Mill Test'!$T$5:$T$304,"Failed")&gt;0,"Failed","Passed")))</f>
        <v/>
      </c>
      <c r="L103" s="19" t="str">
        <f>IF(B103="","",SUMIF('Fabric Shipment'!$C$5:$C$304,B103,'Fabric Shipment'!$G$5:$G$304))</f>
        <v/>
      </c>
      <c r="M103" s="19" t="str">
        <f>IF(B103="","",SUMIF('Fabric Shipment'!$C$5:$C$304,B103,'Fabric Shipment'!$R$5:$R$304))</f>
        <v/>
      </c>
      <c r="N103" s="19" t="str">
        <f>IF(B103="","",SUMIF('Fabric Receiving'!$E$5:$E$304,B103,'Fabric Receiving'!$H$5:$H$304))</f>
        <v/>
      </c>
      <c r="O103" s="19" t="str">
        <f>IF(B103="","",SUMIF('Fabric Receiving'!$E$5:$E$304,B103,'Fabric Receiving'!$I$5:$I$304))</f>
        <v/>
      </c>
      <c r="P103" s="7" t="str">
        <f>IF(B103="","",IF(COUNTIF('Four-Point'!$E$5:$E$304,B103)=0,"Pending",IF(COUNTIFS('Four-Point'!$E$5:$E$304,B103,'Four-Point'!$T$5:$T$304,"Failed")&gt;0,"Failed","Passed")))</f>
        <v/>
      </c>
      <c r="Q103" s="7" t="str">
        <f>IF(B103="","",IF(COUNTIF('Internal Test'!$D$5:$D$304,B103)=0,"Pending",IF(COUNTIFS('Internal Test'!$D$5:$D$304,B103,'Internal Test'!$AA$5:$AA$304,"Failed")&gt;0,"Failed","Passed")))</f>
        <v/>
      </c>
      <c r="R103" s="7" t="str">
        <f>IF(B103="","",IF(COUNTIF('Shade Match'!$C$5:$C$304,B103)=0,"Pending",IF(COUNTIFS('Shade Match'!$C$5:$C$304,B103,'Shade Match'!$Q$5:$Q$304,"Failed")&gt;0,"Failed","Approved")))</f>
        <v/>
      </c>
      <c r="S103" s="19" t="str">
        <f>IF(B103="","",SUMIF('Fabric Inventory'!$C$5:$C$304,B103,'Fabric Inventory'!$H$5:$H$304))</f>
        <v/>
      </c>
      <c r="T103" s="19" t="str">
        <f>IF(B103="","",SUMIF('Fabric Inventory'!$C$5:$C$304,B103,'Fabric Inventory'!$K$5:$K$304))</f>
        <v/>
      </c>
      <c r="U103" s="19" t="str">
        <f>IF(B103="","",SUMIF('Fabric Inventory'!$C$5:$C$304,B103,'Fabric Inventory'!$L$5:$L$304))</f>
        <v/>
      </c>
      <c r="V103" s="19" t="str">
        <f>IF(B103="","",SUMIF('Fabric Inventory'!$C$5:$C$304,B103,'Fabric Inventory'!$N$5:$N$304))</f>
        <v/>
      </c>
      <c r="W103" s="19" t="str">
        <f>IF(B103="","",SUMIF('Fabric Inventory'!$C$5:$C$304,B103,'Fabric Inventory'!$O$5:$O$304))</f>
        <v/>
      </c>
    </row>
    <row r="104" spans="1:23">
      <c r="A104" s="7" t="str">
        <f>IF('FGPO Master'!A98="","",'FGPO Master'!E98)</f>
        <v/>
      </c>
      <c r="B104" s="7" t="str">
        <f>IF('FGPO Master'!A98="","",IF('FGPO Master'!D98="FGPO Pending","FGPO Pending",'FGPO Master'!B98))</f>
        <v/>
      </c>
      <c r="C104" s="7" t="str">
        <f>IF('FGPO Master'!A98="","",'FGPO Master'!D98)</f>
        <v/>
      </c>
      <c r="D104" s="7" t="str">
        <f>IF('FGPO Master'!A98="","",'FGPO Master'!F98)</f>
        <v/>
      </c>
      <c r="E104" s="7" t="str">
        <f>IF('FGPO Master'!A98="","",'FGPO Master'!G98)</f>
        <v/>
      </c>
      <c r="F104" s="19" t="str">
        <f>IF('FGPO Master'!A98="","",'FGPO Master'!H98)</f>
        <v/>
      </c>
      <c r="G104" s="19" t="str">
        <f>IF('FGPO Master'!A98="","",'FGPO Master'!M98)</f>
        <v/>
      </c>
      <c r="H104" s="19" t="str">
        <f>IF(B104="","",SUMIF('Fabric Requirement'!$B$5:$B$304,B104,'Fabric Requirement'!$M$5:$M$304)+SUMIF('Fabric Requirement'!$B$5:$B$304,B104,'Fabric Requirement'!$O$5:$O$304))</f>
        <v/>
      </c>
      <c r="I104" s="19" t="str">
        <f>IF(B104="","",SUMIF('Fabric PO'!$B$5:$B$304,B104,'Fabric PO'!$H$5:$H$304))</f>
        <v/>
      </c>
      <c r="J104" s="19" t="str">
        <f>IF(B104="","",SUMIF('Mill Production'!$C$5:$C$304,B104,'Mill Production'!$I$5:$I$304))</f>
        <v/>
      </c>
      <c r="K104" s="7" t="str">
        <f>IF(B104="","",IF(COUNTIF('Mill Test'!$C$5:$C$304,B104)=0,"Pending",IF(COUNTIFS('Mill Test'!$C$5:$C$304,B104,'Mill Test'!$T$5:$T$304,"Failed")&gt;0,"Failed","Passed")))</f>
        <v/>
      </c>
      <c r="L104" s="19" t="str">
        <f>IF(B104="","",SUMIF('Fabric Shipment'!$C$5:$C$304,B104,'Fabric Shipment'!$G$5:$G$304))</f>
        <v/>
      </c>
      <c r="M104" s="19" t="str">
        <f>IF(B104="","",SUMIF('Fabric Shipment'!$C$5:$C$304,B104,'Fabric Shipment'!$R$5:$R$304))</f>
        <v/>
      </c>
      <c r="N104" s="19" t="str">
        <f>IF(B104="","",SUMIF('Fabric Receiving'!$E$5:$E$304,B104,'Fabric Receiving'!$H$5:$H$304))</f>
        <v/>
      </c>
      <c r="O104" s="19" t="str">
        <f>IF(B104="","",SUMIF('Fabric Receiving'!$E$5:$E$304,B104,'Fabric Receiving'!$I$5:$I$304))</f>
        <v/>
      </c>
      <c r="P104" s="7" t="str">
        <f>IF(B104="","",IF(COUNTIF('Four-Point'!$E$5:$E$304,B104)=0,"Pending",IF(COUNTIFS('Four-Point'!$E$5:$E$304,B104,'Four-Point'!$T$5:$T$304,"Failed")&gt;0,"Failed","Passed")))</f>
        <v/>
      </c>
      <c r="Q104" s="7" t="str">
        <f>IF(B104="","",IF(COUNTIF('Internal Test'!$D$5:$D$304,B104)=0,"Pending",IF(COUNTIFS('Internal Test'!$D$5:$D$304,B104,'Internal Test'!$AA$5:$AA$304,"Failed")&gt;0,"Failed","Passed")))</f>
        <v/>
      </c>
      <c r="R104" s="7" t="str">
        <f>IF(B104="","",IF(COUNTIF('Shade Match'!$C$5:$C$304,B104)=0,"Pending",IF(COUNTIFS('Shade Match'!$C$5:$C$304,B104,'Shade Match'!$Q$5:$Q$304,"Failed")&gt;0,"Failed","Approved")))</f>
        <v/>
      </c>
      <c r="S104" s="19" t="str">
        <f>IF(B104="","",SUMIF('Fabric Inventory'!$C$5:$C$304,B104,'Fabric Inventory'!$H$5:$H$304))</f>
        <v/>
      </c>
      <c r="T104" s="19" t="str">
        <f>IF(B104="","",SUMIF('Fabric Inventory'!$C$5:$C$304,B104,'Fabric Inventory'!$K$5:$K$304))</f>
        <v/>
      </c>
      <c r="U104" s="19" t="str">
        <f>IF(B104="","",SUMIF('Fabric Inventory'!$C$5:$C$304,B104,'Fabric Inventory'!$L$5:$L$304))</f>
        <v/>
      </c>
      <c r="V104" s="19" t="str">
        <f>IF(B104="","",SUMIF('Fabric Inventory'!$C$5:$C$304,B104,'Fabric Inventory'!$N$5:$N$304))</f>
        <v/>
      </c>
      <c r="W104" s="19" t="str">
        <f>IF(B104="","",SUMIF('Fabric Inventory'!$C$5:$C$304,B104,'Fabric Inventory'!$O$5:$O$304))</f>
        <v/>
      </c>
    </row>
    <row r="105" spans="1:23">
      <c r="A105" s="7" t="str">
        <f>IF('FGPO Master'!A99="","",'FGPO Master'!E99)</f>
        <v/>
      </c>
      <c r="B105" s="7" t="str">
        <f>IF('FGPO Master'!A99="","",IF('FGPO Master'!D99="FGPO Pending","FGPO Pending",'FGPO Master'!B99))</f>
        <v/>
      </c>
      <c r="C105" s="7" t="str">
        <f>IF('FGPO Master'!A99="","",'FGPO Master'!D99)</f>
        <v/>
      </c>
      <c r="D105" s="7" t="str">
        <f>IF('FGPO Master'!A99="","",'FGPO Master'!F99)</f>
        <v/>
      </c>
      <c r="E105" s="7" t="str">
        <f>IF('FGPO Master'!A99="","",'FGPO Master'!G99)</f>
        <v/>
      </c>
      <c r="F105" s="19" t="str">
        <f>IF('FGPO Master'!A99="","",'FGPO Master'!H99)</f>
        <v/>
      </c>
      <c r="G105" s="19" t="str">
        <f>IF('FGPO Master'!A99="","",'FGPO Master'!M99)</f>
        <v/>
      </c>
      <c r="H105" s="19" t="str">
        <f>IF(B105="","",SUMIF('Fabric Requirement'!$B$5:$B$304,B105,'Fabric Requirement'!$M$5:$M$304)+SUMIF('Fabric Requirement'!$B$5:$B$304,B105,'Fabric Requirement'!$O$5:$O$304))</f>
        <v/>
      </c>
      <c r="I105" s="19" t="str">
        <f>IF(B105="","",SUMIF('Fabric PO'!$B$5:$B$304,B105,'Fabric PO'!$H$5:$H$304))</f>
        <v/>
      </c>
      <c r="J105" s="19" t="str">
        <f>IF(B105="","",SUMIF('Mill Production'!$C$5:$C$304,B105,'Mill Production'!$I$5:$I$304))</f>
        <v/>
      </c>
      <c r="K105" s="7" t="str">
        <f>IF(B105="","",IF(COUNTIF('Mill Test'!$C$5:$C$304,B105)=0,"Pending",IF(COUNTIFS('Mill Test'!$C$5:$C$304,B105,'Mill Test'!$T$5:$T$304,"Failed")&gt;0,"Failed","Passed")))</f>
        <v/>
      </c>
      <c r="L105" s="19" t="str">
        <f>IF(B105="","",SUMIF('Fabric Shipment'!$C$5:$C$304,B105,'Fabric Shipment'!$G$5:$G$304))</f>
        <v/>
      </c>
      <c r="M105" s="19" t="str">
        <f>IF(B105="","",SUMIF('Fabric Shipment'!$C$5:$C$304,B105,'Fabric Shipment'!$R$5:$R$304))</f>
        <v/>
      </c>
      <c r="N105" s="19" t="str">
        <f>IF(B105="","",SUMIF('Fabric Receiving'!$E$5:$E$304,B105,'Fabric Receiving'!$H$5:$H$304))</f>
        <v/>
      </c>
      <c r="O105" s="19" t="str">
        <f>IF(B105="","",SUMIF('Fabric Receiving'!$E$5:$E$304,B105,'Fabric Receiving'!$I$5:$I$304))</f>
        <v/>
      </c>
      <c r="P105" s="7" t="str">
        <f>IF(B105="","",IF(COUNTIF('Four-Point'!$E$5:$E$304,B105)=0,"Pending",IF(COUNTIFS('Four-Point'!$E$5:$E$304,B105,'Four-Point'!$T$5:$T$304,"Failed")&gt;0,"Failed","Passed")))</f>
        <v/>
      </c>
      <c r="Q105" s="7" t="str">
        <f>IF(B105="","",IF(COUNTIF('Internal Test'!$D$5:$D$304,B105)=0,"Pending",IF(COUNTIFS('Internal Test'!$D$5:$D$304,B105,'Internal Test'!$AA$5:$AA$304,"Failed")&gt;0,"Failed","Passed")))</f>
        <v/>
      </c>
      <c r="R105" s="7" t="str">
        <f>IF(B105="","",IF(COUNTIF('Shade Match'!$C$5:$C$304,B105)=0,"Pending",IF(COUNTIFS('Shade Match'!$C$5:$C$304,B105,'Shade Match'!$Q$5:$Q$304,"Failed")&gt;0,"Failed","Approved")))</f>
        <v/>
      </c>
      <c r="S105" s="19" t="str">
        <f>IF(B105="","",SUMIF('Fabric Inventory'!$C$5:$C$304,B105,'Fabric Inventory'!$H$5:$H$304))</f>
        <v/>
      </c>
      <c r="T105" s="19" t="str">
        <f>IF(B105="","",SUMIF('Fabric Inventory'!$C$5:$C$304,B105,'Fabric Inventory'!$K$5:$K$304))</f>
        <v/>
      </c>
      <c r="U105" s="19" t="str">
        <f>IF(B105="","",SUMIF('Fabric Inventory'!$C$5:$C$304,B105,'Fabric Inventory'!$L$5:$L$304))</f>
        <v/>
      </c>
      <c r="V105" s="19" t="str">
        <f>IF(B105="","",SUMIF('Fabric Inventory'!$C$5:$C$304,B105,'Fabric Inventory'!$N$5:$N$304))</f>
        <v/>
      </c>
      <c r="W105" s="19" t="str">
        <f>IF(B105="","",SUMIF('Fabric Inventory'!$C$5:$C$304,B105,'Fabric Inventory'!$O$5:$O$304))</f>
        <v/>
      </c>
    </row>
    <row r="106" spans="1:23">
      <c r="A106" s="7" t="str">
        <f>IF('FGPO Master'!A100="","",'FGPO Master'!E100)</f>
        <v/>
      </c>
      <c r="B106" s="7" t="str">
        <f>IF('FGPO Master'!A100="","",IF('FGPO Master'!D100="FGPO Pending","FGPO Pending",'FGPO Master'!B100))</f>
        <v/>
      </c>
      <c r="C106" s="7" t="str">
        <f>IF('FGPO Master'!A100="","",'FGPO Master'!D100)</f>
        <v/>
      </c>
      <c r="D106" s="7" t="str">
        <f>IF('FGPO Master'!A100="","",'FGPO Master'!F100)</f>
        <v/>
      </c>
      <c r="E106" s="7" t="str">
        <f>IF('FGPO Master'!A100="","",'FGPO Master'!G100)</f>
        <v/>
      </c>
      <c r="F106" s="19" t="str">
        <f>IF('FGPO Master'!A100="","",'FGPO Master'!H100)</f>
        <v/>
      </c>
      <c r="G106" s="19" t="str">
        <f>IF('FGPO Master'!A100="","",'FGPO Master'!M100)</f>
        <v/>
      </c>
      <c r="H106" s="19" t="str">
        <f>IF(B106="","",SUMIF('Fabric Requirement'!$B$5:$B$304,B106,'Fabric Requirement'!$M$5:$M$304)+SUMIF('Fabric Requirement'!$B$5:$B$304,B106,'Fabric Requirement'!$O$5:$O$304))</f>
        <v/>
      </c>
      <c r="I106" s="19" t="str">
        <f>IF(B106="","",SUMIF('Fabric PO'!$B$5:$B$304,B106,'Fabric PO'!$H$5:$H$304))</f>
        <v/>
      </c>
      <c r="J106" s="19" t="str">
        <f>IF(B106="","",SUMIF('Mill Production'!$C$5:$C$304,B106,'Mill Production'!$I$5:$I$304))</f>
        <v/>
      </c>
      <c r="K106" s="7" t="str">
        <f>IF(B106="","",IF(COUNTIF('Mill Test'!$C$5:$C$304,B106)=0,"Pending",IF(COUNTIFS('Mill Test'!$C$5:$C$304,B106,'Mill Test'!$T$5:$T$304,"Failed")&gt;0,"Failed","Passed")))</f>
        <v/>
      </c>
      <c r="L106" s="19" t="str">
        <f>IF(B106="","",SUMIF('Fabric Shipment'!$C$5:$C$304,B106,'Fabric Shipment'!$G$5:$G$304))</f>
        <v/>
      </c>
      <c r="M106" s="19" t="str">
        <f>IF(B106="","",SUMIF('Fabric Shipment'!$C$5:$C$304,B106,'Fabric Shipment'!$R$5:$R$304))</f>
        <v/>
      </c>
      <c r="N106" s="19" t="str">
        <f>IF(B106="","",SUMIF('Fabric Receiving'!$E$5:$E$304,B106,'Fabric Receiving'!$H$5:$H$304))</f>
        <v/>
      </c>
      <c r="O106" s="19" t="str">
        <f>IF(B106="","",SUMIF('Fabric Receiving'!$E$5:$E$304,B106,'Fabric Receiving'!$I$5:$I$304))</f>
        <v/>
      </c>
      <c r="P106" s="7" t="str">
        <f>IF(B106="","",IF(COUNTIF('Four-Point'!$E$5:$E$304,B106)=0,"Pending",IF(COUNTIFS('Four-Point'!$E$5:$E$304,B106,'Four-Point'!$T$5:$T$304,"Failed")&gt;0,"Failed","Passed")))</f>
        <v/>
      </c>
      <c r="Q106" s="7" t="str">
        <f>IF(B106="","",IF(COUNTIF('Internal Test'!$D$5:$D$304,B106)=0,"Pending",IF(COUNTIFS('Internal Test'!$D$5:$D$304,B106,'Internal Test'!$AA$5:$AA$304,"Failed")&gt;0,"Failed","Passed")))</f>
        <v/>
      </c>
      <c r="R106" s="7" t="str">
        <f>IF(B106="","",IF(COUNTIF('Shade Match'!$C$5:$C$304,B106)=0,"Pending",IF(COUNTIFS('Shade Match'!$C$5:$C$304,B106,'Shade Match'!$Q$5:$Q$304,"Failed")&gt;0,"Failed","Approved")))</f>
        <v/>
      </c>
      <c r="S106" s="19" t="str">
        <f>IF(B106="","",SUMIF('Fabric Inventory'!$C$5:$C$304,B106,'Fabric Inventory'!$H$5:$H$304))</f>
        <v/>
      </c>
      <c r="T106" s="19" t="str">
        <f>IF(B106="","",SUMIF('Fabric Inventory'!$C$5:$C$304,B106,'Fabric Inventory'!$K$5:$K$304))</f>
        <v/>
      </c>
      <c r="U106" s="19" t="str">
        <f>IF(B106="","",SUMIF('Fabric Inventory'!$C$5:$C$304,B106,'Fabric Inventory'!$L$5:$L$304))</f>
        <v/>
      </c>
      <c r="V106" s="19" t="str">
        <f>IF(B106="","",SUMIF('Fabric Inventory'!$C$5:$C$304,B106,'Fabric Inventory'!$N$5:$N$304))</f>
        <v/>
      </c>
      <c r="W106" s="19" t="str">
        <f>IF(B106="","",SUMIF('Fabric Inventory'!$C$5:$C$304,B106,'Fabric Inventory'!$O$5:$O$304))</f>
        <v/>
      </c>
    </row>
    <row r="107" spans="1:23">
      <c r="A107" s="7" t="str">
        <f>IF('FGPO Master'!A101="","",'FGPO Master'!E101)</f>
        <v/>
      </c>
      <c r="B107" s="7" t="str">
        <f>IF('FGPO Master'!A101="","",IF('FGPO Master'!D101="FGPO Pending","FGPO Pending",'FGPO Master'!B101))</f>
        <v/>
      </c>
      <c r="C107" s="7" t="str">
        <f>IF('FGPO Master'!A101="","",'FGPO Master'!D101)</f>
        <v/>
      </c>
      <c r="D107" s="7" t="str">
        <f>IF('FGPO Master'!A101="","",'FGPO Master'!F101)</f>
        <v/>
      </c>
      <c r="E107" s="7" t="str">
        <f>IF('FGPO Master'!A101="","",'FGPO Master'!G101)</f>
        <v/>
      </c>
      <c r="F107" s="19" t="str">
        <f>IF('FGPO Master'!A101="","",'FGPO Master'!H101)</f>
        <v/>
      </c>
      <c r="G107" s="19" t="str">
        <f>IF('FGPO Master'!A101="","",'FGPO Master'!M101)</f>
        <v/>
      </c>
      <c r="H107" s="19" t="str">
        <f>IF(B107="","",SUMIF('Fabric Requirement'!$B$5:$B$304,B107,'Fabric Requirement'!$M$5:$M$304)+SUMIF('Fabric Requirement'!$B$5:$B$304,B107,'Fabric Requirement'!$O$5:$O$304))</f>
        <v/>
      </c>
      <c r="I107" s="19" t="str">
        <f>IF(B107="","",SUMIF('Fabric PO'!$B$5:$B$304,B107,'Fabric PO'!$H$5:$H$304))</f>
        <v/>
      </c>
      <c r="J107" s="19" t="str">
        <f>IF(B107="","",SUMIF('Mill Production'!$C$5:$C$304,B107,'Mill Production'!$I$5:$I$304))</f>
        <v/>
      </c>
      <c r="K107" s="7" t="str">
        <f>IF(B107="","",IF(COUNTIF('Mill Test'!$C$5:$C$304,B107)=0,"Pending",IF(COUNTIFS('Mill Test'!$C$5:$C$304,B107,'Mill Test'!$T$5:$T$304,"Failed")&gt;0,"Failed","Passed")))</f>
        <v/>
      </c>
      <c r="L107" s="19" t="str">
        <f>IF(B107="","",SUMIF('Fabric Shipment'!$C$5:$C$304,B107,'Fabric Shipment'!$G$5:$G$304))</f>
        <v/>
      </c>
      <c r="M107" s="19" t="str">
        <f>IF(B107="","",SUMIF('Fabric Shipment'!$C$5:$C$304,B107,'Fabric Shipment'!$R$5:$R$304))</f>
        <v/>
      </c>
      <c r="N107" s="19" t="str">
        <f>IF(B107="","",SUMIF('Fabric Receiving'!$E$5:$E$304,B107,'Fabric Receiving'!$H$5:$H$304))</f>
        <v/>
      </c>
      <c r="O107" s="19" t="str">
        <f>IF(B107="","",SUMIF('Fabric Receiving'!$E$5:$E$304,B107,'Fabric Receiving'!$I$5:$I$304))</f>
        <v/>
      </c>
      <c r="P107" s="7" t="str">
        <f>IF(B107="","",IF(COUNTIF('Four-Point'!$E$5:$E$304,B107)=0,"Pending",IF(COUNTIFS('Four-Point'!$E$5:$E$304,B107,'Four-Point'!$T$5:$T$304,"Failed")&gt;0,"Failed","Passed")))</f>
        <v/>
      </c>
      <c r="Q107" s="7" t="str">
        <f>IF(B107="","",IF(COUNTIF('Internal Test'!$D$5:$D$304,B107)=0,"Pending",IF(COUNTIFS('Internal Test'!$D$5:$D$304,B107,'Internal Test'!$AA$5:$AA$304,"Failed")&gt;0,"Failed","Passed")))</f>
        <v/>
      </c>
      <c r="R107" s="7" t="str">
        <f>IF(B107="","",IF(COUNTIF('Shade Match'!$C$5:$C$304,B107)=0,"Pending",IF(COUNTIFS('Shade Match'!$C$5:$C$304,B107,'Shade Match'!$Q$5:$Q$304,"Failed")&gt;0,"Failed","Approved")))</f>
        <v/>
      </c>
      <c r="S107" s="19" t="str">
        <f>IF(B107="","",SUMIF('Fabric Inventory'!$C$5:$C$304,B107,'Fabric Inventory'!$H$5:$H$304))</f>
        <v/>
      </c>
      <c r="T107" s="19" t="str">
        <f>IF(B107="","",SUMIF('Fabric Inventory'!$C$5:$C$304,B107,'Fabric Inventory'!$K$5:$K$304))</f>
        <v/>
      </c>
      <c r="U107" s="19" t="str">
        <f>IF(B107="","",SUMIF('Fabric Inventory'!$C$5:$C$304,B107,'Fabric Inventory'!$L$5:$L$304))</f>
        <v/>
      </c>
      <c r="V107" s="19" t="str">
        <f>IF(B107="","",SUMIF('Fabric Inventory'!$C$5:$C$304,B107,'Fabric Inventory'!$N$5:$N$304))</f>
        <v/>
      </c>
      <c r="W107" s="19" t="str">
        <f>IF(B107="","",SUMIF('Fabric Inventory'!$C$5:$C$304,B107,'Fabric Inventory'!$O$5:$O$304))</f>
        <v/>
      </c>
    </row>
    <row r="108" spans="1:23">
      <c r="A108" s="7" t="str">
        <f>IF('FGPO Master'!A102="","",'FGPO Master'!E102)</f>
        <v/>
      </c>
      <c r="B108" s="7" t="str">
        <f>IF('FGPO Master'!A102="","",IF('FGPO Master'!D102="FGPO Pending","FGPO Pending",'FGPO Master'!B102))</f>
        <v/>
      </c>
      <c r="C108" s="7" t="str">
        <f>IF('FGPO Master'!A102="","",'FGPO Master'!D102)</f>
        <v/>
      </c>
      <c r="D108" s="7" t="str">
        <f>IF('FGPO Master'!A102="","",'FGPO Master'!F102)</f>
        <v/>
      </c>
      <c r="E108" s="7" t="str">
        <f>IF('FGPO Master'!A102="","",'FGPO Master'!G102)</f>
        <v/>
      </c>
      <c r="F108" s="19" t="str">
        <f>IF('FGPO Master'!A102="","",'FGPO Master'!H102)</f>
        <v/>
      </c>
      <c r="G108" s="19" t="str">
        <f>IF('FGPO Master'!A102="","",'FGPO Master'!M102)</f>
        <v/>
      </c>
      <c r="H108" s="19" t="str">
        <f>IF(B108="","",SUMIF('Fabric Requirement'!$B$5:$B$304,B108,'Fabric Requirement'!$M$5:$M$304)+SUMIF('Fabric Requirement'!$B$5:$B$304,B108,'Fabric Requirement'!$O$5:$O$304))</f>
        <v/>
      </c>
      <c r="I108" s="19" t="str">
        <f>IF(B108="","",SUMIF('Fabric PO'!$B$5:$B$304,B108,'Fabric PO'!$H$5:$H$304))</f>
        <v/>
      </c>
      <c r="J108" s="19" t="str">
        <f>IF(B108="","",SUMIF('Mill Production'!$C$5:$C$304,B108,'Mill Production'!$I$5:$I$304))</f>
        <v/>
      </c>
      <c r="K108" s="7" t="str">
        <f>IF(B108="","",IF(COUNTIF('Mill Test'!$C$5:$C$304,B108)=0,"Pending",IF(COUNTIFS('Mill Test'!$C$5:$C$304,B108,'Mill Test'!$T$5:$T$304,"Failed")&gt;0,"Failed","Passed")))</f>
        <v/>
      </c>
      <c r="L108" s="19" t="str">
        <f>IF(B108="","",SUMIF('Fabric Shipment'!$C$5:$C$304,B108,'Fabric Shipment'!$G$5:$G$304))</f>
        <v/>
      </c>
      <c r="M108" s="19" t="str">
        <f>IF(B108="","",SUMIF('Fabric Shipment'!$C$5:$C$304,B108,'Fabric Shipment'!$R$5:$R$304))</f>
        <v/>
      </c>
      <c r="N108" s="19" t="str">
        <f>IF(B108="","",SUMIF('Fabric Receiving'!$E$5:$E$304,B108,'Fabric Receiving'!$H$5:$H$304))</f>
        <v/>
      </c>
      <c r="O108" s="19" t="str">
        <f>IF(B108="","",SUMIF('Fabric Receiving'!$E$5:$E$304,B108,'Fabric Receiving'!$I$5:$I$304))</f>
        <v/>
      </c>
      <c r="P108" s="7" t="str">
        <f>IF(B108="","",IF(COUNTIF('Four-Point'!$E$5:$E$304,B108)=0,"Pending",IF(COUNTIFS('Four-Point'!$E$5:$E$304,B108,'Four-Point'!$T$5:$T$304,"Failed")&gt;0,"Failed","Passed")))</f>
        <v/>
      </c>
      <c r="Q108" s="7" t="str">
        <f>IF(B108="","",IF(COUNTIF('Internal Test'!$D$5:$D$304,B108)=0,"Pending",IF(COUNTIFS('Internal Test'!$D$5:$D$304,B108,'Internal Test'!$AA$5:$AA$304,"Failed")&gt;0,"Failed","Passed")))</f>
        <v/>
      </c>
      <c r="R108" s="7" t="str">
        <f>IF(B108="","",IF(COUNTIF('Shade Match'!$C$5:$C$304,B108)=0,"Pending",IF(COUNTIFS('Shade Match'!$C$5:$C$304,B108,'Shade Match'!$Q$5:$Q$304,"Failed")&gt;0,"Failed","Approved")))</f>
        <v/>
      </c>
      <c r="S108" s="19" t="str">
        <f>IF(B108="","",SUMIF('Fabric Inventory'!$C$5:$C$304,B108,'Fabric Inventory'!$H$5:$H$304))</f>
        <v/>
      </c>
      <c r="T108" s="19" t="str">
        <f>IF(B108="","",SUMIF('Fabric Inventory'!$C$5:$C$304,B108,'Fabric Inventory'!$K$5:$K$304))</f>
        <v/>
      </c>
      <c r="U108" s="19" t="str">
        <f>IF(B108="","",SUMIF('Fabric Inventory'!$C$5:$C$304,B108,'Fabric Inventory'!$L$5:$L$304))</f>
        <v/>
      </c>
      <c r="V108" s="19" t="str">
        <f>IF(B108="","",SUMIF('Fabric Inventory'!$C$5:$C$304,B108,'Fabric Inventory'!$N$5:$N$304))</f>
        <v/>
      </c>
      <c r="W108" s="19" t="str">
        <f>IF(B108="","",SUMIF('Fabric Inventory'!$C$5:$C$304,B108,'Fabric Inventory'!$O$5:$O$304))</f>
        <v/>
      </c>
    </row>
    <row r="109" spans="1:23">
      <c r="A109" s="7" t="str">
        <f>IF('FGPO Master'!A103="","",'FGPO Master'!E103)</f>
        <v/>
      </c>
      <c r="B109" s="7" t="str">
        <f>IF('FGPO Master'!A103="","",IF('FGPO Master'!D103="FGPO Pending","FGPO Pending",'FGPO Master'!B103))</f>
        <v/>
      </c>
      <c r="C109" s="7" t="str">
        <f>IF('FGPO Master'!A103="","",'FGPO Master'!D103)</f>
        <v/>
      </c>
      <c r="D109" s="7" t="str">
        <f>IF('FGPO Master'!A103="","",'FGPO Master'!F103)</f>
        <v/>
      </c>
      <c r="E109" s="7" t="str">
        <f>IF('FGPO Master'!A103="","",'FGPO Master'!G103)</f>
        <v/>
      </c>
      <c r="F109" s="19" t="str">
        <f>IF('FGPO Master'!A103="","",'FGPO Master'!H103)</f>
        <v/>
      </c>
      <c r="G109" s="19" t="str">
        <f>IF('FGPO Master'!A103="","",'FGPO Master'!M103)</f>
        <v/>
      </c>
      <c r="H109" s="19" t="str">
        <f>IF(B109="","",SUMIF('Fabric Requirement'!$B$5:$B$304,B109,'Fabric Requirement'!$M$5:$M$304)+SUMIF('Fabric Requirement'!$B$5:$B$304,B109,'Fabric Requirement'!$O$5:$O$304))</f>
        <v/>
      </c>
      <c r="I109" s="19" t="str">
        <f>IF(B109="","",SUMIF('Fabric PO'!$B$5:$B$304,B109,'Fabric PO'!$H$5:$H$304))</f>
        <v/>
      </c>
      <c r="J109" s="19" t="str">
        <f>IF(B109="","",SUMIF('Mill Production'!$C$5:$C$304,B109,'Mill Production'!$I$5:$I$304))</f>
        <v/>
      </c>
      <c r="K109" s="7" t="str">
        <f>IF(B109="","",IF(COUNTIF('Mill Test'!$C$5:$C$304,B109)=0,"Pending",IF(COUNTIFS('Mill Test'!$C$5:$C$304,B109,'Mill Test'!$T$5:$T$304,"Failed")&gt;0,"Failed","Passed")))</f>
        <v/>
      </c>
      <c r="L109" s="19" t="str">
        <f>IF(B109="","",SUMIF('Fabric Shipment'!$C$5:$C$304,B109,'Fabric Shipment'!$G$5:$G$304))</f>
        <v/>
      </c>
      <c r="M109" s="19" t="str">
        <f>IF(B109="","",SUMIF('Fabric Shipment'!$C$5:$C$304,B109,'Fabric Shipment'!$R$5:$R$304))</f>
        <v/>
      </c>
      <c r="N109" s="19" t="str">
        <f>IF(B109="","",SUMIF('Fabric Receiving'!$E$5:$E$304,B109,'Fabric Receiving'!$H$5:$H$304))</f>
        <v/>
      </c>
      <c r="O109" s="19" t="str">
        <f>IF(B109="","",SUMIF('Fabric Receiving'!$E$5:$E$304,B109,'Fabric Receiving'!$I$5:$I$304))</f>
        <v/>
      </c>
      <c r="P109" s="7" t="str">
        <f>IF(B109="","",IF(COUNTIF('Four-Point'!$E$5:$E$304,B109)=0,"Pending",IF(COUNTIFS('Four-Point'!$E$5:$E$304,B109,'Four-Point'!$T$5:$T$304,"Failed")&gt;0,"Failed","Passed")))</f>
        <v/>
      </c>
      <c r="Q109" s="7" t="str">
        <f>IF(B109="","",IF(COUNTIF('Internal Test'!$D$5:$D$304,B109)=0,"Pending",IF(COUNTIFS('Internal Test'!$D$5:$D$304,B109,'Internal Test'!$AA$5:$AA$304,"Failed")&gt;0,"Failed","Passed")))</f>
        <v/>
      </c>
      <c r="R109" s="7" t="str">
        <f>IF(B109="","",IF(COUNTIF('Shade Match'!$C$5:$C$304,B109)=0,"Pending",IF(COUNTIFS('Shade Match'!$C$5:$C$304,B109,'Shade Match'!$Q$5:$Q$304,"Failed")&gt;0,"Failed","Approved")))</f>
        <v/>
      </c>
      <c r="S109" s="19" t="str">
        <f>IF(B109="","",SUMIF('Fabric Inventory'!$C$5:$C$304,B109,'Fabric Inventory'!$H$5:$H$304))</f>
        <v/>
      </c>
      <c r="T109" s="19" t="str">
        <f>IF(B109="","",SUMIF('Fabric Inventory'!$C$5:$C$304,B109,'Fabric Inventory'!$K$5:$K$304))</f>
        <v/>
      </c>
      <c r="U109" s="19" t="str">
        <f>IF(B109="","",SUMIF('Fabric Inventory'!$C$5:$C$304,B109,'Fabric Inventory'!$L$5:$L$304))</f>
        <v/>
      </c>
      <c r="V109" s="19" t="str">
        <f>IF(B109="","",SUMIF('Fabric Inventory'!$C$5:$C$304,B109,'Fabric Inventory'!$N$5:$N$304))</f>
        <v/>
      </c>
      <c r="W109" s="19" t="str">
        <f>IF(B109="","",SUMIF('Fabric Inventory'!$C$5:$C$304,B109,'Fabric Inventory'!$O$5:$O$304))</f>
        <v/>
      </c>
    </row>
    <row r="110" spans="1:23">
      <c r="A110" s="7" t="str">
        <f>IF('FGPO Master'!A104="","",'FGPO Master'!E104)</f>
        <v/>
      </c>
      <c r="B110" s="7" t="str">
        <f>IF('FGPO Master'!A104="","",IF('FGPO Master'!D104="FGPO Pending","FGPO Pending",'FGPO Master'!B104))</f>
        <v/>
      </c>
      <c r="C110" s="7" t="str">
        <f>IF('FGPO Master'!A104="","",'FGPO Master'!D104)</f>
        <v/>
      </c>
      <c r="D110" s="7" t="str">
        <f>IF('FGPO Master'!A104="","",'FGPO Master'!F104)</f>
        <v/>
      </c>
      <c r="E110" s="7" t="str">
        <f>IF('FGPO Master'!A104="","",'FGPO Master'!G104)</f>
        <v/>
      </c>
      <c r="F110" s="19" t="str">
        <f>IF('FGPO Master'!A104="","",'FGPO Master'!H104)</f>
        <v/>
      </c>
      <c r="G110" s="19" t="str">
        <f>IF('FGPO Master'!A104="","",'FGPO Master'!M104)</f>
        <v/>
      </c>
      <c r="H110" s="19" t="str">
        <f>IF(B110="","",SUMIF('Fabric Requirement'!$B$5:$B$304,B110,'Fabric Requirement'!$M$5:$M$304)+SUMIF('Fabric Requirement'!$B$5:$B$304,B110,'Fabric Requirement'!$O$5:$O$304))</f>
        <v/>
      </c>
      <c r="I110" s="19" t="str">
        <f>IF(B110="","",SUMIF('Fabric PO'!$B$5:$B$304,B110,'Fabric PO'!$H$5:$H$304))</f>
        <v/>
      </c>
      <c r="J110" s="19" t="str">
        <f>IF(B110="","",SUMIF('Mill Production'!$C$5:$C$304,B110,'Mill Production'!$I$5:$I$304))</f>
        <v/>
      </c>
      <c r="K110" s="7" t="str">
        <f>IF(B110="","",IF(COUNTIF('Mill Test'!$C$5:$C$304,B110)=0,"Pending",IF(COUNTIFS('Mill Test'!$C$5:$C$304,B110,'Mill Test'!$T$5:$T$304,"Failed")&gt;0,"Failed","Passed")))</f>
        <v/>
      </c>
      <c r="L110" s="19" t="str">
        <f>IF(B110="","",SUMIF('Fabric Shipment'!$C$5:$C$304,B110,'Fabric Shipment'!$G$5:$G$304))</f>
        <v/>
      </c>
      <c r="M110" s="19" t="str">
        <f>IF(B110="","",SUMIF('Fabric Shipment'!$C$5:$C$304,B110,'Fabric Shipment'!$R$5:$R$304))</f>
        <v/>
      </c>
      <c r="N110" s="19" t="str">
        <f>IF(B110="","",SUMIF('Fabric Receiving'!$E$5:$E$304,B110,'Fabric Receiving'!$H$5:$H$304))</f>
        <v/>
      </c>
      <c r="O110" s="19" t="str">
        <f>IF(B110="","",SUMIF('Fabric Receiving'!$E$5:$E$304,B110,'Fabric Receiving'!$I$5:$I$304))</f>
        <v/>
      </c>
      <c r="P110" s="7" t="str">
        <f>IF(B110="","",IF(COUNTIF('Four-Point'!$E$5:$E$304,B110)=0,"Pending",IF(COUNTIFS('Four-Point'!$E$5:$E$304,B110,'Four-Point'!$T$5:$T$304,"Failed")&gt;0,"Failed","Passed")))</f>
        <v/>
      </c>
      <c r="Q110" s="7" t="str">
        <f>IF(B110="","",IF(COUNTIF('Internal Test'!$D$5:$D$304,B110)=0,"Pending",IF(COUNTIFS('Internal Test'!$D$5:$D$304,B110,'Internal Test'!$AA$5:$AA$304,"Failed")&gt;0,"Failed","Passed")))</f>
        <v/>
      </c>
      <c r="R110" s="7" t="str">
        <f>IF(B110="","",IF(COUNTIF('Shade Match'!$C$5:$C$304,B110)=0,"Pending",IF(COUNTIFS('Shade Match'!$C$5:$C$304,B110,'Shade Match'!$Q$5:$Q$304,"Failed")&gt;0,"Failed","Approved")))</f>
        <v/>
      </c>
      <c r="S110" s="19" t="str">
        <f>IF(B110="","",SUMIF('Fabric Inventory'!$C$5:$C$304,B110,'Fabric Inventory'!$H$5:$H$304))</f>
        <v/>
      </c>
      <c r="T110" s="19" t="str">
        <f>IF(B110="","",SUMIF('Fabric Inventory'!$C$5:$C$304,B110,'Fabric Inventory'!$K$5:$K$304))</f>
        <v/>
      </c>
      <c r="U110" s="19" t="str">
        <f>IF(B110="","",SUMIF('Fabric Inventory'!$C$5:$C$304,B110,'Fabric Inventory'!$L$5:$L$304))</f>
        <v/>
      </c>
      <c r="V110" s="19" t="str">
        <f>IF(B110="","",SUMIF('Fabric Inventory'!$C$5:$C$304,B110,'Fabric Inventory'!$N$5:$N$304))</f>
        <v/>
      </c>
      <c r="W110" s="19" t="str">
        <f>IF(B110="","",SUMIF('Fabric Inventory'!$C$5:$C$304,B110,'Fabric Inventory'!$O$5:$O$304))</f>
        <v/>
      </c>
    </row>
    <row r="111" spans="1:23">
      <c r="A111" s="7" t="str">
        <f>IF('FGPO Master'!A105="","",'FGPO Master'!E105)</f>
        <v/>
      </c>
      <c r="B111" s="7" t="str">
        <f>IF('FGPO Master'!A105="","",IF('FGPO Master'!D105="FGPO Pending","FGPO Pending",'FGPO Master'!B105))</f>
        <v/>
      </c>
      <c r="C111" s="7" t="str">
        <f>IF('FGPO Master'!A105="","",'FGPO Master'!D105)</f>
        <v/>
      </c>
      <c r="D111" s="7" t="str">
        <f>IF('FGPO Master'!A105="","",'FGPO Master'!F105)</f>
        <v/>
      </c>
      <c r="E111" s="7" t="str">
        <f>IF('FGPO Master'!A105="","",'FGPO Master'!G105)</f>
        <v/>
      </c>
      <c r="F111" s="19" t="str">
        <f>IF('FGPO Master'!A105="","",'FGPO Master'!H105)</f>
        <v/>
      </c>
      <c r="G111" s="19" t="str">
        <f>IF('FGPO Master'!A105="","",'FGPO Master'!M105)</f>
        <v/>
      </c>
      <c r="H111" s="19" t="str">
        <f>IF(B111="","",SUMIF('Fabric Requirement'!$B$5:$B$304,B111,'Fabric Requirement'!$M$5:$M$304)+SUMIF('Fabric Requirement'!$B$5:$B$304,B111,'Fabric Requirement'!$O$5:$O$304))</f>
        <v/>
      </c>
      <c r="I111" s="19" t="str">
        <f>IF(B111="","",SUMIF('Fabric PO'!$B$5:$B$304,B111,'Fabric PO'!$H$5:$H$304))</f>
        <v/>
      </c>
      <c r="J111" s="19" t="str">
        <f>IF(B111="","",SUMIF('Mill Production'!$C$5:$C$304,B111,'Mill Production'!$I$5:$I$304))</f>
        <v/>
      </c>
      <c r="K111" s="7" t="str">
        <f>IF(B111="","",IF(COUNTIF('Mill Test'!$C$5:$C$304,B111)=0,"Pending",IF(COUNTIFS('Mill Test'!$C$5:$C$304,B111,'Mill Test'!$T$5:$T$304,"Failed")&gt;0,"Failed","Passed")))</f>
        <v/>
      </c>
      <c r="L111" s="19" t="str">
        <f>IF(B111="","",SUMIF('Fabric Shipment'!$C$5:$C$304,B111,'Fabric Shipment'!$G$5:$G$304))</f>
        <v/>
      </c>
      <c r="M111" s="19" t="str">
        <f>IF(B111="","",SUMIF('Fabric Shipment'!$C$5:$C$304,B111,'Fabric Shipment'!$R$5:$R$304))</f>
        <v/>
      </c>
      <c r="N111" s="19" t="str">
        <f>IF(B111="","",SUMIF('Fabric Receiving'!$E$5:$E$304,B111,'Fabric Receiving'!$H$5:$H$304))</f>
        <v/>
      </c>
      <c r="O111" s="19" t="str">
        <f>IF(B111="","",SUMIF('Fabric Receiving'!$E$5:$E$304,B111,'Fabric Receiving'!$I$5:$I$304))</f>
        <v/>
      </c>
      <c r="P111" s="7" t="str">
        <f>IF(B111="","",IF(COUNTIF('Four-Point'!$E$5:$E$304,B111)=0,"Pending",IF(COUNTIFS('Four-Point'!$E$5:$E$304,B111,'Four-Point'!$T$5:$T$304,"Failed")&gt;0,"Failed","Passed")))</f>
        <v/>
      </c>
      <c r="Q111" s="7" t="str">
        <f>IF(B111="","",IF(COUNTIF('Internal Test'!$D$5:$D$304,B111)=0,"Pending",IF(COUNTIFS('Internal Test'!$D$5:$D$304,B111,'Internal Test'!$AA$5:$AA$304,"Failed")&gt;0,"Failed","Passed")))</f>
        <v/>
      </c>
      <c r="R111" s="7" t="str">
        <f>IF(B111="","",IF(COUNTIF('Shade Match'!$C$5:$C$304,B111)=0,"Pending",IF(COUNTIFS('Shade Match'!$C$5:$C$304,B111,'Shade Match'!$Q$5:$Q$304,"Failed")&gt;0,"Failed","Approved")))</f>
        <v/>
      </c>
      <c r="S111" s="19" t="str">
        <f>IF(B111="","",SUMIF('Fabric Inventory'!$C$5:$C$304,B111,'Fabric Inventory'!$H$5:$H$304))</f>
        <v/>
      </c>
      <c r="T111" s="19" t="str">
        <f>IF(B111="","",SUMIF('Fabric Inventory'!$C$5:$C$304,B111,'Fabric Inventory'!$K$5:$K$304))</f>
        <v/>
      </c>
      <c r="U111" s="19" t="str">
        <f>IF(B111="","",SUMIF('Fabric Inventory'!$C$5:$C$304,B111,'Fabric Inventory'!$L$5:$L$304))</f>
        <v/>
      </c>
      <c r="V111" s="19" t="str">
        <f>IF(B111="","",SUMIF('Fabric Inventory'!$C$5:$C$304,B111,'Fabric Inventory'!$N$5:$N$304))</f>
        <v/>
      </c>
      <c r="W111" s="19" t="str">
        <f>IF(B111="","",SUMIF('Fabric Inventory'!$C$5:$C$304,B111,'Fabric Inventory'!$O$5:$O$304))</f>
        <v/>
      </c>
    </row>
    <row r="112" spans="1:23">
      <c r="A112" s="7" t="str">
        <f>IF('FGPO Master'!A106="","",'FGPO Master'!E106)</f>
        <v/>
      </c>
      <c r="B112" s="7" t="str">
        <f>IF('FGPO Master'!A106="","",IF('FGPO Master'!D106="FGPO Pending","FGPO Pending",'FGPO Master'!B106))</f>
        <v/>
      </c>
      <c r="C112" s="7" t="str">
        <f>IF('FGPO Master'!A106="","",'FGPO Master'!D106)</f>
        <v/>
      </c>
      <c r="D112" s="7" t="str">
        <f>IF('FGPO Master'!A106="","",'FGPO Master'!F106)</f>
        <v/>
      </c>
      <c r="E112" s="7" t="str">
        <f>IF('FGPO Master'!A106="","",'FGPO Master'!G106)</f>
        <v/>
      </c>
      <c r="F112" s="19" t="str">
        <f>IF('FGPO Master'!A106="","",'FGPO Master'!H106)</f>
        <v/>
      </c>
      <c r="G112" s="19" t="str">
        <f>IF('FGPO Master'!A106="","",'FGPO Master'!M106)</f>
        <v/>
      </c>
      <c r="H112" s="19" t="str">
        <f>IF(B112="","",SUMIF('Fabric Requirement'!$B$5:$B$304,B112,'Fabric Requirement'!$M$5:$M$304)+SUMIF('Fabric Requirement'!$B$5:$B$304,B112,'Fabric Requirement'!$O$5:$O$304))</f>
        <v/>
      </c>
      <c r="I112" s="19" t="str">
        <f>IF(B112="","",SUMIF('Fabric PO'!$B$5:$B$304,B112,'Fabric PO'!$H$5:$H$304))</f>
        <v/>
      </c>
      <c r="J112" s="19" t="str">
        <f>IF(B112="","",SUMIF('Mill Production'!$C$5:$C$304,B112,'Mill Production'!$I$5:$I$304))</f>
        <v/>
      </c>
      <c r="K112" s="7" t="str">
        <f>IF(B112="","",IF(COUNTIF('Mill Test'!$C$5:$C$304,B112)=0,"Pending",IF(COUNTIFS('Mill Test'!$C$5:$C$304,B112,'Mill Test'!$T$5:$T$304,"Failed")&gt;0,"Failed","Passed")))</f>
        <v/>
      </c>
      <c r="L112" s="19" t="str">
        <f>IF(B112="","",SUMIF('Fabric Shipment'!$C$5:$C$304,B112,'Fabric Shipment'!$G$5:$G$304))</f>
        <v/>
      </c>
      <c r="M112" s="19" t="str">
        <f>IF(B112="","",SUMIF('Fabric Shipment'!$C$5:$C$304,B112,'Fabric Shipment'!$R$5:$R$304))</f>
        <v/>
      </c>
      <c r="N112" s="19" t="str">
        <f>IF(B112="","",SUMIF('Fabric Receiving'!$E$5:$E$304,B112,'Fabric Receiving'!$H$5:$H$304))</f>
        <v/>
      </c>
      <c r="O112" s="19" t="str">
        <f>IF(B112="","",SUMIF('Fabric Receiving'!$E$5:$E$304,B112,'Fabric Receiving'!$I$5:$I$304))</f>
        <v/>
      </c>
      <c r="P112" s="7" t="str">
        <f>IF(B112="","",IF(COUNTIF('Four-Point'!$E$5:$E$304,B112)=0,"Pending",IF(COUNTIFS('Four-Point'!$E$5:$E$304,B112,'Four-Point'!$T$5:$T$304,"Failed")&gt;0,"Failed","Passed")))</f>
        <v/>
      </c>
      <c r="Q112" s="7" t="str">
        <f>IF(B112="","",IF(COUNTIF('Internal Test'!$D$5:$D$304,B112)=0,"Pending",IF(COUNTIFS('Internal Test'!$D$5:$D$304,B112,'Internal Test'!$AA$5:$AA$304,"Failed")&gt;0,"Failed","Passed")))</f>
        <v/>
      </c>
      <c r="R112" s="7" t="str">
        <f>IF(B112="","",IF(COUNTIF('Shade Match'!$C$5:$C$304,B112)=0,"Pending",IF(COUNTIFS('Shade Match'!$C$5:$C$304,B112,'Shade Match'!$Q$5:$Q$304,"Failed")&gt;0,"Failed","Approved")))</f>
        <v/>
      </c>
      <c r="S112" s="19" t="str">
        <f>IF(B112="","",SUMIF('Fabric Inventory'!$C$5:$C$304,B112,'Fabric Inventory'!$H$5:$H$304))</f>
        <v/>
      </c>
      <c r="T112" s="19" t="str">
        <f>IF(B112="","",SUMIF('Fabric Inventory'!$C$5:$C$304,B112,'Fabric Inventory'!$K$5:$K$304))</f>
        <v/>
      </c>
      <c r="U112" s="19" t="str">
        <f>IF(B112="","",SUMIF('Fabric Inventory'!$C$5:$C$304,B112,'Fabric Inventory'!$L$5:$L$304))</f>
        <v/>
      </c>
      <c r="V112" s="19" t="str">
        <f>IF(B112="","",SUMIF('Fabric Inventory'!$C$5:$C$304,B112,'Fabric Inventory'!$N$5:$N$304))</f>
        <v/>
      </c>
      <c r="W112" s="19" t="str">
        <f>IF(B112="","",SUMIF('Fabric Inventory'!$C$5:$C$304,B112,'Fabric Inventory'!$O$5:$O$304))</f>
        <v/>
      </c>
    </row>
    <row r="113" spans="1:23">
      <c r="A113" s="7" t="str">
        <f>IF('FGPO Master'!A107="","",'FGPO Master'!E107)</f>
        <v/>
      </c>
      <c r="B113" s="7" t="str">
        <f>IF('FGPO Master'!A107="","",IF('FGPO Master'!D107="FGPO Pending","FGPO Pending",'FGPO Master'!B107))</f>
        <v/>
      </c>
      <c r="C113" s="7" t="str">
        <f>IF('FGPO Master'!A107="","",'FGPO Master'!D107)</f>
        <v/>
      </c>
      <c r="D113" s="7" t="str">
        <f>IF('FGPO Master'!A107="","",'FGPO Master'!F107)</f>
        <v/>
      </c>
      <c r="E113" s="7" t="str">
        <f>IF('FGPO Master'!A107="","",'FGPO Master'!G107)</f>
        <v/>
      </c>
      <c r="F113" s="19" t="str">
        <f>IF('FGPO Master'!A107="","",'FGPO Master'!H107)</f>
        <v/>
      </c>
      <c r="G113" s="19" t="str">
        <f>IF('FGPO Master'!A107="","",'FGPO Master'!M107)</f>
        <v/>
      </c>
      <c r="H113" s="19" t="str">
        <f>IF(B113="","",SUMIF('Fabric Requirement'!$B$5:$B$304,B113,'Fabric Requirement'!$M$5:$M$304)+SUMIF('Fabric Requirement'!$B$5:$B$304,B113,'Fabric Requirement'!$O$5:$O$304))</f>
        <v/>
      </c>
      <c r="I113" s="19" t="str">
        <f>IF(B113="","",SUMIF('Fabric PO'!$B$5:$B$304,B113,'Fabric PO'!$H$5:$H$304))</f>
        <v/>
      </c>
      <c r="J113" s="19" t="str">
        <f>IF(B113="","",SUMIF('Mill Production'!$C$5:$C$304,B113,'Mill Production'!$I$5:$I$304))</f>
        <v/>
      </c>
      <c r="K113" s="7" t="str">
        <f>IF(B113="","",IF(COUNTIF('Mill Test'!$C$5:$C$304,B113)=0,"Pending",IF(COUNTIFS('Mill Test'!$C$5:$C$304,B113,'Mill Test'!$T$5:$T$304,"Failed")&gt;0,"Failed","Passed")))</f>
        <v/>
      </c>
      <c r="L113" s="19" t="str">
        <f>IF(B113="","",SUMIF('Fabric Shipment'!$C$5:$C$304,B113,'Fabric Shipment'!$G$5:$G$304))</f>
        <v/>
      </c>
      <c r="M113" s="19" t="str">
        <f>IF(B113="","",SUMIF('Fabric Shipment'!$C$5:$C$304,B113,'Fabric Shipment'!$R$5:$R$304))</f>
        <v/>
      </c>
      <c r="N113" s="19" t="str">
        <f>IF(B113="","",SUMIF('Fabric Receiving'!$E$5:$E$304,B113,'Fabric Receiving'!$H$5:$H$304))</f>
        <v/>
      </c>
      <c r="O113" s="19" t="str">
        <f>IF(B113="","",SUMIF('Fabric Receiving'!$E$5:$E$304,B113,'Fabric Receiving'!$I$5:$I$304))</f>
        <v/>
      </c>
      <c r="P113" s="7" t="str">
        <f>IF(B113="","",IF(COUNTIF('Four-Point'!$E$5:$E$304,B113)=0,"Pending",IF(COUNTIFS('Four-Point'!$E$5:$E$304,B113,'Four-Point'!$T$5:$T$304,"Failed")&gt;0,"Failed","Passed")))</f>
        <v/>
      </c>
      <c r="Q113" s="7" t="str">
        <f>IF(B113="","",IF(COUNTIF('Internal Test'!$D$5:$D$304,B113)=0,"Pending",IF(COUNTIFS('Internal Test'!$D$5:$D$304,B113,'Internal Test'!$AA$5:$AA$304,"Failed")&gt;0,"Failed","Passed")))</f>
        <v/>
      </c>
      <c r="R113" s="7" t="str">
        <f>IF(B113="","",IF(COUNTIF('Shade Match'!$C$5:$C$304,B113)=0,"Pending",IF(COUNTIFS('Shade Match'!$C$5:$C$304,B113,'Shade Match'!$Q$5:$Q$304,"Failed")&gt;0,"Failed","Approved")))</f>
        <v/>
      </c>
      <c r="S113" s="19" t="str">
        <f>IF(B113="","",SUMIF('Fabric Inventory'!$C$5:$C$304,B113,'Fabric Inventory'!$H$5:$H$304))</f>
        <v/>
      </c>
      <c r="T113" s="19" t="str">
        <f>IF(B113="","",SUMIF('Fabric Inventory'!$C$5:$C$304,B113,'Fabric Inventory'!$K$5:$K$304))</f>
        <v/>
      </c>
      <c r="U113" s="19" t="str">
        <f>IF(B113="","",SUMIF('Fabric Inventory'!$C$5:$C$304,B113,'Fabric Inventory'!$L$5:$L$304))</f>
        <v/>
      </c>
      <c r="V113" s="19" t="str">
        <f>IF(B113="","",SUMIF('Fabric Inventory'!$C$5:$C$304,B113,'Fabric Inventory'!$N$5:$N$304))</f>
        <v/>
      </c>
      <c r="W113" s="19" t="str">
        <f>IF(B113="","",SUMIF('Fabric Inventory'!$C$5:$C$304,B113,'Fabric Inventory'!$O$5:$O$304))</f>
        <v/>
      </c>
    </row>
    <row r="114" spans="1:23">
      <c r="A114" s="7" t="str">
        <f>IF('FGPO Master'!A108="","",'FGPO Master'!E108)</f>
        <v/>
      </c>
      <c r="B114" s="7" t="str">
        <f>IF('FGPO Master'!A108="","",IF('FGPO Master'!D108="FGPO Pending","FGPO Pending",'FGPO Master'!B108))</f>
        <v/>
      </c>
      <c r="C114" s="7" t="str">
        <f>IF('FGPO Master'!A108="","",'FGPO Master'!D108)</f>
        <v/>
      </c>
      <c r="D114" s="7" t="str">
        <f>IF('FGPO Master'!A108="","",'FGPO Master'!F108)</f>
        <v/>
      </c>
      <c r="E114" s="7" t="str">
        <f>IF('FGPO Master'!A108="","",'FGPO Master'!G108)</f>
        <v/>
      </c>
      <c r="F114" s="19" t="str">
        <f>IF('FGPO Master'!A108="","",'FGPO Master'!H108)</f>
        <v/>
      </c>
      <c r="G114" s="19" t="str">
        <f>IF('FGPO Master'!A108="","",'FGPO Master'!M108)</f>
        <v/>
      </c>
      <c r="H114" s="19" t="str">
        <f>IF(B114="","",SUMIF('Fabric Requirement'!$B$5:$B$304,B114,'Fabric Requirement'!$M$5:$M$304)+SUMIF('Fabric Requirement'!$B$5:$B$304,B114,'Fabric Requirement'!$O$5:$O$304))</f>
        <v/>
      </c>
      <c r="I114" s="19" t="str">
        <f>IF(B114="","",SUMIF('Fabric PO'!$B$5:$B$304,B114,'Fabric PO'!$H$5:$H$304))</f>
        <v/>
      </c>
      <c r="J114" s="19" t="str">
        <f>IF(B114="","",SUMIF('Mill Production'!$C$5:$C$304,B114,'Mill Production'!$I$5:$I$304))</f>
        <v/>
      </c>
      <c r="K114" s="7" t="str">
        <f>IF(B114="","",IF(COUNTIF('Mill Test'!$C$5:$C$304,B114)=0,"Pending",IF(COUNTIFS('Mill Test'!$C$5:$C$304,B114,'Mill Test'!$T$5:$T$304,"Failed")&gt;0,"Failed","Passed")))</f>
        <v/>
      </c>
      <c r="L114" s="19" t="str">
        <f>IF(B114="","",SUMIF('Fabric Shipment'!$C$5:$C$304,B114,'Fabric Shipment'!$G$5:$G$304))</f>
        <v/>
      </c>
      <c r="M114" s="19" t="str">
        <f>IF(B114="","",SUMIF('Fabric Shipment'!$C$5:$C$304,B114,'Fabric Shipment'!$R$5:$R$304))</f>
        <v/>
      </c>
      <c r="N114" s="19" t="str">
        <f>IF(B114="","",SUMIF('Fabric Receiving'!$E$5:$E$304,B114,'Fabric Receiving'!$H$5:$H$304))</f>
        <v/>
      </c>
      <c r="O114" s="19" t="str">
        <f>IF(B114="","",SUMIF('Fabric Receiving'!$E$5:$E$304,B114,'Fabric Receiving'!$I$5:$I$304))</f>
        <v/>
      </c>
      <c r="P114" s="7" t="str">
        <f>IF(B114="","",IF(COUNTIF('Four-Point'!$E$5:$E$304,B114)=0,"Pending",IF(COUNTIFS('Four-Point'!$E$5:$E$304,B114,'Four-Point'!$T$5:$T$304,"Failed")&gt;0,"Failed","Passed")))</f>
        <v/>
      </c>
      <c r="Q114" s="7" t="str">
        <f>IF(B114="","",IF(COUNTIF('Internal Test'!$D$5:$D$304,B114)=0,"Pending",IF(COUNTIFS('Internal Test'!$D$5:$D$304,B114,'Internal Test'!$AA$5:$AA$304,"Failed")&gt;0,"Failed","Passed")))</f>
        <v/>
      </c>
      <c r="R114" s="7" t="str">
        <f>IF(B114="","",IF(COUNTIF('Shade Match'!$C$5:$C$304,B114)=0,"Pending",IF(COUNTIFS('Shade Match'!$C$5:$C$304,B114,'Shade Match'!$Q$5:$Q$304,"Failed")&gt;0,"Failed","Approved")))</f>
        <v/>
      </c>
      <c r="S114" s="19" t="str">
        <f>IF(B114="","",SUMIF('Fabric Inventory'!$C$5:$C$304,B114,'Fabric Inventory'!$H$5:$H$304))</f>
        <v/>
      </c>
      <c r="T114" s="19" t="str">
        <f>IF(B114="","",SUMIF('Fabric Inventory'!$C$5:$C$304,B114,'Fabric Inventory'!$K$5:$K$304))</f>
        <v/>
      </c>
      <c r="U114" s="19" t="str">
        <f>IF(B114="","",SUMIF('Fabric Inventory'!$C$5:$C$304,B114,'Fabric Inventory'!$L$5:$L$304))</f>
        <v/>
      </c>
      <c r="V114" s="19" t="str">
        <f>IF(B114="","",SUMIF('Fabric Inventory'!$C$5:$C$304,B114,'Fabric Inventory'!$N$5:$N$304))</f>
        <v/>
      </c>
      <c r="W114" s="19" t="str">
        <f>IF(B114="","",SUMIF('Fabric Inventory'!$C$5:$C$304,B114,'Fabric Inventory'!$O$5:$O$304))</f>
        <v/>
      </c>
    </row>
    <row r="115" spans="1:23">
      <c r="A115" s="7" t="str">
        <f>IF('FGPO Master'!A109="","",'FGPO Master'!E109)</f>
        <v/>
      </c>
      <c r="B115" s="7" t="str">
        <f>IF('FGPO Master'!A109="","",IF('FGPO Master'!D109="FGPO Pending","FGPO Pending",'FGPO Master'!B109))</f>
        <v/>
      </c>
      <c r="C115" s="7" t="str">
        <f>IF('FGPO Master'!A109="","",'FGPO Master'!D109)</f>
        <v/>
      </c>
      <c r="D115" s="7" t="str">
        <f>IF('FGPO Master'!A109="","",'FGPO Master'!F109)</f>
        <v/>
      </c>
      <c r="E115" s="7" t="str">
        <f>IF('FGPO Master'!A109="","",'FGPO Master'!G109)</f>
        <v/>
      </c>
      <c r="F115" s="19" t="str">
        <f>IF('FGPO Master'!A109="","",'FGPO Master'!H109)</f>
        <v/>
      </c>
      <c r="G115" s="19" t="str">
        <f>IF('FGPO Master'!A109="","",'FGPO Master'!M109)</f>
        <v/>
      </c>
      <c r="H115" s="19" t="str">
        <f>IF(B115="","",SUMIF('Fabric Requirement'!$B$5:$B$304,B115,'Fabric Requirement'!$M$5:$M$304)+SUMIF('Fabric Requirement'!$B$5:$B$304,B115,'Fabric Requirement'!$O$5:$O$304))</f>
        <v/>
      </c>
      <c r="I115" s="19" t="str">
        <f>IF(B115="","",SUMIF('Fabric PO'!$B$5:$B$304,B115,'Fabric PO'!$H$5:$H$304))</f>
        <v/>
      </c>
      <c r="J115" s="19" t="str">
        <f>IF(B115="","",SUMIF('Mill Production'!$C$5:$C$304,B115,'Mill Production'!$I$5:$I$304))</f>
        <v/>
      </c>
      <c r="K115" s="7" t="str">
        <f>IF(B115="","",IF(COUNTIF('Mill Test'!$C$5:$C$304,B115)=0,"Pending",IF(COUNTIFS('Mill Test'!$C$5:$C$304,B115,'Mill Test'!$T$5:$T$304,"Failed")&gt;0,"Failed","Passed")))</f>
        <v/>
      </c>
      <c r="L115" s="19" t="str">
        <f>IF(B115="","",SUMIF('Fabric Shipment'!$C$5:$C$304,B115,'Fabric Shipment'!$G$5:$G$304))</f>
        <v/>
      </c>
      <c r="M115" s="19" t="str">
        <f>IF(B115="","",SUMIF('Fabric Shipment'!$C$5:$C$304,B115,'Fabric Shipment'!$R$5:$R$304))</f>
        <v/>
      </c>
      <c r="N115" s="19" t="str">
        <f>IF(B115="","",SUMIF('Fabric Receiving'!$E$5:$E$304,B115,'Fabric Receiving'!$H$5:$H$304))</f>
        <v/>
      </c>
      <c r="O115" s="19" t="str">
        <f>IF(B115="","",SUMIF('Fabric Receiving'!$E$5:$E$304,B115,'Fabric Receiving'!$I$5:$I$304))</f>
        <v/>
      </c>
      <c r="P115" s="7" t="str">
        <f>IF(B115="","",IF(COUNTIF('Four-Point'!$E$5:$E$304,B115)=0,"Pending",IF(COUNTIFS('Four-Point'!$E$5:$E$304,B115,'Four-Point'!$T$5:$T$304,"Failed")&gt;0,"Failed","Passed")))</f>
        <v/>
      </c>
      <c r="Q115" s="7" t="str">
        <f>IF(B115="","",IF(COUNTIF('Internal Test'!$D$5:$D$304,B115)=0,"Pending",IF(COUNTIFS('Internal Test'!$D$5:$D$304,B115,'Internal Test'!$AA$5:$AA$304,"Failed")&gt;0,"Failed","Passed")))</f>
        <v/>
      </c>
      <c r="R115" s="7" t="str">
        <f>IF(B115="","",IF(COUNTIF('Shade Match'!$C$5:$C$304,B115)=0,"Pending",IF(COUNTIFS('Shade Match'!$C$5:$C$304,B115,'Shade Match'!$Q$5:$Q$304,"Failed")&gt;0,"Failed","Approved")))</f>
        <v/>
      </c>
      <c r="S115" s="19" t="str">
        <f>IF(B115="","",SUMIF('Fabric Inventory'!$C$5:$C$304,B115,'Fabric Inventory'!$H$5:$H$304))</f>
        <v/>
      </c>
      <c r="T115" s="19" t="str">
        <f>IF(B115="","",SUMIF('Fabric Inventory'!$C$5:$C$304,B115,'Fabric Inventory'!$K$5:$K$304))</f>
        <v/>
      </c>
      <c r="U115" s="19" t="str">
        <f>IF(B115="","",SUMIF('Fabric Inventory'!$C$5:$C$304,B115,'Fabric Inventory'!$L$5:$L$304))</f>
        <v/>
      </c>
      <c r="V115" s="19" t="str">
        <f>IF(B115="","",SUMIF('Fabric Inventory'!$C$5:$C$304,B115,'Fabric Inventory'!$N$5:$N$304))</f>
        <v/>
      </c>
      <c r="W115" s="19" t="str">
        <f>IF(B115="","",SUMIF('Fabric Inventory'!$C$5:$C$304,B115,'Fabric Inventory'!$O$5:$O$304))</f>
        <v/>
      </c>
    </row>
    <row r="116" spans="1:23">
      <c r="A116" s="7" t="str">
        <f>IF('FGPO Master'!A110="","",'FGPO Master'!E110)</f>
        <v/>
      </c>
      <c r="B116" s="7" t="str">
        <f>IF('FGPO Master'!A110="","",IF('FGPO Master'!D110="FGPO Pending","FGPO Pending",'FGPO Master'!B110))</f>
        <v/>
      </c>
      <c r="C116" s="7" t="str">
        <f>IF('FGPO Master'!A110="","",'FGPO Master'!D110)</f>
        <v/>
      </c>
      <c r="D116" s="7" t="str">
        <f>IF('FGPO Master'!A110="","",'FGPO Master'!F110)</f>
        <v/>
      </c>
      <c r="E116" s="7" t="str">
        <f>IF('FGPO Master'!A110="","",'FGPO Master'!G110)</f>
        <v/>
      </c>
      <c r="F116" s="19" t="str">
        <f>IF('FGPO Master'!A110="","",'FGPO Master'!H110)</f>
        <v/>
      </c>
      <c r="G116" s="19" t="str">
        <f>IF('FGPO Master'!A110="","",'FGPO Master'!M110)</f>
        <v/>
      </c>
      <c r="H116" s="19" t="str">
        <f>IF(B116="","",SUMIF('Fabric Requirement'!$B$5:$B$304,B116,'Fabric Requirement'!$M$5:$M$304)+SUMIF('Fabric Requirement'!$B$5:$B$304,B116,'Fabric Requirement'!$O$5:$O$304))</f>
        <v/>
      </c>
      <c r="I116" s="19" t="str">
        <f>IF(B116="","",SUMIF('Fabric PO'!$B$5:$B$304,B116,'Fabric PO'!$H$5:$H$304))</f>
        <v/>
      </c>
      <c r="J116" s="19" t="str">
        <f>IF(B116="","",SUMIF('Mill Production'!$C$5:$C$304,B116,'Mill Production'!$I$5:$I$304))</f>
        <v/>
      </c>
      <c r="K116" s="7" t="str">
        <f>IF(B116="","",IF(COUNTIF('Mill Test'!$C$5:$C$304,B116)=0,"Pending",IF(COUNTIFS('Mill Test'!$C$5:$C$304,B116,'Mill Test'!$T$5:$T$304,"Failed")&gt;0,"Failed","Passed")))</f>
        <v/>
      </c>
      <c r="L116" s="19" t="str">
        <f>IF(B116="","",SUMIF('Fabric Shipment'!$C$5:$C$304,B116,'Fabric Shipment'!$G$5:$G$304))</f>
        <v/>
      </c>
      <c r="M116" s="19" t="str">
        <f>IF(B116="","",SUMIF('Fabric Shipment'!$C$5:$C$304,B116,'Fabric Shipment'!$R$5:$R$304))</f>
        <v/>
      </c>
      <c r="N116" s="19" t="str">
        <f>IF(B116="","",SUMIF('Fabric Receiving'!$E$5:$E$304,B116,'Fabric Receiving'!$H$5:$H$304))</f>
        <v/>
      </c>
      <c r="O116" s="19" t="str">
        <f>IF(B116="","",SUMIF('Fabric Receiving'!$E$5:$E$304,B116,'Fabric Receiving'!$I$5:$I$304))</f>
        <v/>
      </c>
      <c r="P116" s="7" t="str">
        <f>IF(B116="","",IF(COUNTIF('Four-Point'!$E$5:$E$304,B116)=0,"Pending",IF(COUNTIFS('Four-Point'!$E$5:$E$304,B116,'Four-Point'!$T$5:$T$304,"Failed")&gt;0,"Failed","Passed")))</f>
        <v/>
      </c>
      <c r="Q116" s="7" t="str">
        <f>IF(B116="","",IF(COUNTIF('Internal Test'!$D$5:$D$304,B116)=0,"Pending",IF(COUNTIFS('Internal Test'!$D$5:$D$304,B116,'Internal Test'!$AA$5:$AA$304,"Failed")&gt;0,"Failed","Passed")))</f>
        <v/>
      </c>
      <c r="R116" s="7" t="str">
        <f>IF(B116="","",IF(COUNTIF('Shade Match'!$C$5:$C$304,B116)=0,"Pending",IF(COUNTIFS('Shade Match'!$C$5:$C$304,B116,'Shade Match'!$Q$5:$Q$304,"Failed")&gt;0,"Failed","Approved")))</f>
        <v/>
      </c>
      <c r="S116" s="19" t="str">
        <f>IF(B116="","",SUMIF('Fabric Inventory'!$C$5:$C$304,B116,'Fabric Inventory'!$H$5:$H$304))</f>
        <v/>
      </c>
      <c r="T116" s="19" t="str">
        <f>IF(B116="","",SUMIF('Fabric Inventory'!$C$5:$C$304,B116,'Fabric Inventory'!$K$5:$K$304))</f>
        <v/>
      </c>
      <c r="U116" s="19" t="str">
        <f>IF(B116="","",SUMIF('Fabric Inventory'!$C$5:$C$304,B116,'Fabric Inventory'!$L$5:$L$304))</f>
        <v/>
      </c>
      <c r="V116" s="19" t="str">
        <f>IF(B116="","",SUMIF('Fabric Inventory'!$C$5:$C$304,B116,'Fabric Inventory'!$N$5:$N$304))</f>
        <v/>
      </c>
      <c r="W116" s="19" t="str">
        <f>IF(B116="","",SUMIF('Fabric Inventory'!$C$5:$C$304,B116,'Fabric Inventory'!$O$5:$O$304))</f>
        <v/>
      </c>
    </row>
    <row r="117" spans="1:23">
      <c r="A117" s="7" t="str">
        <f>IF('FGPO Master'!A111="","",'FGPO Master'!E111)</f>
        <v/>
      </c>
      <c r="B117" s="7" t="str">
        <f>IF('FGPO Master'!A111="","",IF('FGPO Master'!D111="FGPO Pending","FGPO Pending",'FGPO Master'!B111))</f>
        <v/>
      </c>
      <c r="C117" s="7" t="str">
        <f>IF('FGPO Master'!A111="","",'FGPO Master'!D111)</f>
        <v/>
      </c>
      <c r="D117" s="7" t="str">
        <f>IF('FGPO Master'!A111="","",'FGPO Master'!F111)</f>
        <v/>
      </c>
      <c r="E117" s="7" t="str">
        <f>IF('FGPO Master'!A111="","",'FGPO Master'!G111)</f>
        <v/>
      </c>
      <c r="F117" s="19" t="str">
        <f>IF('FGPO Master'!A111="","",'FGPO Master'!H111)</f>
        <v/>
      </c>
      <c r="G117" s="19" t="str">
        <f>IF('FGPO Master'!A111="","",'FGPO Master'!M111)</f>
        <v/>
      </c>
      <c r="H117" s="19" t="str">
        <f>IF(B117="","",SUMIF('Fabric Requirement'!$B$5:$B$304,B117,'Fabric Requirement'!$M$5:$M$304)+SUMIF('Fabric Requirement'!$B$5:$B$304,B117,'Fabric Requirement'!$O$5:$O$304))</f>
        <v/>
      </c>
      <c r="I117" s="19" t="str">
        <f>IF(B117="","",SUMIF('Fabric PO'!$B$5:$B$304,B117,'Fabric PO'!$H$5:$H$304))</f>
        <v/>
      </c>
      <c r="J117" s="19" t="str">
        <f>IF(B117="","",SUMIF('Mill Production'!$C$5:$C$304,B117,'Mill Production'!$I$5:$I$304))</f>
        <v/>
      </c>
      <c r="K117" s="7" t="str">
        <f>IF(B117="","",IF(COUNTIF('Mill Test'!$C$5:$C$304,B117)=0,"Pending",IF(COUNTIFS('Mill Test'!$C$5:$C$304,B117,'Mill Test'!$T$5:$T$304,"Failed")&gt;0,"Failed","Passed")))</f>
        <v/>
      </c>
      <c r="L117" s="19" t="str">
        <f>IF(B117="","",SUMIF('Fabric Shipment'!$C$5:$C$304,B117,'Fabric Shipment'!$G$5:$G$304))</f>
        <v/>
      </c>
      <c r="M117" s="19" t="str">
        <f>IF(B117="","",SUMIF('Fabric Shipment'!$C$5:$C$304,B117,'Fabric Shipment'!$R$5:$R$304))</f>
        <v/>
      </c>
      <c r="N117" s="19" t="str">
        <f>IF(B117="","",SUMIF('Fabric Receiving'!$E$5:$E$304,B117,'Fabric Receiving'!$H$5:$H$304))</f>
        <v/>
      </c>
      <c r="O117" s="19" t="str">
        <f>IF(B117="","",SUMIF('Fabric Receiving'!$E$5:$E$304,B117,'Fabric Receiving'!$I$5:$I$304))</f>
        <v/>
      </c>
      <c r="P117" s="7" t="str">
        <f>IF(B117="","",IF(COUNTIF('Four-Point'!$E$5:$E$304,B117)=0,"Pending",IF(COUNTIFS('Four-Point'!$E$5:$E$304,B117,'Four-Point'!$T$5:$T$304,"Failed")&gt;0,"Failed","Passed")))</f>
        <v/>
      </c>
      <c r="Q117" s="7" t="str">
        <f>IF(B117="","",IF(COUNTIF('Internal Test'!$D$5:$D$304,B117)=0,"Pending",IF(COUNTIFS('Internal Test'!$D$5:$D$304,B117,'Internal Test'!$AA$5:$AA$304,"Failed")&gt;0,"Failed","Passed")))</f>
        <v/>
      </c>
      <c r="R117" s="7" t="str">
        <f>IF(B117="","",IF(COUNTIF('Shade Match'!$C$5:$C$304,B117)=0,"Pending",IF(COUNTIFS('Shade Match'!$C$5:$C$304,B117,'Shade Match'!$Q$5:$Q$304,"Failed")&gt;0,"Failed","Approved")))</f>
        <v/>
      </c>
      <c r="S117" s="19" t="str">
        <f>IF(B117="","",SUMIF('Fabric Inventory'!$C$5:$C$304,B117,'Fabric Inventory'!$H$5:$H$304))</f>
        <v/>
      </c>
      <c r="T117" s="19" t="str">
        <f>IF(B117="","",SUMIF('Fabric Inventory'!$C$5:$C$304,B117,'Fabric Inventory'!$K$5:$K$304))</f>
        <v/>
      </c>
      <c r="U117" s="19" t="str">
        <f>IF(B117="","",SUMIF('Fabric Inventory'!$C$5:$C$304,B117,'Fabric Inventory'!$L$5:$L$304))</f>
        <v/>
      </c>
      <c r="V117" s="19" t="str">
        <f>IF(B117="","",SUMIF('Fabric Inventory'!$C$5:$C$304,B117,'Fabric Inventory'!$N$5:$N$304))</f>
        <v/>
      </c>
      <c r="W117" s="19" t="str">
        <f>IF(B117="","",SUMIF('Fabric Inventory'!$C$5:$C$304,B117,'Fabric Inventory'!$O$5:$O$304))</f>
        <v/>
      </c>
    </row>
    <row r="118" spans="1:23">
      <c r="A118" s="7" t="str">
        <f>IF('FGPO Master'!A112="","",'FGPO Master'!E112)</f>
        <v/>
      </c>
      <c r="B118" s="7" t="str">
        <f>IF('FGPO Master'!A112="","",IF('FGPO Master'!D112="FGPO Pending","FGPO Pending",'FGPO Master'!B112))</f>
        <v/>
      </c>
      <c r="C118" s="7" t="str">
        <f>IF('FGPO Master'!A112="","",'FGPO Master'!D112)</f>
        <v/>
      </c>
      <c r="D118" s="7" t="str">
        <f>IF('FGPO Master'!A112="","",'FGPO Master'!F112)</f>
        <v/>
      </c>
      <c r="E118" s="7" t="str">
        <f>IF('FGPO Master'!A112="","",'FGPO Master'!G112)</f>
        <v/>
      </c>
      <c r="F118" s="19" t="str">
        <f>IF('FGPO Master'!A112="","",'FGPO Master'!H112)</f>
        <v/>
      </c>
      <c r="G118" s="19" t="str">
        <f>IF('FGPO Master'!A112="","",'FGPO Master'!M112)</f>
        <v/>
      </c>
      <c r="H118" s="19" t="str">
        <f>IF(B118="","",SUMIF('Fabric Requirement'!$B$5:$B$304,B118,'Fabric Requirement'!$M$5:$M$304)+SUMIF('Fabric Requirement'!$B$5:$B$304,B118,'Fabric Requirement'!$O$5:$O$304))</f>
        <v/>
      </c>
      <c r="I118" s="19" t="str">
        <f>IF(B118="","",SUMIF('Fabric PO'!$B$5:$B$304,B118,'Fabric PO'!$H$5:$H$304))</f>
        <v/>
      </c>
      <c r="J118" s="19" t="str">
        <f>IF(B118="","",SUMIF('Mill Production'!$C$5:$C$304,B118,'Mill Production'!$I$5:$I$304))</f>
        <v/>
      </c>
      <c r="K118" s="7" t="str">
        <f>IF(B118="","",IF(COUNTIF('Mill Test'!$C$5:$C$304,B118)=0,"Pending",IF(COUNTIFS('Mill Test'!$C$5:$C$304,B118,'Mill Test'!$T$5:$T$304,"Failed")&gt;0,"Failed","Passed")))</f>
        <v/>
      </c>
      <c r="L118" s="19" t="str">
        <f>IF(B118="","",SUMIF('Fabric Shipment'!$C$5:$C$304,B118,'Fabric Shipment'!$G$5:$G$304))</f>
        <v/>
      </c>
      <c r="M118" s="19" t="str">
        <f>IF(B118="","",SUMIF('Fabric Shipment'!$C$5:$C$304,B118,'Fabric Shipment'!$R$5:$R$304))</f>
        <v/>
      </c>
      <c r="N118" s="19" t="str">
        <f>IF(B118="","",SUMIF('Fabric Receiving'!$E$5:$E$304,B118,'Fabric Receiving'!$H$5:$H$304))</f>
        <v/>
      </c>
      <c r="O118" s="19" t="str">
        <f>IF(B118="","",SUMIF('Fabric Receiving'!$E$5:$E$304,B118,'Fabric Receiving'!$I$5:$I$304))</f>
        <v/>
      </c>
      <c r="P118" s="7" t="str">
        <f>IF(B118="","",IF(COUNTIF('Four-Point'!$E$5:$E$304,B118)=0,"Pending",IF(COUNTIFS('Four-Point'!$E$5:$E$304,B118,'Four-Point'!$T$5:$T$304,"Failed")&gt;0,"Failed","Passed")))</f>
        <v/>
      </c>
      <c r="Q118" s="7" t="str">
        <f>IF(B118="","",IF(COUNTIF('Internal Test'!$D$5:$D$304,B118)=0,"Pending",IF(COUNTIFS('Internal Test'!$D$5:$D$304,B118,'Internal Test'!$AA$5:$AA$304,"Failed")&gt;0,"Failed","Passed")))</f>
        <v/>
      </c>
      <c r="R118" s="7" t="str">
        <f>IF(B118="","",IF(COUNTIF('Shade Match'!$C$5:$C$304,B118)=0,"Pending",IF(COUNTIFS('Shade Match'!$C$5:$C$304,B118,'Shade Match'!$Q$5:$Q$304,"Failed")&gt;0,"Failed","Approved")))</f>
        <v/>
      </c>
      <c r="S118" s="19" t="str">
        <f>IF(B118="","",SUMIF('Fabric Inventory'!$C$5:$C$304,B118,'Fabric Inventory'!$H$5:$H$304))</f>
        <v/>
      </c>
      <c r="T118" s="19" t="str">
        <f>IF(B118="","",SUMIF('Fabric Inventory'!$C$5:$C$304,B118,'Fabric Inventory'!$K$5:$K$304))</f>
        <v/>
      </c>
      <c r="U118" s="19" t="str">
        <f>IF(B118="","",SUMIF('Fabric Inventory'!$C$5:$C$304,B118,'Fabric Inventory'!$L$5:$L$304))</f>
        <v/>
      </c>
      <c r="V118" s="19" t="str">
        <f>IF(B118="","",SUMIF('Fabric Inventory'!$C$5:$C$304,B118,'Fabric Inventory'!$N$5:$N$304))</f>
        <v/>
      </c>
      <c r="W118" s="19" t="str">
        <f>IF(B118="","",SUMIF('Fabric Inventory'!$C$5:$C$304,B118,'Fabric Inventory'!$O$5:$O$304))</f>
        <v/>
      </c>
    </row>
    <row r="119" spans="1:23">
      <c r="A119" s="7" t="str">
        <f>IF('FGPO Master'!A113="","",'FGPO Master'!E113)</f>
        <v/>
      </c>
      <c r="B119" s="7" t="str">
        <f>IF('FGPO Master'!A113="","",IF('FGPO Master'!D113="FGPO Pending","FGPO Pending",'FGPO Master'!B113))</f>
        <v/>
      </c>
      <c r="C119" s="7" t="str">
        <f>IF('FGPO Master'!A113="","",'FGPO Master'!D113)</f>
        <v/>
      </c>
      <c r="D119" s="7" t="str">
        <f>IF('FGPO Master'!A113="","",'FGPO Master'!F113)</f>
        <v/>
      </c>
      <c r="E119" s="7" t="str">
        <f>IF('FGPO Master'!A113="","",'FGPO Master'!G113)</f>
        <v/>
      </c>
      <c r="F119" s="19" t="str">
        <f>IF('FGPO Master'!A113="","",'FGPO Master'!H113)</f>
        <v/>
      </c>
      <c r="G119" s="19" t="str">
        <f>IF('FGPO Master'!A113="","",'FGPO Master'!M113)</f>
        <v/>
      </c>
      <c r="H119" s="19" t="str">
        <f>IF(B119="","",SUMIF('Fabric Requirement'!$B$5:$B$304,B119,'Fabric Requirement'!$M$5:$M$304)+SUMIF('Fabric Requirement'!$B$5:$B$304,B119,'Fabric Requirement'!$O$5:$O$304))</f>
        <v/>
      </c>
      <c r="I119" s="19" t="str">
        <f>IF(B119="","",SUMIF('Fabric PO'!$B$5:$B$304,B119,'Fabric PO'!$H$5:$H$304))</f>
        <v/>
      </c>
      <c r="J119" s="19" t="str">
        <f>IF(B119="","",SUMIF('Mill Production'!$C$5:$C$304,B119,'Mill Production'!$I$5:$I$304))</f>
        <v/>
      </c>
      <c r="K119" s="7" t="str">
        <f>IF(B119="","",IF(COUNTIF('Mill Test'!$C$5:$C$304,B119)=0,"Pending",IF(COUNTIFS('Mill Test'!$C$5:$C$304,B119,'Mill Test'!$T$5:$T$304,"Failed")&gt;0,"Failed","Passed")))</f>
        <v/>
      </c>
      <c r="L119" s="19" t="str">
        <f>IF(B119="","",SUMIF('Fabric Shipment'!$C$5:$C$304,B119,'Fabric Shipment'!$G$5:$G$304))</f>
        <v/>
      </c>
      <c r="M119" s="19" t="str">
        <f>IF(B119="","",SUMIF('Fabric Shipment'!$C$5:$C$304,B119,'Fabric Shipment'!$R$5:$R$304))</f>
        <v/>
      </c>
      <c r="N119" s="19" t="str">
        <f>IF(B119="","",SUMIF('Fabric Receiving'!$E$5:$E$304,B119,'Fabric Receiving'!$H$5:$H$304))</f>
        <v/>
      </c>
      <c r="O119" s="19" t="str">
        <f>IF(B119="","",SUMIF('Fabric Receiving'!$E$5:$E$304,B119,'Fabric Receiving'!$I$5:$I$304))</f>
        <v/>
      </c>
      <c r="P119" s="7" t="str">
        <f>IF(B119="","",IF(COUNTIF('Four-Point'!$E$5:$E$304,B119)=0,"Pending",IF(COUNTIFS('Four-Point'!$E$5:$E$304,B119,'Four-Point'!$T$5:$T$304,"Failed")&gt;0,"Failed","Passed")))</f>
        <v/>
      </c>
      <c r="Q119" s="7" t="str">
        <f>IF(B119="","",IF(COUNTIF('Internal Test'!$D$5:$D$304,B119)=0,"Pending",IF(COUNTIFS('Internal Test'!$D$5:$D$304,B119,'Internal Test'!$AA$5:$AA$304,"Failed")&gt;0,"Failed","Passed")))</f>
        <v/>
      </c>
      <c r="R119" s="7" t="str">
        <f>IF(B119="","",IF(COUNTIF('Shade Match'!$C$5:$C$304,B119)=0,"Pending",IF(COUNTIFS('Shade Match'!$C$5:$C$304,B119,'Shade Match'!$Q$5:$Q$304,"Failed")&gt;0,"Failed","Approved")))</f>
        <v/>
      </c>
      <c r="S119" s="19" t="str">
        <f>IF(B119="","",SUMIF('Fabric Inventory'!$C$5:$C$304,B119,'Fabric Inventory'!$H$5:$H$304))</f>
        <v/>
      </c>
      <c r="T119" s="19" t="str">
        <f>IF(B119="","",SUMIF('Fabric Inventory'!$C$5:$C$304,B119,'Fabric Inventory'!$K$5:$K$304))</f>
        <v/>
      </c>
      <c r="U119" s="19" t="str">
        <f>IF(B119="","",SUMIF('Fabric Inventory'!$C$5:$C$304,B119,'Fabric Inventory'!$L$5:$L$304))</f>
        <v/>
      </c>
      <c r="V119" s="19" t="str">
        <f>IF(B119="","",SUMIF('Fabric Inventory'!$C$5:$C$304,B119,'Fabric Inventory'!$N$5:$N$304))</f>
        <v/>
      </c>
      <c r="W119" s="19" t="str">
        <f>IF(B119="","",SUMIF('Fabric Inventory'!$C$5:$C$304,B119,'Fabric Inventory'!$O$5:$O$304))</f>
        <v/>
      </c>
    </row>
    <row r="120" spans="1:23">
      <c r="A120" s="7" t="str">
        <f>IF('FGPO Master'!A114="","",'FGPO Master'!E114)</f>
        <v/>
      </c>
      <c r="B120" s="7" t="str">
        <f>IF('FGPO Master'!A114="","",IF('FGPO Master'!D114="FGPO Pending","FGPO Pending",'FGPO Master'!B114))</f>
        <v/>
      </c>
      <c r="C120" s="7" t="str">
        <f>IF('FGPO Master'!A114="","",'FGPO Master'!D114)</f>
        <v/>
      </c>
      <c r="D120" s="7" t="str">
        <f>IF('FGPO Master'!A114="","",'FGPO Master'!F114)</f>
        <v/>
      </c>
      <c r="E120" s="7" t="str">
        <f>IF('FGPO Master'!A114="","",'FGPO Master'!G114)</f>
        <v/>
      </c>
      <c r="F120" s="19" t="str">
        <f>IF('FGPO Master'!A114="","",'FGPO Master'!H114)</f>
        <v/>
      </c>
      <c r="G120" s="19" t="str">
        <f>IF('FGPO Master'!A114="","",'FGPO Master'!M114)</f>
        <v/>
      </c>
      <c r="H120" s="19" t="str">
        <f>IF(B120="","",SUMIF('Fabric Requirement'!$B$5:$B$304,B120,'Fabric Requirement'!$M$5:$M$304)+SUMIF('Fabric Requirement'!$B$5:$B$304,B120,'Fabric Requirement'!$O$5:$O$304))</f>
        <v/>
      </c>
      <c r="I120" s="19" t="str">
        <f>IF(B120="","",SUMIF('Fabric PO'!$B$5:$B$304,B120,'Fabric PO'!$H$5:$H$304))</f>
        <v/>
      </c>
      <c r="J120" s="19" t="str">
        <f>IF(B120="","",SUMIF('Mill Production'!$C$5:$C$304,B120,'Mill Production'!$I$5:$I$304))</f>
        <v/>
      </c>
      <c r="K120" s="7" t="str">
        <f>IF(B120="","",IF(COUNTIF('Mill Test'!$C$5:$C$304,B120)=0,"Pending",IF(COUNTIFS('Mill Test'!$C$5:$C$304,B120,'Mill Test'!$T$5:$T$304,"Failed")&gt;0,"Failed","Passed")))</f>
        <v/>
      </c>
      <c r="L120" s="19" t="str">
        <f>IF(B120="","",SUMIF('Fabric Shipment'!$C$5:$C$304,B120,'Fabric Shipment'!$G$5:$G$304))</f>
        <v/>
      </c>
      <c r="M120" s="19" t="str">
        <f>IF(B120="","",SUMIF('Fabric Shipment'!$C$5:$C$304,B120,'Fabric Shipment'!$R$5:$R$304))</f>
        <v/>
      </c>
      <c r="N120" s="19" t="str">
        <f>IF(B120="","",SUMIF('Fabric Receiving'!$E$5:$E$304,B120,'Fabric Receiving'!$H$5:$H$304))</f>
        <v/>
      </c>
      <c r="O120" s="19" t="str">
        <f>IF(B120="","",SUMIF('Fabric Receiving'!$E$5:$E$304,B120,'Fabric Receiving'!$I$5:$I$304))</f>
        <v/>
      </c>
      <c r="P120" s="7" t="str">
        <f>IF(B120="","",IF(COUNTIF('Four-Point'!$E$5:$E$304,B120)=0,"Pending",IF(COUNTIFS('Four-Point'!$E$5:$E$304,B120,'Four-Point'!$T$5:$T$304,"Failed")&gt;0,"Failed","Passed")))</f>
        <v/>
      </c>
      <c r="Q120" s="7" t="str">
        <f>IF(B120="","",IF(COUNTIF('Internal Test'!$D$5:$D$304,B120)=0,"Pending",IF(COUNTIFS('Internal Test'!$D$5:$D$304,B120,'Internal Test'!$AA$5:$AA$304,"Failed")&gt;0,"Failed","Passed")))</f>
        <v/>
      </c>
      <c r="R120" s="7" t="str">
        <f>IF(B120="","",IF(COUNTIF('Shade Match'!$C$5:$C$304,B120)=0,"Pending",IF(COUNTIFS('Shade Match'!$C$5:$C$304,B120,'Shade Match'!$Q$5:$Q$304,"Failed")&gt;0,"Failed","Approved")))</f>
        <v/>
      </c>
      <c r="S120" s="19" t="str">
        <f>IF(B120="","",SUMIF('Fabric Inventory'!$C$5:$C$304,B120,'Fabric Inventory'!$H$5:$H$304))</f>
        <v/>
      </c>
      <c r="T120" s="19" t="str">
        <f>IF(B120="","",SUMIF('Fabric Inventory'!$C$5:$C$304,B120,'Fabric Inventory'!$K$5:$K$304))</f>
        <v/>
      </c>
      <c r="U120" s="19" t="str">
        <f>IF(B120="","",SUMIF('Fabric Inventory'!$C$5:$C$304,B120,'Fabric Inventory'!$L$5:$L$304))</f>
        <v/>
      </c>
      <c r="V120" s="19" t="str">
        <f>IF(B120="","",SUMIF('Fabric Inventory'!$C$5:$C$304,B120,'Fabric Inventory'!$N$5:$N$304))</f>
        <v/>
      </c>
      <c r="W120" s="19" t="str">
        <f>IF(B120="","",SUMIF('Fabric Inventory'!$C$5:$C$304,B120,'Fabric Inventory'!$O$5:$O$304))</f>
        <v/>
      </c>
    </row>
    <row r="121" spans="1:23">
      <c r="A121" s="7" t="str">
        <f>IF('FGPO Master'!A115="","",'FGPO Master'!E115)</f>
        <v/>
      </c>
      <c r="B121" s="7" t="str">
        <f>IF('FGPO Master'!A115="","",IF('FGPO Master'!D115="FGPO Pending","FGPO Pending",'FGPO Master'!B115))</f>
        <v/>
      </c>
      <c r="C121" s="7" t="str">
        <f>IF('FGPO Master'!A115="","",'FGPO Master'!D115)</f>
        <v/>
      </c>
      <c r="D121" s="7" t="str">
        <f>IF('FGPO Master'!A115="","",'FGPO Master'!F115)</f>
        <v/>
      </c>
      <c r="E121" s="7" t="str">
        <f>IF('FGPO Master'!A115="","",'FGPO Master'!G115)</f>
        <v/>
      </c>
      <c r="F121" s="19" t="str">
        <f>IF('FGPO Master'!A115="","",'FGPO Master'!H115)</f>
        <v/>
      </c>
      <c r="G121" s="19" t="str">
        <f>IF('FGPO Master'!A115="","",'FGPO Master'!M115)</f>
        <v/>
      </c>
      <c r="H121" s="19" t="str">
        <f>IF(B121="","",SUMIF('Fabric Requirement'!$B$5:$B$304,B121,'Fabric Requirement'!$M$5:$M$304)+SUMIF('Fabric Requirement'!$B$5:$B$304,B121,'Fabric Requirement'!$O$5:$O$304))</f>
        <v/>
      </c>
      <c r="I121" s="19" t="str">
        <f>IF(B121="","",SUMIF('Fabric PO'!$B$5:$B$304,B121,'Fabric PO'!$H$5:$H$304))</f>
        <v/>
      </c>
      <c r="J121" s="19" t="str">
        <f>IF(B121="","",SUMIF('Mill Production'!$C$5:$C$304,B121,'Mill Production'!$I$5:$I$304))</f>
        <v/>
      </c>
      <c r="K121" s="7" t="str">
        <f>IF(B121="","",IF(COUNTIF('Mill Test'!$C$5:$C$304,B121)=0,"Pending",IF(COUNTIFS('Mill Test'!$C$5:$C$304,B121,'Mill Test'!$T$5:$T$304,"Failed")&gt;0,"Failed","Passed")))</f>
        <v/>
      </c>
      <c r="L121" s="19" t="str">
        <f>IF(B121="","",SUMIF('Fabric Shipment'!$C$5:$C$304,B121,'Fabric Shipment'!$G$5:$G$304))</f>
        <v/>
      </c>
      <c r="M121" s="19" t="str">
        <f>IF(B121="","",SUMIF('Fabric Shipment'!$C$5:$C$304,B121,'Fabric Shipment'!$R$5:$R$304))</f>
        <v/>
      </c>
      <c r="N121" s="19" t="str">
        <f>IF(B121="","",SUMIF('Fabric Receiving'!$E$5:$E$304,B121,'Fabric Receiving'!$H$5:$H$304))</f>
        <v/>
      </c>
      <c r="O121" s="19" t="str">
        <f>IF(B121="","",SUMIF('Fabric Receiving'!$E$5:$E$304,B121,'Fabric Receiving'!$I$5:$I$304))</f>
        <v/>
      </c>
      <c r="P121" s="7" t="str">
        <f>IF(B121="","",IF(COUNTIF('Four-Point'!$E$5:$E$304,B121)=0,"Pending",IF(COUNTIFS('Four-Point'!$E$5:$E$304,B121,'Four-Point'!$T$5:$T$304,"Failed")&gt;0,"Failed","Passed")))</f>
        <v/>
      </c>
      <c r="Q121" s="7" t="str">
        <f>IF(B121="","",IF(COUNTIF('Internal Test'!$D$5:$D$304,B121)=0,"Pending",IF(COUNTIFS('Internal Test'!$D$5:$D$304,B121,'Internal Test'!$AA$5:$AA$304,"Failed")&gt;0,"Failed","Passed")))</f>
        <v/>
      </c>
      <c r="R121" s="7" t="str">
        <f>IF(B121="","",IF(COUNTIF('Shade Match'!$C$5:$C$304,B121)=0,"Pending",IF(COUNTIFS('Shade Match'!$C$5:$C$304,B121,'Shade Match'!$Q$5:$Q$304,"Failed")&gt;0,"Failed","Approved")))</f>
        <v/>
      </c>
      <c r="S121" s="19" t="str">
        <f>IF(B121="","",SUMIF('Fabric Inventory'!$C$5:$C$304,B121,'Fabric Inventory'!$H$5:$H$304))</f>
        <v/>
      </c>
      <c r="T121" s="19" t="str">
        <f>IF(B121="","",SUMIF('Fabric Inventory'!$C$5:$C$304,B121,'Fabric Inventory'!$K$5:$K$304))</f>
        <v/>
      </c>
      <c r="U121" s="19" t="str">
        <f>IF(B121="","",SUMIF('Fabric Inventory'!$C$5:$C$304,B121,'Fabric Inventory'!$L$5:$L$304))</f>
        <v/>
      </c>
      <c r="V121" s="19" t="str">
        <f>IF(B121="","",SUMIF('Fabric Inventory'!$C$5:$C$304,B121,'Fabric Inventory'!$N$5:$N$304))</f>
        <v/>
      </c>
      <c r="W121" s="19" t="str">
        <f>IF(B121="","",SUMIF('Fabric Inventory'!$C$5:$C$304,B121,'Fabric Inventory'!$O$5:$O$304))</f>
        <v/>
      </c>
    </row>
    <row r="122" spans="1:23">
      <c r="A122" s="7" t="str">
        <f>IF('FGPO Master'!A116="","",'FGPO Master'!E116)</f>
        <v/>
      </c>
      <c r="B122" s="7" t="str">
        <f>IF('FGPO Master'!A116="","",IF('FGPO Master'!D116="FGPO Pending","FGPO Pending",'FGPO Master'!B116))</f>
        <v/>
      </c>
      <c r="C122" s="7" t="str">
        <f>IF('FGPO Master'!A116="","",'FGPO Master'!D116)</f>
        <v/>
      </c>
      <c r="D122" s="7" t="str">
        <f>IF('FGPO Master'!A116="","",'FGPO Master'!F116)</f>
        <v/>
      </c>
      <c r="E122" s="7" t="str">
        <f>IF('FGPO Master'!A116="","",'FGPO Master'!G116)</f>
        <v/>
      </c>
      <c r="F122" s="19" t="str">
        <f>IF('FGPO Master'!A116="","",'FGPO Master'!H116)</f>
        <v/>
      </c>
      <c r="G122" s="19" t="str">
        <f>IF('FGPO Master'!A116="","",'FGPO Master'!M116)</f>
        <v/>
      </c>
      <c r="H122" s="19" t="str">
        <f>IF(B122="","",SUMIF('Fabric Requirement'!$B$5:$B$304,B122,'Fabric Requirement'!$M$5:$M$304)+SUMIF('Fabric Requirement'!$B$5:$B$304,B122,'Fabric Requirement'!$O$5:$O$304))</f>
        <v/>
      </c>
      <c r="I122" s="19" t="str">
        <f>IF(B122="","",SUMIF('Fabric PO'!$B$5:$B$304,B122,'Fabric PO'!$H$5:$H$304))</f>
        <v/>
      </c>
      <c r="J122" s="19" t="str">
        <f>IF(B122="","",SUMIF('Mill Production'!$C$5:$C$304,B122,'Mill Production'!$I$5:$I$304))</f>
        <v/>
      </c>
      <c r="K122" s="7" t="str">
        <f>IF(B122="","",IF(COUNTIF('Mill Test'!$C$5:$C$304,B122)=0,"Pending",IF(COUNTIFS('Mill Test'!$C$5:$C$304,B122,'Mill Test'!$T$5:$T$304,"Failed")&gt;0,"Failed","Passed")))</f>
        <v/>
      </c>
      <c r="L122" s="19" t="str">
        <f>IF(B122="","",SUMIF('Fabric Shipment'!$C$5:$C$304,B122,'Fabric Shipment'!$G$5:$G$304))</f>
        <v/>
      </c>
      <c r="M122" s="19" t="str">
        <f>IF(B122="","",SUMIF('Fabric Shipment'!$C$5:$C$304,B122,'Fabric Shipment'!$R$5:$R$304))</f>
        <v/>
      </c>
      <c r="N122" s="19" t="str">
        <f>IF(B122="","",SUMIF('Fabric Receiving'!$E$5:$E$304,B122,'Fabric Receiving'!$H$5:$H$304))</f>
        <v/>
      </c>
      <c r="O122" s="19" t="str">
        <f>IF(B122="","",SUMIF('Fabric Receiving'!$E$5:$E$304,B122,'Fabric Receiving'!$I$5:$I$304))</f>
        <v/>
      </c>
      <c r="P122" s="7" t="str">
        <f>IF(B122="","",IF(COUNTIF('Four-Point'!$E$5:$E$304,B122)=0,"Pending",IF(COUNTIFS('Four-Point'!$E$5:$E$304,B122,'Four-Point'!$T$5:$T$304,"Failed")&gt;0,"Failed","Passed")))</f>
        <v/>
      </c>
      <c r="Q122" s="7" t="str">
        <f>IF(B122="","",IF(COUNTIF('Internal Test'!$D$5:$D$304,B122)=0,"Pending",IF(COUNTIFS('Internal Test'!$D$5:$D$304,B122,'Internal Test'!$AA$5:$AA$304,"Failed")&gt;0,"Failed","Passed")))</f>
        <v/>
      </c>
      <c r="R122" s="7" t="str">
        <f>IF(B122="","",IF(COUNTIF('Shade Match'!$C$5:$C$304,B122)=0,"Pending",IF(COUNTIFS('Shade Match'!$C$5:$C$304,B122,'Shade Match'!$Q$5:$Q$304,"Failed")&gt;0,"Failed","Approved")))</f>
        <v/>
      </c>
      <c r="S122" s="19" t="str">
        <f>IF(B122="","",SUMIF('Fabric Inventory'!$C$5:$C$304,B122,'Fabric Inventory'!$H$5:$H$304))</f>
        <v/>
      </c>
      <c r="T122" s="19" t="str">
        <f>IF(B122="","",SUMIF('Fabric Inventory'!$C$5:$C$304,B122,'Fabric Inventory'!$K$5:$K$304))</f>
        <v/>
      </c>
      <c r="U122" s="19" t="str">
        <f>IF(B122="","",SUMIF('Fabric Inventory'!$C$5:$C$304,B122,'Fabric Inventory'!$L$5:$L$304))</f>
        <v/>
      </c>
      <c r="V122" s="19" t="str">
        <f>IF(B122="","",SUMIF('Fabric Inventory'!$C$5:$C$304,B122,'Fabric Inventory'!$N$5:$N$304))</f>
        <v/>
      </c>
      <c r="W122" s="19" t="str">
        <f>IF(B122="","",SUMIF('Fabric Inventory'!$C$5:$C$304,B122,'Fabric Inventory'!$O$5:$O$304))</f>
        <v/>
      </c>
    </row>
    <row r="123" spans="1:23">
      <c r="A123" s="7" t="str">
        <f>IF('FGPO Master'!A117="","",'FGPO Master'!E117)</f>
        <v/>
      </c>
      <c r="B123" s="7" t="str">
        <f>IF('FGPO Master'!A117="","",IF('FGPO Master'!D117="FGPO Pending","FGPO Pending",'FGPO Master'!B117))</f>
        <v/>
      </c>
      <c r="C123" s="7" t="str">
        <f>IF('FGPO Master'!A117="","",'FGPO Master'!D117)</f>
        <v/>
      </c>
      <c r="D123" s="7" t="str">
        <f>IF('FGPO Master'!A117="","",'FGPO Master'!F117)</f>
        <v/>
      </c>
      <c r="E123" s="7" t="str">
        <f>IF('FGPO Master'!A117="","",'FGPO Master'!G117)</f>
        <v/>
      </c>
      <c r="F123" s="19" t="str">
        <f>IF('FGPO Master'!A117="","",'FGPO Master'!H117)</f>
        <v/>
      </c>
      <c r="G123" s="19" t="str">
        <f>IF('FGPO Master'!A117="","",'FGPO Master'!M117)</f>
        <v/>
      </c>
      <c r="H123" s="19" t="str">
        <f>IF(B123="","",SUMIF('Fabric Requirement'!$B$5:$B$304,B123,'Fabric Requirement'!$M$5:$M$304)+SUMIF('Fabric Requirement'!$B$5:$B$304,B123,'Fabric Requirement'!$O$5:$O$304))</f>
        <v/>
      </c>
      <c r="I123" s="19" t="str">
        <f>IF(B123="","",SUMIF('Fabric PO'!$B$5:$B$304,B123,'Fabric PO'!$H$5:$H$304))</f>
        <v/>
      </c>
      <c r="J123" s="19" t="str">
        <f>IF(B123="","",SUMIF('Mill Production'!$C$5:$C$304,B123,'Mill Production'!$I$5:$I$304))</f>
        <v/>
      </c>
      <c r="K123" s="7" t="str">
        <f>IF(B123="","",IF(COUNTIF('Mill Test'!$C$5:$C$304,B123)=0,"Pending",IF(COUNTIFS('Mill Test'!$C$5:$C$304,B123,'Mill Test'!$T$5:$T$304,"Failed")&gt;0,"Failed","Passed")))</f>
        <v/>
      </c>
      <c r="L123" s="19" t="str">
        <f>IF(B123="","",SUMIF('Fabric Shipment'!$C$5:$C$304,B123,'Fabric Shipment'!$G$5:$G$304))</f>
        <v/>
      </c>
      <c r="M123" s="19" t="str">
        <f>IF(B123="","",SUMIF('Fabric Shipment'!$C$5:$C$304,B123,'Fabric Shipment'!$R$5:$R$304))</f>
        <v/>
      </c>
      <c r="N123" s="19" t="str">
        <f>IF(B123="","",SUMIF('Fabric Receiving'!$E$5:$E$304,B123,'Fabric Receiving'!$H$5:$H$304))</f>
        <v/>
      </c>
      <c r="O123" s="19" t="str">
        <f>IF(B123="","",SUMIF('Fabric Receiving'!$E$5:$E$304,B123,'Fabric Receiving'!$I$5:$I$304))</f>
        <v/>
      </c>
      <c r="P123" s="7" t="str">
        <f>IF(B123="","",IF(COUNTIF('Four-Point'!$E$5:$E$304,B123)=0,"Pending",IF(COUNTIFS('Four-Point'!$E$5:$E$304,B123,'Four-Point'!$T$5:$T$304,"Failed")&gt;0,"Failed","Passed")))</f>
        <v/>
      </c>
      <c r="Q123" s="7" t="str">
        <f>IF(B123="","",IF(COUNTIF('Internal Test'!$D$5:$D$304,B123)=0,"Pending",IF(COUNTIFS('Internal Test'!$D$5:$D$304,B123,'Internal Test'!$AA$5:$AA$304,"Failed")&gt;0,"Failed","Passed")))</f>
        <v/>
      </c>
      <c r="R123" s="7" t="str">
        <f>IF(B123="","",IF(COUNTIF('Shade Match'!$C$5:$C$304,B123)=0,"Pending",IF(COUNTIFS('Shade Match'!$C$5:$C$304,B123,'Shade Match'!$Q$5:$Q$304,"Failed")&gt;0,"Failed","Approved")))</f>
        <v/>
      </c>
      <c r="S123" s="19" t="str">
        <f>IF(B123="","",SUMIF('Fabric Inventory'!$C$5:$C$304,B123,'Fabric Inventory'!$H$5:$H$304))</f>
        <v/>
      </c>
      <c r="T123" s="19" t="str">
        <f>IF(B123="","",SUMIF('Fabric Inventory'!$C$5:$C$304,B123,'Fabric Inventory'!$K$5:$K$304))</f>
        <v/>
      </c>
      <c r="U123" s="19" t="str">
        <f>IF(B123="","",SUMIF('Fabric Inventory'!$C$5:$C$304,B123,'Fabric Inventory'!$L$5:$L$304))</f>
        <v/>
      </c>
      <c r="V123" s="19" t="str">
        <f>IF(B123="","",SUMIF('Fabric Inventory'!$C$5:$C$304,B123,'Fabric Inventory'!$N$5:$N$304))</f>
        <v/>
      </c>
      <c r="W123" s="19" t="str">
        <f>IF(B123="","",SUMIF('Fabric Inventory'!$C$5:$C$304,B123,'Fabric Inventory'!$O$5:$O$304))</f>
        <v/>
      </c>
    </row>
    <row r="124" spans="1:23">
      <c r="A124" s="7" t="str">
        <f>IF('FGPO Master'!A118="","",'FGPO Master'!E118)</f>
        <v/>
      </c>
      <c r="B124" s="7" t="str">
        <f>IF('FGPO Master'!A118="","",IF('FGPO Master'!D118="FGPO Pending","FGPO Pending",'FGPO Master'!B118))</f>
        <v/>
      </c>
      <c r="C124" s="7" t="str">
        <f>IF('FGPO Master'!A118="","",'FGPO Master'!D118)</f>
        <v/>
      </c>
      <c r="D124" s="7" t="str">
        <f>IF('FGPO Master'!A118="","",'FGPO Master'!F118)</f>
        <v/>
      </c>
      <c r="E124" s="7" t="str">
        <f>IF('FGPO Master'!A118="","",'FGPO Master'!G118)</f>
        <v/>
      </c>
      <c r="F124" s="19" t="str">
        <f>IF('FGPO Master'!A118="","",'FGPO Master'!H118)</f>
        <v/>
      </c>
      <c r="G124" s="19" t="str">
        <f>IF('FGPO Master'!A118="","",'FGPO Master'!M118)</f>
        <v/>
      </c>
      <c r="H124" s="19" t="str">
        <f>IF(B124="","",SUMIF('Fabric Requirement'!$B$5:$B$304,B124,'Fabric Requirement'!$M$5:$M$304)+SUMIF('Fabric Requirement'!$B$5:$B$304,B124,'Fabric Requirement'!$O$5:$O$304))</f>
        <v/>
      </c>
      <c r="I124" s="19" t="str">
        <f>IF(B124="","",SUMIF('Fabric PO'!$B$5:$B$304,B124,'Fabric PO'!$H$5:$H$304))</f>
        <v/>
      </c>
      <c r="J124" s="19" t="str">
        <f>IF(B124="","",SUMIF('Mill Production'!$C$5:$C$304,B124,'Mill Production'!$I$5:$I$304))</f>
        <v/>
      </c>
      <c r="K124" s="7" t="str">
        <f>IF(B124="","",IF(COUNTIF('Mill Test'!$C$5:$C$304,B124)=0,"Pending",IF(COUNTIFS('Mill Test'!$C$5:$C$304,B124,'Mill Test'!$T$5:$T$304,"Failed")&gt;0,"Failed","Passed")))</f>
        <v/>
      </c>
      <c r="L124" s="19" t="str">
        <f>IF(B124="","",SUMIF('Fabric Shipment'!$C$5:$C$304,B124,'Fabric Shipment'!$G$5:$G$304))</f>
        <v/>
      </c>
      <c r="M124" s="19" t="str">
        <f>IF(B124="","",SUMIF('Fabric Shipment'!$C$5:$C$304,B124,'Fabric Shipment'!$R$5:$R$304))</f>
        <v/>
      </c>
      <c r="N124" s="19" t="str">
        <f>IF(B124="","",SUMIF('Fabric Receiving'!$E$5:$E$304,B124,'Fabric Receiving'!$H$5:$H$304))</f>
        <v/>
      </c>
      <c r="O124" s="19" t="str">
        <f>IF(B124="","",SUMIF('Fabric Receiving'!$E$5:$E$304,B124,'Fabric Receiving'!$I$5:$I$304))</f>
        <v/>
      </c>
      <c r="P124" s="7" t="str">
        <f>IF(B124="","",IF(COUNTIF('Four-Point'!$E$5:$E$304,B124)=0,"Pending",IF(COUNTIFS('Four-Point'!$E$5:$E$304,B124,'Four-Point'!$T$5:$T$304,"Failed")&gt;0,"Failed","Passed")))</f>
        <v/>
      </c>
      <c r="Q124" s="7" t="str">
        <f>IF(B124="","",IF(COUNTIF('Internal Test'!$D$5:$D$304,B124)=0,"Pending",IF(COUNTIFS('Internal Test'!$D$5:$D$304,B124,'Internal Test'!$AA$5:$AA$304,"Failed")&gt;0,"Failed","Passed")))</f>
        <v/>
      </c>
      <c r="R124" s="7" t="str">
        <f>IF(B124="","",IF(COUNTIF('Shade Match'!$C$5:$C$304,B124)=0,"Pending",IF(COUNTIFS('Shade Match'!$C$5:$C$304,B124,'Shade Match'!$Q$5:$Q$304,"Failed")&gt;0,"Failed","Approved")))</f>
        <v/>
      </c>
      <c r="S124" s="19" t="str">
        <f>IF(B124="","",SUMIF('Fabric Inventory'!$C$5:$C$304,B124,'Fabric Inventory'!$H$5:$H$304))</f>
        <v/>
      </c>
      <c r="T124" s="19" t="str">
        <f>IF(B124="","",SUMIF('Fabric Inventory'!$C$5:$C$304,B124,'Fabric Inventory'!$K$5:$K$304))</f>
        <v/>
      </c>
      <c r="U124" s="19" t="str">
        <f>IF(B124="","",SUMIF('Fabric Inventory'!$C$5:$C$304,B124,'Fabric Inventory'!$L$5:$L$304))</f>
        <v/>
      </c>
      <c r="V124" s="19" t="str">
        <f>IF(B124="","",SUMIF('Fabric Inventory'!$C$5:$C$304,B124,'Fabric Inventory'!$N$5:$N$304))</f>
        <v/>
      </c>
      <c r="W124" s="19" t="str">
        <f>IF(B124="","",SUMIF('Fabric Inventory'!$C$5:$C$304,B124,'Fabric Inventory'!$O$5:$O$304))</f>
        <v/>
      </c>
    </row>
    <row r="125" spans="1:23">
      <c r="A125" s="7" t="str">
        <f>IF('FGPO Master'!A119="","",'FGPO Master'!E119)</f>
        <v/>
      </c>
      <c r="B125" s="7" t="str">
        <f>IF('FGPO Master'!A119="","",IF('FGPO Master'!D119="FGPO Pending","FGPO Pending",'FGPO Master'!B119))</f>
        <v/>
      </c>
      <c r="C125" s="7" t="str">
        <f>IF('FGPO Master'!A119="","",'FGPO Master'!D119)</f>
        <v/>
      </c>
      <c r="D125" s="7" t="str">
        <f>IF('FGPO Master'!A119="","",'FGPO Master'!F119)</f>
        <v/>
      </c>
      <c r="E125" s="7" t="str">
        <f>IF('FGPO Master'!A119="","",'FGPO Master'!G119)</f>
        <v/>
      </c>
      <c r="F125" s="19" t="str">
        <f>IF('FGPO Master'!A119="","",'FGPO Master'!H119)</f>
        <v/>
      </c>
      <c r="G125" s="19" t="str">
        <f>IF('FGPO Master'!A119="","",'FGPO Master'!M119)</f>
        <v/>
      </c>
      <c r="H125" s="19" t="str">
        <f>IF(B125="","",SUMIF('Fabric Requirement'!$B$5:$B$304,B125,'Fabric Requirement'!$M$5:$M$304)+SUMIF('Fabric Requirement'!$B$5:$B$304,B125,'Fabric Requirement'!$O$5:$O$304))</f>
        <v/>
      </c>
      <c r="I125" s="19" t="str">
        <f>IF(B125="","",SUMIF('Fabric PO'!$B$5:$B$304,B125,'Fabric PO'!$H$5:$H$304))</f>
        <v/>
      </c>
      <c r="J125" s="19" t="str">
        <f>IF(B125="","",SUMIF('Mill Production'!$C$5:$C$304,B125,'Mill Production'!$I$5:$I$304))</f>
        <v/>
      </c>
      <c r="K125" s="7" t="str">
        <f>IF(B125="","",IF(COUNTIF('Mill Test'!$C$5:$C$304,B125)=0,"Pending",IF(COUNTIFS('Mill Test'!$C$5:$C$304,B125,'Mill Test'!$T$5:$T$304,"Failed")&gt;0,"Failed","Passed")))</f>
        <v/>
      </c>
      <c r="L125" s="19" t="str">
        <f>IF(B125="","",SUMIF('Fabric Shipment'!$C$5:$C$304,B125,'Fabric Shipment'!$G$5:$G$304))</f>
        <v/>
      </c>
      <c r="M125" s="19" t="str">
        <f>IF(B125="","",SUMIF('Fabric Shipment'!$C$5:$C$304,B125,'Fabric Shipment'!$R$5:$R$304))</f>
        <v/>
      </c>
      <c r="N125" s="19" t="str">
        <f>IF(B125="","",SUMIF('Fabric Receiving'!$E$5:$E$304,B125,'Fabric Receiving'!$H$5:$H$304))</f>
        <v/>
      </c>
      <c r="O125" s="19" t="str">
        <f>IF(B125="","",SUMIF('Fabric Receiving'!$E$5:$E$304,B125,'Fabric Receiving'!$I$5:$I$304))</f>
        <v/>
      </c>
      <c r="P125" s="7" t="str">
        <f>IF(B125="","",IF(COUNTIF('Four-Point'!$E$5:$E$304,B125)=0,"Pending",IF(COUNTIFS('Four-Point'!$E$5:$E$304,B125,'Four-Point'!$T$5:$T$304,"Failed")&gt;0,"Failed","Passed")))</f>
        <v/>
      </c>
      <c r="Q125" s="7" t="str">
        <f>IF(B125="","",IF(COUNTIF('Internal Test'!$D$5:$D$304,B125)=0,"Pending",IF(COUNTIFS('Internal Test'!$D$5:$D$304,B125,'Internal Test'!$AA$5:$AA$304,"Failed")&gt;0,"Failed","Passed")))</f>
        <v/>
      </c>
      <c r="R125" s="7" t="str">
        <f>IF(B125="","",IF(COUNTIF('Shade Match'!$C$5:$C$304,B125)=0,"Pending",IF(COUNTIFS('Shade Match'!$C$5:$C$304,B125,'Shade Match'!$Q$5:$Q$304,"Failed")&gt;0,"Failed","Approved")))</f>
        <v/>
      </c>
      <c r="S125" s="19" t="str">
        <f>IF(B125="","",SUMIF('Fabric Inventory'!$C$5:$C$304,B125,'Fabric Inventory'!$H$5:$H$304))</f>
        <v/>
      </c>
      <c r="T125" s="19" t="str">
        <f>IF(B125="","",SUMIF('Fabric Inventory'!$C$5:$C$304,B125,'Fabric Inventory'!$K$5:$K$304))</f>
        <v/>
      </c>
      <c r="U125" s="19" t="str">
        <f>IF(B125="","",SUMIF('Fabric Inventory'!$C$5:$C$304,B125,'Fabric Inventory'!$L$5:$L$304))</f>
        <v/>
      </c>
      <c r="V125" s="19" t="str">
        <f>IF(B125="","",SUMIF('Fabric Inventory'!$C$5:$C$304,B125,'Fabric Inventory'!$N$5:$N$304))</f>
        <v/>
      </c>
      <c r="W125" s="19" t="str">
        <f>IF(B125="","",SUMIF('Fabric Inventory'!$C$5:$C$304,B125,'Fabric Inventory'!$O$5:$O$304))</f>
        <v/>
      </c>
    </row>
    <row r="126" spans="1:23">
      <c r="A126" s="7" t="str">
        <f>IF('FGPO Master'!A120="","",'FGPO Master'!E120)</f>
        <v/>
      </c>
      <c r="B126" s="7" t="str">
        <f>IF('FGPO Master'!A120="","",IF('FGPO Master'!D120="FGPO Pending","FGPO Pending",'FGPO Master'!B120))</f>
        <v/>
      </c>
      <c r="C126" s="7" t="str">
        <f>IF('FGPO Master'!A120="","",'FGPO Master'!D120)</f>
        <v/>
      </c>
      <c r="D126" s="7" t="str">
        <f>IF('FGPO Master'!A120="","",'FGPO Master'!F120)</f>
        <v/>
      </c>
      <c r="E126" s="7" t="str">
        <f>IF('FGPO Master'!A120="","",'FGPO Master'!G120)</f>
        <v/>
      </c>
      <c r="F126" s="19" t="str">
        <f>IF('FGPO Master'!A120="","",'FGPO Master'!H120)</f>
        <v/>
      </c>
      <c r="G126" s="19" t="str">
        <f>IF('FGPO Master'!A120="","",'FGPO Master'!M120)</f>
        <v/>
      </c>
      <c r="H126" s="19" t="str">
        <f>IF(B126="","",SUMIF('Fabric Requirement'!$B$5:$B$304,B126,'Fabric Requirement'!$M$5:$M$304)+SUMIF('Fabric Requirement'!$B$5:$B$304,B126,'Fabric Requirement'!$O$5:$O$304))</f>
        <v/>
      </c>
      <c r="I126" s="19" t="str">
        <f>IF(B126="","",SUMIF('Fabric PO'!$B$5:$B$304,B126,'Fabric PO'!$H$5:$H$304))</f>
        <v/>
      </c>
      <c r="J126" s="19" t="str">
        <f>IF(B126="","",SUMIF('Mill Production'!$C$5:$C$304,B126,'Mill Production'!$I$5:$I$304))</f>
        <v/>
      </c>
      <c r="K126" s="7" t="str">
        <f>IF(B126="","",IF(COUNTIF('Mill Test'!$C$5:$C$304,B126)=0,"Pending",IF(COUNTIFS('Mill Test'!$C$5:$C$304,B126,'Mill Test'!$T$5:$T$304,"Failed")&gt;0,"Failed","Passed")))</f>
        <v/>
      </c>
      <c r="L126" s="19" t="str">
        <f>IF(B126="","",SUMIF('Fabric Shipment'!$C$5:$C$304,B126,'Fabric Shipment'!$G$5:$G$304))</f>
        <v/>
      </c>
      <c r="M126" s="19" t="str">
        <f>IF(B126="","",SUMIF('Fabric Shipment'!$C$5:$C$304,B126,'Fabric Shipment'!$R$5:$R$304))</f>
        <v/>
      </c>
      <c r="N126" s="19" t="str">
        <f>IF(B126="","",SUMIF('Fabric Receiving'!$E$5:$E$304,B126,'Fabric Receiving'!$H$5:$H$304))</f>
        <v/>
      </c>
      <c r="O126" s="19" t="str">
        <f>IF(B126="","",SUMIF('Fabric Receiving'!$E$5:$E$304,B126,'Fabric Receiving'!$I$5:$I$304))</f>
        <v/>
      </c>
      <c r="P126" s="7" t="str">
        <f>IF(B126="","",IF(COUNTIF('Four-Point'!$E$5:$E$304,B126)=0,"Pending",IF(COUNTIFS('Four-Point'!$E$5:$E$304,B126,'Four-Point'!$T$5:$T$304,"Failed")&gt;0,"Failed","Passed")))</f>
        <v/>
      </c>
      <c r="Q126" s="7" t="str">
        <f>IF(B126="","",IF(COUNTIF('Internal Test'!$D$5:$D$304,B126)=0,"Pending",IF(COUNTIFS('Internal Test'!$D$5:$D$304,B126,'Internal Test'!$AA$5:$AA$304,"Failed")&gt;0,"Failed","Passed")))</f>
        <v/>
      </c>
      <c r="R126" s="7" t="str">
        <f>IF(B126="","",IF(COUNTIF('Shade Match'!$C$5:$C$304,B126)=0,"Pending",IF(COUNTIFS('Shade Match'!$C$5:$C$304,B126,'Shade Match'!$Q$5:$Q$304,"Failed")&gt;0,"Failed","Approved")))</f>
        <v/>
      </c>
      <c r="S126" s="19" t="str">
        <f>IF(B126="","",SUMIF('Fabric Inventory'!$C$5:$C$304,B126,'Fabric Inventory'!$H$5:$H$304))</f>
        <v/>
      </c>
      <c r="T126" s="19" t="str">
        <f>IF(B126="","",SUMIF('Fabric Inventory'!$C$5:$C$304,B126,'Fabric Inventory'!$K$5:$K$304))</f>
        <v/>
      </c>
      <c r="U126" s="19" t="str">
        <f>IF(B126="","",SUMIF('Fabric Inventory'!$C$5:$C$304,B126,'Fabric Inventory'!$L$5:$L$304))</f>
        <v/>
      </c>
      <c r="V126" s="19" t="str">
        <f>IF(B126="","",SUMIF('Fabric Inventory'!$C$5:$C$304,B126,'Fabric Inventory'!$N$5:$N$304))</f>
        <v/>
      </c>
      <c r="W126" s="19" t="str">
        <f>IF(B126="","",SUMIF('Fabric Inventory'!$C$5:$C$304,B126,'Fabric Inventory'!$O$5:$O$304))</f>
        <v/>
      </c>
    </row>
    <row r="127" spans="1:23">
      <c r="A127" s="7" t="str">
        <f>IF('FGPO Master'!A121="","",'FGPO Master'!E121)</f>
        <v/>
      </c>
      <c r="B127" s="7" t="str">
        <f>IF('FGPO Master'!A121="","",IF('FGPO Master'!D121="FGPO Pending","FGPO Pending",'FGPO Master'!B121))</f>
        <v/>
      </c>
      <c r="C127" s="7" t="str">
        <f>IF('FGPO Master'!A121="","",'FGPO Master'!D121)</f>
        <v/>
      </c>
      <c r="D127" s="7" t="str">
        <f>IF('FGPO Master'!A121="","",'FGPO Master'!F121)</f>
        <v/>
      </c>
      <c r="E127" s="7" t="str">
        <f>IF('FGPO Master'!A121="","",'FGPO Master'!G121)</f>
        <v/>
      </c>
      <c r="F127" s="19" t="str">
        <f>IF('FGPO Master'!A121="","",'FGPO Master'!H121)</f>
        <v/>
      </c>
      <c r="G127" s="19" t="str">
        <f>IF('FGPO Master'!A121="","",'FGPO Master'!M121)</f>
        <v/>
      </c>
      <c r="H127" s="19" t="str">
        <f>IF(B127="","",SUMIF('Fabric Requirement'!$B$5:$B$304,B127,'Fabric Requirement'!$M$5:$M$304)+SUMIF('Fabric Requirement'!$B$5:$B$304,B127,'Fabric Requirement'!$O$5:$O$304))</f>
        <v/>
      </c>
      <c r="I127" s="19" t="str">
        <f>IF(B127="","",SUMIF('Fabric PO'!$B$5:$B$304,B127,'Fabric PO'!$H$5:$H$304))</f>
        <v/>
      </c>
      <c r="J127" s="19" t="str">
        <f>IF(B127="","",SUMIF('Mill Production'!$C$5:$C$304,B127,'Mill Production'!$I$5:$I$304))</f>
        <v/>
      </c>
      <c r="K127" s="7" t="str">
        <f>IF(B127="","",IF(COUNTIF('Mill Test'!$C$5:$C$304,B127)=0,"Pending",IF(COUNTIFS('Mill Test'!$C$5:$C$304,B127,'Mill Test'!$T$5:$T$304,"Failed")&gt;0,"Failed","Passed")))</f>
        <v/>
      </c>
      <c r="L127" s="19" t="str">
        <f>IF(B127="","",SUMIF('Fabric Shipment'!$C$5:$C$304,B127,'Fabric Shipment'!$G$5:$G$304))</f>
        <v/>
      </c>
      <c r="M127" s="19" t="str">
        <f>IF(B127="","",SUMIF('Fabric Shipment'!$C$5:$C$304,B127,'Fabric Shipment'!$R$5:$R$304))</f>
        <v/>
      </c>
      <c r="N127" s="19" t="str">
        <f>IF(B127="","",SUMIF('Fabric Receiving'!$E$5:$E$304,B127,'Fabric Receiving'!$H$5:$H$304))</f>
        <v/>
      </c>
      <c r="O127" s="19" t="str">
        <f>IF(B127="","",SUMIF('Fabric Receiving'!$E$5:$E$304,B127,'Fabric Receiving'!$I$5:$I$304))</f>
        <v/>
      </c>
      <c r="P127" s="7" t="str">
        <f>IF(B127="","",IF(COUNTIF('Four-Point'!$E$5:$E$304,B127)=0,"Pending",IF(COUNTIFS('Four-Point'!$E$5:$E$304,B127,'Four-Point'!$T$5:$T$304,"Failed")&gt;0,"Failed","Passed")))</f>
        <v/>
      </c>
      <c r="Q127" s="7" t="str">
        <f>IF(B127="","",IF(COUNTIF('Internal Test'!$D$5:$D$304,B127)=0,"Pending",IF(COUNTIFS('Internal Test'!$D$5:$D$304,B127,'Internal Test'!$AA$5:$AA$304,"Failed")&gt;0,"Failed","Passed")))</f>
        <v/>
      </c>
      <c r="R127" s="7" t="str">
        <f>IF(B127="","",IF(COUNTIF('Shade Match'!$C$5:$C$304,B127)=0,"Pending",IF(COUNTIFS('Shade Match'!$C$5:$C$304,B127,'Shade Match'!$Q$5:$Q$304,"Failed")&gt;0,"Failed","Approved")))</f>
        <v/>
      </c>
      <c r="S127" s="19" t="str">
        <f>IF(B127="","",SUMIF('Fabric Inventory'!$C$5:$C$304,B127,'Fabric Inventory'!$H$5:$H$304))</f>
        <v/>
      </c>
      <c r="T127" s="19" t="str">
        <f>IF(B127="","",SUMIF('Fabric Inventory'!$C$5:$C$304,B127,'Fabric Inventory'!$K$5:$K$304))</f>
        <v/>
      </c>
      <c r="U127" s="19" t="str">
        <f>IF(B127="","",SUMIF('Fabric Inventory'!$C$5:$C$304,B127,'Fabric Inventory'!$L$5:$L$304))</f>
        <v/>
      </c>
      <c r="V127" s="19" t="str">
        <f>IF(B127="","",SUMIF('Fabric Inventory'!$C$5:$C$304,B127,'Fabric Inventory'!$N$5:$N$304))</f>
        <v/>
      </c>
      <c r="W127" s="19" t="str">
        <f>IF(B127="","",SUMIF('Fabric Inventory'!$C$5:$C$304,B127,'Fabric Inventory'!$O$5:$O$304))</f>
        <v/>
      </c>
    </row>
    <row r="128" spans="1:23">
      <c r="A128" s="7" t="str">
        <f>IF('FGPO Master'!A122="","",'FGPO Master'!E122)</f>
        <v/>
      </c>
      <c r="B128" s="7" t="str">
        <f>IF('FGPO Master'!A122="","",IF('FGPO Master'!D122="FGPO Pending","FGPO Pending",'FGPO Master'!B122))</f>
        <v/>
      </c>
      <c r="C128" s="7" t="str">
        <f>IF('FGPO Master'!A122="","",'FGPO Master'!D122)</f>
        <v/>
      </c>
      <c r="D128" s="7" t="str">
        <f>IF('FGPO Master'!A122="","",'FGPO Master'!F122)</f>
        <v/>
      </c>
      <c r="E128" s="7" t="str">
        <f>IF('FGPO Master'!A122="","",'FGPO Master'!G122)</f>
        <v/>
      </c>
      <c r="F128" s="19" t="str">
        <f>IF('FGPO Master'!A122="","",'FGPO Master'!H122)</f>
        <v/>
      </c>
      <c r="G128" s="19" t="str">
        <f>IF('FGPO Master'!A122="","",'FGPO Master'!M122)</f>
        <v/>
      </c>
      <c r="H128" s="19" t="str">
        <f>IF(B128="","",SUMIF('Fabric Requirement'!$B$5:$B$304,B128,'Fabric Requirement'!$M$5:$M$304)+SUMIF('Fabric Requirement'!$B$5:$B$304,B128,'Fabric Requirement'!$O$5:$O$304))</f>
        <v/>
      </c>
      <c r="I128" s="19" t="str">
        <f>IF(B128="","",SUMIF('Fabric PO'!$B$5:$B$304,B128,'Fabric PO'!$H$5:$H$304))</f>
        <v/>
      </c>
      <c r="J128" s="19" t="str">
        <f>IF(B128="","",SUMIF('Mill Production'!$C$5:$C$304,B128,'Mill Production'!$I$5:$I$304))</f>
        <v/>
      </c>
      <c r="K128" s="7" t="str">
        <f>IF(B128="","",IF(COUNTIF('Mill Test'!$C$5:$C$304,B128)=0,"Pending",IF(COUNTIFS('Mill Test'!$C$5:$C$304,B128,'Mill Test'!$T$5:$T$304,"Failed")&gt;0,"Failed","Passed")))</f>
        <v/>
      </c>
      <c r="L128" s="19" t="str">
        <f>IF(B128="","",SUMIF('Fabric Shipment'!$C$5:$C$304,B128,'Fabric Shipment'!$G$5:$G$304))</f>
        <v/>
      </c>
      <c r="M128" s="19" t="str">
        <f>IF(B128="","",SUMIF('Fabric Shipment'!$C$5:$C$304,B128,'Fabric Shipment'!$R$5:$R$304))</f>
        <v/>
      </c>
      <c r="N128" s="19" t="str">
        <f>IF(B128="","",SUMIF('Fabric Receiving'!$E$5:$E$304,B128,'Fabric Receiving'!$H$5:$H$304))</f>
        <v/>
      </c>
      <c r="O128" s="19" t="str">
        <f>IF(B128="","",SUMIF('Fabric Receiving'!$E$5:$E$304,B128,'Fabric Receiving'!$I$5:$I$304))</f>
        <v/>
      </c>
      <c r="P128" s="7" t="str">
        <f>IF(B128="","",IF(COUNTIF('Four-Point'!$E$5:$E$304,B128)=0,"Pending",IF(COUNTIFS('Four-Point'!$E$5:$E$304,B128,'Four-Point'!$T$5:$T$304,"Failed")&gt;0,"Failed","Passed")))</f>
        <v/>
      </c>
      <c r="Q128" s="7" t="str">
        <f>IF(B128="","",IF(COUNTIF('Internal Test'!$D$5:$D$304,B128)=0,"Pending",IF(COUNTIFS('Internal Test'!$D$5:$D$304,B128,'Internal Test'!$AA$5:$AA$304,"Failed")&gt;0,"Failed","Passed")))</f>
        <v/>
      </c>
      <c r="R128" s="7" t="str">
        <f>IF(B128="","",IF(COUNTIF('Shade Match'!$C$5:$C$304,B128)=0,"Pending",IF(COUNTIFS('Shade Match'!$C$5:$C$304,B128,'Shade Match'!$Q$5:$Q$304,"Failed")&gt;0,"Failed","Approved")))</f>
        <v/>
      </c>
      <c r="S128" s="19" t="str">
        <f>IF(B128="","",SUMIF('Fabric Inventory'!$C$5:$C$304,B128,'Fabric Inventory'!$H$5:$H$304))</f>
        <v/>
      </c>
      <c r="T128" s="19" t="str">
        <f>IF(B128="","",SUMIF('Fabric Inventory'!$C$5:$C$304,B128,'Fabric Inventory'!$K$5:$K$304))</f>
        <v/>
      </c>
      <c r="U128" s="19" t="str">
        <f>IF(B128="","",SUMIF('Fabric Inventory'!$C$5:$C$304,B128,'Fabric Inventory'!$L$5:$L$304))</f>
        <v/>
      </c>
      <c r="V128" s="19" t="str">
        <f>IF(B128="","",SUMIF('Fabric Inventory'!$C$5:$C$304,B128,'Fabric Inventory'!$N$5:$N$304))</f>
        <v/>
      </c>
      <c r="W128" s="19" t="str">
        <f>IF(B128="","",SUMIF('Fabric Inventory'!$C$5:$C$304,B128,'Fabric Inventory'!$O$5:$O$304))</f>
        <v/>
      </c>
    </row>
    <row r="129" spans="1:23">
      <c r="A129" s="7" t="str">
        <f>IF('FGPO Master'!A123="","",'FGPO Master'!E123)</f>
        <v/>
      </c>
      <c r="B129" s="7" t="str">
        <f>IF('FGPO Master'!A123="","",IF('FGPO Master'!D123="FGPO Pending","FGPO Pending",'FGPO Master'!B123))</f>
        <v/>
      </c>
      <c r="C129" s="7" t="str">
        <f>IF('FGPO Master'!A123="","",'FGPO Master'!D123)</f>
        <v/>
      </c>
      <c r="D129" s="7" t="str">
        <f>IF('FGPO Master'!A123="","",'FGPO Master'!F123)</f>
        <v/>
      </c>
      <c r="E129" s="7" t="str">
        <f>IF('FGPO Master'!A123="","",'FGPO Master'!G123)</f>
        <v/>
      </c>
      <c r="F129" s="19" t="str">
        <f>IF('FGPO Master'!A123="","",'FGPO Master'!H123)</f>
        <v/>
      </c>
      <c r="G129" s="19" t="str">
        <f>IF('FGPO Master'!A123="","",'FGPO Master'!M123)</f>
        <v/>
      </c>
      <c r="H129" s="19" t="str">
        <f>IF(B129="","",SUMIF('Fabric Requirement'!$B$5:$B$304,B129,'Fabric Requirement'!$M$5:$M$304)+SUMIF('Fabric Requirement'!$B$5:$B$304,B129,'Fabric Requirement'!$O$5:$O$304))</f>
        <v/>
      </c>
      <c r="I129" s="19" t="str">
        <f>IF(B129="","",SUMIF('Fabric PO'!$B$5:$B$304,B129,'Fabric PO'!$H$5:$H$304))</f>
        <v/>
      </c>
      <c r="J129" s="19" t="str">
        <f>IF(B129="","",SUMIF('Mill Production'!$C$5:$C$304,B129,'Mill Production'!$I$5:$I$304))</f>
        <v/>
      </c>
      <c r="K129" s="7" t="str">
        <f>IF(B129="","",IF(COUNTIF('Mill Test'!$C$5:$C$304,B129)=0,"Pending",IF(COUNTIFS('Mill Test'!$C$5:$C$304,B129,'Mill Test'!$T$5:$T$304,"Failed")&gt;0,"Failed","Passed")))</f>
        <v/>
      </c>
      <c r="L129" s="19" t="str">
        <f>IF(B129="","",SUMIF('Fabric Shipment'!$C$5:$C$304,B129,'Fabric Shipment'!$G$5:$G$304))</f>
        <v/>
      </c>
      <c r="M129" s="19" t="str">
        <f>IF(B129="","",SUMIF('Fabric Shipment'!$C$5:$C$304,B129,'Fabric Shipment'!$R$5:$R$304))</f>
        <v/>
      </c>
      <c r="N129" s="19" t="str">
        <f>IF(B129="","",SUMIF('Fabric Receiving'!$E$5:$E$304,B129,'Fabric Receiving'!$H$5:$H$304))</f>
        <v/>
      </c>
      <c r="O129" s="19" t="str">
        <f>IF(B129="","",SUMIF('Fabric Receiving'!$E$5:$E$304,B129,'Fabric Receiving'!$I$5:$I$304))</f>
        <v/>
      </c>
      <c r="P129" s="7" t="str">
        <f>IF(B129="","",IF(COUNTIF('Four-Point'!$E$5:$E$304,B129)=0,"Pending",IF(COUNTIFS('Four-Point'!$E$5:$E$304,B129,'Four-Point'!$T$5:$T$304,"Failed")&gt;0,"Failed","Passed")))</f>
        <v/>
      </c>
      <c r="Q129" s="7" t="str">
        <f>IF(B129="","",IF(COUNTIF('Internal Test'!$D$5:$D$304,B129)=0,"Pending",IF(COUNTIFS('Internal Test'!$D$5:$D$304,B129,'Internal Test'!$AA$5:$AA$304,"Failed")&gt;0,"Failed","Passed")))</f>
        <v/>
      </c>
      <c r="R129" s="7" t="str">
        <f>IF(B129="","",IF(COUNTIF('Shade Match'!$C$5:$C$304,B129)=0,"Pending",IF(COUNTIFS('Shade Match'!$C$5:$C$304,B129,'Shade Match'!$Q$5:$Q$304,"Failed")&gt;0,"Failed","Approved")))</f>
        <v/>
      </c>
      <c r="S129" s="19" t="str">
        <f>IF(B129="","",SUMIF('Fabric Inventory'!$C$5:$C$304,B129,'Fabric Inventory'!$H$5:$H$304))</f>
        <v/>
      </c>
      <c r="T129" s="19" t="str">
        <f>IF(B129="","",SUMIF('Fabric Inventory'!$C$5:$C$304,B129,'Fabric Inventory'!$K$5:$K$304))</f>
        <v/>
      </c>
      <c r="U129" s="19" t="str">
        <f>IF(B129="","",SUMIF('Fabric Inventory'!$C$5:$C$304,B129,'Fabric Inventory'!$L$5:$L$304))</f>
        <v/>
      </c>
      <c r="V129" s="19" t="str">
        <f>IF(B129="","",SUMIF('Fabric Inventory'!$C$5:$C$304,B129,'Fabric Inventory'!$N$5:$N$304))</f>
        <v/>
      </c>
      <c r="W129" s="19" t="str">
        <f>IF(B129="","",SUMIF('Fabric Inventory'!$C$5:$C$304,B129,'Fabric Inventory'!$O$5:$O$304))</f>
        <v/>
      </c>
    </row>
    <row r="130" spans="1:23">
      <c r="A130" s="7" t="str">
        <f>IF('FGPO Master'!A124="","",'FGPO Master'!E124)</f>
        <v/>
      </c>
      <c r="B130" s="7" t="str">
        <f>IF('FGPO Master'!A124="","",IF('FGPO Master'!D124="FGPO Pending","FGPO Pending",'FGPO Master'!B124))</f>
        <v/>
      </c>
      <c r="C130" s="7" t="str">
        <f>IF('FGPO Master'!A124="","",'FGPO Master'!D124)</f>
        <v/>
      </c>
      <c r="D130" s="7" t="str">
        <f>IF('FGPO Master'!A124="","",'FGPO Master'!F124)</f>
        <v/>
      </c>
      <c r="E130" s="7" t="str">
        <f>IF('FGPO Master'!A124="","",'FGPO Master'!G124)</f>
        <v/>
      </c>
      <c r="F130" s="19" t="str">
        <f>IF('FGPO Master'!A124="","",'FGPO Master'!H124)</f>
        <v/>
      </c>
      <c r="G130" s="19" t="str">
        <f>IF('FGPO Master'!A124="","",'FGPO Master'!M124)</f>
        <v/>
      </c>
      <c r="H130" s="19" t="str">
        <f>IF(B130="","",SUMIF('Fabric Requirement'!$B$5:$B$304,B130,'Fabric Requirement'!$M$5:$M$304)+SUMIF('Fabric Requirement'!$B$5:$B$304,B130,'Fabric Requirement'!$O$5:$O$304))</f>
        <v/>
      </c>
      <c r="I130" s="19" t="str">
        <f>IF(B130="","",SUMIF('Fabric PO'!$B$5:$B$304,B130,'Fabric PO'!$H$5:$H$304))</f>
        <v/>
      </c>
      <c r="J130" s="19" t="str">
        <f>IF(B130="","",SUMIF('Mill Production'!$C$5:$C$304,B130,'Mill Production'!$I$5:$I$304))</f>
        <v/>
      </c>
      <c r="K130" s="7" t="str">
        <f>IF(B130="","",IF(COUNTIF('Mill Test'!$C$5:$C$304,B130)=0,"Pending",IF(COUNTIFS('Mill Test'!$C$5:$C$304,B130,'Mill Test'!$T$5:$T$304,"Failed")&gt;0,"Failed","Passed")))</f>
        <v/>
      </c>
      <c r="L130" s="19" t="str">
        <f>IF(B130="","",SUMIF('Fabric Shipment'!$C$5:$C$304,B130,'Fabric Shipment'!$G$5:$G$304))</f>
        <v/>
      </c>
      <c r="M130" s="19" t="str">
        <f>IF(B130="","",SUMIF('Fabric Shipment'!$C$5:$C$304,B130,'Fabric Shipment'!$R$5:$R$304))</f>
        <v/>
      </c>
      <c r="N130" s="19" t="str">
        <f>IF(B130="","",SUMIF('Fabric Receiving'!$E$5:$E$304,B130,'Fabric Receiving'!$H$5:$H$304))</f>
        <v/>
      </c>
      <c r="O130" s="19" t="str">
        <f>IF(B130="","",SUMIF('Fabric Receiving'!$E$5:$E$304,B130,'Fabric Receiving'!$I$5:$I$304))</f>
        <v/>
      </c>
      <c r="P130" s="7" t="str">
        <f>IF(B130="","",IF(COUNTIF('Four-Point'!$E$5:$E$304,B130)=0,"Pending",IF(COUNTIFS('Four-Point'!$E$5:$E$304,B130,'Four-Point'!$T$5:$T$304,"Failed")&gt;0,"Failed","Passed")))</f>
        <v/>
      </c>
      <c r="Q130" s="7" t="str">
        <f>IF(B130="","",IF(COUNTIF('Internal Test'!$D$5:$D$304,B130)=0,"Pending",IF(COUNTIFS('Internal Test'!$D$5:$D$304,B130,'Internal Test'!$AA$5:$AA$304,"Failed")&gt;0,"Failed","Passed")))</f>
        <v/>
      </c>
      <c r="R130" s="7" t="str">
        <f>IF(B130="","",IF(COUNTIF('Shade Match'!$C$5:$C$304,B130)=0,"Pending",IF(COUNTIFS('Shade Match'!$C$5:$C$304,B130,'Shade Match'!$Q$5:$Q$304,"Failed")&gt;0,"Failed","Approved")))</f>
        <v/>
      </c>
      <c r="S130" s="19" t="str">
        <f>IF(B130="","",SUMIF('Fabric Inventory'!$C$5:$C$304,B130,'Fabric Inventory'!$H$5:$H$304))</f>
        <v/>
      </c>
      <c r="T130" s="19" t="str">
        <f>IF(B130="","",SUMIF('Fabric Inventory'!$C$5:$C$304,B130,'Fabric Inventory'!$K$5:$K$304))</f>
        <v/>
      </c>
      <c r="U130" s="19" t="str">
        <f>IF(B130="","",SUMIF('Fabric Inventory'!$C$5:$C$304,B130,'Fabric Inventory'!$L$5:$L$304))</f>
        <v/>
      </c>
      <c r="V130" s="19" t="str">
        <f>IF(B130="","",SUMIF('Fabric Inventory'!$C$5:$C$304,B130,'Fabric Inventory'!$N$5:$N$304))</f>
        <v/>
      </c>
      <c r="W130" s="19" t="str">
        <f>IF(B130="","",SUMIF('Fabric Inventory'!$C$5:$C$304,B130,'Fabric Inventory'!$O$5:$O$304))</f>
        <v/>
      </c>
    </row>
    <row r="131" spans="1:23">
      <c r="A131" s="7" t="str">
        <f>IF('FGPO Master'!A125="","",'FGPO Master'!E125)</f>
        <v/>
      </c>
      <c r="B131" s="7" t="str">
        <f>IF('FGPO Master'!A125="","",IF('FGPO Master'!D125="FGPO Pending","FGPO Pending",'FGPO Master'!B125))</f>
        <v/>
      </c>
      <c r="C131" s="7" t="str">
        <f>IF('FGPO Master'!A125="","",'FGPO Master'!D125)</f>
        <v/>
      </c>
      <c r="D131" s="7" t="str">
        <f>IF('FGPO Master'!A125="","",'FGPO Master'!F125)</f>
        <v/>
      </c>
      <c r="E131" s="7" t="str">
        <f>IF('FGPO Master'!A125="","",'FGPO Master'!G125)</f>
        <v/>
      </c>
      <c r="F131" s="19" t="str">
        <f>IF('FGPO Master'!A125="","",'FGPO Master'!H125)</f>
        <v/>
      </c>
      <c r="G131" s="19" t="str">
        <f>IF('FGPO Master'!A125="","",'FGPO Master'!M125)</f>
        <v/>
      </c>
      <c r="H131" s="19" t="str">
        <f>IF(B131="","",SUMIF('Fabric Requirement'!$B$5:$B$304,B131,'Fabric Requirement'!$M$5:$M$304)+SUMIF('Fabric Requirement'!$B$5:$B$304,B131,'Fabric Requirement'!$O$5:$O$304))</f>
        <v/>
      </c>
      <c r="I131" s="19" t="str">
        <f>IF(B131="","",SUMIF('Fabric PO'!$B$5:$B$304,B131,'Fabric PO'!$H$5:$H$304))</f>
        <v/>
      </c>
      <c r="J131" s="19" t="str">
        <f>IF(B131="","",SUMIF('Mill Production'!$C$5:$C$304,B131,'Mill Production'!$I$5:$I$304))</f>
        <v/>
      </c>
      <c r="K131" s="7" t="str">
        <f>IF(B131="","",IF(COUNTIF('Mill Test'!$C$5:$C$304,B131)=0,"Pending",IF(COUNTIFS('Mill Test'!$C$5:$C$304,B131,'Mill Test'!$T$5:$T$304,"Failed")&gt;0,"Failed","Passed")))</f>
        <v/>
      </c>
      <c r="L131" s="19" t="str">
        <f>IF(B131="","",SUMIF('Fabric Shipment'!$C$5:$C$304,B131,'Fabric Shipment'!$G$5:$G$304))</f>
        <v/>
      </c>
      <c r="M131" s="19" t="str">
        <f>IF(B131="","",SUMIF('Fabric Shipment'!$C$5:$C$304,B131,'Fabric Shipment'!$R$5:$R$304))</f>
        <v/>
      </c>
      <c r="N131" s="19" t="str">
        <f>IF(B131="","",SUMIF('Fabric Receiving'!$E$5:$E$304,B131,'Fabric Receiving'!$H$5:$H$304))</f>
        <v/>
      </c>
      <c r="O131" s="19" t="str">
        <f>IF(B131="","",SUMIF('Fabric Receiving'!$E$5:$E$304,B131,'Fabric Receiving'!$I$5:$I$304))</f>
        <v/>
      </c>
      <c r="P131" s="7" t="str">
        <f>IF(B131="","",IF(COUNTIF('Four-Point'!$E$5:$E$304,B131)=0,"Pending",IF(COUNTIFS('Four-Point'!$E$5:$E$304,B131,'Four-Point'!$T$5:$T$304,"Failed")&gt;0,"Failed","Passed")))</f>
        <v/>
      </c>
      <c r="Q131" s="7" t="str">
        <f>IF(B131="","",IF(COUNTIF('Internal Test'!$D$5:$D$304,B131)=0,"Pending",IF(COUNTIFS('Internal Test'!$D$5:$D$304,B131,'Internal Test'!$AA$5:$AA$304,"Failed")&gt;0,"Failed","Passed")))</f>
        <v/>
      </c>
      <c r="R131" s="7" t="str">
        <f>IF(B131="","",IF(COUNTIF('Shade Match'!$C$5:$C$304,B131)=0,"Pending",IF(COUNTIFS('Shade Match'!$C$5:$C$304,B131,'Shade Match'!$Q$5:$Q$304,"Failed")&gt;0,"Failed","Approved")))</f>
        <v/>
      </c>
      <c r="S131" s="19" t="str">
        <f>IF(B131="","",SUMIF('Fabric Inventory'!$C$5:$C$304,B131,'Fabric Inventory'!$H$5:$H$304))</f>
        <v/>
      </c>
      <c r="T131" s="19" t="str">
        <f>IF(B131="","",SUMIF('Fabric Inventory'!$C$5:$C$304,B131,'Fabric Inventory'!$K$5:$K$304))</f>
        <v/>
      </c>
      <c r="U131" s="19" t="str">
        <f>IF(B131="","",SUMIF('Fabric Inventory'!$C$5:$C$304,B131,'Fabric Inventory'!$L$5:$L$304))</f>
        <v/>
      </c>
      <c r="V131" s="19" t="str">
        <f>IF(B131="","",SUMIF('Fabric Inventory'!$C$5:$C$304,B131,'Fabric Inventory'!$N$5:$N$304))</f>
        <v/>
      </c>
      <c r="W131" s="19" t="str">
        <f>IF(B131="","",SUMIF('Fabric Inventory'!$C$5:$C$304,B131,'Fabric Inventory'!$O$5:$O$304))</f>
        <v/>
      </c>
    </row>
    <row r="132" spans="1:23">
      <c r="A132" s="7" t="str">
        <f>IF('FGPO Master'!A126="","",'FGPO Master'!E126)</f>
        <v/>
      </c>
      <c r="B132" s="7" t="str">
        <f>IF('FGPO Master'!A126="","",IF('FGPO Master'!D126="FGPO Pending","FGPO Pending",'FGPO Master'!B126))</f>
        <v/>
      </c>
      <c r="C132" s="7" t="str">
        <f>IF('FGPO Master'!A126="","",'FGPO Master'!D126)</f>
        <v/>
      </c>
      <c r="D132" s="7" t="str">
        <f>IF('FGPO Master'!A126="","",'FGPO Master'!F126)</f>
        <v/>
      </c>
      <c r="E132" s="7" t="str">
        <f>IF('FGPO Master'!A126="","",'FGPO Master'!G126)</f>
        <v/>
      </c>
      <c r="F132" s="19" t="str">
        <f>IF('FGPO Master'!A126="","",'FGPO Master'!H126)</f>
        <v/>
      </c>
      <c r="G132" s="19" t="str">
        <f>IF('FGPO Master'!A126="","",'FGPO Master'!M126)</f>
        <v/>
      </c>
      <c r="H132" s="19" t="str">
        <f>IF(B132="","",SUMIF('Fabric Requirement'!$B$5:$B$304,B132,'Fabric Requirement'!$M$5:$M$304)+SUMIF('Fabric Requirement'!$B$5:$B$304,B132,'Fabric Requirement'!$O$5:$O$304))</f>
        <v/>
      </c>
      <c r="I132" s="19" t="str">
        <f>IF(B132="","",SUMIF('Fabric PO'!$B$5:$B$304,B132,'Fabric PO'!$H$5:$H$304))</f>
        <v/>
      </c>
      <c r="J132" s="19" t="str">
        <f>IF(B132="","",SUMIF('Mill Production'!$C$5:$C$304,B132,'Mill Production'!$I$5:$I$304))</f>
        <v/>
      </c>
      <c r="K132" s="7" t="str">
        <f>IF(B132="","",IF(COUNTIF('Mill Test'!$C$5:$C$304,B132)=0,"Pending",IF(COUNTIFS('Mill Test'!$C$5:$C$304,B132,'Mill Test'!$T$5:$T$304,"Failed")&gt;0,"Failed","Passed")))</f>
        <v/>
      </c>
      <c r="L132" s="19" t="str">
        <f>IF(B132="","",SUMIF('Fabric Shipment'!$C$5:$C$304,B132,'Fabric Shipment'!$G$5:$G$304))</f>
        <v/>
      </c>
      <c r="M132" s="19" t="str">
        <f>IF(B132="","",SUMIF('Fabric Shipment'!$C$5:$C$304,B132,'Fabric Shipment'!$R$5:$R$304))</f>
        <v/>
      </c>
      <c r="N132" s="19" t="str">
        <f>IF(B132="","",SUMIF('Fabric Receiving'!$E$5:$E$304,B132,'Fabric Receiving'!$H$5:$H$304))</f>
        <v/>
      </c>
      <c r="O132" s="19" t="str">
        <f>IF(B132="","",SUMIF('Fabric Receiving'!$E$5:$E$304,B132,'Fabric Receiving'!$I$5:$I$304))</f>
        <v/>
      </c>
      <c r="P132" s="7" t="str">
        <f>IF(B132="","",IF(COUNTIF('Four-Point'!$E$5:$E$304,B132)=0,"Pending",IF(COUNTIFS('Four-Point'!$E$5:$E$304,B132,'Four-Point'!$T$5:$T$304,"Failed")&gt;0,"Failed","Passed")))</f>
        <v/>
      </c>
      <c r="Q132" s="7" t="str">
        <f>IF(B132="","",IF(COUNTIF('Internal Test'!$D$5:$D$304,B132)=0,"Pending",IF(COUNTIFS('Internal Test'!$D$5:$D$304,B132,'Internal Test'!$AA$5:$AA$304,"Failed")&gt;0,"Failed","Passed")))</f>
        <v/>
      </c>
      <c r="R132" s="7" t="str">
        <f>IF(B132="","",IF(COUNTIF('Shade Match'!$C$5:$C$304,B132)=0,"Pending",IF(COUNTIFS('Shade Match'!$C$5:$C$304,B132,'Shade Match'!$Q$5:$Q$304,"Failed")&gt;0,"Failed","Approved")))</f>
        <v/>
      </c>
      <c r="S132" s="19" t="str">
        <f>IF(B132="","",SUMIF('Fabric Inventory'!$C$5:$C$304,B132,'Fabric Inventory'!$H$5:$H$304))</f>
        <v/>
      </c>
      <c r="T132" s="19" t="str">
        <f>IF(B132="","",SUMIF('Fabric Inventory'!$C$5:$C$304,B132,'Fabric Inventory'!$K$5:$K$304))</f>
        <v/>
      </c>
      <c r="U132" s="19" t="str">
        <f>IF(B132="","",SUMIF('Fabric Inventory'!$C$5:$C$304,B132,'Fabric Inventory'!$L$5:$L$304))</f>
        <v/>
      </c>
      <c r="V132" s="19" t="str">
        <f>IF(B132="","",SUMIF('Fabric Inventory'!$C$5:$C$304,B132,'Fabric Inventory'!$N$5:$N$304))</f>
        <v/>
      </c>
      <c r="W132" s="19" t="str">
        <f>IF(B132="","",SUMIF('Fabric Inventory'!$C$5:$C$304,B132,'Fabric Inventory'!$O$5:$O$304))</f>
        <v/>
      </c>
    </row>
    <row r="133" spans="1:23">
      <c r="A133" s="7" t="str">
        <f>IF('FGPO Master'!A127="","",'FGPO Master'!E127)</f>
        <v/>
      </c>
      <c r="B133" s="7" t="str">
        <f>IF('FGPO Master'!A127="","",IF('FGPO Master'!D127="FGPO Pending","FGPO Pending",'FGPO Master'!B127))</f>
        <v/>
      </c>
      <c r="C133" s="7" t="str">
        <f>IF('FGPO Master'!A127="","",'FGPO Master'!D127)</f>
        <v/>
      </c>
      <c r="D133" s="7" t="str">
        <f>IF('FGPO Master'!A127="","",'FGPO Master'!F127)</f>
        <v/>
      </c>
      <c r="E133" s="7" t="str">
        <f>IF('FGPO Master'!A127="","",'FGPO Master'!G127)</f>
        <v/>
      </c>
      <c r="F133" s="19" t="str">
        <f>IF('FGPO Master'!A127="","",'FGPO Master'!H127)</f>
        <v/>
      </c>
      <c r="G133" s="19" t="str">
        <f>IF('FGPO Master'!A127="","",'FGPO Master'!M127)</f>
        <v/>
      </c>
      <c r="H133" s="19" t="str">
        <f>IF(B133="","",SUMIF('Fabric Requirement'!$B$5:$B$304,B133,'Fabric Requirement'!$M$5:$M$304)+SUMIF('Fabric Requirement'!$B$5:$B$304,B133,'Fabric Requirement'!$O$5:$O$304))</f>
        <v/>
      </c>
      <c r="I133" s="19" t="str">
        <f>IF(B133="","",SUMIF('Fabric PO'!$B$5:$B$304,B133,'Fabric PO'!$H$5:$H$304))</f>
        <v/>
      </c>
      <c r="J133" s="19" t="str">
        <f>IF(B133="","",SUMIF('Mill Production'!$C$5:$C$304,B133,'Mill Production'!$I$5:$I$304))</f>
        <v/>
      </c>
      <c r="K133" s="7" t="str">
        <f>IF(B133="","",IF(COUNTIF('Mill Test'!$C$5:$C$304,B133)=0,"Pending",IF(COUNTIFS('Mill Test'!$C$5:$C$304,B133,'Mill Test'!$T$5:$T$304,"Failed")&gt;0,"Failed","Passed")))</f>
        <v/>
      </c>
      <c r="L133" s="19" t="str">
        <f>IF(B133="","",SUMIF('Fabric Shipment'!$C$5:$C$304,B133,'Fabric Shipment'!$G$5:$G$304))</f>
        <v/>
      </c>
      <c r="M133" s="19" t="str">
        <f>IF(B133="","",SUMIF('Fabric Shipment'!$C$5:$C$304,B133,'Fabric Shipment'!$R$5:$R$304))</f>
        <v/>
      </c>
      <c r="N133" s="19" t="str">
        <f>IF(B133="","",SUMIF('Fabric Receiving'!$E$5:$E$304,B133,'Fabric Receiving'!$H$5:$H$304))</f>
        <v/>
      </c>
      <c r="O133" s="19" t="str">
        <f>IF(B133="","",SUMIF('Fabric Receiving'!$E$5:$E$304,B133,'Fabric Receiving'!$I$5:$I$304))</f>
        <v/>
      </c>
      <c r="P133" s="7" t="str">
        <f>IF(B133="","",IF(COUNTIF('Four-Point'!$E$5:$E$304,B133)=0,"Pending",IF(COUNTIFS('Four-Point'!$E$5:$E$304,B133,'Four-Point'!$T$5:$T$304,"Failed")&gt;0,"Failed","Passed")))</f>
        <v/>
      </c>
      <c r="Q133" s="7" t="str">
        <f>IF(B133="","",IF(COUNTIF('Internal Test'!$D$5:$D$304,B133)=0,"Pending",IF(COUNTIFS('Internal Test'!$D$5:$D$304,B133,'Internal Test'!$AA$5:$AA$304,"Failed")&gt;0,"Failed","Passed")))</f>
        <v/>
      </c>
      <c r="R133" s="7" t="str">
        <f>IF(B133="","",IF(COUNTIF('Shade Match'!$C$5:$C$304,B133)=0,"Pending",IF(COUNTIFS('Shade Match'!$C$5:$C$304,B133,'Shade Match'!$Q$5:$Q$304,"Failed")&gt;0,"Failed","Approved")))</f>
        <v/>
      </c>
      <c r="S133" s="19" t="str">
        <f>IF(B133="","",SUMIF('Fabric Inventory'!$C$5:$C$304,B133,'Fabric Inventory'!$H$5:$H$304))</f>
        <v/>
      </c>
      <c r="T133" s="19" t="str">
        <f>IF(B133="","",SUMIF('Fabric Inventory'!$C$5:$C$304,B133,'Fabric Inventory'!$K$5:$K$304))</f>
        <v/>
      </c>
      <c r="U133" s="19" t="str">
        <f>IF(B133="","",SUMIF('Fabric Inventory'!$C$5:$C$304,B133,'Fabric Inventory'!$L$5:$L$304))</f>
        <v/>
      </c>
      <c r="V133" s="19" t="str">
        <f>IF(B133="","",SUMIF('Fabric Inventory'!$C$5:$C$304,B133,'Fabric Inventory'!$N$5:$N$304))</f>
        <v/>
      </c>
      <c r="W133" s="19" t="str">
        <f>IF(B133="","",SUMIF('Fabric Inventory'!$C$5:$C$304,B133,'Fabric Inventory'!$O$5:$O$304))</f>
        <v/>
      </c>
    </row>
    <row r="134" spans="1:23">
      <c r="A134" s="7" t="str">
        <f>IF('FGPO Master'!A128="","",'FGPO Master'!E128)</f>
        <v/>
      </c>
      <c r="B134" s="7" t="str">
        <f>IF('FGPO Master'!A128="","",IF('FGPO Master'!D128="FGPO Pending","FGPO Pending",'FGPO Master'!B128))</f>
        <v/>
      </c>
      <c r="C134" s="7" t="str">
        <f>IF('FGPO Master'!A128="","",'FGPO Master'!D128)</f>
        <v/>
      </c>
      <c r="D134" s="7" t="str">
        <f>IF('FGPO Master'!A128="","",'FGPO Master'!F128)</f>
        <v/>
      </c>
      <c r="E134" s="7" t="str">
        <f>IF('FGPO Master'!A128="","",'FGPO Master'!G128)</f>
        <v/>
      </c>
      <c r="F134" s="19" t="str">
        <f>IF('FGPO Master'!A128="","",'FGPO Master'!H128)</f>
        <v/>
      </c>
      <c r="G134" s="19" t="str">
        <f>IF('FGPO Master'!A128="","",'FGPO Master'!M128)</f>
        <v/>
      </c>
      <c r="H134" s="19" t="str">
        <f>IF(B134="","",SUMIF('Fabric Requirement'!$B$5:$B$304,B134,'Fabric Requirement'!$M$5:$M$304)+SUMIF('Fabric Requirement'!$B$5:$B$304,B134,'Fabric Requirement'!$O$5:$O$304))</f>
        <v/>
      </c>
      <c r="I134" s="19" t="str">
        <f>IF(B134="","",SUMIF('Fabric PO'!$B$5:$B$304,B134,'Fabric PO'!$H$5:$H$304))</f>
        <v/>
      </c>
      <c r="J134" s="19" t="str">
        <f>IF(B134="","",SUMIF('Mill Production'!$C$5:$C$304,B134,'Mill Production'!$I$5:$I$304))</f>
        <v/>
      </c>
      <c r="K134" s="7" t="str">
        <f>IF(B134="","",IF(COUNTIF('Mill Test'!$C$5:$C$304,B134)=0,"Pending",IF(COUNTIFS('Mill Test'!$C$5:$C$304,B134,'Mill Test'!$T$5:$T$304,"Failed")&gt;0,"Failed","Passed")))</f>
        <v/>
      </c>
      <c r="L134" s="19" t="str">
        <f>IF(B134="","",SUMIF('Fabric Shipment'!$C$5:$C$304,B134,'Fabric Shipment'!$G$5:$G$304))</f>
        <v/>
      </c>
      <c r="M134" s="19" t="str">
        <f>IF(B134="","",SUMIF('Fabric Shipment'!$C$5:$C$304,B134,'Fabric Shipment'!$R$5:$R$304))</f>
        <v/>
      </c>
      <c r="N134" s="19" t="str">
        <f>IF(B134="","",SUMIF('Fabric Receiving'!$E$5:$E$304,B134,'Fabric Receiving'!$H$5:$H$304))</f>
        <v/>
      </c>
      <c r="O134" s="19" t="str">
        <f>IF(B134="","",SUMIF('Fabric Receiving'!$E$5:$E$304,B134,'Fabric Receiving'!$I$5:$I$304))</f>
        <v/>
      </c>
      <c r="P134" s="7" t="str">
        <f>IF(B134="","",IF(COUNTIF('Four-Point'!$E$5:$E$304,B134)=0,"Pending",IF(COUNTIFS('Four-Point'!$E$5:$E$304,B134,'Four-Point'!$T$5:$T$304,"Failed")&gt;0,"Failed","Passed")))</f>
        <v/>
      </c>
      <c r="Q134" s="7" t="str">
        <f>IF(B134="","",IF(COUNTIF('Internal Test'!$D$5:$D$304,B134)=0,"Pending",IF(COUNTIFS('Internal Test'!$D$5:$D$304,B134,'Internal Test'!$AA$5:$AA$304,"Failed")&gt;0,"Failed","Passed")))</f>
        <v/>
      </c>
      <c r="R134" s="7" t="str">
        <f>IF(B134="","",IF(COUNTIF('Shade Match'!$C$5:$C$304,B134)=0,"Pending",IF(COUNTIFS('Shade Match'!$C$5:$C$304,B134,'Shade Match'!$Q$5:$Q$304,"Failed")&gt;0,"Failed","Approved")))</f>
        <v/>
      </c>
      <c r="S134" s="19" t="str">
        <f>IF(B134="","",SUMIF('Fabric Inventory'!$C$5:$C$304,B134,'Fabric Inventory'!$H$5:$H$304))</f>
        <v/>
      </c>
      <c r="T134" s="19" t="str">
        <f>IF(B134="","",SUMIF('Fabric Inventory'!$C$5:$C$304,B134,'Fabric Inventory'!$K$5:$K$304))</f>
        <v/>
      </c>
      <c r="U134" s="19" t="str">
        <f>IF(B134="","",SUMIF('Fabric Inventory'!$C$5:$C$304,B134,'Fabric Inventory'!$L$5:$L$304))</f>
        <v/>
      </c>
      <c r="V134" s="19" t="str">
        <f>IF(B134="","",SUMIF('Fabric Inventory'!$C$5:$C$304,B134,'Fabric Inventory'!$N$5:$N$304))</f>
        <v/>
      </c>
      <c r="W134" s="19" t="str">
        <f>IF(B134="","",SUMIF('Fabric Inventory'!$C$5:$C$304,B134,'Fabric Inventory'!$O$5:$O$304))</f>
        <v/>
      </c>
    </row>
    <row r="135" spans="1:23">
      <c r="A135" s="7" t="str">
        <f>IF('FGPO Master'!A129="","",'FGPO Master'!E129)</f>
        <v/>
      </c>
      <c r="B135" s="7" t="str">
        <f>IF('FGPO Master'!A129="","",IF('FGPO Master'!D129="FGPO Pending","FGPO Pending",'FGPO Master'!B129))</f>
        <v/>
      </c>
      <c r="C135" s="7" t="str">
        <f>IF('FGPO Master'!A129="","",'FGPO Master'!D129)</f>
        <v/>
      </c>
      <c r="D135" s="7" t="str">
        <f>IF('FGPO Master'!A129="","",'FGPO Master'!F129)</f>
        <v/>
      </c>
      <c r="E135" s="7" t="str">
        <f>IF('FGPO Master'!A129="","",'FGPO Master'!G129)</f>
        <v/>
      </c>
      <c r="F135" s="19" t="str">
        <f>IF('FGPO Master'!A129="","",'FGPO Master'!H129)</f>
        <v/>
      </c>
      <c r="G135" s="19" t="str">
        <f>IF('FGPO Master'!A129="","",'FGPO Master'!M129)</f>
        <v/>
      </c>
      <c r="H135" s="19" t="str">
        <f>IF(B135="","",SUMIF('Fabric Requirement'!$B$5:$B$304,B135,'Fabric Requirement'!$M$5:$M$304)+SUMIF('Fabric Requirement'!$B$5:$B$304,B135,'Fabric Requirement'!$O$5:$O$304))</f>
        <v/>
      </c>
      <c r="I135" s="19" t="str">
        <f>IF(B135="","",SUMIF('Fabric PO'!$B$5:$B$304,B135,'Fabric PO'!$H$5:$H$304))</f>
        <v/>
      </c>
      <c r="J135" s="19" t="str">
        <f>IF(B135="","",SUMIF('Mill Production'!$C$5:$C$304,B135,'Mill Production'!$I$5:$I$304))</f>
        <v/>
      </c>
      <c r="K135" s="7" t="str">
        <f>IF(B135="","",IF(COUNTIF('Mill Test'!$C$5:$C$304,B135)=0,"Pending",IF(COUNTIFS('Mill Test'!$C$5:$C$304,B135,'Mill Test'!$T$5:$T$304,"Failed")&gt;0,"Failed","Passed")))</f>
        <v/>
      </c>
      <c r="L135" s="19" t="str">
        <f>IF(B135="","",SUMIF('Fabric Shipment'!$C$5:$C$304,B135,'Fabric Shipment'!$G$5:$G$304))</f>
        <v/>
      </c>
      <c r="M135" s="19" t="str">
        <f>IF(B135="","",SUMIF('Fabric Shipment'!$C$5:$C$304,B135,'Fabric Shipment'!$R$5:$R$304))</f>
        <v/>
      </c>
      <c r="N135" s="19" t="str">
        <f>IF(B135="","",SUMIF('Fabric Receiving'!$E$5:$E$304,B135,'Fabric Receiving'!$H$5:$H$304))</f>
        <v/>
      </c>
      <c r="O135" s="19" t="str">
        <f>IF(B135="","",SUMIF('Fabric Receiving'!$E$5:$E$304,B135,'Fabric Receiving'!$I$5:$I$304))</f>
        <v/>
      </c>
      <c r="P135" s="7" t="str">
        <f>IF(B135="","",IF(COUNTIF('Four-Point'!$E$5:$E$304,B135)=0,"Pending",IF(COUNTIFS('Four-Point'!$E$5:$E$304,B135,'Four-Point'!$T$5:$T$304,"Failed")&gt;0,"Failed","Passed")))</f>
        <v/>
      </c>
      <c r="Q135" s="7" t="str">
        <f>IF(B135="","",IF(COUNTIF('Internal Test'!$D$5:$D$304,B135)=0,"Pending",IF(COUNTIFS('Internal Test'!$D$5:$D$304,B135,'Internal Test'!$AA$5:$AA$304,"Failed")&gt;0,"Failed","Passed")))</f>
        <v/>
      </c>
      <c r="R135" s="7" t="str">
        <f>IF(B135="","",IF(COUNTIF('Shade Match'!$C$5:$C$304,B135)=0,"Pending",IF(COUNTIFS('Shade Match'!$C$5:$C$304,B135,'Shade Match'!$Q$5:$Q$304,"Failed")&gt;0,"Failed","Approved")))</f>
        <v/>
      </c>
      <c r="S135" s="19" t="str">
        <f>IF(B135="","",SUMIF('Fabric Inventory'!$C$5:$C$304,B135,'Fabric Inventory'!$H$5:$H$304))</f>
        <v/>
      </c>
      <c r="T135" s="19" t="str">
        <f>IF(B135="","",SUMIF('Fabric Inventory'!$C$5:$C$304,B135,'Fabric Inventory'!$K$5:$K$304))</f>
        <v/>
      </c>
      <c r="U135" s="19" t="str">
        <f>IF(B135="","",SUMIF('Fabric Inventory'!$C$5:$C$304,B135,'Fabric Inventory'!$L$5:$L$304))</f>
        <v/>
      </c>
      <c r="V135" s="19" t="str">
        <f>IF(B135="","",SUMIF('Fabric Inventory'!$C$5:$C$304,B135,'Fabric Inventory'!$N$5:$N$304))</f>
        <v/>
      </c>
      <c r="W135" s="19" t="str">
        <f>IF(B135="","",SUMIF('Fabric Inventory'!$C$5:$C$304,B135,'Fabric Inventory'!$O$5:$O$304))</f>
        <v/>
      </c>
    </row>
    <row r="136" spans="1:23">
      <c r="A136" s="7" t="str">
        <f>IF('FGPO Master'!A130="","",'FGPO Master'!E130)</f>
        <v/>
      </c>
      <c r="B136" s="7" t="str">
        <f>IF('FGPO Master'!A130="","",IF('FGPO Master'!D130="FGPO Pending","FGPO Pending",'FGPO Master'!B130))</f>
        <v/>
      </c>
      <c r="C136" s="7" t="str">
        <f>IF('FGPO Master'!A130="","",'FGPO Master'!D130)</f>
        <v/>
      </c>
      <c r="D136" s="7" t="str">
        <f>IF('FGPO Master'!A130="","",'FGPO Master'!F130)</f>
        <v/>
      </c>
      <c r="E136" s="7" t="str">
        <f>IF('FGPO Master'!A130="","",'FGPO Master'!G130)</f>
        <v/>
      </c>
      <c r="F136" s="19" t="str">
        <f>IF('FGPO Master'!A130="","",'FGPO Master'!H130)</f>
        <v/>
      </c>
      <c r="G136" s="19" t="str">
        <f>IF('FGPO Master'!A130="","",'FGPO Master'!M130)</f>
        <v/>
      </c>
      <c r="H136" s="19" t="str">
        <f>IF(B136="","",SUMIF('Fabric Requirement'!$B$5:$B$304,B136,'Fabric Requirement'!$M$5:$M$304)+SUMIF('Fabric Requirement'!$B$5:$B$304,B136,'Fabric Requirement'!$O$5:$O$304))</f>
        <v/>
      </c>
      <c r="I136" s="19" t="str">
        <f>IF(B136="","",SUMIF('Fabric PO'!$B$5:$B$304,B136,'Fabric PO'!$H$5:$H$304))</f>
        <v/>
      </c>
      <c r="J136" s="19" t="str">
        <f>IF(B136="","",SUMIF('Mill Production'!$C$5:$C$304,B136,'Mill Production'!$I$5:$I$304))</f>
        <v/>
      </c>
      <c r="K136" s="7" t="str">
        <f>IF(B136="","",IF(COUNTIF('Mill Test'!$C$5:$C$304,B136)=0,"Pending",IF(COUNTIFS('Mill Test'!$C$5:$C$304,B136,'Mill Test'!$T$5:$T$304,"Failed")&gt;0,"Failed","Passed")))</f>
        <v/>
      </c>
      <c r="L136" s="19" t="str">
        <f>IF(B136="","",SUMIF('Fabric Shipment'!$C$5:$C$304,B136,'Fabric Shipment'!$G$5:$G$304))</f>
        <v/>
      </c>
      <c r="M136" s="19" t="str">
        <f>IF(B136="","",SUMIF('Fabric Shipment'!$C$5:$C$304,B136,'Fabric Shipment'!$R$5:$R$304))</f>
        <v/>
      </c>
      <c r="N136" s="19" t="str">
        <f>IF(B136="","",SUMIF('Fabric Receiving'!$E$5:$E$304,B136,'Fabric Receiving'!$H$5:$H$304))</f>
        <v/>
      </c>
      <c r="O136" s="19" t="str">
        <f>IF(B136="","",SUMIF('Fabric Receiving'!$E$5:$E$304,B136,'Fabric Receiving'!$I$5:$I$304))</f>
        <v/>
      </c>
      <c r="P136" s="7" t="str">
        <f>IF(B136="","",IF(COUNTIF('Four-Point'!$E$5:$E$304,B136)=0,"Pending",IF(COUNTIFS('Four-Point'!$E$5:$E$304,B136,'Four-Point'!$T$5:$T$304,"Failed")&gt;0,"Failed","Passed")))</f>
        <v/>
      </c>
      <c r="Q136" s="7" t="str">
        <f>IF(B136="","",IF(COUNTIF('Internal Test'!$D$5:$D$304,B136)=0,"Pending",IF(COUNTIFS('Internal Test'!$D$5:$D$304,B136,'Internal Test'!$AA$5:$AA$304,"Failed")&gt;0,"Failed","Passed")))</f>
        <v/>
      </c>
      <c r="R136" s="7" t="str">
        <f>IF(B136="","",IF(COUNTIF('Shade Match'!$C$5:$C$304,B136)=0,"Pending",IF(COUNTIFS('Shade Match'!$C$5:$C$304,B136,'Shade Match'!$Q$5:$Q$304,"Failed")&gt;0,"Failed","Approved")))</f>
        <v/>
      </c>
      <c r="S136" s="19" t="str">
        <f>IF(B136="","",SUMIF('Fabric Inventory'!$C$5:$C$304,B136,'Fabric Inventory'!$H$5:$H$304))</f>
        <v/>
      </c>
      <c r="T136" s="19" t="str">
        <f>IF(B136="","",SUMIF('Fabric Inventory'!$C$5:$C$304,B136,'Fabric Inventory'!$K$5:$K$304))</f>
        <v/>
      </c>
      <c r="U136" s="19" t="str">
        <f>IF(B136="","",SUMIF('Fabric Inventory'!$C$5:$C$304,B136,'Fabric Inventory'!$L$5:$L$304))</f>
        <v/>
      </c>
      <c r="V136" s="19" t="str">
        <f>IF(B136="","",SUMIF('Fabric Inventory'!$C$5:$C$304,B136,'Fabric Inventory'!$N$5:$N$304))</f>
        <v/>
      </c>
      <c r="W136" s="19" t="str">
        <f>IF(B136="","",SUMIF('Fabric Inventory'!$C$5:$C$304,B136,'Fabric Inventory'!$O$5:$O$304))</f>
        <v/>
      </c>
    </row>
    <row r="137" spans="1:23">
      <c r="A137" s="7" t="str">
        <f>IF('FGPO Master'!A131="","",'FGPO Master'!E131)</f>
        <v/>
      </c>
      <c r="B137" s="7" t="str">
        <f>IF('FGPO Master'!A131="","",IF('FGPO Master'!D131="FGPO Pending","FGPO Pending",'FGPO Master'!B131))</f>
        <v/>
      </c>
      <c r="C137" s="7" t="str">
        <f>IF('FGPO Master'!A131="","",'FGPO Master'!D131)</f>
        <v/>
      </c>
      <c r="D137" s="7" t="str">
        <f>IF('FGPO Master'!A131="","",'FGPO Master'!F131)</f>
        <v/>
      </c>
      <c r="E137" s="7" t="str">
        <f>IF('FGPO Master'!A131="","",'FGPO Master'!G131)</f>
        <v/>
      </c>
      <c r="F137" s="19" t="str">
        <f>IF('FGPO Master'!A131="","",'FGPO Master'!H131)</f>
        <v/>
      </c>
      <c r="G137" s="19" t="str">
        <f>IF('FGPO Master'!A131="","",'FGPO Master'!M131)</f>
        <v/>
      </c>
      <c r="H137" s="19" t="str">
        <f>IF(B137="","",SUMIF('Fabric Requirement'!$B$5:$B$304,B137,'Fabric Requirement'!$M$5:$M$304)+SUMIF('Fabric Requirement'!$B$5:$B$304,B137,'Fabric Requirement'!$O$5:$O$304))</f>
        <v/>
      </c>
      <c r="I137" s="19" t="str">
        <f>IF(B137="","",SUMIF('Fabric PO'!$B$5:$B$304,B137,'Fabric PO'!$H$5:$H$304))</f>
        <v/>
      </c>
      <c r="J137" s="19" t="str">
        <f>IF(B137="","",SUMIF('Mill Production'!$C$5:$C$304,B137,'Mill Production'!$I$5:$I$304))</f>
        <v/>
      </c>
      <c r="K137" s="7" t="str">
        <f>IF(B137="","",IF(COUNTIF('Mill Test'!$C$5:$C$304,B137)=0,"Pending",IF(COUNTIFS('Mill Test'!$C$5:$C$304,B137,'Mill Test'!$T$5:$T$304,"Failed")&gt;0,"Failed","Passed")))</f>
        <v/>
      </c>
      <c r="L137" s="19" t="str">
        <f>IF(B137="","",SUMIF('Fabric Shipment'!$C$5:$C$304,B137,'Fabric Shipment'!$G$5:$G$304))</f>
        <v/>
      </c>
      <c r="M137" s="19" t="str">
        <f>IF(B137="","",SUMIF('Fabric Shipment'!$C$5:$C$304,B137,'Fabric Shipment'!$R$5:$R$304))</f>
        <v/>
      </c>
      <c r="N137" s="19" t="str">
        <f>IF(B137="","",SUMIF('Fabric Receiving'!$E$5:$E$304,B137,'Fabric Receiving'!$H$5:$H$304))</f>
        <v/>
      </c>
      <c r="O137" s="19" t="str">
        <f>IF(B137="","",SUMIF('Fabric Receiving'!$E$5:$E$304,B137,'Fabric Receiving'!$I$5:$I$304))</f>
        <v/>
      </c>
      <c r="P137" s="7" t="str">
        <f>IF(B137="","",IF(COUNTIF('Four-Point'!$E$5:$E$304,B137)=0,"Pending",IF(COUNTIFS('Four-Point'!$E$5:$E$304,B137,'Four-Point'!$T$5:$T$304,"Failed")&gt;0,"Failed","Passed")))</f>
        <v/>
      </c>
      <c r="Q137" s="7" t="str">
        <f>IF(B137="","",IF(COUNTIF('Internal Test'!$D$5:$D$304,B137)=0,"Pending",IF(COUNTIFS('Internal Test'!$D$5:$D$304,B137,'Internal Test'!$AA$5:$AA$304,"Failed")&gt;0,"Failed","Passed")))</f>
        <v/>
      </c>
      <c r="R137" s="7" t="str">
        <f>IF(B137="","",IF(COUNTIF('Shade Match'!$C$5:$C$304,B137)=0,"Pending",IF(COUNTIFS('Shade Match'!$C$5:$C$304,B137,'Shade Match'!$Q$5:$Q$304,"Failed")&gt;0,"Failed","Approved")))</f>
        <v/>
      </c>
      <c r="S137" s="19" t="str">
        <f>IF(B137="","",SUMIF('Fabric Inventory'!$C$5:$C$304,B137,'Fabric Inventory'!$H$5:$H$304))</f>
        <v/>
      </c>
      <c r="T137" s="19" t="str">
        <f>IF(B137="","",SUMIF('Fabric Inventory'!$C$5:$C$304,B137,'Fabric Inventory'!$K$5:$K$304))</f>
        <v/>
      </c>
      <c r="U137" s="19" t="str">
        <f>IF(B137="","",SUMIF('Fabric Inventory'!$C$5:$C$304,B137,'Fabric Inventory'!$L$5:$L$304))</f>
        <v/>
      </c>
      <c r="V137" s="19" t="str">
        <f>IF(B137="","",SUMIF('Fabric Inventory'!$C$5:$C$304,B137,'Fabric Inventory'!$N$5:$N$304))</f>
        <v/>
      </c>
      <c r="W137" s="19" t="str">
        <f>IF(B137="","",SUMIF('Fabric Inventory'!$C$5:$C$304,B137,'Fabric Inventory'!$O$5:$O$304))</f>
        <v/>
      </c>
    </row>
    <row r="138" spans="1:23">
      <c r="A138" s="7" t="str">
        <f>IF('FGPO Master'!A132="","",'FGPO Master'!E132)</f>
        <v/>
      </c>
      <c r="B138" s="7" t="str">
        <f>IF('FGPO Master'!A132="","",IF('FGPO Master'!D132="FGPO Pending","FGPO Pending",'FGPO Master'!B132))</f>
        <v/>
      </c>
      <c r="C138" s="7" t="str">
        <f>IF('FGPO Master'!A132="","",'FGPO Master'!D132)</f>
        <v/>
      </c>
      <c r="D138" s="7" t="str">
        <f>IF('FGPO Master'!A132="","",'FGPO Master'!F132)</f>
        <v/>
      </c>
      <c r="E138" s="7" t="str">
        <f>IF('FGPO Master'!A132="","",'FGPO Master'!G132)</f>
        <v/>
      </c>
      <c r="F138" s="19" t="str">
        <f>IF('FGPO Master'!A132="","",'FGPO Master'!H132)</f>
        <v/>
      </c>
      <c r="G138" s="19" t="str">
        <f>IF('FGPO Master'!A132="","",'FGPO Master'!M132)</f>
        <v/>
      </c>
      <c r="H138" s="19" t="str">
        <f>IF(B138="","",SUMIF('Fabric Requirement'!$B$5:$B$304,B138,'Fabric Requirement'!$M$5:$M$304)+SUMIF('Fabric Requirement'!$B$5:$B$304,B138,'Fabric Requirement'!$O$5:$O$304))</f>
        <v/>
      </c>
      <c r="I138" s="19" t="str">
        <f>IF(B138="","",SUMIF('Fabric PO'!$B$5:$B$304,B138,'Fabric PO'!$H$5:$H$304))</f>
        <v/>
      </c>
      <c r="J138" s="19" t="str">
        <f>IF(B138="","",SUMIF('Mill Production'!$C$5:$C$304,B138,'Mill Production'!$I$5:$I$304))</f>
        <v/>
      </c>
      <c r="K138" s="7" t="str">
        <f>IF(B138="","",IF(COUNTIF('Mill Test'!$C$5:$C$304,B138)=0,"Pending",IF(COUNTIFS('Mill Test'!$C$5:$C$304,B138,'Mill Test'!$T$5:$T$304,"Failed")&gt;0,"Failed","Passed")))</f>
        <v/>
      </c>
      <c r="L138" s="19" t="str">
        <f>IF(B138="","",SUMIF('Fabric Shipment'!$C$5:$C$304,B138,'Fabric Shipment'!$G$5:$G$304))</f>
        <v/>
      </c>
      <c r="M138" s="19" t="str">
        <f>IF(B138="","",SUMIF('Fabric Shipment'!$C$5:$C$304,B138,'Fabric Shipment'!$R$5:$R$304))</f>
        <v/>
      </c>
      <c r="N138" s="19" t="str">
        <f>IF(B138="","",SUMIF('Fabric Receiving'!$E$5:$E$304,B138,'Fabric Receiving'!$H$5:$H$304))</f>
        <v/>
      </c>
      <c r="O138" s="19" t="str">
        <f>IF(B138="","",SUMIF('Fabric Receiving'!$E$5:$E$304,B138,'Fabric Receiving'!$I$5:$I$304))</f>
        <v/>
      </c>
      <c r="P138" s="7" t="str">
        <f>IF(B138="","",IF(COUNTIF('Four-Point'!$E$5:$E$304,B138)=0,"Pending",IF(COUNTIFS('Four-Point'!$E$5:$E$304,B138,'Four-Point'!$T$5:$T$304,"Failed")&gt;0,"Failed","Passed")))</f>
        <v/>
      </c>
      <c r="Q138" s="7" t="str">
        <f>IF(B138="","",IF(COUNTIF('Internal Test'!$D$5:$D$304,B138)=0,"Pending",IF(COUNTIFS('Internal Test'!$D$5:$D$304,B138,'Internal Test'!$AA$5:$AA$304,"Failed")&gt;0,"Failed","Passed")))</f>
        <v/>
      </c>
      <c r="R138" s="7" t="str">
        <f>IF(B138="","",IF(COUNTIF('Shade Match'!$C$5:$C$304,B138)=0,"Pending",IF(COUNTIFS('Shade Match'!$C$5:$C$304,B138,'Shade Match'!$Q$5:$Q$304,"Failed")&gt;0,"Failed","Approved")))</f>
        <v/>
      </c>
      <c r="S138" s="19" t="str">
        <f>IF(B138="","",SUMIF('Fabric Inventory'!$C$5:$C$304,B138,'Fabric Inventory'!$H$5:$H$304))</f>
        <v/>
      </c>
      <c r="T138" s="19" t="str">
        <f>IF(B138="","",SUMIF('Fabric Inventory'!$C$5:$C$304,B138,'Fabric Inventory'!$K$5:$K$304))</f>
        <v/>
      </c>
      <c r="U138" s="19" t="str">
        <f>IF(B138="","",SUMIF('Fabric Inventory'!$C$5:$C$304,B138,'Fabric Inventory'!$L$5:$L$304))</f>
        <v/>
      </c>
      <c r="V138" s="19" t="str">
        <f>IF(B138="","",SUMIF('Fabric Inventory'!$C$5:$C$304,B138,'Fabric Inventory'!$N$5:$N$304))</f>
        <v/>
      </c>
      <c r="W138" s="19" t="str">
        <f>IF(B138="","",SUMIF('Fabric Inventory'!$C$5:$C$304,B138,'Fabric Inventory'!$O$5:$O$304))</f>
        <v/>
      </c>
    </row>
    <row r="139" spans="1:23">
      <c r="A139" s="7" t="str">
        <f>IF('FGPO Master'!A133="","",'FGPO Master'!E133)</f>
        <v/>
      </c>
      <c r="B139" s="7" t="str">
        <f>IF('FGPO Master'!A133="","",IF('FGPO Master'!D133="FGPO Pending","FGPO Pending",'FGPO Master'!B133))</f>
        <v/>
      </c>
      <c r="C139" s="7" t="str">
        <f>IF('FGPO Master'!A133="","",'FGPO Master'!D133)</f>
        <v/>
      </c>
      <c r="D139" s="7" t="str">
        <f>IF('FGPO Master'!A133="","",'FGPO Master'!F133)</f>
        <v/>
      </c>
      <c r="E139" s="7" t="str">
        <f>IF('FGPO Master'!A133="","",'FGPO Master'!G133)</f>
        <v/>
      </c>
      <c r="F139" s="19" t="str">
        <f>IF('FGPO Master'!A133="","",'FGPO Master'!H133)</f>
        <v/>
      </c>
      <c r="G139" s="19" t="str">
        <f>IF('FGPO Master'!A133="","",'FGPO Master'!M133)</f>
        <v/>
      </c>
      <c r="H139" s="19" t="str">
        <f>IF(B139="","",SUMIF('Fabric Requirement'!$B$5:$B$304,B139,'Fabric Requirement'!$M$5:$M$304)+SUMIF('Fabric Requirement'!$B$5:$B$304,B139,'Fabric Requirement'!$O$5:$O$304))</f>
        <v/>
      </c>
      <c r="I139" s="19" t="str">
        <f>IF(B139="","",SUMIF('Fabric PO'!$B$5:$B$304,B139,'Fabric PO'!$H$5:$H$304))</f>
        <v/>
      </c>
      <c r="J139" s="19" t="str">
        <f>IF(B139="","",SUMIF('Mill Production'!$C$5:$C$304,B139,'Mill Production'!$I$5:$I$304))</f>
        <v/>
      </c>
      <c r="K139" s="7" t="str">
        <f>IF(B139="","",IF(COUNTIF('Mill Test'!$C$5:$C$304,B139)=0,"Pending",IF(COUNTIFS('Mill Test'!$C$5:$C$304,B139,'Mill Test'!$T$5:$T$304,"Failed")&gt;0,"Failed","Passed")))</f>
        <v/>
      </c>
      <c r="L139" s="19" t="str">
        <f>IF(B139="","",SUMIF('Fabric Shipment'!$C$5:$C$304,B139,'Fabric Shipment'!$G$5:$G$304))</f>
        <v/>
      </c>
      <c r="M139" s="19" t="str">
        <f>IF(B139="","",SUMIF('Fabric Shipment'!$C$5:$C$304,B139,'Fabric Shipment'!$R$5:$R$304))</f>
        <v/>
      </c>
      <c r="N139" s="19" t="str">
        <f>IF(B139="","",SUMIF('Fabric Receiving'!$E$5:$E$304,B139,'Fabric Receiving'!$H$5:$H$304))</f>
        <v/>
      </c>
      <c r="O139" s="19" t="str">
        <f>IF(B139="","",SUMIF('Fabric Receiving'!$E$5:$E$304,B139,'Fabric Receiving'!$I$5:$I$304))</f>
        <v/>
      </c>
      <c r="P139" s="7" t="str">
        <f>IF(B139="","",IF(COUNTIF('Four-Point'!$E$5:$E$304,B139)=0,"Pending",IF(COUNTIFS('Four-Point'!$E$5:$E$304,B139,'Four-Point'!$T$5:$T$304,"Failed")&gt;0,"Failed","Passed")))</f>
        <v/>
      </c>
      <c r="Q139" s="7" t="str">
        <f>IF(B139="","",IF(COUNTIF('Internal Test'!$D$5:$D$304,B139)=0,"Pending",IF(COUNTIFS('Internal Test'!$D$5:$D$304,B139,'Internal Test'!$AA$5:$AA$304,"Failed")&gt;0,"Failed","Passed")))</f>
        <v/>
      </c>
      <c r="R139" s="7" t="str">
        <f>IF(B139="","",IF(COUNTIF('Shade Match'!$C$5:$C$304,B139)=0,"Pending",IF(COUNTIFS('Shade Match'!$C$5:$C$304,B139,'Shade Match'!$Q$5:$Q$304,"Failed")&gt;0,"Failed","Approved")))</f>
        <v/>
      </c>
      <c r="S139" s="19" t="str">
        <f>IF(B139="","",SUMIF('Fabric Inventory'!$C$5:$C$304,B139,'Fabric Inventory'!$H$5:$H$304))</f>
        <v/>
      </c>
      <c r="T139" s="19" t="str">
        <f>IF(B139="","",SUMIF('Fabric Inventory'!$C$5:$C$304,B139,'Fabric Inventory'!$K$5:$K$304))</f>
        <v/>
      </c>
      <c r="U139" s="19" t="str">
        <f>IF(B139="","",SUMIF('Fabric Inventory'!$C$5:$C$304,B139,'Fabric Inventory'!$L$5:$L$304))</f>
        <v/>
      </c>
      <c r="V139" s="19" t="str">
        <f>IF(B139="","",SUMIF('Fabric Inventory'!$C$5:$C$304,B139,'Fabric Inventory'!$N$5:$N$304))</f>
        <v/>
      </c>
      <c r="W139" s="19" t="str">
        <f>IF(B139="","",SUMIF('Fabric Inventory'!$C$5:$C$304,B139,'Fabric Inventory'!$O$5:$O$304))</f>
        <v/>
      </c>
    </row>
    <row r="140" spans="1:23">
      <c r="A140" s="7" t="str">
        <f>IF('FGPO Master'!A134="","",'FGPO Master'!E134)</f>
        <v/>
      </c>
      <c r="B140" s="7" t="str">
        <f>IF('FGPO Master'!A134="","",IF('FGPO Master'!D134="FGPO Pending","FGPO Pending",'FGPO Master'!B134))</f>
        <v/>
      </c>
      <c r="C140" s="7" t="str">
        <f>IF('FGPO Master'!A134="","",'FGPO Master'!D134)</f>
        <v/>
      </c>
      <c r="D140" s="7" t="str">
        <f>IF('FGPO Master'!A134="","",'FGPO Master'!F134)</f>
        <v/>
      </c>
      <c r="E140" s="7" t="str">
        <f>IF('FGPO Master'!A134="","",'FGPO Master'!G134)</f>
        <v/>
      </c>
      <c r="F140" s="19" t="str">
        <f>IF('FGPO Master'!A134="","",'FGPO Master'!H134)</f>
        <v/>
      </c>
      <c r="G140" s="19" t="str">
        <f>IF('FGPO Master'!A134="","",'FGPO Master'!M134)</f>
        <v/>
      </c>
      <c r="H140" s="19" t="str">
        <f>IF(B140="","",SUMIF('Fabric Requirement'!$B$5:$B$304,B140,'Fabric Requirement'!$M$5:$M$304)+SUMIF('Fabric Requirement'!$B$5:$B$304,B140,'Fabric Requirement'!$O$5:$O$304))</f>
        <v/>
      </c>
      <c r="I140" s="19" t="str">
        <f>IF(B140="","",SUMIF('Fabric PO'!$B$5:$B$304,B140,'Fabric PO'!$H$5:$H$304))</f>
        <v/>
      </c>
      <c r="J140" s="19" t="str">
        <f>IF(B140="","",SUMIF('Mill Production'!$C$5:$C$304,B140,'Mill Production'!$I$5:$I$304))</f>
        <v/>
      </c>
      <c r="K140" s="7" t="str">
        <f>IF(B140="","",IF(COUNTIF('Mill Test'!$C$5:$C$304,B140)=0,"Pending",IF(COUNTIFS('Mill Test'!$C$5:$C$304,B140,'Mill Test'!$T$5:$T$304,"Failed")&gt;0,"Failed","Passed")))</f>
        <v/>
      </c>
      <c r="L140" s="19" t="str">
        <f>IF(B140="","",SUMIF('Fabric Shipment'!$C$5:$C$304,B140,'Fabric Shipment'!$G$5:$G$304))</f>
        <v/>
      </c>
      <c r="M140" s="19" t="str">
        <f>IF(B140="","",SUMIF('Fabric Shipment'!$C$5:$C$304,B140,'Fabric Shipment'!$R$5:$R$304))</f>
        <v/>
      </c>
      <c r="N140" s="19" t="str">
        <f>IF(B140="","",SUMIF('Fabric Receiving'!$E$5:$E$304,B140,'Fabric Receiving'!$H$5:$H$304))</f>
        <v/>
      </c>
      <c r="O140" s="19" t="str">
        <f>IF(B140="","",SUMIF('Fabric Receiving'!$E$5:$E$304,B140,'Fabric Receiving'!$I$5:$I$304))</f>
        <v/>
      </c>
      <c r="P140" s="7" t="str">
        <f>IF(B140="","",IF(COUNTIF('Four-Point'!$E$5:$E$304,B140)=0,"Pending",IF(COUNTIFS('Four-Point'!$E$5:$E$304,B140,'Four-Point'!$T$5:$T$304,"Failed")&gt;0,"Failed","Passed")))</f>
        <v/>
      </c>
      <c r="Q140" s="7" t="str">
        <f>IF(B140="","",IF(COUNTIF('Internal Test'!$D$5:$D$304,B140)=0,"Pending",IF(COUNTIFS('Internal Test'!$D$5:$D$304,B140,'Internal Test'!$AA$5:$AA$304,"Failed")&gt;0,"Failed","Passed")))</f>
        <v/>
      </c>
      <c r="R140" s="7" t="str">
        <f>IF(B140="","",IF(COUNTIF('Shade Match'!$C$5:$C$304,B140)=0,"Pending",IF(COUNTIFS('Shade Match'!$C$5:$C$304,B140,'Shade Match'!$Q$5:$Q$304,"Failed")&gt;0,"Failed","Approved")))</f>
        <v/>
      </c>
      <c r="S140" s="19" t="str">
        <f>IF(B140="","",SUMIF('Fabric Inventory'!$C$5:$C$304,B140,'Fabric Inventory'!$H$5:$H$304))</f>
        <v/>
      </c>
      <c r="T140" s="19" t="str">
        <f>IF(B140="","",SUMIF('Fabric Inventory'!$C$5:$C$304,B140,'Fabric Inventory'!$K$5:$K$304))</f>
        <v/>
      </c>
      <c r="U140" s="19" t="str">
        <f>IF(B140="","",SUMIF('Fabric Inventory'!$C$5:$C$304,B140,'Fabric Inventory'!$L$5:$L$304))</f>
        <v/>
      </c>
      <c r="V140" s="19" t="str">
        <f>IF(B140="","",SUMIF('Fabric Inventory'!$C$5:$C$304,B140,'Fabric Inventory'!$N$5:$N$304))</f>
        <v/>
      </c>
      <c r="W140" s="19" t="str">
        <f>IF(B140="","",SUMIF('Fabric Inventory'!$C$5:$C$304,B140,'Fabric Inventory'!$O$5:$O$304))</f>
        <v/>
      </c>
    </row>
    <row r="141" spans="1:23">
      <c r="A141" s="7" t="str">
        <f>IF('FGPO Master'!A135="","",'FGPO Master'!E135)</f>
        <v/>
      </c>
      <c r="B141" s="7" t="str">
        <f>IF('FGPO Master'!A135="","",IF('FGPO Master'!D135="FGPO Pending","FGPO Pending",'FGPO Master'!B135))</f>
        <v/>
      </c>
      <c r="C141" s="7" t="str">
        <f>IF('FGPO Master'!A135="","",'FGPO Master'!D135)</f>
        <v/>
      </c>
      <c r="D141" s="7" t="str">
        <f>IF('FGPO Master'!A135="","",'FGPO Master'!F135)</f>
        <v/>
      </c>
      <c r="E141" s="7" t="str">
        <f>IF('FGPO Master'!A135="","",'FGPO Master'!G135)</f>
        <v/>
      </c>
      <c r="F141" s="19" t="str">
        <f>IF('FGPO Master'!A135="","",'FGPO Master'!H135)</f>
        <v/>
      </c>
      <c r="G141" s="19" t="str">
        <f>IF('FGPO Master'!A135="","",'FGPO Master'!M135)</f>
        <v/>
      </c>
      <c r="H141" s="19" t="str">
        <f>IF(B141="","",SUMIF('Fabric Requirement'!$B$5:$B$304,B141,'Fabric Requirement'!$M$5:$M$304)+SUMIF('Fabric Requirement'!$B$5:$B$304,B141,'Fabric Requirement'!$O$5:$O$304))</f>
        <v/>
      </c>
      <c r="I141" s="19" t="str">
        <f>IF(B141="","",SUMIF('Fabric PO'!$B$5:$B$304,B141,'Fabric PO'!$H$5:$H$304))</f>
        <v/>
      </c>
      <c r="J141" s="19" t="str">
        <f>IF(B141="","",SUMIF('Mill Production'!$C$5:$C$304,B141,'Mill Production'!$I$5:$I$304))</f>
        <v/>
      </c>
      <c r="K141" s="7" t="str">
        <f>IF(B141="","",IF(COUNTIF('Mill Test'!$C$5:$C$304,B141)=0,"Pending",IF(COUNTIFS('Mill Test'!$C$5:$C$304,B141,'Mill Test'!$T$5:$T$304,"Failed")&gt;0,"Failed","Passed")))</f>
        <v/>
      </c>
      <c r="L141" s="19" t="str">
        <f>IF(B141="","",SUMIF('Fabric Shipment'!$C$5:$C$304,B141,'Fabric Shipment'!$G$5:$G$304))</f>
        <v/>
      </c>
      <c r="M141" s="19" t="str">
        <f>IF(B141="","",SUMIF('Fabric Shipment'!$C$5:$C$304,B141,'Fabric Shipment'!$R$5:$R$304))</f>
        <v/>
      </c>
      <c r="N141" s="19" t="str">
        <f>IF(B141="","",SUMIF('Fabric Receiving'!$E$5:$E$304,B141,'Fabric Receiving'!$H$5:$H$304))</f>
        <v/>
      </c>
      <c r="O141" s="19" t="str">
        <f>IF(B141="","",SUMIF('Fabric Receiving'!$E$5:$E$304,B141,'Fabric Receiving'!$I$5:$I$304))</f>
        <v/>
      </c>
      <c r="P141" s="7" t="str">
        <f>IF(B141="","",IF(COUNTIF('Four-Point'!$E$5:$E$304,B141)=0,"Pending",IF(COUNTIFS('Four-Point'!$E$5:$E$304,B141,'Four-Point'!$T$5:$T$304,"Failed")&gt;0,"Failed","Passed")))</f>
        <v/>
      </c>
      <c r="Q141" s="7" t="str">
        <f>IF(B141="","",IF(COUNTIF('Internal Test'!$D$5:$D$304,B141)=0,"Pending",IF(COUNTIFS('Internal Test'!$D$5:$D$304,B141,'Internal Test'!$AA$5:$AA$304,"Failed")&gt;0,"Failed","Passed")))</f>
        <v/>
      </c>
      <c r="R141" s="7" t="str">
        <f>IF(B141="","",IF(COUNTIF('Shade Match'!$C$5:$C$304,B141)=0,"Pending",IF(COUNTIFS('Shade Match'!$C$5:$C$304,B141,'Shade Match'!$Q$5:$Q$304,"Failed")&gt;0,"Failed","Approved")))</f>
        <v/>
      </c>
      <c r="S141" s="19" t="str">
        <f>IF(B141="","",SUMIF('Fabric Inventory'!$C$5:$C$304,B141,'Fabric Inventory'!$H$5:$H$304))</f>
        <v/>
      </c>
      <c r="T141" s="19" t="str">
        <f>IF(B141="","",SUMIF('Fabric Inventory'!$C$5:$C$304,B141,'Fabric Inventory'!$K$5:$K$304))</f>
        <v/>
      </c>
      <c r="U141" s="19" t="str">
        <f>IF(B141="","",SUMIF('Fabric Inventory'!$C$5:$C$304,B141,'Fabric Inventory'!$L$5:$L$304))</f>
        <v/>
      </c>
      <c r="V141" s="19" t="str">
        <f>IF(B141="","",SUMIF('Fabric Inventory'!$C$5:$C$304,B141,'Fabric Inventory'!$N$5:$N$304))</f>
        <v/>
      </c>
      <c r="W141" s="19" t="str">
        <f>IF(B141="","",SUMIF('Fabric Inventory'!$C$5:$C$304,B141,'Fabric Inventory'!$O$5:$O$304))</f>
        <v/>
      </c>
    </row>
    <row r="142" spans="1:23">
      <c r="A142" s="7" t="str">
        <f>IF('FGPO Master'!A136="","",'FGPO Master'!E136)</f>
        <v/>
      </c>
      <c r="B142" s="7" t="str">
        <f>IF('FGPO Master'!A136="","",IF('FGPO Master'!D136="FGPO Pending","FGPO Pending",'FGPO Master'!B136))</f>
        <v/>
      </c>
      <c r="C142" s="7" t="str">
        <f>IF('FGPO Master'!A136="","",'FGPO Master'!D136)</f>
        <v/>
      </c>
      <c r="D142" s="7" t="str">
        <f>IF('FGPO Master'!A136="","",'FGPO Master'!F136)</f>
        <v/>
      </c>
      <c r="E142" s="7" t="str">
        <f>IF('FGPO Master'!A136="","",'FGPO Master'!G136)</f>
        <v/>
      </c>
      <c r="F142" s="19" t="str">
        <f>IF('FGPO Master'!A136="","",'FGPO Master'!H136)</f>
        <v/>
      </c>
      <c r="G142" s="19" t="str">
        <f>IF('FGPO Master'!A136="","",'FGPO Master'!M136)</f>
        <v/>
      </c>
      <c r="H142" s="19" t="str">
        <f>IF(B142="","",SUMIF('Fabric Requirement'!$B$5:$B$304,B142,'Fabric Requirement'!$M$5:$M$304)+SUMIF('Fabric Requirement'!$B$5:$B$304,B142,'Fabric Requirement'!$O$5:$O$304))</f>
        <v/>
      </c>
      <c r="I142" s="19" t="str">
        <f>IF(B142="","",SUMIF('Fabric PO'!$B$5:$B$304,B142,'Fabric PO'!$H$5:$H$304))</f>
        <v/>
      </c>
      <c r="J142" s="19" t="str">
        <f>IF(B142="","",SUMIF('Mill Production'!$C$5:$C$304,B142,'Mill Production'!$I$5:$I$304))</f>
        <v/>
      </c>
      <c r="K142" s="7" t="str">
        <f>IF(B142="","",IF(COUNTIF('Mill Test'!$C$5:$C$304,B142)=0,"Pending",IF(COUNTIFS('Mill Test'!$C$5:$C$304,B142,'Mill Test'!$T$5:$T$304,"Failed")&gt;0,"Failed","Passed")))</f>
        <v/>
      </c>
      <c r="L142" s="19" t="str">
        <f>IF(B142="","",SUMIF('Fabric Shipment'!$C$5:$C$304,B142,'Fabric Shipment'!$G$5:$G$304))</f>
        <v/>
      </c>
      <c r="M142" s="19" t="str">
        <f>IF(B142="","",SUMIF('Fabric Shipment'!$C$5:$C$304,B142,'Fabric Shipment'!$R$5:$R$304))</f>
        <v/>
      </c>
      <c r="N142" s="19" t="str">
        <f>IF(B142="","",SUMIF('Fabric Receiving'!$E$5:$E$304,B142,'Fabric Receiving'!$H$5:$H$304))</f>
        <v/>
      </c>
      <c r="O142" s="19" t="str">
        <f>IF(B142="","",SUMIF('Fabric Receiving'!$E$5:$E$304,B142,'Fabric Receiving'!$I$5:$I$304))</f>
        <v/>
      </c>
      <c r="P142" s="7" t="str">
        <f>IF(B142="","",IF(COUNTIF('Four-Point'!$E$5:$E$304,B142)=0,"Pending",IF(COUNTIFS('Four-Point'!$E$5:$E$304,B142,'Four-Point'!$T$5:$T$304,"Failed")&gt;0,"Failed","Passed")))</f>
        <v/>
      </c>
      <c r="Q142" s="7" t="str">
        <f>IF(B142="","",IF(COUNTIF('Internal Test'!$D$5:$D$304,B142)=0,"Pending",IF(COUNTIFS('Internal Test'!$D$5:$D$304,B142,'Internal Test'!$AA$5:$AA$304,"Failed")&gt;0,"Failed","Passed")))</f>
        <v/>
      </c>
      <c r="R142" s="7" t="str">
        <f>IF(B142="","",IF(COUNTIF('Shade Match'!$C$5:$C$304,B142)=0,"Pending",IF(COUNTIFS('Shade Match'!$C$5:$C$304,B142,'Shade Match'!$Q$5:$Q$304,"Failed")&gt;0,"Failed","Approved")))</f>
        <v/>
      </c>
      <c r="S142" s="19" t="str">
        <f>IF(B142="","",SUMIF('Fabric Inventory'!$C$5:$C$304,B142,'Fabric Inventory'!$H$5:$H$304))</f>
        <v/>
      </c>
      <c r="T142" s="19" t="str">
        <f>IF(B142="","",SUMIF('Fabric Inventory'!$C$5:$C$304,B142,'Fabric Inventory'!$K$5:$K$304))</f>
        <v/>
      </c>
      <c r="U142" s="19" t="str">
        <f>IF(B142="","",SUMIF('Fabric Inventory'!$C$5:$C$304,B142,'Fabric Inventory'!$L$5:$L$304))</f>
        <v/>
      </c>
      <c r="V142" s="19" t="str">
        <f>IF(B142="","",SUMIF('Fabric Inventory'!$C$5:$C$304,B142,'Fabric Inventory'!$N$5:$N$304))</f>
        <v/>
      </c>
      <c r="W142" s="19" t="str">
        <f>IF(B142="","",SUMIF('Fabric Inventory'!$C$5:$C$304,B142,'Fabric Inventory'!$O$5:$O$304))</f>
        <v/>
      </c>
    </row>
    <row r="143" spans="1:23">
      <c r="A143" s="7" t="str">
        <f>IF('FGPO Master'!A137="","",'FGPO Master'!E137)</f>
        <v/>
      </c>
      <c r="B143" s="7" t="str">
        <f>IF('FGPO Master'!A137="","",IF('FGPO Master'!D137="FGPO Pending","FGPO Pending",'FGPO Master'!B137))</f>
        <v/>
      </c>
      <c r="C143" s="7" t="str">
        <f>IF('FGPO Master'!A137="","",'FGPO Master'!D137)</f>
        <v/>
      </c>
      <c r="D143" s="7" t="str">
        <f>IF('FGPO Master'!A137="","",'FGPO Master'!F137)</f>
        <v/>
      </c>
      <c r="E143" s="7" t="str">
        <f>IF('FGPO Master'!A137="","",'FGPO Master'!G137)</f>
        <v/>
      </c>
      <c r="F143" s="19" t="str">
        <f>IF('FGPO Master'!A137="","",'FGPO Master'!H137)</f>
        <v/>
      </c>
      <c r="G143" s="19" t="str">
        <f>IF('FGPO Master'!A137="","",'FGPO Master'!M137)</f>
        <v/>
      </c>
      <c r="H143" s="19" t="str">
        <f>IF(B143="","",SUMIF('Fabric Requirement'!$B$5:$B$304,B143,'Fabric Requirement'!$M$5:$M$304)+SUMIF('Fabric Requirement'!$B$5:$B$304,B143,'Fabric Requirement'!$O$5:$O$304))</f>
        <v/>
      </c>
      <c r="I143" s="19" t="str">
        <f>IF(B143="","",SUMIF('Fabric PO'!$B$5:$B$304,B143,'Fabric PO'!$H$5:$H$304))</f>
        <v/>
      </c>
      <c r="J143" s="19" t="str">
        <f>IF(B143="","",SUMIF('Mill Production'!$C$5:$C$304,B143,'Mill Production'!$I$5:$I$304))</f>
        <v/>
      </c>
      <c r="K143" s="7" t="str">
        <f>IF(B143="","",IF(COUNTIF('Mill Test'!$C$5:$C$304,B143)=0,"Pending",IF(COUNTIFS('Mill Test'!$C$5:$C$304,B143,'Mill Test'!$T$5:$T$304,"Failed")&gt;0,"Failed","Passed")))</f>
        <v/>
      </c>
      <c r="L143" s="19" t="str">
        <f>IF(B143="","",SUMIF('Fabric Shipment'!$C$5:$C$304,B143,'Fabric Shipment'!$G$5:$G$304))</f>
        <v/>
      </c>
      <c r="M143" s="19" t="str">
        <f>IF(B143="","",SUMIF('Fabric Shipment'!$C$5:$C$304,B143,'Fabric Shipment'!$R$5:$R$304))</f>
        <v/>
      </c>
      <c r="N143" s="19" t="str">
        <f>IF(B143="","",SUMIF('Fabric Receiving'!$E$5:$E$304,B143,'Fabric Receiving'!$H$5:$H$304))</f>
        <v/>
      </c>
      <c r="O143" s="19" t="str">
        <f>IF(B143="","",SUMIF('Fabric Receiving'!$E$5:$E$304,B143,'Fabric Receiving'!$I$5:$I$304))</f>
        <v/>
      </c>
      <c r="P143" s="7" t="str">
        <f>IF(B143="","",IF(COUNTIF('Four-Point'!$E$5:$E$304,B143)=0,"Pending",IF(COUNTIFS('Four-Point'!$E$5:$E$304,B143,'Four-Point'!$T$5:$T$304,"Failed")&gt;0,"Failed","Passed")))</f>
        <v/>
      </c>
      <c r="Q143" s="7" t="str">
        <f>IF(B143="","",IF(COUNTIF('Internal Test'!$D$5:$D$304,B143)=0,"Pending",IF(COUNTIFS('Internal Test'!$D$5:$D$304,B143,'Internal Test'!$AA$5:$AA$304,"Failed")&gt;0,"Failed","Passed")))</f>
        <v/>
      </c>
      <c r="R143" s="7" t="str">
        <f>IF(B143="","",IF(COUNTIF('Shade Match'!$C$5:$C$304,B143)=0,"Pending",IF(COUNTIFS('Shade Match'!$C$5:$C$304,B143,'Shade Match'!$Q$5:$Q$304,"Failed")&gt;0,"Failed","Approved")))</f>
        <v/>
      </c>
      <c r="S143" s="19" t="str">
        <f>IF(B143="","",SUMIF('Fabric Inventory'!$C$5:$C$304,B143,'Fabric Inventory'!$H$5:$H$304))</f>
        <v/>
      </c>
      <c r="T143" s="19" t="str">
        <f>IF(B143="","",SUMIF('Fabric Inventory'!$C$5:$C$304,B143,'Fabric Inventory'!$K$5:$K$304))</f>
        <v/>
      </c>
      <c r="U143" s="19" t="str">
        <f>IF(B143="","",SUMIF('Fabric Inventory'!$C$5:$C$304,B143,'Fabric Inventory'!$L$5:$L$304))</f>
        <v/>
      </c>
      <c r="V143" s="19" t="str">
        <f>IF(B143="","",SUMIF('Fabric Inventory'!$C$5:$C$304,B143,'Fabric Inventory'!$N$5:$N$304))</f>
        <v/>
      </c>
      <c r="W143" s="19" t="str">
        <f>IF(B143="","",SUMIF('Fabric Inventory'!$C$5:$C$304,B143,'Fabric Inventory'!$O$5:$O$304))</f>
        <v/>
      </c>
    </row>
    <row r="144" spans="1:23">
      <c r="A144" s="7" t="str">
        <f>IF('FGPO Master'!A138="","",'FGPO Master'!E138)</f>
        <v/>
      </c>
      <c r="B144" s="7" t="str">
        <f>IF('FGPO Master'!A138="","",IF('FGPO Master'!D138="FGPO Pending","FGPO Pending",'FGPO Master'!B138))</f>
        <v/>
      </c>
      <c r="C144" s="7" t="str">
        <f>IF('FGPO Master'!A138="","",'FGPO Master'!D138)</f>
        <v/>
      </c>
      <c r="D144" s="7" t="str">
        <f>IF('FGPO Master'!A138="","",'FGPO Master'!F138)</f>
        <v/>
      </c>
      <c r="E144" s="7" t="str">
        <f>IF('FGPO Master'!A138="","",'FGPO Master'!G138)</f>
        <v/>
      </c>
      <c r="F144" s="19" t="str">
        <f>IF('FGPO Master'!A138="","",'FGPO Master'!H138)</f>
        <v/>
      </c>
      <c r="G144" s="19" t="str">
        <f>IF('FGPO Master'!A138="","",'FGPO Master'!M138)</f>
        <v/>
      </c>
      <c r="H144" s="19" t="str">
        <f>IF(B144="","",SUMIF('Fabric Requirement'!$B$5:$B$304,B144,'Fabric Requirement'!$M$5:$M$304)+SUMIF('Fabric Requirement'!$B$5:$B$304,B144,'Fabric Requirement'!$O$5:$O$304))</f>
        <v/>
      </c>
      <c r="I144" s="19" t="str">
        <f>IF(B144="","",SUMIF('Fabric PO'!$B$5:$B$304,B144,'Fabric PO'!$H$5:$H$304))</f>
        <v/>
      </c>
      <c r="J144" s="19" t="str">
        <f>IF(B144="","",SUMIF('Mill Production'!$C$5:$C$304,B144,'Mill Production'!$I$5:$I$304))</f>
        <v/>
      </c>
      <c r="K144" s="7" t="str">
        <f>IF(B144="","",IF(COUNTIF('Mill Test'!$C$5:$C$304,B144)=0,"Pending",IF(COUNTIFS('Mill Test'!$C$5:$C$304,B144,'Mill Test'!$T$5:$T$304,"Failed")&gt;0,"Failed","Passed")))</f>
        <v/>
      </c>
      <c r="L144" s="19" t="str">
        <f>IF(B144="","",SUMIF('Fabric Shipment'!$C$5:$C$304,B144,'Fabric Shipment'!$G$5:$G$304))</f>
        <v/>
      </c>
      <c r="M144" s="19" t="str">
        <f>IF(B144="","",SUMIF('Fabric Shipment'!$C$5:$C$304,B144,'Fabric Shipment'!$R$5:$R$304))</f>
        <v/>
      </c>
      <c r="N144" s="19" t="str">
        <f>IF(B144="","",SUMIF('Fabric Receiving'!$E$5:$E$304,B144,'Fabric Receiving'!$H$5:$H$304))</f>
        <v/>
      </c>
      <c r="O144" s="19" t="str">
        <f>IF(B144="","",SUMIF('Fabric Receiving'!$E$5:$E$304,B144,'Fabric Receiving'!$I$5:$I$304))</f>
        <v/>
      </c>
      <c r="P144" s="7" t="str">
        <f>IF(B144="","",IF(COUNTIF('Four-Point'!$E$5:$E$304,B144)=0,"Pending",IF(COUNTIFS('Four-Point'!$E$5:$E$304,B144,'Four-Point'!$T$5:$T$304,"Failed")&gt;0,"Failed","Passed")))</f>
        <v/>
      </c>
      <c r="Q144" s="7" t="str">
        <f>IF(B144="","",IF(COUNTIF('Internal Test'!$D$5:$D$304,B144)=0,"Pending",IF(COUNTIFS('Internal Test'!$D$5:$D$304,B144,'Internal Test'!$AA$5:$AA$304,"Failed")&gt;0,"Failed","Passed")))</f>
        <v/>
      </c>
      <c r="R144" s="7" t="str">
        <f>IF(B144="","",IF(COUNTIF('Shade Match'!$C$5:$C$304,B144)=0,"Pending",IF(COUNTIFS('Shade Match'!$C$5:$C$304,B144,'Shade Match'!$Q$5:$Q$304,"Failed")&gt;0,"Failed","Approved")))</f>
        <v/>
      </c>
      <c r="S144" s="19" t="str">
        <f>IF(B144="","",SUMIF('Fabric Inventory'!$C$5:$C$304,B144,'Fabric Inventory'!$H$5:$H$304))</f>
        <v/>
      </c>
      <c r="T144" s="19" t="str">
        <f>IF(B144="","",SUMIF('Fabric Inventory'!$C$5:$C$304,B144,'Fabric Inventory'!$K$5:$K$304))</f>
        <v/>
      </c>
      <c r="U144" s="19" t="str">
        <f>IF(B144="","",SUMIF('Fabric Inventory'!$C$5:$C$304,B144,'Fabric Inventory'!$L$5:$L$304))</f>
        <v/>
      </c>
      <c r="V144" s="19" t="str">
        <f>IF(B144="","",SUMIF('Fabric Inventory'!$C$5:$C$304,B144,'Fabric Inventory'!$N$5:$N$304))</f>
        <v/>
      </c>
      <c r="W144" s="19" t="str">
        <f>IF(B144="","",SUMIF('Fabric Inventory'!$C$5:$C$304,B144,'Fabric Inventory'!$O$5:$O$304))</f>
        <v/>
      </c>
    </row>
    <row r="145" spans="1:23">
      <c r="A145" s="7" t="str">
        <f>IF('FGPO Master'!A139="","",'FGPO Master'!E139)</f>
        <v/>
      </c>
      <c r="B145" s="7" t="str">
        <f>IF('FGPO Master'!A139="","",IF('FGPO Master'!D139="FGPO Pending","FGPO Pending",'FGPO Master'!B139))</f>
        <v/>
      </c>
      <c r="C145" s="7" t="str">
        <f>IF('FGPO Master'!A139="","",'FGPO Master'!D139)</f>
        <v/>
      </c>
      <c r="D145" s="7" t="str">
        <f>IF('FGPO Master'!A139="","",'FGPO Master'!F139)</f>
        <v/>
      </c>
      <c r="E145" s="7" t="str">
        <f>IF('FGPO Master'!A139="","",'FGPO Master'!G139)</f>
        <v/>
      </c>
      <c r="F145" s="19" t="str">
        <f>IF('FGPO Master'!A139="","",'FGPO Master'!H139)</f>
        <v/>
      </c>
      <c r="G145" s="19" t="str">
        <f>IF('FGPO Master'!A139="","",'FGPO Master'!M139)</f>
        <v/>
      </c>
      <c r="H145" s="19" t="str">
        <f>IF(B145="","",SUMIF('Fabric Requirement'!$B$5:$B$304,B145,'Fabric Requirement'!$M$5:$M$304)+SUMIF('Fabric Requirement'!$B$5:$B$304,B145,'Fabric Requirement'!$O$5:$O$304))</f>
        <v/>
      </c>
      <c r="I145" s="19" t="str">
        <f>IF(B145="","",SUMIF('Fabric PO'!$B$5:$B$304,B145,'Fabric PO'!$H$5:$H$304))</f>
        <v/>
      </c>
      <c r="J145" s="19" t="str">
        <f>IF(B145="","",SUMIF('Mill Production'!$C$5:$C$304,B145,'Mill Production'!$I$5:$I$304))</f>
        <v/>
      </c>
      <c r="K145" s="7" t="str">
        <f>IF(B145="","",IF(COUNTIF('Mill Test'!$C$5:$C$304,B145)=0,"Pending",IF(COUNTIFS('Mill Test'!$C$5:$C$304,B145,'Mill Test'!$T$5:$T$304,"Failed")&gt;0,"Failed","Passed")))</f>
        <v/>
      </c>
      <c r="L145" s="19" t="str">
        <f>IF(B145="","",SUMIF('Fabric Shipment'!$C$5:$C$304,B145,'Fabric Shipment'!$G$5:$G$304))</f>
        <v/>
      </c>
      <c r="M145" s="19" t="str">
        <f>IF(B145="","",SUMIF('Fabric Shipment'!$C$5:$C$304,B145,'Fabric Shipment'!$R$5:$R$304))</f>
        <v/>
      </c>
      <c r="N145" s="19" t="str">
        <f>IF(B145="","",SUMIF('Fabric Receiving'!$E$5:$E$304,B145,'Fabric Receiving'!$H$5:$H$304))</f>
        <v/>
      </c>
      <c r="O145" s="19" t="str">
        <f>IF(B145="","",SUMIF('Fabric Receiving'!$E$5:$E$304,B145,'Fabric Receiving'!$I$5:$I$304))</f>
        <v/>
      </c>
      <c r="P145" s="7" t="str">
        <f>IF(B145="","",IF(COUNTIF('Four-Point'!$E$5:$E$304,B145)=0,"Pending",IF(COUNTIFS('Four-Point'!$E$5:$E$304,B145,'Four-Point'!$T$5:$T$304,"Failed")&gt;0,"Failed","Passed")))</f>
        <v/>
      </c>
      <c r="Q145" s="7" t="str">
        <f>IF(B145="","",IF(COUNTIF('Internal Test'!$D$5:$D$304,B145)=0,"Pending",IF(COUNTIFS('Internal Test'!$D$5:$D$304,B145,'Internal Test'!$AA$5:$AA$304,"Failed")&gt;0,"Failed","Passed")))</f>
        <v/>
      </c>
      <c r="R145" s="7" t="str">
        <f>IF(B145="","",IF(COUNTIF('Shade Match'!$C$5:$C$304,B145)=0,"Pending",IF(COUNTIFS('Shade Match'!$C$5:$C$304,B145,'Shade Match'!$Q$5:$Q$304,"Failed")&gt;0,"Failed","Approved")))</f>
        <v/>
      </c>
      <c r="S145" s="19" t="str">
        <f>IF(B145="","",SUMIF('Fabric Inventory'!$C$5:$C$304,B145,'Fabric Inventory'!$H$5:$H$304))</f>
        <v/>
      </c>
      <c r="T145" s="19" t="str">
        <f>IF(B145="","",SUMIF('Fabric Inventory'!$C$5:$C$304,B145,'Fabric Inventory'!$K$5:$K$304))</f>
        <v/>
      </c>
      <c r="U145" s="19" t="str">
        <f>IF(B145="","",SUMIF('Fabric Inventory'!$C$5:$C$304,B145,'Fabric Inventory'!$L$5:$L$304))</f>
        <v/>
      </c>
      <c r="V145" s="19" t="str">
        <f>IF(B145="","",SUMIF('Fabric Inventory'!$C$5:$C$304,B145,'Fabric Inventory'!$N$5:$N$304))</f>
        <v/>
      </c>
      <c r="W145" s="19" t="str">
        <f>IF(B145="","",SUMIF('Fabric Inventory'!$C$5:$C$304,B145,'Fabric Inventory'!$O$5:$O$304))</f>
        <v/>
      </c>
    </row>
    <row r="146" spans="1:23">
      <c r="A146" s="7" t="str">
        <f>IF('FGPO Master'!A140="","",'FGPO Master'!E140)</f>
        <v/>
      </c>
      <c r="B146" s="7" t="str">
        <f>IF('FGPO Master'!A140="","",IF('FGPO Master'!D140="FGPO Pending","FGPO Pending",'FGPO Master'!B140))</f>
        <v/>
      </c>
      <c r="C146" s="7" t="str">
        <f>IF('FGPO Master'!A140="","",'FGPO Master'!D140)</f>
        <v/>
      </c>
      <c r="D146" s="7" t="str">
        <f>IF('FGPO Master'!A140="","",'FGPO Master'!F140)</f>
        <v/>
      </c>
      <c r="E146" s="7" t="str">
        <f>IF('FGPO Master'!A140="","",'FGPO Master'!G140)</f>
        <v/>
      </c>
      <c r="F146" s="19" t="str">
        <f>IF('FGPO Master'!A140="","",'FGPO Master'!H140)</f>
        <v/>
      </c>
      <c r="G146" s="19" t="str">
        <f>IF('FGPO Master'!A140="","",'FGPO Master'!M140)</f>
        <v/>
      </c>
      <c r="H146" s="19" t="str">
        <f>IF(B146="","",SUMIF('Fabric Requirement'!$B$5:$B$304,B146,'Fabric Requirement'!$M$5:$M$304)+SUMIF('Fabric Requirement'!$B$5:$B$304,B146,'Fabric Requirement'!$O$5:$O$304))</f>
        <v/>
      </c>
      <c r="I146" s="19" t="str">
        <f>IF(B146="","",SUMIF('Fabric PO'!$B$5:$B$304,B146,'Fabric PO'!$H$5:$H$304))</f>
        <v/>
      </c>
      <c r="J146" s="19" t="str">
        <f>IF(B146="","",SUMIF('Mill Production'!$C$5:$C$304,B146,'Mill Production'!$I$5:$I$304))</f>
        <v/>
      </c>
      <c r="K146" s="7" t="str">
        <f>IF(B146="","",IF(COUNTIF('Mill Test'!$C$5:$C$304,B146)=0,"Pending",IF(COUNTIFS('Mill Test'!$C$5:$C$304,B146,'Mill Test'!$T$5:$T$304,"Failed")&gt;0,"Failed","Passed")))</f>
        <v/>
      </c>
      <c r="L146" s="19" t="str">
        <f>IF(B146="","",SUMIF('Fabric Shipment'!$C$5:$C$304,B146,'Fabric Shipment'!$G$5:$G$304))</f>
        <v/>
      </c>
      <c r="M146" s="19" t="str">
        <f>IF(B146="","",SUMIF('Fabric Shipment'!$C$5:$C$304,B146,'Fabric Shipment'!$R$5:$R$304))</f>
        <v/>
      </c>
      <c r="N146" s="19" t="str">
        <f>IF(B146="","",SUMIF('Fabric Receiving'!$E$5:$E$304,B146,'Fabric Receiving'!$H$5:$H$304))</f>
        <v/>
      </c>
      <c r="O146" s="19" t="str">
        <f>IF(B146="","",SUMIF('Fabric Receiving'!$E$5:$E$304,B146,'Fabric Receiving'!$I$5:$I$304))</f>
        <v/>
      </c>
      <c r="P146" s="7" t="str">
        <f>IF(B146="","",IF(COUNTIF('Four-Point'!$E$5:$E$304,B146)=0,"Pending",IF(COUNTIFS('Four-Point'!$E$5:$E$304,B146,'Four-Point'!$T$5:$T$304,"Failed")&gt;0,"Failed","Passed")))</f>
        <v/>
      </c>
      <c r="Q146" s="7" t="str">
        <f>IF(B146="","",IF(COUNTIF('Internal Test'!$D$5:$D$304,B146)=0,"Pending",IF(COUNTIFS('Internal Test'!$D$5:$D$304,B146,'Internal Test'!$AA$5:$AA$304,"Failed")&gt;0,"Failed","Passed")))</f>
        <v/>
      </c>
      <c r="R146" s="7" t="str">
        <f>IF(B146="","",IF(COUNTIF('Shade Match'!$C$5:$C$304,B146)=0,"Pending",IF(COUNTIFS('Shade Match'!$C$5:$C$304,B146,'Shade Match'!$Q$5:$Q$304,"Failed")&gt;0,"Failed","Approved")))</f>
        <v/>
      </c>
      <c r="S146" s="19" t="str">
        <f>IF(B146="","",SUMIF('Fabric Inventory'!$C$5:$C$304,B146,'Fabric Inventory'!$H$5:$H$304))</f>
        <v/>
      </c>
      <c r="T146" s="19" t="str">
        <f>IF(B146="","",SUMIF('Fabric Inventory'!$C$5:$C$304,B146,'Fabric Inventory'!$K$5:$K$304))</f>
        <v/>
      </c>
      <c r="U146" s="19" t="str">
        <f>IF(B146="","",SUMIF('Fabric Inventory'!$C$5:$C$304,B146,'Fabric Inventory'!$L$5:$L$304))</f>
        <v/>
      </c>
      <c r="V146" s="19" t="str">
        <f>IF(B146="","",SUMIF('Fabric Inventory'!$C$5:$C$304,B146,'Fabric Inventory'!$N$5:$N$304))</f>
        <v/>
      </c>
      <c r="W146" s="19" t="str">
        <f>IF(B146="","",SUMIF('Fabric Inventory'!$C$5:$C$304,B146,'Fabric Inventory'!$O$5:$O$304))</f>
        <v/>
      </c>
    </row>
    <row r="147" spans="1:23">
      <c r="A147" s="7" t="str">
        <f>IF('FGPO Master'!A141="","",'FGPO Master'!E141)</f>
        <v/>
      </c>
      <c r="B147" s="7" t="str">
        <f>IF('FGPO Master'!A141="","",IF('FGPO Master'!D141="FGPO Pending","FGPO Pending",'FGPO Master'!B141))</f>
        <v/>
      </c>
      <c r="C147" s="7" t="str">
        <f>IF('FGPO Master'!A141="","",'FGPO Master'!D141)</f>
        <v/>
      </c>
      <c r="D147" s="7" t="str">
        <f>IF('FGPO Master'!A141="","",'FGPO Master'!F141)</f>
        <v/>
      </c>
      <c r="E147" s="7" t="str">
        <f>IF('FGPO Master'!A141="","",'FGPO Master'!G141)</f>
        <v/>
      </c>
      <c r="F147" s="19" t="str">
        <f>IF('FGPO Master'!A141="","",'FGPO Master'!H141)</f>
        <v/>
      </c>
      <c r="G147" s="19" t="str">
        <f>IF('FGPO Master'!A141="","",'FGPO Master'!M141)</f>
        <v/>
      </c>
      <c r="H147" s="19" t="str">
        <f>IF(B147="","",SUMIF('Fabric Requirement'!$B$5:$B$304,B147,'Fabric Requirement'!$M$5:$M$304)+SUMIF('Fabric Requirement'!$B$5:$B$304,B147,'Fabric Requirement'!$O$5:$O$304))</f>
        <v/>
      </c>
      <c r="I147" s="19" t="str">
        <f>IF(B147="","",SUMIF('Fabric PO'!$B$5:$B$304,B147,'Fabric PO'!$H$5:$H$304))</f>
        <v/>
      </c>
      <c r="J147" s="19" t="str">
        <f>IF(B147="","",SUMIF('Mill Production'!$C$5:$C$304,B147,'Mill Production'!$I$5:$I$304))</f>
        <v/>
      </c>
      <c r="K147" s="7" t="str">
        <f>IF(B147="","",IF(COUNTIF('Mill Test'!$C$5:$C$304,B147)=0,"Pending",IF(COUNTIFS('Mill Test'!$C$5:$C$304,B147,'Mill Test'!$T$5:$T$304,"Failed")&gt;0,"Failed","Passed")))</f>
        <v/>
      </c>
      <c r="L147" s="19" t="str">
        <f>IF(B147="","",SUMIF('Fabric Shipment'!$C$5:$C$304,B147,'Fabric Shipment'!$G$5:$G$304))</f>
        <v/>
      </c>
      <c r="M147" s="19" t="str">
        <f>IF(B147="","",SUMIF('Fabric Shipment'!$C$5:$C$304,B147,'Fabric Shipment'!$R$5:$R$304))</f>
        <v/>
      </c>
      <c r="N147" s="19" t="str">
        <f>IF(B147="","",SUMIF('Fabric Receiving'!$E$5:$E$304,B147,'Fabric Receiving'!$H$5:$H$304))</f>
        <v/>
      </c>
      <c r="O147" s="19" t="str">
        <f>IF(B147="","",SUMIF('Fabric Receiving'!$E$5:$E$304,B147,'Fabric Receiving'!$I$5:$I$304))</f>
        <v/>
      </c>
      <c r="P147" s="7" t="str">
        <f>IF(B147="","",IF(COUNTIF('Four-Point'!$E$5:$E$304,B147)=0,"Pending",IF(COUNTIFS('Four-Point'!$E$5:$E$304,B147,'Four-Point'!$T$5:$T$304,"Failed")&gt;0,"Failed","Passed")))</f>
        <v/>
      </c>
      <c r="Q147" s="7" t="str">
        <f>IF(B147="","",IF(COUNTIF('Internal Test'!$D$5:$D$304,B147)=0,"Pending",IF(COUNTIFS('Internal Test'!$D$5:$D$304,B147,'Internal Test'!$AA$5:$AA$304,"Failed")&gt;0,"Failed","Passed")))</f>
        <v/>
      </c>
      <c r="R147" s="7" t="str">
        <f>IF(B147="","",IF(COUNTIF('Shade Match'!$C$5:$C$304,B147)=0,"Pending",IF(COUNTIFS('Shade Match'!$C$5:$C$304,B147,'Shade Match'!$Q$5:$Q$304,"Failed")&gt;0,"Failed","Approved")))</f>
        <v/>
      </c>
      <c r="S147" s="19" t="str">
        <f>IF(B147="","",SUMIF('Fabric Inventory'!$C$5:$C$304,B147,'Fabric Inventory'!$H$5:$H$304))</f>
        <v/>
      </c>
      <c r="T147" s="19" t="str">
        <f>IF(B147="","",SUMIF('Fabric Inventory'!$C$5:$C$304,B147,'Fabric Inventory'!$K$5:$K$304))</f>
        <v/>
      </c>
      <c r="U147" s="19" t="str">
        <f>IF(B147="","",SUMIF('Fabric Inventory'!$C$5:$C$304,B147,'Fabric Inventory'!$L$5:$L$304))</f>
        <v/>
      </c>
      <c r="V147" s="19" t="str">
        <f>IF(B147="","",SUMIF('Fabric Inventory'!$C$5:$C$304,B147,'Fabric Inventory'!$N$5:$N$304))</f>
        <v/>
      </c>
      <c r="W147" s="19" t="str">
        <f>IF(B147="","",SUMIF('Fabric Inventory'!$C$5:$C$304,B147,'Fabric Inventory'!$O$5:$O$304))</f>
        <v/>
      </c>
    </row>
    <row r="148" spans="1:23">
      <c r="A148" s="7" t="str">
        <f>IF('FGPO Master'!A142="","",'FGPO Master'!E142)</f>
        <v/>
      </c>
      <c r="B148" s="7" t="str">
        <f>IF('FGPO Master'!A142="","",IF('FGPO Master'!D142="FGPO Pending","FGPO Pending",'FGPO Master'!B142))</f>
        <v/>
      </c>
      <c r="C148" s="7" t="str">
        <f>IF('FGPO Master'!A142="","",'FGPO Master'!D142)</f>
        <v/>
      </c>
      <c r="D148" s="7" t="str">
        <f>IF('FGPO Master'!A142="","",'FGPO Master'!F142)</f>
        <v/>
      </c>
      <c r="E148" s="7" t="str">
        <f>IF('FGPO Master'!A142="","",'FGPO Master'!G142)</f>
        <v/>
      </c>
      <c r="F148" s="19" t="str">
        <f>IF('FGPO Master'!A142="","",'FGPO Master'!H142)</f>
        <v/>
      </c>
      <c r="G148" s="19" t="str">
        <f>IF('FGPO Master'!A142="","",'FGPO Master'!M142)</f>
        <v/>
      </c>
      <c r="H148" s="19" t="str">
        <f>IF(B148="","",SUMIF('Fabric Requirement'!$B$5:$B$304,B148,'Fabric Requirement'!$M$5:$M$304)+SUMIF('Fabric Requirement'!$B$5:$B$304,B148,'Fabric Requirement'!$O$5:$O$304))</f>
        <v/>
      </c>
      <c r="I148" s="19" t="str">
        <f>IF(B148="","",SUMIF('Fabric PO'!$B$5:$B$304,B148,'Fabric PO'!$H$5:$H$304))</f>
        <v/>
      </c>
      <c r="J148" s="19" t="str">
        <f>IF(B148="","",SUMIF('Mill Production'!$C$5:$C$304,B148,'Mill Production'!$I$5:$I$304))</f>
        <v/>
      </c>
      <c r="K148" s="7" t="str">
        <f>IF(B148="","",IF(COUNTIF('Mill Test'!$C$5:$C$304,B148)=0,"Pending",IF(COUNTIFS('Mill Test'!$C$5:$C$304,B148,'Mill Test'!$T$5:$T$304,"Failed")&gt;0,"Failed","Passed")))</f>
        <v/>
      </c>
      <c r="L148" s="19" t="str">
        <f>IF(B148="","",SUMIF('Fabric Shipment'!$C$5:$C$304,B148,'Fabric Shipment'!$G$5:$G$304))</f>
        <v/>
      </c>
      <c r="M148" s="19" t="str">
        <f>IF(B148="","",SUMIF('Fabric Shipment'!$C$5:$C$304,B148,'Fabric Shipment'!$R$5:$R$304))</f>
        <v/>
      </c>
      <c r="N148" s="19" t="str">
        <f>IF(B148="","",SUMIF('Fabric Receiving'!$E$5:$E$304,B148,'Fabric Receiving'!$H$5:$H$304))</f>
        <v/>
      </c>
      <c r="O148" s="19" t="str">
        <f>IF(B148="","",SUMIF('Fabric Receiving'!$E$5:$E$304,B148,'Fabric Receiving'!$I$5:$I$304))</f>
        <v/>
      </c>
      <c r="P148" s="7" t="str">
        <f>IF(B148="","",IF(COUNTIF('Four-Point'!$E$5:$E$304,B148)=0,"Pending",IF(COUNTIFS('Four-Point'!$E$5:$E$304,B148,'Four-Point'!$T$5:$T$304,"Failed")&gt;0,"Failed","Passed")))</f>
        <v/>
      </c>
      <c r="Q148" s="7" t="str">
        <f>IF(B148="","",IF(COUNTIF('Internal Test'!$D$5:$D$304,B148)=0,"Pending",IF(COUNTIFS('Internal Test'!$D$5:$D$304,B148,'Internal Test'!$AA$5:$AA$304,"Failed")&gt;0,"Failed","Passed")))</f>
        <v/>
      </c>
      <c r="R148" s="7" t="str">
        <f>IF(B148="","",IF(COUNTIF('Shade Match'!$C$5:$C$304,B148)=0,"Pending",IF(COUNTIFS('Shade Match'!$C$5:$C$304,B148,'Shade Match'!$Q$5:$Q$304,"Failed")&gt;0,"Failed","Approved")))</f>
        <v/>
      </c>
      <c r="S148" s="19" t="str">
        <f>IF(B148="","",SUMIF('Fabric Inventory'!$C$5:$C$304,B148,'Fabric Inventory'!$H$5:$H$304))</f>
        <v/>
      </c>
      <c r="T148" s="19" t="str">
        <f>IF(B148="","",SUMIF('Fabric Inventory'!$C$5:$C$304,B148,'Fabric Inventory'!$K$5:$K$304))</f>
        <v/>
      </c>
      <c r="U148" s="19" t="str">
        <f>IF(B148="","",SUMIF('Fabric Inventory'!$C$5:$C$304,B148,'Fabric Inventory'!$L$5:$L$304))</f>
        <v/>
      </c>
      <c r="V148" s="19" t="str">
        <f>IF(B148="","",SUMIF('Fabric Inventory'!$C$5:$C$304,B148,'Fabric Inventory'!$N$5:$N$304))</f>
        <v/>
      </c>
      <c r="W148" s="19" t="str">
        <f>IF(B148="","",SUMIF('Fabric Inventory'!$C$5:$C$304,B148,'Fabric Inventory'!$O$5:$O$304))</f>
        <v/>
      </c>
    </row>
    <row r="149" spans="1:23">
      <c r="A149" s="7" t="str">
        <f>IF('FGPO Master'!A143="","",'FGPO Master'!E143)</f>
        <v/>
      </c>
      <c r="B149" s="7" t="str">
        <f>IF('FGPO Master'!A143="","",IF('FGPO Master'!D143="FGPO Pending","FGPO Pending",'FGPO Master'!B143))</f>
        <v/>
      </c>
      <c r="C149" s="7" t="str">
        <f>IF('FGPO Master'!A143="","",'FGPO Master'!D143)</f>
        <v/>
      </c>
      <c r="D149" s="7" t="str">
        <f>IF('FGPO Master'!A143="","",'FGPO Master'!F143)</f>
        <v/>
      </c>
      <c r="E149" s="7" t="str">
        <f>IF('FGPO Master'!A143="","",'FGPO Master'!G143)</f>
        <v/>
      </c>
      <c r="F149" s="19" t="str">
        <f>IF('FGPO Master'!A143="","",'FGPO Master'!H143)</f>
        <v/>
      </c>
      <c r="G149" s="19" t="str">
        <f>IF('FGPO Master'!A143="","",'FGPO Master'!M143)</f>
        <v/>
      </c>
      <c r="H149" s="19" t="str">
        <f>IF(B149="","",SUMIF('Fabric Requirement'!$B$5:$B$304,B149,'Fabric Requirement'!$M$5:$M$304)+SUMIF('Fabric Requirement'!$B$5:$B$304,B149,'Fabric Requirement'!$O$5:$O$304))</f>
        <v/>
      </c>
      <c r="I149" s="19" t="str">
        <f>IF(B149="","",SUMIF('Fabric PO'!$B$5:$B$304,B149,'Fabric PO'!$H$5:$H$304))</f>
        <v/>
      </c>
      <c r="J149" s="19" t="str">
        <f>IF(B149="","",SUMIF('Mill Production'!$C$5:$C$304,B149,'Mill Production'!$I$5:$I$304))</f>
        <v/>
      </c>
      <c r="K149" s="7" t="str">
        <f>IF(B149="","",IF(COUNTIF('Mill Test'!$C$5:$C$304,B149)=0,"Pending",IF(COUNTIFS('Mill Test'!$C$5:$C$304,B149,'Mill Test'!$T$5:$T$304,"Failed")&gt;0,"Failed","Passed")))</f>
        <v/>
      </c>
      <c r="L149" s="19" t="str">
        <f>IF(B149="","",SUMIF('Fabric Shipment'!$C$5:$C$304,B149,'Fabric Shipment'!$G$5:$G$304))</f>
        <v/>
      </c>
      <c r="M149" s="19" t="str">
        <f>IF(B149="","",SUMIF('Fabric Shipment'!$C$5:$C$304,B149,'Fabric Shipment'!$R$5:$R$304))</f>
        <v/>
      </c>
      <c r="N149" s="19" t="str">
        <f>IF(B149="","",SUMIF('Fabric Receiving'!$E$5:$E$304,B149,'Fabric Receiving'!$H$5:$H$304))</f>
        <v/>
      </c>
      <c r="O149" s="19" t="str">
        <f>IF(B149="","",SUMIF('Fabric Receiving'!$E$5:$E$304,B149,'Fabric Receiving'!$I$5:$I$304))</f>
        <v/>
      </c>
      <c r="P149" s="7" t="str">
        <f>IF(B149="","",IF(COUNTIF('Four-Point'!$E$5:$E$304,B149)=0,"Pending",IF(COUNTIFS('Four-Point'!$E$5:$E$304,B149,'Four-Point'!$T$5:$T$304,"Failed")&gt;0,"Failed","Passed")))</f>
        <v/>
      </c>
      <c r="Q149" s="7" t="str">
        <f>IF(B149="","",IF(COUNTIF('Internal Test'!$D$5:$D$304,B149)=0,"Pending",IF(COUNTIFS('Internal Test'!$D$5:$D$304,B149,'Internal Test'!$AA$5:$AA$304,"Failed")&gt;0,"Failed","Passed")))</f>
        <v/>
      </c>
      <c r="R149" s="7" t="str">
        <f>IF(B149="","",IF(COUNTIF('Shade Match'!$C$5:$C$304,B149)=0,"Pending",IF(COUNTIFS('Shade Match'!$C$5:$C$304,B149,'Shade Match'!$Q$5:$Q$304,"Failed")&gt;0,"Failed","Approved")))</f>
        <v/>
      </c>
      <c r="S149" s="19" t="str">
        <f>IF(B149="","",SUMIF('Fabric Inventory'!$C$5:$C$304,B149,'Fabric Inventory'!$H$5:$H$304))</f>
        <v/>
      </c>
      <c r="T149" s="19" t="str">
        <f>IF(B149="","",SUMIF('Fabric Inventory'!$C$5:$C$304,B149,'Fabric Inventory'!$K$5:$K$304))</f>
        <v/>
      </c>
      <c r="U149" s="19" t="str">
        <f>IF(B149="","",SUMIF('Fabric Inventory'!$C$5:$C$304,B149,'Fabric Inventory'!$L$5:$L$304))</f>
        <v/>
      </c>
      <c r="V149" s="19" t="str">
        <f>IF(B149="","",SUMIF('Fabric Inventory'!$C$5:$C$304,B149,'Fabric Inventory'!$N$5:$N$304))</f>
        <v/>
      </c>
      <c r="W149" s="19" t="str">
        <f>IF(B149="","",SUMIF('Fabric Inventory'!$C$5:$C$304,B149,'Fabric Inventory'!$O$5:$O$304))</f>
        <v/>
      </c>
    </row>
    <row r="150" spans="1:23">
      <c r="A150" s="7" t="str">
        <f>IF('FGPO Master'!A144="","",'FGPO Master'!E144)</f>
        <v/>
      </c>
      <c r="B150" s="7" t="str">
        <f>IF('FGPO Master'!A144="","",IF('FGPO Master'!D144="FGPO Pending","FGPO Pending",'FGPO Master'!B144))</f>
        <v/>
      </c>
      <c r="C150" s="7" t="str">
        <f>IF('FGPO Master'!A144="","",'FGPO Master'!D144)</f>
        <v/>
      </c>
      <c r="D150" s="7" t="str">
        <f>IF('FGPO Master'!A144="","",'FGPO Master'!F144)</f>
        <v/>
      </c>
      <c r="E150" s="7" t="str">
        <f>IF('FGPO Master'!A144="","",'FGPO Master'!G144)</f>
        <v/>
      </c>
      <c r="F150" s="19" t="str">
        <f>IF('FGPO Master'!A144="","",'FGPO Master'!H144)</f>
        <v/>
      </c>
      <c r="G150" s="19" t="str">
        <f>IF('FGPO Master'!A144="","",'FGPO Master'!M144)</f>
        <v/>
      </c>
      <c r="H150" s="19" t="str">
        <f>IF(B150="","",SUMIF('Fabric Requirement'!$B$5:$B$304,B150,'Fabric Requirement'!$M$5:$M$304)+SUMIF('Fabric Requirement'!$B$5:$B$304,B150,'Fabric Requirement'!$O$5:$O$304))</f>
        <v/>
      </c>
      <c r="I150" s="19" t="str">
        <f>IF(B150="","",SUMIF('Fabric PO'!$B$5:$B$304,B150,'Fabric PO'!$H$5:$H$304))</f>
        <v/>
      </c>
      <c r="J150" s="19" t="str">
        <f>IF(B150="","",SUMIF('Mill Production'!$C$5:$C$304,B150,'Mill Production'!$I$5:$I$304))</f>
        <v/>
      </c>
      <c r="K150" s="7" t="str">
        <f>IF(B150="","",IF(COUNTIF('Mill Test'!$C$5:$C$304,B150)=0,"Pending",IF(COUNTIFS('Mill Test'!$C$5:$C$304,B150,'Mill Test'!$T$5:$T$304,"Failed")&gt;0,"Failed","Passed")))</f>
        <v/>
      </c>
      <c r="L150" s="19" t="str">
        <f>IF(B150="","",SUMIF('Fabric Shipment'!$C$5:$C$304,B150,'Fabric Shipment'!$G$5:$G$304))</f>
        <v/>
      </c>
      <c r="M150" s="19" t="str">
        <f>IF(B150="","",SUMIF('Fabric Shipment'!$C$5:$C$304,B150,'Fabric Shipment'!$R$5:$R$304))</f>
        <v/>
      </c>
      <c r="N150" s="19" t="str">
        <f>IF(B150="","",SUMIF('Fabric Receiving'!$E$5:$E$304,B150,'Fabric Receiving'!$H$5:$H$304))</f>
        <v/>
      </c>
      <c r="O150" s="19" t="str">
        <f>IF(B150="","",SUMIF('Fabric Receiving'!$E$5:$E$304,B150,'Fabric Receiving'!$I$5:$I$304))</f>
        <v/>
      </c>
      <c r="P150" s="7" t="str">
        <f>IF(B150="","",IF(COUNTIF('Four-Point'!$E$5:$E$304,B150)=0,"Pending",IF(COUNTIFS('Four-Point'!$E$5:$E$304,B150,'Four-Point'!$T$5:$T$304,"Failed")&gt;0,"Failed","Passed")))</f>
        <v/>
      </c>
      <c r="Q150" s="7" t="str">
        <f>IF(B150="","",IF(COUNTIF('Internal Test'!$D$5:$D$304,B150)=0,"Pending",IF(COUNTIFS('Internal Test'!$D$5:$D$304,B150,'Internal Test'!$AA$5:$AA$304,"Failed")&gt;0,"Failed","Passed")))</f>
        <v/>
      </c>
      <c r="R150" s="7" t="str">
        <f>IF(B150="","",IF(COUNTIF('Shade Match'!$C$5:$C$304,B150)=0,"Pending",IF(COUNTIFS('Shade Match'!$C$5:$C$304,B150,'Shade Match'!$Q$5:$Q$304,"Failed")&gt;0,"Failed","Approved")))</f>
        <v/>
      </c>
      <c r="S150" s="19" t="str">
        <f>IF(B150="","",SUMIF('Fabric Inventory'!$C$5:$C$304,B150,'Fabric Inventory'!$H$5:$H$304))</f>
        <v/>
      </c>
      <c r="T150" s="19" t="str">
        <f>IF(B150="","",SUMIF('Fabric Inventory'!$C$5:$C$304,B150,'Fabric Inventory'!$K$5:$K$304))</f>
        <v/>
      </c>
      <c r="U150" s="19" t="str">
        <f>IF(B150="","",SUMIF('Fabric Inventory'!$C$5:$C$304,B150,'Fabric Inventory'!$L$5:$L$304))</f>
        <v/>
      </c>
      <c r="V150" s="19" t="str">
        <f>IF(B150="","",SUMIF('Fabric Inventory'!$C$5:$C$304,B150,'Fabric Inventory'!$N$5:$N$304))</f>
        <v/>
      </c>
      <c r="W150" s="19" t="str">
        <f>IF(B150="","",SUMIF('Fabric Inventory'!$C$5:$C$304,B150,'Fabric Inventory'!$O$5:$O$304))</f>
        <v/>
      </c>
    </row>
    <row r="151" spans="1:23">
      <c r="A151" s="7" t="str">
        <f>IF('FGPO Master'!A145="","",'FGPO Master'!E145)</f>
        <v/>
      </c>
      <c r="B151" s="7" t="str">
        <f>IF('FGPO Master'!A145="","",IF('FGPO Master'!D145="FGPO Pending","FGPO Pending",'FGPO Master'!B145))</f>
        <v/>
      </c>
      <c r="C151" s="7" t="str">
        <f>IF('FGPO Master'!A145="","",'FGPO Master'!D145)</f>
        <v/>
      </c>
      <c r="D151" s="7" t="str">
        <f>IF('FGPO Master'!A145="","",'FGPO Master'!F145)</f>
        <v/>
      </c>
      <c r="E151" s="7" t="str">
        <f>IF('FGPO Master'!A145="","",'FGPO Master'!G145)</f>
        <v/>
      </c>
      <c r="F151" s="19" t="str">
        <f>IF('FGPO Master'!A145="","",'FGPO Master'!H145)</f>
        <v/>
      </c>
      <c r="G151" s="19" t="str">
        <f>IF('FGPO Master'!A145="","",'FGPO Master'!M145)</f>
        <v/>
      </c>
      <c r="H151" s="19" t="str">
        <f>IF(B151="","",SUMIF('Fabric Requirement'!$B$5:$B$304,B151,'Fabric Requirement'!$M$5:$M$304)+SUMIF('Fabric Requirement'!$B$5:$B$304,B151,'Fabric Requirement'!$O$5:$O$304))</f>
        <v/>
      </c>
      <c r="I151" s="19" t="str">
        <f>IF(B151="","",SUMIF('Fabric PO'!$B$5:$B$304,B151,'Fabric PO'!$H$5:$H$304))</f>
        <v/>
      </c>
      <c r="J151" s="19" t="str">
        <f>IF(B151="","",SUMIF('Mill Production'!$C$5:$C$304,B151,'Mill Production'!$I$5:$I$304))</f>
        <v/>
      </c>
      <c r="K151" s="7" t="str">
        <f>IF(B151="","",IF(COUNTIF('Mill Test'!$C$5:$C$304,B151)=0,"Pending",IF(COUNTIFS('Mill Test'!$C$5:$C$304,B151,'Mill Test'!$T$5:$T$304,"Failed")&gt;0,"Failed","Passed")))</f>
        <v/>
      </c>
      <c r="L151" s="19" t="str">
        <f>IF(B151="","",SUMIF('Fabric Shipment'!$C$5:$C$304,B151,'Fabric Shipment'!$G$5:$G$304))</f>
        <v/>
      </c>
      <c r="M151" s="19" t="str">
        <f>IF(B151="","",SUMIF('Fabric Shipment'!$C$5:$C$304,B151,'Fabric Shipment'!$R$5:$R$304))</f>
        <v/>
      </c>
      <c r="N151" s="19" t="str">
        <f>IF(B151="","",SUMIF('Fabric Receiving'!$E$5:$E$304,B151,'Fabric Receiving'!$H$5:$H$304))</f>
        <v/>
      </c>
      <c r="O151" s="19" t="str">
        <f>IF(B151="","",SUMIF('Fabric Receiving'!$E$5:$E$304,B151,'Fabric Receiving'!$I$5:$I$304))</f>
        <v/>
      </c>
      <c r="P151" s="7" t="str">
        <f>IF(B151="","",IF(COUNTIF('Four-Point'!$E$5:$E$304,B151)=0,"Pending",IF(COUNTIFS('Four-Point'!$E$5:$E$304,B151,'Four-Point'!$T$5:$T$304,"Failed")&gt;0,"Failed","Passed")))</f>
        <v/>
      </c>
      <c r="Q151" s="7" t="str">
        <f>IF(B151="","",IF(COUNTIF('Internal Test'!$D$5:$D$304,B151)=0,"Pending",IF(COUNTIFS('Internal Test'!$D$5:$D$304,B151,'Internal Test'!$AA$5:$AA$304,"Failed")&gt;0,"Failed","Passed")))</f>
        <v/>
      </c>
      <c r="R151" s="7" t="str">
        <f>IF(B151="","",IF(COUNTIF('Shade Match'!$C$5:$C$304,B151)=0,"Pending",IF(COUNTIFS('Shade Match'!$C$5:$C$304,B151,'Shade Match'!$Q$5:$Q$304,"Failed")&gt;0,"Failed","Approved")))</f>
        <v/>
      </c>
      <c r="S151" s="19" t="str">
        <f>IF(B151="","",SUMIF('Fabric Inventory'!$C$5:$C$304,B151,'Fabric Inventory'!$H$5:$H$304))</f>
        <v/>
      </c>
      <c r="T151" s="19" t="str">
        <f>IF(B151="","",SUMIF('Fabric Inventory'!$C$5:$C$304,B151,'Fabric Inventory'!$K$5:$K$304))</f>
        <v/>
      </c>
      <c r="U151" s="19" t="str">
        <f>IF(B151="","",SUMIF('Fabric Inventory'!$C$5:$C$304,B151,'Fabric Inventory'!$L$5:$L$304))</f>
        <v/>
      </c>
      <c r="V151" s="19" t="str">
        <f>IF(B151="","",SUMIF('Fabric Inventory'!$C$5:$C$304,B151,'Fabric Inventory'!$N$5:$N$304))</f>
        <v/>
      </c>
      <c r="W151" s="19" t="str">
        <f>IF(B151="","",SUMIF('Fabric Inventory'!$C$5:$C$304,B151,'Fabric Inventory'!$O$5:$O$304))</f>
        <v/>
      </c>
    </row>
    <row r="152" spans="1:23">
      <c r="A152" s="7" t="str">
        <f>IF('FGPO Master'!A146="","",'FGPO Master'!E146)</f>
        <v/>
      </c>
      <c r="B152" s="7" t="str">
        <f>IF('FGPO Master'!A146="","",IF('FGPO Master'!D146="FGPO Pending","FGPO Pending",'FGPO Master'!B146))</f>
        <v/>
      </c>
      <c r="C152" s="7" t="str">
        <f>IF('FGPO Master'!A146="","",'FGPO Master'!D146)</f>
        <v/>
      </c>
      <c r="D152" s="7" t="str">
        <f>IF('FGPO Master'!A146="","",'FGPO Master'!F146)</f>
        <v/>
      </c>
      <c r="E152" s="7" t="str">
        <f>IF('FGPO Master'!A146="","",'FGPO Master'!G146)</f>
        <v/>
      </c>
      <c r="F152" s="19" t="str">
        <f>IF('FGPO Master'!A146="","",'FGPO Master'!H146)</f>
        <v/>
      </c>
      <c r="G152" s="19" t="str">
        <f>IF('FGPO Master'!A146="","",'FGPO Master'!M146)</f>
        <v/>
      </c>
      <c r="H152" s="19" t="str">
        <f>IF(B152="","",SUMIF('Fabric Requirement'!$B$5:$B$304,B152,'Fabric Requirement'!$M$5:$M$304)+SUMIF('Fabric Requirement'!$B$5:$B$304,B152,'Fabric Requirement'!$O$5:$O$304))</f>
        <v/>
      </c>
      <c r="I152" s="19" t="str">
        <f>IF(B152="","",SUMIF('Fabric PO'!$B$5:$B$304,B152,'Fabric PO'!$H$5:$H$304))</f>
        <v/>
      </c>
      <c r="J152" s="19" t="str">
        <f>IF(B152="","",SUMIF('Mill Production'!$C$5:$C$304,B152,'Mill Production'!$I$5:$I$304))</f>
        <v/>
      </c>
      <c r="K152" s="7" t="str">
        <f>IF(B152="","",IF(COUNTIF('Mill Test'!$C$5:$C$304,B152)=0,"Pending",IF(COUNTIFS('Mill Test'!$C$5:$C$304,B152,'Mill Test'!$T$5:$T$304,"Failed")&gt;0,"Failed","Passed")))</f>
        <v/>
      </c>
      <c r="L152" s="19" t="str">
        <f>IF(B152="","",SUMIF('Fabric Shipment'!$C$5:$C$304,B152,'Fabric Shipment'!$G$5:$G$304))</f>
        <v/>
      </c>
      <c r="M152" s="19" t="str">
        <f>IF(B152="","",SUMIF('Fabric Shipment'!$C$5:$C$304,B152,'Fabric Shipment'!$R$5:$R$304))</f>
        <v/>
      </c>
      <c r="N152" s="19" t="str">
        <f>IF(B152="","",SUMIF('Fabric Receiving'!$E$5:$E$304,B152,'Fabric Receiving'!$H$5:$H$304))</f>
        <v/>
      </c>
      <c r="O152" s="19" t="str">
        <f>IF(B152="","",SUMIF('Fabric Receiving'!$E$5:$E$304,B152,'Fabric Receiving'!$I$5:$I$304))</f>
        <v/>
      </c>
      <c r="P152" s="7" t="str">
        <f>IF(B152="","",IF(COUNTIF('Four-Point'!$E$5:$E$304,B152)=0,"Pending",IF(COUNTIFS('Four-Point'!$E$5:$E$304,B152,'Four-Point'!$T$5:$T$304,"Failed")&gt;0,"Failed","Passed")))</f>
        <v/>
      </c>
      <c r="Q152" s="7" t="str">
        <f>IF(B152="","",IF(COUNTIF('Internal Test'!$D$5:$D$304,B152)=0,"Pending",IF(COUNTIFS('Internal Test'!$D$5:$D$304,B152,'Internal Test'!$AA$5:$AA$304,"Failed")&gt;0,"Failed","Passed")))</f>
        <v/>
      </c>
      <c r="R152" s="7" t="str">
        <f>IF(B152="","",IF(COUNTIF('Shade Match'!$C$5:$C$304,B152)=0,"Pending",IF(COUNTIFS('Shade Match'!$C$5:$C$304,B152,'Shade Match'!$Q$5:$Q$304,"Failed")&gt;0,"Failed","Approved")))</f>
        <v/>
      </c>
      <c r="S152" s="19" t="str">
        <f>IF(B152="","",SUMIF('Fabric Inventory'!$C$5:$C$304,B152,'Fabric Inventory'!$H$5:$H$304))</f>
        <v/>
      </c>
      <c r="T152" s="19" t="str">
        <f>IF(B152="","",SUMIF('Fabric Inventory'!$C$5:$C$304,B152,'Fabric Inventory'!$K$5:$K$304))</f>
        <v/>
      </c>
      <c r="U152" s="19" t="str">
        <f>IF(B152="","",SUMIF('Fabric Inventory'!$C$5:$C$304,B152,'Fabric Inventory'!$L$5:$L$304))</f>
        <v/>
      </c>
      <c r="V152" s="19" t="str">
        <f>IF(B152="","",SUMIF('Fabric Inventory'!$C$5:$C$304,B152,'Fabric Inventory'!$N$5:$N$304))</f>
        <v/>
      </c>
      <c r="W152" s="19" t="str">
        <f>IF(B152="","",SUMIF('Fabric Inventory'!$C$5:$C$304,B152,'Fabric Inventory'!$O$5:$O$304))</f>
        <v/>
      </c>
    </row>
    <row r="153" spans="1:23">
      <c r="A153" s="7" t="str">
        <f>IF('FGPO Master'!A147="","",'FGPO Master'!E147)</f>
        <v/>
      </c>
      <c r="B153" s="7" t="str">
        <f>IF('FGPO Master'!A147="","",IF('FGPO Master'!D147="FGPO Pending","FGPO Pending",'FGPO Master'!B147))</f>
        <v/>
      </c>
      <c r="C153" s="7" t="str">
        <f>IF('FGPO Master'!A147="","",'FGPO Master'!D147)</f>
        <v/>
      </c>
      <c r="D153" s="7" t="str">
        <f>IF('FGPO Master'!A147="","",'FGPO Master'!F147)</f>
        <v/>
      </c>
      <c r="E153" s="7" t="str">
        <f>IF('FGPO Master'!A147="","",'FGPO Master'!G147)</f>
        <v/>
      </c>
      <c r="F153" s="19" t="str">
        <f>IF('FGPO Master'!A147="","",'FGPO Master'!H147)</f>
        <v/>
      </c>
      <c r="G153" s="19" t="str">
        <f>IF('FGPO Master'!A147="","",'FGPO Master'!M147)</f>
        <v/>
      </c>
      <c r="H153" s="19" t="str">
        <f>IF(B153="","",SUMIF('Fabric Requirement'!$B$5:$B$304,B153,'Fabric Requirement'!$M$5:$M$304)+SUMIF('Fabric Requirement'!$B$5:$B$304,B153,'Fabric Requirement'!$O$5:$O$304))</f>
        <v/>
      </c>
      <c r="I153" s="19" t="str">
        <f>IF(B153="","",SUMIF('Fabric PO'!$B$5:$B$304,B153,'Fabric PO'!$H$5:$H$304))</f>
        <v/>
      </c>
      <c r="J153" s="19" t="str">
        <f>IF(B153="","",SUMIF('Mill Production'!$C$5:$C$304,B153,'Mill Production'!$I$5:$I$304))</f>
        <v/>
      </c>
      <c r="K153" s="7" t="str">
        <f>IF(B153="","",IF(COUNTIF('Mill Test'!$C$5:$C$304,B153)=0,"Pending",IF(COUNTIFS('Mill Test'!$C$5:$C$304,B153,'Mill Test'!$T$5:$T$304,"Failed")&gt;0,"Failed","Passed")))</f>
        <v/>
      </c>
      <c r="L153" s="19" t="str">
        <f>IF(B153="","",SUMIF('Fabric Shipment'!$C$5:$C$304,B153,'Fabric Shipment'!$G$5:$G$304))</f>
        <v/>
      </c>
      <c r="M153" s="19" t="str">
        <f>IF(B153="","",SUMIF('Fabric Shipment'!$C$5:$C$304,B153,'Fabric Shipment'!$R$5:$R$304))</f>
        <v/>
      </c>
      <c r="N153" s="19" t="str">
        <f>IF(B153="","",SUMIF('Fabric Receiving'!$E$5:$E$304,B153,'Fabric Receiving'!$H$5:$H$304))</f>
        <v/>
      </c>
      <c r="O153" s="19" t="str">
        <f>IF(B153="","",SUMIF('Fabric Receiving'!$E$5:$E$304,B153,'Fabric Receiving'!$I$5:$I$304))</f>
        <v/>
      </c>
      <c r="P153" s="7" t="str">
        <f>IF(B153="","",IF(COUNTIF('Four-Point'!$E$5:$E$304,B153)=0,"Pending",IF(COUNTIFS('Four-Point'!$E$5:$E$304,B153,'Four-Point'!$T$5:$T$304,"Failed")&gt;0,"Failed","Passed")))</f>
        <v/>
      </c>
      <c r="Q153" s="7" t="str">
        <f>IF(B153="","",IF(COUNTIF('Internal Test'!$D$5:$D$304,B153)=0,"Pending",IF(COUNTIFS('Internal Test'!$D$5:$D$304,B153,'Internal Test'!$AA$5:$AA$304,"Failed")&gt;0,"Failed","Passed")))</f>
        <v/>
      </c>
      <c r="R153" s="7" t="str">
        <f>IF(B153="","",IF(COUNTIF('Shade Match'!$C$5:$C$304,B153)=0,"Pending",IF(COUNTIFS('Shade Match'!$C$5:$C$304,B153,'Shade Match'!$Q$5:$Q$304,"Failed")&gt;0,"Failed","Approved")))</f>
        <v/>
      </c>
      <c r="S153" s="19" t="str">
        <f>IF(B153="","",SUMIF('Fabric Inventory'!$C$5:$C$304,B153,'Fabric Inventory'!$H$5:$H$304))</f>
        <v/>
      </c>
      <c r="T153" s="19" t="str">
        <f>IF(B153="","",SUMIF('Fabric Inventory'!$C$5:$C$304,B153,'Fabric Inventory'!$K$5:$K$304))</f>
        <v/>
      </c>
      <c r="U153" s="19" t="str">
        <f>IF(B153="","",SUMIF('Fabric Inventory'!$C$5:$C$304,B153,'Fabric Inventory'!$L$5:$L$304))</f>
        <v/>
      </c>
      <c r="V153" s="19" t="str">
        <f>IF(B153="","",SUMIF('Fabric Inventory'!$C$5:$C$304,B153,'Fabric Inventory'!$N$5:$N$304))</f>
        <v/>
      </c>
      <c r="W153" s="19" t="str">
        <f>IF(B153="","",SUMIF('Fabric Inventory'!$C$5:$C$304,B153,'Fabric Inventory'!$O$5:$O$304))</f>
        <v/>
      </c>
    </row>
    <row r="154" spans="1:23">
      <c r="A154" s="7" t="str">
        <f>IF('FGPO Master'!A148="","",'FGPO Master'!E148)</f>
        <v/>
      </c>
      <c r="B154" s="7" t="str">
        <f>IF('FGPO Master'!A148="","",IF('FGPO Master'!D148="FGPO Pending","FGPO Pending",'FGPO Master'!B148))</f>
        <v/>
      </c>
      <c r="C154" s="7" t="str">
        <f>IF('FGPO Master'!A148="","",'FGPO Master'!D148)</f>
        <v/>
      </c>
      <c r="D154" s="7" t="str">
        <f>IF('FGPO Master'!A148="","",'FGPO Master'!F148)</f>
        <v/>
      </c>
      <c r="E154" s="7" t="str">
        <f>IF('FGPO Master'!A148="","",'FGPO Master'!G148)</f>
        <v/>
      </c>
      <c r="F154" s="19" t="str">
        <f>IF('FGPO Master'!A148="","",'FGPO Master'!H148)</f>
        <v/>
      </c>
      <c r="G154" s="19" t="str">
        <f>IF('FGPO Master'!A148="","",'FGPO Master'!M148)</f>
        <v/>
      </c>
      <c r="H154" s="19" t="str">
        <f>IF(B154="","",SUMIF('Fabric Requirement'!$B$5:$B$304,B154,'Fabric Requirement'!$M$5:$M$304)+SUMIF('Fabric Requirement'!$B$5:$B$304,B154,'Fabric Requirement'!$O$5:$O$304))</f>
        <v/>
      </c>
      <c r="I154" s="19" t="str">
        <f>IF(B154="","",SUMIF('Fabric PO'!$B$5:$B$304,B154,'Fabric PO'!$H$5:$H$304))</f>
        <v/>
      </c>
      <c r="J154" s="19" t="str">
        <f>IF(B154="","",SUMIF('Mill Production'!$C$5:$C$304,B154,'Mill Production'!$I$5:$I$304))</f>
        <v/>
      </c>
      <c r="K154" s="7" t="str">
        <f>IF(B154="","",IF(COUNTIF('Mill Test'!$C$5:$C$304,B154)=0,"Pending",IF(COUNTIFS('Mill Test'!$C$5:$C$304,B154,'Mill Test'!$T$5:$T$304,"Failed")&gt;0,"Failed","Passed")))</f>
        <v/>
      </c>
      <c r="L154" s="19" t="str">
        <f>IF(B154="","",SUMIF('Fabric Shipment'!$C$5:$C$304,B154,'Fabric Shipment'!$G$5:$G$304))</f>
        <v/>
      </c>
      <c r="M154" s="19" t="str">
        <f>IF(B154="","",SUMIF('Fabric Shipment'!$C$5:$C$304,B154,'Fabric Shipment'!$R$5:$R$304))</f>
        <v/>
      </c>
      <c r="N154" s="19" t="str">
        <f>IF(B154="","",SUMIF('Fabric Receiving'!$E$5:$E$304,B154,'Fabric Receiving'!$H$5:$H$304))</f>
        <v/>
      </c>
      <c r="O154" s="19" t="str">
        <f>IF(B154="","",SUMIF('Fabric Receiving'!$E$5:$E$304,B154,'Fabric Receiving'!$I$5:$I$304))</f>
        <v/>
      </c>
      <c r="P154" s="7" t="str">
        <f>IF(B154="","",IF(COUNTIF('Four-Point'!$E$5:$E$304,B154)=0,"Pending",IF(COUNTIFS('Four-Point'!$E$5:$E$304,B154,'Four-Point'!$T$5:$T$304,"Failed")&gt;0,"Failed","Passed")))</f>
        <v/>
      </c>
      <c r="Q154" s="7" t="str">
        <f>IF(B154="","",IF(COUNTIF('Internal Test'!$D$5:$D$304,B154)=0,"Pending",IF(COUNTIFS('Internal Test'!$D$5:$D$304,B154,'Internal Test'!$AA$5:$AA$304,"Failed")&gt;0,"Failed","Passed")))</f>
        <v/>
      </c>
      <c r="R154" s="7" t="str">
        <f>IF(B154="","",IF(COUNTIF('Shade Match'!$C$5:$C$304,B154)=0,"Pending",IF(COUNTIFS('Shade Match'!$C$5:$C$304,B154,'Shade Match'!$Q$5:$Q$304,"Failed")&gt;0,"Failed","Approved")))</f>
        <v/>
      </c>
      <c r="S154" s="19" t="str">
        <f>IF(B154="","",SUMIF('Fabric Inventory'!$C$5:$C$304,B154,'Fabric Inventory'!$H$5:$H$304))</f>
        <v/>
      </c>
      <c r="T154" s="19" t="str">
        <f>IF(B154="","",SUMIF('Fabric Inventory'!$C$5:$C$304,B154,'Fabric Inventory'!$K$5:$K$304))</f>
        <v/>
      </c>
      <c r="U154" s="19" t="str">
        <f>IF(B154="","",SUMIF('Fabric Inventory'!$C$5:$C$304,B154,'Fabric Inventory'!$L$5:$L$304))</f>
        <v/>
      </c>
      <c r="V154" s="19" t="str">
        <f>IF(B154="","",SUMIF('Fabric Inventory'!$C$5:$C$304,B154,'Fabric Inventory'!$N$5:$N$304))</f>
        <v/>
      </c>
      <c r="W154" s="19" t="str">
        <f>IF(B154="","",SUMIF('Fabric Inventory'!$C$5:$C$304,B154,'Fabric Inventory'!$O$5:$O$304))</f>
        <v/>
      </c>
    </row>
    <row r="155" spans="1:23">
      <c r="A155" s="7" t="str">
        <f>IF('FGPO Master'!A149="","",'FGPO Master'!E149)</f>
        <v/>
      </c>
      <c r="B155" s="7" t="str">
        <f>IF('FGPO Master'!A149="","",IF('FGPO Master'!D149="FGPO Pending","FGPO Pending",'FGPO Master'!B149))</f>
        <v/>
      </c>
      <c r="C155" s="7" t="str">
        <f>IF('FGPO Master'!A149="","",'FGPO Master'!D149)</f>
        <v/>
      </c>
      <c r="D155" s="7" t="str">
        <f>IF('FGPO Master'!A149="","",'FGPO Master'!F149)</f>
        <v/>
      </c>
      <c r="E155" s="7" t="str">
        <f>IF('FGPO Master'!A149="","",'FGPO Master'!G149)</f>
        <v/>
      </c>
      <c r="F155" s="19" t="str">
        <f>IF('FGPO Master'!A149="","",'FGPO Master'!H149)</f>
        <v/>
      </c>
      <c r="G155" s="19" t="str">
        <f>IF('FGPO Master'!A149="","",'FGPO Master'!M149)</f>
        <v/>
      </c>
      <c r="H155" s="19" t="str">
        <f>IF(B155="","",SUMIF('Fabric Requirement'!$B$5:$B$304,B155,'Fabric Requirement'!$M$5:$M$304)+SUMIF('Fabric Requirement'!$B$5:$B$304,B155,'Fabric Requirement'!$O$5:$O$304))</f>
        <v/>
      </c>
      <c r="I155" s="19" t="str">
        <f>IF(B155="","",SUMIF('Fabric PO'!$B$5:$B$304,B155,'Fabric PO'!$H$5:$H$304))</f>
        <v/>
      </c>
      <c r="J155" s="19" t="str">
        <f>IF(B155="","",SUMIF('Mill Production'!$C$5:$C$304,B155,'Mill Production'!$I$5:$I$304))</f>
        <v/>
      </c>
      <c r="K155" s="7" t="str">
        <f>IF(B155="","",IF(COUNTIF('Mill Test'!$C$5:$C$304,B155)=0,"Pending",IF(COUNTIFS('Mill Test'!$C$5:$C$304,B155,'Mill Test'!$T$5:$T$304,"Failed")&gt;0,"Failed","Passed")))</f>
        <v/>
      </c>
      <c r="L155" s="19" t="str">
        <f>IF(B155="","",SUMIF('Fabric Shipment'!$C$5:$C$304,B155,'Fabric Shipment'!$G$5:$G$304))</f>
        <v/>
      </c>
      <c r="M155" s="19" t="str">
        <f>IF(B155="","",SUMIF('Fabric Shipment'!$C$5:$C$304,B155,'Fabric Shipment'!$R$5:$R$304))</f>
        <v/>
      </c>
      <c r="N155" s="19" t="str">
        <f>IF(B155="","",SUMIF('Fabric Receiving'!$E$5:$E$304,B155,'Fabric Receiving'!$H$5:$H$304))</f>
        <v/>
      </c>
      <c r="O155" s="19" t="str">
        <f>IF(B155="","",SUMIF('Fabric Receiving'!$E$5:$E$304,B155,'Fabric Receiving'!$I$5:$I$304))</f>
        <v/>
      </c>
      <c r="P155" s="7" t="str">
        <f>IF(B155="","",IF(COUNTIF('Four-Point'!$E$5:$E$304,B155)=0,"Pending",IF(COUNTIFS('Four-Point'!$E$5:$E$304,B155,'Four-Point'!$T$5:$T$304,"Failed")&gt;0,"Failed","Passed")))</f>
        <v/>
      </c>
      <c r="Q155" s="7" t="str">
        <f>IF(B155="","",IF(COUNTIF('Internal Test'!$D$5:$D$304,B155)=0,"Pending",IF(COUNTIFS('Internal Test'!$D$5:$D$304,B155,'Internal Test'!$AA$5:$AA$304,"Failed")&gt;0,"Failed","Passed")))</f>
        <v/>
      </c>
      <c r="R155" s="7" t="str">
        <f>IF(B155="","",IF(COUNTIF('Shade Match'!$C$5:$C$304,B155)=0,"Pending",IF(COUNTIFS('Shade Match'!$C$5:$C$304,B155,'Shade Match'!$Q$5:$Q$304,"Failed")&gt;0,"Failed","Approved")))</f>
        <v/>
      </c>
      <c r="S155" s="19" t="str">
        <f>IF(B155="","",SUMIF('Fabric Inventory'!$C$5:$C$304,B155,'Fabric Inventory'!$H$5:$H$304))</f>
        <v/>
      </c>
      <c r="T155" s="19" t="str">
        <f>IF(B155="","",SUMIF('Fabric Inventory'!$C$5:$C$304,B155,'Fabric Inventory'!$K$5:$K$304))</f>
        <v/>
      </c>
      <c r="U155" s="19" t="str">
        <f>IF(B155="","",SUMIF('Fabric Inventory'!$C$5:$C$304,B155,'Fabric Inventory'!$L$5:$L$304))</f>
        <v/>
      </c>
      <c r="V155" s="19" t="str">
        <f>IF(B155="","",SUMIF('Fabric Inventory'!$C$5:$C$304,B155,'Fabric Inventory'!$N$5:$N$304))</f>
        <v/>
      </c>
      <c r="W155" s="19" t="str">
        <f>IF(B155="","",SUMIF('Fabric Inventory'!$C$5:$C$304,B155,'Fabric Inventory'!$O$5:$O$304))</f>
        <v/>
      </c>
    </row>
    <row r="156" spans="1:23">
      <c r="A156" s="7" t="str">
        <f>IF('FGPO Master'!A150="","",'FGPO Master'!E150)</f>
        <v/>
      </c>
      <c r="B156" s="7" t="str">
        <f>IF('FGPO Master'!A150="","",IF('FGPO Master'!D150="FGPO Pending","FGPO Pending",'FGPO Master'!B150))</f>
        <v/>
      </c>
      <c r="C156" s="7" t="str">
        <f>IF('FGPO Master'!A150="","",'FGPO Master'!D150)</f>
        <v/>
      </c>
      <c r="D156" s="7" t="str">
        <f>IF('FGPO Master'!A150="","",'FGPO Master'!F150)</f>
        <v/>
      </c>
      <c r="E156" s="7" t="str">
        <f>IF('FGPO Master'!A150="","",'FGPO Master'!G150)</f>
        <v/>
      </c>
      <c r="F156" s="19" t="str">
        <f>IF('FGPO Master'!A150="","",'FGPO Master'!H150)</f>
        <v/>
      </c>
      <c r="G156" s="19" t="str">
        <f>IF('FGPO Master'!A150="","",'FGPO Master'!M150)</f>
        <v/>
      </c>
      <c r="H156" s="19" t="str">
        <f>IF(B156="","",SUMIF('Fabric Requirement'!$B$5:$B$304,B156,'Fabric Requirement'!$M$5:$M$304)+SUMIF('Fabric Requirement'!$B$5:$B$304,B156,'Fabric Requirement'!$O$5:$O$304))</f>
        <v/>
      </c>
      <c r="I156" s="19" t="str">
        <f>IF(B156="","",SUMIF('Fabric PO'!$B$5:$B$304,B156,'Fabric PO'!$H$5:$H$304))</f>
        <v/>
      </c>
      <c r="J156" s="19" t="str">
        <f>IF(B156="","",SUMIF('Mill Production'!$C$5:$C$304,B156,'Mill Production'!$I$5:$I$304))</f>
        <v/>
      </c>
      <c r="K156" s="7" t="str">
        <f>IF(B156="","",IF(COUNTIF('Mill Test'!$C$5:$C$304,B156)=0,"Pending",IF(COUNTIFS('Mill Test'!$C$5:$C$304,B156,'Mill Test'!$T$5:$T$304,"Failed")&gt;0,"Failed","Passed")))</f>
        <v/>
      </c>
      <c r="L156" s="19" t="str">
        <f>IF(B156="","",SUMIF('Fabric Shipment'!$C$5:$C$304,B156,'Fabric Shipment'!$G$5:$G$304))</f>
        <v/>
      </c>
      <c r="M156" s="19" t="str">
        <f>IF(B156="","",SUMIF('Fabric Shipment'!$C$5:$C$304,B156,'Fabric Shipment'!$R$5:$R$304))</f>
        <v/>
      </c>
      <c r="N156" s="19" t="str">
        <f>IF(B156="","",SUMIF('Fabric Receiving'!$E$5:$E$304,B156,'Fabric Receiving'!$H$5:$H$304))</f>
        <v/>
      </c>
      <c r="O156" s="19" t="str">
        <f>IF(B156="","",SUMIF('Fabric Receiving'!$E$5:$E$304,B156,'Fabric Receiving'!$I$5:$I$304))</f>
        <v/>
      </c>
      <c r="P156" s="7" t="str">
        <f>IF(B156="","",IF(COUNTIF('Four-Point'!$E$5:$E$304,B156)=0,"Pending",IF(COUNTIFS('Four-Point'!$E$5:$E$304,B156,'Four-Point'!$T$5:$T$304,"Failed")&gt;0,"Failed","Passed")))</f>
        <v/>
      </c>
      <c r="Q156" s="7" t="str">
        <f>IF(B156="","",IF(COUNTIF('Internal Test'!$D$5:$D$304,B156)=0,"Pending",IF(COUNTIFS('Internal Test'!$D$5:$D$304,B156,'Internal Test'!$AA$5:$AA$304,"Failed")&gt;0,"Failed","Passed")))</f>
        <v/>
      </c>
      <c r="R156" s="7" t="str">
        <f>IF(B156="","",IF(COUNTIF('Shade Match'!$C$5:$C$304,B156)=0,"Pending",IF(COUNTIFS('Shade Match'!$C$5:$C$304,B156,'Shade Match'!$Q$5:$Q$304,"Failed")&gt;0,"Failed","Approved")))</f>
        <v/>
      </c>
      <c r="S156" s="19" t="str">
        <f>IF(B156="","",SUMIF('Fabric Inventory'!$C$5:$C$304,B156,'Fabric Inventory'!$H$5:$H$304))</f>
        <v/>
      </c>
      <c r="T156" s="19" t="str">
        <f>IF(B156="","",SUMIF('Fabric Inventory'!$C$5:$C$304,B156,'Fabric Inventory'!$K$5:$K$304))</f>
        <v/>
      </c>
      <c r="U156" s="19" t="str">
        <f>IF(B156="","",SUMIF('Fabric Inventory'!$C$5:$C$304,B156,'Fabric Inventory'!$L$5:$L$304))</f>
        <v/>
      </c>
      <c r="V156" s="19" t="str">
        <f>IF(B156="","",SUMIF('Fabric Inventory'!$C$5:$C$304,B156,'Fabric Inventory'!$N$5:$N$304))</f>
        <v/>
      </c>
      <c r="W156" s="19" t="str">
        <f>IF(B156="","",SUMIF('Fabric Inventory'!$C$5:$C$304,B156,'Fabric Inventory'!$O$5:$O$304))</f>
        <v/>
      </c>
    </row>
    <row r="157" spans="1:23">
      <c r="A157" s="7" t="str">
        <f>IF('FGPO Master'!A151="","",'FGPO Master'!E151)</f>
        <v/>
      </c>
      <c r="B157" s="7" t="str">
        <f>IF('FGPO Master'!A151="","",IF('FGPO Master'!D151="FGPO Pending","FGPO Pending",'FGPO Master'!B151))</f>
        <v/>
      </c>
      <c r="C157" s="7" t="str">
        <f>IF('FGPO Master'!A151="","",'FGPO Master'!D151)</f>
        <v/>
      </c>
      <c r="D157" s="7" t="str">
        <f>IF('FGPO Master'!A151="","",'FGPO Master'!F151)</f>
        <v/>
      </c>
      <c r="E157" s="7" t="str">
        <f>IF('FGPO Master'!A151="","",'FGPO Master'!G151)</f>
        <v/>
      </c>
      <c r="F157" s="19" t="str">
        <f>IF('FGPO Master'!A151="","",'FGPO Master'!H151)</f>
        <v/>
      </c>
      <c r="G157" s="19" t="str">
        <f>IF('FGPO Master'!A151="","",'FGPO Master'!M151)</f>
        <v/>
      </c>
      <c r="H157" s="19" t="str">
        <f>IF(B157="","",SUMIF('Fabric Requirement'!$B$5:$B$304,B157,'Fabric Requirement'!$M$5:$M$304)+SUMIF('Fabric Requirement'!$B$5:$B$304,B157,'Fabric Requirement'!$O$5:$O$304))</f>
        <v/>
      </c>
      <c r="I157" s="19" t="str">
        <f>IF(B157="","",SUMIF('Fabric PO'!$B$5:$B$304,B157,'Fabric PO'!$H$5:$H$304))</f>
        <v/>
      </c>
      <c r="J157" s="19" t="str">
        <f>IF(B157="","",SUMIF('Mill Production'!$C$5:$C$304,B157,'Mill Production'!$I$5:$I$304))</f>
        <v/>
      </c>
      <c r="K157" s="7" t="str">
        <f>IF(B157="","",IF(COUNTIF('Mill Test'!$C$5:$C$304,B157)=0,"Pending",IF(COUNTIFS('Mill Test'!$C$5:$C$304,B157,'Mill Test'!$T$5:$T$304,"Failed")&gt;0,"Failed","Passed")))</f>
        <v/>
      </c>
      <c r="L157" s="19" t="str">
        <f>IF(B157="","",SUMIF('Fabric Shipment'!$C$5:$C$304,B157,'Fabric Shipment'!$G$5:$G$304))</f>
        <v/>
      </c>
      <c r="M157" s="19" t="str">
        <f>IF(B157="","",SUMIF('Fabric Shipment'!$C$5:$C$304,B157,'Fabric Shipment'!$R$5:$R$304))</f>
        <v/>
      </c>
      <c r="N157" s="19" t="str">
        <f>IF(B157="","",SUMIF('Fabric Receiving'!$E$5:$E$304,B157,'Fabric Receiving'!$H$5:$H$304))</f>
        <v/>
      </c>
      <c r="O157" s="19" t="str">
        <f>IF(B157="","",SUMIF('Fabric Receiving'!$E$5:$E$304,B157,'Fabric Receiving'!$I$5:$I$304))</f>
        <v/>
      </c>
      <c r="P157" s="7" t="str">
        <f>IF(B157="","",IF(COUNTIF('Four-Point'!$E$5:$E$304,B157)=0,"Pending",IF(COUNTIFS('Four-Point'!$E$5:$E$304,B157,'Four-Point'!$T$5:$T$304,"Failed")&gt;0,"Failed","Passed")))</f>
        <v/>
      </c>
      <c r="Q157" s="7" t="str">
        <f>IF(B157="","",IF(COUNTIF('Internal Test'!$D$5:$D$304,B157)=0,"Pending",IF(COUNTIFS('Internal Test'!$D$5:$D$304,B157,'Internal Test'!$AA$5:$AA$304,"Failed")&gt;0,"Failed","Passed")))</f>
        <v/>
      </c>
      <c r="R157" s="7" t="str">
        <f>IF(B157="","",IF(COUNTIF('Shade Match'!$C$5:$C$304,B157)=0,"Pending",IF(COUNTIFS('Shade Match'!$C$5:$C$304,B157,'Shade Match'!$Q$5:$Q$304,"Failed")&gt;0,"Failed","Approved")))</f>
        <v/>
      </c>
      <c r="S157" s="19" t="str">
        <f>IF(B157="","",SUMIF('Fabric Inventory'!$C$5:$C$304,B157,'Fabric Inventory'!$H$5:$H$304))</f>
        <v/>
      </c>
      <c r="T157" s="19" t="str">
        <f>IF(B157="","",SUMIF('Fabric Inventory'!$C$5:$C$304,B157,'Fabric Inventory'!$K$5:$K$304))</f>
        <v/>
      </c>
      <c r="U157" s="19" t="str">
        <f>IF(B157="","",SUMIF('Fabric Inventory'!$C$5:$C$304,B157,'Fabric Inventory'!$L$5:$L$304))</f>
        <v/>
      </c>
      <c r="V157" s="19" t="str">
        <f>IF(B157="","",SUMIF('Fabric Inventory'!$C$5:$C$304,B157,'Fabric Inventory'!$N$5:$N$304))</f>
        <v/>
      </c>
      <c r="W157" s="19" t="str">
        <f>IF(B157="","",SUMIF('Fabric Inventory'!$C$5:$C$304,B157,'Fabric Inventory'!$O$5:$O$304))</f>
        <v/>
      </c>
    </row>
    <row r="158" spans="1:23">
      <c r="A158" s="7" t="str">
        <f>IF('FGPO Master'!A152="","",'FGPO Master'!E152)</f>
        <v/>
      </c>
      <c r="B158" s="7" t="str">
        <f>IF('FGPO Master'!A152="","",IF('FGPO Master'!D152="FGPO Pending","FGPO Pending",'FGPO Master'!B152))</f>
        <v/>
      </c>
      <c r="C158" s="7" t="str">
        <f>IF('FGPO Master'!A152="","",'FGPO Master'!D152)</f>
        <v/>
      </c>
      <c r="D158" s="7" t="str">
        <f>IF('FGPO Master'!A152="","",'FGPO Master'!F152)</f>
        <v/>
      </c>
      <c r="E158" s="7" t="str">
        <f>IF('FGPO Master'!A152="","",'FGPO Master'!G152)</f>
        <v/>
      </c>
      <c r="F158" s="19" t="str">
        <f>IF('FGPO Master'!A152="","",'FGPO Master'!H152)</f>
        <v/>
      </c>
      <c r="G158" s="19" t="str">
        <f>IF('FGPO Master'!A152="","",'FGPO Master'!M152)</f>
        <v/>
      </c>
      <c r="H158" s="19" t="str">
        <f>IF(B158="","",SUMIF('Fabric Requirement'!$B$5:$B$304,B158,'Fabric Requirement'!$M$5:$M$304)+SUMIF('Fabric Requirement'!$B$5:$B$304,B158,'Fabric Requirement'!$O$5:$O$304))</f>
        <v/>
      </c>
      <c r="I158" s="19" t="str">
        <f>IF(B158="","",SUMIF('Fabric PO'!$B$5:$B$304,B158,'Fabric PO'!$H$5:$H$304))</f>
        <v/>
      </c>
      <c r="J158" s="19" t="str">
        <f>IF(B158="","",SUMIF('Mill Production'!$C$5:$C$304,B158,'Mill Production'!$I$5:$I$304))</f>
        <v/>
      </c>
      <c r="K158" s="7" t="str">
        <f>IF(B158="","",IF(COUNTIF('Mill Test'!$C$5:$C$304,B158)=0,"Pending",IF(COUNTIFS('Mill Test'!$C$5:$C$304,B158,'Mill Test'!$T$5:$T$304,"Failed")&gt;0,"Failed","Passed")))</f>
        <v/>
      </c>
      <c r="L158" s="19" t="str">
        <f>IF(B158="","",SUMIF('Fabric Shipment'!$C$5:$C$304,B158,'Fabric Shipment'!$G$5:$G$304))</f>
        <v/>
      </c>
      <c r="M158" s="19" t="str">
        <f>IF(B158="","",SUMIF('Fabric Shipment'!$C$5:$C$304,B158,'Fabric Shipment'!$R$5:$R$304))</f>
        <v/>
      </c>
      <c r="N158" s="19" t="str">
        <f>IF(B158="","",SUMIF('Fabric Receiving'!$E$5:$E$304,B158,'Fabric Receiving'!$H$5:$H$304))</f>
        <v/>
      </c>
      <c r="O158" s="19" t="str">
        <f>IF(B158="","",SUMIF('Fabric Receiving'!$E$5:$E$304,B158,'Fabric Receiving'!$I$5:$I$304))</f>
        <v/>
      </c>
      <c r="P158" s="7" t="str">
        <f>IF(B158="","",IF(COUNTIF('Four-Point'!$E$5:$E$304,B158)=0,"Pending",IF(COUNTIFS('Four-Point'!$E$5:$E$304,B158,'Four-Point'!$T$5:$T$304,"Failed")&gt;0,"Failed","Passed")))</f>
        <v/>
      </c>
      <c r="Q158" s="7" t="str">
        <f>IF(B158="","",IF(COUNTIF('Internal Test'!$D$5:$D$304,B158)=0,"Pending",IF(COUNTIFS('Internal Test'!$D$5:$D$304,B158,'Internal Test'!$AA$5:$AA$304,"Failed")&gt;0,"Failed","Passed")))</f>
        <v/>
      </c>
      <c r="R158" s="7" t="str">
        <f>IF(B158="","",IF(COUNTIF('Shade Match'!$C$5:$C$304,B158)=0,"Pending",IF(COUNTIFS('Shade Match'!$C$5:$C$304,B158,'Shade Match'!$Q$5:$Q$304,"Failed")&gt;0,"Failed","Approved")))</f>
        <v/>
      </c>
      <c r="S158" s="19" t="str">
        <f>IF(B158="","",SUMIF('Fabric Inventory'!$C$5:$C$304,B158,'Fabric Inventory'!$H$5:$H$304))</f>
        <v/>
      </c>
      <c r="T158" s="19" t="str">
        <f>IF(B158="","",SUMIF('Fabric Inventory'!$C$5:$C$304,B158,'Fabric Inventory'!$K$5:$K$304))</f>
        <v/>
      </c>
      <c r="U158" s="19" t="str">
        <f>IF(B158="","",SUMIF('Fabric Inventory'!$C$5:$C$304,B158,'Fabric Inventory'!$L$5:$L$304))</f>
        <v/>
      </c>
      <c r="V158" s="19" t="str">
        <f>IF(B158="","",SUMIF('Fabric Inventory'!$C$5:$C$304,B158,'Fabric Inventory'!$N$5:$N$304))</f>
        <v/>
      </c>
      <c r="W158" s="19" t="str">
        <f>IF(B158="","",SUMIF('Fabric Inventory'!$C$5:$C$304,B158,'Fabric Inventory'!$O$5:$O$304))</f>
        <v/>
      </c>
    </row>
    <row r="159" spans="1:23">
      <c r="A159" s="7" t="str">
        <f>IF('FGPO Master'!A153="","",'FGPO Master'!E153)</f>
        <v/>
      </c>
      <c r="B159" s="7" t="str">
        <f>IF('FGPO Master'!A153="","",IF('FGPO Master'!D153="FGPO Pending","FGPO Pending",'FGPO Master'!B153))</f>
        <v/>
      </c>
      <c r="C159" s="7" t="str">
        <f>IF('FGPO Master'!A153="","",'FGPO Master'!D153)</f>
        <v/>
      </c>
      <c r="D159" s="7" t="str">
        <f>IF('FGPO Master'!A153="","",'FGPO Master'!F153)</f>
        <v/>
      </c>
      <c r="E159" s="7" t="str">
        <f>IF('FGPO Master'!A153="","",'FGPO Master'!G153)</f>
        <v/>
      </c>
      <c r="F159" s="19" t="str">
        <f>IF('FGPO Master'!A153="","",'FGPO Master'!H153)</f>
        <v/>
      </c>
      <c r="G159" s="19" t="str">
        <f>IF('FGPO Master'!A153="","",'FGPO Master'!M153)</f>
        <v/>
      </c>
      <c r="H159" s="19" t="str">
        <f>IF(B159="","",SUMIF('Fabric Requirement'!$B$5:$B$304,B159,'Fabric Requirement'!$M$5:$M$304)+SUMIF('Fabric Requirement'!$B$5:$B$304,B159,'Fabric Requirement'!$O$5:$O$304))</f>
        <v/>
      </c>
      <c r="I159" s="19" t="str">
        <f>IF(B159="","",SUMIF('Fabric PO'!$B$5:$B$304,B159,'Fabric PO'!$H$5:$H$304))</f>
        <v/>
      </c>
      <c r="J159" s="19" t="str">
        <f>IF(B159="","",SUMIF('Mill Production'!$C$5:$C$304,B159,'Mill Production'!$I$5:$I$304))</f>
        <v/>
      </c>
      <c r="K159" s="7" t="str">
        <f>IF(B159="","",IF(COUNTIF('Mill Test'!$C$5:$C$304,B159)=0,"Pending",IF(COUNTIFS('Mill Test'!$C$5:$C$304,B159,'Mill Test'!$T$5:$T$304,"Failed")&gt;0,"Failed","Passed")))</f>
        <v/>
      </c>
      <c r="L159" s="19" t="str">
        <f>IF(B159="","",SUMIF('Fabric Shipment'!$C$5:$C$304,B159,'Fabric Shipment'!$G$5:$G$304))</f>
        <v/>
      </c>
      <c r="M159" s="19" t="str">
        <f>IF(B159="","",SUMIF('Fabric Shipment'!$C$5:$C$304,B159,'Fabric Shipment'!$R$5:$R$304))</f>
        <v/>
      </c>
      <c r="N159" s="19" t="str">
        <f>IF(B159="","",SUMIF('Fabric Receiving'!$E$5:$E$304,B159,'Fabric Receiving'!$H$5:$H$304))</f>
        <v/>
      </c>
      <c r="O159" s="19" t="str">
        <f>IF(B159="","",SUMIF('Fabric Receiving'!$E$5:$E$304,B159,'Fabric Receiving'!$I$5:$I$304))</f>
        <v/>
      </c>
      <c r="P159" s="7" t="str">
        <f>IF(B159="","",IF(COUNTIF('Four-Point'!$E$5:$E$304,B159)=0,"Pending",IF(COUNTIFS('Four-Point'!$E$5:$E$304,B159,'Four-Point'!$T$5:$T$304,"Failed")&gt;0,"Failed","Passed")))</f>
        <v/>
      </c>
      <c r="Q159" s="7" t="str">
        <f>IF(B159="","",IF(COUNTIF('Internal Test'!$D$5:$D$304,B159)=0,"Pending",IF(COUNTIFS('Internal Test'!$D$5:$D$304,B159,'Internal Test'!$AA$5:$AA$304,"Failed")&gt;0,"Failed","Passed")))</f>
        <v/>
      </c>
      <c r="R159" s="7" t="str">
        <f>IF(B159="","",IF(COUNTIF('Shade Match'!$C$5:$C$304,B159)=0,"Pending",IF(COUNTIFS('Shade Match'!$C$5:$C$304,B159,'Shade Match'!$Q$5:$Q$304,"Failed")&gt;0,"Failed","Approved")))</f>
        <v/>
      </c>
      <c r="S159" s="19" t="str">
        <f>IF(B159="","",SUMIF('Fabric Inventory'!$C$5:$C$304,B159,'Fabric Inventory'!$H$5:$H$304))</f>
        <v/>
      </c>
      <c r="T159" s="19" t="str">
        <f>IF(B159="","",SUMIF('Fabric Inventory'!$C$5:$C$304,B159,'Fabric Inventory'!$K$5:$K$304))</f>
        <v/>
      </c>
      <c r="U159" s="19" t="str">
        <f>IF(B159="","",SUMIF('Fabric Inventory'!$C$5:$C$304,B159,'Fabric Inventory'!$L$5:$L$304))</f>
        <v/>
      </c>
      <c r="V159" s="19" t="str">
        <f>IF(B159="","",SUMIF('Fabric Inventory'!$C$5:$C$304,B159,'Fabric Inventory'!$N$5:$N$304))</f>
        <v/>
      </c>
      <c r="W159" s="19" t="str">
        <f>IF(B159="","",SUMIF('Fabric Inventory'!$C$5:$C$304,B159,'Fabric Inventory'!$O$5:$O$304))</f>
        <v/>
      </c>
    </row>
    <row r="160" spans="1:23">
      <c r="A160" s="7" t="str">
        <f>IF('FGPO Master'!A154="","",'FGPO Master'!E154)</f>
        <v/>
      </c>
      <c r="B160" s="7" t="str">
        <f>IF('FGPO Master'!A154="","",IF('FGPO Master'!D154="FGPO Pending","FGPO Pending",'FGPO Master'!B154))</f>
        <v/>
      </c>
      <c r="C160" s="7" t="str">
        <f>IF('FGPO Master'!A154="","",'FGPO Master'!D154)</f>
        <v/>
      </c>
      <c r="D160" s="7" t="str">
        <f>IF('FGPO Master'!A154="","",'FGPO Master'!F154)</f>
        <v/>
      </c>
      <c r="E160" s="7" t="str">
        <f>IF('FGPO Master'!A154="","",'FGPO Master'!G154)</f>
        <v/>
      </c>
      <c r="F160" s="19" t="str">
        <f>IF('FGPO Master'!A154="","",'FGPO Master'!H154)</f>
        <v/>
      </c>
      <c r="G160" s="19" t="str">
        <f>IF('FGPO Master'!A154="","",'FGPO Master'!M154)</f>
        <v/>
      </c>
      <c r="H160" s="19" t="str">
        <f>IF(B160="","",SUMIF('Fabric Requirement'!$B$5:$B$304,B160,'Fabric Requirement'!$M$5:$M$304)+SUMIF('Fabric Requirement'!$B$5:$B$304,B160,'Fabric Requirement'!$O$5:$O$304))</f>
        <v/>
      </c>
      <c r="I160" s="19" t="str">
        <f>IF(B160="","",SUMIF('Fabric PO'!$B$5:$B$304,B160,'Fabric PO'!$H$5:$H$304))</f>
        <v/>
      </c>
      <c r="J160" s="19" t="str">
        <f>IF(B160="","",SUMIF('Mill Production'!$C$5:$C$304,B160,'Mill Production'!$I$5:$I$304))</f>
        <v/>
      </c>
      <c r="K160" s="7" t="str">
        <f>IF(B160="","",IF(COUNTIF('Mill Test'!$C$5:$C$304,B160)=0,"Pending",IF(COUNTIFS('Mill Test'!$C$5:$C$304,B160,'Mill Test'!$T$5:$T$304,"Failed")&gt;0,"Failed","Passed")))</f>
        <v/>
      </c>
      <c r="L160" s="19" t="str">
        <f>IF(B160="","",SUMIF('Fabric Shipment'!$C$5:$C$304,B160,'Fabric Shipment'!$G$5:$G$304))</f>
        <v/>
      </c>
      <c r="M160" s="19" t="str">
        <f>IF(B160="","",SUMIF('Fabric Shipment'!$C$5:$C$304,B160,'Fabric Shipment'!$R$5:$R$304))</f>
        <v/>
      </c>
      <c r="N160" s="19" t="str">
        <f>IF(B160="","",SUMIF('Fabric Receiving'!$E$5:$E$304,B160,'Fabric Receiving'!$H$5:$H$304))</f>
        <v/>
      </c>
      <c r="O160" s="19" t="str">
        <f>IF(B160="","",SUMIF('Fabric Receiving'!$E$5:$E$304,B160,'Fabric Receiving'!$I$5:$I$304))</f>
        <v/>
      </c>
      <c r="P160" s="7" t="str">
        <f>IF(B160="","",IF(COUNTIF('Four-Point'!$E$5:$E$304,B160)=0,"Pending",IF(COUNTIFS('Four-Point'!$E$5:$E$304,B160,'Four-Point'!$T$5:$T$304,"Failed")&gt;0,"Failed","Passed")))</f>
        <v/>
      </c>
      <c r="Q160" s="7" t="str">
        <f>IF(B160="","",IF(COUNTIF('Internal Test'!$D$5:$D$304,B160)=0,"Pending",IF(COUNTIFS('Internal Test'!$D$5:$D$304,B160,'Internal Test'!$AA$5:$AA$304,"Failed")&gt;0,"Failed","Passed")))</f>
        <v/>
      </c>
      <c r="R160" s="7" t="str">
        <f>IF(B160="","",IF(COUNTIF('Shade Match'!$C$5:$C$304,B160)=0,"Pending",IF(COUNTIFS('Shade Match'!$C$5:$C$304,B160,'Shade Match'!$Q$5:$Q$304,"Failed")&gt;0,"Failed","Approved")))</f>
        <v/>
      </c>
      <c r="S160" s="19" t="str">
        <f>IF(B160="","",SUMIF('Fabric Inventory'!$C$5:$C$304,B160,'Fabric Inventory'!$H$5:$H$304))</f>
        <v/>
      </c>
      <c r="T160" s="19" t="str">
        <f>IF(B160="","",SUMIF('Fabric Inventory'!$C$5:$C$304,B160,'Fabric Inventory'!$K$5:$K$304))</f>
        <v/>
      </c>
      <c r="U160" s="19" t="str">
        <f>IF(B160="","",SUMIF('Fabric Inventory'!$C$5:$C$304,B160,'Fabric Inventory'!$L$5:$L$304))</f>
        <v/>
      </c>
      <c r="V160" s="19" t="str">
        <f>IF(B160="","",SUMIF('Fabric Inventory'!$C$5:$C$304,B160,'Fabric Inventory'!$N$5:$N$304))</f>
        <v/>
      </c>
      <c r="W160" s="19" t="str">
        <f>IF(B160="","",SUMIF('Fabric Inventory'!$C$5:$C$304,B160,'Fabric Inventory'!$O$5:$O$304))</f>
        <v/>
      </c>
    </row>
    <row r="161" spans="1:23">
      <c r="A161" s="7" t="str">
        <f>IF('FGPO Master'!A155="","",'FGPO Master'!E155)</f>
        <v/>
      </c>
      <c r="B161" s="7" t="str">
        <f>IF('FGPO Master'!A155="","",IF('FGPO Master'!D155="FGPO Pending","FGPO Pending",'FGPO Master'!B155))</f>
        <v/>
      </c>
      <c r="C161" s="7" t="str">
        <f>IF('FGPO Master'!A155="","",'FGPO Master'!D155)</f>
        <v/>
      </c>
      <c r="D161" s="7" t="str">
        <f>IF('FGPO Master'!A155="","",'FGPO Master'!F155)</f>
        <v/>
      </c>
      <c r="E161" s="7" t="str">
        <f>IF('FGPO Master'!A155="","",'FGPO Master'!G155)</f>
        <v/>
      </c>
      <c r="F161" s="19" t="str">
        <f>IF('FGPO Master'!A155="","",'FGPO Master'!H155)</f>
        <v/>
      </c>
      <c r="G161" s="19" t="str">
        <f>IF('FGPO Master'!A155="","",'FGPO Master'!M155)</f>
        <v/>
      </c>
      <c r="H161" s="19" t="str">
        <f>IF(B161="","",SUMIF('Fabric Requirement'!$B$5:$B$304,B161,'Fabric Requirement'!$M$5:$M$304)+SUMIF('Fabric Requirement'!$B$5:$B$304,B161,'Fabric Requirement'!$O$5:$O$304))</f>
        <v/>
      </c>
      <c r="I161" s="19" t="str">
        <f>IF(B161="","",SUMIF('Fabric PO'!$B$5:$B$304,B161,'Fabric PO'!$H$5:$H$304))</f>
        <v/>
      </c>
      <c r="J161" s="19" t="str">
        <f>IF(B161="","",SUMIF('Mill Production'!$C$5:$C$304,B161,'Mill Production'!$I$5:$I$304))</f>
        <v/>
      </c>
      <c r="K161" s="7" t="str">
        <f>IF(B161="","",IF(COUNTIF('Mill Test'!$C$5:$C$304,B161)=0,"Pending",IF(COUNTIFS('Mill Test'!$C$5:$C$304,B161,'Mill Test'!$T$5:$T$304,"Failed")&gt;0,"Failed","Passed")))</f>
        <v/>
      </c>
      <c r="L161" s="19" t="str">
        <f>IF(B161="","",SUMIF('Fabric Shipment'!$C$5:$C$304,B161,'Fabric Shipment'!$G$5:$G$304))</f>
        <v/>
      </c>
      <c r="M161" s="19" t="str">
        <f>IF(B161="","",SUMIF('Fabric Shipment'!$C$5:$C$304,B161,'Fabric Shipment'!$R$5:$R$304))</f>
        <v/>
      </c>
      <c r="N161" s="19" t="str">
        <f>IF(B161="","",SUMIF('Fabric Receiving'!$E$5:$E$304,B161,'Fabric Receiving'!$H$5:$H$304))</f>
        <v/>
      </c>
      <c r="O161" s="19" t="str">
        <f>IF(B161="","",SUMIF('Fabric Receiving'!$E$5:$E$304,B161,'Fabric Receiving'!$I$5:$I$304))</f>
        <v/>
      </c>
      <c r="P161" s="7" t="str">
        <f>IF(B161="","",IF(COUNTIF('Four-Point'!$E$5:$E$304,B161)=0,"Pending",IF(COUNTIFS('Four-Point'!$E$5:$E$304,B161,'Four-Point'!$T$5:$T$304,"Failed")&gt;0,"Failed","Passed")))</f>
        <v/>
      </c>
      <c r="Q161" s="7" t="str">
        <f>IF(B161="","",IF(COUNTIF('Internal Test'!$D$5:$D$304,B161)=0,"Pending",IF(COUNTIFS('Internal Test'!$D$5:$D$304,B161,'Internal Test'!$AA$5:$AA$304,"Failed")&gt;0,"Failed","Passed")))</f>
        <v/>
      </c>
      <c r="R161" s="7" t="str">
        <f>IF(B161="","",IF(COUNTIF('Shade Match'!$C$5:$C$304,B161)=0,"Pending",IF(COUNTIFS('Shade Match'!$C$5:$C$304,B161,'Shade Match'!$Q$5:$Q$304,"Failed")&gt;0,"Failed","Approved")))</f>
        <v/>
      </c>
      <c r="S161" s="19" t="str">
        <f>IF(B161="","",SUMIF('Fabric Inventory'!$C$5:$C$304,B161,'Fabric Inventory'!$H$5:$H$304))</f>
        <v/>
      </c>
      <c r="T161" s="19" t="str">
        <f>IF(B161="","",SUMIF('Fabric Inventory'!$C$5:$C$304,B161,'Fabric Inventory'!$K$5:$K$304))</f>
        <v/>
      </c>
      <c r="U161" s="19" t="str">
        <f>IF(B161="","",SUMIF('Fabric Inventory'!$C$5:$C$304,B161,'Fabric Inventory'!$L$5:$L$304))</f>
        <v/>
      </c>
      <c r="V161" s="19" t="str">
        <f>IF(B161="","",SUMIF('Fabric Inventory'!$C$5:$C$304,B161,'Fabric Inventory'!$N$5:$N$304))</f>
        <v/>
      </c>
      <c r="W161" s="19" t="str">
        <f>IF(B161="","",SUMIF('Fabric Inventory'!$C$5:$C$304,B161,'Fabric Inventory'!$O$5:$O$304))</f>
        <v/>
      </c>
    </row>
    <row r="162" spans="1:23">
      <c r="A162" s="7" t="str">
        <f>IF('FGPO Master'!A156="","",'FGPO Master'!E156)</f>
        <v/>
      </c>
      <c r="B162" s="7" t="str">
        <f>IF('FGPO Master'!A156="","",IF('FGPO Master'!D156="FGPO Pending","FGPO Pending",'FGPO Master'!B156))</f>
        <v/>
      </c>
      <c r="C162" s="7" t="str">
        <f>IF('FGPO Master'!A156="","",'FGPO Master'!D156)</f>
        <v/>
      </c>
      <c r="D162" s="7" t="str">
        <f>IF('FGPO Master'!A156="","",'FGPO Master'!F156)</f>
        <v/>
      </c>
      <c r="E162" s="7" t="str">
        <f>IF('FGPO Master'!A156="","",'FGPO Master'!G156)</f>
        <v/>
      </c>
      <c r="F162" s="19" t="str">
        <f>IF('FGPO Master'!A156="","",'FGPO Master'!H156)</f>
        <v/>
      </c>
      <c r="G162" s="19" t="str">
        <f>IF('FGPO Master'!A156="","",'FGPO Master'!M156)</f>
        <v/>
      </c>
      <c r="H162" s="19" t="str">
        <f>IF(B162="","",SUMIF('Fabric Requirement'!$B$5:$B$304,B162,'Fabric Requirement'!$M$5:$M$304)+SUMIF('Fabric Requirement'!$B$5:$B$304,B162,'Fabric Requirement'!$O$5:$O$304))</f>
        <v/>
      </c>
      <c r="I162" s="19" t="str">
        <f>IF(B162="","",SUMIF('Fabric PO'!$B$5:$B$304,B162,'Fabric PO'!$H$5:$H$304))</f>
        <v/>
      </c>
      <c r="J162" s="19" t="str">
        <f>IF(B162="","",SUMIF('Mill Production'!$C$5:$C$304,B162,'Mill Production'!$I$5:$I$304))</f>
        <v/>
      </c>
      <c r="K162" s="7" t="str">
        <f>IF(B162="","",IF(COUNTIF('Mill Test'!$C$5:$C$304,B162)=0,"Pending",IF(COUNTIFS('Mill Test'!$C$5:$C$304,B162,'Mill Test'!$T$5:$T$304,"Failed")&gt;0,"Failed","Passed")))</f>
        <v/>
      </c>
      <c r="L162" s="19" t="str">
        <f>IF(B162="","",SUMIF('Fabric Shipment'!$C$5:$C$304,B162,'Fabric Shipment'!$G$5:$G$304))</f>
        <v/>
      </c>
      <c r="M162" s="19" t="str">
        <f>IF(B162="","",SUMIF('Fabric Shipment'!$C$5:$C$304,B162,'Fabric Shipment'!$R$5:$R$304))</f>
        <v/>
      </c>
      <c r="N162" s="19" t="str">
        <f>IF(B162="","",SUMIF('Fabric Receiving'!$E$5:$E$304,B162,'Fabric Receiving'!$H$5:$H$304))</f>
        <v/>
      </c>
      <c r="O162" s="19" t="str">
        <f>IF(B162="","",SUMIF('Fabric Receiving'!$E$5:$E$304,B162,'Fabric Receiving'!$I$5:$I$304))</f>
        <v/>
      </c>
      <c r="P162" s="7" t="str">
        <f>IF(B162="","",IF(COUNTIF('Four-Point'!$E$5:$E$304,B162)=0,"Pending",IF(COUNTIFS('Four-Point'!$E$5:$E$304,B162,'Four-Point'!$T$5:$T$304,"Failed")&gt;0,"Failed","Passed")))</f>
        <v/>
      </c>
      <c r="Q162" s="7" t="str">
        <f>IF(B162="","",IF(COUNTIF('Internal Test'!$D$5:$D$304,B162)=0,"Pending",IF(COUNTIFS('Internal Test'!$D$5:$D$304,B162,'Internal Test'!$AA$5:$AA$304,"Failed")&gt;0,"Failed","Passed")))</f>
        <v/>
      </c>
      <c r="R162" s="7" t="str">
        <f>IF(B162="","",IF(COUNTIF('Shade Match'!$C$5:$C$304,B162)=0,"Pending",IF(COUNTIFS('Shade Match'!$C$5:$C$304,B162,'Shade Match'!$Q$5:$Q$304,"Failed")&gt;0,"Failed","Approved")))</f>
        <v/>
      </c>
      <c r="S162" s="19" t="str">
        <f>IF(B162="","",SUMIF('Fabric Inventory'!$C$5:$C$304,B162,'Fabric Inventory'!$H$5:$H$304))</f>
        <v/>
      </c>
      <c r="T162" s="19" t="str">
        <f>IF(B162="","",SUMIF('Fabric Inventory'!$C$5:$C$304,B162,'Fabric Inventory'!$K$5:$K$304))</f>
        <v/>
      </c>
      <c r="U162" s="19" t="str">
        <f>IF(B162="","",SUMIF('Fabric Inventory'!$C$5:$C$304,B162,'Fabric Inventory'!$L$5:$L$304))</f>
        <v/>
      </c>
      <c r="V162" s="19" t="str">
        <f>IF(B162="","",SUMIF('Fabric Inventory'!$C$5:$C$304,B162,'Fabric Inventory'!$N$5:$N$304))</f>
        <v/>
      </c>
      <c r="W162" s="19" t="str">
        <f>IF(B162="","",SUMIF('Fabric Inventory'!$C$5:$C$304,B162,'Fabric Inventory'!$O$5:$O$304))</f>
        <v/>
      </c>
    </row>
    <row r="163" spans="1:23">
      <c r="A163" s="7" t="str">
        <f>IF('FGPO Master'!A157="","",'FGPO Master'!E157)</f>
        <v/>
      </c>
      <c r="B163" s="7" t="str">
        <f>IF('FGPO Master'!A157="","",IF('FGPO Master'!D157="FGPO Pending","FGPO Pending",'FGPO Master'!B157))</f>
        <v/>
      </c>
      <c r="C163" s="7" t="str">
        <f>IF('FGPO Master'!A157="","",'FGPO Master'!D157)</f>
        <v/>
      </c>
      <c r="D163" s="7" t="str">
        <f>IF('FGPO Master'!A157="","",'FGPO Master'!F157)</f>
        <v/>
      </c>
      <c r="E163" s="7" t="str">
        <f>IF('FGPO Master'!A157="","",'FGPO Master'!G157)</f>
        <v/>
      </c>
      <c r="F163" s="19" t="str">
        <f>IF('FGPO Master'!A157="","",'FGPO Master'!H157)</f>
        <v/>
      </c>
      <c r="G163" s="19" t="str">
        <f>IF('FGPO Master'!A157="","",'FGPO Master'!M157)</f>
        <v/>
      </c>
      <c r="H163" s="19" t="str">
        <f>IF(B163="","",SUMIF('Fabric Requirement'!$B$5:$B$304,B163,'Fabric Requirement'!$M$5:$M$304)+SUMIF('Fabric Requirement'!$B$5:$B$304,B163,'Fabric Requirement'!$O$5:$O$304))</f>
        <v/>
      </c>
      <c r="I163" s="19" t="str">
        <f>IF(B163="","",SUMIF('Fabric PO'!$B$5:$B$304,B163,'Fabric PO'!$H$5:$H$304))</f>
        <v/>
      </c>
      <c r="J163" s="19" t="str">
        <f>IF(B163="","",SUMIF('Mill Production'!$C$5:$C$304,B163,'Mill Production'!$I$5:$I$304))</f>
        <v/>
      </c>
      <c r="K163" s="7" t="str">
        <f>IF(B163="","",IF(COUNTIF('Mill Test'!$C$5:$C$304,B163)=0,"Pending",IF(COUNTIFS('Mill Test'!$C$5:$C$304,B163,'Mill Test'!$T$5:$T$304,"Failed")&gt;0,"Failed","Passed")))</f>
        <v/>
      </c>
      <c r="L163" s="19" t="str">
        <f>IF(B163="","",SUMIF('Fabric Shipment'!$C$5:$C$304,B163,'Fabric Shipment'!$G$5:$G$304))</f>
        <v/>
      </c>
      <c r="M163" s="19" t="str">
        <f>IF(B163="","",SUMIF('Fabric Shipment'!$C$5:$C$304,B163,'Fabric Shipment'!$R$5:$R$304))</f>
        <v/>
      </c>
      <c r="N163" s="19" t="str">
        <f>IF(B163="","",SUMIF('Fabric Receiving'!$E$5:$E$304,B163,'Fabric Receiving'!$H$5:$H$304))</f>
        <v/>
      </c>
      <c r="O163" s="19" t="str">
        <f>IF(B163="","",SUMIF('Fabric Receiving'!$E$5:$E$304,B163,'Fabric Receiving'!$I$5:$I$304))</f>
        <v/>
      </c>
      <c r="P163" s="7" t="str">
        <f>IF(B163="","",IF(COUNTIF('Four-Point'!$E$5:$E$304,B163)=0,"Pending",IF(COUNTIFS('Four-Point'!$E$5:$E$304,B163,'Four-Point'!$T$5:$T$304,"Failed")&gt;0,"Failed","Passed")))</f>
        <v/>
      </c>
      <c r="Q163" s="7" t="str">
        <f>IF(B163="","",IF(COUNTIF('Internal Test'!$D$5:$D$304,B163)=0,"Pending",IF(COUNTIFS('Internal Test'!$D$5:$D$304,B163,'Internal Test'!$AA$5:$AA$304,"Failed")&gt;0,"Failed","Passed")))</f>
        <v/>
      </c>
      <c r="R163" s="7" t="str">
        <f>IF(B163="","",IF(COUNTIF('Shade Match'!$C$5:$C$304,B163)=0,"Pending",IF(COUNTIFS('Shade Match'!$C$5:$C$304,B163,'Shade Match'!$Q$5:$Q$304,"Failed")&gt;0,"Failed","Approved")))</f>
        <v/>
      </c>
      <c r="S163" s="19" t="str">
        <f>IF(B163="","",SUMIF('Fabric Inventory'!$C$5:$C$304,B163,'Fabric Inventory'!$H$5:$H$304))</f>
        <v/>
      </c>
      <c r="T163" s="19" t="str">
        <f>IF(B163="","",SUMIF('Fabric Inventory'!$C$5:$C$304,B163,'Fabric Inventory'!$K$5:$K$304))</f>
        <v/>
      </c>
      <c r="U163" s="19" t="str">
        <f>IF(B163="","",SUMIF('Fabric Inventory'!$C$5:$C$304,B163,'Fabric Inventory'!$L$5:$L$304))</f>
        <v/>
      </c>
      <c r="V163" s="19" t="str">
        <f>IF(B163="","",SUMIF('Fabric Inventory'!$C$5:$C$304,B163,'Fabric Inventory'!$N$5:$N$304))</f>
        <v/>
      </c>
      <c r="W163" s="19" t="str">
        <f>IF(B163="","",SUMIF('Fabric Inventory'!$C$5:$C$304,B163,'Fabric Inventory'!$O$5:$O$304))</f>
        <v/>
      </c>
    </row>
    <row r="164" spans="1:23">
      <c r="A164" s="7" t="str">
        <f>IF('FGPO Master'!A158="","",'FGPO Master'!E158)</f>
        <v/>
      </c>
      <c r="B164" s="7" t="str">
        <f>IF('FGPO Master'!A158="","",IF('FGPO Master'!D158="FGPO Pending","FGPO Pending",'FGPO Master'!B158))</f>
        <v/>
      </c>
      <c r="C164" s="7" t="str">
        <f>IF('FGPO Master'!A158="","",'FGPO Master'!D158)</f>
        <v/>
      </c>
      <c r="D164" s="7" t="str">
        <f>IF('FGPO Master'!A158="","",'FGPO Master'!F158)</f>
        <v/>
      </c>
      <c r="E164" s="7" t="str">
        <f>IF('FGPO Master'!A158="","",'FGPO Master'!G158)</f>
        <v/>
      </c>
      <c r="F164" s="19" t="str">
        <f>IF('FGPO Master'!A158="","",'FGPO Master'!H158)</f>
        <v/>
      </c>
      <c r="G164" s="19" t="str">
        <f>IF('FGPO Master'!A158="","",'FGPO Master'!M158)</f>
        <v/>
      </c>
      <c r="H164" s="19" t="str">
        <f>IF(B164="","",SUMIF('Fabric Requirement'!$B$5:$B$304,B164,'Fabric Requirement'!$M$5:$M$304)+SUMIF('Fabric Requirement'!$B$5:$B$304,B164,'Fabric Requirement'!$O$5:$O$304))</f>
        <v/>
      </c>
      <c r="I164" s="19" t="str">
        <f>IF(B164="","",SUMIF('Fabric PO'!$B$5:$B$304,B164,'Fabric PO'!$H$5:$H$304))</f>
        <v/>
      </c>
      <c r="J164" s="19" t="str">
        <f>IF(B164="","",SUMIF('Mill Production'!$C$5:$C$304,B164,'Mill Production'!$I$5:$I$304))</f>
        <v/>
      </c>
      <c r="K164" s="7" t="str">
        <f>IF(B164="","",IF(COUNTIF('Mill Test'!$C$5:$C$304,B164)=0,"Pending",IF(COUNTIFS('Mill Test'!$C$5:$C$304,B164,'Mill Test'!$T$5:$T$304,"Failed")&gt;0,"Failed","Passed")))</f>
        <v/>
      </c>
      <c r="L164" s="19" t="str">
        <f>IF(B164="","",SUMIF('Fabric Shipment'!$C$5:$C$304,B164,'Fabric Shipment'!$G$5:$G$304))</f>
        <v/>
      </c>
      <c r="M164" s="19" t="str">
        <f>IF(B164="","",SUMIF('Fabric Shipment'!$C$5:$C$304,B164,'Fabric Shipment'!$R$5:$R$304))</f>
        <v/>
      </c>
      <c r="N164" s="19" t="str">
        <f>IF(B164="","",SUMIF('Fabric Receiving'!$E$5:$E$304,B164,'Fabric Receiving'!$H$5:$H$304))</f>
        <v/>
      </c>
      <c r="O164" s="19" t="str">
        <f>IF(B164="","",SUMIF('Fabric Receiving'!$E$5:$E$304,B164,'Fabric Receiving'!$I$5:$I$304))</f>
        <v/>
      </c>
      <c r="P164" s="7" t="str">
        <f>IF(B164="","",IF(COUNTIF('Four-Point'!$E$5:$E$304,B164)=0,"Pending",IF(COUNTIFS('Four-Point'!$E$5:$E$304,B164,'Four-Point'!$T$5:$T$304,"Failed")&gt;0,"Failed","Passed")))</f>
        <v/>
      </c>
      <c r="Q164" s="7" t="str">
        <f>IF(B164="","",IF(COUNTIF('Internal Test'!$D$5:$D$304,B164)=0,"Pending",IF(COUNTIFS('Internal Test'!$D$5:$D$304,B164,'Internal Test'!$AA$5:$AA$304,"Failed")&gt;0,"Failed","Passed")))</f>
        <v/>
      </c>
      <c r="R164" s="7" t="str">
        <f>IF(B164="","",IF(COUNTIF('Shade Match'!$C$5:$C$304,B164)=0,"Pending",IF(COUNTIFS('Shade Match'!$C$5:$C$304,B164,'Shade Match'!$Q$5:$Q$304,"Failed")&gt;0,"Failed","Approved")))</f>
        <v/>
      </c>
      <c r="S164" s="19" t="str">
        <f>IF(B164="","",SUMIF('Fabric Inventory'!$C$5:$C$304,B164,'Fabric Inventory'!$H$5:$H$304))</f>
        <v/>
      </c>
      <c r="T164" s="19" t="str">
        <f>IF(B164="","",SUMIF('Fabric Inventory'!$C$5:$C$304,B164,'Fabric Inventory'!$K$5:$K$304))</f>
        <v/>
      </c>
      <c r="U164" s="19" t="str">
        <f>IF(B164="","",SUMIF('Fabric Inventory'!$C$5:$C$304,B164,'Fabric Inventory'!$L$5:$L$304))</f>
        <v/>
      </c>
      <c r="V164" s="19" t="str">
        <f>IF(B164="","",SUMIF('Fabric Inventory'!$C$5:$C$304,B164,'Fabric Inventory'!$N$5:$N$304))</f>
        <v/>
      </c>
      <c r="W164" s="19" t="str">
        <f>IF(B164="","",SUMIF('Fabric Inventory'!$C$5:$C$304,B164,'Fabric Inventory'!$O$5:$O$304))</f>
        <v/>
      </c>
    </row>
    <row r="165" spans="1:23">
      <c r="A165" s="7" t="str">
        <f>IF('FGPO Master'!A159="","",'FGPO Master'!E159)</f>
        <v/>
      </c>
      <c r="B165" s="7" t="str">
        <f>IF('FGPO Master'!A159="","",IF('FGPO Master'!D159="FGPO Pending","FGPO Pending",'FGPO Master'!B159))</f>
        <v/>
      </c>
      <c r="C165" s="7" t="str">
        <f>IF('FGPO Master'!A159="","",'FGPO Master'!D159)</f>
        <v/>
      </c>
      <c r="D165" s="7" t="str">
        <f>IF('FGPO Master'!A159="","",'FGPO Master'!F159)</f>
        <v/>
      </c>
      <c r="E165" s="7" t="str">
        <f>IF('FGPO Master'!A159="","",'FGPO Master'!G159)</f>
        <v/>
      </c>
      <c r="F165" s="19" t="str">
        <f>IF('FGPO Master'!A159="","",'FGPO Master'!H159)</f>
        <v/>
      </c>
      <c r="G165" s="19" t="str">
        <f>IF('FGPO Master'!A159="","",'FGPO Master'!M159)</f>
        <v/>
      </c>
      <c r="H165" s="19" t="str">
        <f>IF(B165="","",SUMIF('Fabric Requirement'!$B$5:$B$304,B165,'Fabric Requirement'!$M$5:$M$304)+SUMIF('Fabric Requirement'!$B$5:$B$304,B165,'Fabric Requirement'!$O$5:$O$304))</f>
        <v/>
      </c>
      <c r="I165" s="19" t="str">
        <f>IF(B165="","",SUMIF('Fabric PO'!$B$5:$B$304,B165,'Fabric PO'!$H$5:$H$304))</f>
        <v/>
      </c>
      <c r="J165" s="19" t="str">
        <f>IF(B165="","",SUMIF('Mill Production'!$C$5:$C$304,B165,'Mill Production'!$I$5:$I$304))</f>
        <v/>
      </c>
      <c r="K165" s="7" t="str">
        <f>IF(B165="","",IF(COUNTIF('Mill Test'!$C$5:$C$304,B165)=0,"Pending",IF(COUNTIFS('Mill Test'!$C$5:$C$304,B165,'Mill Test'!$T$5:$T$304,"Failed")&gt;0,"Failed","Passed")))</f>
        <v/>
      </c>
      <c r="L165" s="19" t="str">
        <f>IF(B165="","",SUMIF('Fabric Shipment'!$C$5:$C$304,B165,'Fabric Shipment'!$G$5:$G$304))</f>
        <v/>
      </c>
      <c r="M165" s="19" t="str">
        <f>IF(B165="","",SUMIF('Fabric Shipment'!$C$5:$C$304,B165,'Fabric Shipment'!$R$5:$R$304))</f>
        <v/>
      </c>
      <c r="N165" s="19" t="str">
        <f>IF(B165="","",SUMIF('Fabric Receiving'!$E$5:$E$304,B165,'Fabric Receiving'!$H$5:$H$304))</f>
        <v/>
      </c>
      <c r="O165" s="19" t="str">
        <f>IF(B165="","",SUMIF('Fabric Receiving'!$E$5:$E$304,B165,'Fabric Receiving'!$I$5:$I$304))</f>
        <v/>
      </c>
      <c r="P165" s="7" t="str">
        <f>IF(B165="","",IF(COUNTIF('Four-Point'!$E$5:$E$304,B165)=0,"Pending",IF(COUNTIFS('Four-Point'!$E$5:$E$304,B165,'Four-Point'!$T$5:$T$304,"Failed")&gt;0,"Failed","Passed")))</f>
        <v/>
      </c>
      <c r="Q165" s="7" t="str">
        <f>IF(B165="","",IF(COUNTIF('Internal Test'!$D$5:$D$304,B165)=0,"Pending",IF(COUNTIFS('Internal Test'!$D$5:$D$304,B165,'Internal Test'!$AA$5:$AA$304,"Failed")&gt;0,"Failed","Passed")))</f>
        <v/>
      </c>
      <c r="R165" s="7" t="str">
        <f>IF(B165="","",IF(COUNTIF('Shade Match'!$C$5:$C$304,B165)=0,"Pending",IF(COUNTIFS('Shade Match'!$C$5:$C$304,B165,'Shade Match'!$Q$5:$Q$304,"Failed")&gt;0,"Failed","Approved")))</f>
        <v/>
      </c>
      <c r="S165" s="19" t="str">
        <f>IF(B165="","",SUMIF('Fabric Inventory'!$C$5:$C$304,B165,'Fabric Inventory'!$H$5:$H$304))</f>
        <v/>
      </c>
      <c r="T165" s="19" t="str">
        <f>IF(B165="","",SUMIF('Fabric Inventory'!$C$5:$C$304,B165,'Fabric Inventory'!$K$5:$K$304))</f>
        <v/>
      </c>
      <c r="U165" s="19" t="str">
        <f>IF(B165="","",SUMIF('Fabric Inventory'!$C$5:$C$304,B165,'Fabric Inventory'!$L$5:$L$304))</f>
        <v/>
      </c>
      <c r="V165" s="19" t="str">
        <f>IF(B165="","",SUMIF('Fabric Inventory'!$C$5:$C$304,B165,'Fabric Inventory'!$N$5:$N$304))</f>
        <v/>
      </c>
      <c r="W165" s="19" t="str">
        <f>IF(B165="","",SUMIF('Fabric Inventory'!$C$5:$C$304,B165,'Fabric Inventory'!$O$5:$O$304))</f>
        <v/>
      </c>
    </row>
    <row r="166" spans="1:23">
      <c r="A166" s="7" t="str">
        <f>IF('FGPO Master'!A160="","",'FGPO Master'!E160)</f>
        <v/>
      </c>
      <c r="B166" s="7" t="str">
        <f>IF('FGPO Master'!A160="","",IF('FGPO Master'!D160="FGPO Pending","FGPO Pending",'FGPO Master'!B160))</f>
        <v/>
      </c>
      <c r="C166" s="7" t="str">
        <f>IF('FGPO Master'!A160="","",'FGPO Master'!D160)</f>
        <v/>
      </c>
      <c r="D166" s="7" t="str">
        <f>IF('FGPO Master'!A160="","",'FGPO Master'!F160)</f>
        <v/>
      </c>
      <c r="E166" s="7" t="str">
        <f>IF('FGPO Master'!A160="","",'FGPO Master'!G160)</f>
        <v/>
      </c>
      <c r="F166" s="19" t="str">
        <f>IF('FGPO Master'!A160="","",'FGPO Master'!H160)</f>
        <v/>
      </c>
      <c r="G166" s="19" t="str">
        <f>IF('FGPO Master'!A160="","",'FGPO Master'!M160)</f>
        <v/>
      </c>
      <c r="H166" s="19" t="str">
        <f>IF(B166="","",SUMIF('Fabric Requirement'!$B$5:$B$304,B166,'Fabric Requirement'!$M$5:$M$304)+SUMIF('Fabric Requirement'!$B$5:$B$304,B166,'Fabric Requirement'!$O$5:$O$304))</f>
        <v/>
      </c>
      <c r="I166" s="19" t="str">
        <f>IF(B166="","",SUMIF('Fabric PO'!$B$5:$B$304,B166,'Fabric PO'!$H$5:$H$304))</f>
        <v/>
      </c>
      <c r="J166" s="19" t="str">
        <f>IF(B166="","",SUMIF('Mill Production'!$C$5:$C$304,B166,'Mill Production'!$I$5:$I$304))</f>
        <v/>
      </c>
      <c r="K166" s="7" t="str">
        <f>IF(B166="","",IF(COUNTIF('Mill Test'!$C$5:$C$304,B166)=0,"Pending",IF(COUNTIFS('Mill Test'!$C$5:$C$304,B166,'Mill Test'!$T$5:$T$304,"Failed")&gt;0,"Failed","Passed")))</f>
        <v/>
      </c>
      <c r="L166" s="19" t="str">
        <f>IF(B166="","",SUMIF('Fabric Shipment'!$C$5:$C$304,B166,'Fabric Shipment'!$G$5:$G$304))</f>
        <v/>
      </c>
      <c r="M166" s="19" t="str">
        <f>IF(B166="","",SUMIF('Fabric Shipment'!$C$5:$C$304,B166,'Fabric Shipment'!$R$5:$R$304))</f>
        <v/>
      </c>
      <c r="N166" s="19" t="str">
        <f>IF(B166="","",SUMIF('Fabric Receiving'!$E$5:$E$304,B166,'Fabric Receiving'!$H$5:$H$304))</f>
        <v/>
      </c>
      <c r="O166" s="19" t="str">
        <f>IF(B166="","",SUMIF('Fabric Receiving'!$E$5:$E$304,B166,'Fabric Receiving'!$I$5:$I$304))</f>
        <v/>
      </c>
      <c r="P166" s="7" t="str">
        <f>IF(B166="","",IF(COUNTIF('Four-Point'!$E$5:$E$304,B166)=0,"Pending",IF(COUNTIFS('Four-Point'!$E$5:$E$304,B166,'Four-Point'!$T$5:$T$304,"Failed")&gt;0,"Failed","Passed")))</f>
        <v/>
      </c>
      <c r="Q166" s="7" t="str">
        <f>IF(B166="","",IF(COUNTIF('Internal Test'!$D$5:$D$304,B166)=0,"Pending",IF(COUNTIFS('Internal Test'!$D$5:$D$304,B166,'Internal Test'!$AA$5:$AA$304,"Failed")&gt;0,"Failed","Passed")))</f>
        <v/>
      </c>
      <c r="R166" s="7" t="str">
        <f>IF(B166="","",IF(COUNTIF('Shade Match'!$C$5:$C$304,B166)=0,"Pending",IF(COUNTIFS('Shade Match'!$C$5:$C$304,B166,'Shade Match'!$Q$5:$Q$304,"Failed")&gt;0,"Failed","Approved")))</f>
        <v/>
      </c>
      <c r="S166" s="19" t="str">
        <f>IF(B166="","",SUMIF('Fabric Inventory'!$C$5:$C$304,B166,'Fabric Inventory'!$H$5:$H$304))</f>
        <v/>
      </c>
      <c r="T166" s="19" t="str">
        <f>IF(B166="","",SUMIF('Fabric Inventory'!$C$5:$C$304,B166,'Fabric Inventory'!$K$5:$K$304))</f>
        <v/>
      </c>
      <c r="U166" s="19" t="str">
        <f>IF(B166="","",SUMIF('Fabric Inventory'!$C$5:$C$304,B166,'Fabric Inventory'!$L$5:$L$304))</f>
        <v/>
      </c>
      <c r="V166" s="19" t="str">
        <f>IF(B166="","",SUMIF('Fabric Inventory'!$C$5:$C$304,B166,'Fabric Inventory'!$N$5:$N$304))</f>
        <v/>
      </c>
      <c r="W166" s="19" t="str">
        <f>IF(B166="","",SUMIF('Fabric Inventory'!$C$5:$C$304,B166,'Fabric Inventory'!$O$5:$O$304))</f>
        <v/>
      </c>
    </row>
    <row r="167" spans="1:23">
      <c r="A167" s="7" t="str">
        <f>IF('FGPO Master'!A161="","",'FGPO Master'!E161)</f>
        <v/>
      </c>
      <c r="B167" s="7" t="str">
        <f>IF('FGPO Master'!A161="","",IF('FGPO Master'!D161="FGPO Pending","FGPO Pending",'FGPO Master'!B161))</f>
        <v/>
      </c>
      <c r="C167" s="7" t="str">
        <f>IF('FGPO Master'!A161="","",'FGPO Master'!D161)</f>
        <v/>
      </c>
      <c r="D167" s="7" t="str">
        <f>IF('FGPO Master'!A161="","",'FGPO Master'!F161)</f>
        <v/>
      </c>
      <c r="E167" s="7" t="str">
        <f>IF('FGPO Master'!A161="","",'FGPO Master'!G161)</f>
        <v/>
      </c>
      <c r="F167" s="19" t="str">
        <f>IF('FGPO Master'!A161="","",'FGPO Master'!H161)</f>
        <v/>
      </c>
      <c r="G167" s="19" t="str">
        <f>IF('FGPO Master'!A161="","",'FGPO Master'!M161)</f>
        <v/>
      </c>
      <c r="H167" s="19" t="str">
        <f>IF(B167="","",SUMIF('Fabric Requirement'!$B$5:$B$304,B167,'Fabric Requirement'!$M$5:$M$304)+SUMIF('Fabric Requirement'!$B$5:$B$304,B167,'Fabric Requirement'!$O$5:$O$304))</f>
        <v/>
      </c>
      <c r="I167" s="19" t="str">
        <f>IF(B167="","",SUMIF('Fabric PO'!$B$5:$B$304,B167,'Fabric PO'!$H$5:$H$304))</f>
        <v/>
      </c>
      <c r="J167" s="19" t="str">
        <f>IF(B167="","",SUMIF('Mill Production'!$C$5:$C$304,B167,'Mill Production'!$I$5:$I$304))</f>
        <v/>
      </c>
      <c r="K167" s="7" t="str">
        <f>IF(B167="","",IF(COUNTIF('Mill Test'!$C$5:$C$304,B167)=0,"Pending",IF(COUNTIFS('Mill Test'!$C$5:$C$304,B167,'Mill Test'!$T$5:$T$304,"Failed")&gt;0,"Failed","Passed")))</f>
        <v/>
      </c>
      <c r="L167" s="19" t="str">
        <f>IF(B167="","",SUMIF('Fabric Shipment'!$C$5:$C$304,B167,'Fabric Shipment'!$G$5:$G$304))</f>
        <v/>
      </c>
      <c r="M167" s="19" t="str">
        <f>IF(B167="","",SUMIF('Fabric Shipment'!$C$5:$C$304,B167,'Fabric Shipment'!$R$5:$R$304))</f>
        <v/>
      </c>
      <c r="N167" s="19" t="str">
        <f>IF(B167="","",SUMIF('Fabric Receiving'!$E$5:$E$304,B167,'Fabric Receiving'!$H$5:$H$304))</f>
        <v/>
      </c>
      <c r="O167" s="19" t="str">
        <f>IF(B167="","",SUMIF('Fabric Receiving'!$E$5:$E$304,B167,'Fabric Receiving'!$I$5:$I$304))</f>
        <v/>
      </c>
      <c r="P167" s="7" t="str">
        <f>IF(B167="","",IF(COUNTIF('Four-Point'!$E$5:$E$304,B167)=0,"Pending",IF(COUNTIFS('Four-Point'!$E$5:$E$304,B167,'Four-Point'!$T$5:$T$304,"Failed")&gt;0,"Failed","Passed")))</f>
        <v/>
      </c>
      <c r="Q167" s="7" t="str">
        <f>IF(B167="","",IF(COUNTIF('Internal Test'!$D$5:$D$304,B167)=0,"Pending",IF(COUNTIFS('Internal Test'!$D$5:$D$304,B167,'Internal Test'!$AA$5:$AA$304,"Failed")&gt;0,"Failed","Passed")))</f>
        <v/>
      </c>
      <c r="R167" s="7" t="str">
        <f>IF(B167="","",IF(COUNTIF('Shade Match'!$C$5:$C$304,B167)=0,"Pending",IF(COUNTIFS('Shade Match'!$C$5:$C$304,B167,'Shade Match'!$Q$5:$Q$304,"Failed")&gt;0,"Failed","Approved")))</f>
        <v/>
      </c>
      <c r="S167" s="19" t="str">
        <f>IF(B167="","",SUMIF('Fabric Inventory'!$C$5:$C$304,B167,'Fabric Inventory'!$H$5:$H$304))</f>
        <v/>
      </c>
      <c r="T167" s="19" t="str">
        <f>IF(B167="","",SUMIF('Fabric Inventory'!$C$5:$C$304,B167,'Fabric Inventory'!$K$5:$K$304))</f>
        <v/>
      </c>
      <c r="U167" s="19" t="str">
        <f>IF(B167="","",SUMIF('Fabric Inventory'!$C$5:$C$304,B167,'Fabric Inventory'!$L$5:$L$304))</f>
        <v/>
      </c>
      <c r="V167" s="19" t="str">
        <f>IF(B167="","",SUMIF('Fabric Inventory'!$C$5:$C$304,B167,'Fabric Inventory'!$N$5:$N$304))</f>
        <v/>
      </c>
      <c r="W167" s="19" t="str">
        <f>IF(B167="","",SUMIF('Fabric Inventory'!$C$5:$C$304,B167,'Fabric Inventory'!$O$5:$O$304))</f>
        <v/>
      </c>
    </row>
    <row r="168" spans="1:23">
      <c r="A168" s="7" t="str">
        <f>IF('FGPO Master'!A162="","",'FGPO Master'!E162)</f>
        <v/>
      </c>
      <c r="B168" s="7" t="str">
        <f>IF('FGPO Master'!A162="","",IF('FGPO Master'!D162="FGPO Pending","FGPO Pending",'FGPO Master'!B162))</f>
        <v/>
      </c>
      <c r="C168" s="7" t="str">
        <f>IF('FGPO Master'!A162="","",'FGPO Master'!D162)</f>
        <v/>
      </c>
      <c r="D168" s="7" t="str">
        <f>IF('FGPO Master'!A162="","",'FGPO Master'!F162)</f>
        <v/>
      </c>
      <c r="E168" s="7" t="str">
        <f>IF('FGPO Master'!A162="","",'FGPO Master'!G162)</f>
        <v/>
      </c>
      <c r="F168" s="19" t="str">
        <f>IF('FGPO Master'!A162="","",'FGPO Master'!H162)</f>
        <v/>
      </c>
      <c r="G168" s="19" t="str">
        <f>IF('FGPO Master'!A162="","",'FGPO Master'!M162)</f>
        <v/>
      </c>
      <c r="H168" s="19" t="str">
        <f>IF(B168="","",SUMIF('Fabric Requirement'!$B$5:$B$304,B168,'Fabric Requirement'!$M$5:$M$304)+SUMIF('Fabric Requirement'!$B$5:$B$304,B168,'Fabric Requirement'!$O$5:$O$304))</f>
        <v/>
      </c>
      <c r="I168" s="19" t="str">
        <f>IF(B168="","",SUMIF('Fabric PO'!$B$5:$B$304,B168,'Fabric PO'!$H$5:$H$304))</f>
        <v/>
      </c>
      <c r="J168" s="19" t="str">
        <f>IF(B168="","",SUMIF('Mill Production'!$C$5:$C$304,B168,'Mill Production'!$I$5:$I$304))</f>
        <v/>
      </c>
      <c r="K168" s="7" t="str">
        <f>IF(B168="","",IF(COUNTIF('Mill Test'!$C$5:$C$304,B168)=0,"Pending",IF(COUNTIFS('Mill Test'!$C$5:$C$304,B168,'Mill Test'!$T$5:$T$304,"Failed")&gt;0,"Failed","Passed")))</f>
        <v/>
      </c>
      <c r="L168" s="19" t="str">
        <f>IF(B168="","",SUMIF('Fabric Shipment'!$C$5:$C$304,B168,'Fabric Shipment'!$G$5:$G$304))</f>
        <v/>
      </c>
      <c r="M168" s="19" t="str">
        <f>IF(B168="","",SUMIF('Fabric Shipment'!$C$5:$C$304,B168,'Fabric Shipment'!$R$5:$R$304))</f>
        <v/>
      </c>
      <c r="N168" s="19" t="str">
        <f>IF(B168="","",SUMIF('Fabric Receiving'!$E$5:$E$304,B168,'Fabric Receiving'!$H$5:$H$304))</f>
        <v/>
      </c>
      <c r="O168" s="19" t="str">
        <f>IF(B168="","",SUMIF('Fabric Receiving'!$E$5:$E$304,B168,'Fabric Receiving'!$I$5:$I$304))</f>
        <v/>
      </c>
      <c r="P168" s="7" t="str">
        <f>IF(B168="","",IF(COUNTIF('Four-Point'!$E$5:$E$304,B168)=0,"Pending",IF(COUNTIFS('Four-Point'!$E$5:$E$304,B168,'Four-Point'!$T$5:$T$304,"Failed")&gt;0,"Failed","Passed")))</f>
        <v/>
      </c>
      <c r="Q168" s="7" t="str">
        <f>IF(B168="","",IF(COUNTIF('Internal Test'!$D$5:$D$304,B168)=0,"Pending",IF(COUNTIFS('Internal Test'!$D$5:$D$304,B168,'Internal Test'!$AA$5:$AA$304,"Failed")&gt;0,"Failed","Passed")))</f>
        <v/>
      </c>
      <c r="R168" s="7" t="str">
        <f>IF(B168="","",IF(COUNTIF('Shade Match'!$C$5:$C$304,B168)=0,"Pending",IF(COUNTIFS('Shade Match'!$C$5:$C$304,B168,'Shade Match'!$Q$5:$Q$304,"Failed")&gt;0,"Failed","Approved")))</f>
        <v/>
      </c>
      <c r="S168" s="19" t="str">
        <f>IF(B168="","",SUMIF('Fabric Inventory'!$C$5:$C$304,B168,'Fabric Inventory'!$H$5:$H$304))</f>
        <v/>
      </c>
      <c r="T168" s="19" t="str">
        <f>IF(B168="","",SUMIF('Fabric Inventory'!$C$5:$C$304,B168,'Fabric Inventory'!$K$5:$K$304))</f>
        <v/>
      </c>
      <c r="U168" s="19" t="str">
        <f>IF(B168="","",SUMIF('Fabric Inventory'!$C$5:$C$304,B168,'Fabric Inventory'!$L$5:$L$304))</f>
        <v/>
      </c>
      <c r="V168" s="19" t="str">
        <f>IF(B168="","",SUMIF('Fabric Inventory'!$C$5:$C$304,B168,'Fabric Inventory'!$N$5:$N$304))</f>
        <v/>
      </c>
      <c r="W168" s="19" t="str">
        <f>IF(B168="","",SUMIF('Fabric Inventory'!$C$5:$C$304,B168,'Fabric Inventory'!$O$5:$O$304))</f>
        <v/>
      </c>
    </row>
    <row r="169" spans="1:23">
      <c r="A169" s="7" t="str">
        <f>IF('FGPO Master'!A163="","",'FGPO Master'!E163)</f>
        <v/>
      </c>
      <c r="B169" s="7" t="str">
        <f>IF('FGPO Master'!A163="","",IF('FGPO Master'!D163="FGPO Pending","FGPO Pending",'FGPO Master'!B163))</f>
        <v/>
      </c>
      <c r="C169" s="7" t="str">
        <f>IF('FGPO Master'!A163="","",'FGPO Master'!D163)</f>
        <v/>
      </c>
      <c r="D169" s="7" t="str">
        <f>IF('FGPO Master'!A163="","",'FGPO Master'!F163)</f>
        <v/>
      </c>
      <c r="E169" s="7" t="str">
        <f>IF('FGPO Master'!A163="","",'FGPO Master'!G163)</f>
        <v/>
      </c>
      <c r="F169" s="19" t="str">
        <f>IF('FGPO Master'!A163="","",'FGPO Master'!H163)</f>
        <v/>
      </c>
      <c r="G169" s="19" t="str">
        <f>IF('FGPO Master'!A163="","",'FGPO Master'!M163)</f>
        <v/>
      </c>
      <c r="H169" s="19" t="str">
        <f>IF(B169="","",SUMIF('Fabric Requirement'!$B$5:$B$304,B169,'Fabric Requirement'!$M$5:$M$304)+SUMIF('Fabric Requirement'!$B$5:$B$304,B169,'Fabric Requirement'!$O$5:$O$304))</f>
        <v/>
      </c>
      <c r="I169" s="19" t="str">
        <f>IF(B169="","",SUMIF('Fabric PO'!$B$5:$B$304,B169,'Fabric PO'!$H$5:$H$304))</f>
        <v/>
      </c>
      <c r="J169" s="19" t="str">
        <f>IF(B169="","",SUMIF('Mill Production'!$C$5:$C$304,B169,'Mill Production'!$I$5:$I$304))</f>
        <v/>
      </c>
      <c r="K169" s="7" t="str">
        <f>IF(B169="","",IF(COUNTIF('Mill Test'!$C$5:$C$304,B169)=0,"Pending",IF(COUNTIFS('Mill Test'!$C$5:$C$304,B169,'Mill Test'!$T$5:$T$304,"Failed")&gt;0,"Failed","Passed")))</f>
        <v/>
      </c>
      <c r="L169" s="19" t="str">
        <f>IF(B169="","",SUMIF('Fabric Shipment'!$C$5:$C$304,B169,'Fabric Shipment'!$G$5:$G$304))</f>
        <v/>
      </c>
      <c r="M169" s="19" t="str">
        <f>IF(B169="","",SUMIF('Fabric Shipment'!$C$5:$C$304,B169,'Fabric Shipment'!$R$5:$R$304))</f>
        <v/>
      </c>
      <c r="N169" s="19" t="str">
        <f>IF(B169="","",SUMIF('Fabric Receiving'!$E$5:$E$304,B169,'Fabric Receiving'!$H$5:$H$304))</f>
        <v/>
      </c>
      <c r="O169" s="19" t="str">
        <f>IF(B169="","",SUMIF('Fabric Receiving'!$E$5:$E$304,B169,'Fabric Receiving'!$I$5:$I$304))</f>
        <v/>
      </c>
      <c r="P169" s="7" t="str">
        <f>IF(B169="","",IF(COUNTIF('Four-Point'!$E$5:$E$304,B169)=0,"Pending",IF(COUNTIFS('Four-Point'!$E$5:$E$304,B169,'Four-Point'!$T$5:$T$304,"Failed")&gt;0,"Failed","Passed")))</f>
        <v/>
      </c>
      <c r="Q169" s="7" t="str">
        <f>IF(B169="","",IF(COUNTIF('Internal Test'!$D$5:$D$304,B169)=0,"Pending",IF(COUNTIFS('Internal Test'!$D$5:$D$304,B169,'Internal Test'!$AA$5:$AA$304,"Failed")&gt;0,"Failed","Passed")))</f>
        <v/>
      </c>
      <c r="R169" s="7" t="str">
        <f>IF(B169="","",IF(COUNTIF('Shade Match'!$C$5:$C$304,B169)=0,"Pending",IF(COUNTIFS('Shade Match'!$C$5:$C$304,B169,'Shade Match'!$Q$5:$Q$304,"Failed")&gt;0,"Failed","Approved")))</f>
        <v/>
      </c>
      <c r="S169" s="19" t="str">
        <f>IF(B169="","",SUMIF('Fabric Inventory'!$C$5:$C$304,B169,'Fabric Inventory'!$H$5:$H$304))</f>
        <v/>
      </c>
      <c r="T169" s="19" t="str">
        <f>IF(B169="","",SUMIF('Fabric Inventory'!$C$5:$C$304,B169,'Fabric Inventory'!$K$5:$K$304))</f>
        <v/>
      </c>
      <c r="U169" s="19" t="str">
        <f>IF(B169="","",SUMIF('Fabric Inventory'!$C$5:$C$304,B169,'Fabric Inventory'!$L$5:$L$304))</f>
        <v/>
      </c>
      <c r="V169" s="19" t="str">
        <f>IF(B169="","",SUMIF('Fabric Inventory'!$C$5:$C$304,B169,'Fabric Inventory'!$N$5:$N$304))</f>
        <v/>
      </c>
      <c r="W169" s="19" t="str">
        <f>IF(B169="","",SUMIF('Fabric Inventory'!$C$5:$C$304,B169,'Fabric Inventory'!$O$5:$O$304))</f>
        <v/>
      </c>
    </row>
    <row r="170" spans="1:23">
      <c r="A170" s="7" t="str">
        <f>IF('FGPO Master'!A164="","",'FGPO Master'!E164)</f>
        <v/>
      </c>
      <c r="B170" s="7" t="str">
        <f>IF('FGPO Master'!A164="","",IF('FGPO Master'!D164="FGPO Pending","FGPO Pending",'FGPO Master'!B164))</f>
        <v/>
      </c>
      <c r="C170" s="7" t="str">
        <f>IF('FGPO Master'!A164="","",'FGPO Master'!D164)</f>
        <v/>
      </c>
      <c r="D170" s="7" t="str">
        <f>IF('FGPO Master'!A164="","",'FGPO Master'!F164)</f>
        <v/>
      </c>
      <c r="E170" s="7" t="str">
        <f>IF('FGPO Master'!A164="","",'FGPO Master'!G164)</f>
        <v/>
      </c>
      <c r="F170" s="19" t="str">
        <f>IF('FGPO Master'!A164="","",'FGPO Master'!H164)</f>
        <v/>
      </c>
      <c r="G170" s="19" t="str">
        <f>IF('FGPO Master'!A164="","",'FGPO Master'!M164)</f>
        <v/>
      </c>
      <c r="H170" s="19" t="str">
        <f>IF(B170="","",SUMIF('Fabric Requirement'!$B$5:$B$304,B170,'Fabric Requirement'!$M$5:$M$304)+SUMIF('Fabric Requirement'!$B$5:$B$304,B170,'Fabric Requirement'!$O$5:$O$304))</f>
        <v/>
      </c>
      <c r="I170" s="19" t="str">
        <f>IF(B170="","",SUMIF('Fabric PO'!$B$5:$B$304,B170,'Fabric PO'!$H$5:$H$304))</f>
        <v/>
      </c>
      <c r="J170" s="19" t="str">
        <f>IF(B170="","",SUMIF('Mill Production'!$C$5:$C$304,B170,'Mill Production'!$I$5:$I$304))</f>
        <v/>
      </c>
      <c r="K170" s="7" t="str">
        <f>IF(B170="","",IF(COUNTIF('Mill Test'!$C$5:$C$304,B170)=0,"Pending",IF(COUNTIFS('Mill Test'!$C$5:$C$304,B170,'Mill Test'!$T$5:$T$304,"Failed")&gt;0,"Failed","Passed")))</f>
        <v/>
      </c>
      <c r="L170" s="19" t="str">
        <f>IF(B170="","",SUMIF('Fabric Shipment'!$C$5:$C$304,B170,'Fabric Shipment'!$G$5:$G$304))</f>
        <v/>
      </c>
      <c r="M170" s="19" t="str">
        <f>IF(B170="","",SUMIF('Fabric Shipment'!$C$5:$C$304,B170,'Fabric Shipment'!$R$5:$R$304))</f>
        <v/>
      </c>
      <c r="N170" s="19" t="str">
        <f>IF(B170="","",SUMIF('Fabric Receiving'!$E$5:$E$304,B170,'Fabric Receiving'!$H$5:$H$304))</f>
        <v/>
      </c>
      <c r="O170" s="19" t="str">
        <f>IF(B170="","",SUMIF('Fabric Receiving'!$E$5:$E$304,B170,'Fabric Receiving'!$I$5:$I$304))</f>
        <v/>
      </c>
      <c r="P170" s="7" t="str">
        <f>IF(B170="","",IF(COUNTIF('Four-Point'!$E$5:$E$304,B170)=0,"Pending",IF(COUNTIFS('Four-Point'!$E$5:$E$304,B170,'Four-Point'!$T$5:$T$304,"Failed")&gt;0,"Failed","Passed")))</f>
        <v/>
      </c>
      <c r="Q170" s="7" t="str">
        <f>IF(B170="","",IF(COUNTIF('Internal Test'!$D$5:$D$304,B170)=0,"Pending",IF(COUNTIFS('Internal Test'!$D$5:$D$304,B170,'Internal Test'!$AA$5:$AA$304,"Failed")&gt;0,"Failed","Passed")))</f>
        <v/>
      </c>
      <c r="R170" s="7" t="str">
        <f>IF(B170="","",IF(COUNTIF('Shade Match'!$C$5:$C$304,B170)=0,"Pending",IF(COUNTIFS('Shade Match'!$C$5:$C$304,B170,'Shade Match'!$Q$5:$Q$304,"Failed")&gt;0,"Failed","Approved")))</f>
        <v/>
      </c>
      <c r="S170" s="19" t="str">
        <f>IF(B170="","",SUMIF('Fabric Inventory'!$C$5:$C$304,B170,'Fabric Inventory'!$H$5:$H$304))</f>
        <v/>
      </c>
      <c r="T170" s="19" t="str">
        <f>IF(B170="","",SUMIF('Fabric Inventory'!$C$5:$C$304,B170,'Fabric Inventory'!$K$5:$K$304))</f>
        <v/>
      </c>
      <c r="U170" s="19" t="str">
        <f>IF(B170="","",SUMIF('Fabric Inventory'!$C$5:$C$304,B170,'Fabric Inventory'!$L$5:$L$304))</f>
        <v/>
      </c>
      <c r="V170" s="19" t="str">
        <f>IF(B170="","",SUMIF('Fabric Inventory'!$C$5:$C$304,B170,'Fabric Inventory'!$N$5:$N$304))</f>
        <v/>
      </c>
      <c r="W170" s="19" t="str">
        <f>IF(B170="","",SUMIF('Fabric Inventory'!$C$5:$C$304,B170,'Fabric Inventory'!$O$5:$O$304))</f>
        <v/>
      </c>
    </row>
    <row r="171" spans="1:23">
      <c r="A171" s="7" t="str">
        <f>IF('FGPO Master'!A165="","",'FGPO Master'!E165)</f>
        <v/>
      </c>
      <c r="B171" s="7" t="str">
        <f>IF('FGPO Master'!A165="","",IF('FGPO Master'!D165="FGPO Pending","FGPO Pending",'FGPO Master'!B165))</f>
        <v/>
      </c>
      <c r="C171" s="7" t="str">
        <f>IF('FGPO Master'!A165="","",'FGPO Master'!D165)</f>
        <v/>
      </c>
      <c r="D171" s="7" t="str">
        <f>IF('FGPO Master'!A165="","",'FGPO Master'!F165)</f>
        <v/>
      </c>
      <c r="E171" s="7" t="str">
        <f>IF('FGPO Master'!A165="","",'FGPO Master'!G165)</f>
        <v/>
      </c>
      <c r="F171" s="19" t="str">
        <f>IF('FGPO Master'!A165="","",'FGPO Master'!H165)</f>
        <v/>
      </c>
      <c r="G171" s="19" t="str">
        <f>IF('FGPO Master'!A165="","",'FGPO Master'!M165)</f>
        <v/>
      </c>
      <c r="H171" s="19" t="str">
        <f>IF(B171="","",SUMIF('Fabric Requirement'!$B$5:$B$304,B171,'Fabric Requirement'!$M$5:$M$304)+SUMIF('Fabric Requirement'!$B$5:$B$304,B171,'Fabric Requirement'!$O$5:$O$304))</f>
        <v/>
      </c>
      <c r="I171" s="19" t="str">
        <f>IF(B171="","",SUMIF('Fabric PO'!$B$5:$B$304,B171,'Fabric PO'!$H$5:$H$304))</f>
        <v/>
      </c>
      <c r="J171" s="19" t="str">
        <f>IF(B171="","",SUMIF('Mill Production'!$C$5:$C$304,B171,'Mill Production'!$I$5:$I$304))</f>
        <v/>
      </c>
      <c r="K171" s="7" t="str">
        <f>IF(B171="","",IF(COUNTIF('Mill Test'!$C$5:$C$304,B171)=0,"Pending",IF(COUNTIFS('Mill Test'!$C$5:$C$304,B171,'Mill Test'!$T$5:$T$304,"Failed")&gt;0,"Failed","Passed")))</f>
        <v/>
      </c>
      <c r="L171" s="19" t="str">
        <f>IF(B171="","",SUMIF('Fabric Shipment'!$C$5:$C$304,B171,'Fabric Shipment'!$G$5:$G$304))</f>
        <v/>
      </c>
      <c r="M171" s="19" t="str">
        <f>IF(B171="","",SUMIF('Fabric Shipment'!$C$5:$C$304,B171,'Fabric Shipment'!$R$5:$R$304))</f>
        <v/>
      </c>
      <c r="N171" s="19" t="str">
        <f>IF(B171="","",SUMIF('Fabric Receiving'!$E$5:$E$304,B171,'Fabric Receiving'!$H$5:$H$304))</f>
        <v/>
      </c>
      <c r="O171" s="19" t="str">
        <f>IF(B171="","",SUMIF('Fabric Receiving'!$E$5:$E$304,B171,'Fabric Receiving'!$I$5:$I$304))</f>
        <v/>
      </c>
      <c r="P171" s="7" t="str">
        <f>IF(B171="","",IF(COUNTIF('Four-Point'!$E$5:$E$304,B171)=0,"Pending",IF(COUNTIFS('Four-Point'!$E$5:$E$304,B171,'Four-Point'!$T$5:$T$304,"Failed")&gt;0,"Failed","Passed")))</f>
        <v/>
      </c>
      <c r="Q171" s="7" t="str">
        <f>IF(B171="","",IF(COUNTIF('Internal Test'!$D$5:$D$304,B171)=0,"Pending",IF(COUNTIFS('Internal Test'!$D$5:$D$304,B171,'Internal Test'!$AA$5:$AA$304,"Failed")&gt;0,"Failed","Passed")))</f>
        <v/>
      </c>
      <c r="R171" s="7" t="str">
        <f>IF(B171="","",IF(COUNTIF('Shade Match'!$C$5:$C$304,B171)=0,"Pending",IF(COUNTIFS('Shade Match'!$C$5:$C$304,B171,'Shade Match'!$Q$5:$Q$304,"Failed")&gt;0,"Failed","Approved")))</f>
        <v/>
      </c>
      <c r="S171" s="19" t="str">
        <f>IF(B171="","",SUMIF('Fabric Inventory'!$C$5:$C$304,B171,'Fabric Inventory'!$H$5:$H$304))</f>
        <v/>
      </c>
      <c r="T171" s="19" t="str">
        <f>IF(B171="","",SUMIF('Fabric Inventory'!$C$5:$C$304,B171,'Fabric Inventory'!$K$5:$K$304))</f>
        <v/>
      </c>
      <c r="U171" s="19" t="str">
        <f>IF(B171="","",SUMIF('Fabric Inventory'!$C$5:$C$304,B171,'Fabric Inventory'!$L$5:$L$304))</f>
        <v/>
      </c>
      <c r="V171" s="19" t="str">
        <f>IF(B171="","",SUMIF('Fabric Inventory'!$C$5:$C$304,B171,'Fabric Inventory'!$N$5:$N$304))</f>
        <v/>
      </c>
      <c r="W171" s="19" t="str">
        <f>IF(B171="","",SUMIF('Fabric Inventory'!$C$5:$C$304,B171,'Fabric Inventory'!$O$5:$O$304))</f>
        <v/>
      </c>
    </row>
    <row r="172" spans="1:23">
      <c r="A172" s="7" t="str">
        <f>IF('FGPO Master'!A166="","",'FGPO Master'!E166)</f>
        <v/>
      </c>
      <c r="B172" s="7" t="str">
        <f>IF('FGPO Master'!A166="","",IF('FGPO Master'!D166="FGPO Pending","FGPO Pending",'FGPO Master'!B166))</f>
        <v/>
      </c>
      <c r="C172" s="7" t="str">
        <f>IF('FGPO Master'!A166="","",'FGPO Master'!D166)</f>
        <v/>
      </c>
      <c r="D172" s="7" t="str">
        <f>IF('FGPO Master'!A166="","",'FGPO Master'!F166)</f>
        <v/>
      </c>
      <c r="E172" s="7" t="str">
        <f>IF('FGPO Master'!A166="","",'FGPO Master'!G166)</f>
        <v/>
      </c>
      <c r="F172" s="19" t="str">
        <f>IF('FGPO Master'!A166="","",'FGPO Master'!H166)</f>
        <v/>
      </c>
      <c r="G172" s="19" t="str">
        <f>IF('FGPO Master'!A166="","",'FGPO Master'!M166)</f>
        <v/>
      </c>
      <c r="H172" s="19" t="str">
        <f>IF(B172="","",SUMIF('Fabric Requirement'!$B$5:$B$304,B172,'Fabric Requirement'!$M$5:$M$304)+SUMIF('Fabric Requirement'!$B$5:$B$304,B172,'Fabric Requirement'!$O$5:$O$304))</f>
        <v/>
      </c>
      <c r="I172" s="19" t="str">
        <f>IF(B172="","",SUMIF('Fabric PO'!$B$5:$B$304,B172,'Fabric PO'!$H$5:$H$304))</f>
        <v/>
      </c>
      <c r="J172" s="19" t="str">
        <f>IF(B172="","",SUMIF('Mill Production'!$C$5:$C$304,B172,'Mill Production'!$I$5:$I$304))</f>
        <v/>
      </c>
      <c r="K172" s="7" t="str">
        <f>IF(B172="","",IF(COUNTIF('Mill Test'!$C$5:$C$304,B172)=0,"Pending",IF(COUNTIFS('Mill Test'!$C$5:$C$304,B172,'Mill Test'!$T$5:$T$304,"Failed")&gt;0,"Failed","Passed")))</f>
        <v/>
      </c>
      <c r="L172" s="19" t="str">
        <f>IF(B172="","",SUMIF('Fabric Shipment'!$C$5:$C$304,B172,'Fabric Shipment'!$G$5:$G$304))</f>
        <v/>
      </c>
      <c r="M172" s="19" t="str">
        <f>IF(B172="","",SUMIF('Fabric Shipment'!$C$5:$C$304,B172,'Fabric Shipment'!$R$5:$R$304))</f>
        <v/>
      </c>
      <c r="N172" s="19" t="str">
        <f>IF(B172="","",SUMIF('Fabric Receiving'!$E$5:$E$304,B172,'Fabric Receiving'!$H$5:$H$304))</f>
        <v/>
      </c>
      <c r="O172" s="19" t="str">
        <f>IF(B172="","",SUMIF('Fabric Receiving'!$E$5:$E$304,B172,'Fabric Receiving'!$I$5:$I$304))</f>
        <v/>
      </c>
      <c r="P172" s="7" t="str">
        <f>IF(B172="","",IF(COUNTIF('Four-Point'!$E$5:$E$304,B172)=0,"Pending",IF(COUNTIFS('Four-Point'!$E$5:$E$304,B172,'Four-Point'!$T$5:$T$304,"Failed")&gt;0,"Failed","Passed")))</f>
        <v/>
      </c>
      <c r="Q172" s="7" t="str">
        <f>IF(B172="","",IF(COUNTIF('Internal Test'!$D$5:$D$304,B172)=0,"Pending",IF(COUNTIFS('Internal Test'!$D$5:$D$304,B172,'Internal Test'!$AA$5:$AA$304,"Failed")&gt;0,"Failed","Passed")))</f>
        <v/>
      </c>
      <c r="R172" s="7" t="str">
        <f>IF(B172="","",IF(COUNTIF('Shade Match'!$C$5:$C$304,B172)=0,"Pending",IF(COUNTIFS('Shade Match'!$C$5:$C$304,B172,'Shade Match'!$Q$5:$Q$304,"Failed")&gt;0,"Failed","Approved")))</f>
        <v/>
      </c>
      <c r="S172" s="19" t="str">
        <f>IF(B172="","",SUMIF('Fabric Inventory'!$C$5:$C$304,B172,'Fabric Inventory'!$H$5:$H$304))</f>
        <v/>
      </c>
      <c r="T172" s="19" t="str">
        <f>IF(B172="","",SUMIF('Fabric Inventory'!$C$5:$C$304,B172,'Fabric Inventory'!$K$5:$K$304))</f>
        <v/>
      </c>
      <c r="U172" s="19" t="str">
        <f>IF(B172="","",SUMIF('Fabric Inventory'!$C$5:$C$304,B172,'Fabric Inventory'!$L$5:$L$304))</f>
        <v/>
      </c>
      <c r="V172" s="19" t="str">
        <f>IF(B172="","",SUMIF('Fabric Inventory'!$C$5:$C$304,B172,'Fabric Inventory'!$N$5:$N$304))</f>
        <v/>
      </c>
      <c r="W172" s="19" t="str">
        <f>IF(B172="","",SUMIF('Fabric Inventory'!$C$5:$C$304,B172,'Fabric Inventory'!$O$5:$O$304))</f>
        <v/>
      </c>
    </row>
    <row r="173" spans="1:23">
      <c r="A173" s="7" t="str">
        <f>IF('FGPO Master'!A167="","",'FGPO Master'!E167)</f>
        <v/>
      </c>
      <c r="B173" s="7" t="str">
        <f>IF('FGPO Master'!A167="","",IF('FGPO Master'!D167="FGPO Pending","FGPO Pending",'FGPO Master'!B167))</f>
        <v/>
      </c>
      <c r="C173" s="7" t="str">
        <f>IF('FGPO Master'!A167="","",'FGPO Master'!D167)</f>
        <v/>
      </c>
      <c r="D173" s="7" t="str">
        <f>IF('FGPO Master'!A167="","",'FGPO Master'!F167)</f>
        <v/>
      </c>
      <c r="E173" s="7" t="str">
        <f>IF('FGPO Master'!A167="","",'FGPO Master'!G167)</f>
        <v/>
      </c>
      <c r="F173" s="19" t="str">
        <f>IF('FGPO Master'!A167="","",'FGPO Master'!H167)</f>
        <v/>
      </c>
      <c r="G173" s="19" t="str">
        <f>IF('FGPO Master'!A167="","",'FGPO Master'!M167)</f>
        <v/>
      </c>
      <c r="H173" s="19" t="str">
        <f>IF(B173="","",SUMIF('Fabric Requirement'!$B$5:$B$304,B173,'Fabric Requirement'!$M$5:$M$304)+SUMIF('Fabric Requirement'!$B$5:$B$304,B173,'Fabric Requirement'!$O$5:$O$304))</f>
        <v/>
      </c>
      <c r="I173" s="19" t="str">
        <f>IF(B173="","",SUMIF('Fabric PO'!$B$5:$B$304,B173,'Fabric PO'!$H$5:$H$304))</f>
        <v/>
      </c>
      <c r="J173" s="19" t="str">
        <f>IF(B173="","",SUMIF('Mill Production'!$C$5:$C$304,B173,'Mill Production'!$I$5:$I$304))</f>
        <v/>
      </c>
      <c r="K173" s="7" t="str">
        <f>IF(B173="","",IF(COUNTIF('Mill Test'!$C$5:$C$304,B173)=0,"Pending",IF(COUNTIFS('Mill Test'!$C$5:$C$304,B173,'Mill Test'!$T$5:$T$304,"Failed")&gt;0,"Failed","Passed")))</f>
        <v/>
      </c>
      <c r="L173" s="19" t="str">
        <f>IF(B173="","",SUMIF('Fabric Shipment'!$C$5:$C$304,B173,'Fabric Shipment'!$G$5:$G$304))</f>
        <v/>
      </c>
      <c r="M173" s="19" t="str">
        <f>IF(B173="","",SUMIF('Fabric Shipment'!$C$5:$C$304,B173,'Fabric Shipment'!$R$5:$R$304))</f>
        <v/>
      </c>
      <c r="N173" s="19" t="str">
        <f>IF(B173="","",SUMIF('Fabric Receiving'!$E$5:$E$304,B173,'Fabric Receiving'!$H$5:$H$304))</f>
        <v/>
      </c>
      <c r="O173" s="19" t="str">
        <f>IF(B173="","",SUMIF('Fabric Receiving'!$E$5:$E$304,B173,'Fabric Receiving'!$I$5:$I$304))</f>
        <v/>
      </c>
      <c r="P173" s="7" t="str">
        <f>IF(B173="","",IF(COUNTIF('Four-Point'!$E$5:$E$304,B173)=0,"Pending",IF(COUNTIFS('Four-Point'!$E$5:$E$304,B173,'Four-Point'!$T$5:$T$304,"Failed")&gt;0,"Failed","Passed")))</f>
        <v/>
      </c>
      <c r="Q173" s="7" t="str">
        <f>IF(B173="","",IF(COUNTIF('Internal Test'!$D$5:$D$304,B173)=0,"Pending",IF(COUNTIFS('Internal Test'!$D$5:$D$304,B173,'Internal Test'!$AA$5:$AA$304,"Failed")&gt;0,"Failed","Passed")))</f>
        <v/>
      </c>
      <c r="R173" s="7" t="str">
        <f>IF(B173="","",IF(COUNTIF('Shade Match'!$C$5:$C$304,B173)=0,"Pending",IF(COUNTIFS('Shade Match'!$C$5:$C$304,B173,'Shade Match'!$Q$5:$Q$304,"Failed")&gt;0,"Failed","Approved")))</f>
        <v/>
      </c>
      <c r="S173" s="19" t="str">
        <f>IF(B173="","",SUMIF('Fabric Inventory'!$C$5:$C$304,B173,'Fabric Inventory'!$H$5:$H$304))</f>
        <v/>
      </c>
      <c r="T173" s="19" t="str">
        <f>IF(B173="","",SUMIF('Fabric Inventory'!$C$5:$C$304,B173,'Fabric Inventory'!$K$5:$K$304))</f>
        <v/>
      </c>
      <c r="U173" s="19" t="str">
        <f>IF(B173="","",SUMIF('Fabric Inventory'!$C$5:$C$304,B173,'Fabric Inventory'!$L$5:$L$304))</f>
        <v/>
      </c>
      <c r="V173" s="19" t="str">
        <f>IF(B173="","",SUMIF('Fabric Inventory'!$C$5:$C$304,B173,'Fabric Inventory'!$N$5:$N$304))</f>
        <v/>
      </c>
      <c r="W173" s="19" t="str">
        <f>IF(B173="","",SUMIF('Fabric Inventory'!$C$5:$C$304,B173,'Fabric Inventory'!$O$5:$O$304))</f>
        <v/>
      </c>
    </row>
    <row r="174" spans="1:23">
      <c r="A174" s="7" t="str">
        <f>IF('FGPO Master'!A168="","",'FGPO Master'!E168)</f>
        <v/>
      </c>
      <c r="B174" s="7" t="str">
        <f>IF('FGPO Master'!A168="","",IF('FGPO Master'!D168="FGPO Pending","FGPO Pending",'FGPO Master'!B168))</f>
        <v/>
      </c>
      <c r="C174" s="7" t="str">
        <f>IF('FGPO Master'!A168="","",'FGPO Master'!D168)</f>
        <v/>
      </c>
      <c r="D174" s="7" t="str">
        <f>IF('FGPO Master'!A168="","",'FGPO Master'!F168)</f>
        <v/>
      </c>
      <c r="E174" s="7" t="str">
        <f>IF('FGPO Master'!A168="","",'FGPO Master'!G168)</f>
        <v/>
      </c>
      <c r="F174" s="19" t="str">
        <f>IF('FGPO Master'!A168="","",'FGPO Master'!H168)</f>
        <v/>
      </c>
      <c r="G174" s="19" t="str">
        <f>IF('FGPO Master'!A168="","",'FGPO Master'!M168)</f>
        <v/>
      </c>
      <c r="H174" s="19" t="str">
        <f>IF(B174="","",SUMIF('Fabric Requirement'!$B$5:$B$304,B174,'Fabric Requirement'!$M$5:$M$304)+SUMIF('Fabric Requirement'!$B$5:$B$304,B174,'Fabric Requirement'!$O$5:$O$304))</f>
        <v/>
      </c>
      <c r="I174" s="19" t="str">
        <f>IF(B174="","",SUMIF('Fabric PO'!$B$5:$B$304,B174,'Fabric PO'!$H$5:$H$304))</f>
        <v/>
      </c>
      <c r="J174" s="19" t="str">
        <f>IF(B174="","",SUMIF('Mill Production'!$C$5:$C$304,B174,'Mill Production'!$I$5:$I$304))</f>
        <v/>
      </c>
      <c r="K174" s="7" t="str">
        <f>IF(B174="","",IF(COUNTIF('Mill Test'!$C$5:$C$304,B174)=0,"Pending",IF(COUNTIFS('Mill Test'!$C$5:$C$304,B174,'Mill Test'!$T$5:$T$304,"Failed")&gt;0,"Failed","Passed")))</f>
        <v/>
      </c>
      <c r="L174" s="19" t="str">
        <f>IF(B174="","",SUMIF('Fabric Shipment'!$C$5:$C$304,B174,'Fabric Shipment'!$G$5:$G$304))</f>
        <v/>
      </c>
      <c r="M174" s="19" t="str">
        <f>IF(B174="","",SUMIF('Fabric Shipment'!$C$5:$C$304,B174,'Fabric Shipment'!$R$5:$R$304))</f>
        <v/>
      </c>
      <c r="N174" s="19" t="str">
        <f>IF(B174="","",SUMIF('Fabric Receiving'!$E$5:$E$304,B174,'Fabric Receiving'!$H$5:$H$304))</f>
        <v/>
      </c>
      <c r="O174" s="19" t="str">
        <f>IF(B174="","",SUMIF('Fabric Receiving'!$E$5:$E$304,B174,'Fabric Receiving'!$I$5:$I$304))</f>
        <v/>
      </c>
      <c r="P174" s="7" t="str">
        <f>IF(B174="","",IF(COUNTIF('Four-Point'!$E$5:$E$304,B174)=0,"Pending",IF(COUNTIFS('Four-Point'!$E$5:$E$304,B174,'Four-Point'!$T$5:$T$304,"Failed")&gt;0,"Failed","Passed")))</f>
        <v/>
      </c>
      <c r="Q174" s="7" t="str">
        <f>IF(B174="","",IF(COUNTIF('Internal Test'!$D$5:$D$304,B174)=0,"Pending",IF(COUNTIFS('Internal Test'!$D$5:$D$304,B174,'Internal Test'!$AA$5:$AA$304,"Failed")&gt;0,"Failed","Passed")))</f>
        <v/>
      </c>
      <c r="R174" s="7" t="str">
        <f>IF(B174="","",IF(COUNTIF('Shade Match'!$C$5:$C$304,B174)=0,"Pending",IF(COUNTIFS('Shade Match'!$C$5:$C$304,B174,'Shade Match'!$Q$5:$Q$304,"Failed")&gt;0,"Failed","Approved")))</f>
        <v/>
      </c>
      <c r="S174" s="19" t="str">
        <f>IF(B174="","",SUMIF('Fabric Inventory'!$C$5:$C$304,B174,'Fabric Inventory'!$H$5:$H$304))</f>
        <v/>
      </c>
      <c r="T174" s="19" t="str">
        <f>IF(B174="","",SUMIF('Fabric Inventory'!$C$5:$C$304,B174,'Fabric Inventory'!$K$5:$K$304))</f>
        <v/>
      </c>
      <c r="U174" s="19" t="str">
        <f>IF(B174="","",SUMIF('Fabric Inventory'!$C$5:$C$304,B174,'Fabric Inventory'!$L$5:$L$304))</f>
        <v/>
      </c>
      <c r="V174" s="19" t="str">
        <f>IF(B174="","",SUMIF('Fabric Inventory'!$C$5:$C$304,B174,'Fabric Inventory'!$N$5:$N$304))</f>
        <v/>
      </c>
      <c r="W174" s="19" t="str">
        <f>IF(B174="","",SUMIF('Fabric Inventory'!$C$5:$C$304,B174,'Fabric Inventory'!$O$5:$O$304))</f>
        <v/>
      </c>
    </row>
    <row r="175" spans="1:23">
      <c r="A175" s="7" t="str">
        <f>IF('FGPO Master'!A169="","",'FGPO Master'!E169)</f>
        <v/>
      </c>
      <c r="B175" s="7" t="str">
        <f>IF('FGPO Master'!A169="","",IF('FGPO Master'!D169="FGPO Pending","FGPO Pending",'FGPO Master'!B169))</f>
        <v/>
      </c>
      <c r="C175" s="7" t="str">
        <f>IF('FGPO Master'!A169="","",'FGPO Master'!D169)</f>
        <v/>
      </c>
      <c r="D175" s="7" t="str">
        <f>IF('FGPO Master'!A169="","",'FGPO Master'!F169)</f>
        <v/>
      </c>
      <c r="E175" s="7" t="str">
        <f>IF('FGPO Master'!A169="","",'FGPO Master'!G169)</f>
        <v/>
      </c>
      <c r="F175" s="19" t="str">
        <f>IF('FGPO Master'!A169="","",'FGPO Master'!H169)</f>
        <v/>
      </c>
      <c r="G175" s="19" t="str">
        <f>IF('FGPO Master'!A169="","",'FGPO Master'!M169)</f>
        <v/>
      </c>
      <c r="H175" s="19" t="str">
        <f>IF(B175="","",SUMIF('Fabric Requirement'!$B$5:$B$304,B175,'Fabric Requirement'!$M$5:$M$304)+SUMIF('Fabric Requirement'!$B$5:$B$304,B175,'Fabric Requirement'!$O$5:$O$304))</f>
        <v/>
      </c>
      <c r="I175" s="19" t="str">
        <f>IF(B175="","",SUMIF('Fabric PO'!$B$5:$B$304,B175,'Fabric PO'!$H$5:$H$304))</f>
        <v/>
      </c>
      <c r="J175" s="19" t="str">
        <f>IF(B175="","",SUMIF('Mill Production'!$C$5:$C$304,B175,'Mill Production'!$I$5:$I$304))</f>
        <v/>
      </c>
      <c r="K175" s="7" t="str">
        <f>IF(B175="","",IF(COUNTIF('Mill Test'!$C$5:$C$304,B175)=0,"Pending",IF(COUNTIFS('Mill Test'!$C$5:$C$304,B175,'Mill Test'!$T$5:$T$304,"Failed")&gt;0,"Failed","Passed")))</f>
        <v/>
      </c>
      <c r="L175" s="19" t="str">
        <f>IF(B175="","",SUMIF('Fabric Shipment'!$C$5:$C$304,B175,'Fabric Shipment'!$G$5:$G$304))</f>
        <v/>
      </c>
      <c r="M175" s="19" t="str">
        <f>IF(B175="","",SUMIF('Fabric Shipment'!$C$5:$C$304,B175,'Fabric Shipment'!$R$5:$R$304))</f>
        <v/>
      </c>
      <c r="N175" s="19" t="str">
        <f>IF(B175="","",SUMIF('Fabric Receiving'!$E$5:$E$304,B175,'Fabric Receiving'!$H$5:$H$304))</f>
        <v/>
      </c>
      <c r="O175" s="19" t="str">
        <f>IF(B175="","",SUMIF('Fabric Receiving'!$E$5:$E$304,B175,'Fabric Receiving'!$I$5:$I$304))</f>
        <v/>
      </c>
      <c r="P175" s="7" t="str">
        <f>IF(B175="","",IF(COUNTIF('Four-Point'!$E$5:$E$304,B175)=0,"Pending",IF(COUNTIFS('Four-Point'!$E$5:$E$304,B175,'Four-Point'!$T$5:$T$304,"Failed")&gt;0,"Failed","Passed")))</f>
        <v/>
      </c>
      <c r="Q175" s="7" t="str">
        <f>IF(B175="","",IF(COUNTIF('Internal Test'!$D$5:$D$304,B175)=0,"Pending",IF(COUNTIFS('Internal Test'!$D$5:$D$304,B175,'Internal Test'!$AA$5:$AA$304,"Failed")&gt;0,"Failed","Passed")))</f>
        <v/>
      </c>
      <c r="R175" s="7" t="str">
        <f>IF(B175="","",IF(COUNTIF('Shade Match'!$C$5:$C$304,B175)=0,"Pending",IF(COUNTIFS('Shade Match'!$C$5:$C$304,B175,'Shade Match'!$Q$5:$Q$304,"Failed")&gt;0,"Failed","Approved")))</f>
        <v/>
      </c>
      <c r="S175" s="19" t="str">
        <f>IF(B175="","",SUMIF('Fabric Inventory'!$C$5:$C$304,B175,'Fabric Inventory'!$H$5:$H$304))</f>
        <v/>
      </c>
      <c r="T175" s="19" t="str">
        <f>IF(B175="","",SUMIF('Fabric Inventory'!$C$5:$C$304,B175,'Fabric Inventory'!$K$5:$K$304))</f>
        <v/>
      </c>
      <c r="U175" s="19" t="str">
        <f>IF(B175="","",SUMIF('Fabric Inventory'!$C$5:$C$304,B175,'Fabric Inventory'!$L$5:$L$304))</f>
        <v/>
      </c>
      <c r="V175" s="19" t="str">
        <f>IF(B175="","",SUMIF('Fabric Inventory'!$C$5:$C$304,B175,'Fabric Inventory'!$N$5:$N$304))</f>
        <v/>
      </c>
      <c r="W175" s="19" t="str">
        <f>IF(B175="","",SUMIF('Fabric Inventory'!$C$5:$C$304,B175,'Fabric Inventory'!$O$5:$O$304))</f>
        <v/>
      </c>
    </row>
    <row r="176" spans="1:23">
      <c r="A176" s="7" t="str">
        <f>IF('FGPO Master'!A170="","",'FGPO Master'!E170)</f>
        <v/>
      </c>
      <c r="B176" s="7" t="str">
        <f>IF('FGPO Master'!A170="","",IF('FGPO Master'!D170="FGPO Pending","FGPO Pending",'FGPO Master'!B170))</f>
        <v/>
      </c>
      <c r="C176" s="7" t="str">
        <f>IF('FGPO Master'!A170="","",'FGPO Master'!D170)</f>
        <v/>
      </c>
      <c r="D176" s="7" t="str">
        <f>IF('FGPO Master'!A170="","",'FGPO Master'!F170)</f>
        <v/>
      </c>
      <c r="E176" s="7" t="str">
        <f>IF('FGPO Master'!A170="","",'FGPO Master'!G170)</f>
        <v/>
      </c>
      <c r="F176" s="19" t="str">
        <f>IF('FGPO Master'!A170="","",'FGPO Master'!H170)</f>
        <v/>
      </c>
      <c r="G176" s="19" t="str">
        <f>IF('FGPO Master'!A170="","",'FGPO Master'!M170)</f>
        <v/>
      </c>
      <c r="H176" s="19" t="str">
        <f>IF(B176="","",SUMIF('Fabric Requirement'!$B$5:$B$304,B176,'Fabric Requirement'!$M$5:$M$304)+SUMIF('Fabric Requirement'!$B$5:$B$304,B176,'Fabric Requirement'!$O$5:$O$304))</f>
        <v/>
      </c>
      <c r="I176" s="19" t="str">
        <f>IF(B176="","",SUMIF('Fabric PO'!$B$5:$B$304,B176,'Fabric PO'!$H$5:$H$304))</f>
        <v/>
      </c>
      <c r="J176" s="19" t="str">
        <f>IF(B176="","",SUMIF('Mill Production'!$C$5:$C$304,B176,'Mill Production'!$I$5:$I$304))</f>
        <v/>
      </c>
      <c r="K176" s="7" t="str">
        <f>IF(B176="","",IF(COUNTIF('Mill Test'!$C$5:$C$304,B176)=0,"Pending",IF(COUNTIFS('Mill Test'!$C$5:$C$304,B176,'Mill Test'!$T$5:$T$304,"Failed")&gt;0,"Failed","Passed")))</f>
        <v/>
      </c>
      <c r="L176" s="19" t="str">
        <f>IF(B176="","",SUMIF('Fabric Shipment'!$C$5:$C$304,B176,'Fabric Shipment'!$G$5:$G$304))</f>
        <v/>
      </c>
      <c r="M176" s="19" t="str">
        <f>IF(B176="","",SUMIF('Fabric Shipment'!$C$5:$C$304,B176,'Fabric Shipment'!$R$5:$R$304))</f>
        <v/>
      </c>
      <c r="N176" s="19" t="str">
        <f>IF(B176="","",SUMIF('Fabric Receiving'!$E$5:$E$304,B176,'Fabric Receiving'!$H$5:$H$304))</f>
        <v/>
      </c>
      <c r="O176" s="19" t="str">
        <f>IF(B176="","",SUMIF('Fabric Receiving'!$E$5:$E$304,B176,'Fabric Receiving'!$I$5:$I$304))</f>
        <v/>
      </c>
      <c r="P176" s="7" t="str">
        <f>IF(B176="","",IF(COUNTIF('Four-Point'!$E$5:$E$304,B176)=0,"Pending",IF(COUNTIFS('Four-Point'!$E$5:$E$304,B176,'Four-Point'!$T$5:$T$304,"Failed")&gt;0,"Failed","Passed")))</f>
        <v/>
      </c>
      <c r="Q176" s="7" t="str">
        <f>IF(B176="","",IF(COUNTIF('Internal Test'!$D$5:$D$304,B176)=0,"Pending",IF(COUNTIFS('Internal Test'!$D$5:$D$304,B176,'Internal Test'!$AA$5:$AA$304,"Failed")&gt;0,"Failed","Passed")))</f>
        <v/>
      </c>
      <c r="R176" s="7" t="str">
        <f>IF(B176="","",IF(COUNTIF('Shade Match'!$C$5:$C$304,B176)=0,"Pending",IF(COUNTIFS('Shade Match'!$C$5:$C$304,B176,'Shade Match'!$Q$5:$Q$304,"Failed")&gt;0,"Failed","Approved")))</f>
        <v/>
      </c>
      <c r="S176" s="19" t="str">
        <f>IF(B176="","",SUMIF('Fabric Inventory'!$C$5:$C$304,B176,'Fabric Inventory'!$H$5:$H$304))</f>
        <v/>
      </c>
      <c r="T176" s="19" t="str">
        <f>IF(B176="","",SUMIF('Fabric Inventory'!$C$5:$C$304,B176,'Fabric Inventory'!$K$5:$K$304))</f>
        <v/>
      </c>
      <c r="U176" s="19" t="str">
        <f>IF(B176="","",SUMIF('Fabric Inventory'!$C$5:$C$304,B176,'Fabric Inventory'!$L$5:$L$304))</f>
        <v/>
      </c>
      <c r="V176" s="19" t="str">
        <f>IF(B176="","",SUMIF('Fabric Inventory'!$C$5:$C$304,B176,'Fabric Inventory'!$N$5:$N$304))</f>
        <v/>
      </c>
      <c r="W176" s="19" t="str">
        <f>IF(B176="","",SUMIF('Fabric Inventory'!$C$5:$C$304,B176,'Fabric Inventory'!$O$5:$O$304))</f>
        <v/>
      </c>
    </row>
    <row r="177" spans="1:23">
      <c r="A177" s="7" t="str">
        <f>IF('FGPO Master'!A171="","",'FGPO Master'!E171)</f>
        <v/>
      </c>
      <c r="B177" s="7" t="str">
        <f>IF('FGPO Master'!A171="","",IF('FGPO Master'!D171="FGPO Pending","FGPO Pending",'FGPO Master'!B171))</f>
        <v/>
      </c>
      <c r="C177" s="7" t="str">
        <f>IF('FGPO Master'!A171="","",'FGPO Master'!D171)</f>
        <v/>
      </c>
      <c r="D177" s="7" t="str">
        <f>IF('FGPO Master'!A171="","",'FGPO Master'!F171)</f>
        <v/>
      </c>
      <c r="E177" s="7" t="str">
        <f>IF('FGPO Master'!A171="","",'FGPO Master'!G171)</f>
        <v/>
      </c>
      <c r="F177" s="19" t="str">
        <f>IF('FGPO Master'!A171="","",'FGPO Master'!H171)</f>
        <v/>
      </c>
      <c r="G177" s="19" t="str">
        <f>IF('FGPO Master'!A171="","",'FGPO Master'!M171)</f>
        <v/>
      </c>
      <c r="H177" s="19" t="str">
        <f>IF(B177="","",SUMIF('Fabric Requirement'!$B$5:$B$304,B177,'Fabric Requirement'!$M$5:$M$304)+SUMIF('Fabric Requirement'!$B$5:$B$304,B177,'Fabric Requirement'!$O$5:$O$304))</f>
        <v/>
      </c>
      <c r="I177" s="19" t="str">
        <f>IF(B177="","",SUMIF('Fabric PO'!$B$5:$B$304,B177,'Fabric PO'!$H$5:$H$304))</f>
        <v/>
      </c>
      <c r="J177" s="19" t="str">
        <f>IF(B177="","",SUMIF('Mill Production'!$C$5:$C$304,B177,'Mill Production'!$I$5:$I$304))</f>
        <v/>
      </c>
      <c r="K177" s="7" t="str">
        <f>IF(B177="","",IF(COUNTIF('Mill Test'!$C$5:$C$304,B177)=0,"Pending",IF(COUNTIFS('Mill Test'!$C$5:$C$304,B177,'Mill Test'!$T$5:$T$304,"Failed")&gt;0,"Failed","Passed")))</f>
        <v/>
      </c>
      <c r="L177" s="19" t="str">
        <f>IF(B177="","",SUMIF('Fabric Shipment'!$C$5:$C$304,B177,'Fabric Shipment'!$G$5:$G$304))</f>
        <v/>
      </c>
      <c r="M177" s="19" t="str">
        <f>IF(B177="","",SUMIF('Fabric Shipment'!$C$5:$C$304,B177,'Fabric Shipment'!$R$5:$R$304))</f>
        <v/>
      </c>
      <c r="N177" s="19" t="str">
        <f>IF(B177="","",SUMIF('Fabric Receiving'!$E$5:$E$304,B177,'Fabric Receiving'!$H$5:$H$304))</f>
        <v/>
      </c>
      <c r="O177" s="19" t="str">
        <f>IF(B177="","",SUMIF('Fabric Receiving'!$E$5:$E$304,B177,'Fabric Receiving'!$I$5:$I$304))</f>
        <v/>
      </c>
      <c r="P177" s="7" t="str">
        <f>IF(B177="","",IF(COUNTIF('Four-Point'!$E$5:$E$304,B177)=0,"Pending",IF(COUNTIFS('Four-Point'!$E$5:$E$304,B177,'Four-Point'!$T$5:$T$304,"Failed")&gt;0,"Failed","Passed")))</f>
        <v/>
      </c>
      <c r="Q177" s="7" t="str">
        <f>IF(B177="","",IF(COUNTIF('Internal Test'!$D$5:$D$304,B177)=0,"Pending",IF(COUNTIFS('Internal Test'!$D$5:$D$304,B177,'Internal Test'!$AA$5:$AA$304,"Failed")&gt;0,"Failed","Passed")))</f>
        <v/>
      </c>
      <c r="R177" s="7" t="str">
        <f>IF(B177="","",IF(COUNTIF('Shade Match'!$C$5:$C$304,B177)=0,"Pending",IF(COUNTIFS('Shade Match'!$C$5:$C$304,B177,'Shade Match'!$Q$5:$Q$304,"Failed")&gt;0,"Failed","Approved")))</f>
        <v/>
      </c>
      <c r="S177" s="19" t="str">
        <f>IF(B177="","",SUMIF('Fabric Inventory'!$C$5:$C$304,B177,'Fabric Inventory'!$H$5:$H$304))</f>
        <v/>
      </c>
      <c r="T177" s="19" t="str">
        <f>IF(B177="","",SUMIF('Fabric Inventory'!$C$5:$C$304,B177,'Fabric Inventory'!$K$5:$K$304))</f>
        <v/>
      </c>
      <c r="U177" s="19" t="str">
        <f>IF(B177="","",SUMIF('Fabric Inventory'!$C$5:$C$304,B177,'Fabric Inventory'!$L$5:$L$304))</f>
        <v/>
      </c>
      <c r="V177" s="19" t="str">
        <f>IF(B177="","",SUMIF('Fabric Inventory'!$C$5:$C$304,B177,'Fabric Inventory'!$N$5:$N$304))</f>
        <v/>
      </c>
      <c r="W177" s="19" t="str">
        <f>IF(B177="","",SUMIF('Fabric Inventory'!$C$5:$C$304,B177,'Fabric Inventory'!$O$5:$O$304))</f>
        <v/>
      </c>
    </row>
    <row r="178" spans="1:23">
      <c r="A178" s="7" t="str">
        <f>IF('FGPO Master'!A172="","",'FGPO Master'!E172)</f>
        <v/>
      </c>
      <c r="B178" s="7" t="str">
        <f>IF('FGPO Master'!A172="","",IF('FGPO Master'!D172="FGPO Pending","FGPO Pending",'FGPO Master'!B172))</f>
        <v/>
      </c>
      <c r="C178" s="7" t="str">
        <f>IF('FGPO Master'!A172="","",'FGPO Master'!D172)</f>
        <v/>
      </c>
      <c r="D178" s="7" t="str">
        <f>IF('FGPO Master'!A172="","",'FGPO Master'!F172)</f>
        <v/>
      </c>
      <c r="E178" s="7" t="str">
        <f>IF('FGPO Master'!A172="","",'FGPO Master'!G172)</f>
        <v/>
      </c>
      <c r="F178" s="19" t="str">
        <f>IF('FGPO Master'!A172="","",'FGPO Master'!H172)</f>
        <v/>
      </c>
      <c r="G178" s="19" t="str">
        <f>IF('FGPO Master'!A172="","",'FGPO Master'!M172)</f>
        <v/>
      </c>
      <c r="H178" s="19" t="str">
        <f>IF(B178="","",SUMIF('Fabric Requirement'!$B$5:$B$304,B178,'Fabric Requirement'!$M$5:$M$304)+SUMIF('Fabric Requirement'!$B$5:$B$304,B178,'Fabric Requirement'!$O$5:$O$304))</f>
        <v/>
      </c>
      <c r="I178" s="19" t="str">
        <f>IF(B178="","",SUMIF('Fabric PO'!$B$5:$B$304,B178,'Fabric PO'!$H$5:$H$304))</f>
        <v/>
      </c>
      <c r="J178" s="19" t="str">
        <f>IF(B178="","",SUMIF('Mill Production'!$C$5:$C$304,B178,'Mill Production'!$I$5:$I$304))</f>
        <v/>
      </c>
      <c r="K178" s="7" t="str">
        <f>IF(B178="","",IF(COUNTIF('Mill Test'!$C$5:$C$304,B178)=0,"Pending",IF(COUNTIFS('Mill Test'!$C$5:$C$304,B178,'Mill Test'!$T$5:$T$304,"Failed")&gt;0,"Failed","Passed")))</f>
        <v/>
      </c>
      <c r="L178" s="19" t="str">
        <f>IF(B178="","",SUMIF('Fabric Shipment'!$C$5:$C$304,B178,'Fabric Shipment'!$G$5:$G$304))</f>
        <v/>
      </c>
      <c r="M178" s="19" t="str">
        <f>IF(B178="","",SUMIF('Fabric Shipment'!$C$5:$C$304,B178,'Fabric Shipment'!$R$5:$R$304))</f>
        <v/>
      </c>
      <c r="N178" s="19" t="str">
        <f>IF(B178="","",SUMIF('Fabric Receiving'!$E$5:$E$304,B178,'Fabric Receiving'!$H$5:$H$304))</f>
        <v/>
      </c>
      <c r="O178" s="19" t="str">
        <f>IF(B178="","",SUMIF('Fabric Receiving'!$E$5:$E$304,B178,'Fabric Receiving'!$I$5:$I$304))</f>
        <v/>
      </c>
      <c r="P178" s="7" t="str">
        <f>IF(B178="","",IF(COUNTIF('Four-Point'!$E$5:$E$304,B178)=0,"Pending",IF(COUNTIFS('Four-Point'!$E$5:$E$304,B178,'Four-Point'!$T$5:$T$304,"Failed")&gt;0,"Failed","Passed")))</f>
        <v/>
      </c>
      <c r="Q178" s="7" t="str">
        <f>IF(B178="","",IF(COUNTIF('Internal Test'!$D$5:$D$304,B178)=0,"Pending",IF(COUNTIFS('Internal Test'!$D$5:$D$304,B178,'Internal Test'!$AA$5:$AA$304,"Failed")&gt;0,"Failed","Passed")))</f>
        <v/>
      </c>
      <c r="R178" s="7" t="str">
        <f>IF(B178="","",IF(COUNTIF('Shade Match'!$C$5:$C$304,B178)=0,"Pending",IF(COUNTIFS('Shade Match'!$C$5:$C$304,B178,'Shade Match'!$Q$5:$Q$304,"Failed")&gt;0,"Failed","Approved")))</f>
        <v/>
      </c>
      <c r="S178" s="19" t="str">
        <f>IF(B178="","",SUMIF('Fabric Inventory'!$C$5:$C$304,B178,'Fabric Inventory'!$H$5:$H$304))</f>
        <v/>
      </c>
      <c r="T178" s="19" t="str">
        <f>IF(B178="","",SUMIF('Fabric Inventory'!$C$5:$C$304,B178,'Fabric Inventory'!$K$5:$K$304))</f>
        <v/>
      </c>
      <c r="U178" s="19" t="str">
        <f>IF(B178="","",SUMIF('Fabric Inventory'!$C$5:$C$304,B178,'Fabric Inventory'!$L$5:$L$304))</f>
        <v/>
      </c>
      <c r="V178" s="19" t="str">
        <f>IF(B178="","",SUMIF('Fabric Inventory'!$C$5:$C$304,B178,'Fabric Inventory'!$N$5:$N$304))</f>
        <v/>
      </c>
      <c r="W178" s="19" t="str">
        <f>IF(B178="","",SUMIF('Fabric Inventory'!$C$5:$C$304,B178,'Fabric Inventory'!$O$5:$O$304))</f>
        <v/>
      </c>
    </row>
    <row r="179" spans="1:23">
      <c r="A179" s="7" t="str">
        <f>IF('FGPO Master'!A173="","",'FGPO Master'!E173)</f>
        <v/>
      </c>
      <c r="B179" s="7" t="str">
        <f>IF('FGPO Master'!A173="","",IF('FGPO Master'!D173="FGPO Pending","FGPO Pending",'FGPO Master'!B173))</f>
        <v/>
      </c>
      <c r="C179" s="7" t="str">
        <f>IF('FGPO Master'!A173="","",'FGPO Master'!D173)</f>
        <v/>
      </c>
      <c r="D179" s="7" t="str">
        <f>IF('FGPO Master'!A173="","",'FGPO Master'!F173)</f>
        <v/>
      </c>
      <c r="E179" s="7" t="str">
        <f>IF('FGPO Master'!A173="","",'FGPO Master'!G173)</f>
        <v/>
      </c>
      <c r="F179" s="19" t="str">
        <f>IF('FGPO Master'!A173="","",'FGPO Master'!H173)</f>
        <v/>
      </c>
      <c r="G179" s="19" t="str">
        <f>IF('FGPO Master'!A173="","",'FGPO Master'!M173)</f>
        <v/>
      </c>
      <c r="H179" s="19" t="str">
        <f>IF(B179="","",SUMIF('Fabric Requirement'!$B$5:$B$304,B179,'Fabric Requirement'!$M$5:$M$304)+SUMIF('Fabric Requirement'!$B$5:$B$304,B179,'Fabric Requirement'!$O$5:$O$304))</f>
        <v/>
      </c>
      <c r="I179" s="19" t="str">
        <f>IF(B179="","",SUMIF('Fabric PO'!$B$5:$B$304,B179,'Fabric PO'!$H$5:$H$304))</f>
        <v/>
      </c>
      <c r="J179" s="19" t="str">
        <f>IF(B179="","",SUMIF('Mill Production'!$C$5:$C$304,B179,'Mill Production'!$I$5:$I$304))</f>
        <v/>
      </c>
      <c r="K179" s="7" t="str">
        <f>IF(B179="","",IF(COUNTIF('Mill Test'!$C$5:$C$304,B179)=0,"Pending",IF(COUNTIFS('Mill Test'!$C$5:$C$304,B179,'Mill Test'!$T$5:$T$304,"Failed")&gt;0,"Failed","Passed")))</f>
        <v/>
      </c>
      <c r="L179" s="19" t="str">
        <f>IF(B179="","",SUMIF('Fabric Shipment'!$C$5:$C$304,B179,'Fabric Shipment'!$G$5:$G$304))</f>
        <v/>
      </c>
      <c r="M179" s="19" t="str">
        <f>IF(B179="","",SUMIF('Fabric Shipment'!$C$5:$C$304,B179,'Fabric Shipment'!$R$5:$R$304))</f>
        <v/>
      </c>
      <c r="N179" s="19" t="str">
        <f>IF(B179="","",SUMIF('Fabric Receiving'!$E$5:$E$304,B179,'Fabric Receiving'!$H$5:$H$304))</f>
        <v/>
      </c>
      <c r="O179" s="19" t="str">
        <f>IF(B179="","",SUMIF('Fabric Receiving'!$E$5:$E$304,B179,'Fabric Receiving'!$I$5:$I$304))</f>
        <v/>
      </c>
      <c r="P179" s="7" t="str">
        <f>IF(B179="","",IF(COUNTIF('Four-Point'!$E$5:$E$304,B179)=0,"Pending",IF(COUNTIFS('Four-Point'!$E$5:$E$304,B179,'Four-Point'!$T$5:$T$304,"Failed")&gt;0,"Failed","Passed")))</f>
        <v/>
      </c>
      <c r="Q179" s="7" t="str">
        <f>IF(B179="","",IF(COUNTIF('Internal Test'!$D$5:$D$304,B179)=0,"Pending",IF(COUNTIFS('Internal Test'!$D$5:$D$304,B179,'Internal Test'!$AA$5:$AA$304,"Failed")&gt;0,"Failed","Passed")))</f>
        <v/>
      </c>
      <c r="R179" s="7" t="str">
        <f>IF(B179="","",IF(COUNTIF('Shade Match'!$C$5:$C$304,B179)=0,"Pending",IF(COUNTIFS('Shade Match'!$C$5:$C$304,B179,'Shade Match'!$Q$5:$Q$304,"Failed")&gt;0,"Failed","Approved")))</f>
        <v/>
      </c>
      <c r="S179" s="19" t="str">
        <f>IF(B179="","",SUMIF('Fabric Inventory'!$C$5:$C$304,B179,'Fabric Inventory'!$H$5:$H$304))</f>
        <v/>
      </c>
      <c r="T179" s="19" t="str">
        <f>IF(B179="","",SUMIF('Fabric Inventory'!$C$5:$C$304,B179,'Fabric Inventory'!$K$5:$K$304))</f>
        <v/>
      </c>
      <c r="U179" s="19" t="str">
        <f>IF(B179="","",SUMIF('Fabric Inventory'!$C$5:$C$304,B179,'Fabric Inventory'!$L$5:$L$304))</f>
        <v/>
      </c>
      <c r="V179" s="19" t="str">
        <f>IF(B179="","",SUMIF('Fabric Inventory'!$C$5:$C$304,B179,'Fabric Inventory'!$N$5:$N$304))</f>
        <v/>
      </c>
      <c r="W179" s="19" t="str">
        <f>IF(B179="","",SUMIF('Fabric Inventory'!$C$5:$C$304,B179,'Fabric Inventory'!$O$5:$O$304))</f>
        <v/>
      </c>
    </row>
    <row r="180" spans="1:23">
      <c r="A180" s="7" t="str">
        <f>IF('FGPO Master'!A174="","",'FGPO Master'!E174)</f>
        <v/>
      </c>
      <c r="B180" s="7" t="str">
        <f>IF('FGPO Master'!A174="","",IF('FGPO Master'!D174="FGPO Pending","FGPO Pending",'FGPO Master'!B174))</f>
        <v/>
      </c>
      <c r="C180" s="7" t="str">
        <f>IF('FGPO Master'!A174="","",'FGPO Master'!D174)</f>
        <v/>
      </c>
      <c r="D180" s="7" t="str">
        <f>IF('FGPO Master'!A174="","",'FGPO Master'!F174)</f>
        <v/>
      </c>
      <c r="E180" s="7" t="str">
        <f>IF('FGPO Master'!A174="","",'FGPO Master'!G174)</f>
        <v/>
      </c>
      <c r="F180" s="19" t="str">
        <f>IF('FGPO Master'!A174="","",'FGPO Master'!H174)</f>
        <v/>
      </c>
      <c r="G180" s="19" t="str">
        <f>IF('FGPO Master'!A174="","",'FGPO Master'!M174)</f>
        <v/>
      </c>
      <c r="H180" s="19" t="str">
        <f>IF(B180="","",SUMIF('Fabric Requirement'!$B$5:$B$304,B180,'Fabric Requirement'!$M$5:$M$304)+SUMIF('Fabric Requirement'!$B$5:$B$304,B180,'Fabric Requirement'!$O$5:$O$304))</f>
        <v/>
      </c>
      <c r="I180" s="19" t="str">
        <f>IF(B180="","",SUMIF('Fabric PO'!$B$5:$B$304,B180,'Fabric PO'!$H$5:$H$304))</f>
        <v/>
      </c>
      <c r="J180" s="19" t="str">
        <f>IF(B180="","",SUMIF('Mill Production'!$C$5:$C$304,B180,'Mill Production'!$I$5:$I$304))</f>
        <v/>
      </c>
      <c r="K180" s="7" t="str">
        <f>IF(B180="","",IF(COUNTIF('Mill Test'!$C$5:$C$304,B180)=0,"Pending",IF(COUNTIFS('Mill Test'!$C$5:$C$304,B180,'Mill Test'!$T$5:$T$304,"Failed")&gt;0,"Failed","Passed")))</f>
        <v/>
      </c>
      <c r="L180" s="19" t="str">
        <f>IF(B180="","",SUMIF('Fabric Shipment'!$C$5:$C$304,B180,'Fabric Shipment'!$G$5:$G$304))</f>
        <v/>
      </c>
      <c r="M180" s="19" t="str">
        <f>IF(B180="","",SUMIF('Fabric Shipment'!$C$5:$C$304,B180,'Fabric Shipment'!$R$5:$R$304))</f>
        <v/>
      </c>
      <c r="N180" s="19" t="str">
        <f>IF(B180="","",SUMIF('Fabric Receiving'!$E$5:$E$304,B180,'Fabric Receiving'!$H$5:$H$304))</f>
        <v/>
      </c>
      <c r="O180" s="19" t="str">
        <f>IF(B180="","",SUMIF('Fabric Receiving'!$E$5:$E$304,B180,'Fabric Receiving'!$I$5:$I$304))</f>
        <v/>
      </c>
      <c r="P180" s="7" t="str">
        <f>IF(B180="","",IF(COUNTIF('Four-Point'!$E$5:$E$304,B180)=0,"Pending",IF(COUNTIFS('Four-Point'!$E$5:$E$304,B180,'Four-Point'!$T$5:$T$304,"Failed")&gt;0,"Failed","Passed")))</f>
        <v/>
      </c>
      <c r="Q180" s="7" t="str">
        <f>IF(B180="","",IF(COUNTIF('Internal Test'!$D$5:$D$304,B180)=0,"Pending",IF(COUNTIFS('Internal Test'!$D$5:$D$304,B180,'Internal Test'!$AA$5:$AA$304,"Failed")&gt;0,"Failed","Passed")))</f>
        <v/>
      </c>
      <c r="R180" s="7" t="str">
        <f>IF(B180="","",IF(COUNTIF('Shade Match'!$C$5:$C$304,B180)=0,"Pending",IF(COUNTIFS('Shade Match'!$C$5:$C$304,B180,'Shade Match'!$Q$5:$Q$304,"Failed")&gt;0,"Failed","Approved")))</f>
        <v/>
      </c>
      <c r="S180" s="19" t="str">
        <f>IF(B180="","",SUMIF('Fabric Inventory'!$C$5:$C$304,B180,'Fabric Inventory'!$H$5:$H$304))</f>
        <v/>
      </c>
      <c r="T180" s="19" t="str">
        <f>IF(B180="","",SUMIF('Fabric Inventory'!$C$5:$C$304,B180,'Fabric Inventory'!$K$5:$K$304))</f>
        <v/>
      </c>
      <c r="U180" s="19" t="str">
        <f>IF(B180="","",SUMIF('Fabric Inventory'!$C$5:$C$304,B180,'Fabric Inventory'!$L$5:$L$304))</f>
        <v/>
      </c>
      <c r="V180" s="19" t="str">
        <f>IF(B180="","",SUMIF('Fabric Inventory'!$C$5:$C$304,B180,'Fabric Inventory'!$N$5:$N$304))</f>
        <v/>
      </c>
      <c r="W180" s="19" t="str">
        <f>IF(B180="","",SUMIF('Fabric Inventory'!$C$5:$C$304,B180,'Fabric Inventory'!$O$5:$O$304))</f>
        <v/>
      </c>
    </row>
    <row r="181" spans="1:23">
      <c r="A181" s="7" t="str">
        <f>IF('FGPO Master'!A175="","",'FGPO Master'!E175)</f>
        <v/>
      </c>
      <c r="B181" s="7" t="str">
        <f>IF('FGPO Master'!A175="","",IF('FGPO Master'!D175="FGPO Pending","FGPO Pending",'FGPO Master'!B175))</f>
        <v/>
      </c>
      <c r="C181" s="7" t="str">
        <f>IF('FGPO Master'!A175="","",'FGPO Master'!D175)</f>
        <v/>
      </c>
      <c r="D181" s="7" t="str">
        <f>IF('FGPO Master'!A175="","",'FGPO Master'!F175)</f>
        <v/>
      </c>
      <c r="E181" s="7" t="str">
        <f>IF('FGPO Master'!A175="","",'FGPO Master'!G175)</f>
        <v/>
      </c>
      <c r="F181" s="19" t="str">
        <f>IF('FGPO Master'!A175="","",'FGPO Master'!H175)</f>
        <v/>
      </c>
      <c r="G181" s="19" t="str">
        <f>IF('FGPO Master'!A175="","",'FGPO Master'!M175)</f>
        <v/>
      </c>
      <c r="H181" s="19" t="str">
        <f>IF(B181="","",SUMIF('Fabric Requirement'!$B$5:$B$304,B181,'Fabric Requirement'!$M$5:$M$304)+SUMIF('Fabric Requirement'!$B$5:$B$304,B181,'Fabric Requirement'!$O$5:$O$304))</f>
        <v/>
      </c>
      <c r="I181" s="19" t="str">
        <f>IF(B181="","",SUMIF('Fabric PO'!$B$5:$B$304,B181,'Fabric PO'!$H$5:$H$304))</f>
        <v/>
      </c>
      <c r="J181" s="19" t="str">
        <f>IF(B181="","",SUMIF('Mill Production'!$C$5:$C$304,B181,'Mill Production'!$I$5:$I$304))</f>
        <v/>
      </c>
      <c r="K181" s="7" t="str">
        <f>IF(B181="","",IF(COUNTIF('Mill Test'!$C$5:$C$304,B181)=0,"Pending",IF(COUNTIFS('Mill Test'!$C$5:$C$304,B181,'Mill Test'!$T$5:$T$304,"Failed")&gt;0,"Failed","Passed")))</f>
        <v/>
      </c>
      <c r="L181" s="19" t="str">
        <f>IF(B181="","",SUMIF('Fabric Shipment'!$C$5:$C$304,B181,'Fabric Shipment'!$G$5:$G$304))</f>
        <v/>
      </c>
      <c r="M181" s="19" t="str">
        <f>IF(B181="","",SUMIF('Fabric Shipment'!$C$5:$C$304,B181,'Fabric Shipment'!$R$5:$R$304))</f>
        <v/>
      </c>
      <c r="N181" s="19" t="str">
        <f>IF(B181="","",SUMIF('Fabric Receiving'!$E$5:$E$304,B181,'Fabric Receiving'!$H$5:$H$304))</f>
        <v/>
      </c>
      <c r="O181" s="19" t="str">
        <f>IF(B181="","",SUMIF('Fabric Receiving'!$E$5:$E$304,B181,'Fabric Receiving'!$I$5:$I$304))</f>
        <v/>
      </c>
      <c r="P181" s="7" t="str">
        <f>IF(B181="","",IF(COUNTIF('Four-Point'!$E$5:$E$304,B181)=0,"Pending",IF(COUNTIFS('Four-Point'!$E$5:$E$304,B181,'Four-Point'!$T$5:$T$304,"Failed")&gt;0,"Failed","Passed")))</f>
        <v/>
      </c>
      <c r="Q181" s="7" t="str">
        <f>IF(B181="","",IF(COUNTIF('Internal Test'!$D$5:$D$304,B181)=0,"Pending",IF(COUNTIFS('Internal Test'!$D$5:$D$304,B181,'Internal Test'!$AA$5:$AA$304,"Failed")&gt;0,"Failed","Passed")))</f>
        <v/>
      </c>
      <c r="R181" s="7" t="str">
        <f>IF(B181="","",IF(COUNTIF('Shade Match'!$C$5:$C$304,B181)=0,"Pending",IF(COUNTIFS('Shade Match'!$C$5:$C$304,B181,'Shade Match'!$Q$5:$Q$304,"Failed")&gt;0,"Failed","Approved")))</f>
        <v/>
      </c>
      <c r="S181" s="19" t="str">
        <f>IF(B181="","",SUMIF('Fabric Inventory'!$C$5:$C$304,B181,'Fabric Inventory'!$H$5:$H$304))</f>
        <v/>
      </c>
      <c r="T181" s="19" t="str">
        <f>IF(B181="","",SUMIF('Fabric Inventory'!$C$5:$C$304,B181,'Fabric Inventory'!$K$5:$K$304))</f>
        <v/>
      </c>
      <c r="U181" s="19" t="str">
        <f>IF(B181="","",SUMIF('Fabric Inventory'!$C$5:$C$304,B181,'Fabric Inventory'!$L$5:$L$304))</f>
        <v/>
      </c>
      <c r="V181" s="19" t="str">
        <f>IF(B181="","",SUMIF('Fabric Inventory'!$C$5:$C$304,B181,'Fabric Inventory'!$N$5:$N$304))</f>
        <v/>
      </c>
      <c r="W181" s="19" t="str">
        <f>IF(B181="","",SUMIF('Fabric Inventory'!$C$5:$C$304,B181,'Fabric Inventory'!$O$5:$O$304))</f>
        <v/>
      </c>
    </row>
    <row r="182" spans="1:23">
      <c r="A182" s="7" t="str">
        <f>IF('FGPO Master'!A176="","",'FGPO Master'!E176)</f>
        <v/>
      </c>
      <c r="B182" s="7" t="str">
        <f>IF('FGPO Master'!A176="","",IF('FGPO Master'!D176="FGPO Pending","FGPO Pending",'FGPO Master'!B176))</f>
        <v/>
      </c>
      <c r="C182" s="7" t="str">
        <f>IF('FGPO Master'!A176="","",'FGPO Master'!D176)</f>
        <v/>
      </c>
      <c r="D182" s="7" t="str">
        <f>IF('FGPO Master'!A176="","",'FGPO Master'!F176)</f>
        <v/>
      </c>
      <c r="E182" s="7" t="str">
        <f>IF('FGPO Master'!A176="","",'FGPO Master'!G176)</f>
        <v/>
      </c>
      <c r="F182" s="19" t="str">
        <f>IF('FGPO Master'!A176="","",'FGPO Master'!H176)</f>
        <v/>
      </c>
      <c r="G182" s="19" t="str">
        <f>IF('FGPO Master'!A176="","",'FGPO Master'!M176)</f>
        <v/>
      </c>
      <c r="H182" s="19" t="str">
        <f>IF(B182="","",SUMIF('Fabric Requirement'!$B$5:$B$304,B182,'Fabric Requirement'!$M$5:$M$304)+SUMIF('Fabric Requirement'!$B$5:$B$304,B182,'Fabric Requirement'!$O$5:$O$304))</f>
        <v/>
      </c>
      <c r="I182" s="19" t="str">
        <f>IF(B182="","",SUMIF('Fabric PO'!$B$5:$B$304,B182,'Fabric PO'!$H$5:$H$304))</f>
        <v/>
      </c>
      <c r="J182" s="19" t="str">
        <f>IF(B182="","",SUMIF('Mill Production'!$C$5:$C$304,B182,'Mill Production'!$I$5:$I$304))</f>
        <v/>
      </c>
      <c r="K182" s="7" t="str">
        <f>IF(B182="","",IF(COUNTIF('Mill Test'!$C$5:$C$304,B182)=0,"Pending",IF(COUNTIFS('Mill Test'!$C$5:$C$304,B182,'Mill Test'!$T$5:$T$304,"Failed")&gt;0,"Failed","Passed")))</f>
        <v/>
      </c>
      <c r="L182" s="19" t="str">
        <f>IF(B182="","",SUMIF('Fabric Shipment'!$C$5:$C$304,B182,'Fabric Shipment'!$G$5:$G$304))</f>
        <v/>
      </c>
      <c r="M182" s="19" t="str">
        <f>IF(B182="","",SUMIF('Fabric Shipment'!$C$5:$C$304,B182,'Fabric Shipment'!$R$5:$R$304))</f>
        <v/>
      </c>
      <c r="N182" s="19" t="str">
        <f>IF(B182="","",SUMIF('Fabric Receiving'!$E$5:$E$304,B182,'Fabric Receiving'!$H$5:$H$304))</f>
        <v/>
      </c>
      <c r="O182" s="19" t="str">
        <f>IF(B182="","",SUMIF('Fabric Receiving'!$E$5:$E$304,B182,'Fabric Receiving'!$I$5:$I$304))</f>
        <v/>
      </c>
      <c r="P182" s="7" t="str">
        <f>IF(B182="","",IF(COUNTIF('Four-Point'!$E$5:$E$304,B182)=0,"Pending",IF(COUNTIFS('Four-Point'!$E$5:$E$304,B182,'Four-Point'!$T$5:$T$304,"Failed")&gt;0,"Failed","Passed")))</f>
        <v/>
      </c>
      <c r="Q182" s="7" t="str">
        <f>IF(B182="","",IF(COUNTIF('Internal Test'!$D$5:$D$304,B182)=0,"Pending",IF(COUNTIFS('Internal Test'!$D$5:$D$304,B182,'Internal Test'!$AA$5:$AA$304,"Failed")&gt;0,"Failed","Passed")))</f>
        <v/>
      </c>
      <c r="R182" s="7" t="str">
        <f>IF(B182="","",IF(COUNTIF('Shade Match'!$C$5:$C$304,B182)=0,"Pending",IF(COUNTIFS('Shade Match'!$C$5:$C$304,B182,'Shade Match'!$Q$5:$Q$304,"Failed")&gt;0,"Failed","Approved")))</f>
        <v/>
      </c>
      <c r="S182" s="19" t="str">
        <f>IF(B182="","",SUMIF('Fabric Inventory'!$C$5:$C$304,B182,'Fabric Inventory'!$H$5:$H$304))</f>
        <v/>
      </c>
      <c r="T182" s="19" t="str">
        <f>IF(B182="","",SUMIF('Fabric Inventory'!$C$5:$C$304,B182,'Fabric Inventory'!$K$5:$K$304))</f>
        <v/>
      </c>
      <c r="U182" s="19" t="str">
        <f>IF(B182="","",SUMIF('Fabric Inventory'!$C$5:$C$304,B182,'Fabric Inventory'!$L$5:$L$304))</f>
        <v/>
      </c>
      <c r="V182" s="19" t="str">
        <f>IF(B182="","",SUMIF('Fabric Inventory'!$C$5:$C$304,B182,'Fabric Inventory'!$N$5:$N$304))</f>
        <v/>
      </c>
      <c r="W182" s="19" t="str">
        <f>IF(B182="","",SUMIF('Fabric Inventory'!$C$5:$C$304,B182,'Fabric Inventory'!$O$5:$O$304))</f>
        <v/>
      </c>
    </row>
    <row r="183" spans="1:23">
      <c r="A183" s="7" t="str">
        <f>IF('FGPO Master'!A177="","",'FGPO Master'!E177)</f>
        <v/>
      </c>
      <c r="B183" s="7" t="str">
        <f>IF('FGPO Master'!A177="","",IF('FGPO Master'!D177="FGPO Pending","FGPO Pending",'FGPO Master'!B177))</f>
        <v/>
      </c>
      <c r="C183" s="7" t="str">
        <f>IF('FGPO Master'!A177="","",'FGPO Master'!D177)</f>
        <v/>
      </c>
      <c r="D183" s="7" t="str">
        <f>IF('FGPO Master'!A177="","",'FGPO Master'!F177)</f>
        <v/>
      </c>
      <c r="E183" s="7" t="str">
        <f>IF('FGPO Master'!A177="","",'FGPO Master'!G177)</f>
        <v/>
      </c>
      <c r="F183" s="19" t="str">
        <f>IF('FGPO Master'!A177="","",'FGPO Master'!H177)</f>
        <v/>
      </c>
      <c r="G183" s="19" t="str">
        <f>IF('FGPO Master'!A177="","",'FGPO Master'!M177)</f>
        <v/>
      </c>
      <c r="H183" s="19" t="str">
        <f>IF(B183="","",SUMIF('Fabric Requirement'!$B$5:$B$304,B183,'Fabric Requirement'!$M$5:$M$304)+SUMIF('Fabric Requirement'!$B$5:$B$304,B183,'Fabric Requirement'!$O$5:$O$304))</f>
        <v/>
      </c>
      <c r="I183" s="19" t="str">
        <f>IF(B183="","",SUMIF('Fabric PO'!$B$5:$B$304,B183,'Fabric PO'!$H$5:$H$304))</f>
        <v/>
      </c>
      <c r="J183" s="19" t="str">
        <f>IF(B183="","",SUMIF('Mill Production'!$C$5:$C$304,B183,'Mill Production'!$I$5:$I$304))</f>
        <v/>
      </c>
      <c r="K183" s="7" t="str">
        <f>IF(B183="","",IF(COUNTIF('Mill Test'!$C$5:$C$304,B183)=0,"Pending",IF(COUNTIFS('Mill Test'!$C$5:$C$304,B183,'Mill Test'!$T$5:$T$304,"Failed")&gt;0,"Failed","Passed")))</f>
        <v/>
      </c>
      <c r="L183" s="19" t="str">
        <f>IF(B183="","",SUMIF('Fabric Shipment'!$C$5:$C$304,B183,'Fabric Shipment'!$G$5:$G$304))</f>
        <v/>
      </c>
      <c r="M183" s="19" t="str">
        <f>IF(B183="","",SUMIF('Fabric Shipment'!$C$5:$C$304,B183,'Fabric Shipment'!$R$5:$R$304))</f>
        <v/>
      </c>
      <c r="N183" s="19" t="str">
        <f>IF(B183="","",SUMIF('Fabric Receiving'!$E$5:$E$304,B183,'Fabric Receiving'!$H$5:$H$304))</f>
        <v/>
      </c>
      <c r="O183" s="19" t="str">
        <f>IF(B183="","",SUMIF('Fabric Receiving'!$E$5:$E$304,B183,'Fabric Receiving'!$I$5:$I$304))</f>
        <v/>
      </c>
      <c r="P183" s="7" t="str">
        <f>IF(B183="","",IF(COUNTIF('Four-Point'!$E$5:$E$304,B183)=0,"Pending",IF(COUNTIFS('Four-Point'!$E$5:$E$304,B183,'Four-Point'!$T$5:$T$304,"Failed")&gt;0,"Failed","Passed")))</f>
        <v/>
      </c>
      <c r="Q183" s="7" t="str">
        <f>IF(B183="","",IF(COUNTIF('Internal Test'!$D$5:$D$304,B183)=0,"Pending",IF(COUNTIFS('Internal Test'!$D$5:$D$304,B183,'Internal Test'!$AA$5:$AA$304,"Failed")&gt;0,"Failed","Passed")))</f>
        <v/>
      </c>
      <c r="R183" s="7" t="str">
        <f>IF(B183="","",IF(COUNTIF('Shade Match'!$C$5:$C$304,B183)=0,"Pending",IF(COUNTIFS('Shade Match'!$C$5:$C$304,B183,'Shade Match'!$Q$5:$Q$304,"Failed")&gt;0,"Failed","Approved")))</f>
        <v/>
      </c>
      <c r="S183" s="19" t="str">
        <f>IF(B183="","",SUMIF('Fabric Inventory'!$C$5:$C$304,B183,'Fabric Inventory'!$H$5:$H$304))</f>
        <v/>
      </c>
      <c r="T183" s="19" t="str">
        <f>IF(B183="","",SUMIF('Fabric Inventory'!$C$5:$C$304,B183,'Fabric Inventory'!$K$5:$K$304))</f>
        <v/>
      </c>
      <c r="U183" s="19" t="str">
        <f>IF(B183="","",SUMIF('Fabric Inventory'!$C$5:$C$304,B183,'Fabric Inventory'!$L$5:$L$304))</f>
        <v/>
      </c>
      <c r="V183" s="19" t="str">
        <f>IF(B183="","",SUMIF('Fabric Inventory'!$C$5:$C$304,B183,'Fabric Inventory'!$N$5:$N$304))</f>
        <v/>
      </c>
      <c r="W183" s="19" t="str">
        <f>IF(B183="","",SUMIF('Fabric Inventory'!$C$5:$C$304,B183,'Fabric Inventory'!$O$5:$O$304))</f>
        <v/>
      </c>
    </row>
    <row r="184" spans="1:23">
      <c r="A184" s="7" t="str">
        <f>IF('FGPO Master'!A178="","",'FGPO Master'!E178)</f>
        <v/>
      </c>
      <c r="B184" s="7" t="str">
        <f>IF('FGPO Master'!A178="","",IF('FGPO Master'!D178="FGPO Pending","FGPO Pending",'FGPO Master'!B178))</f>
        <v/>
      </c>
      <c r="C184" s="7" t="str">
        <f>IF('FGPO Master'!A178="","",'FGPO Master'!D178)</f>
        <v/>
      </c>
      <c r="D184" s="7" t="str">
        <f>IF('FGPO Master'!A178="","",'FGPO Master'!F178)</f>
        <v/>
      </c>
      <c r="E184" s="7" t="str">
        <f>IF('FGPO Master'!A178="","",'FGPO Master'!G178)</f>
        <v/>
      </c>
      <c r="F184" s="19" t="str">
        <f>IF('FGPO Master'!A178="","",'FGPO Master'!H178)</f>
        <v/>
      </c>
      <c r="G184" s="19" t="str">
        <f>IF('FGPO Master'!A178="","",'FGPO Master'!M178)</f>
        <v/>
      </c>
      <c r="H184" s="19" t="str">
        <f>IF(B184="","",SUMIF('Fabric Requirement'!$B$5:$B$304,B184,'Fabric Requirement'!$M$5:$M$304)+SUMIF('Fabric Requirement'!$B$5:$B$304,B184,'Fabric Requirement'!$O$5:$O$304))</f>
        <v/>
      </c>
      <c r="I184" s="19" t="str">
        <f>IF(B184="","",SUMIF('Fabric PO'!$B$5:$B$304,B184,'Fabric PO'!$H$5:$H$304))</f>
        <v/>
      </c>
      <c r="J184" s="19" t="str">
        <f>IF(B184="","",SUMIF('Mill Production'!$C$5:$C$304,B184,'Mill Production'!$I$5:$I$304))</f>
        <v/>
      </c>
      <c r="K184" s="7" t="str">
        <f>IF(B184="","",IF(COUNTIF('Mill Test'!$C$5:$C$304,B184)=0,"Pending",IF(COUNTIFS('Mill Test'!$C$5:$C$304,B184,'Mill Test'!$T$5:$T$304,"Failed")&gt;0,"Failed","Passed")))</f>
        <v/>
      </c>
      <c r="L184" s="19" t="str">
        <f>IF(B184="","",SUMIF('Fabric Shipment'!$C$5:$C$304,B184,'Fabric Shipment'!$G$5:$G$304))</f>
        <v/>
      </c>
      <c r="M184" s="19" t="str">
        <f>IF(B184="","",SUMIF('Fabric Shipment'!$C$5:$C$304,B184,'Fabric Shipment'!$R$5:$R$304))</f>
        <v/>
      </c>
      <c r="N184" s="19" t="str">
        <f>IF(B184="","",SUMIF('Fabric Receiving'!$E$5:$E$304,B184,'Fabric Receiving'!$H$5:$H$304))</f>
        <v/>
      </c>
      <c r="O184" s="19" t="str">
        <f>IF(B184="","",SUMIF('Fabric Receiving'!$E$5:$E$304,B184,'Fabric Receiving'!$I$5:$I$304))</f>
        <v/>
      </c>
      <c r="P184" s="7" t="str">
        <f>IF(B184="","",IF(COUNTIF('Four-Point'!$E$5:$E$304,B184)=0,"Pending",IF(COUNTIFS('Four-Point'!$E$5:$E$304,B184,'Four-Point'!$T$5:$T$304,"Failed")&gt;0,"Failed","Passed")))</f>
        <v/>
      </c>
      <c r="Q184" s="7" t="str">
        <f>IF(B184="","",IF(COUNTIF('Internal Test'!$D$5:$D$304,B184)=0,"Pending",IF(COUNTIFS('Internal Test'!$D$5:$D$304,B184,'Internal Test'!$AA$5:$AA$304,"Failed")&gt;0,"Failed","Passed")))</f>
        <v/>
      </c>
      <c r="R184" s="7" t="str">
        <f>IF(B184="","",IF(COUNTIF('Shade Match'!$C$5:$C$304,B184)=0,"Pending",IF(COUNTIFS('Shade Match'!$C$5:$C$304,B184,'Shade Match'!$Q$5:$Q$304,"Failed")&gt;0,"Failed","Approved")))</f>
        <v/>
      </c>
      <c r="S184" s="19" t="str">
        <f>IF(B184="","",SUMIF('Fabric Inventory'!$C$5:$C$304,B184,'Fabric Inventory'!$H$5:$H$304))</f>
        <v/>
      </c>
      <c r="T184" s="19" t="str">
        <f>IF(B184="","",SUMIF('Fabric Inventory'!$C$5:$C$304,B184,'Fabric Inventory'!$K$5:$K$304))</f>
        <v/>
      </c>
      <c r="U184" s="19" t="str">
        <f>IF(B184="","",SUMIF('Fabric Inventory'!$C$5:$C$304,B184,'Fabric Inventory'!$L$5:$L$304))</f>
        <v/>
      </c>
      <c r="V184" s="19" t="str">
        <f>IF(B184="","",SUMIF('Fabric Inventory'!$C$5:$C$304,B184,'Fabric Inventory'!$N$5:$N$304))</f>
        <v/>
      </c>
      <c r="W184" s="19" t="str">
        <f>IF(B184="","",SUMIF('Fabric Inventory'!$C$5:$C$304,B184,'Fabric Inventory'!$O$5:$O$304))</f>
        <v/>
      </c>
    </row>
    <row r="185" spans="1:23">
      <c r="A185" s="7" t="str">
        <f>IF('FGPO Master'!A179="","",'FGPO Master'!E179)</f>
        <v/>
      </c>
      <c r="B185" s="7" t="str">
        <f>IF('FGPO Master'!A179="","",IF('FGPO Master'!D179="FGPO Pending","FGPO Pending",'FGPO Master'!B179))</f>
        <v/>
      </c>
      <c r="C185" s="7" t="str">
        <f>IF('FGPO Master'!A179="","",'FGPO Master'!D179)</f>
        <v/>
      </c>
      <c r="D185" s="7" t="str">
        <f>IF('FGPO Master'!A179="","",'FGPO Master'!F179)</f>
        <v/>
      </c>
      <c r="E185" s="7" t="str">
        <f>IF('FGPO Master'!A179="","",'FGPO Master'!G179)</f>
        <v/>
      </c>
      <c r="F185" s="19" t="str">
        <f>IF('FGPO Master'!A179="","",'FGPO Master'!H179)</f>
        <v/>
      </c>
      <c r="G185" s="19" t="str">
        <f>IF('FGPO Master'!A179="","",'FGPO Master'!M179)</f>
        <v/>
      </c>
      <c r="H185" s="19" t="str">
        <f>IF(B185="","",SUMIF('Fabric Requirement'!$B$5:$B$304,B185,'Fabric Requirement'!$M$5:$M$304)+SUMIF('Fabric Requirement'!$B$5:$B$304,B185,'Fabric Requirement'!$O$5:$O$304))</f>
        <v/>
      </c>
      <c r="I185" s="19" t="str">
        <f>IF(B185="","",SUMIF('Fabric PO'!$B$5:$B$304,B185,'Fabric PO'!$H$5:$H$304))</f>
        <v/>
      </c>
      <c r="J185" s="19" t="str">
        <f>IF(B185="","",SUMIF('Mill Production'!$C$5:$C$304,B185,'Mill Production'!$I$5:$I$304))</f>
        <v/>
      </c>
      <c r="K185" s="7" t="str">
        <f>IF(B185="","",IF(COUNTIF('Mill Test'!$C$5:$C$304,B185)=0,"Pending",IF(COUNTIFS('Mill Test'!$C$5:$C$304,B185,'Mill Test'!$T$5:$T$304,"Failed")&gt;0,"Failed","Passed")))</f>
        <v/>
      </c>
      <c r="L185" s="19" t="str">
        <f>IF(B185="","",SUMIF('Fabric Shipment'!$C$5:$C$304,B185,'Fabric Shipment'!$G$5:$G$304))</f>
        <v/>
      </c>
      <c r="M185" s="19" t="str">
        <f>IF(B185="","",SUMIF('Fabric Shipment'!$C$5:$C$304,B185,'Fabric Shipment'!$R$5:$R$304))</f>
        <v/>
      </c>
      <c r="N185" s="19" t="str">
        <f>IF(B185="","",SUMIF('Fabric Receiving'!$E$5:$E$304,B185,'Fabric Receiving'!$H$5:$H$304))</f>
        <v/>
      </c>
      <c r="O185" s="19" t="str">
        <f>IF(B185="","",SUMIF('Fabric Receiving'!$E$5:$E$304,B185,'Fabric Receiving'!$I$5:$I$304))</f>
        <v/>
      </c>
      <c r="P185" s="7" t="str">
        <f>IF(B185="","",IF(COUNTIF('Four-Point'!$E$5:$E$304,B185)=0,"Pending",IF(COUNTIFS('Four-Point'!$E$5:$E$304,B185,'Four-Point'!$T$5:$T$304,"Failed")&gt;0,"Failed","Passed")))</f>
        <v/>
      </c>
      <c r="Q185" s="7" t="str">
        <f>IF(B185="","",IF(COUNTIF('Internal Test'!$D$5:$D$304,B185)=0,"Pending",IF(COUNTIFS('Internal Test'!$D$5:$D$304,B185,'Internal Test'!$AA$5:$AA$304,"Failed")&gt;0,"Failed","Passed")))</f>
        <v/>
      </c>
      <c r="R185" s="7" t="str">
        <f>IF(B185="","",IF(COUNTIF('Shade Match'!$C$5:$C$304,B185)=0,"Pending",IF(COUNTIFS('Shade Match'!$C$5:$C$304,B185,'Shade Match'!$Q$5:$Q$304,"Failed")&gt;0,"Failed","Approved")))</f>
        <v/>
      </c>
      <c r="S185" s="19" t="str">
        <f>IF(B185="","",SUMIF('Fabric Inventory'!$C$5:$C$304,B185,'Fabric Inventory'!$H$5:$H$304))</f>
        <v/>
      </c>
      <c r="T185" s="19" t="str">
        <f>IF(B185="","",SUMIF('Fabric Inventory'!$C$5:$C$304,B185,'Fabric Inventory'!$K$5:$K$304))</f>
        <v/>
      </c>
      <c r="U185" s="19" t="str">
        <f>IF(B185="","",SUMIF('Fabric Inventory'!$C$5:$C$304,B185,'Fabric Inventory'!$L$5:$L$304))</f>
        <v/>
      </c>
      <c r="V185" s="19" t="str">
        <f>IF(B185="","",SUMIF('Fabric Inventory'!$C$5:$C$304,B185,'Fabric Inventory'!$N$5:$N$304))</f>
        <v/>
      </c>
      <c r="W185" s="19" t="str">
        <f>IF(B185="","",SUMIF('Fabric Inventory'!$C$5:$C$304,B185,'Fabric Inventory'!$O$5:$O$304))</f>
        <v/>
      </c>
    </row>
    <row r="186" spans="1:23">
      <c r="A186" s="7" t="str">
        <f>IF('FGPO Master'!A180="","",'FGPO Master'!E180)</f>
        <v/>
      </c>
      <c r="B186" s="7" t="str">
        <f>IF('FGPO Master'!A180="","",IF('FGPO Master'!D180="FGPO Pending","FGPO Pending",'FGPO Master'!B180))</f>
        <v/>
      </c>
      <c r="C186" s="7" t="str">
        <f>IF('FGPO Master'!A180="","",'FGPO Master'!D180)</f>
        <v/>
      </c>
      <c r="D186" s="7" t="str">
        <f>IF('FGPO Master'!A180="","",'FGPO Master'!F180)</f>
        <v/>
      </c>
      <c r="E186" s="7" t="str">
        <f>IF('FGPO Master'!A180="","",'FGPO Master'!G180)</f>
        <v/>
      </c>
      <c r="F186" s="19" t="str">
        <f>IF('FGPO Master'!A180="","",'FGPO Master'!H180)</f>
        <v/>
      </c>
      <c r="G186" s="19" t="str">
        <f>IF('FGPO Master'!A180="","",'FGPO Master'!M180)</f>
        <v/>
      </c>
      <c r="H186" s="19" t="str">
        <f>IF(B186="","",SUMIF('Fabric Requirement'!$B$5:$B$304,B186,'Fabric Requirement'!$M$5:$M$304)+SUMIF('Fabric Requirement'!$B$5:$B$304,B186,'Fabric Requirement'!$O$5:$O$304))</f>
        <v/>
      </c>
      <c r="I186" s="19" t="str">
        <f>IF(B186="","",SUMIF('Fabric PO'!$B$5:$B$304,B186,'Fabric PO'!$H$5:$H$304))</f>
        <v/>
      </c>
      <c r="J186" s="19" t="str">
        <f>IF(B186="","",SUMIF('Mill Production'!$C$5:$C$304,B186,'Mill Production'!$I$5:$I$304))</f>
        <v/>
      </c>
      <c r="K186" s="7" t="str">
        <f>IF(B186="","",IF(COUNTIF('Mill Test'!$C$5:$C$304,B186)=0,"Pending",IF(COUNTIFS('Mill Test'!$C$5:$C$304,B186,'Mill Test'!$T$5:$T$304,"Failed")&gt;0,"Failed","Passed")))</f>
        <v/>
      </c>
      <c r="L186" s="19" t="str">
        <f>IF(B186="","",SUMIF('Fabric Shipment'!$C$5:$C$304,B186,'Fabric Shipment'!$G$5:$G$304))</f>
        <v/>
      </c>
      <c r="M186" s="19" t="str">
        <f>IF(B186="","",SUMIF('Fabric Shipment'!$C$5:$C$304,B186,'Fabric Shipment'!$R$5:$R$304))</f>
        <v/>
      </c>
      <c r="N186" s="19" t="str">
        <f>IF(B186="","",SUMIF('Fabric Receiving'!$E$5:$E$304,B186,'Fabric Receiving'!$H$5:$H$304))</f>
        <v/>
      </c>
      <c r="O186" s="19" t="str">
        <f>IF(B186="","",SUMIF('Fabric Receiving'!$E$5:$E$304,B186,'Fabric Receiving'!$I$5:$I$304))</f>
        <v/>
      </c>
      <c r="P186" s="7" t="str">
        <f>IF(B186="","",IF(COUNTIF('Four-Point'!$E$5:$E$304,B186)=0,"Pending",IF(COUNTIFS('Four-Point'!$E$5:$E$304,B186,'Four-Point'!$T$5:$T$304,"Failed")&gt;0,"Failed","Passed")))</f>
        <v/>
      </c>
      <c r="Q186" s="7" t="str">
        <f>IF(B186="","",IF(COUNTIF('Internal Test'!$D$5:$D$304,B186)=0,"Pending",IF(COUNTIFS('Internal Test'!$D$5:$D$304,B186,'Internal Test'!$AA$5:$AA$304,"Failed")&gt;0,"Failed","Passed")))</f>
        <v/>
      </c>
      <c r="R186" s="7" t="str">
        <f>IF(B186="","",IF(COUNTIF('Shade Match'!$C$5:$C$304,B186)=0,"Pending",IF(COUNTIFS('Shade Match'!$C$5:$C$304,B186,'Shade Match'!$Q$5:$Q$304,"Failed")&gt;0,"Failed","Approved")))</f>
        <v/>
      </c>
      <c r="S186" s="19" t="str">
        <f>IF(B186="","",SUMIF('Fabric Inventory'!$C$5:$C$304,B186,'Fabric Inventory'!$H$5:$H$304))</f>
        <v/>
      </c>
      <c r="T186" s="19" t="str">
        <f>IF(B186="","",SUMIF('Fabric Inventory'!$C$5:$C$304,B186,'Fabric Inventory'!$K$5:$K$304))</f>
        <v/>
      </c>
      <c r="U186" s="19" t="str">
        <f>IF(B186="","",SUMIF('Fabric Inventory'!$C$5:$C$304,B186,'Fabric Inventory'!$L$5:$L$304))</f>
        <v/>
      </c>
      <c r="V186" s="19" t="str">
        <f>IF(B186="","",SUMIF('Fabric Inventory'!$C$5:$C$304,B186,'Fabric Inventory'!$N$5:$N$304))</f>
        <v/>
      </c>
      <c r="W186" s="19" t="str">
        <f>IF(B186="","",SUMIF('Fabric Inventory'!$C$5:$C$304,B186,'Fabric Inventory'!$O$5:$O$304))</f>
        <v/>
      </c>
    </row>
    <row r="187" spans="1:23">
      <c r="A187" s="7" t="str">
        <f>IF('FGPO Master'!A181="","",'FGPO Master'!E181)</f>
        <v/>
      </c>
      <c r="B187" s="7" t="str">
        <f>IF('FGPO Master'!A181="","",IF('FGPO Master'!D181="FGPO Pending","FGPO Pending",'FGPO Master'!B181))</f>
        <v/>
      </c>
      <c r="C187" s="7" t="str">
        <f>IF('FGPO Master'!A181="","",'FGPO Master'!D181)</f>
        <v/>
      </c>
      <c r="D187" s="7" t="str">
        <f>IF('FGPO Master'!A181="","",'FGPO Master'!F181)</f>
        <v/>
      </c>
      <c r="E187" s="7" t="str">
        <f>IF('FGPO Master'!A181="","",'FGPO Master'!G181)</f>
        <v/>
      </c>
      <c r="F187" s="19" t="str">
        <f>IF('FGPO Master'!A181="","",'FGPO Master'!H181)</f>
        <v/>
      </c>
      <c r="G187" s="19" t="str">
        <f>IF('FGPO Master'!A181="","",'FGPO Master'!M181)</f>
        <v/>
      </c>
      <c r="H187" s="19" t="str">
        <f>IF(B187="","",SUMIF('Fabric Requirement'!$B$5:$B$304,B187,'Fabric Requirement'!$M$5:$M$304)+SUMIF('Fabric Requirement'!$B$5:$B$304,B187,'Fabric Requirement'!$O$5:$O$304))</f>
        <v/>
      </c>
      <c r="I187" s="19" t="str">
        <f>IF(B187="","",SUMIF('Fabric PO'!$B$5:$B$304,B187,'Fabric PO'!$H$5:$H$304))</f>
        <v/>
      </c>
      <c r="J187" s="19" t="str">
        <f>IF(B187="","",SUMIF('Mill Production'!$C$5:$C$304,B187,'Mill Production'!$I$5:$I$304))</f>
        <v/>
      </c>
      <c r="K187" s="7" t="str">
        <f>IF(B187="","",IF(COUNTIF('Mill Test'!$C$5:$C$304,B187)=0,"Pending",IF(COUNTIFS('Mill Test'!$C$5:$C$304,B187,'Mill Test'!$T$5:$T$304,"Failed")&gt;0,"Failed","Passed")))</f>
        <v/>
      </c>
      <c r="L187" s="19" t="str">
        <f>IF(B187="","",SUMIF('Fabric Shipment'!$C$5:$C$304,B187,'Fabric Shipment'!$G$5:$G$304))</f>
        <v/>
      </c>
      <c r="M187" s="19" t="str">
        <f>IF(B187="","",SUMIF('Fabric Shipment'!$C$5:$C$304,B187,'Fabric Shipment'!$R$5:$R$304))</f>
        <v/>
      </c>
      <c r="N187" s="19" t="str">
        <f>IF(B187="","",SUMIF('Fabric Receiving'!$E$5:$E$304,B187,'Fabric Receiving'!$H$5:$H$304))</f>
        <v/>
      </c>
      <c r="O187" s="19" t="str">
        <f>IF(B187="","",SUMIF('Fabric Receiving'!$E$5:$E$304,B187,'Fabric Receiving'!$I$5:$I$304))</f>
        <v/>
      </c>
      <c r="P187" s="7" t="str">
        <f>IF(B187="","",IF(COUNTIF('Four-Point'!$E$5:$E$304,B187)=0,"Pending",IF(COUNTIFS('Four-Point'!$E$5:$E$304,B187,'Four-Point'!$T$5:$T$304,"Failed")&gt;0,"Failed","Passed")))</f>
        <v/>
      </c>
      <c r="Q187" s="7" t="str">
        <f>IF(B187="","",IF(COUNTIF('Internal Test'!$D$5:$D$304,B187)=0,"Pending",IF(COUNTIFS('Internal Test'!$D$5:$D$304,B187,'Internal Test'!$AA$5:$AA$304,"Failed")&gt;0,"Failed","Passed")))</f>
        <v/>
      </c>
      <c r="R187" s="7" t="str">
        <f>IF(B187="","",IF(COUNTIF('Shade Match'!$C$5:$C$304,B187)=0,"Pending",IF(COUNTIFS('Shade Match'!$C$5:$C$304,B187,'Shade Match'!$Q$5:$Q$304,"Failed")&gt;0,"Failed","Approved")))</f>
        <v/>
      </c>
      <c r="S187" s="19" t="str">
        <f>IF(B187="","",SUMIF('Fabric Inventory'!$C$5:$C$304,B187,'Fabric Inventory'!$H$5:$H$304))</f>
        <v/>
      </c>
      <c r="T187" s="19" t="str">
        <f>IF(B187="","",SUMIF('Fabric Inventory'!$C$5:$C$304,B187,'Fabric Inventory'!$K$5:$K$304))</f>
        <v/>
      </c>
      <c r="U187" s="19" t="str">
        <f>IF(B187="","",SUMIF('Fabric Inventory'!$C$5:$C$304,B187,'Fabric Inventory'!$L$5:$L$304))</f>
        <v/>
      </c>
      <c r="V187" s="19" t="str">
        <f>IF(B187="","",SUMIF('Fabric Inventory'!$C$5:$C$304,B187,'Fabric Inventory'!$N$5:$N$304))</f>
        <v/>
      </c>
      <c r="W187" s="19" t="str">
        <f>IF(B187="","",SUMIF('Fabric Inventory'!$C$5:$C$304,B187,'Fabric Inventory'!$O$5:$O$304))</f>
        <v/>
      </c>
    </row>
    <row r="188" spans="1:23">
      <c r="A188" s="7" t="str">
        <f>IF('FGPO Master'!A182="","",'FGPO Master'!E182)</f>
        <v/>
      </c>
      <c r="B188" s="7" t="str">
        <f>IF('FGPO Master'!A182="","",IF('FGPO Master'!D182="FGPO Pending","FGPO Pending",'FGPO Master'!B182))</f>
        <v/>
      </c>
      <c r="C188" s="7" t="str">
        <f>IF('FGPO Master'!A182="","",'FGPO Master'!D182)</f>
        <v/>
      </c>
      <c r="D188" s="7" t="str">
        <f>IF('FGPO Master'!A182="","",'FGPO Master'!F182)</f>
        <v/>
      </c>
      <c r="E188" s="7" t="str">
        <f>IF('FGPO Master'!A182="","",'FGPO Master'!G182)</f>
        <v/>
      </c>
      <c r="F188" s="19" t="str">
        <f>IF('FGPO Master'!A182="","",'FGPO Master'!H182)</f>
        <v/>
      </c>
      <c r="G188" s="19" t="str">
        <f>IF('FGPO Master'!A182="","",'FGPO Master'!M182)</f>
        <v/>
      </c>
      <c r="H188" s="19" t="str">
        <f>IF(B188="","",SUMIF('Fabric Requirement'!$B$5:$B$304,B188,'Fabric Requirement'!$M$5:$M$304)+SUMIF('Fabric Requirement'!$B$5:$B$304,B188,'Fabric Requirement'!$O$5:$O$304))</f>
        <v/>
      </c>
      <c r="I188" s="19" t="str">
        <f>IF(B188="","",SUMIF('Fabric PO'!$B$5:$B$304,B188,'Fabric PO'!$H$5:$H$304))</f>
        <v/>
      </c>
      <c r="J188" s="19" t="str">
        <f>IF(B188="","",SUMIF('Mill Production'!$C$5:$C$304,B188,'Mill Production'!$I$5:$I$304))</f>
        <v/>
      </c>
      <c r="K188" s="7" t="str">
        <f>IF(B188="","",IF(COUNTIF('Mill Test'!$C$5:$C$304,B188)=0,"Pending",IF(COUNTIFS('Mill Test'!$C$5:$C$304,B188,'Mill Test'!$T$5:$T$304,"Failed")&gt;0,"Failed","Passed")))</f>
        <v/>
      </c>
      <c r="L188" s="19" t="str">
        <f>IF(B188="","",SUMIF('Fabric Shipment'!$C$5:$C$304,B188,'Fabric Shipment'!$G$5:$G$304))</f>
        <v/>
      </c>
      <c r="M188" s="19" t="str">
        <f>IF(B188="","",SUMIF('Fabric Shipment'!$C$5:$C$304,B188,'Fabric Shipment'!$R$5:$R$304))</f>
        <v/>
      </c>
      <c r="N188" s="19" t="str">
        <f>IF(B188="","",SUMIF('Fabric Receiving'!$E$5:$E$304,B188,'Fabric Receiving'!$H$5:$H$304))</f>
        <v/>
      </c>
      <c r="O188" s="19" t="str">
        <f>IF(B188="","",SUMIF('Fabric Receiving'!$E$5:$E$304,B188,'Fabric Receiving'!$I$5:$I$304))</f>
        <v/>
      </c>
      <c r="P188" s="7" t="str">
        <f>IF(B188="","",IF(COUNTIF('Four-Point'!$E$5:$E$304,B188)=0,"Pending",IF(COUNTIFS('Four-Point'!$E$5:$E$304,B188,'Four-Point'!$T$5:$T$304,"Failed")&gt;0,"Failed","Passed")))</f>
        <v/>
      </c>
      <c r="Q188" s="7" t="str">
        <f>IF(B188="","",IF(COUNTIF('Internal Test'!$D$5:$D$304,B188)=0,"Pending",IF(COUNTIFS('Internal Test'!$D$5:$D$304,B188,'Internal Test'!$AA$5:$AA$304,"Failed")&gt;0,"Failed","Passed")))</f>
        <v/>
      </c>
      <c r="R188" s="7" t="str">
        <f>IF(B188="","",IF(COUNTIF('Shade Match'!$C$5:$C$304,B188)=0,"Pending",IF(COUNTIFS('Shade Match'!$C$5:$C$304,B188,'Shade Match'!$Q$5:$Q$304,"Failed")&gt;0,"Failed","Approved")))</f>
        <v/>
      </c>
      <c r="S188" s="19" t="str">
        <f>IF(B188="","",SUMIF('Fabric Inventory'!$C$5:$C$304,B188,'Fabric Inventory'!$H$5:$H$304))</f>
        <v/>
      </c>
      <c r="T188" s="19" t="str">
        <f>IF(B188="","",SUMIF('Fabric Inventory'!$C$5:$C$304,B188,'Fabric Inventory'!$K$5:$K$304))</f>
        <v/>
      </c>
      <c r="U188" s="19" t="str">
        <f>IF(B188="","",SUMIF('Fabric Inventory'!$C$5:$C$304,B188,'Fabric Inventory'!$L$5:$L$304))</f>
        <v/>
      </c>
      <c r="V188" s="19" t="str">
        <f>IF(B188="","",SUMIF('Fabric Inventory'!$C$5:$C$304,B188,'Fabric Inventory'!$N$5:$N$304))</f>
        <v/>
      </c>
      <c r="W188" s="19" t="str">
        <f>IF(B188="","",SUMIF('Fabric Inventory'!$C$5:$C$304,B188,'Fabric Inventory'!$O$5:$O$304))</f>
        <v/>
      </c>
    </row>
    <row r="189" spans="1:23">
      <c r="A189" s="7" t="str">
        <f>IF('FGPO Master'!A183="","",'FGPO Master'!E183)</f>
        <v/>
      </c>
      <c r="B189" s="7" t="str">
        <f>IF('FGPO Master'!A183="","",IF('FGPO Master'!D183="FGPO Pending","FGPO Pending",'FGPO Master'!B183))</f>
        <v/>
      </c>
      <c r="C189" s="7" t="str">
        <f>IF('FGPO Master'!A183="","",'FGPO Master'!D183)</f>
        <v/>
      </c>
      <c r="D189" s="7" t="str">
        <f>IF('FGPO Master'!A183="","",'FGPO Master'!F183)</f>
        <v/>
      </c>
      <c r="E189" s="7" t="str">
        <f>IF('FGPO Master'!A183="","",'FGPO Master'!G183)</f>
        <v/>
      </c>
      <c r="F189" s="19" t="str">
        <f>IF('FGPO Master'!A183="","",'FGPO Master'!H183)</f>
        <v/>
      </c>
      <c r="G189" s="19" t="str">
        <f>IF('FGPO Master'!A183="","",'FGPO Master'!M183)</f>
        <v/>
      </c>
      <c r="H189" s="19" t="str">
        <f>IF(B189="","",SUMIF('Fabric Requirement'!$B$5:$B$304,B189,'Fabric Requirement'!$M$5:$M$304)+SUMIF('Fabric Requirement'!$B$5:$B$304,B189,'Fabric Requirement'!$O$5:$O$304))</f>
        <v/>
      </c>
      <c r="I189" s="19" t="str">
        <f>IF(B189="","",SUMIF('Fabric PO'!$B$5:$B$304,B189,'Fabric PO'!$H$5:$H$304))</f>
        <v/>
      </c>
      <c r="J189" s="19" t="str">
        <f>IF(B189="","",SUMIF('Mill Production'!$C$5:$C$304,B189,'Mill Production'!$I$5:$I$304))</f>
        <v/>
      </c>
      <c r="K189" s="7" t="str">
        <f>IF(B189="","",IF(COUNTIF('Mill Test'!$C$5:$C$304,B189)=0,"Pending",IF(COUNTIFS('Mill Test'!$C$5:$C$304,B189,'Mill Test'!$T$5:$T$304,"Failed")&gt;0,"Failed","Passed")))</f>
        <v/>
      </c>
      <c r="L189" s="19" t="str">
        <f>IF(B189="","",SUMIF('Fabric Shipment'!$C$5:$C$304,B189,'Fabric Shipment'!$G$5:$G$304))</f>
        <v/>
      </c>
      <c r="M189" s="19" t="str">
        <f>IF(B189="","",SUMIF('Fabric Shipment'!$C$5:$C$304,B189,'Fabric Shipment'!$R$5:$R$304))</f>
        <v/>
      </c>
      <c r="N189" s="19" t="str">
        <f>IF(B189="","",SUMIF('Fabric Receiving'!$E$5:$E$304,B189,'Fabric Receiving'!$H$5:$H$304))</f>
        <v/>
      </c>
      <c r="O189" s="19" t="str">
        <f>IF(B189="","",SUMIF('Fabric Receiving'!$E$5:$E$304,B189,'Fabric Receiving'!$I$5:$I$304))</f>
        <v/>
      </c>
      <c r="P189" s="7" t="str">
        <f>IF(B189="","",IF(COUNTIF('Four-Point'!$E$5:$E$304,B189)=0,"Pending",IF(COUNTIFS('Four-Point'!$E$5:$E$304,B189,'Four-Point'!$T$5:$T$304,"Failed")&gt;0,"Failed","Passed")))</f>
        <v/>
      </c>
      <c r="Q189" s="7" t="str">
        <f>IF(B189="","",IF(COUNTIF('Internal Test'!$D$5:$D$304,B189)=0,"Pending",IF(COUNTIFS('Internal Test'!$D$5:$D$304,B189,'Internal Test'!$AA$5:$AA$304,"Failed")&gt;0,"Failed","Passed")))</f>
        <v/>
      </c>
      <c r="R189" s="7" t="str">
        <f>IF(B189="","",IF(COUNTIF('Shade Match'!$C$5:$C$304,B189)=0,"Pending",IF(COUNTIFS('Shade Match'!$C$5:$C$304,B189,'Shade Match'!$Q$5:$Q$304,"Failed")&gt;0,"Failed","Approved")))</f>
        <v/>
      </c>
      <c r="S189" s="19" t="str">
        <f>IF(B189="","",SUMIF('Fabric Inventory'!$C$5:$C$304,B189,'Fabric Inventory'!$H$5:$H$304))</f>
        <v/>
      </c>
      <c r="T189" s="19" t="str">
        <f>IF(B189="","",SUMIF('Fabric Inventory'!$C$5:$C$304,B189,'Fabric Inventory'!$K$5:$K$304))</f>
        <v/>
      </c>
      <c r="U189" s="19" t="str">
        <f>IF(B189="","",SUMIF('Fabric Inventory'!$C$5:$C$304,B189,'Fabric Inventory'!$L$5:$L$304))</f>
        <v/>
      </c>
      <c r="V189" s="19" t="str">
        <f>IF(B189="","",SUMIF('Fabric Inventory'!$C$5:$C$304,B189,'Fabric Inventory'!$N$5:$N$304))</f>
        <v/>
      </c>
      <c r="W189" s="19" t="str">
        <f>IF(B189="","",SUMIF('Fabric Inventory'!$C$5:$C$304,B189,'Fabric Inventory'!$O$5:$O$304))</f>
        <v/>
      </c>
    </row>
    <row r="190" spans="1:23">
      <c r="A190" s="7" t="str">
        <f>IF('FGPO Master'!A184="","",'FGPO Master'!E184)</f>
        <v/>
      </c>
      <c r="B190" s="7" t="str">
        <f>IF('FGPO Master'!A184="","",IF('FGPO Master'!D184="FGPO Pending","FGPO Pending",'FGPO Master'!B184))</f>
        <v/>
      </c>
      <c r="C190" s="7" t="str">
        <f>IF('FGPO Master'!A184="","",'FGPO Master'!D184)</f>
        <v/>
      </c>
      <c r="D190" s="7" t="str">
        <f>IF('FGPO Master'!A184="","",'FGPO Master'!F184)</f>
        <v/>
      </c>
      <c r="E190" s="7" t="str">
        <f>IF('FGPO Master'!A184="","",'FGPO Master'!G184)</f>
        <v/>
      </c>
      <c r="F190" s="19" t="str">
        <f>IF('FGPO Master'!A184="","",'FGPO Master'!H184)</f>
        <v/>
      </c>
      <c r="G190" s="19" t="str">
        <f>IF('FGPO Master'!A184="","",'FGPO Master'!M184)</f>
        <v/>
      </c>
      <c r="H190" s="19" t="str">
        <f>IF(B190="","",SUMIF('Fabric Requirement'!$B$5:$B$304,B190,'Fabric Requirement'!$M$5:$M$304)+SUMIF('Fabric Requirement'!$B$5:$B$304,B190,'Fabric Requirement'!$O$5:$O$304))</f>
        <v/>
      </c>
      <c r="I190" s="19" t="str">
        <f>IF(B190="","",SUMIF('Fabric PO'!$B$5:$B$304,B190,'Fabric PO'!$H$5:$H$304))</f>
        <v/>
      </c>
      <c r="J190" s="19" t="str">
        <f>IF(B190="","",SUMIF('Mill Production'!$C$5:$C$304,B190,'Mill Production'!$I$5:$I$304))</f>
        <v/>
      </c>
      <c r="K190" s="7" t="str">
        <f>IF(B190="","",IF(COUNTIF('Mill Test'!$C$5:$C$304,B190)=0,"Pending",IF(COUNTIFS('Mill Test'!$C$5:$C$304,B190,'Mill Test'!$T$5:$T$304,"Failed")&gt;0,"Failed","Passed")))</f>
        <v/>
      </c>
      <c r="L190" s="19" t="str">
        <f>IF(B190="","",SUMIF('Fabric Shipment'!$C$5:$C$304,B190,'Fabric Shipment'!$G$5:$G$304))</f>
        <v/>
      </c>
      <c r="M190" s="19" t="str">
        <f>IF(B190="","",SUMIF('Fabric Shipment'!$C$5:$C$304,B190,'Fabric Shipment'!$R$5:$R$304))</f>
        <v/>
      </c>
      <c r="N190" s="19" t="str">
        <f>IF(B190="","",SUMIF('Fabric Receiving'!$E$5:$E$304,B190,'Fabric Receiving'!$H$5:$H$304))</f>
        <v/>
      </c>
      <c r="O190" s="19" t="str">
        <f>IF(B190="","",SUMIF('Fabric Receiving'!$E$5:$E$304,B190,'Fabric Receiving'!$I$5:$I$304))</f>
        <v/>
      </c>
      <c r="P190" s="7" t="str">
        <f>IF(B190="","",IF(COUNTIF('Four-Point'!$E$5:$E$304,B190)=0,"Pending",IF(COUNTIFS('Four-Point'!$E$5:$E$304,B190,'Four-Point'!$T$5:$T$304,"Failed")&gt;0,"Failed","Passed")))</f>
        <v/>
      </c>
      <c r="Q190" s="7" t="str">
        <f>IF(B190="","",IF(COUNTIF('Internal Test'!$D$5:$D$304,B190)=0,"Pending",IF(COUNTIFS('Internal Test'!$D$5:$D$304,B190,'Internal Test'!$AA$5:$AA$304,"Failed")&gt;0,"Failed","Passed")))</f>
        <v/>
      </c>
      <c r="R190" s="7" t="str">
        <f>IF(B190="","",IF(COUNTIF('Shade Match'!$C$5:$C$304,B190)=0,"Pending",IF(COUNTIFS('Shade Match'!$C$5:$C$304,B190,'Shade Match'!$Q$5:$Q$304,"Failed")&gt;0,"Failed","Approved")))</f>
        <v/>
      </c>
      <c r="S190" s="19" t="str">
        <f>IF(B190="","",SUMIF('Fabric Inventory'!$C$5:$C$304,B190,'Fabric Inventory'!$H$5:$H$304))</f>
        <v/>
      </c>
      <c r="T190" s="19" t="str">
        <f>IF(B190="","",SUMIF('Fabric Inventory'!$C$5:$C$304,B190,'Fabric Inventory'!$K$5:$K$304))</f>
        <v/>
      </c>
      <c r="U190" s="19" t="str">
        <f>IF(B190="","",SUMIF('Fabric Inventory'!$C$5:$C$304,B190,'Fabric Inventory'!$L$5:$L$304))</f>
        <v/>
      </c>
      <c r="V190" s="19" t="str">
        <f>IF(B190="","",SUMIF('Fabric Inventory'!$C$5:$C$304,B190,'Fabric Inventory'!$N$5:$N$304))</f>
        <v/>
      </c>
      <c r="W190" s="19" t="str">
        <f>IF(B190="","",SUMIF('Fabric Inventory'!$C$5:$C$304,B190,'Fabric Inventory'!$O$5:$O$304))</f>
        <v/>
      </c>
    </row>
    <row r="191" spans="1:23">
      <c r="A191" s="7" t="str">
        <f>IF('FGPO Master'!A185="","",'FGPO Master'!E185)</f>
        <v/>
      </c>
      <c r="B191" s="7" t="str">
        <f>IF('FGPO Master'!A185="","",IF('FGPO Master'!D185="FGPO Pending","FGPO Pending",'FGPO Master'!B185))</f>
        <v/>
      </c>
      <c r="C191" s="7" t="str">
        <f>IF('FGPO Master'!A185="","",'FGPO Master'!D185)</f>
        <v/>
      </c>
      <c r="D191" s="7" t="str">
        <f>IF('FGPO Master'!A185="","",'FGPO Master'!F185)</f>
        <v/>
      </c>
      <c r="E191" s="7" t="str">
        <f>IF('FGPO Master'!A185="","",'FGPO Master'!G185)</f>
        <v/>
      </c>
      <c r="F191" s="19" t="str">
        <f>IF('FGPO Master'!A185="","",'FGPO Master'!H185)</f>
        <v/>
      </c>
      <c r="G191" s="19" t="str">
        <f>IF('FGPO Master'!A185="","",'FGPO Master'!M185)</f>
        <v/>
      </c>
      <c r="H191" s="19" t="str">
        <f>IF(B191="","",SUMIF('Fabric Requirement'!$B$5:$B$304,B191,'Fabric Requirement'!$M$5:$M$304)+SUMIF('Fabric Requirement'!$B$5:$B$304,B191,'Fabric Requirement'!$O$5:$O$304))</f>
        <v/>
      </c>
      <c r="I191" s="19" t="str">
        <f>IF(B191="","",SUMIF('Fabric PO'!$B$5:$B$304,B191,'Fabric PO'!$H$5:$H$304))</f>
        <v/>
      </c>
      <c r="J191" s="19" t="str">
        <f>IF(B191="","",SUMIF('Mill Production'!$C$5:$C$304,B191,'Mill Production'!$I$5:$I$304))</f>
        <v/>
      </c>
      <c r="K191" s="7" t="str">
        <f>IF(B191="","",IF(COUNTIF('Mill Test'!$C$5:$C$304,B191)=0,"Pending",IF(COUNTIFS('Mill Test'!$C$5:$C$304,B191,'Mill Test'!$T$5:$T$304,"Failed")&gt;0,"Failed","Passed")))</f>
        <v/>
      </c>
      <c r="L191" s="19" t="str">
        <f>IF(B191="","",SUMIF('Fabric Shipment'!$C$5:$C$304,B191,'Fabric Shipment'!$G$5:$G$304))</f>
        <v/>
      </c>
      <c r="M191" s="19" t="str">
        <f>IF(B191="","",SUMIF('Fabric Shipment'!$C$5:$C$304,B191,'Fabric Shipment'!$R$5:$R$304))</f>
        <v/>
      </c>
      <c r="N191" s="19" t="str">
        <f>IF(B191="","",SUMIF('Fabric Receiving'!$E$5:$E$304,B191,'Fabric Receiving'!$H$5:$H$304))</f>
        <v/>
      </c>
      <c r="O191" s="19" t="str">
        <f>IF(B191="","",SUMIF('Fabric Receiving'!$E$5:$E$304,B191,'Fabric Receiving'!$I$5:$I$304))</f>
        <v/>
      </c>
      <c r="P191" s="7" t="str">
        <f>IF(B191="","",IF(COUNTIF('Four-Point'!$E$5:$E$304,B191)=0,"Pending",IF(COUNTIFS('Four-Point'!$E$5:$E$304,B191,'Four-Point'!$T$5:$T$304,"Failed")&gt;0,"Failed","Passed")))</f>
        <v/>
      </c>
      <c r="Q191" s="7" t="str">
        <f>IF(B191="","",IF(COUNTIF('Internal Test'!$D$5:$D$304,B191)=0,"Pending",IF(COUNTIFS('Internal Test'!$D$5:$D$304,B191,'Internal Test'!$AA$5:$AA$304,"Failed")&gt;0,"Failed","Passed")))</f>
        <v/>
      </c>
      <c r="R191" s="7" t="str">
        <f>IF(B191="","",IF(COUNTIF('Shade Match'!$C$5:$C$304,B191)=0,"Pending",IF(COUNTIFS('Shade Match'!$C$5:$C$304,B191,'Shade Match'!$Q$5:$Q$304,"Failed")&gt;0,"Failed","Approved")))</f>
        <v/>
      </c>
      <c r="S191" s="19" t="str">
        <f>IF(B191="","",SUMIF('Fabric Inventory'!$C$5:$C$304,B191,'Fabric Inventory'!$H$5:$H$304))</f>
        <v/>
      </c>
      <c r="T191" s="19" t="str">
        <f>IF(B191="","",SUMIF('Fabric Inventory'!$C$5:$C$304,B191,'Fabric Inventory'!$K$5:$K$304))</f>
        <v/>
      </c>
      <c r="U191" s="19" t="str">
        <f>IF(B191="","",SUMIF('Fabric Inventory'!$C$5:$C$304,B191,'Fabric Inventory'!$L$5:$L$304))</f>
        <v/>
      </c>
      <c r="V191" s="19" t="str">
        <f>IF(B191="","",SUMIF('Fabric Inventory'!$C$5:$C$304,B191,'Fabric Inventory'!$N$5:$N$304))</f>
        <v/>
      </c>
      <c r="W191" s="19" t="str">
        <f>IF(B191="","",SUMIF('Fabric Inventory'!$C$5:$C$304,B191,'Fabric Inventory'!$O$5:$O$304))</f>
        <v/>
      </c>
    </row>
    <row r="192" spans="1:23">
      <c r="A192" s="7" t="str">
        <f>IF('FGPO Master'!A186="","",'FGPO Master'!E186)</f>
        <v/>
      </c>
      <c r="B192" s="7" t="str">
        <f>IF('FGPO Master'!A186="","",IF('FGPO Master'!D186="FGPO Pending","FGPO Pending",'FGPO Master'!B186))</f>
        <v/>
      </c>
      <c r="C192" s="7" t="str">
        <f>IF('FGPO Master'!A186="","",'FGPO Master'!D186)</f>
        <v/>
      </c>
      <c r="D192" s="7" t="str">
        <f>IF('FGPO Master'!A186="","",'FGPO Master'!F186)</f>
        <v/>
      </c>
      <c r="E192" s="7" t="str">
        <f>IF('FGPO Master'!A186="","",'FGPO Master'!G186)</f>
        <v/>
      </c>
      <c r="F192" s="19" t="str">
        <f>IF('FGPO Master'!A186="","",'FGPO Master'!H186)</f>
        <v/>
      </c>
      <c r="G192" s="19" t="str">
        <f>IF('FGPO Master'!A186="","",'FGPO Master'!M186)</f>
        <v/>
      </c>
      <c r="H192" s="19" t="str">
        <f>IF(B192="","",SUMIF('Fabric Requirement'!$B$5:$B$304,B192,'Fabric Requirement'!$M$5:$M$304)+SUMIF('Fabric Requirement'!$B$5:$B$304,B192,'Fabric Requirement'!$O$5:$O$304))</f>
        <v/>
      </c>
      <c r="I192" s="19" t="str">
        <f>IF(B192="","",SUMIF('Fabric PO'!$B$5:$B$304,B192,'Fabric PO'!$H$5:$H$304))</f>
        <v/>
      </c>
      <c r="J192" s="19" t="str">
        <f>IF(B192="","",SUMIF('Mill Production'!$C$5:$C$304,B192,'Mill Production'!$I$5:$I$304))</f>
        <v/>
      </c>
      <c r="K192" s="7" t="str">
        <f>IF(B192="","",IF(COUNTIF('Mill Test'!$C$5:$C$304,B192)=0,"Pending",IF(COUNTIFS('Mill Test'!$C$5:$C$304,B192,'Mill Test'!$T$5:$T$304,"Failed")&gt;0,"Failed","Passed")))</f>
        <v/>
      </c>
      <c r="L192" s="19" t="str">
        <f>IF(B192="","",SUMIF('Fabric Shipment'!$C$5:$C$304,B192,'Fabric Shipment'!$G$5:$G$304))</f>
        <v/>
      </c>
      <c r="M192" s="19" t="str">
        <f>IF(B192="","",SUMIF('Fabric Shipment'!$C$5:$C$304,B192,'Fabric Shipment'!$R$5:$R$304))</f>
        <v/>
      </c>
      <c r="N192" s="19" t="str">
        <f>IF(B192="","",SUMIF('Fabric Receiving'!$E$5:$E$304,B192,'Fabric Receiving'!$H$5:$H$304))</f>
        <v/>
      </c>
      <c r="O192" s="19" t="str">
        <f>IF(B192="","",SUMIF('Fabric Receiving'!$E$5:$E$304,B192,'Fabric Receiving'!$I$5:$I$304))</f>
        <v/>
      </c>
      <c r="P192" s="7" t="str">
        <f>IF(B192="","",IF(COUNTIF('Four-Point'!$E$5:$E$304,B192)=0,"Pending",IF(COUNTIFS('Four-Point'!$E$5:$E$304,B192,'Four-Point'!$T$5:$T$304,"Failed")&gt;0,"Failed","Passed")))</f>
        <v/>
      </c>
      <c r="Q192" s="7" t="str">
        <f>IF(B192="","",IF(COUNTIF('Internal Test'!$D$5:$D$304,B192)=0,"Pending",IF(COUNTIFS('Internal Test'!$D$5:$D$304,B192,'Internal Test'!$AA$5:$AA$304,"Failed")&gt;0,"Failed","Passed")))</f>
        <v/>
      </c>
      <c r="R192" s="7" t="str">
        <f>IF(B192="","",IF(COUNTIF('Shade Match'!$C$5:$C$304,B192)=0,"Pending",IF(COUNTIFS('Shade Match'!$C$5:$C$304,B192,'Shade Match'!$Q$5:$Q$304,"Failed")&gt;0,"Failed","Approved")))</f>
        <v/>
      </c>
      <c r="S192" s="19" t="str">
        <f>IF(B192="","",SUMIF('Fabric Inventory'!$C$5:$C$304,B192,'Fabric Inventory'!$H$5:$H$304))</f>
        <v/>
      </c>
      <c r="T192" s="19" t="str">
        <f>IF(B192="","",SUMIF('Fabric Inventory'!$C$5:$C$304,B192,'Fabric Inventory'!$K$5:$K$304))</f>
        <v/>
      </c>
      <c r="U192" s="19" t="str">
        <f>IF(B192="","",SUMIF('Fabric Inventory'!$C$5:$C$304,B192,'Fabric Inventory'!$L$5:$L$304))</f>
        <v/>
      </c>
      <c r="V192" s="19" t="str">
        <f>IF(B192="","",SUMIF('Fabric Inventory'!$C$5:$C$304,B192,'Fabric Inventory'!$N$5:$N$304))</f>
        <v/>
      </c>
      <c r="W192" s="19" t="str">
        <f>IF(B192="","",SUMIF('Fabric Inventory'!$C$5:$C$304,B192,'Fabric Inventory'!$O$5:$O$304))</f>
        <v/>
      </c>
    </row>
    <row r="193" spans="1:23">
      <c r="A193" s="7" t="str">
        <f>IF('FGPO Master'!A187="","",'FGPO Master'!E187)</f>
        <v/>
      </c>
      <c r="B193" s="7" t="str">
        <f>IF('FGPO Master'!A187="","",IF('FGPO Master'!D187="FGPO Pending","FGPO Pending",'FGPO Master'!B187))</f>
        <v/>
      </c>
      <c r="C193" s="7" t="str">
        <f>IF('FGPO Master'!A187="","",'FGPO Master'!D187)</f>
        <v/>
      </c>
      <c r="D193" s="7" t="str">
        <f>IF('FGPO Master'!A187="","",'FGPO Master'!F187)</f>
        <v/>
      </c>
      <c r="E193" s="7" t="str">
        <f>IF('FGPO Master'!A187="","",'FGPO Master'!G187)</f>
        <v/>
      </c>
      <c r="F193" s="19" t="str">
        <f>IF('FGPO Master'!A187="","",'FGPO Master'!H187)</f>
        <v/>
      </c>
      <c r="G193" s="19" t="str">
        <f>IF('FGPO Master'!A187="","",'FGPO Master'!M187)</f>
        <v/>
      </c>
      <c r="H193" s="19" t="str">
        <f>IF(B193="","",SUMIF('Fabric Requirement'!$B$5:$B$304,B193,'Fabric Requirement'!$M$5:$M$304)+SUMIF('Fabric Requirement'!$B$5:$B$304,B193,'Fabric Requirement'!$O$5:$O$304))</f>
        <v/>
      </c>
      <c r="I193" s="19" t="str">
        <f>IF(B193="","",SUMIF('Fabric PO'!$B$5:$B$304,B193,'Fabric PO'!$H$5:$H$304))</f>
        <v/>
      </c>
      <c r="J193" s="19" t="str">
        <f>IF(B193="","",SUMIF('Mill Production'!$C$5:$C$304,B193,'Mill Production'!$I$5:$I$304))</f>
        <v/>
      </c>
      <c r="K193" s="7" t="str">
        <f>IF(B193="","",IF(COUNTIF('Mill Test'!$C$5:$C$304,B193)=0,"Pending",IF(COUNTIFS('Mill Test'!$C$5:$C$304,B193,'Mill Test'!$T$5:$T$304,"Failed")&gt;0,"Failed","Passed")))</f>
        <v/>
      </c>
      <c r="L193" s="19" t="str">
        <f>IF(B193="","",SUMIF('Fabric Shipment'!$C$5:$C$304,B193,'Fabric Shipment'!$G$5:$G$304))</f>
        <v/>
      </c>
      <c r="M193" s="19" t="str">
        <f>IF(B193="","",SUMIF('Fabric Shipment'!$C$5:$C$304,B193,'Fabric Shipment'!$R$5:$R$304))</f>
        <v/>
      </c>
      <c r="N193" s="19" t="str">
        <f>IF(B193="","",SUMIF('Fabric Receiving'!$E$5:$E$304,B193,'Fabric Receiving'!$H$5:$H$304))</f>
        <v/>
      </c>
      <c r="O193" s="19" t="str">
        <f>IF(B193="","",SUMIF('Fabric Receiving'!$E$5:$E$304,B193,'Fabric Receiving'!$I$5:$I$304))</f>
        <v/>
      </c>
      <c r="P193" s="7" t="str">
        <f>IF(B193="","",IF(COUNTIF('Four-Point'!$E$5:$E$304,B193)=0,"Pending",IF(COUNTIFS('Four-Point'!$E$5:$E$304,B193,'Four-Point'!$T$5:$T$304,"Failed")&gt;0,"Failed","Passed")))</f>
        <v/>
      </c>
      <c r="Q193" s="7" t="str">
        <f>IF(B193="","",IF(COUNTIF('Internal Test'!$D$5:$D$304,B193)=0,"Pending",IF(COUNTIFS('Internal Test'!$D$5:$D$304,B193,'Internal Test'!$AA$5:$AA$304,"Failed")&gt;0,"Failed","Passed")))</f>
        <v/>
      </c>
      <c r="R193" s="7" t="str">
        <f>IF(B193="","",IF(COUNTIF('Shade Match'!$C$5:$C$304,B193)=0,"Pending",IF(COUNTIFS('Shade Match'!$C$5:$C$304,B193,'Shade Match'!$Q$5:$Q$304,"Failed")&gt;0,"Failed","Approved")))</f>
        <v/>
      </c>
      <c r="S193" s="19" t="str">
        <f>IF(B193="","",SUMIF('Fabric Inventory'!$C$5:$C$304,B193,'Fabric Inventory'!$H$5:$H$304))</f>
        <v/>
      </c>
      <c r="T193" s="19" t="str">
        <f>IF(B193="","",SUMIF('Fabric Inventory'!$C$5:$C$304,B193,'Fabric Inventory'!$K$5:$K$304))</f>
        <v/>
      </c>
      <c r="U193" s="19" t="str">
        <f>IF(B193="","",SUMIF('Fabric Inventory'!$C$5:$C$304,B193,'Fabric Inventory'!$L$5:$L$304))</f>
        <v/>
      </c>
      <c r="V193" s="19" t="str">
        <f>IF(B193="","",SUMIF('Fabric Inventory'!$C$5:$C$304,B193,'Fabric Inventory'!$N$5:$N$304))</f>
        <v/>
      </c>
      <c r="W193" s="19" t="str">
        <f>IF(B193="","",SUMIF('Fabric Inventory'!$C$5:$C$304,B193,'Fabric Inventory'!$O$5:$O$304))</f>
        <v/>
      </c>
    </row>
    <row r="194" spans="1:23">
      <c r="A194" s="7" t="str">
        <f>IF('FGPO Master'!A188="","",'FGPO Master'!E188)</f>
        <v/>
      </c>
      <c r="B194" s="7" t="str">
        <f>IF('FGPO Master'!A188="","",IF('FGPO Master'!D188="FGPO Pending","FGPO Pending",'FGPO Master'!B188))</f>
        <v/>
      </c>
      <c r="C194" s="7" t="str">
        <f>IF('FGPO Master'!A188="","",'FGPO Master'!D188)</f>
        <v/>
      </c>
      <c r="D194" s="7" t="str">
        <f>IF('FGPO Master'!A188="","",'FGPO Master'!F188)</f>
        <v/>
      </c>
      <c r="E194" s="7" t="str">
        <f>IF('FGPO Master'!A188="","",'FGPO Master'!G188)</f>
        <v/>
      </c>
      <c r="F194" s="19" t="str">
        <f>IF('FGPO Master'!A188="","",'FGPO Master'!H188)</f>
        <v/>
      </c>
      <c r="G194" s="19" t="str">
        <f>IF('FGPO Master'!A188="","",'FGPO Master'!M188)</f>
        <v/>
      </c>
      <c r="H194" s="19" t="str">
        <f>IF(B194="","",SUMIF('Fabric Requirement'!$B$5:$B$304,B194,'Fabric Requirement'!$M$5:$M$304)+SUMIF('Fabric Requirement'!$B$5:$B$304,B194,'Fabric Requirement'!$O$5:$O$304))</f>
        <v/>
      </c>
      <c r="I194" s="19" t="str">
        <f>IF(B194="","",SUMIF('Fabric PO'!$B$5:$B$304,B194,'Fabric PO'!$H$5:$H$304))</f>
        <v/>
      </c>
      <c r="J194" s="19" t="str">
        <f>IF(B194="","",SUMIF('Mill Production'!$C$5:$C$304,B194,'Mill Production'!$I$5:$I$304))</f>
        <v/>
      </c>
      <c r="K194" s="7" t="str">
        <f>IF(B194="","",IF(COUNTIF('Mill Test'!$C$5:$C$304,B194)=0,"Pending",IF(COUNTIFS('Mill Test'!$C$5:$C$304,B194,'Mill Test'!$T$5:$T$304,"Failed")&gt;0,"Failed","Passed")))</f>
        <v/>
      </c>
      <c r="L194" s="19" t="str">
        <f>IF(B194="","",SUMIF('Fabric Shipment'!$C$5:$C$304,B194,'Fabric Shipment'!$G$5:$G$304))</f>
        <v/>
      </c>
      <c r="M194" s="19" t="str">
        <f>IF(B194="","",SUMIF('Fabric Shipment'!$C$5:$C$304,B194,'Fabric Shipment'!$R$5:$R$304))</f>
        <v/>
      </c>
      <c r="N194" s="19" t="str">
        <f>IF(B194="","",SUMIF('Fabric Receiving'!$E$5:$E$304,B194,'Fabric Receiving'!$H$5:$H$304))</f>
        <v/>
      </c>
      <c r="O194" s="19" t="str">
        <f>IF(B194="","",SUMIF('Fabric Receiving'!$E$5:$E$304,B194,'Fabric Receiving'!$I$5:$I$304))</f>
        <v/>
      </c>
      <c r="P194" s="7" t="str">
        <f>IF(B194="","",IF(COUNTIF('Four-Point'!$E$5:$E$304,B194)=0,"Pending",IF(COUNTIFS('Four-Point'!$E$5:$E$304,B194,'Four-Point'!$T$5:$T$304,"Failed")&gt;0,"Failed","Passed")))</f>
        <v/>
      </c>
      <c r="Q194" s="7" t="str">
        <f>IF(B194="","",IF(COUNTIF('Internal Test'!$D$5:$D$304,B194)=0,"Pending",IF(COUNTIFS('Internal Test'!$D$5:$D$304,B194,'Internal Test'!$AA$5:$AA$304,"Failed")&gt;0,"Failed","Passed")))</f>
        <v/>
      </c>
      <c r="R194" s="7" t="str">
        <f>IF(B194="","",IF(COUNTIF('Shade Match'!$C$5:$C$304,B194)=0,"Pending",IF(COUNTIFS('Shade Match'!$C$5:$C$304,B194,'Shade Match'!$Q$5:$Q$304,"Failed")&gt;0,"Failed","Approved")))</f>
        <v/>
      </c>
      <c r="S194" s="19" t="str">
        <f>IF(B194="","",SUMIF('Fabric Inventory'!$C$5:$C$304,B194,'Fabric Inventory'!$H$5:$H$304))</f>
        <v/>
      </c>
      <c r="T194" s="19" t="str">
        <f>IF(B194="","",SUMIF('Fabric Inventory'!$C$5:$C$304,B194,'Fabric Inventory'!$K$5:$K$304))</f>
        <v/>
      </c>
      <c r="U194" s="19" t="str">
        <f>IF(B194="","",SUMIF('Fabric Inventory'!$C$5:$C$304,B194,'Fabric Inventory'!$L$5:$L$304))</f>
        <v/>
      </c>
      <c r="V194" s="19" t="str">
        <f>IF(B194="","",SUMIF('Fabric Inventory'!$C$5:$C$304,B194,'Fabric Inventory'!$N$5:$N$304))</f>
        <v/>
      </c>
      <c r="W194" s="19" t="str">
        <f>IF(B194="","",SUMIF('Fabric Inventory'!$C$5:$C$304,B194,'Fabric Inventory'!$O$5:$O$304))</f>
        <v/>
      </c>
    </row>
    <row r="195" spans="1:23">
      <c r="A195" s="7" t="str">
        <f>IF('FGPO Master'!A189="","",'FGPO Master'!E189)</f>
        <v/>
      </c>
      <c r="B195" s="7" t="str">
        <f>IF('FGPO Master'!A189="","",IF('FGPO Master'!D189="FGPO Pending","FGPO Pending",'FGPO Master'!B189))</f>
        <v/>
      </c>
      <c r="C195" s="7" t="str">
        <f>IF('FGPO Master'!A189="","",'FGPO Master'!D189)</f>
        <v/>
      </c>
      <c r="D195" s="7" t="str">
        <f>IF('FGPO Master'!A189="","",'FGPO Master'!F189)</f>
        <v/>
      </c>
      <c r="E195" s="7" t="str">
        <f>IF('FGPO Master'!A189="","",'FGPO Master'!G189)</f>
        <v/>
      </c>
      <c r="F195" s="19" t="str">
        <f>IF('FGPO Master'!A189="","",'FGPO Master'!H189)</f>
        <v/>
      </c>
      <c r="G195" s="19" t="str">
        <f>IF('FGPO Master'!A189="","",'FGPO Master'!M189)</f>
        <v/>
      </c>
      <c r="H195" s="19" t="str">
        <f>IF(B195="","",SUMIF('Fabric Requirement'!$B$5:$B$304,B195,'Fabric Requirement'!$M$5:$M$304)+SUMIF('Fabric Requirement'!$B$5:$B$304,B195,'Fabric Requirement'!$O$5:$O$304))</f>
        <v/>
      </c>
      <c r="I195" s="19" t="str">
        <f>IF(B195="","",SUMIF('Fabric PO'!$B$5:$B$304,B195,'Fabric PO'!$H$5:$H$304))</f>
        <v/>
      </c>
      <c r="J195" s="19" t="str">
        <f>IF(B195="","",SUMIF('Mill Production'!$C$5:$C$304,B195,'Mill Production'!$I$5:$I$304))</f>
        <v/>
      </c>
      <c r="K195" s="7" t="str">
        <f>IF(B195="","",IF(COUNTIF('Mill Test'!$C$5:$C$304,B195)=0,"Pending",IF(COUNTIFS('Mill Test'!$C$5:$C$304,B195,'Mill Test'!$T$5:$T$304,"Failed")&gt;0,"Failed","Passed")))</f>
        <v/>
      </c>
      <c r="L195" s="19" t="str">
        <f>IF(B195="","",SUMIF('Fabric Shipment'!$C$5:$C$304,B195,'Fabric Shipment'!$G$5:$G$304))</f>
        <v/>
      </c>
      <c r="M195" s="19" t="str">
        <f>IF(B195="","",SUMIF('Fabric Shipment'!$C$5:$C$304,B195,'Fabric Shipment'!$R$5:$R$304))</f>
        <v/>
      </c>
      <c r="N195" s="19" t="str">
        <f>IF(B195="","",SUMIF('Fabric Receiving'!$E$5:$E$304,B195,'Fabric Receiving'!$H$5:$H$304))</f>
        <v/>
      </c>
      <c r="O195" s="19" t="str">
        <f>IF(B195="","",SUMIF('Fabric Receiving'!$E$5:$E$304,B195,'Fabric Receiving'!$I$5:$I$304))</f>
        <v/>
      </c>
      <c r="P195" s="7" t="str">
        <f>IF(B195="","",IF(COUNTIF('Four-Point'!$E$5:$E$304,B195)=0,"Pending",IF(COUNTIFS('Four-Point'!$E$5:$E$304,B195,'Four-Point'!$T$5:$T$304,"Failed")&gt;0,"Failed","Passed")))</f>
        <v/>
      </c>
      <c r="Q195" s="7" t="str">
        <f>IF(B195="","",IF(COUNTIF('Internal Test'!$D$5:$D$304,B195)=0,"Pending",IF(COUNTIFS('Internal Test'!$D$5:$D$304,B195,'Internal Test'!$AA$5:$AA$304,"Failed")&gt;0,"Failed","Passed")))</f>
        <v/>
      </c>
      <c r="R195" s="7" t="str">
        <f>IF(B195="","",IF(COUNTIF('Shade Match'!$C$5:$C$304,B195)=0,"Pending",IF(COUNTIFS('Shade Match'!$C$5:$C$304,B195,'Shade Match'!$Q$5:$Q$304,"Failed")&gt;0,"Failed","Approved")))</f>
        <v/>
      </c>
      <c r="S195" s="19" t="str">
        <f>IF(B195="","",SUMIF('Fabric Inventory'!$C$5:$C$304,B195,'Fabric Inventory'!$H$5:$H$304))</f>
        <v/>
      </c>
      <c r="T195" s="19" t="str">
        <f>IF(B195="","",SUMIF('Fabric Inventory'!$C$5:$C$304,B195,'Fabric Inventory'!$K$5:$K$304))</f>
        <v/>
      </c>
      <c r="U195" s="19" t="str">
        <f>IF(B195="","",SUMIF('Fabric Inventory'!$C$5:$C$304,B195,'Fabric Inventory'!$L$5:$L$304))</f>
        <v/>
      </c>
      <c r="V195" s="19" t="str">
        <f>IF(B195="","",SUMIF('Fabric Inventory'!$C$5:$C$304,B195,'Fabric Inventory'!$N$5:$N$304))</f>
        <v/>
      </c>
      <c r="W195" s="19" t="str">
        <f>IF(B195="","",SUMIF('Fabric Inventory'!$C$5:$C$304,B195,'Fabric Inventory'!$O$5:$O$304))</f>
        <v/>
      </c>
    </row>
    <row r="196" spans="1:23">
      <c r="A196" s="7" t="str">
        <f>IF('FGPO Master'!A190="","",'FGPO Master'!E190)</f>
        <v/>
      </c>
      <c r="B196" s="7" t="str">
        <f>IF('FGPO Master'!A190="","",IF('FGPO Master'!D190="FGPO Pending","FGPO Pending",'FGPO Master'!B190))</f>
        <v/>
      </c>
      <c r="C196" s="7" t="str">
        <f>IF('FGPO Master'!A190="","",'FGPO Master'!D190)</f>
        <v/>
      </c>
      <c r="D196" s="7" t="str">
        <f>IF('FGPO Master'!A190="","",'FGPO Master'!F190)</f>
        <v/>
      </c>
      <c r="E196" s="7" t="str">
        <f>IF('FGPO Master'!A190="","",'FGPO Master'!G190)</f>
        <v/>
      </c>
      <c r="F196" s="19" t="str">
        <f>IF('FGPO Master'!A190="","",'FGPO Master'!H190)</f>
        <v/>
      </c>
      <c r="G196" s="19" t="str">
        <f>IF('FGPO Master'!A190="","",'FGPO Master'!M190)</f>
        <v/>
      </c>
      <c r="H196" s="19" t="str">
        <f>IF(B196="","",SUMIF('Fabric Requirement'!$B$5:$B$304,B196,'Fabric Requirement'!$M$5:$M$304)+SUMIF('Fabric Requirement'!$B$5:$B$304,B196,'Fabric Requirement'!$O$5:$O$304))</f>
        <v/>
      </c>
      <c r="I196" s="19" t="str">
        <f>IF(B196="","",SUMIF('Fabric PO'!$B$5:$B$304,B196,'Fabric PO'!$H$5:$H$304))</f>
        <v/>
      </c>
      <c r="J196" s="19" t="str">
        <f>IF(B196="","",SUMIF('Mill Production'!$C$5:$C$304,B196,'Mill Production'!$I$5:$I$304))</f>
        <v/>
      </c>
      <c r="K196" s="7" t="str">
        <f>IF(B196="","",IF(COUNTIF('Mill Test'!$C$5:$C$304,B196)=0,"Pending",IF(COUNTIFS('Mill Test'!$C$5:$C$304,B196,'Mill Test'!$T$5:$T$304,"Failed")&gt;0,"Failed","Passed")))</f>
        <v/>
      </c>
      <c r="L196" s="19" t="str">
        <f>IF(B196="","",SUMIF('Fabric Shipment'!$C$5:$C$304,B196,'Fabric Shipment'!$G$5:$G$304))</f>
        <v/>
      </c>
      <c r="M196" s="19" t="str">
        <f>IF(B196="","",SUMIF('Fabric Shipment'!$C$5:$C$304,B196,'Fabric Shipment'!$R$5:$R$304))</f>
        <v/>
      </c>
      <c r="N196" s="19" t="str">
        <f>IF(B196="","",SUMIF('Fabric Receiving'!$E$5:$E$304,B196,'Fabric Receiving'!$H$5:$H$304))</f>
        <v/>
      </c>
      <c r="O196" s="19" t="str">
        <f>IF(B196="","",SUMIF('Fabric Receiving'!$E$5:$E$304,B196,'Fabric Receiving'!$I$5:$I$304))</f>
        <v/>
      </c>
      <c r="P196" s="7" t="str">
        <f>IF(B196="","",IF(COUNTIF('Four-Point'!$E$5:$E$304,B196)=0,"Pending",IF(COUNTIFS('Four-Point'!$E$5:$E$304,B196,'Four-Point'!$T$5:$T$304,"Failed")&gt;0,"Failed","Passed")))</f>
        <v/>
      </c>
      <c r="Q196" s="7" t="str">
        <f>IF(B196="","",IF(COUNTIF('Internal Test'!$D$5:$D$304,B196)=0,"Pending",IF(COUNTIFS('Internal Test'!$D$5:$D$304,B196,'Internal Test'!$AA$5:$AA$304,"Failed")&gt;0,"Failed","Passed")))</f>
        <v/>
      </c>
      <c r="R196" s="7" t="str">
        <f>IF(B196="","",IF(COUNTIF('Shade Match'!$C$5:$C$304,B196)=0,"Pending",IF(COUNTIFS('Shade Match'!$C$5:$C$304,B196,'Shade Match'!$Q$5:$Q$304,"Failed")&gt;0,"Failed","Approved")))</f>
        <v/>
      </c>
      <c r="S196" s="19" t="str">
        <f>IF(B196="","",SUMIF('Fabric Inventory'!$C$5:$C$304,B196,'Fabric Inventory'!$H$5:$H$304))</f>
        <v/>
      </c>
      <c r="T196" s="19" t="str">
        <f>IF(B196="","",SUMIF('Fabric Inventory'!$C$5:$C$304,B196,'Fabric Inventory'!$K$5:$K$304))</f>
        <v/>
      </c>
      <c r="U196" s="19" t="str">
        <f>IF(B196="","",SUMIF('Fabric Inventory'!$C$5:$C$304,B196,'Fabric Inventory'!$L$5:$L$304))</f>
        <v/>
      </c>
      <c r="V196" s="19" t="str">
        <f>IF(B196="","",SUMIF('Fabric Inventory'!$C$5:$C$304,B196,'Fabric Inventory'!$N$5:$N$304))</f>
        <v/>
      </c>
      <c r="W196" s="19" t="str">
        <f>IF(B196="","",SUMIF('Fabric Inventory'!$C$5:$C$304,B196,'Fabric Inventory'!$O$5:$O$304))</f>
        <v/>
      </c>
    </row>
    <row r="197" spans="1:23">
      <c r="A197" s="7" t="str">
        <f>IF('FGPO Master'!A191="","",'FGPO Master'!E191)</f>
        <v/>
      </c>
      <c r="B197" s="7" t="str">
        <f>IF('FGPO Master'!A191="","",IF('FGPO Master'!D191="FGPO Pending","FGPO Pending",'FGPO Master'!B191))</f>
        <v/>
      </c>
      <c r="C197" s="7" t="str">
        <f>IF('FGPO Master'!A191="","",'FGPO Master'!D191)</f>
        <v/>
      </c>
      <c r="D197" s="7" t="str">
        <f>IF('FGPO Master'!A191="","",'FGPO Master'!F191)</f>
        <v/>
      </c>
      <c r="E197" s="7" t="str">
        <f>IF('FGPO Master'!A191="","",'FGPO Master'!G191)</f>
        <v/>
      </c>
      <c r="F197" s="19" t="str">
        <f>IF('FGPO Master'!A191="","",'FGPO Master'!H191)</f>
        <v/>
      </c>
      <c r="G197" s="19" t="str">
        <f>IF('FGPO Master'!A191="","",'FGPO Master'!M191)</f>
        <v/>
      </c>
      <c r="H197" s="19" t="str">
        <f>IF(B197="","",SUMIF('Fabric Requirement'!$B$5:$B$304,B197,'Fabric Requirement'!$M$5:$M$304)+SUMIF('Fabric Requirement'!$B$5:$B$304,B197,'Fabric Requirement'!$O$5:$O$304))</f>
        <v/>
      </c>
      <c r="I197" s="19" t="str">
        <f>IF(B197="","",SUMIF('Fabric PO'!$B$5:$B$304,B197,'Fabric PO'!$H$5:$H$304))</f>
        <v/>
      </c>
      <c r="J197" s="19" t="str">
        <f>IF(B197="","",SUMIF('Mill Production'!$C$5:$C$304,B197,'Mill Production'!$I$5:$I$304))</f>
        <v/>
      </c>
      <c r="K197" s="7" t="str">
        <f>IF(B197="","",IF(COUNTIF('Mill Test'!$C$5:$C$304,B197)=0,"Pending",IF(COUNTIFS('Mill Test'!$C$5:$C$304,B197,'Mill Test'!$T$5:$T$304,"Failed")&gt;0,"Failed","Passed")))</f>
        <v/>
      </c>
      <c r="L197" s="19" t="str">
        <f>IF(B197="","",SUMIF('Fabric Shipment'!$C$5:$C$304,B197,'Fabric Shipment'!$G$5:$G$304))</f>
        <v/>
      </c>
      <c r="M197" s="19" t="str">
        <f>IF(B197="","",SUMIF('Fabric Shipment'!$C$5:$C$304,B197,'Fabric Shipment'!$R$5:$R$304))</f>
        <v/>
      </c>
      <c r="N197" s="19" t="str">
        <f>IF(B197="","",SUMIF('Fabric Receiving'!$E$5:$E$304,B197,'Fabric Receiving'!$H$5:$H$304))</f>
        <v/>
      </c>
      <c r="O197" s="19" t="str">
        <f>IF(B197="","",SUMIF('Fabric Receiving'!$E$5:$E$304,B197,'Fabric Receiving'!$I$5:$I$304))</f>
        <v/>
      </c>
      <c r="P197" s="7" t="str">
        <f>IF(B197="","",IF(COUNTIF('Four-Point'!$E$5:$E$304,B197)=0,"Pending",IF(COUNTIFS('Four-Point'!$E$5:$E$304,B197,'Four-Point'!$T$5:$T$304,"Failed")&gt;0,"Failed","Passed")))</f>
        <v/>
      </c>
      <c r="Q197" s="7" t="str">
        <f>IF(B197="","",IF(COUNTIF('Internal Test'!$D$5:$D$304,B197)=0,"Pending",IF(COUNTIFS('Internal Test'!$D$5:$D$304,B197,'Internal Test'!$AA$5:$AA$304,"Failed")&gt;0,"Failed","Passed")))</f>
        <v/>
      </c>
      <c r="R197" s="7" t="str">
        <f>IF(B197="","",IF(COUNTIF('Shade Match'!$C$5:$C$304,B197)=0,"Pending",IF(COUNTIFS('Shade Match'!$C$5:$C$304,B197,'Shade Match'!$Q$5:$Q$304,"Failed")&gt;0,"Failed","Approved")))</f>
        <v/>
      </c>
      <c r="S197" s="19" t="str">
        <f>IF(B197="","",SUMIF('Fabric Inventory'!$C$5:$C$304,B197,'Fabric Inventory'!$H$5:$H$304))</f>
        <v/>
      </c>
      <c r="T197" s="19" t="str">
        <f>IF(B197="","",SUMIF('Fabric Inventory'!$C$5:$C$304,B197,'Fabric Inventory'!$K$5:$K$304))</f>
        <v/>
      </c>
      <c r="U197" s="19" t="str">
        <f>IF(B197="","",SUMIF('Fabric Inventory'!$C$5:$C$304,B197,'Fabric Inventory'!$L$5:$L$304))</f>
        <v/>
      </c>
      <c r="V197" s="19" t="str">
        <f>IF(B197="","",SUMIF('Fabric Inventory'!$C$5:$C$304,B197,'Fabric Inventory'!$N$5:$N$304))</f>
        <v/>
      </c>
      <c r="W197" s="19" t="str">
        <f>IF(B197="","",SUMIF('Fabric Inventory'!$C$5:$C$304,B197,'Fabric Inventory'!$O$5:$O$304))</f>
        <v/>
      </c>
    </row>
    <row r="198" spans="1:23">
      <c r="A198" s="7" t="str">
        <f>IF('FGPO Master'!A192="","",'FGPO Master'!E192)</f>
        <v/>
      </c>
      <c r="B198" s="7" t="str">
        <f>IF('FGPO Master'!A192="","",IF('FGPO Master'!D192="FGPO Pending","FGPO Pending",'FGPO Master'!B192))</f>
        <v/>
      </c>
      <c r="C198" s="7" t="str">
        <f>IF('FGPO Master'!A192="","",'FGPO Master'!D192)</f>
        <v/>
      </c>
      <c r="D198" s="7" t="str">
        <f>IF('FGPO Master'!A192="","",'FGPO Master'!F192)</f>
        <v/>
      </c>
      <c r="E198" s="7" t="str">
        <f>IF('FGPO Master'!A192="","",'FGPO Master'!G192)</f>
        <v/>
      </c>
      <c r="F198" s="19" t="str">
        <f>IF('FGPO Master'!A192="","",'FGPO Master'!H192)</f>
        <v/>
      </c>
      <c r="G198" s="19" t="str">
        <f>IF('FGPO Master'!A192="","",'FGPO Master'!M192)</f>
        <v/>
      </c>
      <c r="H198" s="19" t="str">
        <f>IF(B198="","",SUMIF('Fabric Requirement'!$B$5:$B$304,B198,'Fabric Requirement'!$M$5:$M$304)+SUMIF('Fabric Requirement'!$B$5:$B$304,B198,'Fabric Requirement'!$O$5:$O$304))</f>
        <v/>
      </c>
      <c r="I198" s="19" t="str">
        <f>IF(B198="","",SUMIF('Fabric PO'!$B$5:$B$304,B198,'Fabric PO'!$H$5:$H$304))</f>
        <v/>
      </c>
      <c r="J198" s="19" t="str">
        <f>IF(B198="","",SUMIF('Mill Production'!$C$5:$C$304,B198,'Mill Production'!$I$5:$I$304))</f>
        <v/>
      </c>
      <c r="K198" s="7" t="str">
        <f>IF(B198="","",IF(COUNTIF('Mill Test'!$C$5:$C$304,B198)=0,"Pending",IF(COUNTIFS('Mill Test'!$C$5:$C$304,B198,'Mill Test'!$T$5:$T$304,"Failed")&gt;0,"Failed","Passed")))</f>
        <v/>
      </c>
      <c r="L198" s="19" t="str">
        <f>IF(B198="","",SUMIF('Fabric Shipment'!$C$5:$C$304,B198,'Fabric Shipment'!$G$5:$G$304))</f>
        <v/>
      </c>
      <c r="M198" s="19" t="str">
        <f>IF(B198="","",SUMIF('Fabric Shipment'!$C$5:$C$304,B198,'Fabric Shipment'!$R$5:$R$304))</f>
        <v/>
      </c>
      <c r="N198" s="19" t="str">
        <f>IF(B198="","",SUMIF('Fabric Receiving'!$E$5:$E$304,B198,'Fabric Receiving'!$H$5:$H$304))</f>
        <v/>
      </c>
      <c r="O198" s="19" t="str">
        <f>IF(B198="","",SUMIF('Fabric Receiving'!$E$5:$E$304,B198,'Fabric Receiving'!$I$5:$I$304))</f>
        <v/>
      </c>
      <c r="P198" s="7" t="str">
        <f>IF(B198="","",IF(COUNTIF('Four-Point'!$E$5:$E$304,B198)=0,"Pending",IF(COUNTIFS('Four-Point'!$E$5:$E$304,B198,'Four-Point'!$T$5:$T$304,"Failed")&gt;0,"Failed","Passed")))</f>
        <v/>
      </c>
      <c r="Q198" s="7" t="str">
        <f>IF(B198="","",IF(COUNTIF('Internal Test'!$D$5:$D$304,B198)=0,"Pending",IF(COUNTIFS('Internal Test'!$D$5:$D$304,B198,'Internal Test'!$AA$5:$AA$304,"Failed")&gt;0,"Failed","Passed")))</f>
        <v/>
      </c>
      <c r="R198" s="7" t="str">
        <f>IF(B198="","",IF(COUNTIF('Shade Match'!$C$5:$C$304,B198)=0,"Pending",IF(COUNTIFS('Shade Match'!$C$5:$C$304,B198,'Shade Match'!$Q$5:$Q$304,"Failed")&gt;0,"Failed","Approved")))</f>
        <v/>
      </c>
      <c r="S198" s="19" t="str">
        <f>IF(B198="","",SUMIF('Fabric Inventory'!$C$5:$C$304,B198,'Fabric Inventory'!$H$5:$H$304))</f>
        <v/>
      </c>
      <c r="T198" s="19" t="str">
        <f>IF(B198="","",SUMIF('Fabric Inventory'!$C$5:$C$304,B198,'Fabric Inventory'!$K$5:$K$304))</f>
        <v/>
      </c>
      <c r="U198" s="19" t="str">
        <f>IF(B198="","",SUMIF('Fabric Inventory'!$C$5:$C$304,B198,'Fabric Inventory'!$L$5:$L$304))</f>
        <v/>
      </c>
      <c r="V198" s="19" t="str">
        <f>IF(B198="","",SUMIF('Fabric Inventory'!$C$5:$C$304,B198,'Fabric Inventory'!$N$5:$N$304))</f>
        <v/>
      </c>
      <c r="W198" s="19" t="str">
        <f>IF(B198="","",SUMIF('Fabric Inventory'!$C$5:$C$304,B198,'Fabric Inventory'!$O$5:$O$304))</f>
        <v/>
      </c>
    </row>
    <row r="199" spans="1:23">
      <c r="A199" s="7" t="str">
        <f>IF('FGPO Master'!A193="","",'FGPO Master'!E193)</f>
        <v/>
      </c>
      <c r="B199" s="7" t="str">
        <f>IF('FGPO Master'!A193="","",IF('FGPO Master'!D193="FGPO Pending","FGPO Pending",'FGPO Master'!B193))</f>
        <v/>
      </c>
      <c r="C199" s="7" t="str">
        <f>IF('FGPO Master'!A193="","",'FGPO Master'!D193)</f>
        <v/>
      </c>
      <c r="D199" s="7" t="str">
        <f>IF('FGPO Master'!A193="","",'FGPO Master'!F193)</f>
        <v/>
      </c>
      <c r="E199" s="7" t="str">
        <f>IF('FGPO Master'!A193="","",'FGPO Master'!G193)</f>
        <v/>
      </c>
      <c r="F199" s="19" t="str">
        <f>IF('FGPO Master'!A193="","",'FGPO Master'!H193)</f>
        <v/>
      </c>
      <c r="G199" s="19" t="str">
        <f>IF('FGPO Master'!A193="","",'FGPO Master'!M193)</f>
        <v/>
      </c>
      <c r="H199" s="19" t="str">
        <f>IF(B199="","",SUMIF('Fabric Requirement'!$B$5:$B$304,B199,'Fabric Requirement'!$M$5:$M$304)+SUMIF('Fabric Requirement'!$B$5:$B$304,B199,'Fabric Requirement'!$O$5:$O$304))</f>
        <v/>
      </c>
      <c r="I199" s="19" t="str">
        <f>IF(B199="","",SUMIF('Fabric PO'!$B$5:$B$304,B199,'Fabric PO'!$H$5:$H$304))</f>
        <v/>
      </c>
      <c r="J199" s="19" t="str">
        <f>IF(B199="","",SUMIF('Mill Production'!$C$5:$C$304,B199,'Mill Production'!$I$5:$I$304))</f>
        <v/>
      </c>
      <c r="K199" s="7" t="str">
        <f>IF(B199="","",IF(COUNTIF('Mill Test'!$C$5:$C$304,B199)=0,"Pending",IF(COUNTIFS('Mill Test'!$C$5:$C$304,B199,'Mill Test'!$T$5:$T$304,"Failed")&gt;0,"Failed","Passed")))</f>
        <v/>
      </c>
      <c r="L199" s="19" t="str">
        <f>IF(B199="","",SUMIF('Fabric Shipment'!$C$5:$C$304,B199,'Fabric Shipment'!$G$5:$G$304))</f>
        <v/>
      </c>
      <c r="M199" s="19" t="str">
        <f>IF(B199="","",SUMIF('Fabric Shipment'!$C$5:$C$304,B199,'Fabric Shipment'!$R$5:$R$304))</f>
        <v/>
      </c>
      <c r="N199" s="19" t="str">
        <f>IF(B199="","",SUMIF('Fabric Receiving'!$E$5:$E$304,B199,'Fabric Receiving'!$H$5:$H$304))</f>
        <v/>
      </c>
      <c r="O199" s="19" t="str">
        <f>IF(B199="","",SUMIF('Fabric Receiving'!$E$5:$E$304,B199,'Fabric Receiving'!$I$5:$I$304))</f>
        <v/>
      </c>
      <c r="P199" s="7" t="str">
        <f>IF(B199="","",IF(COUNTIF('Four-Point'!$E$5:$E$304,B199)=0,"Pending",IF(COUNTIFS('Four-Point'!$E$5:$E$304,B199,'Four-Point'!$T$5:$T$304,"Failed")&gt;0,"Failed","Passed")))</f>
        <v/>
      </c>
      <c r="Q199" s="7" t="str">
        <f>IF(B199="","",IF(COUNTIF('Internal Test'!$D$5:$D$304,B199)=0,"Pending",IF(COUNTIFS('Internal Test'!$D$5:$D$304,B199,'Internal Test'!$AA$5:$AA$304,"Failed")&gt;0,"Failed","Passed")))</f>
        <v/>
      </c>
      <c r="R199" s="7" t="str">
        <f>IF(B199="","",IF(COUNTIF('Shade Match'!$C$5:$C$304,B199)=0,"Pending",IF(COUNTIFS('Shade Match'!$C$5:$C$304,B199,'Shade Match'!$Q$5:$Q$304,"Failed")&gt;0,"Failed","Approved")))</f>
        <v/>
      </c>
      <c r="S199" s="19" t="str">
        <f>IF(B199="","",SUMIF('Fabric Inventory'!$C$5:$C$304,B199,'Fabric Inventory'!$H$5:$H$304))</f>
        <v/>
      </c>
      <c r="T199" s="19" t="str">
        <f>IF(B199="","",SUMIF('Fabric Inventory'!$C$5:$C$304,B199,'Fabric Inventory'!$K$5:$K$304))</f>
        <v/>
      </c>
      <c r="U199" s="19" t="str">
        <f>IF(B199="","",SUMIF('Fabric Inventory'!$C$5:$C$304,B199,'Fabric Inventory'!$L$5:$L$304))</f>
        <v/>
      </c>
      <c r="V199" s="19" t="str">
        <f>IF(B199="","",SUMIF('Fabric Inventory'!$C$5:$C$304,B199,'Fabric Inventory'!$N$5:$N$304))</f>
        <v/>
      </c>
      <c r="W199" s="19" t="str">
        <f>IF(B199="","",SUMIF('Fabric Inventory'!$C$5:$C$304,B199,'Fabric Inventory'!$O$5:$O$304))</f>
        <v/>
      </c>
    </row>
    <row r="200" spans="1:23">
      <c r="A200" s="7" t="str">
        <f>IF('FGPO Master'!A194="","",'FGPO Master'!E194)</f>
        <v/>
      </c>
      <c r="B200" s="7" t="str">
        <f>IF('FGPO Master'!A194="","",IF('FGPO Master'!D194="FGPO Pending","FGPO Pending",'FGPO Master'!B194))</f>
        <v/>
      </c>
      <c r="C200" s="7" t="str">
        <f>IF('FGPO Master'!A194="","",'FGPO Master'!D194)</f>
        <v/>
      </c>
      <c r="D200" s="7" t="str">
        <f>IF('FGPO Master'!A194="","",'FGPO Master'!F194)</f>
        <v/>
      </c>
      <c r="E200" s="7" t="str">
        <f>IF('FGPO Master'!A194="","",'FGPO Master'!G194)</f>
        <v/>
      </c>
      <c r="F200" s="19" t="str">
        <f>IF('FGPO Master'!A194="","",'FGPO Master'!H194)</f>
        <v/>
      </c>
      <c r="G200" s="19" t="str">
        <f>IF('FGPO Master'!A194="","",'FGPO Master'!M194)</f>
        <v/>
      </c>
      <c r="H200" s="19" t="str">
        <f>IF(B200="","",SUMIF('Fabric Requirement'!$B$5:$B$304,B200,'Fabric Requirement'!$M$5:$M$304)+SUMIF('Fabric Requirement'!$B$5:$B$304,B200,'Fabric Requirement'!$O$5:$O$304))</f>
        <v/>
      </c>
      <c r="I200" s="19" t="str">
        <f>IF(B200="","",SUMIF('Fabric PO'!$B$5:$B$304,B200,'Fabric PO'!$H$5:$H$304))</f>
        <v/>
      </c>
      <c r="J200" s="19" t="str">
        <f>IF(B200="","",SUMIF('Mill Production'!$C$5:$C$304,B200,'Mill Production'!$I$5:$I$304))</f>
        <v/>
      </c>
      <c r="K200" s="7" t="str">
        <f>IF(B200="","",IF(COUNTIF('Mill Test'!$C$5:$C$304,B200)=0,"Pending",IF(COUNTIFS('Mill Test'!$C$5:$C$304,B200,'Mill Test'!$T$5:$T$304,"Failed")&gt;0,"Failed","Passed")))</f>
        <v/>
      </c>
      <c r="L200" s="19" t="str">
        <f>IF(B200="","",SUMIF('Fabric Shipment'!$C$5:$C$304,B200,'Fabric Shipment'!$G$5:$G$304))</f>
        <v/>
      </c>
      <c r="M200" s="19" t="str">
        <f>IF(B200="","",SUMIF('Fabric Shipment'!$C$5:$C$304,B200,'Fabric Shipment'!$R$5:$R$304))</f>
        <v/>
      </c>
      <c r="N200" s="19" t="str">
        <f>IF(B200="","",SUMIF('Fabric Receiving'!$E$5:$E$304,B200,'Fabric Receiving'!$H$5:$H$304))</f>
        <v/>
      </c>
      <c r="O200" s="19" t="str">
        <f>IF(B200="","",SUMIF('Fabric Receiving'!$E$5:$E$304,B200,'Fabric Receiving'!$I$5:$I$304))</f>
        <v/>
      </c>
      <c r="P200" s="7" t="str">
        <f>IF(B200="","",IF(COUNTIF('Four-Point'!$E$5:$E$304,B200)=0,"Pending",IF(COUNTIFS('Four-Point'!$E$5:$E$304,B200,'Four-Point'!$T$5:$T$304,"Failed")&gt;0,"Failed","Passed")))</f>
        <v/>
      </c>
      <c r="Q200" s="7" t="str">
        <f>IF(B200="","",IF(COUNTIF('Internal Test'!$D$5:$D$304,B200)=0,"Pending",IF(COUNTIFS('Internal Test'!$D$5:$D$304,B200,'Internal Test'!$AA$5:$AA$304,"Failed")&gt;0,"Failed","Passed")))</f>
        <v/>
      </c>
      <c r="R200" s="7" t="str">
        <f>IF(B200="","",IF(COUNTIF('Shade Match'!$C$5:$C$304,B200)=0,"Pending",IF(COUNTIFS('Shade Match'!$C$5:$C$304,B200,'Shade Match'!$Q$5:$Q$304,"Failed")&gt;0,"Failed","Approved")))</f>
        <v/>
      </c>
      <c r="S200" s="19" t="str">
        <f>IF(B200="","",SUMIF('Fabric Inventory'!$C$5:$C$304,B200,'Fabric Inventory'!$H$5:$H$304))</f>
        <v/>
      </c>
      <c r="T200" s="19" t="str">
        <f>IF(B200="","",SUMIF('Fabric Inventory'!$C$5:$C$304,B200,'Fabric Inventory'!$K$5:$K$304))</f>
        <v/>
      </c>
      <c r="U200" s="19" t="str">
        <f>IF(B200="","",SUMIF('Fabric Inventory'!$C$5:$C$304,B200,'Fabric Inventory'!$L$5:$L$304))</f>
        <v/>
      </c>
      <c r="V200" s="19" t="str">
        <f>IF(B200="","",SUMIF('Fabric Inventory'!$C$5:$C$304,B200,'Fabric Inventory'!$N$5:$N$304))</f>
        <v/>
      </c>
      <c r="W200" s="19" t="str">
        <f>IF(B200="","",SUMIF('Fabric Inventory'!$C$5:$C$304,B200,'Fabric Inventory'!$O$5:$O$304))</f>
        <v/>
      </c>
    </row>
    <row r="201" spans="1:23">
      <c r="A201" s="7" t="str">
        <f>IF('FGPO Master'!A195="","",'FGPO Master'!E195)</f>
        <v/>
      </c>
      <c r="B201" s="7" t="str">
        <f>IF('FGPO Master'!A195="","",IF('FGPO Master'!D195="FGPO Pending","FGPO Pending",'FGPO Master'!B195))</f>
        <v/>
      </c>
      <c r="C201" s="7" t="str">
        <f>IF('FGPO Master'!A195="","",'FGPO Master'!D195)</f>
        <v/>
      </c>
      <c r="D201" s="7" t="str">
        <f>IF('FGPO Master'!A195="","",'FGPO Master'!F195)</f>
        <v/>
      </c>
      <c r="E201" s="7" t="str">
        <f>IF('FGPO Master'!A195="","",'FGPO Master'!G195)</f>
        <v/>
      </c>
      <c r="F201" s="19" t="str">
        <f>IF('FGPO Master'!A195="","",'FGPO Master'!H195)</f>
        <v/>
      </c>
      <c r="G201" s="19" t="str">
        <f>IF('FGPO Master'!A195="","",'FGPO Master'!M195)</f>
        <v/>
      </c>
      <c r="H201" s="19" t="str">
        <f>IF(B201="","",SUMIF('Fabric Requirement'!$B$5:$B$304,B201,'Fabric Requirement'!$M$5:$M$304)+SUMIF('Fabric Requirement'!$B$5:$B$304,B201,'Fabric Requirement'!$O$5:$O$304))</f>
        <v/>
      </c>
      <c r="I201" s="19" t="str">
        <f>IF(B201="","",SUMIF('Fabric PO'!$B$5:$B$304,B201,'Fabric PO'!$H$5:$H$304))</f>
        <v/>
      </c>
      <c r="J201" s="19" t="str">
        <f>IF(B201="","",SUMIF('Mill Production'!$C$5:$C$304,B201,'Mill Production'!$I$5:$I$304))</f>
        <v/>
      </c>
      <c r="K201" s="7" t="str">
        <f>IF(B201="","",IF(COUNTIF('Mill Test'!$C$5:$C$304,B201)=0,"Pending",IF(COUNTIFS('Mill Test'!$C$5:$C$304,B201,'Mill Test'!$T$5:$T$304,"Failed")&gt;0,"Failed","Passed")))</f>
        <v/>
      </c>
      <c r="L201" s="19" t="str">
        <f>IF(B201="","",SUMIF('Fabric Shipment'!$C$5:$C$304,B201,'Fabric Shipment'!$G$5:$G$304))</f>
        <v/>
      </c>
      <c r="M201" s="19" t="str">
        <f>IF(B201="","",SUMIF('Fabric Shipment'!$C$5:$C$304,B201,'Fabric Shipment'!$R$5:$R$304))</f>
        <v/>
      </c>
      <c r="N201" s="19" t="str">
        <f>IF(B201="","",SUMIF('Fabric Receiving'!$E$5:$E$304,B201,'Fabric Receiving'!$H$5:$H$304))</f>
        <v/>
      </c>
      <c r="O201" s="19" t="str">
        <f>IF(B201="","",SUMIF('Fabric Receiving'!$E$5:$E$304,B201,'Fabric Receiving'!$I$5:$I$304))</f>
        <v/>
      </c>
      <c r="P201" s="7" t="str">
        <f>IF(B201="","",IF(COUNTIF('Four-Point'!$E$5:$E$304,B201)=0,"Pending",IF(COUNTIFS('Four-Point'!$E$5:$E$304,B201,'Four-Point'!$T$5:$T$304,"Failed")&gt;0,"Failed","Passed")))</f>
        <v/>
      </c>
      <c r="Q201" s="7" t="str">
        <f>IF(B201="","",IF(COUNTIF('Internal Test'!$D$5:$D$304,B201)=0,"Pending",IF(COUNTIFS('Internal Test'!$D$5:$D$304,B201,'Internal Test'!$AA$5:$AA$304,"Failed")&gt;0,"Failed","Passed")))</f>
        <v/>
      </c>
      <c r="R201" s="7" t="str">
        <f>IF(B201="","",IF(COUNTIF('Shade Match'!$C$5:$C$304,B201)=0,"Pending",IF(COUNTIFS('Shade Match'!$C$5:$C$304,B201,'Shade Match'!$Q$5:$Q$304,"Failed")&gt;0,"Failed","Approved")))</f>
        <v/>
      </c>
      <c r="S201" s="19" t="str">
        <f>IF(B201="","",SUMIF('Fabric Inventory'!$C$5:$C$304,B201,'Fabric Inventory'!$H$5:$H$304))</f>
        <v/>
      </c>
      <c r="T201" s="19" t="str">
        <f>IF(B201="","",SUMIF('Fabric Inventory'!$C$5:$C$304,B201,'Fabric Inventory'!$K$5:$K$304))</f>
        <v/>
      </c>
      <c r="U201" s="19" t="str">
        <f>IF(B201="","",SUMIF('Fabric Inventory'!$C$5:$C$304,B201,'Fabric Inventory'!$L$5:$L$304))</f>
        <v/>
      </c>
      <c r="V201" s="19" t="str">
        <f>IF(B201="","",SUMIF('Fabric Inventory'!$C$5:$C$304,B201,'Fabric Inventory'!$N$5:$N$304))</f>
        <v/>
      </c>
      <c r="W201" s="19" t="str">
        <f>IF(B201="","",SUMIF('Fabric Inventory'!$C$5:$C$304,B201,'Fabric Inventory'!$O$5:$O$304))</f>
        <v/>
      </c>
    </row>
    <row r="202" spans="1:23">
      <c r="A202" s="7" t="str">
        <f>IF('FGPO Master'!A196="","",'FGPO Master'!E196)</f>
        <v/>
      </c>
      <c r="B202" s="7" t="str">
        <f>IF('FGPO Master'!A196="","",IF('FGPO Master'!D196="FGPO Pending","FGPO Pending",'FGPO Master'!B196))</f>
        <v/>
      </c>
      <c r="C202" s="7" t="str">
        <f>IF('FGPO Master'!A196="","",'FGPO Master'!D196)</f>
        <v/>
      </c>
      <c r="D202" s="7" t="str">
        <f>IF('FGPO Master'!A196="","",'FGPO Master'!F196)</f>
        <v/>
      </c>
      <c r="E202" s="7" t="str">
        <f>IF('FGPO Master'!A196="","",'FGPO Master'!G196)</f>
        <v/>
      </c>
      <c r="F202" s="19" t="str">
        <f>IF('FGPO Master'!A196="","",'FGPO Master'!H196)</f>
        <v/>
      </c>
      <c r="G202" s="19" t="str">
        <f>IF('FGPO Master'!A196="","",'FGPO Master'!M196)</f>
        <v/>
      </c>
      <c r="H202" s="19" t="str">
        <f>IF(B202="","",SUMIF('Fabric Requirement'!$B$5:$B$304,B202,'Fabric Requirement'!$M$5:$M$304)+SUMIF('Fabric Requirement'!$B$5:$B$304,B202,'Fabric Requirement'!$O$5:$O$304))</f>
        <v/>
      </c>
      <c r="I202" s="19" t="str">
        <f>IF(B202="","",SUMIF('Fabric PO'!$B$5:$B$304,B202,'Fabric PO'!$H$5:$H$304))</f>
        <v/>
      </c>
      <c r="J202" s="19" t="str">
        <f>IF(B202="","",SUMIF('Mill Production'!$C$5:$C$304,B202,'Mill Production'!$I$5:$I$304))</f>
        <v/>
      </c>
      <c r="K202" s="7" t="str">
        <f>IF(B202="","",IF(COUNTIF('Mill Test'!$C$5:$C$304,B202)=0,"Pending",IF(COUNTIFS('Mill Test'!$C$5:$C$304,B202,'Mill Test'!$T$5:$T$304,"Failed")&gt;0,"Failed","Passed")))</f>
        <v/>
      </c>
      <c r="L202" s="19" t="str">
        <f>IF(B202="","",SUMIF('Fabric Shipment'!$C$5:$C$304,B202,'Fabric Shipment'!$G$5:$G$304))</f>
        <v/>
      </c>
      <c r="M202" s="19" t="str">
        <f>IF(B202="","",SUMIF('Fabric Shipment'!$C$5:$C$304,B202,'Fabric Shipment'!$R$5:$R$304))</f>
        <v/>
      </c>
      <c r="N202" s="19" t="str">
        <f>IF(B202="","",SUMIF('Fabric Receiving'!$E$5:$E$304,B202,'Fabric Receiving'!$H$5:$H$304))</f>
        <v/>
      </c>
      <c r="O202" s="19" t="str">
        <f>IF(B202="","",SUMIF('Fabric Receiving'!$E$5:$E$304,B202,'Fabric Receiving'!$I$5:$I$304))</f>
        <v/>
      </c>
      <c r="P202" s="7" t="str">
        <f>IF(B202="","",IF(COUNTIF('Four-Point'!$E$5:$E$304,B202)=0,"Pending",IF(COUNTIFS('Four-Point'!$E$5:$E$304,B202,'Four-Point'!$T$5:$T$304,"Failed")&gt;0,"Failed","Passed")))</f>
        <v/>
      </c>
      <c r="Q202" s="7" t="str">
        <f>IF(B202="","",IF(COUNTIF('Internal Test'!$D$5:$D$304,B202)=0,"Pending",IF(COUNTIFS('Internal Test'!$D$5:$D$304,B202,'Internal Test'!$AA$5:$AA$304,"Failed")&gt;0,"Failed","Passed")))</f>
        <v/>
      </c>
      <c r="R202" s="7" t="str">
        <f>IF(B202="","",IF(COUNTIF('Shade Match'!$C$5:$C$304,B202)=0,"Pending",IF(COUNTIFS('Shade Match'!$C$5:$C$304,B202,'Shade Match'!$Q$5:$Q$304,"Failed")&gt;0,"Failed","Approved")))</f>
        <v/>
      </c>
      <c r="S202" s="19" t="str">
        <f>IF(B202="","",SUMIF('Fabric Inventory'!$C$5:$C$304,B202,'Fabric Inventory'!$H$5:$H$304))</f>
        <v/>
      </c>
      <c r="T202" s="19" t="str">
        <f>IF(B202="","",SUMIF('Fabric Inventory'!$C$5:$C$304,B202,'Fabric Inventory'!$K$5:$K$304))</f>
        <v/>
      </c>
      <c r="U202" s="19" t="str">
        <f>IF(B202="","",SUMIF('Fabric Inventory'!$C$5:$C$304,B202,'Fabric Inventory'!$L$5:$L$304))</f>
        <v/>
      </c>
      <c r="V202" s="19" t="str">
        <f>IF(B202="","",SUMIF('Fabric Inventory'!$C$5:$C$304,B202,'Fabric Inventory'!$N$5:$N$304))</f>
        <v/>
      </c>
      <c r="W202" s="19" t="str">
        <f>IF(B202="","",SUMIF('Fabric Inventory'!$C$5:$C$304,B202,'Fabric Inventory'!$O$5:$O$304))</f>
        <v/>
      </c>
    </row>
    <row r="203" spans="1:23">
      <c r="A203" s="7" t="str">
        <f>IF('FGPO Master'!A197="","",'FGPO Master'!E197)</f>
        <v/>
      </c>
      <c r="B203" s="7" t="str">
        <f>IF('FGPO Master'!A197="","",IF('FGPO Master'!D197="FGPO Pending","FGPO Pending",'FGPO Master'!B197))</f>
        <v/>
      </c>
      <c r="C203" s="7" t="str">
        <f>IF('FGPO Master'!A197="","",'FGPO Master'!D197)</f>
        <v/>
      </c>
      <c r="D203" s="7" t="str">
        <f>IF('FGPO Master'!A197="","",'FGPO Master'!F197)</f>
        <v/>
      </c>
      <c r="E203" s="7" t="str">
        <f>IF('FGPO Master'!A197="","",'FGPO Master'!G197)</f>
        <v/>
      </c>
      <c r="F203" s="19" t="str">
        <f>IF('FGPO Master'!A197="","",'FGPO Master'!H197)</f>
        <v/>
      </c>
      <c r="G203" s="19" t="str">
        <f>IF('FGPO Master'!A197="","",'FGPO Master'!M197)</f>
        <v/>
      </c>
      <c r="H203" s="19" t="str">
        <f>IF(B203="","",SUMIF('Fabric Requirement'!$B$5:$B$304,B203,'Fabric Requirement'!$M$5:$M$304)+SUMIF('Fabric Requirement'!$B$5:$B$304,B203,'Fabric Requirement'!$O$5:$O$304))</f>
        <v/>
      </c>
      <c r="I203" s="19" t="str">
        <f>IF(B203="","",SUMIF('Fabric PO'!$B$5:$B$304,B203,'Fabric PO'!$H$5:$H$304))</f>
        <v/>
      </c>
      <c r="J203" s="19" t="str">
        <f>IF(B203="","",SUMIF('Mill Production'!$C$5:$C$304,B203,'Mill Production'!$I$5:$I$304))</f>
        <v/>
      </c>
      <c r="K203" s="7" t="str">
        <f>IF(B203="","",IF(COUNTIF('Mill Test'!$C$5:$C$304,B203)=0,"Pending",IF(COUNTIFS('Mill Test'!$C$5:$C$304,B203,'Mill Test'!$T$5:$T$304,"Failed")&gt;0,"Failed","Passed")))</f>
        <v/>
      </c>
      <c r="L203" s="19" t="str">
        <f>IF(B203="","",SUMIF('Fabric Shipment'!$C$5:$C$304,B203,'Fabric Shipment'!$G$5:$G$304))</f>
        <v/>
      </c>
      <c r="M203" s="19" t="str">
        <f>IF(B203="","",SUMIF('Fabric Shipment'!$C$5:$C$304,B203,'Fabric Shipment'!$R$5:$R$304))</f>
        <v/>
      </c>
      <c r="N203" s="19" t="str">
        <f>IF(B203="","",SUMIF('Fabric Receiving'!$E$5:$E$304,B203,'Fabric Receiving'!$H$5:$H$304))</f>
        <v/>
      </c>
      <c r="O203" s="19" t="str">
        <f>IF(B203="","",SUMIF('Fabric Receiving'!$E$5:$E$304,B203,'Fabric Receiving'!$I$5:$I$304))</f>
        <v/>
      </c>
      <c r="P203" s="7" t="str">
        <f>IF(B203="","",IF(COUNTIF('Four-Point'!$E$5:$E$304,B203)=0,"Pending",IF(COUNTIFS('Four-Point'!$E$5:$E$304,B203,'Four-Point'!$T$5:$T$304,"Failed")&gt;0,"Failed","Passed")))</f>
        <v/>
      </c>
      <c r="Q203" s="7" t="str">
        <f>IF(B203="","",IF(COUNTIF('Internal Test'!$D$5:$D$304,B203)=0,"Pending",IF(COUNTIFS('Internal Test'!$D$5:$D$304,B203,'Internal Test'!$AA$5:$AA$304,"Failed")&gt;0,"Failed","Passed")))</f>
        <v/>
      </c>
      <c r="R203" s="7" t="str">
        <f>IF(B203="","",IF(COUNTIF('Shade Match'!$C$5:$C$304,B203)=0,"Pending",IF(COUNTIFS('Shade Match'!$C$5:$C$304,B203,'Shade Match'!$Q$5:$Q$304,"Failed")&gt;0,"Failed","Approved")))</f>
        <v/>
      </c>
      <c r="S203" s="19" t="str">
        <f>IF(B203="","",SUMIF('Fabric Inventory'!$C$5:$C$304,B203,'Fabric Inventory'!$H$5:$H$304))</f>
        <v/>
      </c>
      <c r="T203" s="19" t="str">
        <f>IF(B203="","",SUMIF('Fabric Inventory'!$C$5:$C$304,B203,'Fabric Inventory'!$K$5:$K$304))</f>
        <v/>
      </c>
      <c r="U203" s="19" t="str">
        <f>IF(B203="","",SUMIF('Fabric Inventory'!$C$5:$C$304,B203,'Fabric Inventory'!$L$5:$L$304))</f>
        <v/>
      </c>
      <c r="V203" s="19" t="str">
        <f>IF(B203="","",SUMIF('Fabric Inventory'!$C$5:$C$304,B203,'Fabric Inventory'!$N$5:$N$304))</f>
        <v/>
      </c>
      <c r="W203" s="19" t="str">
        <f>IF(B203="","",SUMIF('Fabric Inventory'!$C$5:$C$304,B203,'Fabric Inventory'!$O$5:$O$304))</f>
        <v/>
      </c>
    </row>
    <row r="204" spans="1:23">
      <c r="A204" s="7" t="str">
        <f>IF('FGPO Master'!A198="","",'FGPO Master'!E198)</f>
        <v/>
      </c>
      <c r="B204" s="7" t="str">
        <f>IF('FGPO Master'!A198="","",IF('FGPO Master'!D198="FGPO Pending","FGPO Pending",'FGPO Master'!B198))</f>
        <v/>
      </c>
      <c r="C204" s="7" t="str">
        <f>IF('FGPO Master'!A198="","",'FGPO Master'!D198)</f>
        <v/>
      </c>
      <c r="D204" s="7" t="str">
        <f>IF('FGPO Master'!A198="","",'FGPO Master'!F198)</f>
        <v/>
      </c>
      <c r="E204" s="7" t="str">
        <f>IF('FGPO Master'!A198="","",'FGPO Master'!G198)</f>
        <v/>
      </c>
      <c r="F204" s="19" t="str">
        <f>IF('FGPO Master'!A198="","",'FGPO Master'!H198)</f>
        <v/>
      </c>
      <c r="G204" s="19" t="str">
        <f>IF('FGPO Master'!A198="","",'FGPO Master'!M198)</f>
        <v/>
      </c>
      <c r="H204" s="19" t="str">
        <f>IF(B204="","",SUMIF('Fabric Requirement'!$B$5:$B$304,B204,'Fabric Requirement'!$M$5:$M$304)+SUMIF('Fabric Requirement'!$B$5:$B$304,B204,'Fabric Requirement'!$O$5:$O$304))</f>
        <v/>
      </c>
      <c r="I204" s="19" t="str">
        <f>IF(B204="","",SUMIF('Fabric PO'!$B$5:$B$304,B204,'Fabric PO'!$H$5:$H$304))</f>
        <v/>
      </c>
      <c r="J204" s="19" t="str">
        <f>IF(B204="","",SUMIF('Mill Production'!$C$5:$C$304,B204,'Mill Production'!$I$5:$I$304))</f>
        <v/>
      </c>
      <c r="K204" s="7" t="str">
        <f>IF(B204="","",IF(COUNTIF('Mill Test'!$C$5:$C$304,B204)=0,"Pending",IF(COUNTIFS('Mill Test'!$C$5:$C$304,B204,'Mill Test'!$T$5:$T$304,"Failed")&gt;0,"Failed","Passed")))</f>
        <v/>
      </c>
      <c r="L204" s="19" t="str">
        <f>IF(B204="","",SUMIF('Fabric Shipment'!$C$5:$C$304,B204,'Fabric Shipment'!$G$5:$G$304))</f>
        <v/>
      </c>
      <c r="M204" s="19" t="str">
        <f>IF(B204="","",SUMIF('Fabric Shipment'!$C$5:$C$304,B204,'Fabric Shipment'!$R$5:$R$304))</f>
        <v/>
      </c>
      <c r="N204" s="19" t="str">
        <f>IF(B204="","",SUMIF('Fabric Receiving'!$E$5:$E$304,B204,'Fabric Receiving'!$H$5:$H$304))</f>
        <v/>
      </c>
      <c r="O204" s="19" t="str">
        <f>IF(B204="","",SUMIF('Fabric Receiving'!$E$5:$E$304,B204,'Fabric Receiving'!$I$5:$I$304))</f>
        <v/>
      </c>
      <c r="P204" s="7" t="str">
        <f>IF(B204="","",IF(COUNTIF('Four-Point'!$E$5:$E$304,B204)=0,"Pending",IF(COUNTIFS('Four-Point'!$E$5:$E$304,B204,'Four-Point'!$T$5:$T$304,"Failed")&gt;0,"Failed","Passed")))</f>
        <v/>
      </c>
      <c r="Q204" s="7" t="str">
        <f>IF(B204="","",IF(COUNTIF('Internal Test'!$D$5:$D$304,B204)=0,"Pending",IF(COUNTIFS('Internal Test'!$D$5:$D$304,B204,'Internal Test'!$AA$5:$AA$304,"Failed")&gt;0,"Failed","Passed")))</f>
        <v/>
      </c>
      <c r="R204" s="7" t="str">
        <f>IF(B204="","",IF(COUNTIF('Shade Match'!$C$5:$C$304,B204)=0,"Pending",IF(COUNTIFS('Shade Match'!$C$5:$C$304,B204,'Shade Match'!$Q$5:$Q$304,"Failed")&gt;0,"Failed","Approved")))</f>
        <v/>
      </c>
      <c r="S204" s="19" t="str">
        <f>IF(B204="","",SUMIF('Fabric Inventory'!$C$5:$C$304,B204,'Fabric Inventory'!$H$5:$H$304))</f>
        <v/>
      </c>
      <c r="T204" s="19" t="str">
        <f>IF(B204="","",SUMIF('Fabric Inventory'!$C$5:$C$304,B204,'Fabric Inventory'!$K$5:$K$304))</f>
        <v/>
      </c>
      <c r="U204" s="19" t="str">
        <f>IF(B204="","",SUMIF('Fabric Inventory'!$C$5:$C$304,B204,'Fabric Inventory'!$L$5:$L$304))</f>
        <v/>
      </c>
      <c r="V204" s="19" t="str">
        <f>IF(B204="","",SUMIF('Fabric Inventory'!$C$5:$C$304,B204,'Fabric Inventory'!$N$5:$N$304))</f>
        <v/>
      </c>
      <c r="W204" s="19" t="str">
        <f>IF(B204="","",SUMIF('Fabric Inventory'!$C$5:$C$304,B204,'Fabric Inventory'!$O$5:$O$304))</f>
        <v/>
      </c>
    </row>
    <row r="205" spans="1:23">
      <c r="A205" s="7" t="str">
        <f>IF('FGPO Master'!A199="","",'FGPO Master'!E199)</f>
        <v/>
      </c>
      <c r="B205" s="7" t="str">
        <f>IF('FGPO Master'!A199="","",IF('FGPO Master'!D199="FGPO Pending","FGPO Pending",'FGPO Master'!B199))</f>
        <v/>
      </c>
      <c r="C205" s="7" t="str">
        <f>IF('FGPO Master'!A199="","",'FGPO Master'!D199)</f>
        <v/>
      </c>
      <c r="D205" s="7" t="str">
        <f>IF('FGPO Master'!A199="","",'FGPO Master'!F199)</f>
        <v/>
      </c>
      <c r="E205" s="7" t="str">
        <f>IF('FGPO Master'!A199="","",'FGPO Master'!G199)</f>
        <v/>
      </c>
      <c r="F205" s="19" t="str">
        <f>IF('FGPO Master'!A199="","",'FGPO Master'!H199)</f>
        <v/>
      </c>
      <c r="G205" s="19" t="str">
        <f>IF('FGPO Master'!A199="","",'FGPO Master'!M199)</f>
        <v/>
      </c>
      <c r="H205" s="19" t="str">
        <f>IF(B205="","",SUMIF('Fabric Requirement'!$B$5:$B$304,B205,'Fabric Requirement'!$M$5:$M$304)+SUMIF('Fabric Requirement'!$B$5:$B$304,B205,'Fabric Requirement'!$O$5:$O$304))</f>
        <v/>
      </c>
      <c r="I205" s="19" t="str">
        <f>IF(B205="","",SUMIF('Fabric PO'!$B$5:$B$304,B205,'Fabric PO'!$H$5:$H$304))</f>
        <v/>
      </c>
      <c r="J205" s="19" t="str">
        <f>IF(B205="","",SUMIF('Mill Production'!$C$5:$C$304,B205,'Mill Production'!$I$5:$I$304))</f>
        <v/>
      </c>
      <c r="K205" s="7" t="str">
        <f>IF(B205="","",IF(COUNTIF('Mill Test'!$C$5:$C$304,B205)=0,"Pending",IF(COUNTIFS('Mill Test'!$C$5:$C$304,B205,'Mill Test'!$T$5:$T$304,"Failed")&gt;0,"Failed","Passed")))</f>
        <v/>
      </c>
      <c r="L205" s="19" t="str">
        <f>IF(B205="","",SUMIF('Fabric Shipment'!$C$5:$C$304,B205,'Fabric Shipment'!$G$5:$G$304))</f>
        <v/>
      </c>
      <c r="M205" s="19" t="str">
        <f>IF(B205="","",SUMIF('Fabric Shipment'!$C$5:$C$304,B205,'Fabric Shipment'!$R$5:$R$304))</f>
        <v/>
      </c>
      <c r="N205" s="19" t="str">
        <f>IF(B205="","",SUMIF('Fabric Receiving'!$E$5:$E$304,B205,'Fabric Receiving'!$H$5:$H$304))</f>
        <v/>
      </c>
      <c r="O205" s="19" t="str">
        <f>IF(B205="","",SUMIF('Fabric Receiving'!$E$5:$E$304,B205,'Fabric Receiving'!$I$5:$I$304))</f>
        <v/>
      </c>
      <c r="P205" s="7" t="str">
        <f>IF(B205="","",IF(COUNTIF('Four-Point'!$E$5:$E$304,B205)=0,"Pending",IF(COUNTIFS('Four-Point'!$E$5:$E$304,B205,'Four-Point'!$T$5:$T$304,"Failed")&gt;0,"Failed","Passed")))</f>
        <v/>
      </c>
      <c r="Q205" s="7" t="str">
        <f>IF(B205="","",IF(COUNTIF('Internal Test'!$D$5:$D$304,B205)=0,"Pending",IF(COUNTIFS('Internal Test'!$D$5:$D$304,B205,'Internal Test'!$AA$5:$AA$304,"Failed")&gt;0,"Failed","Passed")))</f>
        <v/>
      </c>
      <c r="R205" s="7" t="str">
        <f>IF(B205="","",IF(COUNTIF('Shade Match'!$C$5:$C$304,B205)=0,"Pending",IF(COUNTIFS('Shade Match'!$C$5:$C$304,B205,'Shade Match'!$Q$5:$Q$304,"Failed")&gt;0,"Failed","Approved")))</f>
        <v/>
      </c>
      <c r="S205" s="19" t="str">
        <f>IF(B205="","",SUMIF('Fabric Inventory'!$C$5:$C$304,B205,'Fabric Inventory'!$H$5:$H$304))</f>
        <v/>
      </c>
      <c r="T205" s="19" t="str">
        <f>IF(B205="","",SUMIF('Fabric Inventory'!$C$5:$C$304,B205,'Fabric Inventory'!$K$5:$K$304))</f>
        <v/>
      </c>
      <c r="U205" s="19" t="str">
        <f>IF(B205="","",SUMIF('Fabric Inventory'!$C$5:$C$304,B205,'Fabric Inventory'!$L$5:$L$304))</f>
        <v/>
      </c>
      <c r="V205" s="19" t="str">
        <f>IF(B205="","",SUMIF('Fabric Inventory'!$C$5:$C$304,B205,'Fabric Inventory'!$N$5:$N$304))</f>
        <v/>
      </c>
      <c r="W205" s="19" t="str">
        <f>IF(B205="","",SUMIF('Fabric Inventory'!$C$5:$C$304,B205,'Fabric Inventory'!$O$5:$O$304))</f>
        <v/>
      </c>
    </row>
    <row r="206" spans="1:23">
      <c r="A206" s="7" t="str">
        <f>IF('FGPO Master'!A200="","",'FGPO Master'!E200)</f>
        <v/>
      </c>
      <c r="B206" s="7" t="str">
        <f>IF('FGPO Master'!A200="","",IF('FGPO Master'!D200="FGPO Pending","FGPO Pending",'FGPO Master'!B200))</f>
        <v/>
      </c>
      <c r="C206" s="7" t="str">
        <f>IF('FGPO Master'!A200="","",'FGPO Master'!D200)</f>
        <v/>
      </c>
      <c r="D206" s="7" t="str">
        <f>IF('FGPO Master'!A200="","",'FGPO Master'!F200)</f>
        <v/>
      </c>
      <c r="E206" s="7" t="str">
        <f>IF('FGPO Master'!A200="","",'FGPO Master'!G200)</f>
        <v/>
      </c>
      <c r="F206" s="19" t="str">
        <f>IF('FGPO Master'!A200="","",'FGPO Master'!H200)</f>
        <v/>
      </c>
      <c r="G206" s="19" t="str">
        <f>IF('FGPO Master'!A200="","",'FGPO Master'!M200)</f>
        <v/>
      </c>
      <c r="H206" s="19" t="str">
        <f>IF(B206="","",SUMIF('Fabric Requirement'!$B$5:$B$304,B206,'Fabric Requirement'!$M$5:$M$304)+SUMIF('Fabric Requirement'!$B$5:$B$304,B206,'Fabric Requirement'!$O$5:$O$304))</f>
        <v/>
      </c>
      <c r="I206" s="19" t="str">
        <f>IF(B206="","",SUMIF('Fabric PO'!$B$5:$B$304,B206,'Fabric PO'!$H$5:$H$304))</f>
        <v/>
      </c>
      <c r="J206" s="19" t="str">
        <f>IF(B206="","",SUMIF('Mill Production'!$C$5:$C$304,B206,'Mill Production'!$I$5:$I$304))</f>
        <v/>
      </c>
      <c r="K206" s="7" t="str">
        <f>IF(B206="","",IF(COUNTIF('Mill Test'!$C$5:$C$304,B206)=0,"Pending",IF(COUNTIFS('Mill Test'!$C$5:$C$304,B206,'Mill Test'!$T$5:$T$304,"Failed")&gt;0,"Failed","Passed")))</f>
        <v/>
      </c>
      <c r="L206" s="19" t="str">
        <f>IF(B206="","",SUMIF('Fabric Shipment'!$C$5:$C$304,B206,'Fabric Shipment'!$G$5:$G$304))</f>
        <v/>
      </c>
      <c r="M206" s="19" t="str">
        <f>IF(B206="","",SUMIF('Fabric Shipment'!$C$5:$C$304,B206,'Fabric Shipment'!$R$5:$R$304))</f>
        <v/>
      </c>
      <c r="N206" s="19" t="str">
        <f>IF(B206="","",SUMIF('Fabric Receiving'!$E$5:$E$304,B206,'Fabric Receiving'!$H$5:$H$304))</f>
        <v/>
      </c>
      <c r="O206" s="19" t="str">
        <f>IF(B206="","",SUMIF('Fabric Receiving'!$E$5:$E$304,B206,'Fabric Receiving'!$I$5:$I$304))</f>
        <v/>
      </c>
      <c r="P206" s="7" t="str">
        <f>IF(B206="","",IF(COUNTIF('Four-Point'!$E$5:$E$304,B206)=0,"Pending",IF(COUNTIFS('Four-Point'!$E$5:$E$304,B206,'Four-Point'!$T$5:$T$304,"Failed")&gt;0,"Failed","Passed")))</f>
        <v/>
      </c>
      <c r="Q206" s="7" t="str">
        <f>IF(B206="","",IF(COUNTIF('Internal Test'!$D$5:$D$304,B206)=0,"Pending",IF(COUNTIFS('Internal Test'!$D$5:$D$304,B206,'Internal Test'!$AA$5:$AA$304,"Failed")&gt;0,"Failed","Passed")))</f>
        <v/>
      </c>
      <c r="R206" s="7" t="str">
        <f>IF(B206="","",IF(COUNTIF('Shade Match'!$C$5:$C$304,B206)=0,"Pending",IF(COUNTIFS('Shade Match'!$C$5:$C$304,B206,'Shade Match'!$Q$5:$Q$304,"Failed")&gt;0,"Failed","Approved")))</f>
        <v/>
      </c>
      <c r="S206" s="19" t="str">
        <f>IF(B206="","",SUMIF('Fabric Inventory'!$C$5:$C$304,B206,'Fabric Inventory'!$H$5:$H$304))</f>
        <v/>
      </c>
      <c r="T206" s="19" t="str">
        <f>IF(B206="","",SUMIF('Fabric Inventory'!$C$5:$C$304,B206,'Fabric Inventory'!$K$5:$K$304))</f>
        <v/>
      </c>
      <c r="U206" s="19" t="str">
        <f>IF(B206="","",SUMIF('Fabric Inventory'!$C$5:$C$304,B206,'Fabric Inventory'!$L$5:$L$304))</f>
        <v/>
      </c>
      <c r="V206" s="19" t="str">
        <f>IF(B206="","",SUMIF('Fabric Inventory'!$C$5:$C$304,B206,'Fabric Inventory'!$N$5:$N$304))</f>
        <v/>
      </c>
      <c r="W206" s="19" t="str">
        <f>IF(B206="","",SUMIF('Fabric Inventory'!$C$5:$C$304,B206,'Fabric Inventory'!$O$5:$O$304))</f>
        <v/>
      </c>
    </row>
    <row r="207" spans="1:23">
      <c r="A207" s="7" t="str">
        <f>IF('FGPO Master'!A201="","",'FGPO Master'!E201)</f>
        <v/>
      </c>
      <c r="B207" s="7" t="str">
        <f>IF('FGPO Master'!A201="","",IF('FGPO Master'!D201="FGPO Pending","FGPO Pending",'FGPO Master'!B201))</f>
        <v/>
      </c>
      <c r="C207" s="7" t="str">
        <f>IF('FGPO Master'!A201="","",'FGPO Master'!D201)</f>
        <v/>
      </c>
      <c r="D207" s="7" t="str">
        <f>IF('FGPO Master'!A201="","",'FGPO Master'!F201)</f>
        <v/>
      </c>
      <c r="E207" s="7" t="str">
        <f>IF('FGPO Master'!A201="","",'FGPO Master'!G201)</f>
        <v/>
      </c>
      <c r="F207" s="19" t="str">
        <f>IF('FGPO Master'!A201="","",'FGPO Master'!H201)</f>
        <v/>
      </c>
      <c r="G207" s="19" t="str">
        <f>IF('FGPO Master'!A201="","",'FGPO Master'!M201)</f>
        <v/>
      </c>
      <c r="H207" s="19" t="str">
        <f>IF(B207="","",SUMIF('Fabric Requirement'!$B$5:$B$304,B207,'Fabric Requirement'!$M$5:$M$304)+SUMIF('Fabric Requirement'!$B$5:$B$304,B207,'Fabric Requirement'!$O$5:$O$304))</f>
        <v/>
      </c>
      <c r="I207" s="19" t="str">
        <f>IF(B207="","",SUMIF('Fabric PO'!$B$5:$B$304,B207,'Fabric PO'!$H$5:$H$304))</f>
        <v/>
      </c>
      <c r="J207" s="19" t="str">
        <f>IF(B207="","",SUMIF('Mill Production'!$C$5:$C$304,B207,'Mill Production'!$I$5:$I$304))</f>
        <v/>
      </c>
      <c r="K207" s="7" t="str">
        <f>IF(B207="","",IF(COUNTIF('Mill Test'!$C$5:$C$304,B207)=0,"Pending",IF(COUNTIFS('Mill Test'!$C$5:$C$304,B207,'Mill Test'!$T$5:$T$304,"Failed")&gt;0,"Failed","Passed")))</f>
        <v/>
      </c>
      <c r="L207" s="19" t="str">
        <f>IF(B207="","",SUMIF('Fabric Shipment'!$C$5:$C$304,B207,'Fabric Shipment'!$G$5:$G$304))</f>
        <v/>
      </c>
      <c r="M207" s="19" t="str">
        <f>IF(B207="","",SUMIF('Fabric Shipment'!$C$5:$C$304,B207,'Fabric Shipment'!$R$5:$R$304))</f>
        <v/>
      </c>
      <c r="N207" s="19" t="str">
        <f>IF(B207="","",SUMIF('Fabric Receiving'!$E$5:$E$304,B207,'Fabric Receiving'!$H$5:$H$304))</f>
        <v/>
      </c>
      <c r="O207" s="19" t="str">
        <f>IF(B207="","",SUMIF('Fabric Receiving'!$E$5:$E$304,B207,'Fabric Receiving'!$I$5:$I$304))</f>
        <v/>
      </c>
      <c r="P207" s="7" t="str">
        <f>IF(B207="","",IF(COUNTIF('Four-Point'!$E$5:$E$304,B207)=0,"Pending",IF(COUNTIFS('Four-Point'!$E$5:$E$304,B207,'Four-Point'!$T$5:$T$304,"Failed")&gt;0,"Failed","Passed")))</f>
        <v/>
      </c>
      <c r="Q207" s="7" t="str">
        <f>IF(B207="","",IF(COUNTIF('Internal Test'!$D$5:$D$304,B207)=0,"Pending",IF(COUNTIFS('Internal Test'!$D$5:$D$304,B207,'Internal Test'!$AA$5:$AA$304,"Failed")&gt;0,"Failed","Passed")))</f>
        <v/>
      </c>
      <c r="R207" s="7" t="str">
        <f>IF(B207="","",IF(COUNTIF('Shade Match'!$C$5:$C$304,B207)=0,"Pending",IF(COUNTIFS('Shade Match'!$C$5:$C$304,B207,'Shade Match'!$Q$5:$Q$304,"Failed")&gt;0,"Failed","Approved")))</f>
        <v/>
      </c>
      <c r="S207" s="19" t="str">
        <f>IF(B207="","",SUMIF('Fabric Inventory'!$C$5:$C$304,B207,'Fabric Inventory'!$H$5:$H$304))</f>
        <v/>
      </c>
      <c r="T207" s="19" t="str">
        <f>IF(B207="","",SUMIF('Fabric Inventory'!$C$5:$C$304,B207,'Fabric Inventory'!$K$5:$K$304))</f>
        <v/>
      </c>
      <c r="U207" s="19" t="str">
        <f>IF(B207="","",SUMIF('Fabric Inventory'!$C$5:$C$304,B207,'Fabric Inventory'!$L$5:$L$304))</f>
        <v/>
      </c>
      <c r="V207" s="19" t="str">
        <f>IF(B207="","",SUMIF('Fabric Inventory'!$C$5:$C$304,B207,'Fabric Inventory'!$N$5:$N$304))</f>
        <v/>
      </c>
      <c r="W207" s="19" t="str">
        <f>IF(B207="","",SUMIF('Fabric Inventory'!$C$5:$C$304,B207,'Fabric Inventory'!$O$5:$O$304))</f>
        <v/>
      </c>
    </row>
    <row r="208" spans="1:23">
      <c r="A208" s="7" t="str">
        <f>IF('FGPO Master'!A202="","",'FGPO Master'!E202)</f>
        <v/>
      </c>
      <c r="B208" s="7" t="str">
        <f>IF('FGPO Master'!A202="","",IF('FGPO Master'!D202="FGPO Pending","FGPO Pending",'FGPO Master'!B202))</f>
        <v/>
      </c>
      <c r="C208" s="7" t="str">
        <f>IF('FGPO Master'!A202="","",'FGPO Master'!D202)</f>
        <v/>
      </c>
      <c r="D208" s="7" t="str">
        <f>IF('FGPO Master'!A202="","",'FGPO Master'!F202)</f>
        <v/>
      </c>
      <c r="E208" s="7" t="str">
        <f>IF('FGPO Master'!A202="","",'FGPO Master'!G202)</f>
        <v/>
      </c>
      <c r="F208" s="19" t="str">
        <f>IF('FGPO Master'!A202="","",'FGPO Master'!H202)</f>
        <v/>
      </c>
      <c r="G208" s="19" t="str">
        <f>IF('FGPO Master'!A202="","",'FGPO Master'!M202)</f>
        <v/>
      </c>
      <c r="H208" s="19" t="str">
        <f>IF(B208="","",SUMIF('Fabric Requirement'!$B$5:$B$304,B208,'Fabric Requirement'!$M$5:$M$304)+SUMIF('Fabric Requirement'!$B$5:$B$304,B208,'Fabric Requirement'!$O$5:$O$304))</f>
        <v/>
      </c>
      <c r="I208" s="19" t="str">
        <f>IF(B208="","",SUMIF('Fabric PO'!$B$5:$B$304,B208,'Fabric PO'!$H$5:$H$304))</f>
        <v/>
      </c>
      <c r="J208" s="19" t="str">
        <f>IF(B208="","",SUMIF('Mill Production'!$C$5:$C$304,B208,'Mill Production'!$I$5:$I$304))</f>
        <v/>
      </c>
      <c r="K208" s="7" t="str">
        <f>IF(B208="","",IF(COUNTIF('Mill Test'!$C$5:$C$304,B208)=0,"Pending",IF(COUNTIFS('Mill Test'!$C$5:$C$304,B208,'Mill Test'!$T$5:$T$304,"Failed")&gt;0,"Failed","Passed")))</f>
        <v/>
      </c>
      <c r="L208" s="19" t="str">
        <f>IF(B208="","",SUMIF('Fabric Shipment'!$C$5:$C$304,B208,'Fabric Shipment'!$G$5:$G$304))</f>
        <v/>
      </c>
      <c r="M208" s="19" t="str">
        <f>IF(B208="","",SUMIF('Fabric Shipment'!$C$5:$C$304,B208,'Fabric Shipment'!$R$5:$R$304))</f>
        <v/>
      </c>
      <c r="N208" s="19" t="str">
        <f>IF(B208="","",SUMIF('Fabric Receiving'!$E$5:$E$304,B208,'Fabric Receiving'!$H$5:$H$304))</f>
        <v/>
      </c>
      <c r="O208" s="19" t="str">
        <f>IF(B208="","",SUMIF('Fabric Receiving'!$E$5:$E$304,B208,'Fabric Receiving'!$I$5:$I$304))</f>
        <v/>
      </c>
      <c r="P208" s="7" t="str">
        <f>IF(B208="","",IF(COUNTIF('Four-Point'!$E$5:$E$304,B208)=0,"Pending",IF(COUNTIFS('Four-Point'!$E$5:$E$304,B208,'Four-Point'!$T$5:$T$304,"Failed")&gt;0,"Failed","Passed")))</f>
        <v/>
      </c>
      <c r="Q208" s="7" t="str">
        <f>IF(B208="","",IF(COUNTIF('Internal Test'!$D$5:$D$304,B208)=0,"Pending",IF(COUNTIFS('Internal Test'!$D$5:$D$304,B208,'Internal Test'!$AA$5:$AA$304,"Failed")&gt;0,"Failed","Passed")))</f>
        <v/>
      </c>
      <c r="R208" s="7" t="str">
        <f>IF(B208="","",IF(COUNTIF('Shade Match'!$C$5:$C$304,B208)=0,"Pending",IF(COUNTIFS('Shade Match'!$C$5:$C$304,B208,'Shade Match'!$Q$5:$Q$304,"Failed")&gt;0,"Failed","Approved")))</f>
        <v/>
      </c>
      <c r="S208" s="19" t="str">
        <f>IF(B208="","",SUMIF('Fabric Inventory'!$C$5:$C$304,B208,'Fabric Inventory'!$H$5:$H$304))</f>
        <v/>
      </c>
      <c r="T208" s="19" t="str">
        <f>IF(B208="","",SUMIF('Fabric Inventory'!$C$5:$C$304,B208,'Fabric Inventory'!$K$5:$K$304))</f>
        <v/>
      </c>
      <c r="U208" s="19" t="str">
        <f>IF(B208="","",SUMIF('Fabric Inventory'!$C$5:$C$304,B208,'Fabric Inventory'!$L$5:$L$304))</f>
        <v/>
      </c>
      <c r="V208" s="19" t="str">
        <f>IF(B208="","",SUMIF('Fabric Inventory'!$C$5:$C$304,B208,'Fabric Inventory'!$N$5:$N$304))</f>
        <v/>
      </c>
      <c r="W208" s="19" t="str">
        <f>IF(B208="","",SUMIF('Fabric Inventory'!$C$5:$C$304,B208,'Fabric Inventory'!$O$5:$O$304))</f>
        <v/>
      </c>
    </row>
    <row r="209" spans="1:23">
      <c r="A209" s="7" t="str">
        <f>IF('FGPO Master'!A203="","",'FGPO Master'!E203)</f>
        <v/>
      </c>
      <c r="B209" s="7" t="str">
        <f>IF('FGPO Master'!A203="","",IF('FGPO Master'!D203="FGPO Pending","FGPO Pending",'FGPO Master'!B203))</f>
        <v/>
      </c>
      <c r="C209" s="7" t="str">
        <f>IF('FGPO Master'!A203="","",'FGPO Master'!D203)</f>
        <v/>
      </c>
      <c r="D209" s="7" t="str">
        <f>IF('FGPO Master'!A203="","",'FGPO Master'!F203)</f>
        <v/>
      </c>
      <c r="E209" s="7" t="str">
        <f>IF('FGPO Master'!A203="","",'FGPO Master'!G203)</f>
        <v/>
      </c>
      <c r="F209" s="19" t="str">
        <f>IF('FGPO Master'!A203="","",'FGPO Master'!H203)</f>
        <v/>
      </c>
      <c r="G209" s="19" t="str">
        <f>IF('FGPO Master'!A203="","",'FGPO Master'!M203)</f>
        <v/>
      </c>
      <c r="H209" s="19" t="str">
        <f>IF(B209="","",SUMIF('Fabric Requirement'!$B$5:$B$304,B209,'Fabric Requirement'!$M$5:$M$304)+SUMIF('Fabric Requirement'!$B$5:$B$304,B209,'Fabric Requirement'!$O$5:$O$304))</f>
        <v/>
      </c>
      <c r="I209" s="19" t="str">
        <f>IF(B209="","",SUMIF('Fabric PO'!$B$5:$B$304,B209,'Fabric PO'!$H$5:$H$304))</f>
        <v/>
      </c>
      <c r="J209" s="19" t="str">
        <f>IF(B209="","",SUMIF('Mill Production'!$C$5:$C$304,B209,'Mill Production'!$I$5:$I$304))</f>
        <v/>
      </c>
      <c r="K209" s="7" t="str">
        <f>IF(B209="","",IF(COUNTIF('Mill Test'!$C$5:$C$304,B209)=0,"Pending",IF(COUNTIFS('Mill Test'!$C$5:$C$304,B209,'Mill Test'!$T$5:$T$304,"Failed")&gt;0,"Failed","Passed")))</f>
        <v/>
      </c>
      <c r="L209" s="19" t="str">
        <f>IF(B209="","",SUMIF('Fabric Shipment'!$C$5:$C$304,B209,'Fabric Shipment'!$G$5:$G$304))</f>
        <v/>
      </c>
      <c r="M209" s="19" t="str">
        <f>IF(B209="","",SUMIF('Fabric Shipment'!$C$5:$C$304,B209,'Fabric Shipment'!$R$5:$R$304))</f>
        <v/>
      </c>
      <c r="N209" s="19" t="str">
        <f>IF(B209="","",SUMIF('Fabric Receiving'!$E$5:$E$304,B209,'Fabric Receiving'!$H$5:$H$304))</f>
        <v/>
      </c>
      <c r="O209" s="19" t="str">
        <f>IF(B209="","",SUMIF('Fabric Receiving'!$E$5:$E$304,B209,'Fabric Receiving'!$I$5:$I$304))</f>
        <v/>
      </c>
      <c r="P209" s="7" t="str">
        <f>IF(B209="","",IF(COUNTIF('Four-Point'!$E$5:$E$304,B209)=0,"Pending",IF(COUNTIFS('Four-Point'!$E$5:$E$304,B209,'Four-Point'!$T$5:$T$304,"Failed")&gt;0,"Failed","Passed")))</f>
        <v/>
      </c>
      <c r="Q209" s="7" t="str">
        <f>IF(B209="","",IF(COUNTIF('Internal Test'!$D$5:$D$304,B209)=0,"Pending",IF(COUNTIFS('Internal Test'!$D$5:$D$304,B209,'Internal Test'!$AA$5:$AA$304,"Failed")&gt;0,"Failed","Passed")))</f>
        <v/>
      </c>
      <c r="R209" s="7" t="str">
        <f>IF(B209="","",IF(COUNTIF('Shade Match'!$C$5:$C$304,B209)=0,"Pending",IF(COUNTIFS('Shade Match'!$C$5:$C$304,B209,'Shade Match'!$Q$5:$Q$304,"Failed")&gt;0,"Failed","Approved")))</f>
        <v/>
      </c>
      <c r="S209" s="19" t="str">
        <f>IF(B209="","",SUMIF('Fabric Inventory'!$C$5:$C$304,B209,'Fabric Inventory'!$H$5:$H$304))</f>
        <v/>
      </c>
      <c r="T209" s="19" t="str">
        <f>IF(B209="","",SUMIF('Fabric Inventory'!$C$5:$C$304,B209,'Fabric Inventory'!$K$5:$K$304))</f>
        <v/>
      </c>
      <c r="U209" s="19" t="str">
        <f>IF(B209="","",SUMIF('Fabric Inventory'!$C$5:$C$304,B209,'Fabric Inventory'!$L$5:$L$304))</f>
        <v/>
      </c>
      <c r="V209" s="19" t="str">
        <f>IF(B209="","",SUMIF('Fabric Inventory'!$C$5:$C$304,B209,'Fabric Inventory'!$N$5:$N$304))</f>
        <v/>
      </c>
      <c r="W209" s="19" t="str">
        <f>IF(B209="","",SUMIF('Fabric Inventory'!$C$5:$C$304,B209,'Fabric Inventory'!$O$5:$O$304))</f>
        <v/>
      </c>
    </row>
    <row r="210" spans="1:23">
      <c r="A210" s="7" t="str">
        <f>IF('FGPO Master'!A204="","",'FGPO Master'!E204)</f>
        <v/>
      </c>
      <c r="B210" s="7" t="str">
        <f>IF('FGPO Master'!A204="","",IF('FGPO Master'!D204="FGPO Pending","FGPO Pending",'FGPO Master'!B204))</f>
        <v/>
      </c>
      <c r="C210" s="7" t="str">
        <f>IF('FGPO Master'!A204="","",'FGPO Master'!D204)</f>
        <v/>
      </c>
      <c r="D210" s="7" t="str">
        <f>IF('FGPO Master'!A204="","",'FGPO Master'!F204)</f>
        <v/>
      </c>
      <c r="E210" s="7" t="str">
        <f>IF('FGPO Master'!A204="","",'FGPO Master'!G204)</f>
        <v/>
      </c>
      <c r="F210" s="19" t="str">
        <f>IF('FGPO Master'!A204="","",'FGPO Master'!H204)</f>
        <v/>
      </c>
      <c r="G210" s="19" t="str">
        <f>IF('FGPO Master'!A204="","",'FGPO Master'!M204)</f>
        <v/>
      </c>
      <c r="H210" s="19" t="str">
        <f>IF(B210="","",SUMIF('Fabric Requirement'!$B$5:$B$304,B210,'Fabric Requirement'!$M$5:$M$304)+SUMIF('Fabric Requirement'!$B$5:$B$304,B210,'Fabric Requirement'!$O$5:$O$304))</f>
        <v/>
      </c>
      <c r="I210" s="19" t="str">
        <f>IF(B210="","",SUMIF('Fabric PO'!$B$5:$B$304,B210,'Fabric PO'!$H$5:$H$304))</f>
        <v/>
      </c>
      <c r="J210" s="19" t="str">
        <f>IF(B210="","",SUMIF('Mill Production'!$C$5:$C$304,B210,'Mill Production'!$I$5:$I$304))</f>
        <v/>
      </c>
      <c r="K210" s="7" t="str">
        <f>IF(B210="","",IF(COUNTIF('Mill Test'!$C$5:$C$304,B210)=0,"Pending",IF(COUNTIFS('Mill Test'!$C$5:$C$304,B210,'Mill Test'!$T$5:$T$304,"Failed")&gt;0,"Failed","Passed")))</f>
        <v/>
      </c>
      <c r="L210" s="19" t="str">
        <f>IF(B210="","",SUMIF('Fabric Shipment'!$C$5:$C$304,B210,'Fabric Shipment'!$G$5:$G$304))</f>
        <v/>
      </c>
      <c r="M210" s="19" t="str">
        <f>IF(B210="","",SUMIF('Fabric Shipment'!$C$5:$C$304,B210,'Fabric Shipment'!$R$5:$R$304))</f>
        <v/>
      </c>
      <c r="N210" s="19" t="str">
        <f>IF(B210="","",SUMIF('Fabric Receiving'!$E$5:$E$304,B210,'Fabric Receiving'!$H$5:$H$304))</f>
        <v/>
      </c>
      <c r="O210" s="19" t="str">
        <f>IF(B210="","",SUMIF('Fabric Receiving'!$E$5:$E$304,B210,'Fabric Receiving'!$I$5:$I$304))</f>
        <v/>
      </c>
      <c r="P210" s="7" t="str">
        <f>IF(B210="","",IF(COUNTIF('Four-Point'!$E$5:$E$304,B210)=0,"Pending",IF(COUNTIFS('Four-Point'!$E$5:$E$304,B210,'Four-Point'!$T$5:$T$304,"Failed")&gt;0,"Failed","Passed")))</f>
        <v/>
      </c>
      <c r="Q210" s="7" t="str">
        <f>IF(B210="","",IF(COUNTIF('Internal Test'!$D$5:$D$304,B210)=0,"Pending",IF(COUNTIFS('Internal Test'!$D$5:$D$304,B210,'Internal Test'!$AA$5:$AA$304,"Failed")&gt;0,"Failed","Passed")))</f>
        <v/>
      </c>
      <c r="R210" s="7" t="str">
        <f>IF(B210="","",IF(COUNTIF('Shade Match'!$C$5:$C$304,B210)=0,"Pending",IF(COUNTIFS('Shade Match'!$C$5:$C$304,B210,'Shade Match'!$Q$5:$Q$304,"Failed")&gt;0,"Failed","Approved")))</f>
        <v/>
      </c>
      <c r="S210" s="19" t="str">
        <f>IF(B210="","",SUMIF('Fabric Inventory'!$C$5:$C$304,B210,'Fabric Inventory'!$H$5:$H$304))</f>
        <v/>
      </c>
      <c r="T210" s="19" t="str">
        <f>IF(B210="","",SUMIF('Fabric Inventory'!$C$5:$C$304,B210,'Fabric Inventory'!$K$5:$K$304))</f>
        <v/>
      </c>
      <c r="U210" s="19" t="str">
        <f>IF(B210="","",SUMIF('Fabric Inventory'!$C$5:$C$304,B210,'Fabric Inventory'!$L$5:$L$304))</f>
        <v/>
      </c>
      <c r="V210" s="19" t="str">
        <f>IF(B210="","",SUMIF('Fabric Inventory'!$C$5:$C$304,B210,'Fabric Inventory'!$N$5:$N$304))</f>
        <v/>
      </c>
      <c r="W210" s="19" t="str">
        <f>IF(B210="","",SUMIF('Fabric Inventory'!$C$5:$C$304,B210,'Fabric Inventory'!$O$5:$O$304))</f>
        <v/>
      </c>
    </row>
    <row r="211" spans="1:23">
      <c r="F211" s="17"/>
      <c r="G211" s="17"/>
      <c r="H211" s="17"/>
      <c r="I211" s="17"/>
      <c r="J211" s="17"/>
      <c r="L211" s="17"/>
      <c r="M211" s="17"/>
      <c r="N211" s="17"/>
      <c r="O211" s="17"/>
      <c r="S211" s="17"/>
      <c r="T211" s="17"/>
      <c r="U211" s="17"/>
      <c r="V211" s="17"/>
      <c r="W211" s="17"/>
    </row>
    <row r="212" spans="1:23">
      <c r="F212" s="17"/>
      <c r="G212" s="17"/>
      <c r="H212" s="17"/>
      <c r="I212" s="17"/>
      <c r="J212" s="17"/>
      <c r="L212" s="17"/>
      <c r="M212" s="17"/>
      <c r="N212" s="17"/>
      <c r="O212" s="17"/>
      <c r="S212" s="17"/>
      <c r="T212" s="17"/>
      <c r="U212" s="17"/>
      <c r="V212" s="17"/>
      <c r="W212" s="17"/>
    </row>
    <row r="213" spans="1:23">
      <c r="F213" s="17"/>
      <c r="G213" s="17"/>
      <c r="H213" s="17"/>
      <c r="I213" s="17"/>
      <c r="J213" s="17"/>
      <c r="L213" s="17"/>
      <c r="M213" s="17"/>
      <c r="N213" s="17"/>
      <c r="O213" s="17"/>
      <c r="S213" s="17"/>
      <c r="T213" s="17"/>
      <c r="U213" s="17"/>
      <c r="V213" s="17"/>
      <c r="W213" s="17"/>
    </row>
    <row r="214" spans="1:23">
      <c r="F214" s="17"/>
      <c r="G214" s="17"/>
      <c r="H214" s="17"/>
      <c r="I214" s="17"/>
      <c r="J214" s="17"/>
      <c r="L214" s="17"/>
      <c r="M214" s="17"/>
      <c r="N214" s="17"/>
      <c r="O214" s="17"/>
      <c r="S214" s="17"/>
      <c r="T214" s="17"/>
      <c r="U214" s="17"/>
      <c r="V214" s="17"/>
      <c r="W214" s="17"/>
    </row>
    <row r="215" spans="1:23">
      <c r="F215" s="17"/>
      <c r="G215" s="17"/>
      <c r="H215" s="17"/>
      <c r="I215" s="17"/>
      <c r="J215" s="17"/>
      <c r="L215" s="17"/>
      <c r="M215" s="17"/>
      <c r="N215" s="17"/>
      <c r="O215" s="17"/>
      <c r="S215" s="17"/>
      <c r="T215" s="17"/>
      <c r="U215" s="17"/>
      <c r="V215" s="17"/>
      <c r="W215" s="17"/>
    </row>
    <row r="216" spans="1:23">
      <c r="F216" s="17"/>
      <c r="G216" s="17"/>
      <c r="H216" s="17"/>
      <c r="I216" s="17"/>
      <c r="J216" s="17"/>
      <c r="L216" s="17"/>
      <c r="M216" s="17"/>
      <c r="N216" s="17"/>
      <c r="O216" s="17"/>
      <c r="S216" s="17"/>
      <c r="T216" s="17"/>
      <c r="U216" s="17"/>
      <c r="V216" s="17"/>
      <c r="W216" s="17"/>
    </row>
    <row r="217" spans="1:23">
      <c r="F217" s="17"/>
      <c r="G217" s="17"/>
      <c r="H217" s="17"/>
      <c r="I217" s="17"/>
      <c r="J217" s="17"/>
      <c r="L217" s="17"/>
      <c r="M217" s="17"/>
      <c r="N217" s="17"/>
      <c r="O217" s="17"/>
      <c r="S217" s="17"/>
      <c r="T217" s="17"/>
      <c r="U217" s="17"/>
      <c r="V217" s="17"/>
      <c r="W217" s="17"/>
    </row>
    <row r="218" spans="1:23">
      <c r="F218" s="17"/>
      <c r="G218" s="17"/>
      <c r="H218" s="17"/>
      <c r="I218" s="17"/>
      <c r="J218" s="17"/>
      <c r="L218" s="17"/>
      <c r="M218" s="17"/>
      <c r="N218" s="17"/>
      <c r="O218" s="17"/>
      <c r="S218" s="17"/>
      <c r="T218" s="17"/>
      <c r="U218" s="17"/>
      <c r="V218" s="17"/>
      <c r="W218" s="17"/>
    </row>
    <row r="219" spans="1:23">
      <c r="F219" s="17"/>
      <c r="G219" s="17"/>
      <c r="H219" s="17"/>
      <c r="I219" s="17"/>
      <c r="J219" s="17"/>
      <c r="L219" s="17"/>
      <c r="M219" s="17"/>
      <c r="N219" s="17"/>
      <c r="O219" s="17"/>
      <c r="S219" s="17"/>
      <c r="T219" s="17"/>
      <c r="U219" s="17"/>
      <c r="V219" s="17"/>
      <c r="W219" s="17"/>
    </row>
    <row r="220" spans="1:23">
      <c r="F220" s="17"/>
      <c r="G220" s="17"/>
      <c r="H220" s="17"/>
      <c r="I220" s="17"/>
      <c r="J220" s="17"/>
      <c r="L220" s="17"/>
      <c r="M220" s="17"/>
      <c r="N220" s="17"/>
      <c r="O220" s="17"/>
      <c r="S220" s="17"/>
      <c r="T220" s="17"/>
      <c r="U220" s="17"/>
      <c r="V220" s="17"/>
      <c r="W220" s="17"/>
    </row>
    <row r="221" spans="1:23">
      <c r="F221" s="17"/>
      <c r="G221" s="17"/>
      <c r="H221" s="17"/>
      <c r="I221" s="17"/>
      <c r="J221" s="17"/>
      <c r="L221" s="17"/>
      <c r="M221" s="17"/>
      <c r="N221" s="17"/>
      <c r="O221" s="17"/>
      <c r="S221" s="17"/>
      <c r="T221" s="17"/>
      <c r="U221" s="17"/>
      <c r="V221" s="17"/>
      <c r="W221" s="17"/>
    </row>
    <row r="222" spans="1:23">
      <c r="F222" s="17"/>
      <c r="G222" s="17"/>
      <c r="H222" s="17"/>
      <c r="I222" s="17"/>
      <c r="J222" s="17"/>
      <c r="L222" s="17"/>
      <c r="M222" s="17"/>
      <c r="N222" s="17"/>
      <c r="O222" s="17"/>
      <c r="S222" s="17"/>
      <c r="T222" s="17"/>
      <c r="U222" s="17"/>
      <c r="V222" s="17"/>
      <c r="W222" s="17"/>
    </row>
    <row r="223" spans="1:23">
      <c r="F223" s="17"/>
      <c r="G223" s="17"/>
      <c r="H223" s="17"/>
      <c r="I223" s="17"/>
      <c r="J223" s="17"/>
      <c r="L223" s="17"/>
      <c r="M223" s="17"/>
      <c r="N223" s="17"/>
      <c r="O223" s="17"/>
      <c r="S223" s="17"/>
      <c r="T223" s="17"/>
      <c r="U223" s="17"/>
      <c r="V223" s="17"/>
      <c r="W223" s="17"/>
    </row>
    <row r="224" spans="1:23">
      <c r="F224" s="17"/>
      <c r="G224" s="17"/>
      <c r="H224" s="17"/>
      <c r="I224" s="17"/>
      <c r="J224" s="17"/>
      <c r="L224" s="17"/>
      <c r="M224" s="17"/>
      <c r="N224" s="17"/>
      <c r="O224" s="17"/>
      <c r="S224" s="17"/>
      <c r="T224" s="17"/>
      <c r="U224" s="17"/>
      <c r="V224" s="17"/>
      <c r="W224" s="17"/>
    </row>
    <row r="225" spans="6:23">
      <c r="F225" s="17"/>
      <c r="G225" s="17"/>
      <c r="H225" s="17"/>
      <c r="I225" s="17"/>
      <c r="J225" s="17"/>
      <c r="L225" s="17"/>
      <c r="M225" s="17"/>
      <c r="N225" s="17"/>
      <c r="O225" s="17"/>
      <c r="S225" s="17"/>
      <c r="T225" s="17"/>
      <c r="U225" s="17"/>
      <c r="V225" s="17"/>
      <c r="W225" s="17"/>
    </row>
    <row r="226" spans="6:23">
      <c r="F226" s="17"/>
      <c r="G226" s="17"/>
      <c r="H226" s="17"/>
      <c r="I226" s="17"/>
      <c r="J226" s="17"/>
      <c r="L226" s="17"/>
      <c r="M226" s="17"/>
      <c r="N226" s="17"/>
      <c r="O226" s="17"/>
      <c r="S226" s="17"/>
      <c r="T226" s="17"/>
      <c r="U226" s="17"/>
      <c r="V226" s="17"/>
      <c r="W226" s="17"/>
    </row>
    <row r="227" spans="6:23">
      <c r="F227" s="17"/>
      <c r="G227" s="17"/>
      <c r="H227" s="17"/>
      <c r="I227" s="17"/>
      <c r="J227" s="17"/>
      <c r="L227" s="17"/>
      <c r="M227" s="17"/>
      <c r="N227" s="17"/>
      <c r="O227" s="17"/>
      <c r="S227" s="17"/>
      <c r="T227" s="17"/>
      <c r="U227" s="17"/>
      <c r="V227" s="17"/>
      <c r="W227" s="17"/>
    </row>
    <row r="228" spans="6:23">
      <c r="F228" s="17"/>
      <c r="G228" s="17"/>
      <c r="H228" s="17"/>
      <c r="I228" s="17"/>
      <c r="J228" s="17"/>
      <c r="L228" s="17"/>
      <c r="M228" s="17"/>
      <c r="N228" s="17"/>
      <c r="O228" s="17"/>
      <c r="S228" s="17"/>
      <c r="T228" s="17"/>
      <c r="U228" s="17"/>
      <c r="V228" s="17"/>
      <c r="W228" s="17"/>
    </row>
    <row r="229" spans="6:23">
      <c r="F229" s="17"/>
      <c r="G229" s="17"/>
      <c r="H229" s="17"/>
      <c r="I229" s="17"/>
      <c r="J229" s="17"/>
      <c r="L229" s="17"/>
      <c r="M229" s="17"/>
      <c r="N229" s="17"/>
      <c r="O229" s="17"/>
      <c r="S229" s="17"/>
      <c r="T229" s="17"/>
      <c r="U229" s="17"/>
      <c r="V229" s="17"/>
      <c r="W229" s="17"/>
    </row>
    <row r="230" spans="6:23">
      <c r="F230" s="17"/>
      <c r="G230" s="17"/>
      <c r="H230" s="17"/>
      <c r="I230" s="17"/>
      <c r="J230" s="17"/>
      <c r="L230" s="17"/>
      <c r="M230" s="17"/>
      <c r="N230" s="17"/>
      <c r="O230" s="17"/>
      <c r="S230" s="17"/>
      <c r="T230" s="17"/>
      <c r="U230" s="17"/>
      <c r="V230" s="17"/>
      <c r="W230" s="17"/>
    </row>
    <row r="231" spans="6:23">
      <c r="F231" s="17"/>
      <c r="G231" s="17"/>
      <c r="H231" s="17"/>
      <c r="I231" s="17"/>
      <c r="J231" s="17"/>
      <c r="L231" s="17"/>
      <c r="M231" s="17"/>
      <c r="N231" s="17"/>
      <c r="O231" s="17"/>
      <c r="S231" s="17"/>
      <c r="T231" s="17"/>
      <c r="U231" s="17"/>
      <c r="V231" s="17"/>
      <c r="W231" s="17"/>
    </row>
    <row r="232" spans="6:23">
      <c r="F232" s="17"/>
      <c r="G232" s="17"/>
      <c r="H232" s="17"/>
      <c r="I232" s="17"/>
      <c r="J232" s="17"/>
      <c r="L232" s="17"/>
      <c r="M232" s="17"/>
      <c r="N232" s="17"/>
      <c r="O232" s="17"/>
      <c r="S232" s="17"/>
      <c r="T232" s="17"/>
      <c r="U232" s="17"/>
      <c r="V232" s="17"/>
      <c r="W232" s="17"/>
    </row>
    <row r="233" spans="6:23">
      <c r="F233" s="17"/>
      <c r="G233" s="17"/>
      <c r="H233" s="17"/>
      <c r="I233" s="17"/>
      <c r="J233" s="17"/>
      <c r="L233" s="17"/>
      <c r="M233" s="17"/>
      <c r="N233" s="17"/>
      <c r="O233" s="17"/>
      <c r="S233" s="17"/>
      <c r="T233" s="17"/>
      <c r="U233" s="17"/>
      <c r="V233" s="17"/>
      <c r="W233" s="17"/>
    </row>
    <row r="234" spans="6:23">
      <c r="F234" s="17"/>
      <c r="G234" s="17"/>
      <c r="H234" s="17"/>
      <c r="I234" s="17"/>
      <c r="J234" s="17"/>
      <c r="L234" s="17"/>
      <c r="M234" s="17"/>
      <c r="N234" s="17"/>
      <c r="O234" s="17"/>
      <c r="S234" s="17"/>
      <c r="T234" s="17"/>
      <c r="U234" s="17"/>
      <c r="V234" s="17"/>
      <c r="W234" s="17"/>
    </row>
    <row r="235" spans="6:23">
      <c r="F235" s="17"/>
      <c r="G235" s="17"/>
      <c r="H235" s="17"/>
      <c r="I235" s="17"/>
      <c r="J235" s="17"/>
      <c r="L235" s="17"/>
      <c r="M235" s="17"/>
      <c r="N235" s="17"/>
      <c r="O235" s="17"/>
      <c r="S235" s="17"/>
      <c r="T235" s="17"/>
      <c r="U235" s="17"/>
      <c r="V235" s="17"/>
      <c r="W235" s="17"/>
    </row>
    <row r="236" spans="6:23">
      <c r="F236" s="17"/>
      <c r="G236" s="17"/>
      <c r="H236" s="17"/>
      <c r="I236" s="17"/>
      <c r="J236" s="17"/>
      <c r="L236" s="17"/>
      <c r="M236" s="17"/>
      <c r="N236" s="17"/>
      <c r="O236" s="17"/>
      <c r="S236" s="17"/>
      <c r="T236" s="17"/>
      <c r="U236" s="17"/>
      <c r="V236" s="17"/>
      <c r="W236" s="17"/>
    </row>
    <row r="237" spans="6:23">
      <c r="F237" s="17"/>
      <c r="G237" s="17"/>
      <c r="H237" s="17"/>
      <c r="I237" s="17"/>
      <c r="J237" s="17"/>
      <c r="L237" s="17"/>
      <c r="M237" s="17"/>
      <c r="N237" s="17"/>
      <c r="O237" s="17"/>
      <c r="S237" s="17"/>
      <c r="T237" s="17"/>
      <c r="U237" s="17"/>
      <c r="V237" s="17"/>
      <c r="W237" s="17"/>
    </row>
    <row r="238" spans="6:23">
      <c r="F238" s="17"/>
      <c r="G238" s="17"/>
      <c r="H238" s="17"/>
      <c r="I238" s="17"/>
      <c r="J238" s="17"/>
      <c r="L238" s="17"/>
      <c r="M238" s="17"/>
      <c r="N238" s="17"/>
      <c r="O238" s="17"/>
      <c r="S238" s="17"/>
      <c r="T238" s="17"/>
      <c r="U238" s="17"/>
      <c r="V238" s="17"/>
      <c r="W238" s="17"/>
    </row>
    <row r="239" spans="6:23">
      <c r="F239" s="17"/>
      <c r="G239" s="17"/>
      <c r="H239" s="17"/>
      <c r="I239" s="17"/>
      <c r="J239" s="17"/>
      <c r="L239" s="17"/>
      <c r="M239" s="17"/>
      <c r="N239" s="17"/>
      <c r="O239" s="17"/>
      <c r="S239" s="17"/>
      <c r="T239" s="17"/>
      <c r="U239" s="17"/>
      <c r="V239" s="17"/>
      <c r="W239" s="17"/>
    </row>
    <row r="240" spans="6:23">
      <c r="F240" s="17"/>
      <c r="G240" s="17"/>
      <c r="H240" s="17"/>
      <c r="I240" s="17"/>
      <c r="J240" s="17"/>
      <c r="L240" s="17"/>
      <c r="M240" s="17"/>
      <c r="N240" s="17"/>
      <c r="O240" s="17"/>
      <c r="S240" s="17"/>
      <c r="T240" s="17"/>
      <c r="U240" s="17"/>
      <c r="V240" s="17"/>
      <c r="W240" s="17"/>
    </row>
    <row r="241" spans="6:23">
      <c r="F241" s="17"/>
      <c r="G241" s="17"/>
      <c r="H241" s="17"/>
      <c r="I241" s="17"/>
      <c r="J241" s="17"/>
      <c r="L241" s="17"/>
      <c r="M241" s="17"/>
      <c r="N241" s="17"/>
      <c r="O241" s="17"/>
      <c r="S241" s="17"/>
      <c r="T241" s="17"/>
      <c r="U241" s="17"/>
      <c r="V241" s="17"/>
      <c r="W241" s="17"/>
    </row>
    <row r="242" spans="6:23">
      <c r="F242" s="17"/>
      <c r="G242" s="17"/>
      <c r="H242" s="17"/>
      <c r="I242" s="17"/>
      <c r="J242" s="17"/>
      <c r="L242" s="17"/>
      <c r="M242" s="17"/>
      <c r="N242" s="17"/>
      <c r="O242" s="17"/>
      <c r="S242" s="17"/>
      <c r="T242" s="17"/>
      <c r="U242" s="17"/>
      <c r="V242" s="17"/>
      <c r="W242" s="17"/>
    </row>
    <row r="243" spans="6:23">
      <c r="F243" s="17"/>
      <c r="G243" s="17"/>
      <c r="H243" s="17"/>
      <c r="I243" s="17"/>
      <c r="J243" s="17"/>
      <c r="L243" s="17"/>
      <c r="M243" s="17"/>
      <c r="N243" s="17"/>
      <c r="O243" s="17"/>
      <c r="S243" s="17"/>
      <c r="T243" s="17"/>
      <c r="U243" s="17"/>
      <c r="V243" s="17"/>
      <c r="W243" s="17"/>
    </row>
    <row r="244" spans="6:23">
      <c r="F244" s="17"/>
      <c r="G244" s="17"/>
      <c r="H244" s="17"/>
      <c r="I244" s="17"/>
      <c r="J244" s="17"/>
      <c r="L244" s="17"/>
      <c r="M244" s="17"/>
      <c r="N244" s="17"/>
      <c r="O244" s="17"/>
      <c r="S244" s="17"/>
      <c r="T244" s="17"/>
      <c r="U244" s="17"/>
      <c r="V244" s="17"/>
      <c r="W244" s="17"/>
    </row>
    <row r="245" spans="6:23">
      <c r="F245" s="17"/>
      <c r="G245" s="17"/>
      <c r="H245" s="17"/>
      <c r="I245" s="17"/>
      <c r="J245" s="17"/>
      <c r="L245" s="17"/>
      <c r="M245" s="17"/>
      <c r="N245" s="17"/>
      <c r="O245" s="17"/>
      <c r="S245" s="17"/>
      <c r="T245" s="17"/>
      <c r="U245" s="17"/>
      <c r="V245" s="17"/>
      <c r="W245" s="17"/>
    </row>
    <row r="246" spans="6:23">
      <c r="F246" s="17"/>
      <c r="G246" s="17"/>
      <c r="H246" s="17"/>
      <c r="I246" s="17"/>
      <c r="J246" s="17"/>
      <c r="L246" s="17"/>
      <c r="M246" s="17"/>
      <c r="N246" s="17"/>
      <c r="O246" s="17"/>
      <c r="S246" s="17"/>
      <c r="T246" s="17"/>
      <c r="U246" s="17"/>
      <c r="V246" s="17"/>
      <c r="W246" s="17"/>
    </row>
    <row r="247" spans="6:23">
      <c r="F247" s="17"/>
      <c r="G247" s="17"/>
      <c r="H247" s="17"/>
      <c r="I247" s="17"/>
      <c r="J247" s="17"/>
      <c r="L247" s="17"/>
      <c r="M247" s="17"/>
      <c r="N247" s="17"/>
      <c r="O247" s="17"/>
      <c r="S247" s="17"/>
      <c r="T247" s="17"/>
      <c r="U247" s="17"/>
      <c r="V247" s="17"/>
      <c r="W247" s="17"/>
    </row>
    <row r="248" spans="6:23">
      <c r="F248" s="17"/>
      <c r="G248" s="17"/>
      <c r="H248" s="17"/>
      <c r="I248" s="17"/>
      <c r="J248" s="17"/>
      <c r="L248" s="17"/>
      <c r="M248" s="17"/>
      <c r="N248" s="17"/>
      <c r="O248" s="17"/>
      <c r="S248" s="17"/>
      <c r="T248" s="17"/>
      <c r="U248" s="17"/>
      <c r="V248" s="17"/>
      <c r="W248" s="17"/>
    </row>
    <row r="249" spans="6:23">
      <c r="F249" s="17"/>
      <c r="G249" s="17"/>
      <c r="H249" s="17"/>
      <c r="I249" s="17"/>
      <c r="J249" s="17"/>
      <c r="L249" s="17"/>
      <c r="M249" s="17"/>
      <c r="N249" s="17"/>
      <c r="O249" s="17"/>
      <c r="S249" s="17"/>
      <c r="T249" s="17"/>
      <c r="U249" s="17"/>
      <c r="V249" s="17"/>
      <c r="W249" s="17"/>
    </row>
    <row r="250" spans="6:23">
      <c r="F250" s="17"/>
      <c r="G250" s="17"/>
      <c r="H250" s="17"/>
      <c r="I250" s="17"/>
      <c r="J250" s="17"/>
      <c r="L250" s="17"/>
      <c r="M250" s="17"/>
      <c r="N250" s="17"/>
      <c r="O250" s="17"/>
      <c r="S250" s="17"/>
      <c r="T250" s="17"/>
      <c r="U250" s="17"/>
      <c r="V250" s="17"/>
      <c r="W250" s="17"/>
    </row>
    <row r="251" spans="6:23">
      <c r="F251" s="17"/>
      <c r="G251" s="17"/>
      <c r="H251" s="17"/>
      <c r="I251" s="17"/>
      <c r="J251" s="17"/>
      <c r="L251" s="17"/>
      <c r="M251" s="17"/>
      <c r="N251" s="17"/>
      <c r="O251" s="17"/>
      <c r="S251" s="17"/>
      <c r="T251" s="17"/>
      <c r="U251" s="17"/>
      <c r="V251" s="17"/>
      <c r="W251" s="17"/>
    </row>
    <row r="252" spans="6:23">
      <c r="F252" s="17"/>
      <c r="G252" s="17"/>
      <c r="H252" s="17"/>
      <c r="I252" s="17"/>
      <c r="J252" s="17"/>
      <c r="L252" s="17"/>
      <c r="M252" s="17"/>
      <c r="N252" s="17"/>
      <c r="O252" s="17"/>
      <c r="S252" s="17"/>
      <c r="T252" s="17"/>
      <c r="U252" s="17"/>
      <c r="V252" s="17"/>
      <c r="W252" s="17"/>
    </row>
    <row r="253" spans="6:23">
      <c r="F253" s="17"/>
      <c r="G253" s="17"/>
      <c r="H253" s="17"/>
      <c r="I253" s="17"/>
      <c r="J253" s="17"/>
      <c r="L253" s="17"/>
      <c r="M253" s="17"/>
      <c r="N253" s="17"/>
      <c r="O253" s="17"/>
      <c r="S253" s="17"/>
      <c r="T253" s="17"/>
      <c r="U253" s="17"/>
      <c r="V253" s="17"/>
      <c r="W253" s="17"/>
    </row>
    <row r="254" spans="6:23">
      <c r="F254" s="17"/>
      <c r="G254" s="17"/>
      <c r="H254" s="17"/>
      <c r="I254" s="17"/>
      <c r="J254" s="17"/>
      <c r="L254" s="17"/>
      <c r="M254" s="17"/>
      <c r="N254" s="17"/>
      <c r="O254" s="17"/>
      <c r="S254" s="17"/>
      <c r="T254" s="17"/>
      <c r="U254" s="17"/>
      <c r="V254" s="17"/>
      <c r="W254" s="17"/>
    </row>
    <row r="255" spans="6:23">
      <c r="F255" s="17"/>
      <c r="G255" s="17"/>
      <c r="H255" s="17"/>
      <c r="I255" s="17"/>
      <c r="J255" s="17"/>
      <c r="L255" s="17"/>
      <c r="M255" s="17"/>
      <c r="N255" s="17"/>
      <c r="O255" s="17"/>
      <c r="S255" s="17"/>
      <c r="T255" s="17"/>
      <c r="U255" s="17"/>
      <c r="V255" s="17"/>
      <c r="W255" s="17"/>
    </row>
    <row r="256" spans="6:23">
      <c r="F256" s="17"/>
      <c r="G256" s="17"/>
      <c r="H256" s="17"/>
      <c r="I256" s="17"/>
      <c r="J256" s="17"/>
      <c r="L256" s="17"/>
      <c r="M256" s="17"/>
      <c r="N256" s="17"/>
      <c r="O256" s="17"/>
      <c r="S256" s="17"/>
      <c r="T256" s="17"/>
      <c r="U256" s="17"/>
      <c r="V256" s="17"/>
      <c r="W256" s="17"/>
    </row>
    <row r="257" spans="6:23">
      <c r="F257" s="17"/>
      <c r="G257" s="17"/>
      <c r="H257" s="17"/>
      <c r="I257" s="17"/>
      <c r="J257" s="17"/>
      <c r="L257" s="17"/>
      <c r="M257" s="17"/>
      <c r="N257" s="17"/>
      <c r="O257" s="17"/>
      <c r="S257" s="17"/>
      <c r="T257" s="17"/>
      <c r="U257" s="17"/>
      <c r="V257" s="17"/>
      <c r="W257" s="17"/>
    </row>
    <row r="258" spans="6:23">
      <c r="F258" s="17"/>
      <c r="G258" s="17"/>
      <c r="H258" s="17"/>
      <c r="I258" s="17"/>
      <c r="J258" s="17"/>
      <c r="L258" s="17"/>
      <c r="M258" s="17"/>
      <c r="N258" s="17"/>
      <c r="O258" s="17"/>
      <c r="S258" s="17"/>
      <c r="T258" s="17"/>
      <c r="U258" s="17"/>
      <c r="V258" s="17"/>
      <c r="W258" s="17"/>
    </row>
    <row r="259" spans="6:23">
      <c r="F259" s="17"/>
      <c r="G259" s="17"/>
      <c r="H259" s="17"/>
      <c r="I259" s="17"/>
      <c r="J259" s="17"/>
      <c r="L259" s="17"/>
      <c r="M259" s="17"/>
      <c r="N259" s="17"/>
      <c r="O259" s="17"/>
      <c r="S259" s="17"/>
      <c r="T259" s="17"/>
      <c r="U259" s="17"/>
      <c r="V259" s="17"/>
      <c r="W259" s="17"/>
    </row>
    <row r="260" spans="6:23">
      <c r="F260" s="17"/>
      <c r="G260" s="17"/>
      <c r="H260" s="17"/>
      <c r="I260" s="17"/>
      <c r="J260" s="17"/>
      <c r="L260" s="17"/>
      <c r="M260" s="17"/>
      <c r="N260" s="17"/>
      <c r="O260" s="17"/>
      <c r="S260" s="17"/>
      <c r="T260" s="17"/>
      <c r="U260" s="17"/>
      <c r="V260" s="17"/>
      <c r="W260" s="17"/>
    </row>
    <row r="261" spans="6:23">
      <c r="F261" s="17"/>
      <c r="G261" s="17"/>
      <c r="H261" s="17"/>
      <c r="I261" s="17"/>
      <c r="J261" s="17"/>
      <c r="L261" s="17"/>
      <c r="M261" s="17"/>
      <c r="N261" s="17"/>
      <c r="O261" s="17"/>
      <c r="S261" s="17"/>
      <c r="T261" s="17"/>
      <c r="U261" s="17"/>
      <c r="V261" s="17"/>
      <c r="W261" s="17"/>
    </row>
    <row r="262" spans="6:23">
      <c r="F262" s="17"/>
      <c r="G262" s="17"/>
      <c r="H262" s="17"/>
      <c r="I262" s="17"/>
      <c r="J262" s="17"/>
      <c r="L262" s="17"/>
      <c r="M262" s="17"/>
      <c r="N262" s="17"/>
      <c r="O262" s="17"/>
      <c r="S262" s="17"/>
      <c r="T262" s="17"/>
      <c r="U262" s="17"/>
      <c r="V262" s="17"/>
      <c r="W262" s="17"/>
    </row>
    <row r="263" spans="6:23">
      <c r="F263" s="17"/>
      <c r="G263" s="17"/>
      <c r="H263" s="17"/>
      <c r="I263" s="17"/>
      <c r="J263" s="17"/>
      <c r="L263" s="17"/>
      <c r="M263" s="17"/>
      <c r="N263" s="17"/>
      <c r="O263" s="17"/>
      <c r="S263" s="17"/>
      <c r="T263" s="17"/>
      <c r="U263" s="17"/>
      <c r="V263" s="17"/>
      <c r="W263" s="17"/>
    </row>
    <row r="264" spans="6:23">
      <c r="F264" s="17"/>
      <c r="G264" s="17"/>
      <c r="H264" s="17"/>
      <c r="I264" s="17"/>
      <c r="J264" s="17"/>
      <c r="L264" s="17"/>
      <c r="M264" s="17"/>
      <c r="N264" s="17"/>
      <c r="O264" s="17"/>
      <c r="S264" s="17"/>
      <c r="T264" s="17"/>
      <c r="U264" s="17"/>
      <c r="V264" s="17"/>
      <c r="W264" s="17"/>
    </row>
    <row r="265" spans="6:23">
      <c r="F265" s="17"/>
      <c r="G265" s="17"/>
      <c r="H265" s="17"/>
      <c r="I265" s="17"/>
      <c r="J265" s="17"/>
      <c r="L265" s="17"/>
      <c r="M265" s="17"/>
      <c r="N265" s="17"/>
      <c r="O265" s="17"/>
      <c r="S265" s="17"/>
      <c r="T265" s="17"/>
      <c r="U265" s="17"/>
      <c r="V265" s="17"/>
      <c r="W265" s="17"/>
    </row>
    <row r="266" spans="6:23">
      <c r="F266" s="17"/>
      <c r="G266" s="17"/>
      <c r="H266" s="17"/>
      <c r="I266" s="17"/>
      <c r="J266" s="17"/>
      <c r="L266" s="17"/>
      <c r="M266" s="17"/>
      <c r="N266" s="17"/>
      <c r="O266" s="17"/>
      <c r="S266" s="17"/>
      <c r="T266" s="17"/>
      <c r="U266" s="17"/>
      <c r="V266" s="17"/>
      <c r="W266" s="17"/>
    </row>
    <row r="267" spans="6:23">
      <c r="F267" s="17"/>
      <c r="G267" s="17"/>
      <c r="H267" s="17"/>
      <c r="I267" s="17"/>
      <c r="J267" s="17"/>
      <c r="L267" s="17"/>
      <c r="M267" s="17"/>
      <c r="N267" s="17"/>
      <c r="O267" s="17"/>
      <c r="S267" s="17"/>
      <c r="T267" s="17"/>
      <c r="U267" s="17"/>
      <c r="V267" s="17"/>
      <c r="W267" s="17"/>
    </row>
    <row r="268" spans="6:23">
      <c r="F268" s="17"/>
      <c r="G268" s="17"/>
      <c r="H268" s="17"/>
      <c r="I268" s="17"/>
      <c r="J268" s="17"/>
      <c r="L268" s="17"/>
      <c r="M268" s="17"/>
      <c r="N268" s="17"/>
      <c r="O268" s="17"/>
      <c r="S268" s="17"/>
      <c r="T268" s="17"/>
      <c r="U268" s="17"/>
      <c r="V268" s="17"/>
      <c r="W268" s="17"/>
    </row>
    <row r="269" spans="6:23">
      <c r="F269" s="17"/>
      <c r="G269" s="17"/>
      <c r="H269" s="17"/>
      <c r="I269" s="17"/>
      <c r="J269" s="17"/>
      <c r="L269" s="17"/>
      <c r="M269" s="17"/>
      <c r="N269" s="17"/>
      <c r="O269" s="17"/>
      <c r="S269" s="17"/>
      <c r="T269" s="17"/>
      <c r="U269" s="17"/>
      <c r="V269" s="17"/>
      <c r="W269" s="17"/>
    </row>
    <row r="270" spans="6:23">
      <c r="F270" s="17"/>
      <c r="G270" s="17"/>
      <c r="H270" s="17"/>
      <c r="I270" s="17"/>
      <c r="J270" s="17"/>
      <c r="L270" s="17"/>
      <c r="M270" s="17"/>
      <c r="N270" s="17"/>
      <c r="O270" s="17"/>
      <c r="S270" s="17"/>
      <c r="T270" s="17"/>
      <c r="U270" s="17"/>
      <c r="V270" s="17"/>
      <c r="W270" s="17"/>
    </row>
    <row r="271" spans="6:23">
      <c r="F271" s="17"/>
      <c r="G271" s="17"/>
      <c r="H271" s="17"/>
      <c r="I271" s="17"/>
      <c r="J271" s="17"/>
      <c r="L271" s="17"/>
      <c r="M271" s="17"/>
      <c r="N271" s="17"/>
      <c r="O271" s="17"/>
      <c r="S271" s="17"/>
      <c r="T271" s="17"/>
      <c r="U271" s="17"/>
      <c r="V271" s="17"/>
      <c r="W271" s="17"/>
    </row>
    <row r="272" spans="6:23">
      <c r="F272" s="17"/>
      <c r="G272" s="17"/>
      <c r="H272" s="17"/>
      <c r="I272" s="17"/>
      <c r="J272" s="17"/>
      <c r="L272" s="17"/>
      <c r="M272" s="17"/>
      <c r="N272" s="17"/>
      <c r="O272" s="17"/>
      <c r="S272" s="17"/>
      <c r="T272" s="17"/>
      <c r="U272" s="17"/>
      <c r="V272" s="17"/>
      <c r="W272" s="17"/>
    </row>
    <row r="273" spans="6:23">
      <c r="F273" s="17"/>
      <c r="G273" s="17"/>
      <c r="H273" s="17"/>
      <c r="I273" s="17"/>
      <c r="J273" s="17"/>
      <c r="L273" s="17"/>
      <c r="M273" s="17"/>
      <c r="N273" s="17"/>
      <c r="O273" s="17"/>
      <c r="S273" s="17"/>
      <c r="T273" s="17"/>
      <c r="U273" s="17"/>
      <c r="V273" s="17"/>
      <c r="W273" s="17"/>
    </row>
    <row r="274" spans="6:23">
      <c r="F274" s="17"/>
      <c r="G274" s="17"/>
      <c r="H274" s="17"/>
      <c r="I274" s="17"/>
      <c r="J274" s="17"/>
      <c r="L274" s="17"/>
      <c r="M274" s="17"/>
      <c r="N274" s="17"/>
      <c r="O274" s="17"/>
      <c r="S274" s="17"/>
      <c r="T274" s="17"/>
      <c r="U274" s="17"/>
      <c r="V274" s="17"/>
      <c r="W274" s="17"/>
    </row>
    <row r="275" spans="6:23">
      <c r="F275" s="17"/>
      <c r="G275" s="17"/>
      <c r="H275" s="17"/>
      <c r="I275" s="17"/>
      <c r="J275" s="17"/>
      <c r="L275" s="17"/>
      <c r="M275" s="17"/>
      <c r="N275" s="17"/>
      <c r="O275" s="17"/>
      <c r="S275" s="17"/>
      <c r="T275" s="17"/>
      <c r="U275" s="17"/>
      <c r="V275" s="17"/>
      <c r="W275" s="17"/>
    </row>
    <row r="276" spans="6:23">
      <c r="F276" s="17"/>
      <c r="G276" s="17"/>
      <c r="H276" s="17"/>
      <c r="I276" s="17"/>
      <c r="J276" s="17"/>
      <c r="L276" s="17"/>
      <c r="M276" s="17"/>
      <c r="N276" s="17"/>
      <c r="O276" s="17"/>
      <c r="S276" s="17"/>
      <c r="T276" s="17"/>
      <c r="U276" s="17"/>
      <c r="V276" s="17"/>
      <c r="W276" s="17"/>
    </row>
    <row r="277" spans="6:23">
      <c r="F277" s="17"/>
      <c r="G277" s="17"/>
      <c r="H277" s="17"/>
      <c r="I277" s="17"/>
      <c r="J277" s="17"/>
      <c r="L277" s="17"/>
      <c r="M277" s="17"/>
      <c r="N277" s="17"/>
      <c r="O277" s="17"/>
      <c r="S277" s="17"/>
      <c r="T277" s="17"/>
      <c r="U277" s="17"/>
      <c r="V277" s="17"/>
      <c r="W277" s="17"/>
    </row>
    <row r="278" spans="6:23">
      <c r="F278" s="17"/>
      <c r="G278" s="17"/>
      <c r="H278" s="17"/>
      <c r="I278" s="17"/>
      <c r="J278" s="17"/>
      <c r="L278" s="17"/>
      <c r="M278" s="17"/>
      <c r="N278" s="17"/>
      <c r="O278" s="17"/>
      <c r="S278" s="17"/>
      <c r="T278" s="17"/>
      <c r="U278" s="17"/>
      <c r="V278" s="17"/>
      <c r="W278" s="17"/>
    </row>
    <row r="279" spans="6:23">
      <c r="F279" s="17"/>
      <c r="G279" s="17"/>
      <c r="H279" s="17"/>
      <c r="I279" s="17"/>
      <c r="J279" s="17"/>
      <c r="L279" s="17"/>
      <c r="M279" s="17"/>
      <c r="N279" s="17"/>
      <c r="O279" s="17"/>
      <c r="S279" s="17"/>
      <c r="T279" s="17"/>
      <c r="U279" s="17"/>
      <c r="V279" s="17"/>
      <c r="W279" s="17"/>
    </row>
    <row r="280" spans="6:23">
      <c r="F280" s="17"/>
      <c r="G280" s="17"/>
      <c r="H280" s="17"/>
      <c r="I280" s="17"/>
      <c r="J280" s="17"/>
      <c r="L280" s="17"/>
      <c r="M280" s="17"/>
      <c r="N280" s="17"/>
      <c r="O280" s="17"/>
      <c r="S280" s="17"/>
      <c r="T280" s="17"/>
      <c r="U280" s="17"/>
      <c r="V280" s="17"/>
      <c r="W280" s="17"/>
    </row>
    <row r="281" spans="6:23">
      <c r="F281" s="17"/>
      <c r="G281" s="17"/>
      <c r="H281" s="17"/>
      <c r="I281" s="17"/>
      <c r="J281" s="17"/>
      <c r="L281" s="17"/>
      <c r="M281" s="17"/>
      <c r="N281" s="17"/>
      <c r="O281" s="17"/>
      <c r="S281" s="17"/>
      <c r="T281" s="17"/>
      <c r="U281" s="17"/>
      <c r="V281" s="17"/>
      <c r="W281" s="17"/>
    </row>
    <row r="282" spans="6:23">
      <c r="F282" s="17"/>
      <c r="G282" s="17"/>
      <c r="H282" s="17"/>
      <c r="I282" s="17"/>
      <c r="J282" s="17"/>
      <c r="L282" s="17"/>
      <c r="M282" s="17"/>
      <c r="N282" s="17"/>
      <c r="O282" s="17"/>
      <c r="S282" s="17"/>
      <c r="T282" s="17"/>
      <c r="U282" s="17"/>
      <c r="V282" s="17"/>
      <c r="W282" s="17"/>
    </row>
    <row r="283" spans="6:23">
      <c r="F283" s="17"/>
      <c r="G283" s="17"/>
      <c r="H283" s="17"/>
      <c r="I283" s="17"/>
      <c r="J283" s="17"/>
      <c r="L283" s="17"/>
      <c r="M283" s="17"/>
      <c r="N283" s="17"/>
      <c r="O283" s="17"/>
      <c r="S283" s="17"/>
      <c r="T283" s="17"/>
      <c r="U283" s="17"/>
      <c r="V283" s="17"/>
      <c r="W283" s="17"/>
    </row>
    <row r="284" spans="6:23">
      <c r="F284" s="17"/>
      <c r="G284" s="17"/>
      <c r="H284" s="17"/>
      <c r="I284" s="17"/>
      <c r="J284" s="17"/>
      <c r="L284" s="17"/>
      <c r="M284" s="17"/>
      <c r="N284" s="17"/>
      <c r="O284" s="17"/>
      <c r="S284" s="17"/>
      <c r="T284" s="17"/>
      <c r="U284" s="17"/>
      <c r="V284" s="17"/>
      <c r="W284" s="17"/>
    </row>
    <row r="285" spans="6:23">
      <c r="F285" s="17"/>
      <c r="G285" s="17"/>
      <c r="H285" s="17"/>
      <c r="I285" s="17"/>
      <c r="J285" s="17"/>
      <c r="L285" s="17"/>
      <c r="M285" s="17"/>
      <c r="N285" s="17"/>
      <c r="O285" s="17"/>
      <c r="S285" s="17"/>
      <c r="T285" s="17"/>
      <c r="U285" s="17"/>
      <c r="V285" s="17"/>
      <c r="W285" s="17"/>
    </row>
    <row r="286" spans="6:23">
      <c r="F286" s="17"/>
      <c r="G286" s="17"/>
      <c r="H286" s="17"/>
      <c r="I286" s="17"/>
      <c r="J286" s="17"/>
      <c r="L286" s="17"/>
      <c r="M286" s="17"/>
      <c r="N286" s="17"/>
      <c r="O286" s="17"/>
      <c r="S286" s="17"/>
      <c r="T286" s="17"/>
      <c r="U286" s="17"/>
      <c r="V286" s="17"/>
      <c r="W286" s="17"/>
    </row>
    <row r="287" spans="6:23">
      <c r="F287" s="17"/>
      <c r="G287" s="17"/>
      <c r="H287" s="17"/>
      <c r="I287" s="17"/>
      <c r="J287" s="17"/>
      <c r="L287" s="17"/>
      <c r="M287" s="17"/>
      <c r="N287" s="17"/>
      <c r="O287" s="17"/>
      <c r="S287" s="17"/>
      <c r="T287" s="17"/>
      <c r="U287" s="17"/>
      <c r="V287" s="17"/>
      <c r="W287" s="17"/>
    </row>
    <row r="288" spans="6:23">
      <c r="F288" s="17"/>
      <c r="G288" s="17"/>
      <c r="H288" s="17"/>
      <c r="I288" s="17"/>
      <c r="J288" s="17"/>
      <c r="L288" s="17"/>
      <c r="M288" s="17"/>
      <c r="N288" s="17"/>
      <c r="O288" s="17"/>
      <c r="S288" s="17"/>
      <c r="T288" s="17"/>
      <c r="U288" s="17"/>
      <c r="V288" s="17"/>
      <c r="W288" s="17"/>
    </row>
    <row r="289" spans="6:23">
      <c r="F289" s="17"/>
      <c r="G289" s="17"/>
      <c r="H289" s="17"/>
      <c r="I289" s="17"/>
      <c r="J289" s="17"/>
      <c r="L289" s="17"/>
      <c r="M289" s="17"/>
      <c r="N289" s="17"/>
      <c r="O289" s="17"/>
      <c r="S289" s="17"/>
      <c r="T289" s="17"/>
      <c r="U289" s="17"/>
      <c r="V289" s="17"/>
      <c r="W289" s="17"/>
    </row>
    <row r="290" spans="6:23">
      <c r="F290" s="17"/>
      <c r="G290" s="17"/>
      <c r="H290" s="17"/>
      <c r="I290" s="17"/>
      <c r="J290" s="17"/>
      <c r="L290" s="17"/>
      <c r="M290" s="17"/>
      <c r="N290" s="17"/>
      <c r="O290" s="17"/>
      <c r="S290" s="17"/>
      <c r="T290" s="17"/>
      <c r="U290" s="17"/>
      <c r="V290" s="17"/>
      <c r="W290" s="17"/>
    </row>
    <row r="291" spans="6:23">
      <c r="F291" s="17"/>
      <c r="G291" s="17"/>
      <c r="H291" s="17"/>
      <c r="I291" s="17"/>
      <c r="J291" s="17"/>
      <c r="L291" s="17"/>
      <c r="M291" s="17"/>
      <c r="N291" s="17"/>
      <c r="O291" s="17"/>
      <c r="S291" s="17"/>
      <c r="T291" s="17"/>
      <c r="U291" s="17"/>
      <c r="V291" s="17"/>
      <c r="W291" s="17"/>
    </row>
    <row r="292" spans="6:23">
      <c r="F292" s="17"/>
      <c r="G292" s="17"/>
      <c r="H292" s="17"/>
      <c r="I292" s="17"/>
      <c r="J292" s="17"/>
      <c r="L292" s="17"/>
      <c r="M292" s="17"/>
      <c r="N292" s="17"/>
      <c r="O292" s="17"/>
      <c r="S292" s="17"/>
      <c r="T292" s="17"/>
      <c r="U292" s="17"/>
      <c r="V292" s="17"/>
      <c r="W292" s="17"/>
    </row>
    <row r="293" spans="6:23">
      <c r="F293" s="17"/>
      <c r="G293" s="17"/>
      <c r="H293" s="17"/>
      <c r="I293" s="17"/>
      <c r="J293" s="17"/>
      <c r="L293" s="17"/>
      <c r="M293" s="17"/>
      <c r="N293" s="17"/>
      <c r="O293" s="17"/>
      <c r="S293" s="17"/>
      <c r="T293" s="17"/>
      <c r="U293" s="17"/>
      <c r="V293" s="17"/>
      <c r="W293" s="17"/>
    </row>
    <row r="294" spans="6:23">
      <c r="F294" s="17"/>
      <c r="G294" s="17"/>
      <c r="H294" s="17"/>
      <c r="I294" s="17"/>
      <c r="J294" s="17"/>
      <c r="L294" s="17"/>
      <c r="M294" s="17"/>
      <c r="N294" s="17"/>
      <c r="O294" s="17"/>
      <c r="S294" s="17"/>
      <c r="T294" s="17"/>
      <c r="U294" s="17"/>
      <c r="V294" s="17"/>
      <c r="W294" s="17"/>
    </row>
    <row r="295" spans="6:23">
      <c r="F295" s="17"/>
      <c r="G295" s="17"/>
      <c r="H295" s="17"/>
      <c r="I295" s="17"/>
      <c r="J295" s="17"/>
      <c r="L295" s="17"/>
      <c r="M295" s="17"/>
      <c r="N295" s="17"/>
      <c r="O295" s="17"/>
      <c r="S295" s="17"/>
      <c r="T295" s="17"/>
      <c r="U295" s="17"/>
      <c r="V295" s="17"/>
      <c r="W295" s="17"/>
    </row>
    <row r="296" spans="6:23">
      <c r="F296" s="17"/>
      <c r="G296" s="17"/>
      <c r="H296" s="17"/>
      <c r="I296" s="17"/>
      <c r="J296" s="17"/>
      <c r="L296" s="17"/>
      <c r="M296" s="17"/>
      <c r="N296" s="17"/>
      <c r="O296" s="17"/>
      <c r="S296" s="17"/>
      <c r="T296" s="17"/>
      <c r="U296" s="17"/>
      <c r="V296" s="17"/>
      <c r="W296" s="17"/>
    </row>
    <row r="297" spans="6:23">
      <c r="F297" s="17"/>
      <c r="G297" s="17"/>
      <c r="H297" s="17"/>
      <c r="I297" s="17"/>
      <c r="J297" s="17"/>
      <c r="L297" s="17"/>
      <c r="M297" s="17"/>
      <c r="N297" s="17"/>
      <c r="O297" s="17"/>
      <c r="S297" s="17"/>
      <c r="T297" s="17"/>
      <c r="U297" s="17"/>
      <c r="V297" s="17"/>
      <c r="W297" s="17"/>
    </row>
    <row r="298" spans="6:23">
      <c r="F298" s="17"/>
      <c r="G298" s="17"/>
      <c r="H298" s="17"/>
      <c r="I298" s="17"/>
      <c r="J298" s="17"/>
      <c r="L298" s="17"/>
      <c r="M298" s="17"/>
      <c r="N298" s="17"/>
      <c r="O298" s="17"/>
      <c r="S298" s="17"/>
      <c r="T298" s="17"/>
      <c r="U298" s="17"/>
      <c r="V298" s="17"/>
      <c r="W298" s="17"/>
    </row>
    <row r="299" spans="6:23">
      <c r="F299" s="17"/>
      <c r="G299" s="17"/>
      <c r="H299" s="17"/>
      <c r="I299" s="17"/>
      <c r="J299" s="17"/>
      <c r="L299" s="17"/>
      <c r="M299" s="17"/>
      <c r="N299" s="17"/>
      <c r="O299" s="17"/>
      <c r="S299" s="17"/>
      <c r="T299" s="17"/>
      <c r="U299" s="17"/>
      <c r="V299" s="17"/>
      <c r="W299" s="17"/>
    </row>
    <row r="300" spans="6:23">
      <c r="F300" s="17"/>
      <c r="G300" s="17"/>
      <c r="H300" s="17"/>
      <c r="I300" s="17"/>
      <c r="J300" s="17"/>
      <c r="L300" s="17"/>
      <c r="M300" s="17"/>
      <c r="N300" s="17"/>
      <c r="O300" s="17"/>
      <c r="S300" s="17"/>
      <c r="T300" s="17"/>
      <c r="U300" s="17"/>
      <c r="V300" s="17"/>
      <c r="W300" s="17"/>
    </row>
    <row r="301" spans="6:23">
      <c r="F301" s="17"/>
      <c r="G301" s="17"/>
      <c r="H301" s="17"/>
      <c r="I301" s="17"/>
      <c r="J301" s="17"/>
      <c r="L301" s="17"/>
      <c r="M301" s="17"/>
      <c r="N301" s="17"/>
      <c r="O301" s="17"/>
      <c r="S301" s="17"/>
      <c r="T301" s="17"/>
      <c r="U301" s="17"/>
      <c r="V301" s="17"/>
      <c r="W301" s="17"/>
    </row>
    <row r="302" spans="6:23">
      <c r="F302" s="17"/>
      <c r="G302" s="17"/>
      <c r="H302" s="17"/>
      <c r="I302" s="17"/>
      <c r="J302" s="17"/>
      <c r="L302" s="17"/>
      <c r="M302" s="17"/>
      <c r="N302" s="17"/>
      <c r="O302" s="17"/>
      <c r="S302" s="17"/>
      <c r="T302" s="17"/>
      <c r="U302" s="17"/>
      <c r="V302" s="17"/>
      <c r="W302" s="17"/>
    </row>
    <row r="303" spans="6:23">
      <c r="F303" s="17"/>
      <c r="G303" s="17"/>
      <c r="H303" s="17"/>
      <c r="I303" s="17"/>
      <c r="J303" s="17"/>
      <c r="L303" s="17"/>
      <c r="M303" s="17"/>
      <c r="N303" s="17"/>
      <c r="O303" s="17"/>
      <c r="S303" s="17"/>
      <c r="T303" s="17"/>
      <c r="U303" s="17"/>
      <c r="V303" s="17"/>
      <c r="W303" s="17"/>
    </row>
    <row r="304" spans="6:23">
      <c r="F304" s="17"/>
      <c r="G304" s="17"/>
      <c r="H304" s="17"/>
      <c r="I304" s="17"/>
      <c r="J304" s="17"/>
      <c r="L304" s="17"/>
      <c r="M304" s="17"/>
      <c r="N304" s="17"/>
      <c r="O304" s="17"/>
      <c r="S304" s="17"/>
      <c r="T304" s="17"/>
      <c r="U304" s="17"/>
      <c r="V304" s="17"/>
      <c r="W304" s="17"/>
    </row>
  </sheetData>
  <mergeCells count="14">
    <mergeCell ref="A1:W1"/>
    <mergeCell ref="A2:W2"/>
    <mergeCell ref="A4:D4"/>
    <mergeCell ref="A5:D7"/>
    <mergeCell ref="E4:H4"/>
    <mergeCell ref="E5:H7"/>
    <mergeCell ref="I4:L4"/>
    <mergeCell ref="I5:L7"/>
    <mergeCell ref="M4:P4"/>
    <mergeCell ref="M5:P7"/>
    <mergeCell ref="Q4:T4"/>
    <mergeCell ref="Q5:T7"/>
    <mergeCell ref="U4:W4"/>
    <mergeCell ref="U5:W7"/>
  </mergeCells>
  <conditionalFormatting sqref="C11:C210">
    <cfRule type="containsText" dxfId="127" priority="1" operator="containsText" text="Approved"/>
    <cfRule type="containsText" dxfId="126" priority="4" operator="containsText" text="Failed"/>
    <cfRule type="containsText" dxfId="125" priority="7" operator="containsText" text="On Hold"/>
  </conditionalFormatting>
  <conditionalFormatting sqref="K11:R210">
    <cfRule type="containsText" dxfId="124" priority="9" operator="containsText" text="Approved"/>
    <cfRule type="containsText" dxfId="123" priority="12" operator="containsText" text="Failed"/>
    <cfRule type="containsText" dxfId="122" priority="15" operator="containsText" text="On Hold"/>
  </conditionalFormatting>
  <conditionalFormatting sqref="W11:W210">
    <cfRule type="cellIs" dxfId="121" priority="17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4"/>
  <sheetViews>
    <sheetView showGridLines="0" tabSelected="1" topLeftCell="E1" workbookViewId="0">
      <selection activeCell="E15" sqref="E15"/>
    </sheetView>
  </sheetViews>
  <sheetFormatPr baseColWidth="10" defaultColWidth="8.83203125" defaultRowHeight="14"/>
  <cols>
    <col min="1" max="1" width="13" customWidth="1"/>
    <col min="2" max="2" width="14" customWidth="1"/>
    <col min="3" max="3" width="18" customWidth="1"/>
    <col min="4" max="5" width="16" customWidth="1"/>
    <col min="6" max="7" width="13" customWidth="1"/>
    <col min="8" max="8" width="15" customWidth="1"/>
    <col min="9" max="9" width="13" customWidth="1"/>
    <col min="10" max="11" width="14" customWidth="1"/>
    <col min="12" max="12" width="15" customWidth="1"/>
    <col min="13" max="13" width="16" customWidth="1"/>
    <col min="14" max="14" width="15" customWidth="1"/>
    <col min="15" max="15" width="17" customWidth="1"/>
    <col min="16" max="16" width="14" customWidth="1"/>
    <col min="17" max="18" width="17" customWidth="1"/>
    <col min="19" max="19" width="18" customWidth="1"/>
    <col min="20" max="20" width="15" customWidth="1"/>
    <col min="21" max="21" width="16" customWidth="1"/>
    <col min="22" max="22" width="25" customWidth="1"/>
  </cols>
  <sheetData>
    <row r="1" spans="1:22" ht="30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89</v>
      </c>
      <c r="B4" s="6" t="s">
        <v>44</v>
      </c>
      <c r="C4" s="6" t="s">
        <v>90</v>
      </c>
      <c r="D4" s="6" t="s">
        <v>91</v>
      </c>
      <c r="E4" s="6" t="s">
        <v>72</v>
      </c>
      <c r="F4" s="6" t="s">
        <v>45</v>
      </c>
      <c r="G4" s="6" t="s">
        <v>46</v>
      </c>
      <c r="H4" s="6" t="s">
        <v>38</v>
      </c>
      <c r="I4" s="6" t="s">
        <v>61</v>
      </c>
      <c r="J4" s="6" t="s">
        <v>92</v>
      </c>
      <c r="K4" s="6" t="s">
        <v>60</v>
      </c>
      <c r="L4" s="6" t="s">
        <v>93</v>
      </c>
      <c r="M4" s="6" t="s">
        <v>23</v>
      </c>
      <c r="N4" s="6" t="s">
        <v>94</v>
      </c>
      <c r="O4" s="6" t="s">
        <v>95</v>
      </c>
      <c r="P4" s="6" t="s">
        <v>96</v>
      </c>
      <c r="Q4" s="6" t="s">
        <v>97</v>
      </c>
      <c r="R4" s="6" t="s">
        <v>98</v>
      </c>
      <c r="S4" s="6" t="s">
        <v>99</v>
      </c>
      <c r="T4" s="6" t="s">
        <v>100</v>
      </c>
      <c r="U4" s="6" t="s">
        <v>63</v>
      </c>
      <c r="V4" s="6" t="s">
        <v>101</v>
      </c>
    </row>
    <row r="5" spans="1:22">
      <c r="A5" s="8"/>
      <c r="B5" s="8"/>
      <c r="C5" s="8"/>
      <c r="D5" s="8"/>
      <c r="E5" s="8"/>
      <c r="F5" s="8"/>
      <c r="G5" s="8"/>
      <c r="H5" s="11"/>
      <c r="I5" s="10"/>
      <c r="J5" s="11"/>
      <c r="K5" s="11"/>
      <c r="L5" s="12" t="str">
        <f t="shared" ref="L5:L68" si="0">IF(A5="","",J5+K5)</f>
        <v/>
      </c>
      <c r="M5" s="12" t="str">
        <f t="shared" ref="M5:M68" si="1">IF(A5="","",L5-H5)</f>
        <v/>
      </c>
      <c r="N5" s="12" t="str">
        <f t="shared" ref="N5:N68" si="2">IF(A5="","",MAX(0,H5-L5))</f>
        <v/>
      </c>
      <c r="O5" s="12" t="str">
        <f t="shared" ref="O5:O68" si="3">IF(A5="","",MAX(0,L5-H5))</f>
        <v/>
      </c>
      <c r="P5" s="11"/>
      <c r="Q5" s="12" t="str">
        <f t="shared" ref="Q5:Q68" si="4">IF(A5="","",P5-H5)</f>
        <v/>
      </c>
      <c r="R5" s="12" t="str">
        <f t="shared" ref="R5:R68" si="5">IF(A5="","",MAX(0,H5-P5))</f>
        <v/>
      </c>
      <c r="S5" s="12" t="str">
        <f t="shared" ref="S5:S68" si="6">IF(A5="","",MAX(0,P5-H5))</f>
        <v/>
      </c>
      <c r="T5" s="8"/>
      <c r="U5" s="10"/>
      <c r="V5" s="8"/>
    </row>
    <row r="6" spans="1:22">
      <c r="A6" s="8"/>
      <c r="B6" s="8"/>
      <c r="C6" s="8"/>
      <c r="D6" s="8"/>
      <c r="E6" s="8"/>
      <c r="F6" s="8"/>
      <c r="G6" s="8"/>
      <c r="H6" s="11"/>
      <c r="I6" s="10"/>
      <c r="J6" s="11"/>
      <c r="K6" s="11"/>
      <c r="L6" s="12" t="str">
        <f t="shared" si="0"/>
        <v/>
      </c>
      <c r="M6" s="12" t="str">
        <f t="shared" si="1"/>
        <v/>
      </c>
      <c r="N6" s="12" t="str">
        <f t="shared" si="2"/>
        <v/>
      </c>
      <c r="O6" s="12" t="str">
        <f t="shared" si="3"/>
        <v/>
      </c>
      <c r="P6" s="11"/>
      <c r="Q6" s="12" t="str">
        <f t="shared" si="4"/>
        <v/>
      </c>
      <c r="R6" s="12" t="str">
        <f t="shared" si="5"/>
        <v/>
      </c>
      <c r="S6" s="12" t="str">
        <f t="shared" si="6"/>
        <v/>
      </c>
      <c r="T6" s="8"/>
      <c r="U6" s="10"/>
      <c r="V6" s="8"/>
    </row>
    <row r="7" spans="1:22">
      <c r="A7" s="8"/>
      <c r="B7" s="8"/>
      <c r="C7" s="8"/>
      <c r="D7" s="8"/>
      <c r="E7" s="8"/>
      <c r="F7" s="8"/>
      <c r="G7" s="8"/>
      <c r="H7" s="11"/>
      <c r="I7" s="10"/>
      <c r="J7" s="11"/>
      <c r="K7" s="11"/>
      <c r="L7" s="12" t="str">
        <f t="shared" si="0"/>
        <v/>
      </c>
      <c r="M7" s="12" t="str">
        <f t="shared" si="1"/>
        <v/>
      </c>
      <c r="N7" s="12" t="str">
        <f t="shared" si="2"/>
        <v/>
      </c>
      <c r="O7" s="12" t="str">
        <f t="shared" si="3"/>
        <v/>
      </c>
      <c r="P7" s="11"/>
      <c r="Q7" s="12" t="str">
        <f t="shared" si="4"/>
        <v/>
      </c>
      <c r="R7" s="12" t="str">
        <f t="shared" si="5"/>
        <v/>
      </c>
      <c r="S7" s="12" t="str">
        <f t="shared" si="6"/>
        <v/>
      </c>
      <c r="T7" s="8"/>
      <c r="U7" s="10"/>
      <c r="V7" s="8"/>
    </row>
    <row r="8" spans="1:22">
      <c r="A8" s="8"/>
      <c r="B8" s="8"/>
      <c r="C8" s="8"/>
      <c r="D8" s="8"/>
      <c r="E8" s="8"/>
      <c r="F8" s="8"/>
      <c r="G8" s="8"/>
      <c r="H8" s="11"/>
      <c r="I8" s="10"/>
      <c r="J8" s="11"/>
      <c r="K8" s="11"/>
      <c r="L8" s="12" t="str">
        <f t="shared" si="0"/>
        <v/>
      </c>
      <c r="M8" s="12" t="str">
        <f t="shared" si="1"/>
        <v/>
      </c>
      <c r="N8" s="12" t="str">
        <f t="shared" si="2"/>
        <v/>
      </c>
      <c r="O8" s="12" t="str">
        <f t="shared" si="3"/>
        <v/>
      </c>
      <c r="P8" s="11"/>
      <c r="Q8" s="12" t="str">
        <f t="shared" si="4"/>
        <v/>
      </c>
      <c r="R8" s="12" t="str">
        <f t="shared" si="5"/>
        <v/>
      </c>
      <c r="S8" s="12" t="str">
        <f t="shared" si="6"/>
        <v/>
      </c>
      <c r="T8" s="8"/>
      <c r="U8" s="10"/>
      <c r="V8" s="8"/>
    </row>
    <row r="9" spans="1:22">
      <c r="A9" s="8"/>
      <c r="B9" s="8"/>
      <c r="C9" s="8"/>
      <c r="D9" s="8"/>
      <c r="E9" s="8"/>
      <c r="F9" s="8"/>
      <c r="G9" s="8"/>
      <c r="H9" s="11"/>
      <c r="I9" s="10"/>
      <c r="J9" s="11"/>
      <c r="K9" s="11"/>
      <c r="L9" s="12" t="str">
        <f t="shared" si="0"/>
        <v/>
      </c>
      <c r="M9" s="12" t="str">
        <f t="shared" si="1"/>
        <v/>
      </c>
      <c r="N9" s="12" t="str">
        <f t="shared" si="2"/>
        <v/>
      </c>
      <c r="O9" s="12" t="str">
        <f t="shared" si="3"/>
        <v/>
      </c>
      <c r="P9" s="11"/>
      <c r="Q9" s="12" t="str">
        <f t="shared" si="4"/>
        <v/>
      </c>
      <c r="R9" s="12" t="str">
        <f t="shared" si="5"/>
        <v/>
      </c>
      <c r="S9" s="12" t="str">
        <f t="shared" si="6"/>
        <v/>
      </c>
      <c r="T9" s="8"/>
      <c r="U9" s="10"/>
      <c r="V9" s="8"/>
    </row>
    <row r="10" spans="1:22">
      <c r="A10" s="8"/>
      <c r="B10" s="8"/>
      <c r="C10" s="8"/>
      <c r="D10" s="8"/>
      <c r="E10" s="8"/>
      <c r="F10" s="8"/>
      <c r="G10" s="8"/>
      <c r="H10" s="11"/>
      <c r="I10" s="10"/>
      <c r="J10" s="11"/>
      <c r="K10" s="11"/>
      <c r="L10" s="12" t="str">
        <f t="shared" si="0"/>
        <v/>
      </c>
      <c r="M10" s="12" t="str">
        <f t="shared" si="1"/>
        <v/>
      </c>
      <c r="N10" s="12" t="str">
        <f t="shared" si="2"/>
        <v/>
      </c>
      <c r="O10" s="12" t="str">
        <f t="shared" si="3"/>
        <v/>
      </c>
      <c r="P10" s="11"/>
      <c r="Q10" s="12" t="str">
        <f t="shared" si="4"/>
        <v/>
      </c>
      <c r="R10" s="12" t="str">
        <f t="shared" si="5"/>
        <v/>
      </c>
      <c r="S10" s="12" t="str">
        <f t="shared" si="6"/>
        <v/>
      </c>
      <c r="T10" s="8"/>
      <c r="U10" s="10"/>
      <c r="V10" s="8"/>
    </row>
    <row r="11" spans="1:22">
      <c r="A11" s="8"/>
      <c r="B11" s="8"/>
      <c r="C11" s="8"/>
      <c r="D11" s="8"/>
      <c r="E11" s="8"/>
      <c r="F11" s="8"/>
      <c r="G11" s="8"/>
      <c r="H11" s="11"/>
      <c r="I11" s="10"/>
      <c r="J11" s="11"/>
      <c r="K11" s="11"/>
      <c r="L11" s="12" t="str">
        <f t="shared" si="0"/>
        <v/>
      </c>
      <c r="M11" s="12" t="str">
        <f t="shared" si="1"/>
        <v/>
      </c>
      <c r="N11" s="12" t="str">
        <f t="shared" si="2"/>
        <v/>
      </c>
      <c r="O11" s="12" t="str">
        <f t="shared" si="3"/>
        <v/>
      </c>
      <c r="P11" s="11"/>
      <c r="Q11" s="12" t="str">
        <f t="shared" si="4"/>
        <v/>
      </c>
      <c r="R11" s="12" t="str">
        <f t="shared" si="5"/>
        <v/>
      </c>
      <c r="S11" s="12" t="str">
        <f t="shared" si="6"/>
        <v/>
      </c>
      <c r="T11" s="8"/>
      <c r="U11" s="10"/>
      <c r="V11" s="8"/>
    </row>
    <row r="12" spans="1:22">
      <c r="A12" s="8"/>
      <c r="B12" s="8"/>
      <c r="C12" s="8"/>
      <c r="D12" s="8"/>
      <c r="E12" s="8"/>
      <c r="F12" s="8"/>
      <c r="G12" s="8"/>
      <c r="H12" s="11"/>
      <c r="I12" s="10"/>
      <c r="J12" s="11"/>
      <c r="K12" s="11"/>
      <c r="L12" s="12" t="str">
        <f t="shared" si="0"/>
        <v/>
      </c>
      <c r="M12" s="12" t="str">
        <f t="shared" si="1"/>
        <v/>
      </c>
      <c r="N12" s="12" t="str">
        <f t="shared" si="2"/>
        <v/>
      </c>
      <c r="O12" s="12" t="str">
        <f t="shared" si="3"/>
        <v/>
      </c>
      <c r="P12" s="11"/>
      <c r="Q12" s="12" t="str">
        <f t="shared" si="4"/>
        <v/>
      </c>
      <c r="R12" s="12" t="str">
        <f t="shared" si="5"/>
        <v/>
      </c>
      <c r="S12" s="12" t="str">
        <f t="shared" si="6"/>
        <v/>
      </c>
      <c r="T12" s="8"/>
      <c r="U12" s="10"/>
      <c r="V12" s="8"/>
    </row>
    <row r="13" spans="1:22">
      <c r="A13" s="8"/>
      <c r="B13" s="8"/>
      <c r="C13" s="8"/>
      <c r="D13" s="8"/>
      <c r="E13" s="8"/>
      <c r="F13" s="8"/>
      <c r="G13" s="8"/>
      <c r="H13" s="11"/>
      <c r="I13" s="10"/>
      <c r="J13" s="11"/>
      <c r="K13" s="11"/>
      <c r="L13" s="12" t="str">
        <f t="shared" si="0"/>
        <v/>
      </c>
      <c r="M13" s="12" t="str">
        <f t="shared" si="1"/>
        <v/>
      </c>
      <c r="N13" s="12" t="str">
        <f t="shared" si="2"/>
        <v/>
      </c>
      <c r="O13" s="12" t="str">
        <f t="shared" si="3"/>
        <v/>
      </c>
      <c r="P13" s="11"/>
      <c r="Q13" s="12" t="str">
        <f t="shared" si="4"/>
        <v/>
      </c>
      <c r="R13" s="12" t="str">
        <f t="shared" si="5"/>
        <v/>
      </c>
      <c r="S13" s="12" t="str">
        <f t="shared" si="6"/>
        <v/>
      </c>
      <c r="T13" s="8"/>
      <c r="U13" s="10"/>
      <c r="V13" s="8"/>
    </row>
    <row r="14" spans="1:22">
      <c r="A14" s="8"/>
      <c r="B14" s="8"/>
      <c r="C14" s="8"/>
      <c r="D14" s="8"/>
      <c r="E14" s="8"/>
      <c r="F14" s="8"/>
      <c r="G14" s="8"/>
      <c r="H14" s="11"/>
      <c r="I14" s="10"/>
      <c r="J14" s="11"/>
      <c r="K14" s="11"/>
      <c r="L14" s="12" t="str">
        <f t="shared" si="0"/>
        <v/>
      </c>
      <c r="M14" s="12" t="str">
        <f t="shared" si="1"/>
        <v/>
      </c>
      <c r="N14" s="12" t="str">
        <f t="shared" si="2"/>
        <v/>
      </c>
      <c r="O14" s="12" t="str">
        <f t="shared" si="3"/>
        <v/>
      </c>
      <c r="P14" s="11"/>
      <c r="Q14" s="12" t="str">
        <f t="shared" si="4"/>
        <v/>
      </c>
      <c r="R14" s="12" t="str">
        <f t="shared" si="5"/>
        <v/>
      </c>
      <c r="S14" s="12" t="str">
        <f t="shared" si="6"/>
        <v/>
      </c>
      <c r="T14" s="8"/>
      <c r="U14" s="10"/>
      <c r="V14" s="8"/>
    </row>
    <row r="15" spans="1:22">
      <c r="A15" s="8"/>
      <c r="B15" s="8"/>
      <c r="C15" s="8"/>
      <c r="D15" s="8"/>
      <c r="E15" s="8"/>
      <c r="F15" s="8"/>
      <c r="G15" s="8"/>
      <c r="H15" s="11"/>
      <c r="I15" s="10"/>
      <c r="J15" s="11"/>
      <c r="K15" s="11"/>
      <c r="L15" s="12" t="str">
        <f t="shared" si="0"/>
        <v/>
      </c>
      <c r="M15" s="12" t="str">
        <f t="shared" si="1"/>
        <v/>
      </c>
      <c r="N15" s="12" t="str">
        <f t="shared" si="2"/>
        <v/>
      </c>
      <c r="O15" s="12" t="str">
        <f t="shared" si="3"/>
        <v/>
      </c>
      <c r="P15" s="11"/>
      <c r="Q15" s="12" t="str">
        <f t="shared" si="4"/>
        <v/>
      </c>
      <c r="R15" s="12" t="str">
        <f t="shared" si="5"/>
        <v/>
      </c>
      <c r="S15" s="12" t="str">
        <f t="shared" si="6"/>
        <v/>
      </c>
      <c r="T15" s="8"/>
      <c r="U15" s="10"/>
      <c r="V15" s="8"/>
    </row>
    <row r="16" spans="1:22">
      <c r="A16" s="8"/>
      <c r="B16" s="8"/>
      <c r="C16" s="8"/>
      <c r="D16" s="8"/>
      <c r="E16" s="8"/>
      <c r="F16" s="8"/>
      <c r="G16" s="8"/>
      <c r="H16" s="11"/>
      <c r="I16" s="10"/>
      <c r="J16" s="11"/>
      <c r="K16" s="11"/>
      <c r="L16" s="12" t="str">
        <f t="shared" si="0"/>
        <v/>
      </c>
      <c r="M16" s="12" t="str">
        <f t="shared" si="1"/>
        <v/>
      </c>
      <c r="N16" s="12" t="str">
        <f t="shared" si="2"/>
        <v/>
      </c>
      <c r="O16" s="12" t="str">
        <f t="shared" si="3"/>
        <v/>
      </c>
      <c r="P16" s="11"/>
      <c r="Q16" s="12" t="str">
        <f t="shared" si="4"/>
        <v/>
      </c>
      <c r="R16" s="12" t="str">
        <f t="shared" si="5"/>
        <v/>
      </c>
      <c r="S16" s="12" t="str">
        <f t="shared" si="6"/>
        <v/>
      </c>
      <c r="T16" s="8"/>
      <c r="U16" s="10"/>
      <c r="V16" s="8"/>
    </row>
    <row r="17" spans="1:22">
      <c r="A17" s="8"/>
      <c r="B17" s="8"/>
      <c r="C17" s="8"/>
      <c r="D17" s="8"/>
      <c r="E17" s="8"/>
      <c r="F17" s="8"/>
      <c r="G17" s="8"/>
      <c r="H17" s="11"/>
      <c r="I17" s="10"/>
      <c r="J17" s="11"/>
      <c r="K17" s="11"/>
      <c r="L17" s="12" t="str">
        <f t="shared" si="0"/>
        <v/>
      </c>
      <c r="M17" s="12" t="str">
        <f t="shared" si="1"/>
        <v/>
      </c>
      <c r="N17" s="12" t="str">
        <f t="shared" si="2"/>
        <v/>
      </c>
      <c r="O17" s="12" t="str">
        <f t="shared" si="3"/>
        <v/>
      </c>
      <c r="P17" s="11"/>
      <c r="Q17" s="12" t="str">
        <f t="shared" si="4"/>
        <v/>
      </c>
      <c r="R17" s="12" t="str">
        <f t="shared" si="5"/>
        <v/>
      </c>
      <c r="S17" s="12" t="str">
        <f t="shared" si="6"/>
        <v/>
      </c>
      <c r="T17" s="8"/>
      <c r="U17" s="10"/>
      <c r="V17" s="8"/>
    </row>
    <row r="18" spans="1:22">
      <c r="A18" s="8"/>
      <c r="B18" s="8"/>
      <c r="C18" s="8"/>
      <c r="D18" s="8"/>
      <c r="E18" s="8"/>
      <c r="F18" s="8"/>
      <c r="G18" s="8"/>
      <c r="H18" s="11"/>
      <c r="I18" s="10"/>
      <c r="J18" s="11"/>
      <c r="K18" s="11"/>
      <c r="L18" s="12" t="str">
        <f t="shared" si="0"/>
        <v/>
      </c>
      <c r="M18" s="12" t="str">
        <f t="shared" si="1"/>
        <v/>
      </c>
      <c r="N18" s="12" t="str">
        <f t="shared" si="2"/>
        <v/>
      </c>
      <c r="O18" s="12" t="str">
        <f t="shared" si="3"/>
        <v/>
      </c>
      <c r="P18" s="11"/>
      <c r="Q18" s="12" t="str">
        <f t="shared" si="4"/>
        <v/>
      </c>
      <c r="R18" s="12" t="str">
        <f t="shared" si="5"/>
        <v/>
      </c>
      <c r="S18" s="12" t="str">
        <f t="shared" si="6"/>
        <v/>
      </c>
      <c r="T18" s="8"/>
      <c r="U18" s="10"/>
      <c r="V18" s="8"/>
    </row>
    <row r="19" spans="1:22">
      <c r="A19" s="8"/>
      <c r="B19" s="8"/>
      <c r="C19" s="8"/>
      <c r="D19" s="8"/>
      <c r="E19" s="8"/>
      <c r="F19" s="8"/>
      <c r="G19" s="8"/>
      <c r="H19" s="11"/>
      <c r="I19" s="10"/>
      <c r="J19" s="11"/>
      <c r="K19" s="11"/>
      <c r="L19" s="12" t="str">
        <f t="shared" si="0"/>
        <v/>
      </c>
      <c r="M19" s="12" t="str">
        <f t="shared" si="1"/>
        <v/>
      </c>
      <c r="N19" s="12" t="str">
        <f t="shared" si="2"/>
        <v/>
      </c>
      <c r="O19" s="12" t="str">
        <f t="shared" si="3"/>
        <v/>
      </c>
      <c r="P19" s="11"/>
      <c r="Q19" s="12" t="str">
        <f t="shared" si="4"/>
        <v/>
      </c>
      <c r="R19" s="12" t="str">
        <f t="shared" si="5"/>
        <v/>
      </c>
      <c r="S19" s="12" t="str">
        <f t="shared" si="6"/>
        <v/>
      </c>
      <c r="T19" s="8"/>
      <c r="U19" s="10"/>
      <c r="V19" s="8"/>
    </row>
    <row r="20" spans="1:22">
      <c r="A20" s="8"/>
      <c r="B20" s="8"/>
      <c r="C20" s="8"/>
      <c r="D20" s="8"/>
      <c r="E20" s="8"/>
      <c r="F20" s="8"/>
      <c r="G20" s="8"/>
      <c r="H20" s="11"/>
      <c r="I20" s="10"/>
      <c r="J20" s="11"/>
      <c r="K20" s="11"/>
      <c r="L20" s="12" t="str">
        <f t="shared" si="0"/>
        <v/>
      </c>
      <c r="M20" s="12" t="str">
        <f t="shared" si="1"/>
        <v/>
      </c>
      <c r="N20" s="12" t="str">
        <f t="shared" si="2"/>
        <v/>
      </c>
      <c r="O20" s="12" t="str">
        <f t="shared" si="3"/>
        <v/>
      </c>
      <c r="P20" s="11"/>
      <c r="Q20" s="12" t="str">
        <f t="shared" si="4"/>
        <v/>
      </c>
      <c r="R20" s="12" t="str">
        <f t="shared" si="5"/>
        <v/>
      </c>
      <c r="S20" s="12" t="str">
        <f t="shared" si="6"/>
        <v/>
      </c>
      <c r="T20" s="8"/>
      <c r="U20" s="10"/>
      <c r="V20" s="8"/>
    </row>
    <row r="21" spans="1:22">
      <c r="A21" s="8"/>
      <c r="B21" s="8"/>
      <c r="C21" s="8"/>
      <c r="D21" s="8"/>
      <c r="E21" s="8"/>
      <c r="F21" s="8"/>
      <c r="G21" s="8"/>
      <c r="H21" s="11"/>
      <c r="I21" s="10"/>
      <c r="J21" s="11"/>
      <c r="K21" s="11"/>
      <c r="L21" s="12" t="str">
        <f t="shared" si="0"/>
        <v/>
      </c>
      <c r="M21" s="12" t="str">
        <f t="shared" si="1"/>
        <v/>
      </c>
      <c r="N21" s="12" t="str">
        <f t="shared" si="2"/>
        <v/>
      </c>
      <c r="O21" s="12" t="str">
        <f t="shared" si="3"/>
        <v/>
      </c>
      <c r="P21" s="11"/>
      <c r="Q21" s="12" t="str">
        <f t="shared" si="4"/>
        <v/>
      </c>
      <c r="R21" s="12" t="str">
        <f t="shared" si="5"/>
        <v/>
      </c>
      <c r="S21" s="12" t="str">
        <f t="shared" si="6"/>
        <v/>
      </c>
      <c r="T21" s="8"/>
      <c r="U21" s="10"/>
      <c r="V21" s="8"/>
    </row>
    <row r="22" spans="1:22">
      <c r="A22" s="8"/>
      <c r="B22" s="8"/>
      <c r="C22" s="8"/>
      <c r="D22" s="8"/>
      <c r="E22" s="8"/>
      <c r="F22" s="8"/>
      <c r="G22" s="8"/>
      <c r="H22" s="11"/>
      <c r="I22" s="10"/>
      <c r="J22" s="11"/>
      <c r="K22" s="11"/>
      <c r="L22" s="12" t="str">
        <f t="shared" si="0"/>
        <v/>
      </c>
      <c r="M22" s="12" t="str">
        <f t="shared" si="1"/>
        <v/>
      </c>
      <c r="N22" s="12" t="str">
        <f t="shared" si="2"/>
        <v/>
      </c>
      <c r="O22" s="12" t="str">
        <f t="shared" si="3"/>
        <v/>
      </c>
      <c r="P22" s="11"/>
      <c r="Q22" s="12" t="str">
        <f t="shared" si="4"/>
        <v/>
      </c>
      <c r="R22" s="12" t="str">
        <f t="shared" si="5"/>
        <v/>
      </c>
      <c r="S22" s="12" t="str">
        <f t="shared" si="6"/>
        <v/>
      </c>
      <c r="T22" s="8"/>
      <c r="U22" s="10"/>
      <c r="V22" s="8"/>
    </row>
    <row r="23" spans="1:22">
      <c r="A23" s="8"/>
      <c r="B23" s="8"/>
      <c r="C23" s="8"/>
      <c r="D23" s="8"/>
      <c r="E23" s="8"/>
      <c r="F23" s="8"/>
      <c r="G23" s="8"/>
      <c r="H23" s="11"/>
      <c r="I23" s="10"/>
      <c r="J23" s="11"/>
      <c r="K23" s="11"/>
      <c r="L23" s="12" t="str">
        <f t="shared" si="0"/>
        <v/>
      </c>
      <c r="M23" s="12" t="str">
        <f t="shared" si="1"/>
        <v/>
      </c>
      <c r="N23" s="12" t="str">
        <f t="shared" si="2"/>
        <v/>
      </c>
      <c r="O23" s="12" t="str">
        <f t="shared" si="3"/>
        <v/>
      </c>
      <c r="P23" s="11"/>
      <c r="Q23" s="12" t="str">
        <f t="shared" si="4"/>
        <v/>
      </c>
      <c r="R23" s="12" t="str">
        <f t="shared" si="5"/>
        <v/>
      </c>
      <c r="S23" s="12" t="str">
        <f t="shared" si="6"/>
        <v/>
      </c>
      <c r="T23" s="8"/>
      <c r="U23" s="10"/>
      <c r="V23" s="8"/>
    </row>
    <row r="24" spans="1:22">
      <c r="A24" s="8"/>
      <c r="B24" s="8"/>
      <c r="C24" s="8"/>
      <c r="D24" s="8"/>
      <c r="E24" s="8"/>
      <c r="F24" s="8"/>
      <c r="G24" s="8"/>
      <c r="H24" s="11"/>
      <c r="I24" s="10"/>
      <c r="J24" s="11"/>
      <c r="K24" s="11"/>
      <c r="L24" s="12" t="str">
        <f t="shared" si="0"/>
        <v/>
      </c>
      <c r="M24" s="12" t="str">
        <f t="shared" si="1"/>
        <v/>
      </c>
      <c r="N24" s="12" t="str">
        <f t="shared" si="2"/>
        <v/>
      </c>
      <c r="O24" s="12" t="str">
        <f t="shared" si="3"/>
        <v/>
      </c>
      <c r="P24" s="11"/>
      <c r="Q24" s="12" t="str">
        <f t="shared" si="4"/>
        <v/>
      </c>
      <c r="R24" s="12" t="str">
        <f t="shared" si="5"/>
        <v/>
      </c>
      <c r="S24" s="12" t="str">
        <f t="shared" si="6"/>
        <v/>
      </c>
      <c r="T24" s="8"/>
      <c r="U24" s="10"/>
      <c r="V24" s="8"/>
    </row>
    <row r="25" spans="1:22">
      <c r="A25" s="8"/>
      <c r="B25" s="8"/>
      <c r="C25" s="8"/>
      <c r="D25" s="8"/>
      <c r="E25" s="8"/>
      <c r="F25" s="8"/>
      <c r="G25" s="8"/>
      <c r="H25" s="11"/>
      <c r="I25" s="10"/>
      <c r="J25" s="11"/>
      <c r="K25" s="11"/>
      <c r="L25" s="12" t="str">
        <f t="shared" si="0"/>
        <v/>
      </c>
      <c r="M25" s="12" t="str">
        <f t="shared" si="1"/>
        <v/>
      </c>
      <c r="N25" s="12" t="str">
        <f t="shared" si="2"/>
        <v/>
      </c>
      <c r="O25" s="12" t="str">
        <f t="shared" si="3"/>
        <v/>
      </c>
      <c r="P25" s="11"/>
      <c r="Q25" s="12" t="str">
        <f t="shared" si="4"/>
        <v/>
      </c>
      <c r="R25" s="12" t="str">
        <f t="shared" si="5"/>
        <v/>
      </c>
      <c r="S25" s="12" t="str">
        <f t="shared" si="6"/>
        <v/>
      </c>
      <c r="T25" s="8"/>
      <c r="U25" s="10"/>
      <c r="V25" s="8"/>
    </row>
    <row r="26" spans="1:22">
      <c r="A26" s="8"/>
      <c r="B26" s="8"/>
      <c r="C26" s="8"/>
      <c r="D26" s="8"/>
      <c r="E26" s="8"/>
      <c r="F26" s="8"/>
      <c r="G26" s="8"/>
      <c r="H26" s="11"/>
      <c r="I26" s="10"/>
      <c r="J26" s="11"/>
      <c r="K26" s="11"/>
      <c r="L26" s="12" t="str">
        <f t="shared" si="0"/>
        <v/>
      </c>
      <c r="M26" s="12" t="str">
        <f t="shared" si="1"/>
        <v/>
      </c>
      <c r="N26" s="12" t="str">
        <f t="shared" si="2"/>
        <v/>
      </c>
      <c r="O26" s="12" t="str">
        <f t="shared" si="3"/>
        <v/>
      </c>
      <c r="P26" s="11"/>
      <c r="Q26" s="12" t="str">
        <f t="shared" si="4"/>
        <v/>
      </c>
      <c r="R26" s="12" t="str">
        <f t="shared" si="5"/>
        <v/>
      </c>
      <c r="S26" s="12" t="str">
        <f t="shared" si="6"/>
        <v/>
      </c>
      <c r="T26" s="8"/>
      <c r="U26" s="10"/>
      <c r="V26" s="8"/>
    </row>
    <row r="27" spans="1:22">
      <c r="A27" s="8"/>
      <c r="B27" s="8"/>
      <c r="C27" s="8"/>
      <c r="D27" s="8"/>
      <c r="E27" s="8"/>
      <c r="F27" s="8"/>
      <c r="G27" s="8"/>
      <c r="H27" s="11"/>
      <c r="I27" s="10"/>
      <c r="J27" s="11"/>
      <c r="K27" s="11"/>
      <c r="L27" s="12" t="str">
        <f t="shared" si="0"/>
        <v/>
      </c>
      <c r="M27" s="12" t="str">
        <f t="shared" si="1"/>
        <v/>
      </c>
      <c r="N27" s="12" t="str">
        <f t="shared" si="2"/>
        <v/>
      </c>
      <c r="O27" s="12" t="str">
        <f t="shared" si="3"/>
        <v/>
      </c>
      <c r="P27" s="11"/>
      <c r="Q27" s="12" t="str">
        <f t="shared" si="4"/>
        <v/>
      </c>
      <c r="R27" s="12" t="str">
        <f t="shared" si="5"/>
        <v/>
      </c>
      <c r="S27" s="12" t="str">
        <f t="shared" si="6"/>
        <v/>
      </c>
      <c r="T27" s="8"/>
      <c r="U27" s="10"/>
      <c r="V27" s="8"/>
    </row>
    <row r="28" spans="1:22">
      <c r="A28" s="8"/>
      <c r="B28" s="8"/>
      <c r="C28" s="8"/>
      <c r="D28" s="8"/>
      <c r="E28" s="8"/>
      <c r="F28" s="8"/>
      <c r="G28" s="8"/>
      <c r="H28" s="11"/>
      <c r="I28" s="10"/>
      <c r="J28" s="11"/>
      <c r="K28" s="11"/>
      <c r="L28" s="12" t="str">
        <f t="shared" si="0"/>
        <v/>
      </c>
      <c r="M28" s="12" t="str">
        <f t="shared" si="1"/>
        <v/>
      </c>
      <c r="N28" s="12" t="str">
        <f t="shared" si="2"/>
        <v/>
      </c>
      <c r="O28" s="12" t="str">
        <f t="shared" si="3"/>
        <v/>
      </c>
      <c r="P28" s="11"/>
      <c r="Q28" s="12" t="str">
        <f t="shared" si="4"/>
        <v/>
      </c>
      <c r="R28" s="12" t="str">
        <f t="shared" si="5"/>
        <v/>
      </c>
      <c r="S28" s="12" t="str">
        <f t="shared" si="6"/>
        <v/>
      </c>
      <c r="T28" s="8"/>
      <c r="U28" s="10"/>
      <c r="V28" s="8"/>
    </row>
    <row r="29" spans="1:22">
      <c r="A29" s="8"/>
      <c r="B29" s="8"/>
      <c r="C29" s="8"/>
      <c r="D29" s="8"/>
      <c r="E29" s="8"/>
      <c r="F29" s="8"/>
      <c r="G29" s="8"/>
      <c r="H29" s="11"/>
      <c r="I29" s="10"/>
      <c r="J29" s="11"/>
      <c r="K29" s="11"/>
      <c r="L29" s="12" t="str">
        <f t="shared" si="0"/>
        <v/>
      </c>
      <c r="M29" s="12" t="str">
        <f t="shared" si="1"/>
        <v/>
      </c>
      <c r="N29" s="12" t="str">
        <f t="shared" si="2"/>
        <v/>
      </c>
      <c r="O29" s="12" t="str">
        <f t="shared" si="3"/>
        <v/>
      </c>
      <c r="P29" s="11"/>
      <c r="Q29" s="12" t="str">
        <f t="shared" si="4"/>
        <v/>
      </c>
      <c r="R29" s="12" t="str">
        <f t="shared" si="5"/>
        <v/>
      </c>
      <c r="S29" s="12" t="str">
        <f t="shared" si="6"/>
        <v/>
      </c>
      <c r="T29" s="8"/>
      <c r="U29" s="10"/>
      <c r="V29" s="8"/>
    </row>
    <row r="30" spans="1:22">
      <c r="A30" s="8"/>
      <c r="B30" s="8"/>
      <c r="C30" s="8"/>
      <c r="D30" s="8"/>
      <c r="E30" s="8"/>
      <c r="F30" s="8"/>
      <c r="G30" s="8"/>
      <c r="H30" s="11"/>
      <c r="I30" s="10"/>
      <c r="J30" s="11"/>
      <c r="K30" s="11"/>
      <c r="L30" s="12" t="str">
        <f t="shared" si="0"/>
        <v/>
      </c>
      <c r="M30" s="12" t="str">
        <f t="shared" si="1"/>
        <v/>
      </c>
      <c r="N30" s="12" t="str">
        <f t="shared" si="2"/>
        <v/>
      </c>
      <c r="O30" s="12" t="str">
        <f t="shared" si="3"/>
        <v/>
      </c>
      <c r="P30" s="11"/>
      <c r="Q30" s="12" t="str">
        <f t="shared" si="4"/>
        <v/>
      </c>
      <c r="R30" s="12" t="str">
        <f t="shared" si="5"/>
        <v/>
      </c>
      <c r="S30" s="12" t="str">
        <f t="shared" si="6"/>
        <v/>
      </c>
      <c r="T30" s="8"/>
      <c r="U30" s="10"/>
      <c r="V30" s="8"/>
    </row>
    <row r="31" spans="1:22">
      <c r="A31" s="8"/>
      <c r="B31" s="8"/>
      <c r="C31" s="8"/>
      <c r="D31" s="8"/>
      <c r="E31" s="8"/>
      <c r="F31" s="8"/>
      <c r="G31" s="8"/>
      <c r="H31" s="11"/>
      <c r="I31" s="10"/>
      <c r="J31" s="11"/>
      <c r="K31" s="11"/>
      <c r="L31" s="12" t="str">
        <f t="shared" si="0"/>
        <v/>
      </c>
      <c r="M31" s="12" t="str">
        <f t="shared" si="1"/>
        <v/>
      </c>
      <c r="N31" s="12" t="str">
        <f t="shared" si="2"/>
        <v/>
      </c>
      <c r="O31" s="12" t="str">
        <f t="shared" si="3"/>
        <v/>
      </c>
      <c r="P31" s="11"/>
      <c r="Q31" s="12" t="str">
        <f t="shared" si="4"/>
        <v/>
      </c>
      <c r="R31" s="12" t="str">
        <f t="shared" si="5"/>
        <v/>
      </c>
      <c r="S31" s="12" t="str">
        <f t="shared" si="6"/>
        <v/>
      </c>
      <c r="T31" s="8"/>
      <c r="U31" s="10"/>
      <c r="V31" s="8"/>
    </row>
    <row r="32" spans="1:22">
      <c r="A32" s="8"/>
      <c r="B32" s="8"/>
      <c r="C32" s="8"/>
      <c r="D32" s="8"/>
      <c r="E32" s="8"/>
      <c r="F32" s="8"/>
      <c r="G32" s="8"/>
      <c r="H32" s="11"/>
      <c r="I32" s="10"/>
      <c r="J32" s="11"/>
      <c r="K32" s="11"/>
      <c r="L32" s="12" t="str">
        <f t="shared" si="0"/>
        <v/>
      </c>
      <c r="M32" s="12" t="str">
        <f t="shared" si="1"/>
        <v/>
      </c>
      <c r="N32" s="12" t="str">
        <f t="shared" si="2"/>
        <v/>
      </c>
      <c r="O32" s="12" t="str">
        <f t="shared" si="3"/>
        <v/>
      </c>
      <c r="P32" s="11"/>
      <c r="Q32" s="12" t="str">
        <f t="shared" si="4"/>
        <v/>
      </c>
      <c r="R32" s="12" t="str">
        <f t="shared" si="5"/>
        <v/>
      </c>
      <c r="S32" s="12" t="str">
        <f t="shared" si="6"/>
        <v/>
      </c>
      <c r="T32" s="8"/>
      <c r="U32" s="10"/>
      <c r="V32" s="8"/>
    </row>
    <row r="33" spans="1:22">
      <c r="A33" s="8"/>
      <c r="B33" s="8"/>
      <c r="C33" s="8"/>
      <c r="D33" s="8"/>
      <c r="E33" s="8"/>
      <c r="F33" s="8"/>
      <c r="G33" s="8"/>
      <c r="H33" s="11"/>
      <c r="I33" s="10"/>
      <c r="J33" s="11"/>
      <c r="K33" s="11"/>
      <c r="L33" s="12" t="str">
        <f t="shared" si="0"/>
        <v/>
      </c>
      <c r="M33" s="12" t="str">
        <f t="shared" si="1"/>
        <v/>
      </c>
      <c r="N33" s="12" t="str">
        <f t="shared" si="2"/>
        <v/>
      </c>
      <c r="O33" s="12" t="str">
        <f t="shared" si="3"/>
        <v/>
      </c>
      <c r="P33" s="11"/>
      <c r="Q33" s="12" t="str">
        <f t="shared" si="4"/>
        <v/>
      </c>
      <c r="R33" s="12" t="str">
        <f t="shared" si="5"/>
        <v/>
      </c>
      <c r="S33" s="12" t="str">
        <f t="shared" si="6"/>
        <v/>
      </c>
      <c r="T33" s="8"/>
      <c r="U33" s="10"/>
      <c r="V33" s="8"/>
    </row>
    <row r="34" spans="1:22">
      <c r="A34" s="8"/>
      <c r="B34" s="8"/>
      <c r="C34" s="8"/>
      <c r="D34" s="8"/>
      <c r="E34" s="8"/>
      <c r="F34" s="8"/>
      <c r="G34" s="8"/>
      <c r="H34" s="11"/>
      <c r="I34" s="10"/>
      <c r="J34" s="11"/>
      <c r="K34" s="11"/>
      <c r="L34" s="12" t="str">
        <f t="shared" si="0"/>
        <v/>
      </c>
      <c r="M34" s="12" t="str">
        <f t="shared" si="1"/>
        <v/>
      </c>
      <c r="N34" s="12" t="str">
        <f t="shared" si="2"/>
        <v/>
      </c>
      <c r="O34" s="12" t="str">
        <f t="shared" si="3"/>
        <v/>
      </c>
      <c r="P34" s="11"/>
      <c r="Q34" s="12" t="str">
        <f t="shared" si="4"/>
        <v/>
      </c>
      <c r="R34" s="12" t="str">
        <f t="shared" si="5"/>
        <v/>
      </c>
      <c r="S34" s="12" t="str">
        <f t="shared" si="6"/>
        <v/>
      </c>
      <c r="T34" s="8"/>
      <c r="U34" s="10"/>
      <c r="V34" s="8"/>
    </row>
    <row r="35" spans="1:22">
      <c r="A35" s="8"/>
      <c r="B35" s="8"/>
      <c r="C35" s="8"/>
      <c r="D35" s="8"/>
      <c r="E35" s="8"/>
      <c r="F35" s="8"/>
      <c r="G35" s="8"/>
      <c r="H35" s="11"/>
      <c r="I35" s="10"/>
      <c r="J35" s="11"/>
      <c r="K35" s="11"/>
      <c r="L35" s="12" t="str">
        <f t="shared" si="0"/>
        <v/>
      </c>
      <c r="M35" s="12" t="str">
        <f t="shared" si="1"/>
        <v/>
      </c>
      <c r="N35" s="12" t="str">
        <f t="shared" si="2"/>
        <v/>
      </c>
      <c r="O35" s="12" t="str">
        <f t="shared" si="3"/>
        <v/>
      </c>
      <c r="P35" s="11"/>
      <c r="Q35" s="12" t="str">
        <f t="shared" si="4"/>
        <v/>
      </c>
      <c r="R35" s="12" t="str">
        <f t="shared" si="5"/>
        <v/>
      </c>
      <c r="S35" s="12" t="str">
        <f t="shared" si="6"/>
        <v/>
      </c>
      <c r="T35" s="8"/>
      <c r="U35" s="10"/>
      <c r="V35" s="8"/>
    </row>
    <row r="36" spans="1:22">
      <c r="A36" s="8"/>
      <c r="B36" s="8"/>
      <c r="C36" s="8"/>
      <c r="D36" s="8"/>
      <c r="E36" s="8"/>
      <c r="F36" s="8"/>
      <c r="G36" s="8"/>
      <c r="H36" s="11"/>
      <c r="I36" s="10"/>
      <c r="J36" s="11"/>
      <c r="K36" s="11"/>
      <c r="L36" s="12" t="str">
        <f t="shared" si="0"/>
        <v/>
      </c>
      <c r="M36" s="12" t="str">
        <f t="shared" si="1"/>
        <v/>
      </c>
      <c r="N36" s="12" t="str">
        <f t="shared" si="2"/>
        <v/>
      </c>
      <c r="O36" s="12" t="str">
        <f t="shared" si="3"/>
        <v/>
      </c>
      <c r="P36" s="11"/>
      <c r="Q36" s="12" t="str">
        <f t="shared" si="4"/>
        <v/>
      </c>
      <c r="R36" s="12" t="str">
        <f t="shared" si="5"/>
        <v/>
      </c>
      <c r="S36" s="12" t="str">
        <f t="shared" si="6"/>
        <v/>
      </c>
      <c r="T36" s="8"/>
      <c r="U36" s="10"/>
      <c r="V36" s="8"/>
    </row>
    <row r="37" spans="1:22">
      <c r="A37" s="8"/>
      <c r="B37" s="8"/>
      <c r="C37" s="8"/>
      <c r="D37" s="8"/>
      <c r="E37" s="8"/>
      <c r="F37" s="8"/>
      <c r="G37" s="8"/>
      <c r="H37" s="11"/>
      <c r="I37" s="10"/>
      <c r="J37" s="11"/>
      <c r="K37" s="11"/>
      <c r="L37" s="12" t="str">
        <f t="shared" si="0"/>
        <v/>
      </c>
      <c r="M37" s="12" t="str">
        <f t="shared" si="1"/>
        <v/>
      </c>
      <c r="N37" s="12" t="str">
        <f t="shared" si="2"/>
        <v/>
      </c>
      <c r="O37" s="12" t="str">
        <f t="shared" si="3"/>
        <v/>
      </c>
      <c r="P37" s="11"/>
      <c r="Q37" s="12" t="str">
        <f t="shared" si="4"/>
        <v/>
      </c>
      <c r="R37" s="12" t="str">
        <f t="shared" si="5"/>
        <v/>
      </c>
      <c r="S37" s="12" t="str">
        <f t="shared" si="6"/>
        <v/>
      </c>
      <c r="T37" s="8"/>
      <c r="U37" s="10"/>
      <c r="V37" s="8"/>
    </row>
    <row r="38" spans="1:22">
      <c r="A38" s="8"/>
      <c r="B38" s="8"/>
      <c r="C38" s="8"/>
      <c r="D38" s="8"/>
      <c r="E38" s="8"/>
      <c r="F38" s="8"/>
      <c r="G38" s="8"/>
      <c r="H38" s="11"/>
      <c r="I38" s="10"/>
      <c r="J38" s="11"/>
      <c r="K38" s="11"/>
      <c r="L38" s="12" t="str">
        <f t="shared" si="0"/>
        <v/>
      </c>
      <c r="M38" s="12" t="str">
        <f t="shared" si="1"/>
        <v/>
      </c>
      <c r="N38" s="12" t="str">
        <f t="shared" si="2"/>
        <v/>
      </c>
      <c r="O38" s="12" t="str">
        <f t="shared" si="3"/>
        <v/>
      </c>
      <c r="P38" s="11"/>
      <c r="Q38" s="12" t="str">
        <f t="shared" si="4"/>
        <v/>
      </c>
      <c r="R38" s="12" t="str">
        <f t="shared" si="5"/>
        <v/>
      </c>
      <c r="S38" s="12" t="str">
        <f t="shared" si="6"/>
        <v/>
      </c>
      <c r="T38" s="8"/>
      <c r="U38" s="10"/>
      <c r="V38" s="8"/>
    </row>
    <row r="39" spans="1:22">
      <c r="A39" s="8"/>
      <c r="B39" s="8"/>
      <c r="C39" s="8"/>
      <c r="D39" s="8"/>
      <c r="E39" s="8"/>
      <c r="F39" s="8"/>
      <c r="G39" s="8"/>
      <c r="H39" s="11"/>
      <c r="I39" s="10"/>
      <c r="J39" s="11"/>
      <c r="K39" s="11"/>
      <c r="L39" s="12" t="str">
        <f t="shared" si="0"/>
        <v/>
      </c>
      <c r="M39" s="12" t="str">
        <f t="shared" si="1"/>
        <v/>
      </c>
      <c r="N39" s="12" t="str">
        <f t="shared" si="2"/>
        <v/>
      </c>
      <c r="O39" s="12" t="str">
        <f t="shared" si="3"/>
        <v/>
      </c>
      <c r="P39" s="11"/>
      <c r="Q39" s="12" t="str">
        <f t="shared" si="4"/>
        <v/>
      </c>
      <c r="R39" s="12" t="str">
        <f t="shared" si="5"/>
        <v/>
      </c>
      <c r="S39" s="12" t="str">
        <f t="shared" si="6"/>
        <v/>
      </c>
      <c r="T39" s="8"/>
      <c r="U39" s="10"/>
      <c r="V39" s="8"/>
    </row>
    <row r="40" spans="1:22">
      <c r="A40" s="8"/>
      <c r="B40" s="8"/>
      <c r="C40" s="8"/>
      <c r="D40" s="8"/>
      <c r="E40" s="8"/>
      <c r="F40" s="8"/>
      <c r="G40" s="8"/>
      <c r="H40" s="11"/>
      <c r="I40" s="10"/>
      <c r="J40" s="11"/>
      <c r="K40" s="11"/>
      <c r="L40" s="12" t="str">
        <f t="shared" si="0"/>
        <v/>
      </c>
      <c r="M40" s="12" t="str">
        <f t="shared" si="1"/>
        <v/>
      </c>
      <c r="N40" s="12" t="str">
        <f t="shared" si="2"/>
        <v/>
      </c>
      <c r="O40" s="12" t="str">
        <f t="shared" si="3"/>
        <v/>
      </c>
      <c r="P40" s="11"/>
      <c r="Q40" s="12" t="str">
        <f t="shared" si="4"/>
        <v/>
      </c>
      <c r="R40" s="12" t="str">
        <f t="shared" si="5"/>
        <v/>
      </c>
      <c r="S40" s="12" t="str">
        <f t="shared" si="6"/>
        <v/>
      </c>
      <c r="T40" s="8"/>
      <c r="U40" s="10"/>
      <c r="V40" s="8"/>
    </row>
    <row r="41" spans="1:22">
      <c r="A41" s="8"/>
      <c r="B41" s="8"/>
      <c r="C41" s="8"/>
      <c r="D41" s="8"/>
      <c r="E41" s="8"/>
      <c r="F41" s="8"/>
      <c r="G41" s="8"/>
      <c r="H41" s="11"/>
      <c r="I41" s="10"/>
      <c r="J41" s="11"/>
      <c r="K41" s="11"/>
      <c r="L41" s="12" t="str">
        <f t="shared" si="0"/>
        <v/>
      </c>
      <c r="M41" s="12" t="str">
        <f t="shared" si="1"/>
        <v/>
      </c>
      <c r="N41" s="12" t="str">
        <f t="shared" si="2"/>
        <v/>
      </c>
      <c r="O41" s="12" t="str">
        <f t="shared" si="3"/>
        <v/>
      </c>
      <c r="P41" s="11"/>
      <c r="Q41" s="12" t="str">
        <f t="shared" si="4"/>
        <v/>
      </c>
      <c r="R41" s="12" t="str">
        <f t="shared" si="5"/>
        <v/>
      </c>
      <c r="S41" s="12" t="str">
        <f t="shared" si="6"/>
        <v/>
      </c>
      <c r="T41" s="8"/>
      <c r="U41" s="10"/>
      <c r="V41" s="8"/>
    </row>
    <row r="42" spans="1:22">
      <c r="A42" s="8"/>
      <c r="B42" s="8"/>
      <c r="C42" s="8"/>
      <c r="D42" s="8"/>
      <c r="E42" s="8"/>
      <c r="F42" s="8"/>
      <c r="G42" s="8"/>
      <c r="H42" s="11"/>
      <c r="I42" s="10"/>
      <c r="J42" s="11"/>
      <c r="K42" s="11"/>
      <c r="L42" s="12" t="str">
        <f t="shared" si="0"/>
        <v/>
      </c>
      <c r="M42" s="12" t="str">
        <f t="shared" si="1"/>
        <v/>
      </c>
      <c r="N42" s="12" t="str">
        <f t="shared" si="2"/>
        <v/>
      </c>
      <c r="O42" s="12" t="str">
        <f t="shared" si="3"/>
        <v/>
      </c>
      <c r="P42" s="11"/>
      <c r="Q42" s="12" t="str">
        <f t="shared" si="4"/>
        <v/>
      </c>
      <c r="R42" s="12" t="str">
        <f t="shared" si="5"/>
        <v/>
      </c>
      <c r="S42" s="12" t="str">
        <f t="shared" si="6"/>
        <v/>
      </c>
      <c r="T42" s="8"/>
      <c r="U42" s="10"/>
      <c r="V42" s="8"/>
    </row>
    <row r="43" spans="1:22">
      <c r="A43" s="8"/>
      <c r="B43" s="8"/>
      <c r="C43" s="8"/>
      <c r="D43" s="8"/>
      <c r="E43" s="8"/>
      <c r="F43" s="8"/>
      <c r="G43" s="8"/>
      <c r="H43" s="11"/>
      <c r="I43" s="10"/>
      <c r="J43" s="11"/>
      <c r="K43" s="11"/>
      <c r="L43" s="12" t="str">
        <f t="shared" si="0"/>
        <v/>
      </c>
      <c r="M43" s="12" t="str">
        <f t="shared" si="1"/>
        <v/>
      </c>
      <c r="N43" s="12" t="str">
        <f t="shared" si="2"/>
        <v/>
      </c>
      <c r="O43" s="12" t="str">
        <f t="shared" si="3"/>
        <v/>
      </c>
      <c r="P43" s="11"/>
      <c r="Q43" s="12" t="str">
        <f t="shared" si="4"/>
        <v/>
      </c>
      <c r="R43" s="12" t="str">
        <f t="shared" si="5"/>
        <v/>
      </c>
      <c r="S43" s="12" t="str">
        <f t="shared" si="6"/>
        <v/>
      </c>
      <c r="T43" s="8"/>
      <c r="U43" s="10"/>
      <c r="V43" s="8"/>
    </row>
    <row r="44" spans="1:22">
      <c r="A44" s="8"/>
      <c r="B44" s="8"/>
      <c r="C44" s="8"/>
      <c r="D44" s="8"/>
      <c r="E44" s="8"/>
      <c r="F44" s="8"/>
      <c r="G44" s="8"/>
      <c r="H44" s="11"/>
      <c r="I44" s="10"/>
      <c r="J44" s="11"/>
      <c r="K44" s="11"/>
      <c r="L44" s="12" t="str">
        <f t="shared" si="0"/>
        <v/>
      </c>
      <c r="M44" s="12" t="str">
        <f t="shared" si="1"/>
        <v/>
      </c>
      <c r="N44" s="12" t="str">
        <f t="shared" si="2"/>
        <v/>
      </c>
      <c r="O44" s="12" t="str">
        <f t="shared" si="3"/>
        <v/>
      </c>
      <c r="P44" s="11"/>
      <c r="Q44" s="12" t="str">
        <f t="shared" si="4"/>
        <v/>
      </c>
      <c r="R44" s="12" t="str">
        <f t="shared" si="5"/>
        <v/>
      </c>
      <c r="S44" s="12" t="str">
        <f t="shared" si="6"/>
        <v/>
      </c>
      <c r="T44" s="8"/>
      <c r="U44" s="10"/>
      <c r="V44" s="8"/>
    </row>
    <row r="45" spans="1:22">
      <c r="A45" s="8"/>
      <c r="B45" s="8"/>
      <c r="C45" s="8"/>
      <c r="D45" s="8"/>
      <c r="E45" s="8"/>
      <c r="F45" s="8"/>
      <c r="G45" s="8"/>
      <c r="H45" s="11"/>
      <c r="I45" s="10"/>
      <c r="J45" s="11"/>
      <c r="K45" s="11"/>
      <c r="L45" s="12" t="str">
        <f t="shared" si="0"/>
        <v/>
      </c>
      <c r="M45" s="12" t="str">
        <f t="shared" si="1"/>
        <v/>
      </c>
      <c r="N45" s="12" t="str">
        <f t="shared" si="2"/>
        <v/>
      </c>
      <c r="O45" s="12" t="str">
        <f t="shared" si="3"/>
        <v/>
      </c>
      <c r="P45" s="11"/>
      <c r="Q45" s="12" t="str">
        <f t="shared" si="4"/>
        <v/>
      </c>
      <c r="R45" s="12" t="str">
        <f t="shared" si="5"/>
        <v/>
      </c>
      <c r="S45" s="12" t="str">
        <f t="shared" si="6"/>
        <v/>
      </c>
      <c r="T45" s="8"/>
      <c r="U45" s="10"/>
      <c r="V45" s="8"/>
    </row>
    <row r="46" spans="1:22">
      <c r="A46" s="8"/>
      <c r="B46" s="8"/>
      <c r="C46" s="8"/>
      <c r="D46" s="8"/>
      <c r="E46" s="8"/>
      <c r="F46" s="8"/>
      <c r="G46" s="8"/>
      <c r="H46" s="11"/>
      <c r="I46" s="10"/>
      <c r="J46" s="11"/>
      <c r="K46" s="11"/>
      <c r="L46" s="12" t="str">
        <f t="shared" si="0"/>
        <v/>
      </c>
      <c r="M46" s="12" t="str">
        <f t="shared" si="1"/>
        <v/>
      </c>
      <c r="N46" s="12" t="str">
        <f t="shared" si="2"/>
        <v/>
      </c>
      <c r="O46" s="12" t="str">
        <f t="shared" si="3"/>
        <v/>
      </c>
      <c r="P46" s="11"/>
      <c r="Q46" s="12" t="str">
        <f t="shared" si="4"/>
        <v/>
      </c>
      <c r="R46" s="12" t="str">
        <f t="shared" si="5"/>
        <v/>
      </c>
      <c r="S46" s="12" t="str">
        <f t="shared" si="6"/>
        <v/>
      </c>
      <c r="T46" s="8"/>
      <c r="U46" s="10"/>
      <c r="V46" s="8"/>
    </row>
    <row r="47" spans="1:22">
      <c r="A47" s="8"/>
      <c r="B47" s="8"/>
      <c r="C47" s="8"/>
      <c r="D47" s="8"/>
      <c r="E47" s="8"/>
      <c r="F47" s="8"/>
      <c r="G47" s="8"/>
      <c r="H47" s="11"/>
      <c r="I47" s="10"/>
      <c r="J47" s="11"/>
      <c r="K47" s="11"/>
      <c r="L47" s="12" t="str">
        <f t="shared" si="0"/>
        <v/>
      </c>
      <c r="M47" s="12" t="str">
        <f t="shared" si="1"/>
        <v/>
      </c>
      <c r="N47" s="12" t="str">
        <f t="shared" si="2"/>
        <v/>
      </c>
      <c r="O47" s="12" t="str">
        <f t="shared" si="3"/>
        <v/>
      </c>
      <c r="P47" s="11"/>
      <c r="Q47" s="12" t="str">
        <f t="shared" si="4"/>
        <v/>
      </c>
      <c r="R47" s="12" t="str">
        <f t="shared" si="5"/>
        <v/>
      </c>
      <c r="S47" s="12" t="str">
        <f t="shared" si="6"/>
        <v/>
      </c>
      <c r="T47" s="8"/>
      <c r="U47" s="10"/>
      <c r="V47" s="8"/>
    </row>
    <row r="48" spans="1:22">
      <c r="A48" s="8"/>
      <c r="B48" s="8"/>
      <c r="C48" s="8"/>
      <c r="D48" s="8"/>
      <c r="E48" s="8"/>
      <c r="F48" s="8"/>
      <c r="G48" s="8"/>
      <c r="H48" s="11"/>
      <c r="I48" s="10"/>
      <c r="J48" s="11"/>
      <c r="K48" s="11"/>
      <c r="L48" s="12" t="str">
        <f t="shared" si="0"/>
        <v/>
      </c>
      <c r="M48" s="12" t="str">
        <f t="shared" si="1"/>
        <v/>
      </c>
      <c r="N48" s="12" t="str">
        <f t="shared" si="2"/>
        <v/>
      </c>
      <c r="O48" s="12" t="str">
        <f t="shared" si="3"/>
        <v/>
      </c>
      <c r="P48" s="11"/>
      <c r="Q48" s="12" t="str">
        <f t="shared" si="4"/>
        <v/>
      </c>
      <c r="R48" s="12" t="str">
        <f t="shared" si="5"/>
        <v/>
      </c>
      <c r="S48" s="12" t="str">
        <f t="shared" si="6"/>
        <v/>
      </c>
      <c r="T48" s="8"/>
      <c r="U48" s="10"/>
      <c r="V48" s="8"/>
    </row>
    <row r="49" spans="1:22">
      <c r="A49" s="8"/>
      <c r="B49" s="8"/>
      <c r="C49" s="8"/>
      <c r="D49" s="8"/>
      <c r="E49" s="8"/>
      <c r="F49" s="8"/>
      <c r="G49" s="8"/>
      <c r="H49" s="11"/>
      <c r="I49" s="10"/>
      <c r="J49" s="11"/>
      <c r="K49" s="11"/>
      <c r="L49" s="12" t="str">
        <f t="shared" si="0"/>
        <v/>
      </c>
      <c r="M49" s="12" t="str">
        <f t="shared" si="1"/>
        <v/>
      </c>
      <c r="N49" s="12" t="str">
        <f t="shared" si="2"/>
        <v/>
      </c>
      <c r="O49" s="12" t="str">
        <f t="shared" si="3"/>
        <v/>
      </c>
      <c r="P49" s="11"/>
      <c r="Q49" s="12" t="str">
        <f t="shared" si="4"/>
        <v/>
      </c>
      <c r="R49" s="12" t="str">
        <f t="shared" si="5"/>
        <v/>
      </c>
      <c r="S49" s="12" t="str">
        <f t="shared" si="6"/>
        <v/>
      </c>
      <c r="T49" s="8"/>
      <c r="U49" s="10"/>
      <c r="V49" s="8"/>
    </row>
    <row r="50" spans="1:22">
      <c r="A50" s="8"/>
      <c r="B50" s="8"/>
      <c r="C50" s="8"/>
      <c r="D50" s="8"/>
      <c r="E50" s="8"/>
      <c r="F50" s="8"/>
      <c r="G50" s="8"/>
      <c r="H50" s="11"/>
      <c r="I50" s="10"/>
      <c r="J50" s="11"/>
      <c r="K50" s="11"/>
      <c r="L50" s="12" t="str">
        <f t="shared" si="0"/>
        <v/>
      </c>
      <c r="M50" s="12" t="str">
        <f t="shared" si="1"/>
        <v/>
      </c>
      <c r="N50" s="12" t="str">
        <f t="shared" si="2"/>
        <v/>
      </c>
      <c r="O50" s="12" t="str">
        <f t="shared" si="3"/>
        <v/>
      </c>
      <c r="P50" s="11"/>
      <c r="Q50" s="12" t="str">
        <f t="shared" si="4"/>
        <v/>
      </c>
      <c r="R50" s="12" t="str">
        <f t="shared" si="5"/>
        <v/>
      </c>
      <c r="S50" s="12" t="str">
        <f t="shared" si="6"/>
        <v/>
      </c>
      <c r="T50" s="8"/>
      <c r="U50" s="10"/>
      <c r="V50" s="8"/>
    </row>
    <row r="51" spans="1:22">
      <c r="A51" s="8"/>
      <c r="B51" s="8"/>
      <c r="C51" s="8"/>
      <c r="D51" s="8"/>
      <c r="E51" s="8"/>
      <c r="F51" s="8"/>
      <c r="G51" s="8"/>
      <c r="H51" s="11"/>
      <c r="I51" s="10"/>
      <c r="J51" s="11"/>
      <c r="K51" s="11"/>
      <c r="L51" s="12" t="str">
        <f t="shared" si="0"/>
        <v/>
      </c>
      <c r="M51" s="12" t="str">
        <f t="shared" si="1"/>
        <v/>
      </c>
      <c r="N51" s="12" t="str">
        <f t="shared" si="2"/>
        <v/>
      </c>
      <c r="O51" s="12" t="str">
        <f t="shared" si="3"/>
        <v/>
      </c>
      <c r="P51" s="11"/>
      <c r="Q51" s="12" t="str">
        <f t="shared" si="4"/>
        <v/>
      </c>
      <c r="R51" s="12" t="str">
        <f t="shared" si="5"/>
        <v/>
      </c>
      <c r="S51" s="12" t="str">
        <f t="shared" si="6"/>
        <v/>
      </c>
      <c r="T51" s="8"/>
      <c r="U51" s="10"/>
      <c r="V51" s="8"/>
    </row>
    <row r="52" spans="1:22">
      <c r="A52" s="8"/>
      <c r="B52" s="8"/>
      <c r="C52" s="8"/>
      <c r="D52" s="8"/>
      <c r="E52" s="8"/>
      <c r="F52" s="8"/>
      <c r="G52" s="8"/>
      <c r="H52" s="11"/>
      <c r="I52" s="10"/>
      <c r="J52" s="11"/>
      <c r="K52" s="11"/>
      <c r="L52" s="12" t="str">
        <f t="shared" si="0"/>
        <v/>
      </c>
      <c r="M52" s="12" t="str">
        <f t="shared" si="1"/>
        <v/>
      </c>
      <c r="N52" s="12" t="str">
        <f t="shared" si="2"/>
        <v/>
      </c>
      <c r="O52" s="12" t="str">
        <f t="shared" si="3"/>
        <v/>
      </c>
      <c r="P52" s="11"/>
      <c r="Q52" s="12" t="str">
        <f t="shared" si="4"/>
        <v/>
      </c>
      <c r="R52" s="12" t="str">
        <f t="shared" si="5"/>
        <v/>
      </c>
      <c r="S52" s="12" t="str">
        <f t="shared" si="6"/>
        <v/>
      </c>
      <c r="T52" s="8"/>
      <c r="U52" s="10"/>
      <c r="V52" s="8"/>
    </row>
    <row r="53" spans="1:22">
      <c r="A53" s="8"/>
      <c r="B53" s="8"/>
      <c r="C53" s="8"/>
      <c r="D53" s="8"/>
      <c r="E53" s="8"/>
      <c r="F53" s="8"/>
      <c r="G53" s="8"/>
      <c r="H53" s="11"/>
      <c r="I53" s="10"/>
      <c r="J53" s="11"/>
      <c r="K53" s="11"/>
      <c r="L53" s="12" t="str">
        <f t="shared" si="0"/>
        <v/>
      </c>
      <c r="M53" s="12" t="str">
        <f t="shared" si="1"/>
        <v/>
      </c>
      <c r="N53" s="12" t="str">
        <f t="shared" si="2"/>
        <v/>
      </c>
      <c r="O53" s="12" t="str">
        <f t="shared" si="3"/>
        <v/>
      </c>
      <c r="P53" s="11"/>
      <c r="Q53" s="12" t="str">
        <f t="shared" si="4"/>
        <v/>
      </c>
      <c r="R53" s="12" t="str">
        <f t="shared" si="5"/>
        <v/>
      </c>
      <c r="S53" s="12" t="str">
        <f t="shared" si="6"/>
        <v/>
      </c>
      <c r="T53" s="8"/>
      <c r="U53" s="10"/>
      <c r="V53" s="8"/>
    </row>
    <row r="54" spans="1:22">
      <c r="A54" s="8"/>
      <c r="B54" s="8"/>
      <c r="C54" s="8"/>
      <c r="D54" s="8"/>
      <c r="E54" s="8"/>
      <c r="F54" s="8"/>
      <c r="G54" s="8"/>
      <c r="H54" s="11"/>
      <c r="I54" s="10"/>
      <c r="J54" s="11"/>
      <c r="K54" s="11"/>
      <c r="L54" s="12" t="str">
        <f t="shared" si="0"/>
        <v/>
      </c>
      <c r="M54" s="12" t="str">
        <f t="shared" si="1"/>
        <v/>
      </c>
      <c r="N54" s="12" t="str">
        <f t="shared" si="2"/>
        <v/>
      </c>
      <c r="O54" s="12" t="str">
        <f t="shared" si="3"/>
        <v/>
      </c>
      <c r="P54" s="11"/>
      <c r="Q54" s="12" t="str">
        <f t="shared" si="4"/>
        <v/>
      </c>
      <c r="R54" s="12" t="str">
        <f t="shared" si="5"/>
        <v/>
      </c>
      <c r="S54" s="12" t="str">
        <f t="shared" si="6"/>
        <v/>
      </c>
      <c r="T54" s="8"/>
      <c r="U54" s="10"/>
      <c r="V54" s="8"/>
    </row>
    <row r="55" spans="1:22">
      <c r="A55" s="8"/>
      <c r="B55" s="8"/>
      <c r="C55" s="8"/>
      <c r="D55" s="8"/>
      <c r="E55" s="8"/>
      <c r="F55" s="8"/>
      <c r="G55" s="8"/>
      <c r="H55" s="11"/>
      <c r="I55" s="10"/>
      <c r="J55" s="11"/>
      <c r="K55" s="11"/>
      <c r="L55" s="12" t="str">
        <f t="shared" si="0"/>
        <v/>
      </c>
      <c r="M55" s="12" t="str">
        <f t="shared" si="1"/>
        <v/>
      </c>
      <c r="N55" s="12" t="str">
        <f t="shared" si="2"/>
        <v/>
      </c>
      <c r="O55" s="12" t="str">
        <f t="shared" si="3"/>
        <v/>
      </c>
      <c r="P55" s="11"/>
      <c r="Q55" s="12" t="str">
        <f t="shared" si="4"/>
        <v/>
      </c>
      <c r="R55" s="12" t="str">
        <f t="shared" si="5"/>
        <v/>
      </c>
      <c r="S55" s="12" t="str">
        <f t="shared" si="6"/>
        <v/>
      </c>
      <c r="T55" s="8"/>
      <c r="U55" s="10"/>
      <c r="V55" s="8"/>
    </row>
    <row r="56" spans="1:22">
      <c r="A56" s="8"/>
      <c r="B56" s="8"/>
      <c r="C56" s="8"/>
      <c r="D56" s="8"/>
      <c r="E56" s="8"/>
      <c r="F56" s="8"/>
      <c r="G56" s="8"/>
      <c r="H56" s="11"/>
      <c r="I56" s="10"/>
      <c r="J56" s="11"/>
      <c r="K56" s="11"/>
      <c r="L56" s="12" t="str">
        <f t="shared" si="0"/>
        <v/>
      </c>
      <c r="M56" s="12" t="str">
        <f t="shared" si="1"/>
        <v/>
      </c>
      <c r="N56" s="12" t="str">
        <f t="shared" si="2"/>
        <v/>
      </c>
      <c r="O56" s="12" t="str">
        <f t="shared" si="3"/>
        <v/>
      </c>
      <c r="P56" s="11"/>
      <c r="Q56" s="12" t="str">
        <f t="shared" si="4"/>
        <v/>
      </c>
      <c r="R56" s="12" t="str">
        <f t="shared" si="5"/>
        <v/>
      </c>
      <c r="S56" s="12" t="str">
        <f t="shared" si="6"/>
        <v/>
      </c>
      <c r="T56" s="8"/>
      <c r="U56" s="10"/>
      <c r="V56" s="8"/>
    </row>
    <row r="57" spans="1:22">
      <c r="A57" s="8"/>
      <c r="B57" s="8"/>
      <c r="C57" s="8"/>
      <c r="D57" s="8"/>
      <c r="E57" s="8"/>
      <c r="F57" s="8"/>
      <c r="G57" s="8"/>
      <c r="H57" s="11"/>
      <c r="I57" s="10"/>
      <c r="J57" s="11"/>
      <c r="K57" s="11"/>
      <c r="L57" s="12" t="str">
        <f t="shared" si="0"/>
        <v/>
      </c>
      <c r="M57" s="12" t="str">
        <f t="shared" si="1"/>
        <v/>
      </c>
      <c r="N57" s="12" t="str">
        <f t="shared" si="2"/>
        <v/>
      </c>
      <c r="O57" s="12" t="str">
        <f t="shared" si="3"/>
        <v/>
      </c>
      <c r="P57" s="11"/>
      <c r="Q57" s="12" t="str">
        <f t="shared" si="4"/>
        <v/>
      </c>
      <c r="R57" s="12" t="str">
        <f t="shared" si="5"/>
        <v/>
      </c>
      <c r="S57" s="12" t="str">
        <f t="shared" si="6"/>
        <v/>
      </c>
      <c r="T57" s="8"/>
      <c r="U57" s="10"/>
      <c r="V57" s="8"/>
    </row>
    <row r="58" spans="1:22">
      <c r="A58" s="8"/>
      <c r="B58" s="8"/>
      <c r="C58" s="8"/>
      <c r="D58" s="8"/>
      <c r="E58" s="8"/>
      <c r="F58" s="8"/>
      <c r="G58" s="8"/>
      <c r="H58" s="11"/>
      <c r="I58" s="10"/>
      <c r="J58" s="11"/>
      <c r="K58" s="11"/>
      <c r="L58" s="12" t="str">
        <f t="shared" si="0"/>
        <v/>
      </c>
      <c r="M58" s="12" t="str">
        <f t="shared" si="1"/>
        <v/>
      </c>
      <c r="N58" s="12" t="str">
        <f t="shared" si="2"/>
        <v/>
      </c>
      <c r="O58" s="12" t="str">
        <f t="shared" si="3"/>
        <v/>
      </c>
      <c r="P58" s="11"/>
      <c r="Q58" s="12" t="str">
        <f t="shared" si="4"/>
        <v/>
      </c>
      <c r="R58" s="12" t="str">
        <f t="shared" si="5"/>
        <v/>
      </c>
      <c r="S58" s="12" t="str">
        <f t="shared" si="6"/>
        <v/>
      </c>
      <c r="T58" s="8"/>
      <c r="U58" s="10"/>
      <c r="V58" s="8"/>
    </row>
    <row r="59" spans="1:22">
      <c r="A59" s="8"/>
      <c r="B59" s="8"/>
      <c r="C59" s="8"/>
      <c r="D59" s="8"/>
      <c r="E59" s="8"/>
      <c r="F59" s="8"/>
      <c r="G59" s="8"/>
      <c r="H59" s="11"/>
      <c r="I59" s="10"/>
      <c r="J59" s="11"/>
      <c r="K59" s="11"/>
      <c r="L59" s="12" t="str">
        <f t="shared" si="0"/>
        <v/>
      </c>
      <c r="M59" s="12" t="str">
        <f t="shared" si="1"/>
        <v/>
      </c>
      <c r="N59" s="12" t="str">
        <f t="shared" si="2"/>
        <v/>
      </c>
      <c r="O59" s="12" t="str">
        <f t="shared" si="3"/>
        <v/>
      </c>
      <c r="P59" s="11"/>
      <c r="Q59" s="12" t="str">
        <f t="shared" si="4"/>
        <v/>
      </c>
      <c r="R59" s="12" t="str">
        <f t="shared" si="5"/>
        <v/>
      </c>
      <c r="S59" s="12" t="str">
        <f t="shared" si="6"/>
        <v/>
      </c>
      <c r="T59" s="8"/>
      <c r="U59" s="10"/>
      <c r="V59" s="8"/>
    </row>
    <row r="60" spans="1:22">
      <c r="A60" s="8"/>
      <c r="B60" s="8"/>
      <c r="C60" s="8"/>
      <c r="D60" s="8"/>
      <c r="E60" s="8"/>
      <c r="F60" s="8"/>
      <c r="G60" s="8"/>
      <c r="H60" s="11"/>
      <c r="I60" s="10"/>
      <c r="J60" s="11"/>
      <c r="K60" s="11"/>
      <c r="L60" s="12" t="str">
        <f t="shared" si="0"/>
        <v/>
      </c>
      <c r="M60" s="12" t="str">
        <f t="shared" si="1"/>
        <v/>
      </c>
      <c r="N60" s="12" t="str">
        <f t="shared" si="2"/>
        <v/>
      </c>
      <c r="O60" s="12" t="str">
        <f t="shared" si="3"/>
        <v/>
      </c>
      <c r="P60" s="11"/>
      <c r="Q60" s="12" t="str">
        <f t="shared" si="4"/>
        <v/>
      </c>
      <c r="R60" s="12" t="str">
        <f t="shared" si="5"/>
        <v/>
      </c>
      <c r="S60" s="12" t="str">
        <f t="shared" si="6"/>
        <v/>
      </c>
      <c r="T60" s="8"/>
      <c r="U60" s="10"/>
      <c r="V60" s="8"/>
    </row>
    <row r="61" spans="1:22">
      <c r="A61" s="8"/>
      <c r="B61" s="8"/>
      <c r="C61" s="8"/>
      <c r="D61" s="8"/>
      <c r="E61" s="8"/>
      <c r="F61" s="8"/>
      <c r="G61" s="8"/>
      <c r="H61" s="11"/>
      <c r="I61" s="10"/>
      <c r="J61" s="11"/>
      <c r="K61" s="11"/>
      <c r="L61" s="12" t="str">
        <f t="shared" si="0"/>
        <v/>
      </c>
      <c r="M61" s="12" t="str">
        <f t="shared" si="1"/>
        <v/>
      </c>
      <c r="N61" s="12" t="str">
        <f t="shared" si="2"/>
        <v/>
      </c>
      <c r="O61" s="12" t="str">
        <f t="shared" si="3"/>
        <v/>
      </c>
      <c r="P61" s="11"/>
      <c r="Q61" s="12" t="str">
        <f t="shared" si="4"/>
        <v/>
      </c>
      <c r="R61" s="12" t="str">
        <f t="shared" si="5"/>
        <v/>
      </c>
      <c r="S61" s="12" t="str">
        <f t="shared" si="6"/>
        <v/>
      </c>
      <c r="T61" s="8"/>
      <c r="U61" s="10"/>
      <c r="V61" s="8"/>
    </row>
    <row r="62" spans="1:22">
      <c r="A62" s="8"/>
      <c r="B62" s="8"/>
      <c r="C62" s="8"/>
      <c r="D62" s="8"/>
      <c r="E62" s="8"/>
      <c r="F62" s="8"/>
      <c r="G62" s="8"/>
      <c r="H62" s="11"/>
      <c r="I62" s="10"/>
      <c r="J62" s="11"/>
      <c r="K62" s="11"/>
      <c r="L62" s="12" t="str">
        <f t="shared" si="0"/>
        <v/>
      </c>
      <c r="M62" s="12" t="str">
        <f t="shared" si="1"/>
        <v/>
      </c>
      <c r="N62" s="12" t="str">
        <f t="shared" si="2"/>
        <v/>
      </c>
      <c r="O62" s="12" t="str">
        <f t="shared" si="3"/>
        <v/>
      </c>
      <c r="P62" s="11"/>
      <c r="Q62" s="12" t="str">
        <f t="shared" si="4"/>
        <v/>
      </c>
      <c r="R62" s="12" t="str">
        <f t="shared" si="5"/>
        <v/>
      </c>
      <c r="S62" s="12" t="str">
        <f t="shared" si="6"/>
        <v/>
      </c>
      <c r="T62" s="8"/>
      <c r="U62" s="10"/>
      <c r="V62" s="8"/>
    </row>
    <row r="63" spans="1:22">
      <c r="A63" s="8"/>
      <c r="B63" s="8"/>
      <c r="C63" s="8"/>
      <c r="D63" s="8"/>
      <c r="E63" s="8"/>
      <c r="F63" s="8"/>
      <c r="G63" s="8"/>
      <c r="H63" s="11"/>
      <c r="I63" s="10"/>
      <c r="J63" s="11"/>
      <c r="K63" s="11"/>
      <c r="L63" s="12" t="str">
        <f t="shared" si="0"/>
        <v/>
      </c>
      <c r="M63" s="12" t="str">
        <f t="shared" si="1"/>
        <v/>
      </c>
      <c r="N63" s="12" t="str">
        <f t="shared" si="2"/>
        <v/>
      </c>
      <c r="O63" s="12" t="str">
        <f t="shared" si="3"/>
        <v/>
      </c>
      <c r="P63" s="11"/>
      <c r="Q63" s="12" t="str">
        <f t="shared" si="4"/>
        <v/>
      </c>
      <c r="R63" s="12" t="str">
        <f t="shared" si="5"/>
        <v/>
      </c>
      <c r="S63" s="12" t="str">
        <f t="shared" si="6"/>
        <v/>
      </c>
      <c r="T63" s="8"/>
      <c r="U63" s="10"/>
      <c r="V63" s="8"/>
    </row>
    <row r="64" spans="1:22">
      <c r="A64" s="8"/>
      <c r="B64" s="8"/>
      <c r="C64" s="8"/>
      <c r="D64" s="8"/>
      <c r="E64" s="8"/>
      <c r="F64" s="8"/>
      <c r="G64" s="8"/>
      <c r="H64" s="11"/>
      <c r="I64" s="10"/>
      <c r="J64" s="11"/>
      <c r="K64" s="11"/>
      <c r="L64" s="12" t="str">
        <f t="shared" si="0"/>
        <v/>
      </c>
      <c r="M64" s="12" t="str">
        <f t="shared" si="1"/>
        <v/>
      </c>
      <c r="N64" s="12" t="str">
        <f t="shared" si="2"/>
        <v/>
      </c>
      <c r="O64" s="12" t="str">
        <f t="shared" si="3"/>
        <v/>
      </c>
      <c r="P64" s="11"/>
      <c r="Q64" s="12" t="str">
        <f t="shared" si="4"/>
        <v/>
      </c>
      <c r="R64" s="12" t="str">
        <f t="shared" si="5"/>
        <v/>
      </c>
      <c r="S64" s="12" t="str">
        <f t="shared" si="6"/>
        <v/>
      </c>
      <c r="T64" s="8"/>
      <c r="U64" s="10"/>
      <c r="V64" s="8"/>
    </row>
    <row r="65" spans="1:22">
      <c r="A65" s="8"/>
      <c r="B65" s="8"/>
      <c r="C65" s="8"/>
      <c r="D65" s="8"/>
      <c r="E65" s="8"/>
      <c r="F65" s="8"/>
      <c r="G65" s="8"/>
      <c r="H65" s="11"/>
      <c r="I65" s="10"/>
      <c r="J65" s="11"/>
      <c r="K65" s="11"/>
      <c r="L65" s="12" t="str">
        <f t="shared" si="0"/>
        <v/>
      </c>
      <c r="M65" s="12" t="str">
        <f t="shared" si="1"/>
        <v/>
      </c>
      <c r="N65" s="12" t="str">
        <f t="shared" si="2"/>
        <v/>
      </c>
      <c r="O65" s="12" t="str">
        <f t="shared" si="3"/>
        <v/>
      </c>
      <c r="P65" s="11"/>
      <c r="Q65" s="12" t="str">
        <f t="shared" si="4"/>
        <v/>
      </c>
      <c r="R65" s="12" t="str">
        <f t="shared" si="5"/>
        <v/>
      </c>
      <c r="S65" s="12" t="str">
        <f t="shared" si="6"/>
        <v/>
      </c>
      <c r="T65" s="8"/>
      <c r="U65" s="10"/>
      <c r="V65" s="8"/>
    </row>
    <row r="66" spans="1:22">
      <c r="A66" s="8"/>
      <c r="B66" s="8"/>
      <c r="C66" s="8"/>
      <c r="D66" s="8"/>
      <c r="E66" s="8"/>
      <c r="F66" s="8"/>
      <c r="G66" s="8"/>
      <c r="H66" s="11"/>
      <c r="I66" s="10"/>
      <c r="J66" s="11"/>
      <c r="K66" s="11"/>
      <c r="L66" s="12" t="str">
        <f t="shared" si="0"/>
        <v/>
      </c>
      <c r="M66" s="12" t="str">
        <f t="shared" si="1"/>
        <v/>
      </c>
      <c r="N66" s="12" t="str">
        <f t="shared" si="2"/>
        <v/>
      </c>
      <c r="O66" s="12" t="str">
        <f t="shared" si="3"/>
        <v/>
      </c>
      <c r="P66" s="11"/>
      <c r="Q66" s="12" t="str">
        <f t="shared" si="4"/>
        <v/>
      </c>
      <c r="R66" s="12" t="str">
        <f t="shared" si="5"/>
        <v/>
      </c>
      <c r="S66" s="12" t="str">
        <f t="shared" si="6"/>
        <v/>
      </c>
      <c r="T66" s="8"/>
      <c r="U66" s="10"/>
      <c r="V66" s="8"/>
    </row>
    <row r="67" spans="1:22">
      <c r="A67" s="8"/>
      <c r="B67" s="8"/>
      <c r="C67" s="8"/>
      <c r="D67" s="8"/>
      <c r="E67" s="8"/>
      <c r="F67" s="8"/>
      <c r="G67" s="8"/>
      <c r="H67" s="11"/>
      <c r="I67" s="10"/>
      <c r="J67" s="11"/>
      <c r="K67" s="11"/>
      <c r="L67" s="12" t="str">
        <f t="shared" si="0"/>
        <v/>
      </c>
      <c r="M67" s="12" t="str">
        <f t="shared" si="1"/>
        <v/>
      </c>
      <c r="N67" s="12" t="str">
        <f t="shared" si="2"/>
        <v/>
      </c>
      <c r="O67" s="12" t="str">
        <f t="shared" si="3"/>
        <v/>
      </c>
      <c r="P67" s="11"/>
      <c r="Q67" s="12" t="str">
        <f t="shared" si="4"/>
        <v/>
      </c>
      <c r="R67" s="12" t="str">
        <f t="shared" si="5"/>
        <v/>
      </c>
      <c r="S67" s="12" t="str">
        <f t="shared" si="6"/>
        <v/>
      </c>
      <c r="T67" s="8"/>
      <c r="U67" s="10"/>
      <c r="V67" s="8"/>
    </row>
    <row r="68" spans="1:22">
      <c r="A68" s="8"/>
      <c r="B68" s="8"/>
      <c r="C68" s="8"/>
      <c r="D68" s="8"/>
      <c r="E68" s="8"/>
      <c r="F68" s="8"/>
      <c r="G68" s="8"/>
      <c r="H68" s="11"/>
      <c r="I68" s="10"/>
      <c r="J68" s="11"/>
      <c r="K68" s="11"/>
      <c r="L68" s="12" t="str">
        <f t="shared" si="0"/>
        <v/>
      </c>
      <c r="M68" s="12" t="str">
        <f t="shared" si="1"/>
        <v/>
      </c>
      <c r="N68" s="12" t="str">
        <f t="shared" si="2"/>
        <v/>
      </c>
      <c r="O68" s="12" t="str">
        <f t="shared" si="3"/>
        <v/>
      </c>
      <c r="P68" s="11"/>
      <c r="Q68" s="12" t="str">
        <f t="shared" si="4"/>
        <v/>
      </c>
      <c r="R68" s="12" t="str">
        <f t="shared" si="5"/>
        <v/>
      </c>
      <c r="S68" s="12" t="str">
        <f t="shared" si="6"/>
        <v/>
      </c>
      <c r="T68" s="8"/>
      <c r="U68" s="10"/>
      <c r="V68" s="8"/>
    </row>
    <row r="69" spans="1:22">
      <c r="A69" s="8"/>
      <c r="B69" s="8"/>
      <c r="C69" s="8"/>
      <c r="D69" s="8"/>
      <c r="E69" s="8"/>
      <c r="F69" s="8"/>
      <c r="G69" s="8"/>
      <c r="H69" s="11"/>
      <c r="I69" s="10"/>
      <c r="J69" s="11"/>
      <c r="K69" s="11"/>
      <c r="L69" s="12" t="str">
        <f t="shared" ref="L69:L132" si="7">IF(A69="","",J69+K69)</f>
        <v/>
      </c>
      <c r="M69" s="12" t="str">
        <f t="shared" ref="M69:M132" si="8">IF(A69="","",L69-H69)</f>
        <v/>
      </c>
      <c r="N69" s="12" t="str">
        <f t="shared" ref="N69:N132" si="9">IF(A69="","",MAX(0,H69-L69))</f>
        <v/>
      </c>
      <c r="O69" s="12" t="str">
        <f t="shared" ref="O69:O132" si="10">IF(A69="","",MAX(0,L69-H69))</f>
        <v/>
      </c>
      <c r="P69" s="11"/>
      <c r="Q69" s="12" t="str">
        <f t="shared" ref="Q69:Q132" si="11">IF(A69="","",P69-H69)</f>
        <v/>
      </c>
      <c r="R69" s="12" t="str">
        <f t="shared" ref="R69:R132" si="12">IF(A69="","",MAX(0,H69-P69))</f>
        <v/>
      </c>
      <c r="S69" s="12" t="str">
        <f t="shared" ref="S69:S132" si="13">IF(A69="","",MAX(0,P69-H69))</f>
        <v/>
      </c>
      <c r="T69" s="8"/>
      <c r="U69" s="10"/>
      <c r="V69" s="8"/>
    </row>
    <row r="70" spans="1:22">
      <c r="A70" s="8"/>
      <c r="B70" s="8"/>
      <c r="C70" s="8"/>
      <c r="D70" s="8"/>
      <c r="E70" s="8"/>
      <c r="F70" s="8"/>
      <c r="G70" s="8"/>
      <c r="H70" s="11"/>
      <c r="I70" s="10"/>
      <c r="J70" s="11"/>
      <c r="K70" s="11"/>
      <c r="L70" s="12" t="str">
        <f t="shared" si="7"/>
        <v/>
      </c>
      <c r="M70" s="12" t="str">
        <f t="shared" si="8"/>
        <v/>
      </c>
      <c r="N70" s="12" t="str">
        <f t="shared" si="9"/>
        <v/>
      </c>
      <c r="O70" s="12" t="str">
        <f t="shared" si="10"/>
        <v/>
      </c>
      <c r="P70" s="11"/>
      <c r="Q70" s="12" t="str">
        <f t="shared" si="11"/>
        <v/>
      </c>
      <c r="R70" s="12" t="str">
        <f t="shared" si="12"/>
        <v/>
      </c>
      <c r="S70" s="12" t="str">
        <f t="shared" si="13"/>
        <v/>
      </c>
      <c r="T70" s="8"/>
      <c r="U70" s="10"/>
      <c r="V70" s="8"/>
    </row>
    <row r="71" spans="1:22">
      <c r="A71" s="8"/>
      <c r="B71" s="8"/>
      <c r="C71" s="8"/>
      <c r="D71" s="8"/>
      <c r="E71" s="8"/>
      <c r="F71" s="8"/>
      <c r="G71" s="8"/>
      <c r="H71" s="11"/>
      <c r="I71" s="10"/>
      <c r="J71" s="11"/>
      <c r="K71" s="11"/>
      <c r="L71" s="12" t="str">
        <f t="shared" si="7"/>
        <v/>
      </c>
      <c r="M71" s="12" t="str">
        <f t="shared" si="8"/>
        <v/>
      </c>
      <c r="N71" s="12" t="str">
        <f t="shared" si="9"/>
        <v/>
      </c>
      <c r="O71" s="12" t="str">
        <f t="shared" si="10"/>
        <v/>
      </c>
      <c r="P71" s="11"/>
      <c r="Q71" s="12" t="str">
        <f t="shared" si="11"/>
        <v/>
      </c>
      <c r="R71" s="12" t="str">
        <f t="shared" si="12"/>
        <v/>
      </c>
      <c r="S71" s="12" t="str">
        <f t="shared" si="13"/>
        <v/>
      </c>
      <c r="T71" s="8"/>
      <c r="U71" s="10"/>
      <c r="V71" s="8"/>
    </row>
    <row r="72" spans="1:22">
      <c r="A72" s="8"/>
      <c r="B72" s="8"/>
      <c r="C72" s="8"/>
      <c r="D72" s="8"/>
      <c r="E72" s="8"/>
      <c r="F72" s="8"/>
      <c r="G72" s="8"/>
      <c r="H72" s="11"/>
      <c r="I72" s="10"/>
      <c r="J72" s="11"/>
      <c r="K72" s="11"/>
      <c r="L72" s="12" t="str">
        <f t="shared" si="7"/>
        <v/>
      </c>
      <c r="M72" s="12" t="str">
        <f t="shared" si="8"/>
        <v/>
      </c>
      <c r="N72" s="12" t="str">
        <f t="shared" si="9"/>
        <v/>
      </c>
      <c r="O72" s="12" t="str">
        <f t="shared" si="10"/>
        <v/>
      </c>
      <c r="P72" s="11"/>
      <c r="Q72" s="12" t="str">
        <f t="shared" si="11"/>
        <v/>
      </c>
      <c r="R72" s="12" t="str">
        <f t="shared" si="12"/>
        <v/>
      </c>
      <c r="S72" s="12" t="str">
        <f t="shared" si="13"/>
        <v/>
      </c>
      <c r="T72" s="8"/>
      <c r="U72" s="10"/>
      <c r="V72" s="8"/>
    </row>
    <row r="73" spans="1:22">
      <c r="A73" s="8"/>
      <c r="B73" s="8"/>
      <c r="C73" s="8"/>
      <c r="D73" s="8"/>
      <c r="E73" s="8"/>
      <c r="F73" s="8"/>
      <c r="G73" s="8"/>
      <c r="H73" s="11"/>
      <c r="I73" s="10"/>
      <c r="J73" s="11"/>
      <c r="K73" s="11"/>
      <c r="L73" s="12" t="str">
        <f t="shared" si="7"/>
        <v/>
      </c>
      <c r="M73" s="12" t="str">
        <f t="shared" si="8"/>
        <v/>
      </c>
      <c r="N73" s="12" t="str">
        <f t="shared" si="9"/>
        <v/>
      </c>
      <c r="O73" s="12" t="str">
        <f t="shared" si="10"/>
        <v/>
      </c>
      <c r="P73" s="11"/>
      <c r="Q73" s="12" t="str">
        <f t="shared" si="11"/>
        <v/>
      </c>
      <c r="R73" s="12" t="str">
        <f t="shared" si="12"/>
        <v/>
      </c>
      <c r="S73" s="12" t="str">
        <f t="shared" si="13"/>
        <v/>
      </c>
      <c r="T73" s="8"/>
      <c r="U73" s="10"/>
      <c r="V73" s="8"/>
    </row>
    <row r="74" spans="1:22">
      <c r="A74" s="8"/>
      <c r="B74" s="8"/>
      <c r="C74" s="8"/>
      <c r="D74" s="8"/>
      <c r="E74" s="8"/>
      <c r="F74" s="8"/>
      <c r="G74" s="8"/>
      <c r="H74" s="11"/>
      <c r="I74" s="10"/>
      <c r="J74" s="11"/>
      <c r="K74" s="11"/>
      <c r="L74" s="12" t="str">
        <f t="shared" si="7"/>
        <v/>
      </c>
      <c r="M74" s="12" t="str">
        <f t="shared" si="8"/>
        <v/>
      </c>
      <c r="N74" s="12" t="str">
        <f t="shared" si="9"/>
        <v/>
      </c>
      <c r="O74" s="12" t="str">
        <f t="shared" si="10"/>
        <v/>
      </c>
      <c r="P74" s="11"/>
      <c r="Q74" s="12" t="str">
        <f t="shared" si="11"/>
        <v/>
      </c>
      <c r="R74" s="12" t="str">
        <f t="shared" si="12"/>
        <v/>
      </c>
      <c r="S74" s="12" t="str">
        <f t="shared" si="13"/>
        <v/>
      </c>
      <c r="T74" s="8"/>
      <c r="U74" s="10"/>
      <c r="V74" s="8"/>
    </row>
    <row r="75" spans="1:22">
      <c r="A75" s="8"/>
      <c r="B75" s="8"/>
      <c r="C75" s="8"/>
      <c r="D75" s="8"/>
      <c r="E75" s="8"/>
      <c r="F75" s="8"/>
      <c r="G75" s="8"/>
      <c r="H75" s="11"/>
      <c r="I75" s="10"/>
      <c r="J75" s="11"/>
      <c r="K75" s="11"/>
      <c r="L75" s="12" t="str">
        <f t="shared" si="7"/>
        <v/>
      </c>
      <c r="M75" s="12" t="str">
        <f t="shared" si="8"/>
        <v/>
      </c>
      <c r="N75" s="12" t="str">
        <f t="shared" si="9"/>
        <v/>
      </c>
      <c r="O75" s="12" t="str">
        <f t="shared" si="10"/>
        <v/>
      </c>
      <c r="P75" s="11"/>
      <c r="Q75" s="12" t="str">
        <f t="shared" si="11"/>
        <v/>
      </c>
      <c r="R75" s="12" t="str">
        <f t="shared" si="12"/>
        <v/>
      </c>
      <c r="S75" s="12" t="str">
        <f t="shared" si="13"/>
        <v/>
      </c>
      <c r="T75" s="8"/>
      <c r="U75" s="10"/>
      <c r="V75" s="8"/>
    </row>
    <row r="76" spans="1:22">
      <c r="A76" s="8"/>
      <c r="B76" s="8"/>
      <c r="C76" s="8"/>
      <c r="D76" s="8"/>
      <c r="E76" s="8"/>
      <c r="F76" s="8"/>
      <c r="G76" s="8"/>
      <c r="H76" s="11"/>
      <c r="I76" s="10"/>
      <c r="J76" s="11"/>
      <c r="K76" s="11"/>
      <c r="L76" s="12" t="str">
        <f t="shared" si="7"/>
        <v/>
      </c>
      <c r="M76" s="12" t="str">
        <f t="shared" si="8"/>
        <v/>
      </c>
      <c r="N76" s="12" t="str">
        <f t="shared" si="9"/>
        <v/>
      </c>
      <c r="O76" s="12" t="str">
        <f t="shared" si="10"/>
        <v/>
      </c>
      <c r="P76" s="11"/>
      <c r="Q76" s="12" t="str">
        <f t="shared" si="11"/>
        <v/>
      </c>
      <c r="R76" s="12" t="str">
        <f t="shared" si="12"/>
        <v/>
      </c>
      <c r="S76" s="12" t="str">
        <f t="shared" si="13"/>
        <v/>
      </c>
      <c r="T76" s="8"/>
      <c r="U76" s="10"/>
      <c r="V76" s="8"/>
    </row>
    <row r="77" spans="1:22">
      <c r="A77" s="8"/>
      <c r="B77" s="8"/>
      <c r="C77" s="8"/>
      <c r="D77" s="8"/>
      <c r="E77" s="8"/>
      <c r="F77" s="8"/>
      <c r="G77" s="8"/>
      <c r="H77" s="11"/>
      <c r="I77" s="10"/>
      <c r="J77" s="11"/>
      <c r="K77" s="11"/>
      <c r="L77" s="12" t="str">
        <f t="shared" si="7"/>
        <v/>
      </c>
      <c r="M77" s="12" t="str">
        <f t="shared" si="8"/>
        <v/>
      </c>
      <c r="N77" s="12" t="str">
        <f t="shared" si="9"/>
        <v/>
      </c>
      <c r="O77" s="12" t="str">
        <f t="shared" si="10"/>
        <v/>
      </c>
      <c r="P77" s="11"/>
      <c r="Q77" s="12" t="str">
        <f t="shared" si="11"/>
        <v/>
      </c>
      <c r="R77" s="12" t="str">
        <f t="shared" si="12"/>
        <v/>
      </c>
      <c r="S77" s="12" t="str">
        <f t="shared" si="13"/>
        <v/>
      </c>
      <c r="T77" s="8"/>
      <c r="U77" s="10"/>
      <c r="V77" s="8"/>
    </row>
    <row r="78" spans="1:22">
      <c r="A78" s="8"/>
      <c r="B78" s="8"/>
      <c r="C78" s="8"/>
      <c r="D78" s="8"/>
      <c r="E78" s="8"/>
      <c r="F78" s="8"/>
      <c r="G78" s="8"/>
      <c r="H78" s="11"/>
      <c r="I78" s="10"/>
      <c r="J78" s="11"/>
      <c r="K78" s="11"/>
      <c r="L78" s="12" t="str">
        <f t="shared" si="7"/>
        <v/>
      </c>
      <c r="M78" s="12" t="str">
        <f t="shared" si="8"/>
        <v/>
      </c>
      <c r="N78" s="12" t="str">
        <f t="shared" si="9"/>
        <v/>
      </c>
      <c r="O78" s="12" t="str">
        <f t="shared" si="10"/>
        <v/>
      </c>
      <c r="P78" s="11"/>
      <c r="Q78" s="12" t="str">
        <f t="shared" si="11"/>
        <v/>
      </c>
      <c r="R78" s="12" t="str">
        <f t="shared" si="12"/>
        <v/>
      </c>
      <c r="S78" s="12" t="str">
        <f t="shared" si="13"/>
        <v/>
      </c>
      <c r="T78" s="8"/>
      <c r="U78" s="10"/>
      <c r="V78" s="8"/>
    </row>
    <row r="79" spans="1:22">
      <c r="A79" s="8"/>
      <c r="B79" s="8"/>
      <c r="C79" s="8"/>
      <c r="D79" s="8"/>
      <c r="E79" s="8"/>
      <c r="F79" s="8"/>
      <c r="G79" s="8"/>
      <c r="H79" s="11"/>
      <c r="I79" s="10"/>
      <c r="J79" s="11"/>
      <c r="K79" s="11"/>
      <c r="L79" s="12" t="str">
        <f t="shared" si="7"/>
        <v/>
      </c>
      <c r="M79" s="12" t="str">
        <f t="shared" si="8"/>
        <v/>
      </c>
      <c r="N79" s="12" t="str">
        <f t="shared" si="9"/>
        <v/>
      </c>
      <c r="O79" s="12" t="str">
        <f t="shared" si="10"/>
        <v/>
      </c>
      <c r="P79" s="11"/>
      <c r="Q79" s="12" t="str">
        <f t="shared" si="11"/>
        <v/>
      </c>
      <c r="R79" s="12" t="str">
        <f t="shared" si="12"/>
        <v/>
      </c>
      <c r="S79" s="12" t="str">
        <f t="shared" si="13"/>
        <v/>
      </c>
      <c r="T79" s="8"/>
      <c r="U79" s="10"/>
      <c r="V79" s="8"/>
    </row>
    <row r="80" spans="1:22">
      <c r="A80" s="8"/>
      <c r="B80" s="8"/>
      <c r="C80" s="8"/>
      <c r="D80" s="8"/>
      <c r="E80" s="8"/>
      <c r="F80" s="8"/>
      <c r="G80" s="8"/>
      <c r="H80" s="11"/>
      <c r="I80" s="10"/>
      <c r="J80" s="11"/>
      <c r="K80" s="11"/>
      <c r="L80" s="12" t="str">
        <f t="shared" si="7"/>
        <v/>
      </c>
      <c r="M80" s="12" t="str">
        <f t="shared" si="8"/>
        <v/>
      </c>
      <c r="N80" s="12" t="str">
        <f t="shared" si="9"/>
        <v/>
      </c>
      <c r="O80" s="12" t="str">
        <f t="shared" si="10"/>
        <v/>
      </c>
      <c r="P80" s="11"/>
      <c r="Q80" s="12" t="str">
        <f t="shared" si="11"/>
        <v/>
      </c>
      <c r="R80" s="12" t="str">
        <f t="shared" si="12"/>
        <v/>
      </c>
      <c r="S80" s="12" t="str">
        <f t="shared" si="13"/>
        <v/>
      </c>
      <c r="T80" s="8"/>
      <c r="U80" s="10"/>
      <c r="V80" s="8"/>
    </row>
    <row r="81" spans="1:22">
      <c r="A81" s="8"/>
      <c r="B81" s="8"/>
      <c r="C81" s="8"/>
      <c r="D81" s="8"/>
      <c r="E81" s="8"/>
      <c r="F81" s="8"/>
      <c r="G81" s="8"/>
      <c r="H81" s="11"/>
      <c r="I81" s="10"/>
      <c r="J81" s="11"/>
      <c r="K81" s="11"/>
      <c r="L81" s="12" t="str">
        <f t="shared" si="7"/>
        <v/>
      </c>
      <c r="M81" s="12" t="str">
        <f t="shared" si="8"/>
        <v/>
      </c>
      <c r="N81" s="12" t="str">
        <f t="shared" si="9"/>
        <v/>
      </c>
      <c r="O81" s="12" t="str">
        <f t="shared" si="10"/>
        <v/>
      </c>
      <c r="P81" s="11"/>
      <c r="Q81" s="12" t="str">
        <f t="shared" si="11"/>
        <v/>
      </c>
      <c r="R81" s="12" t="str">
        <f t="shared" si="12"/>
        <v/>
      </c>
      <c r="S81" s="12" t="str">
        <f t="shared" si="13"/>
        <v/>
      </c>
      <c r="T81" s="8"/>
      <c r="U81" s="10"/>
      <c r="V81" s="8"/>
    </row>
    <row r="82" spans="1:22">
      <c r="A82" s="8"/>
      <c r="B82" s="8"/>
      <c r="C82" s="8"/>
      <c r="D82" s="8"/>
      <c r="E82" s="8"/>
      <c r="F82" s="8"/>
      <c r="G82" s="8"/>
      <c r="H82" s="11"/>
      <c r="I82" s="10"/>
      <c r="J82" s="11"/>
      <c r="K82" s="11"/>
      <c r="L82" s="12" t="str">
        <f t="shared" si="7"/>
        <v/>
      </c>
      <c r="M82" s="12" t="str">
        <f t="shared" si="8"/>
        <v/>
      </c>
      <c r="N82" s="12" t="str">
        <f t="shared" si="9"/>
        <v/>
      </c>
      <c r="O82" s="12" t="str">
        <f t="shared" si="10"/>
        <v/>
      </c>
      <c r="P82" s="11"/>
      <c r="Q82" s="12" t="str">
        <f t="shared" si="11"/>
        <v/>
      </c>
      <c r="R82" s="12" t="str">
        <f t="shared" si="12"/>
        <v/>
      </c>
      <c r="S82" s="12" t="str">
        <f t="shared" si="13"/>
        <v/>
      </c>
      <c r="T82" s="8"/>
      <c r="U82" s="10"/>
      <c r="V82" s="8"/>
    </row>
    <row r="83" spans="1:22">
      <c r="A83" s="8"/>
      <c r="B83" s="8"/>
      <c r="C83" s="8"/>
      <c r="D83" s="8"/>
      <c r="E83" s="8"/>
      <c r="F83" s="8"/>
      <c r="G83" s="8"/>
      <c r="H83" s="11"/>
      <c r="I83" s="10"/>
      <c r="J83" s="11"/>
      <c r="K83" s="11"/>
      <c r="L83" s="12" t="str">
        <f t="shared" si="7"/>
        <v/>
      </c>
      <c r="M83" s="12" t="str">
        <f t="shared" si="8"/>
        <v/>
      </c>
      <c r="N83" s="12" t="str">
        <f t="shared" si="9"/>
        <v/>
      </c>
      <c r="O83" s="12" t="str">
        <f t="shared" si="10"/>
        <v/>
      </c>
      <c r="P83" s="11"/>
      <c r="Q83" s="12" t="str">
        <f t="shared" si="11"/>
        <v/>
      </c>
      <c r="R83" s="12" t="str">
        <f t="shared" si="12"/>
        <v/>
      </c>
      <c r="S83" s="12" t="str">
        <f t="shared" si="13"/>
        <v/>
      </c>
      <c r="T83" s="8"/>
      <c r="U83" s="10"/>
      <c r="V83" s="8"/>
    </row>
    <row r="84" spans="1:22">
      <c r="A84" s="8"/>
      <c r="B84" s="8"/>
      <c r="C84" s="8"/>
      <c r="D84" s="8"/>
      <c r="E84" s="8"/>
      <c r="F84" s="8"/>
      <c r="G84" s="8"/>
      <c r="H84" s="11"/>
      <c r="I84" s="10"/>
      <c r="J84" s="11"/>
      <c r="K84" s="11"/>
      <c r="L84" s="12" t="str">
        <f t="shared" si="7"/>
        <v/>
      </c>
      <c r="M84" s="12" t="str">
        <f t="shared" si="8"/>
        <v/>
      </c>
      <c r="N84" s="12" t="str">
        <f t="shared" si="9"/>
        <v/>
      </c>
      <c r="O84" s="12" t="str">
        <f t="shared" si="10"/>
        <v/>
      </c>
      <c r="P84" s="11"/>
      <c r="Q84" s="12" t="str">
        <f t="shared" si="11"/>
        <v/>
      </c>
      <c r="R84" s="12" t="str">
        <f t="shared" si="12"/>
        <v/>
      </c>
      <c r="S84" s="12" t="str">
        <f t="shared" si="13"/>
        <v/>
      </c>
      <c r="T84" s="8"/>
      <c r="U84" s="10"/>
      <c r="V84" s="8"/>
    </row>
    <row r="85" spans="1:22">
      <c r="A85" s="8"/>
      <c r="B85" s="8"/>
      <c r="C85" s="8"/>
      <c r="D85" s="8"/>
      <c r="E85" s="8"/>
      <c r="F85" s="8"/>
      <c r="G85" s="8"/>
      <c r="H85" s="11"/>
      <c r="I85" s="10"/>
      <c r="J85" s="11"/>
      <c r="K85" s="11"/>
      <c r="L85" s="12" t="str">
        <f t="shared" si="7"/>
        <v/>
      </c>
      <c r="M85" s="12" t="str">
        <f t="shared" si="8"/>
        <v/>
      </c>
      <c r="N85" s="12" t="str">
        <f t="shared" si="9"/>
        <v/>
      </c>
      <c r="O85" s="12" t="str">
        <f t="shared" si="10"/>
        <v/>
      </c>
      <c r="P85" s="11"/>
      <c r="Q85" s="12" t="str">
        <f t="shared" si="11"/>
        <v/>
      </c>
      <c r="R85" s="12" t="str">
        <f t="shared" si="12"/>
        <v/>
      </c>
      <c r="S85" s="12" t="str">
        <f t="shared" si="13"/>
        <v/>
      </c>
      <c r="T85" s="8"/>
      <c r="U85" s="10"/>
      <c r="V85" s="8"/>
    </row>
    <row r="86" spans="1:22">
      <c r="A86" s="8"/>
      <c r="B86" s="8"/>
      <c r="C86" s="8"/>
      <c r="D86" s="8"/>
      <c r="E86" s="8"/>
      <c r="F86" s="8"/>
      <c r="G86" s="8"/>
      <c r="H86" s="11"/>
      <c r="I86" s="10"/>
      <c r="J86" s="11"/>
      <c r="K86" s="11"/>
      <c r="L86" s="12" t="str">
        <f t="shared" si="7"/>
        <v/>
      </c>
      <c r="M86" s="12" t="str">
        <f t="shared" si="8"/>
        <v/>
      </c>
      <c r="N86" s="12" t="str">
        <f t="shared" si="9"/>
        <v/>
      </c>
      <c r="O86" s="12" t="str">
        <f t="shared" si="10"/>
        <v/>
      </c>
      <c r="P86" s="11"/>
      <c r="Q86" s="12" t="str">
        <f t="shared" si="11"/>
        <v/>
      </c>
      <c r="R86" s="12" t="str">
        <f t="shared" si="12"/>
        <v/>
      </c>
      <c r="S86" s="12" t="str">
        <f t="shared" si="13"/>
        <v/>
      </c>
      <c r="T86" s="8"/>
      <c r="U86" s="10"/>
      <c r="V86" s="8"/>
    </row>
    <row r="87" spans="1:22">
      <c r="A87" s="8"/>
      <c r="B87" s="8"/>
      <c r="C87" s="8"/>
      <c r="D87" s="8"/>
      <c r="E87" s="8"/>
      <c r="F87" s="8"/>
      <c r="G87" s="8"/>
      <c r="H87" s="11"/>
      <c r="I87" s="10"/>
      <c r="J87" s="11"/>
      <c r="K87" s="11"/>
      <c r="L87" s="12" t="str">
        <f t="shared" si="7"/>
        <v/>
      </c>
      <c r="M87" s="12" t="str">
        <f t="shared" si="8"/>
        <v/>
      </c>
      <c r="N87" s="12" t="str">
        <f t="shared" si="9"/>
        <v/>
      </c>
      <c r="O87" s="12" t="str">
        <f t="shared" si="10"/>
        <v/>
      </c>
      <c r="P87" s="11"/>
      <c r="Q87" s="12" t="str">
        <f t="shared" si="11"/>
        <v/>
      </c>
      <c r="R87" s="12" t="str">
        <f t="shared" si="12"/>
        <v/>
      </c>
      <c r="S87" s="12" t="str">
        <f t="shared" si="13"/>
        <v/>
      </c>
      <c r="T87" s="8"/>
      <c r="U87" s="10"/>
      <c r="V87" s="8"/>
    </row>
    <row r="88" spans="1:22">
      <c r="A88" s="8"/>
      <c r="B88" s="8"/>
      <c r="C88" s="8"/>
      <c r="D88" s="8"/>
      <c r="E88" s="8"/>
      <c r="F88" s="8"/>
      <c r="G88" s="8"/>
      <c r="H88" s="11"/>
      <c r="I88" s="10"/>
      <c r="J88" s="11"/>
      <c r="K88" s="11"/>
      <c r="L88" s="12" t="str">
        <f t="shared" si="7"/>
        <v/>
      </c>
      <c r="M88" s="12" t="str">
        <f t="shared" si="8"/>
        <v/>
      </c>
      <c r="N88" s="12" t="str">
        <f t="shared" si="9"/>
        <v/>
      </c>
      <c r="O88" s="12" t="str">
        <f t="shared" si="10"/>
        <v/>
      </c>
      <c r="P88" s="11"/>
      <c r="Q88" s="12" t="str">
        <f t="shared" si="11"/>
        <v/>
      </c>
      <c r="R88" s="12" t="str">
        <f t="shared" si="12"/>
        <v/>
      </c>
      <c r="S88" s="12" t="str">
        <f t="shared" si="13"/>
        <v/>
      </c>
      <c r="T88" s="8"/>
      <c r="U88" s="10"/>
      <c r="V88" s="8"/>
    </row>
    <row r="89" spans="1:22">
      <c r="A89" s="8"/>
      <c r="B89" s="8"/>
      <c r="C89" s="8"/>
      <c r="D89" s="8"/>
      <c r="E89" s="8"/>
      <c r="F89" s="8"/>
      <c r="G89" s="8"/>
      <c r="H89" s="11"/>
      <c r="I89" s="10"/>
      <c r="J89" s="11"/>
      <c r="K89" s="11"/>
      <c r="L89" s="12" t="str">
        <f t="shared" si="7"/>
        <v/>
      </c>
      <c r="M89" s="12" t="str">
        <f t="shared" si="8"/>
        <v/>
      </c>
      <c r="N89" s="12" t="str">
        <f t="shared" si="9"/>
        <v/>
      </c>
      <c r="O89" s="12" t="str">
        <f t="shared" si="10"/>
        <v/>
      </c>
      <c r="P89" s="11"/>
      <c r="Q89" s="12" t="str">
        <f t="shared" si="11"/>
        <v/>
      </c>
      <c r="R89" s="12" t="str">
        <f t="shared" si="12"/>
        <v/>
      </c>
      <c r="S89" s="12" t="str">
        <f t="shared" si="13"/>
        <v/>
      </c>
      <c r="T89" s="8"/>
      <c r="U89" s="10"/>
      <c r="V89" s="8"/>
    </row>
    <row r="90" spans="1:22">
      <c r="A90" s="8"/>
      <c r="B90" s="8"/>
      <c r="C90" s="8"/>
      <c r="D90" s="8"/>
      <c r="E90" s="8"/>
      <c r="F90" s="8"/>
      <c r="G90" s="8"/>
      <c r="H90" s="11"/>
      <c r="I90" s="10"/>
      <c r="J90" s="11"/>
      <c r="K90" s="11"/>
      <c r="L90" s="12" t="str">
        <f t="shared" si="7"/>
        <v/>
      </c>
      <c r="M90" s="12" t="str">
        <f t="shared" si="8"/>
        <v/>
      </c>
      <c r="N90" s="12" t="str">
        <f t="shared" si="9"/>
        <v/>
      </c>
      <c r="O90" s="12" t="str">
        <f t="shared" si="10"/>
        <v/>
      </c>
      <c r="P90" s="11"/>
      <c r="Q90" s="12" t="str">
        <f t="shared" si="11"/>
        <v/>
      </c>
      <c r="R90" s="12" t="str">
        <f t="shared" si="12"/>
        <v/>
      </c>
      <c r="S90" s="12" t="str">
        <f t="shared" si="13"/>
        <v/>
      </c>
      <c r="T90" s="8"/>
      <c r="U90" s="10"/>
      <c r="V90" s="8"/>
    </row>
    <row r="91" spans="1:22">
      <c r="A91" s="8"/>
      <c r="B91" s="8"/>
      <c r="C91" s="8"/>
      <c r="D91" s="8"/>
      <c r="E91" s="8"/>
      <c r="F91" s="8"/>
      <c r="G91" s="8"/>
      <c r="H91" s="11"/>
      <c r="I91" s="10"/>
      <c r="J91" s="11"/>
      <c r="K91" s="11"/>
      <c r="L91" s="12" t="str">
        <f t="shared" si="7"/>
        <v/>
      </c>
      <c r="M91" s="12" t="str">
        <f t="shared" si="8"/>
        <v/>
      </c>
      <c r="N91" s="12" t="str">
        <f t="shared" si="9"/>
        <v/>
      </c>
      <c r="O91" s="12" t="str">
        <f t="shared" si="10"/>
        <v/>
      </c>
      <c r="P91" s="11"/>
      <c r="Q91" s="12" t="str">
        <f t="shared" si="11"/>
        <v/>
      </c>
      <c r="R91" s="12" t="str">
        <f t="shared" si="12"/>
        <v/>
      </c>
      <c r="S91" s="12" t="str">
        <f t="shared" si="13"/>
        <v/>
      </c>
      <c r="T91" s="8"/>
      <c r="U91" s="10"/>
      <c r="V91" s="8"/>
    </row>
    <row r="92" spans="1:22">
      <c r="A92" s="8"/>
      <c r="B92" s="8"/>
      <c r="C92" s="8"/>
      <c r="D92" s="8"/>
      <c r="E92" s="8"/>
      <c r="F92" s="8"/>
      <c r="G92" s="8"/>
      <c r="H92" s="11"/>
      <c r="I92" s="10"/>
      <c r="J92" s="11"/>
      <c r="K92" s="11"/>
      <c r="L92" s="12" t="str">
        <f t="shared" si="7"/>
        <v/>
      </c>
      <c r="M92" s="12" t="str">
        <f t="shared" si="8"/>
        <v/>
      </c>
      <c r="N92" s="12" t="str">
        <f t="shared" si="9"/>
        <v/>
      </c>
      <c r="O92" s="12" t="str">
        <f t="shared" si="10"/>
        <v/>
      </c>
      <c r="P92" s="11"/>
      <c r="Q92" s="12" t="str">
        <f t="shared" si="11"/>
        <v/>
      </c>
      <c r="R92" s="12" t="str">
        <f t="shared" si="12"/>
        <v/>
      </c>
      <c r="S92" s="12" t="str">
        <f t="shared" si="13"/>
        <v/>
      </c>
      <c r="T92" s="8"/>
      <c r="U92" s="10"/>
      <c r="V92" s="8"/>
    </row>
    <row r="93" spans="1:22">
      <c r="A93" s="8"/>
      <c r="B93" s="8"/>
      <c r="C93" s="8"/>
      <c r="D93" s="8"/>
      <c r="E93" s="8"/>
      <c r="F93" s="8"/>
      <c r="G93" s="8"/>
      <c r="H93" s="11"/>
      <c r="I93" s="10"/>
      <c r="J93" s="11"/>
      <c r="K93" s="11"/>
      <c r="L93" s="12" t="str">
        <f t="shared" si="7"/>
        <v/>
      </c>
      <c r="M93" s="12" t="str">
        <f t="shared" si="8"/>
        <v/>
      </c>
      <c r="N93" s="12" t="str">
        <f t="shared" si="9"/>
        <v/>
      </c>
      <c r="O93" s="12" t="str">
        <f t="shared" si="10"/>
        <v/>
      </c>
      <c r="P93" s="11"/>
      <c r="Q93" s="12" t="str">
        <f t="shared" si="11"/>
        <v/>
      </c>
      <c r="R93" s="12" t="str">
        <f t="shared" si="12"/>
        <v/>
      </c>
      <c r="S93" s="12" t="str">
        <f t="shared" si="13"/>
        <v/>
      </c>
      <c r="T93" s="8"/>
      <c r="U93" s="10"/>
      <c r="V93" s="8"/>
    </row>
    <row r="94" spans="1:22">
      <c r="A94" s="8"/>
      <c r="B94" s="8"/>
      <c r="C94" s="8"/>
      <c r="D94" s="8"/>
      <c r="E94" s="8"/>
      <c r="F94" s="8"/>
      <c r="G94" s="8"/>
      <c r="H94" s="11"/>
      <c r="I94" s="10"/>
      <c r="J94" s="11"/>
      <c r="K94" s="11"/>
      <c r="L94" s="12" t="str">
        <f t="shared" si="7"/>
        <v/>
      </c>
      <c r="M94" s="12" t="str">
        <f t="shared" si="8"/>
        <v/>
      </c>
      <c r="N94" s="12" t="str">
        <f t="shared" si="9"/>
        <v/>
      </c>
      <c r="O94" s="12" t="str">
        <f t="shared" si="10"/>
        <v/>
      </c>
      <c r="P94" s="11"/>
      <c r="Q94" s="12" t="str">
        <f t="shared" si="11"/>
        <v/>
      </c>
      <c r="R94" s="12" t="str">
        <f t="shared" si="12"/>
        <v/>
      </c>
      <c r="S94" s="12" t="str">
        <f t="shared" si="13"/>
        <v/>
      </c>
      <c r="T94" s="8"/>
      <c r="U94" s="10"/>
      <c r="V94" s="8"/>
    </row>
    <row r="95" spans="1:22">
      <c r="A95" s="8"/>
      <c r="B95" s="8"/>
      <c r="C95" s="8"/>
      <c r="D95" s="8"/>
      <c r="E95" s="8"/>
      <c r="F95" s="8"/>
      <c r="G95" s="8"/>
      <c r="H95" s="11"/>
      <c r="I95" s="10"/>
      <c r="J95" s="11"/>
      <c r="K95" s="11"/>
      <c r="L95" s="12" t="str">
        <f t="shared" si="7"/>
        <v/>
      </c>
      <c r="M95" s="12" t="str">
        <f t="shared" si="8"/>
        <v/>
      </c>
      <c r="N95" s="12" t="str">
        <f t="shared" si="9"/>
        <v/>
      </c>
      <c r="O95" s="12" t="str">
        <f t="shared" si="10"/>
        <v/>
      </c>
      <c r="P95" s="11"/>
      <c r="Q95" s="12" t="str">
        <f t="shared" si="11"/>
        <v/>
      </c>
      <c r="R95" s="12" t="str">
        <f t="shared" si="12"/>
        <v/>
      </c>
      <c r="S95" s="12" t="str">
        <f t="shared" si="13"/>
        <v/>
      </c>
      <c r="T95" s="8"/>
      <c r="U95" s="10"/>
      <c r="V95" s="8"/>
    </row>
    <row r="96" spans="1:22">
      <c r="A96" s="8"/>
      <c r="B96" s="8"/>
      <c r="C96" s="8"/>
      <c r="D96" s="8"/>
      <c r="E96" s="8"/>
      <c r="F96" s="8"/>
      <c r="G96" s="8"/>
      <c r="H96" s="11"/>
      <c r="I96" s="10"/>
      <c r="J96" s="11"/>
      <c r="K96" s="11"/>
      <c r="L96" s="12" t="str">
        <f t="shared" si="7"/>
        <v/>
      </c>
      <c r="M96" s="12" t="str">
        <f t="shared" si="8"/>
        <v/>
      </c>
      <c r="N96" s="12" t="str">
        <f t="shared" si="9"/>
        <v/>
      </c>
      <c r="O96" s="12" t="str">
        <f t="shared" si="10"/>
        <v/>
      </c>
      <c r="P96" s="11"/>
      <c r="Q96" s="12" t="str">
        <f t="shared" si="11"/>
        <v/>
      </c>
      <c r="R96" s="12" t="str">
        <f t="shared" si="12"/>
        <v/>
      </c>
      <c r="S96" s="12" t="str">
        <f t="shared" si="13"/>
        <v/>
      </c>
      <c r="T96" s="8"/>
      <c r="U96" s="10"/>
      <c r="V96" s="8"/>
    </row>
    <row r="97" spans="1:22">
      <c r="A97" s="8"/>
      <c r="B97" s="8"/>
      <c r="C97" s="8"/>
      <c r="D97" s="8"/>
      <c r="E97" s="8"/>
      <c r="F97" s="8"/>
      <c r="G97" s="8"/>
      <c r="H97" s="11"/>
      <c r="I97" s="10"/>
      <c r="J97" s="11"/>
      <c r="K97" s="11"/>
      <c r="L97" s="12" t="str">
        <f t="shared" si="7"/>
        <v/>
      </c>
      <c r="M97" s="12" t="str">
        <f t="shared" si="8"/>
        <v/>
      </c>
      <c r="N97" s="12" t="str">
        <f t="shared" si="9"/>
        <v/>
      </c>
      <c r="O97" s="12" t="str">
        <f t="shared" si="10"/>
        <v/>
      </c>
      <c r="P97" s="11"/>
      <c r="Q97" s="12" t="str">
        <f t="shared" si="11"/>
        <v/>
      </c>
      <c r="R97" s="12" t="str">
        <f t="shared" si="12"/>
        <v/>
      </c>
      <c r="S97" s="12" t="str">
        <f t="shared" si="13"/>
        <v/>
      </c>
      <c r="T97" s="8"/>
      <c r="U97" s="10"/>
      <c r="V97" s="8"/>
    </row>
    <row r="98" spans="1:22">
      <c r="A98" s="8"/>
      <c r="B98" s="8"/>
      <c r="C98" s="8"/>
      <c r="D98" s="8"/>
      <c r="E98" s="8"/>
      <c r="F98" s="8"/>
      <c r="G98" s="8"/>
      <c r="H98" s="11"/>
      <c r="I98" s="10"/>
      <c r="J98" s="11"/>
      <c r="K98" s="11"/>
      <c r="L98" s="12" t="str">
        <f t="shared" si="7"/>
        <v/>
      </c>
      <c r="M98" s="12" t="str">
        <f t="shared" si="8"/>
        <v/>
      </c>
      <c r="N98" s="12" t="str">
        <f t="shared" si="9"/>
        <v/>
      </c>
      <c r="O98" s="12" t="str">
        <f t="shared" si="10"/>
        <v/>
      </c>
      <c r="P98" s="11"/>
      <c r="Q98" s="12" t="str">
        <f t="shared" si="11"/>
        <v/>
      </c>
      <c r="R98" s="12" t="str">
        <f t="shared" si="12"/>
        <v/>
      </c>
      <c r="S98" s="12" t="str">
        <f t="shared" si="13"/>
        <v/>
      </c>
      <c r="T98" s="8"/>
      <c r="U98" s="10"/>
      <c r="V98" s="8"/>
    </row>
    <row r="99" spans="1:22">
      <c r="A99" s="8"/>
      <c r="B99" s="8"/>
      <c r="C99" s="8"/>
      <c r="D99" s="8"/>
      <c r="E99" s="8"/>
      <c r="F99" s="8"/>
      <c r="G99" s="8"/>
      <c r="H99" s="11"/>
      <c r="I99" s="10"/>
      <c r="J99" s="11"/>
      <c r="K99" s="11"/>
      <c r="L99" s="12" t="str">
        <f t="shared" si="7"/>
        <v/>
      </c>
      <c r="M99" s="12" t="str">
        <f t="shared" si="8"/>
        <v/>
      </c>
      <c r="N99" s="12" t="str">
        <f t="shared" si="9"/>
        <v/>
      </c>
      <c r="O99" s="12" t="str">
        <f t="shared" si="10"/>
        <v/>
      </c>
      <c r="P99" s="11"/>
      <c r="Q99" s="12" t="str">
        <f t="shared" si="11"/>
        <v/>
      </c>
      <c r="R99" s="12" t="str">
        <f t="shared" si="12"/>
        <v/>
      </c>
      <c r="S99" s="12" t="str">
        <f t="shared" si="13"/>
        <v/>
      </c>
      <c r="T99" s="8"/>
      <c r="U99" s="10"/>
      <c r="V99" s="8"/>
    </row>
    <row r="100" spans="1:22">
      <c r="A100" s="8"/>
      <c r="B100" s="8"/>
      <c r="C100" s="8"/>
      <c r="D100" s="8"/>
      <c r="E100" s="8"/>
      <c r="F100" s="8"/>
      <c r="G100" s="8"/>
      <c r="H100" s="11"/>
      <c r="I100" s="10"/>
      <c r="J100" s="11"/>
      <c r="K100" s="11"/>
      <c r="L100" s="12" t="str">
        <f t="shared" si="7"/>
        <v/>
      </c>
      <c r="M100" s="12" t="str">
        <f t="shared" si="8"/>
        <v/>
      </c>
      <c r="N100" s="12" t="str">
        <f t="shared" si="9"/>
        <v/>
      </c>
      <c r="O100" s="12" t="str">
        <f t="shared" si="10"/>
        <v/>
      </c>
      <c r="P100" s="11"/>
      <c r="Q100" s="12" t="str">
        <f t="shared" si="11"/>
        <v/>
      </c>
      <c r="R100" s="12" t="str">
        <f t="shared" si="12"/>
        <v/>
      </c>
      <c r="S100" s="12" t="str">
        <f t="shared" si="13"/>
        <v/>
      </c>
      <c r="T100" s="8"/>
      <c r="U100" s="10"/>
      <c r="V100" s="8"/>
    </row>
    <row r="101" spans="1:22">
      <c r="A101" s="8"/>
      <c r="B101" s="8"/>
      <c r="C101" s="8"/>
      <c r="D101" s="8"/>
      <c r="E101" s="8"/>
      <c r="F101" s="8"/>
      <c r="G101" s="8"/>
      <c r="H101" s="11"/>
      <c r="I101" s="10"/>
      <c r="J101" s="11"/>
      <c r="K101" s="11"/>
      <c r="L101" s="12" t="str">
        <f t="shared" si="7"/>
        <v/>
      </c>
      <c r="M101" s="12" t="str">
        <f t="shared" si="8"/>
        <v/>
      </c>
      <c r="N101" s="12" t="str">
        <f t="shared" si="9"/>
        <v/>
      </c>
      <c r="O101" s="12" t="str">
        <f t="shared" si="10"/>
        <v/>
      </c>
      <c r="P101" s="11"/>
      <c r="Q101" s="12" t="str">
        <f t="shared" si="11"/>
        <v/>
      </c>
      <c r="R101" s="12" t="str">
        <f t="shared" si="12"/>
        <v/>
      </c>
      <c r="S101" s="12" t="str">
        <f t="shared" si="13"/>
        <v/>
      </c>
      <c r="T101" s="8"/>
      <c r="U101" s="10"/>
      <c r="V101" s="8"/>
    </row>
    <row r="102" spans="1:22">
      <c r="A102" s="8"/>
      <c r="B102" s="8"/>
      <c r="C102" s="8"/>
      <c r="D102" s="8"/>
      <c r="E102" s="8"/>
      <c r="F102" s="8"/>
      <c r="G102" s="8"/>
      <c r="H102" s="11"/>
      <c r="I102" s="10"/>
      <c r="J102" s="11"/>
      <c r="K102" s="11"/>
      <c r="L102" s="12" t="str">
        <f t="shared" si="7"/>
        <v/>
      </c>
      <c r="M102" s="12" t="str">
        <f t="shared" si="8"/>
        <v/>
      </c>
      <c r="N102" s="12" t="str">
        <f t="shared" si="9"/>
        <v/>
      </c>
      <c r="O102" s="12" t="str">
        <f t="shared" si="10"/>
        <v/>
      </c>
      <c r="P102" s="11"/>
      <c r="Q102" s="12" t="str">
        <f t="shared" si="11"/>
        <v/>
      </c>
      <c r="R102" s="12" t="str">
        <f t="shared" si="12"/>
        <v/>
      </c>
      <c r="S102" s="12" t="str">
        <f t="shared" si="13"/>
        <v/>
      </c>
      <c r="T102" s="8"/>
      <c r="U102" s="10"/>
      <c r="V102" s="8"/>
    </row>
    <row r="103" spans="1:22">
      <c r="A103" s="8"/>
      <c r="B103" s="8"/>
      <c r="C103" s="8"/>
      <c r="D103" s="8"/>
      <c r="E103" s="8"/>
      <c r="F103" s="8"/>
      <c r="G103" s="8"/>
      <c r="H103" s="11"/>
      <c r="I103" s="10"/>
      <c r="J103" s="11"/>
      <c r="K103" s="11"/>
      <c r="L103" s="12" t="str">
        <f t="shared" si="7"/>
        <v/>
      </c>
      <c r="M103" s="12" t="str">
        <f t="shared" si="8"/>
        <v/>
      </c>
      <c r="N103" s="12" t="str">
        <f t="shared" si="9"/>
        <v/>
      </c>
      <c r="O103" s="12" t="str">
        <f t="shared" si="10"/>
        <v/>
      </c>
      <c r="P103" s="11"/>
      <c r="Q103" s="12" t="str">
        <f t="shared" si="11"/>
        <v/>
      </c>
      <c r="R103" s="12" t="str">
        <f t="shared" si="12"/>
        <v/>
      </c>
      <c r="S103" s="12" t="str">
        <f t="shared" si="13"/>
        <v/>
      </c>
      <c r="T103" s="8"/>
      <c r="U103" s="10"/>
      <c r="V103" s="8"/>
    </row>
    <row r="104" spans="1:22">
      <c r="A104" s="8"/>
      <c r="B104" s="8"/>
      <c r="C104" s="8"/>
      <c r="D104" s="8"/>
      <c r="E104" s="8"/>
      <c r="F104" s="8"/>
      <c r="G104" s="8"/>
      <c r="H104" s="11"/>
      <c r="I104" s="10"/>
      <c r="J104" s="11"/>
      <c r="K104" s="11"/>
      <c r="L104" s="12" t="str">
        <f t="shared" si="7"/>
        <v/>
      </c>
      <c r="M104" s="12" t="str">
        <f t="shared" si="8"/>
        <v/>
      </c>
      <c r="N104" s="12" t="str">
        <f t="shared" si="9"/>
        <v/>
      </c>
      <c r="O104" s="12" t="str">
        <f t="shared" si="10"/>
        <v/>
      </c>
      <c r="P104" s="11"/>
      <c r="Q104" s="12" t="str">
        <f t="shared" si="11"/>
        <v/>
      </c>
      <c r="R104" s="12" t="str">
        <f t="shared" si="12"/>
        <v/>
      </c>
      <c r="S104" s="12" t="str">
        <f t="shared" si="13"/>
        <v/>
      </c>
      <c r="T104" s="8"/>
      <c r="U104" s="10"/>
      <c r="V104" s="8"/>
    </row>
    <row r="105" spans="1:22">
      <c r="A105" s="8"/>
      <c r="B105" s="8"/>
      <c r="C105" s="8"/>
      <c r="D105" s="8"/>
      <c r="E105" s="8"/>
      <c r="F105" s="8"/>
      <c r="G105" s="8"/>
      <c r="H105" s="11"/>
      <c r="I105" s="10"/>
      <c r="J105" s="11"/>
      <c r="K105" s="11"/>
      <c r="L105" s="12" t="str">
        <f t="shared" si="7"/>
        <v/>
      </c>
      <c r="M105" s="12" t="str">
        <f t="shared" si="8"/>
        <v/>
      </c>
      <c r="N105" s="12" t="str">
        <f t="shared" si="9"/>
        <v/>
      </c>
      <c r="O105" s="12" t="str">
        <f t="shared" si="10"/>
        <v/>
      </c>
      <c r="P105" s="11"/>
      <c r="Q105" s="12" t="str">
        <f t="shared" si="11"/>
        <v/>
      </c>
      <c r="R105" s="12" t="str">
        <f t="shared" si="12"/>
        <v/>
      </c>
      <c r="S105" s="12" t="str">
        <f t="shared" si="13"/>
        <v/>
      </c>
      <c r="T105" s="8"/>
      <c r="U105" s="10"/>
      <c r="V105" s="8"/>
    </row>
    <row r="106" spans="1:22">
      <c r="A106" s="8"/>
      <c r="B106" s="8"/>
      <c r="C106" s="8"/>
      <c r="D106" s="8"/>
      <c r="E106" s="8"/>
      <c r="F106" s="8"/>
      <c r="G106" s="8"/>
      <c r="H106" s="11"/>
      <c r="I106" s="10"/>
      <c r="J106" s="11"/>
      <c r="K106" s="11"/>
      <c r="L106" s="12" t="str">
        <f t="shared" si="7"/>
        <v/>
      </c>
      <c r="M106" s="12" t="str">
        <f t="shared" si="8"/>
        <v/>
      </c>
      <c r="N106" s="12" t="str">
        <f t="shared" si="9"/>
        <v/>
      </c>
      <c r="O106" s="12" t="str">
        <f t="shared" si="10"/>
        <v/>
      </c>
      <c r="P106" s="11"/>
      <c r="Q106" s="12" t="str">
        <f t="shared" si="11"/>
        <v/>
      </c>
      <c r="R106" s="12" t="str">
        <f t="shared" si="12"/>
        <v/>
      </c>
      <c r="S106" s="12" t="str">
        <f t="shared" si="13"/>
        <v/>
      </c>
      <c r="T106" s="8"/>
      <c r="U106" s="10"/>
      <c r="V106" s="8"/>
    </row>
    <row r="107" spans="1:22">
      <c r="A107" s="8"/>
      <c r="B107" s="8"/>
      <c r="C107" s="8"/>
      <c r="D107" s="8"/>
      <c r="E107" s="8"/>
      <c r="F107" s="8"/>
      <c r="G107" s="8"/>
      <c r="H107" s="11"/>
      <c r="I107" s="10"/>
      <c r="J107" s="11"/>
      <c r="K107" s="11"/>
      <c r="L107" s="12" t="str">
        <f t="shared" si="7"/>
        <v/>
      </c>
      <c r="M107" s="12" t="str">
        <f t="shared" si="8"/>
        <v/>
      </c>
      <c r="N107" s="12" t="str">
        <f t="shared" si="9"/>
        <v/>
      </c>
      <c r="O107" s="12" t="str">
        <f t="shared" si="10"/>
        <v/>
      </c>
      <c r="P107" s="11"/>
      <c r="Q107" s="12" t="str">
        <f t="shared" si="11"/>
        <v/>
      </c>
      <c r="R107" s="12" t="str">
        <f t="shared" si="12"/>
        <v/>
      </c>
      <c r="S107" s="12" t="str">
        <f t="shared" si="13"/>
        <v/>
      </c>
      <c r="T107" s="8"/>
      <c r="U107" s="10"/>
      <c r="V107" s="8"/>
    </row>
    <row r="108" spans="1:22">
      <c r="A108" s="8"/>
      <c r="B108" s="8"/>
      <c r="C108" s="8"/>
      <c r="D108" s="8"/>
      <c r="E108" s="8"/>
      <c r="F108" s="8"/>
      <c r="G108" s="8"/>
      <c r="H108" s="11"/>
      <c r="I108" s="10"/>
      <c r="J108" s="11"/>
      <c r="K108" s="11"/>
      <c r="L108" s="12" t="str">
        <f t="shared" si="7"/>
        <v/>
      </c>
      <c r="M108" s="12" t="str">
        <f t="shared" si="8"/>
        <v/>
      </c>
      <c r="N108" s="12" t="str">
        <f t="shared" si="9"/>
        <v/>
      </c>
      <c r="O108" s="12" t="str">
        <f t="shared" si="10"/>
        <v/>
      </c>
      <c r="P108" s="11"/>
      <c r="Q108" s="12" t="str">
        <f t="shared" si="11"/>
        <v/>
      </c>
      <c r="R108" s="12" t="str">
        <f t="shared" si="12"/>
        <v/>
      </c>
      <c r="S108" s="12" t="str">
        <f t="shared" si="13"/>
        <v/>
      </c>
      <c r="T108" s="8"/>
      <c r="U108" s="10"/>
      <c r="V108" s="8"/>
    </row>
    <row r="109" spans="1:22">
      <c r="A109" s="8"/>
      <c r="B109" s="8"/>
      <c r="C109" s="8"/>
      <c r="D109" s="8"/>
      <c r="E109" s="8"/>
      <c r="F109" s="8"/>
      <c r="G109" s="8"/>
      <c r="H109" s="11"/>
      <c r="I109" s="10"/>
      <c r="J109" s="11"/>
      <c r="K109" s="11"/>
      <c r="L109" s="12" t="str">
        <f t="shared" si="7"/>
        <v/>
      </c>
      <c r="M109" s="12" t="str">
        <f t="shared" si="8"/>
        <v/>
      </c>
      <c r="N109" s="12" t="str">
        <f t="shared" si="9"/>
        <v/>
      </c>
      <c r="O109" s="12" t="str">
        <f t="shared" si="10"/>
        <v/>
      </c>
      <c r="P109" s="11"/>
      <c r="Q109" s="12" t="str">
        <f t="shared" si="11"/>
        <v/>
      </c>
      <c r="R109" s="12" t="str">
        <f t="shared" si="12"/>
        <v/>
      </c>
      <c r="S109" s="12" t="str">
        <f t="shared" si="13"/>
        <v/>
      </c>
      <c r="T109" s="8"/>
      <c r="U109" s="10"/>
      <c r="V109" s="8"/>
    </row>
    <row r="110" spans="1:22">
      <c r="A110" s="8"/>
      <c r="B110" s="8"/>
      <c r="C110" s="8"/>
      <c r="D110" s="8"/>
      <c r="E110" s="8"/>
      <c r="F110" s="8"/>
      <c r="G110" s="8"/>
      <c r="H110" s="11"/>
      <c r="I110" s="10"/>
      <c r="J110" s="11"/>
      <c r="K110" s="11"/>
      <c r="L110" s="12" t="str">
        <f t="shared" si="7"/>
        <v/>
      </c>
      <c r="M110" s="12" t="str">
        <f t="shared" si="8"/>
        <v/>
      </c>
      <c r="N110" s="12" t="str">
        <f t="shared" si="9"/>
        <v/>
      </c>
      <c r="O110" s="12" t="str">
        <f t="shared" si="10"/>
        <v/>
      </c>
      <c r="P110" s="11"/>
      <c r="Q110" s="12" t="str">
        <f t="shared" si="11"/>
        <v/>
      </c>
      <c r="R110" s="12" t="str">
        <f t="shared" si="12"/>
        <v/>
      </c>
      <c r="S110" s="12" t="str">
        <f t="shared" si="13"/>
        <v/>
      </c>
      <c r="T110" s="8"/>
      <c r="U110" s="10"/>
      <c r="V110" s="8"/>
    </row>
    <row r="111" spans="1:22">
      <c r="A111" s="8"/>
      <c r="B111" s="8"/>
      <c r="C111" s="8"/>
      <c r="D111" s="8"/>
      <c r="E111" s="8"/>
      <c r="F111" s="8"/>
      <c r="G111" s="8"/>
      <c r="H111" s="11"/>
      <c r="I111" s="10"/>
      <c r="J111" s="11"/>
      <c r="K111" s="11"/>
      <c r="L111" s="12" t="str">
        <f t="shared" si="7"/>
        <v/>
      </c>
      <c r="M111" s="12" t="str">
        <f t="shared" si="8"/>
        <v/>
      </c>
      <c r="N111" s="12" t="str">
        <f t="shared" si="9"/>
        <v/>
      </c>
      <c r="O111" s="12" t="str">
        <f t="shared" si="10"/>
        <v/>
      </c>
      <c r="P111" s="11"/>
      <c r="Q111" s="12" t="str">
        <f t="shared" si="11"/>
        <v/>
      </c>
      <c r="R111" s="12" t="str">
        <f t="shared" si="12"/>
        <v/>
      </c>
      <c r="S111" s="12" t="str">
        <f t="shared" si="13"/>
        <v/>
      </c>
      <c r="T111" s="8"/>
      <c r="U111" s="10"/>
      <c r="V111" s="8"/>
    </row>
    <row r="112" spans="1:22">
      <c r="A112" s="8"/>
      <c r="B112" s="8"/>
      <c r="C112" s="8"/>
      <c r="D112" s="8"/>
      <c r="E112" s="8"/>
      <c r="F112" s="8"/>
      <c r="G112" s="8"/>
      <c r="H112" s="11"/>
      <c r="I112" s="10"/>
      <c r="J112" s="11"/>
      <c r="K112" s="11"/>
      <c r="L112" s="12" t="str">
        <f t="shared" si="7"/>
        <v/>
      </c>
      <c r="M112" s="12" t="str">
        <f t="shared" si="8"/>
        <v/>
      </c>
      <c r="N112" s="12" t="str">
        <f t="shared" si="9"/>
        <v/>
      </c>
      <c r="O112" s="12" t="str">
        <f t="shared" si="10"/>
        <v/>
      </c>
      <c r="P112" s="11"/>
      <c r="Q112" s="12" t="str">
        <f t="shared" si="11"/>
        <v/>
      </c>
      <c r="R112" s="12" t="str">
        <f t="shared" si="12"/>
        <v/>
      </c>
      <c r="S112" s="12" t="str">
        <f t="shared" si="13"/>
        <v/>
      </c>
      <c r="T112" s="8"/>
      <c r="U112" s="10"/>
      <c r="V112" s="8"/>
    </row>
    <row r="113" spans="1:22">
      <c r="A113" s="8"/>
      <c r="B113" s="8"/>
      <c r="C113" s="8"/>
      <c r="D113" s="8"/>
      <c r="E113" s="8"/>
      <c r="F113" s="8"/>
      <c r="G113" s="8"/>
      <c r="H113" s="11"/>
      <c r="I113" s="10"/>
      <c r="J113" s="11"/>
      <c r="K113" s="11"/>
      <c r="L113" s="12" t="str">
        <f t="shared" si="7"/>
        <v/>
      </c>
      <c r="M113" s="12" t="str">
        <f t="shared" si="8"/>
        <v/>
      </c>
      <c r="N113" s="12" t="str">
        <f t="shared" si="9"/>
        <v/>
      </c>
      <c r="O113" s="12" t="str">
        <f t="shared" si="10"/>
        <v/>
      </c>
      <c r="P113" s="11"/>
      <c r="Q113" s="12" t="str">
        <f t="shared" si="11"/>
        <v/>
      </c>
      <c r="R113" s="12" t="str">
        <f t="shared" si="12"/>
        <v/>
      </c>
      <c r="S113" s="12" t="str">
        <f t="shared" si="13"/>
        <v/>
      </c>
      <c r="T113" s="8"/>
      <c r="U113" s="10"/>
      <c r="V113" s="8"/>
    </row>
    <row r="114" spans="1:22">
      <c r="A114" s="8"/>
      <c r="B114" s="8"/>
      <c r="C114" s="8"/>
      <c r="D114" s="8"/>
      <c r="E114" s="8"/>
      <c r="F114" s="8"/>
      <c r="G114" s="8"/>
      <c r="H114" s="11"/>
      <c r="I114" s="10"/>
      <c r="J114" s="11"/>
      <c r="K114" s="11"/>
      <c r="L114" s="12" t="str">
        <f t="shared" si="7"/>
        <v/>
      </c>
      <c r="M114" s="12" t="str">
        <f t="shared" si="8"/>
        <v/>
      </c>
      <c r="N114" s="12" t="str">
        <f t="shared" si="9"/>
        <v/>
      </c>
      <c r="O114" s="12" t="str">
        <f t="shared" si="10"/>
        <v/>
      </c>
      <c r="P114" s="11"/>
      <c r="Q114" s="12" t="str">
        <f t="shared" si="11"/>
        <v/>
      </c>
      <c r="R114" s="12" t="str">
        <f t="shared" si="12"/>
        <v/>
      </c>
      <c r="S114" s="12" t="str">
        <f t="shared" si="13"/>
        <v/>
      </c>
      <c r="T114" s="8"/>
      <c r="U114" s="10"/>
      <c r="V114" s="8"/>
    </row>
    <row r="115" spans="1:22">
      <c r="A115" s="8"/>
      <c r="B115" s="8"/>
      <c r="C115" s="8"/>
      <c r="D115" s="8"/>
      <c r="E115" s="8"/>
      <c r="F115" s="8"/>
      <c r="G115" s="8"/>
      <c r="H115" s="11"/>
      <c r="I115" s="10"/>
      <c r="J115" s="11"/>
      <c r="K115" s="11"/>
      <c r="L115" s="12" t="str">
        <f t="shared" si="7"/>
        <v/>
      </c>
      <c r="M115" s="12" t="str">
        <f t="shared" si="8"/>
        <v/>
      </c>
      <c r="N115" s="12" t="str">
        <f t="shared" si="9"/>
        <v/>
      </c>
      <c r="O115" s="12" t="str">
        <f t="shared" si="10"/>
        <v/>
      </c>
      <c r="P115" s="11"/>
      <c r="Q115" s="12" t="str">
        <f t="shared" si="11"/>
        <v/>
      </c>
      <c r="R115" s="12" t="str">
        <f t="shared" si="12"/>
        <v/>
      </c>
      <c r="S115" s="12" t="str">
        <f t="shared" si="13"/>
        <v/>
      </c>
      <c r="T115" s="8"/>
      <c r="U115" s="10"/>
      <c r="V115" s="8"/>
    </row>
    <row r="116" spans="1:22">
      <c r="A116" s="8"/>
      <c r="B116" s="8"/>
      <c r="C116" s="8"/>
      <c r="D116" s="8"/>
      <c r="E116" s="8"/>
      <c r="F116" s="8"/>
      <c r="G116" s="8"/>
      <c r="H116" s="11"/>
      <c r="I116" s="10"/>
      <c r="J116" s="11"/>
      <c r="K116" s="11"/>
      <c r="L116" s="12" t="str">
        <f t="shared" si="7"/>
        <v/>
      </c>
      <c r="M116" s="12" t="str">
        <f t="shared" si="8"/>
        <v/>
      </c>
      <c r="N116" s="12" t="str">
        <f t="shared" si="9"/>
        <v/>
      </c>
      <c r="O116" s="12" t="str">
        <f t="shared" si="10"/>
        <v/>
      </c>
      <c r="P116" s="11"/>
      <c r="Q116" s="12" t="str">
        <f t="shared" si="11"/>
        <v/>
      </c>
      <c r="R116" s="12" t="str">
        <f t="shared" si="12"/>
        <v/>
      </c>
      <c r="S116" s="12" t="str">
        <f t="shared" si="13"/>
        <v/>
      </c>
      <c r="T116" s="8"/>
      <c r="U116" s="10"/>
      <c r="V116" s="8"/>
    </row>
    <row r="117" spans="1:22">
      <c r="A117" s="8"/>
      <c r="B117" s="8"/>
      <c r="C117" s="8"/>
      <c r="D117" s="8"/>
      <c r="E117" s="8"/>
      <c r="F117" s="8"/>
      <c r="G117" s="8"/>
      <c r="H117" s="11"/>
      <c r="I117" s="10"/>
      <c r="J117" s="11"/>
      <c r="K117" s="11"/>
      <c r="L117" s="12" t="str">
        <f t="shared" si="7"/>
        <v/>
      </c>
      <c r="M117" s="12" t="str">
        <f t="shared" si="8"/>
        <v/>
      </c>
      <c r="N117" s="12" t="str">
        <f t="shared" si="9"/>
        <v/>
      </c>
      <c r="O117" s="12" t="str">
        <f t="shared" si="10"/>
        <v/>
      </c>
      <c r="P117" s="11"/>
      <c r="Q117" s="12" t="str">
        <f t="shared" si="11"/>
        <v/>
      </c>
      <c r="R117" s="12" t="str">
        <f t="shared" si="12"/>
        <v/>
      </c>
      <c r="S117" s="12" t="str">
        <f t="shared" si="13"/>
        <v/>
      </c>
      <c r="T117" s="8"/>
      <c r="U117" s="10"/>
      <c r="V117" s="8"/>
    </row>
    <row r="118" spans="1:22">
      <c r="A118" s="8"/>
      <c r="B118" s="8"/>
      <c r="C118" s="8"/>
      <c r="D118" s="8"/>
      <c r="E118" s="8"/>
      <c r="F118" s="8"/>
      <c r="G118" s="8"/>
      <c r="H118" s="11"/>
      <c r="I118" s="10"/>
      <c r="J118" s="11"/>
      <c r="K118" s="11"/>
      <c r="L118" s="12" t="str">
        <f t="shared" si="7"/>
        <v/>
      </c>
      <c r="M118" s="12" t="str">
        <f t="shared" si="8"/>
        <v/>
      </c>
      <c r="N118" s="12" t="str">
        <f t="shared" si="9"/>
        <v/>
      </c>
      <c r="O118" s="12" t="str">
        <f t="shared" si="10"/>
        <v/>
      </c>
      <c r="P118" s="11"/>
      <c r="Q118" s="12" t="str">
        <f t="shared" si="11"/>
        <v/>
      </c>
      <c r="R118" s="12" t="str">
        <f t="shared" si="12"/>
        <v/>
      </c>
      <c r="S118" s="12" t="str">
        <f t="shared" si="13"/>
        <v/>
      </c>
      <c r="T118" s="8"/>
      <c r="U118" s="10"/>
      <c r="V118" s="8"/>
    </row>
    <row r="119" spans="1:22">
      <c r="A119" s="8"/>
      <c r="B119" s="8"/>
      <c r="C119" s="8"/>
      <c r="D119" s="8"/>
      <c r="E119" s="8"/>
      <c r="F119" s="8"/>
      <c r="G119" s="8"/>
      <c r="H119" s="11"/>
      <c r="I119" s="10"/>
      <c r="J119" s="11"/>
      <c r="K119" s="11"/>
      <c r="L119" s="12" t="str">
        <f t="shared" si="7"/>
        <v/>
      </c>
      <c r="M119" s="12" t="str">
        <f t="shared" si="8"/>
        <v/>
      </c>
      <c r="N119" s="12" t="str">
        <f t="shared" si="9"/>
        <v/>
      </c>
      <c r="O119" s="12" t="str">
        <f t="shared" si="10"/>
        <v/>
      </c>
      <c r="P119" s="11"/>
      <c r="Q119" s="12" t="str">
        <f t="shared" si="11"/>
        <v/>
      </c>
      <c r="R119" s="12" t="str">
        <f t="shared" si="12"/>
        <v/>
      </c>
      <c r="S119" s="12" t="str">
        <f t="shared" si="13"/>
        <v/>
      </c>
      <c r="T119" s="8"/>
      <c r="U119" s="10"/>
      <c r="V119" s="8"/>
    </row>
    <row r="120" spans="1:22">
      <c r="A120" s="8"/>
      <c r="B120" s="8"/>
      <c r="C120" s="8"/>
      <c r="D120" s="8"/>
      <c r="E120" s="8"/>
      <c r="F120" s="8"/>
      <c r="G120" s="8"/>
      <c r="H120" s="11"/>
      <c r="I120" s="10"/>
      <c r="J120" s="11"/>
      <c r="K120" s="11"/>
      <c r="L120" s="12" t="str">
        <f t="shared" si="7"/>
        <v/>
      </c>
      <c r="M120" s="12" t="str">
        <f t="shared" si="8"/>
        <v/>
      </c>
      <c r="N120" s="12" t="str">
        <f t="shared" si="9"/>
        <v/>
      </c>
      <c r="O120" s="12" t="str">
        <f t="shared" si="10"/>
        <v/>
      </c>
      <c r="P120" s="11"/>
      <c r="Q120" s="12" t="str">
        <f t="shared" si="11"/>
        <v/>
      </c>
      <c r="R120" s="12" t="str">
        <f t="shared" si="12"/>
        <v/>
      </c>
      <c r="S120" s="12" t="str">
        <f t="shared" si="13"/>
        <v/>
      </c>
      <c r="T120" s="8"/>
      <c r="U120" s="10"/>
      <c r="V120" s="8"/>
    </row>
    <row r="121" spans="1:22">
      <c r="A121" s="8"/>
      <c r="B121" s="8"/>
      <c r="C121" s="8"/>
      <c r="D121" s="8"/>
      <c r="E121" s="8"/>
      <c r="F121" s="8"/>
      <c r="G121" s="8"/>
      <c r="H121" s="11"/>
      <c r="I121" s="10"/>
      <c r="J121" s="11"/>
      <c r="K121" s="11"/>
      <c r="L121" s="12" t="str">
        <f t="shared" si="7"/>
        <v/>
      </c>
      <c r="M121" s="12" t="str">
        <f t="shared" si="8"/>
        <v/>
      </c>
      <c r="N121" s="12" t="str">
        <f t="shared" si="9"/>
        <v/>
      </c>
      <c r="O121" s="12" t="str">
        <f t="shared" si="10"/>
        <v/>
      </c>
      <c r="P121" s="11"/>
      <c r="Q121" s="12" t="str">
        <f t="shared" si="11"/>
        <v/>
      </c>
      <c r="R121" s="12" t="str">
        <f t="shared" si="12"/>
        <v/>
      </c>
      <c r="S121" s="12" t="str">
        <f t="shared" si="13"/>
        <v/>
      </c>
      <c r="T121" s="8"/>
      <c r="U121" s="10"/>
      <c r="V121" s="8"/>
    </row>
    <row r="122" spans="1:22">
      <c r="A122" s="8"/>
      <c r="B122" s="8"/>
      <c r="C122" s="8"/>
      <c r="D122" s="8"/>
      <c r="E122" s="8"/>
      <c r="F122" s="8"/>
      <c r="G122" s="8"/>
      <c r="H122" s="11"/>
      <c r="I122" s="10"/>
      <c r="J122" s="11"/>
      <c r="K122" s="11"/>
      <c r="L122" s="12" t="str">
        <f t="shared" si="7"/>
        <v/>
      </c>
      <c r="M122" s="12" t="str">
        <f t="shared" si="8"/>
        <v/>
      </c>
      <c r="N122" s="12" t="str">
        <f t="shared" si="9"/>
        <v/>
      </c>
      <c r="O122" s="12" t="str">
        <f t="shared" si="10"/>
        <v/>
      </c>
      <c r="P122" s="11"/>
      <c r="Q122" s="12" t="str">
        <f t="shared" si="11"/>
        <v/>
      </c>
      <c r="R122" s="12" t="str">
        <f t="shared" si="12"/>
        <v/>
      </c>
      <c r="S122" s="12" t="str">
        <f t="shared" si="13"/>
        <v/>
      </c>
      <c r="T122" s="8"/>
      <c r="U122" s="10"/>
      <c r="V122" s="8"/>
    </row>
    <row r="123" spans="1:22">
      <c r="A123" s="8"/>
      <c r="B123" s="8"/>
      <c r="C123" s="8"/>
      <c r="D123" s="8"/>
      <c r="E123" s="8"/>
      <c r="F123" s="8"/>
      <c r="G123" s="8"/>
      <c r="H123" s="11"/>
      <c r="I123" s="10"/>
      <c r="J123" s="11"/>
      <c r="K123" s="11"/>
      <c r="L123" s="12" t="str">
        <f t="shared" si="7"/>
        <v/>
      </c>
      <c r="M123" s="12" t="str">
        <f t="shared" si="8"/>
        <v/>
      </c>
      <c r="N123" s="12" t="str">
        <f t="shared" si="9"/>
        <v/>
      </c>
      <c r="O123" s="12" t="str">
        <f t="shared" si="10"/>
        <v/>
      </c>
      <c r="P123" s="11"/>
      <c r="Q123" s="12" t="str">
        <f t="shared" si="11"/>
        <v/>
      </c>
      <c r="R123" s="12" t="str">
        <f t="shared" si="12"/>
        <v/>
      </c>
      <c r="S123" s="12" t="str">
        <f t="shared" si="13"/>
        <v/>
      </c>
      <c r="T123" s="8"/>
      <c r="U123" s="10"/>
      <c r="V123" s="8"/>
    </row>
    <row r="124" spans="1:22">
      <c r="A124" s="8"/>
      <c r="B124" s="8"/>
      <c r="C124" s="8"/>
      <c r="D124" s="8"/>
      <c r="E124" s="8"/>
      <c r="F124" s="8"/>
      <c r="G124" s="8"/>
      <c r="H124" s="11"/>
      <c r="I124" s="10"/>
      <c r="J124" s="11"/>
      <c r="K124" s="11"/>
      <c r="L124" s="12" t="str">
        <f t="shared" si="7"/>
        <v/>
      </c>
      <c r="M124" s="12" t="str">
        <f t="shared" si="8"/>
        <v/>
      </c>
      <c r="N124" s="12" t="str">
        <f t="shared" si="9"/>
        <v/>
      </c>
      <c r="O124" s="12" t="str">
        <f t="shared" si="10"/>
        <v/>
      </c>
      <c r="P124" s="11"/>
      <c r="Q124" s="12" t="str">
        <f t="shared" si="11"/>
        <v/>
      </c>
      <c r="R124" s="12" t="str">
        <f t="shared" si="12"/>
        <v/>
      </c>
      <c r="S124" s="12" t="str">
        <f t="shared" si="13"/>
        <v/>
      </c>
      <c r="T124" s="8"/>
      <c r="U124" s="10"/>
      <c r="V124" s="8"/>
    </row>
    <row r="125" spans="1:22">
      <c r="A125" s="8"/>
      <c r="B125" s="8"/>
      <c r="C125" s="8"/>
      <c r="D125" s="8"/>
      <c r="E125" s="8"/>
      <c r="F125" s="8"/>
      <c r="G125" s="8"/>
      <c r="H125" s="11"/>
      <c r="I125" s="10"/>
      <c r="J125" s="11"/>
      <c r="K125" s="11"/>
      <c r="L125" s="12" t="str">
        <f t="shared" si="7"/>
        <v/>
      </c>
      <c r="M125" s="12" t="str">
        <f t="shared" si="8"/>
        <v/>
      </c>
      <c r="N125" s="12" t="str">
        <f t="shared" si="9"/>
        <v/>
      </c>
      <c r="O125" s="12" t="str">
        <f t="shared" si="10"/>
        <v/>
      </c>
      <c r="P125" s="11"/>
      <c r="Q125" s="12" t="str">
        <f t="shared" si="11"/>
        <v/>
      </c>
      <c r="R125" s="12" t="str">
        <f t="shared" si="12"/>
        <v/>
      </c>
      <c r="S125" s="12" t="str">
        <f t="shared" si="13"/>
        <v/>
      </c>
      <c r="T125" s="8"/>
      <c r="U125" s="10"/>
      <c r="V125" s="8"/>
    </row>
    <row r="126" spans="1:22">
      <c r="A126" s="8"/>
      <c r="B126" s="8"/>
      <c r="C126" s="8"/>
      <c r="D126" s="8"/>
      <c r="E126" s="8"/>
      <c r="F126" s="8"/>
      <c r="G126" s="8"/>
      <c r="H126" s="11"/>
      <c r="I126" s="10"/>
      <c r="J126" s="11"/>
      <c r="K126" s="11"/>
      <c r="L126" s="12" t="str">
        <f t="shared" si="7"/>
        <v/>
      </c>
      <c r="M126" s="12" t="str">
        <f t="shared" si="8"/>
        <v/>
      </c>
      <c r="N126" s="12" t="str">
        <f t="shared" si="9"/>
        <v/>
      </c>
      <c r="O126" s="12" t="str">
        <f t="shared" si="10"/>
        <v/>
      </c>
      <c r="P126" s="11"/>
      <c r="Q126" s="12" t="str">
        <f t="shared" si="11"/>
        <v/>
      </c>
      <c r="R126" s="12" t="str">
        <f t="shared" si="12"/>
        <v/>
      </c>
      <c r="S126" s="12" t="str">
        <f t="shared" si="13"/>
        <v/>
      </c>
      <c r="T126" s="8"/>
      <c r="U126" s="10"/>
      <c r="V126" s="8"/>
    </row>
    <row r="127" spans="1:22">
      <c r="A127" s="8"/>
      <c r="B127" s="8"/>
      <c r="C127" s="8"/>
      <c r="D127" s="8"/>
      <c r="E127" s="8"/>
      <c r="F127" s="8"/>
      <c r="G127" s="8"/>
      <c r="H127" s="11"/>
      <c r="I127" s="10"/>
      <c r="J127" s="11"/>
      <c r="K127" s="11"/>
      <c r="L127" s="12" t="str">
        <f t="shared" si="7"/>
        <v/>
      </c>
      <c r="M127" s="12" t="str">
        <f t="shared" si="8"/>
        <v/>
      </c>
      <c r="N127" s="12" t="str">
        <f t="shared" si="9"/>
        <v/>
      </c>
      <c r="O127" s="12" t="str">
        <f t="shared" si="10"/>
        <v/>
      </c>
      <c r="P127" s="11"/>
      <c r="Q127" s="12" t="str">
        <f t="shared" si="11"/>
        <v/>
      </c>
      <c r="R127" s="12" t="str">
        <f t="shared" si="12"/>
        <v/>
      </c>
      <c r="S127" s="12" t="str">
        <f t="shared" si="13"/>
        <v/>
      </c>
      <c r="T127" s="8"/>
      <c r="U127" s="10"/>
      <c r="V127" s="8"/>
    </row>
    <row r="128" spans="1:22">
      <c r="A128" s="8"/>
      <c r="B128" s="8"/>
      <c r="C128" s="8"/>
      <c r="D128" s="8"/>
      <c r="E128" s="8"/>
      <c r="F128" s="8"/>
      <c r="G128" s="8"/>
      <c r="H128" s="11"/>
      <c r="I128" s="10"/>
      <c r="J128" s="11"/>
      <c r="K128" s="11"/>
      <c r="L128" s="12" t="str">
        <f t="shared" si="7"/>
        <v/>
      </c>
      <c r="M128" s="12" t="str">
        <f t="shared" si="8"/>
        <v/>
      </c>
      <c r="N128" s="12" t="str">
        <f t="shared" si="9"/>
        <v/>
      </c>
      <c r="O128" s="12" t="str">
        <f t="shared" si="10"/>
        <v/>
      </c>
      <c r="P128" s="11"/>
      <c r="Q128" s="12" t="str">
        <f t="shared" si="11"/>
        <v/>
      </c>
      <c r="R128" s="12" t="str">
        <f t="shared" si="12"/>
        <v/>
      </c>
      <c r="S128" s="12" t="str">
        <f t="shared" si="13"/>
        <v/>
      </c>
      <c r="T128" s="8"/>
      <c r="U128" s="10"/>
      <c r="V128" s="8"/>
    </row>
    <row r="129" spans="1:22">
      <c r="A129" s="8"/>
      <c r="B129" s="8"/>
      <c r="C129" s="8"/>
      <c r="D129" s="8"/>
      <c r="E129" s="8"/>
      <c r="F129" s="8"/>
      <c r="G129" s="8"/>
      <c r="H129" s="11"/>
      <c r="I129" s="10"/>
      <c r="J129" s="11"/>
      <c r="K129" s="11"/>
      <c r="L129" s="12" t="str">
        <f t="shared" si="7"/>
        <v/>
      </c>
      <c r="M129" s="12" t="str">
        <f t="shared" si="8"/>
        <v/>
      </c>
      <c r="N129" s="12" t="str">
        <f t="shared" si="9"/>
        <v/>
      </c>
      <c r="O129" s="12" t="str">
        <f t="shared" si="10"/>
        <v/>
      </c>
      <c r="P129" s="11"/>
      <c r="Q129" s="12" t="str">
        <f t="shared" si="11"/>
        <v/>
      </c>
      <c r="R129" s="12" t="str">
        <f t="shared" si="12"/>
        <v/>
      </c>
      <c r="S129" s="12" t="str">
        <f t="shared" si="13"/>
        <v/>
      </c>
      <c r="T129" s="8"/>
      <c r="U129" s="10"/>
      <c r="V129" s="8"/>
    </row>
    <row r="130" spans="1:22">
      <c r="A130" s="8"/>
      <c r="B130" s="8"/>
      <c r="C130" s="8"/>
      <c r="D130" s="8"/>
      <c r="E130" s="8"/>
      <c r="F130" s="8"/>
      <c r="G130" s="8"/>
      <c r="H130" s="11"/>
      <c r="I130" s="10"/>
      <c r="J130" s="11"/>
      <c r="K130" s="11"/>
      <c r="L130" s="12" t="str">
        <f t="shared" si="7"/>
        <v/>
      </c>
      <c r="M130" s="12" t="str">
        <f t="shared" si="8"/>
        <v/>
      </c>
      <c r="N130" s="12" t="str">
        <f t="shared" si="9"/>
        <v/>
      </c>
      <c r="O130" s="12" t="str">
        <f t="shared" si="10"/>
        <v/>
      </c>
      <c r="P130" s="11"/>
      <c r="Q130" s="12" t="str">
        <f t="shared" si="11"/>
        <v/>
      </c>
      <c r="R130" s="12" t="str">
        <f t="shared" si="12"/>
        <v/>
      </c>
      <c r="S130" s="12" t="str">
        <f t="shared" si="13"/>
        <v/>
      </c>
      <c r="T130" s="8"/>
      <c r="U130" s="10"/>
      <c r="V130" s="8"/>
    </row>
    <row r="131" spans="1:22">
      <c r="A131" s="8"/>
      <c r="B131" s="8"/>
      <c r="C131" s="8"/>
      <c r="D131" s="8"/>
      <c r="E131" s="8"/>
      <c r="F131" s="8"/>
      <c r="G131" s="8"/>
      <c r="H131" s="11"/>
      <c r="I131" s="10"/>
      <c r="J131" s="11"/>
      <c r="K131" s="11"/>
      <c r="L131" s="12" t="str">
        <f t="shared" si="7"/>
        <v/>
      </c>
      <c r="M131" s="12" t="str">
        <f t="shared" si="8"/>
        <v/>
      </c>
      <c r="N131" s="12" t="str">
        <f t="shared" si="9"/>
        <v/>
      </c>
      <c r="O131" s="12" t="str">
        <f t="shared" si="10"/>
        <v/>
      </c>
      <c r="P131" s="11"/>
      <c r="Q131" s="12" t="str">
        <f t="shared" si="11"/>
        <v/>
      </c>
      <c r="R131" s="12" t="str">
        <f t="shared" si="12"/>
        <v/>
      </c>
      <c r="S131" s="12" t="str">
        <f t="shared" si="13"/>
        <v/>
      </c>
      <c r="T131" s="8"/>
      <c r="U131" s="10"/>
      <c r="V131" s="8"/>
    </row>
    <row r="132" spans="1:22">
      <c r="A132" s="8"/>
      <c r="B132" s="8"/>
      <c r="C132" s="8"/>
      <c r="D132" s="8"/>
      <c r="E132" s="8"/>
      <c r="F132" s="8"/>
      <c r="G132" s="8"/>
      <c r="H132" s="11"/>
      <c r="I132" s="10"/>
      <c r="J132" s="11"/>
      <c r="K132" s="11"/>
      <c r="L132" s="12" t="str">
        <f t="shared" si="7"/>
        <v/>
      </c>
      <c r="M132" s="12" t="str">
        <f t="shared" si="8"/>
        <v/>
      </c>
      <c r="N132" s="12" t="str">
        <f t="shared" si="9"/>
        <v/>
      </c>
      <c r="O132" s="12" t="str">
        <f t="shared" si="10"/>
        <v/>
      </c>
      <c r="P132" s="11"/>
      <c r="Q132" s="12" t="str">
        <f t="shared" si="11"/>
        <v/>
      </c>
      <c r="R132" s="12" t="str">
        <f t="shared" si="12"/>
        <v/>
      </c>
      <c r="S132" s="12" t="str">
        <f t="shared" si="13"/>
        <v/>
      </c>
      <c r="T132" s="8"/>
      <c r="U132" s="10"/>
      <c r="V132" s="8"/>
    </row>
    <row r="133" spans="1:22">
      <c r="A133" s="8"/>
      <c r="B133" s="8"/>
      <c r="C133" s="8"/>
      <c r="D133" s="8"/>
      <c r="E133" s="8"/>
      <c r="F133" s="8"/>
      <c r="G133" s="8"/>
      <c r="H133" s="11"/>
      <c r="I133" s="10"/>
      <c r="J133" s="11"/>
      <c r="K133" s="11"/>
      <c r="L133" s="12" t="str">
        <f t="shared" ref="L133:L196" si="14">IF(A133="","",J133+K133)</f>
        <v/>
      </c>
      <c r="M133" s="12" t="str">
        <f t="shared" ref="M133:M196" si="15">IF(A133="","",L133-H133)</f>
        <v/>
      </c>
      <c r="N133" s="12" t="str">
        <f t="shared" ref="N133:N196" si="16">IF(A133="","",MAX(0,H133-L133))</f>
        <v/>
      </c>
      <c r="O133" s="12" t="str">
        <f t="shared" ref="O133:O196" si="17">IF(A133="","",MAX(0,L133-H133))</f>
        <v/>
      </c>
      <c r="P133" s="11"/>
      <c r="Q133" s="12" t="str">
        <f t="shared" ref="Q133:Q196" si="18">IF(A133="","",P133-H133)</f>
        <v/>
      </c>
      <c r="R133" s="12" t="str">
        <f t="shared" ref="R133:R196" si="19">IF(A133="","",MAX(0,H133-P133))</f>
        <v/>
      </c>
      <c r="S133" s="12" t="str">
        <f t="shared" ref="S133:S196" si="20">IF(A133="","",MAX(0,P133-H133))</f>
        <v/>
      </c>
      <c r="T133" s="8"/>
      <c r="U133" s="10"/>
      <c r="V133" s="8"/>
    </row>
    <row r="134" spans="1:22">
      <c r="A134" s="8"/>
      <c r="B134" s="8"/>
      <c r="C134" s="8"/>
      <c r="D134" s="8"/>
      <c r="E134" s="8"/>
      <c r="F134" s="8"/>
      <c r="G134" s="8"/>
      <c r="H134" s="11"/>
      <c r="I134" s="10"/>
      <c r="J134" s="11"/>
      <c r="K134" s="11"/>
      <c r="L134" s="12" t="str">
        <f t="shared" si="14"/>
        <v/>
      </c>
      <c r="M134" s="12" t="str">
        <f t="shared" si="15"/>
        <v/>
      </c>
      <c r="N134" s="12" t="str">
        <f t="shared" si="16"/>
        <v/>
      </c>
      <c r="O134" s="12" t="str">
        <f t="shared" si="17"/>
        <v/>
      </c>
      <c r="P134" s="11"/>
      <c r="Q134" s="12" t="str">
        <f t="shared" si="18"/>
        <v/>
      </c>
      <c r="R134" s="12" t="str">
        <f t="shared" si="19"/>
        <v/>
      </c>
      <c r="S134" s="12" t="str">
        <f t="shared" si="20"/>
        <v/>
      </c>
      <c r="T134" s="8"/>
      <c r="U134" s="10"/>
      <c r="V134" s="8"/>
    </row>
    <row r="135" spans="1:22">
      <c r="A135" s="8"/>
      <c r="B135" s="8"/>
      <c r="C135" s="8"/>
      <c r="D135" s="8"/>
      <c r="E135" s="8"/>
      <c r="F135" s="8"/>
      <c r="G135" s="8"/>
      <c r="H135" s="11"/>
      <c r="I135" s="10"/>
      <c r="J135" s="11"/>
      <c r="K135" s="11"/>
      <c r="L135" s="12" t="str">
        <f t="shared" si="14"/>
        <v/>
      </c>
      <c r="M135" s="12" t="str">
        <f t="shared" si="15"/>
        <v/>
      </c>
      <c r="N135" s="12" t="str">
        <f t="shared" si="16"/>
        <v/>
      </c>
      <c r="O135" s="12" t="str">
        <f t="shared" si="17"/>
        <v/>
      </c>
      <c r="P135" s="11"/>
      <c r="Q135" s="12" t="str">
        <f t="shared" si="18"/>
        <v/>
      </c>
      <c r="R135" s="12" t="str">
        <f t="shared" si="19"/>
        <v/>
      </c>
      <c r="S135" s="12" t="str">
        <f t="shared" si="20"/>
        <v/>
      </c>
      <c r="T135" s="8"/>
      <c r="U135" s="10"/>
      <c r="V135" s="8"/>
    </row>
    <row r="136" spans="1:22">
      <c r="A136" s="8"/>
      <c r="B136" s="8"/>
      <c r="C136" s="8"/>
      <c r="D136" s="8"/>
      <c r="E136" s="8"/>
      <c r="F136" s="8"/>
      <c r="G136" s="8"/>
      <c r="H136" s="11"/>
      <c r="I136" s="10"/>
      <c r="J136" s="11"/>
      <c r="K136" s="11"/>
      <c r="L136" s="12" t="str">
        <f t="shared" si="14"/>
        <v/>
      </c>
      <c r="M136" s="12" t="str">
        <f t="shared" si="15"/>
        <v/>
      </c>
      <c r="N136" s="12" t="str">
        <f t="shared" si="16"/>
        <v/>
      </c>
      <c r="O136" s="12" t="str">
        <f t="shared" si="17"/>
        <v/>
      </c>
      <c r="P136" s="11"/>
      <c r="Q136" s="12" t="str">
        <f t="shared" si="18"/>
        <v/>
      </c>
      <c r="R136" s="12" t="str">
        <f t="shared" si="19"/>
        <v/>
      </c>
      <c r="S136" s="12" t="str">
        <f t="shared" si="20"/>
        <v/>
      </c>
      <c r="T136" s="8"/>
      <c r="U136" s="10"/>
      <c r="V136" s="8"/>
    </row>
    <row r="137" spans="1:22">
      <c r="A137" s="8"/>
      <c r="B137" s="8"/>
      <c r="C137" s="8"/>
      <c r="D137" s="8"/>
      <c r="E137" s="8"/>
      <c r="F137" s="8"/>
      <c r="G137" s="8"/>
      <c r="H137" s="11"/>
      <c r="I137" s="10"/>
      <c r="J137" s="11"/>
      <c r="K137" s="11"/>
      <c r="L137" s="12" t="str">
        <f t="shared" si="14"/>
        <v/>
      </c>
      <c r="M137" s="12" t="str">
        <f t="shared" si="15"/>
        <v/>
      </c>
      <c r="N137" s="12" t="str">
        <f t="shared" si="16"/>
        <v/>
      </c>
      <c r="O137" s="12" t="str">
        <f t="shared" si="17"/>
        <v/>
      </c>
      <c r="P137" s="11"/>
      <c r="Q137" s="12" t="str">
        <f t="shared" si="18"/>
        <v/>
      </c>
      <c r="R137" s="12" t="str">
        <f t="shared" si="19"/>
        <v/>
      </c>
      <c r="S137" s="12" t="str">
        <f t="shared" si="20"/>
        <v/>
      </c>
      <c r="T137" s="8"/>
      <c r="U137" s="10"/>
      <c r="V137" s="8"/>
    </row>
    <row r="138" spans="1:22">
      <c r="A138" s="8"/>
      <c r="B138" s="8"/>
      <c r="C138" s="8"/>
      <c r="D138" s="8"/>
      <c r="E138" s="8"/>
      <c r="F138" s="8"/>
      <c r="G138" s="8"/>
      <c r="H138" s="11"/>
      <c r="I138" s="10"/>
      <c r="J138" s="11"/>
      <c r="K138" s="11"/>
      <c r="L138" s="12" t="str">
        <f t="shared" si="14"/>
        <v/>
      </c>
      <c r="M138" s="12" t="str">
        <f t="shared" si="15"/>
        <v/>
      </c>
      <c r="N138" s="12" t="str">
        <f t="shared" si="16"/>
        <v/>
      </c>
      <c r="O138" s="12" t="str">
        <f t="shared" si="17"/>
        <v/>
      </c>
      <c r="P138" s="11"/>
      <c r="Q138" s="12" t="str">
        <f t="shared" si="18"/>
        <v/>
      </c>
      <c r="R138" s="12" t="str">
        <f t="shared" si="19"/>
        <v/>
      </c>
      <c r="S138" s="12" t="str">
        <f t="shared" si="20"/>
        <v/>
      </c>
      <c r="T138" s="8"/>
      <c r="U138" s="10"/>
      <c r="V138" s="8"/>
    </row>
    <row r="139" spans="1:22">
      <c r="A139" s="8"/>
      <c r="B139" s="8"/>
      <c r="C139" s="8"/>
      <c r="D139" s="8"/>
      <c r="E139" s="8"/>
      <c r="F139" s="8"/>
      <c r="G139" s="8"/>
      <c r="H139" s="11"/>
      <c r="I139" s="10"/>
      <c r="J139" s="11"/>
      <c r="K139" s="11"/>
      <c r="L139" s="12" t="str">
        <f t="shared" si="14"/>
        <v/>
      </c>
      <c r="M139" s="12" t="str">
        <f t="shared" si="15"/>
        <v/>
      </c>
      <c r="N139" s="12" t="str">
        <f t="shared" si="16"/>
        <v/>
      </c>
      <c r="O139" s="12" t="str">
        <f t="shared" si="17"/>
        <v/>
      </c>
      <c r="P139" s="11"/>
      <c r="Q139" s="12" t="str">
        <f t="shared" si="18"/>
        <v/>
      </c>
      <c r="R139" s="12" t="str">
        <f t="shared" si="19"/>
        <v/>
      </c>
      <c r="S139" s="12" t="str">
        <f t="shared" si="20"/>
        <v/>
      </c>
      <c r="T139" s="8"/>
      <c r="U139" s="10"/>
      <c r="V139" s="8"/>
    </row>
    <row r="140" spans="1:22">
      <c r="A140" s="8"/>
      <c r="B140" s="8"/>
      <c r="C140" s="8"/>
      <c r="D140" s="8"/>
      <c r="E140" s="8"/>
      <c r="F140" s="8"/>
      <c r="G140" s="8"/>
      <c r="H140" s="11"/>
      <c r="I140" s="10"/>
      <c r="J140" s="11"/>
      <c r="K140" s="11"/>
      <c r="L140" s="12" t="str">
        <f t="shared" si="14"/>
        <v/>
      </c>
      <c r="M140" s="12" t="str">
        <f t="shared" si="15"/>
        <v/>
      </c>
      <c r="N140" s="12" t="str">
        <f t="shared" si="16"/>
        <v/>
      </c>
      <c r="O140" s="12" t="str">
        <f t="shared" si="17"/>
        <v/>
      </c>
      <c r="P140" s="11"/>
      <c r="Q140" s="12" t="str">
        <f t="shared" si="18"/>
        <v/>
      </c>
      <c r="R140" s="12" t="str">
        <f t="shared" si="19"/>
        <v/>
      </c>
      <c r="S140" s="12" t="str">
        <f t="shared" si="20"/>
        <v/>
      </c>
      <c r="T140" s="8"/>
      <c r="U140" s="10"/>
      <c r="V140" s="8"/>
    </row>
    <row r="141" spans="1:22">
      <c r="A141" s="8"/>
      <c r="B141" s="8"/>
      <c r="C141" s="8"/>
      <c r="D141" s="8"/>
      <c r="E141" s="8"/>
      <c r="F141" s="8"/>
      <c r="G141" s="8"/>
      <c r="H141" s="11"/>
      <c r="I141" s="10"/>
      <c r="J141" s="11"/>
      <c r="K141" s="11"/>
      <c r="L141" s="12" t="str">
        <f t="shared" si="14"/>
        <v/>
      </c>
      <c r="M141" s="12" t="str">
        <f t="shared" si="15"/>
        <v/>
      </c>
      <c r="N141" s="12" t="str">
        <f t="shared" si="16"/>
        <v/>
      </c>
      <c r="O141" s="12" t="str">
        <f t="shared" si="17"/>
        <v/>
      </c>
      <c r="P141" s="11"/>
      <c r="Q141" s="12" t="str">
        <f t="shared" si="18"/>
        <v/>
      </c>
      <c r="R141" s="12" t="str">
        <f t="shared" si="19"/>
        <v/>
      </c>
      <c r="S141" s="12" t="str">
        <f t="shared" si="20"/>
        <v/>
      </c>
      <c r="T141" s="8"/>
      <c r="U141" s="10"/>
      <c r="V141" s="8"/>
    </row>
    <row r="142" spans="1:22">
      <c r="A142" s="8"/>
      <c r="B142" s="8"/>
      <c r="C142" s="8"/>
      <c r="D142" s="8"/>
      <c r="E142" s="8"/>
      <c r="F142" s="8"/>
      <c r="G142" s="8"/>
      <c r="H142" s="11"/>
      <c r="I142" s="10"/>
      <c r="J142" s="11"/>
      <c r="K142" s="11"/>
      <c r="L142" s="12" t="str">
        <f t="shared" si="14"/>
        <v/>
      </c>
      <c r="M142" s="12" t="str">
        <f t="shared" si="15"/>
        <v/>
      </c>
      <c r="N142" s="12" t="str">
        <f t="shared" si="16"/>
        <v/>
      </c>
      <c r="O142" s="12" t="str">
        <f t="shared" si="17"/>
        <v/>
      </c>
      <c r="P142" s="11"/>
      <c r="Q142" s="12" t="str">
        <f t="shared" si="18"/>
        <v/>
      </c>
      <c r="R142" s="12" t="str">
        <f t="shared" si="19"/>
        <v/>
      </c>
      <c r="S142" s="12" t="str">
        <f t="shared" si="20"/>
        <v/>
      </c>
      <c r="T142" s="8"/>
      <c r="U142" s="10"/>
      <c r="V142" s="8"/>
    </row>
    <row r="143" spans="1:22">
      <c r="A143" s="8"/>
      <c r="B143" s="8"/>
      <c r="C143" s="8"/>
      <c r="D143" s="8"/>
      <c r="E143" s="8"/>
      <c r="F143" s="8"/>
      <c r="G143" s="8"/>
      <c r="H143" s="11"/>
      <c r="I143" s="10"/>
      <c r="J143" s="11"/>
      <c r="K143" s="11"/>
      <c r="L143" s="12" t="str">
        <f t="shared" si="14"/>
        <v/>
      </c>
      <c r="M143" s="12" t="str">
        <f t="shared" si="15"/>
        <v/>
      </c>
      <c r="N143" s="12" t="str">
        <f t="shared" si="16"/>
        <v/>
      </c>
      <c r="O143" s="12" t="str">
        <f t="shared" si="17"/>
        <v/>
      </c>
      <c r="P143" s="11"/>
      <c r="Q143" s="12" t="str">
        <f t="shared" si="18"/>
        <v/>
      </c>
      <c r="R143" s="12" t="str">
        <f t="shared" si="19"/>
        <v/>
      </c>
      <c r="S143" s="12" t="str">
        <f t="shared" si="20"/>
        <v/>
      </c>
      <c r="T143" s="8"/>
      <c r="U143" s="10"/>
      <c r="V143" s="8"/>
    </row>
    <row r="144" spans="1:22">
      <c r="A144" s="8"/>
      <c r="B144" s="8"/>
      <c r="C144" s="8"/>
      <c r="D144" s="8"/>
      <c r="E144" s="8"/>
      <c r="F144" s="8"/>
      <c r="G144" s="8"/>
      <c r="H144" s="11"/>
      <c r="I144" s="10"/>
      <c r="J144" s="11"/>
      <c r="K144" s="11"/>
      <c r="L144" s="12" t="str">
        <f t="shared" si="14"/>
        <v/>
      </c>
      <c r="M144" s="12" t="str">
        <f t="shared" si="15"/>
        <v/>
      </c>
      <c r="N144" s="12" t="str">
        <f t="shared" si="16"/>
        <v/>
      </c>
      <c r="O144" s="12" t="str">
        <f t="shared" si="17"/>
        <v/>
      </c>
      <c r="P144" s="11"/>
      <c r="Q144" s="12" t="str">
        <f t="shared" si="18"/>
        <v/>
      </c>
      <c r="R144" s="12" t="str">
        <f t="shared" si="19"/>
        <v/>
      </c>
      <c r="S144" s="12" t="str">
        <f t="shared" si="20"/>
        <v/>
      </c>
      <c r="T144" s="8"/>
      <c r="U144" s="10"/>
      <c r="V144" s="8"/>
    </row>
    <row r="145" spans="1:22">
      <c r="A145" s="8"/>
      <c r="B145" s="8"/>
      <c r="C145" s="8"/>
      <c r="D145" s="8"/>
      <c r="E145" s="8"/>
      <c r="F145" s="8"/>
      <c r="G145" s="8"/>
      <c r="H145" s="11"/>
      <c r="I145" s="10"/>
      <c r="J145" s="11"/>
      <c r="K145" s="11"/>
      <c r="L145" s="12" t="str">
        <f t="shared" si="14"/>
        <v/>
      </c>
      <c r="M145" s="12" t="str">
        <f t="shared" si="15"/>
        <v/>
      </c>
      <c r="N145" s="12" t="str">
        <f t="shared" si="16"/>
        <v/>
      </c>
      <c r="O145" s="12" t="str">
        <f t="shared" si="17"/>
        <v/>
      </c>
      <c r="P145" s="11"/>
      <c r="Q145" s="12" t="str">
        <f t="shared" si="18"/>
        <v/>
      </c>
      <c r="R145" s="12" t="str">
        <f t="shared" si="19"/>
        <v/>
      </c>
      <c r="S145" s="12" t="str">
        <f t="shared" si="20"/>
        <v/>
      </c>
      <c r="T145" s="8"/>
      <c r="U145" s="10"/>
      <c r="V145" s="8"/>
    </row>
    <row r="146" spans="1:22">
      <c r="A146" s="8"/>
      <c r="B146" s="8"/>
      <c r="C146" s="8"/>
      <c r="D146" s="8"/>
      <c r="E146" s="8"/>
      <c r="F146" s="8"/>
      <c r="G146" s="8"/>
      <c r="H146" s="11"/>
      <c r="I146" s="10"/>
      <c r="J146" s="11"/>
      <c r="K146" s="11"/>
      <c r="L146" s="12" t="str">
        <f t="shared" si="14"/>
        <v/>
      </c>
      <c r="M146" s="12" t="str">
        <f t="shared" si="15"/>
        <v/>
      </c>
      <c r="N146" s="12" t="str">
        <f t="shared" si="16"/>
        <v/>
      </c>
      <c r="O146" s="12" t="str">
        <f t="shared" si="17"/>
        <v/>
      </c>
      <c r="P146" s="11"/>
      <c r="Q146" s="12" t="str">
        <f t="shared" si="18"/>
        <v/>
      </c>
      <c r="R146" s="12" t="str">
        <f t="shared" si="19"/>
        <v/>
      </c>
      <c r="S146" s="12" t="str">
        <f t="shared" si="20"/>
        <v/>
      </c>
      <c r="T146" s="8"/>
      <c r="U146" s="10"/>
      <c r="V146" s="8"/>
    </row>
    <row r="147" spans="1:22">
      <c r="A147" s="8"/>
      <c r="B147" s="8"/>
      <c r="C147" s="8"/>
      <c r="D147" s="8"/>
      <c r="E147" s="8"/>
      <c r="F147" s="8"/>
      <c r="G147" s="8"/>
      <c r="H147" s="11"/>
      <c r="I147" s="10"/>
      <c r="J147" s="11"/>
      <c r="K147" s="11"/>
      <c r="L147" s="12" t="str">
        <f t="shared" si="14"/>
        <v/>
      </c>
      <c r="M147" s="12" t="str">
        <f t="shared" si="15"/>
        <v/>
      </c>
      <c r="N147" s="12" t="str">
        <f t="shared" si="16"/>
        <v/>
      </c>
      <c r="O147" s="12" t="str">
        <f t="shared" si="17"/>
        <v/>
      </c>
      <c r="P147" s="11"/>
      <c r="Q147" s="12" t="str">
        <f t="shared" si="18"/>
        <v/>
      </c>
      <c r="R147" s="12" t="str">
        <f t="shared" si="19"/>
        <v/>
      </c>
      <c r="S147" s="12" t="str">
        <f t="shared" si="20"/>
        <v/>
      </c>
      <c r="T147" s="8"/>
      <c r="U147" s="10"/>
      <c r="V147" s="8"/>
    </row>
    <row r="148" spans="1:22">
      <c r="A148" s="8"/>
      <c r="B148" s="8"/>
      <c r="C148" s="8"/>
      <c r="D148" s="8"/>
      <c r="E148" s="8"/>
      <c r="F148" s="8"/>
      <c r="G148" s="8"/>
      <c r="H148" s="11"/>
      <c r="I148" s="10"/>
      <c r="J148" s="11"/>
      <c r="K148" s="11"/>
      <c r="L148" s="12" t="str">
        <f t="shared" si="14"/>
        <v/>
      </c>
      <c r="M148" s="12" t="str">
        <f t="shared" si="15"/>
        <v/>
      </c>
      <c r="N148" s="12" t="str">
        <f t="shared" si="16"/>
        <v/>
      </c>
      <c r="O148" s="12" t="str">
        <f t="shared" si="17"/>
        <v/>
      </c>
      <c r="P148" s="11"/>
      <c r="Q148" s="12" t="str">
        <f t="shared" si="18"/>
        <v/>
      </c>
      <c r="R148" s="12" t="str">
        <f t="shared" si="19"/>
        <v/>
      </c>
      <c r="S148" s="12" t="str">
        <f t="shared" si="20"/>
        <v/>
      </c>
      <c r="T148" s="8"/>
      <c r="U148" s="10"/>
      <c r="V148" s="8"/>
    </row>
    <row r="149" spans="1:22">
      <c r="A149" s="8"/>
      <c r="B149" s="8"/>
      <c r="C149" s="8"/>
      <c r="D149" s="8"/>
      <c r="E149" s="8"/>
      <c r="F149" s="8"/>
      <c r="G149" s="8"/>
      <c r="H149" s="11"/>
      <c r="I149" s="10"/>
      <c r="J149" s="11"/>
      <c r="K149" s="11"/>
      <c r="L149" s="12" t="str">
        <f t="shared" si="14"/>
        <v/>
      </c>
      <c r="M149" s="12" t="str">
        <f t="shared" si="15"/>
        <v/>
      </c>
      <c r="N149" s="12" t="str">
        <f t="shared" si="16"/>
        <v/>
      </c>
      <c r="O149" s="12" t="str">
        <f t="shared" si="17"/>
        <v/>
      </c>
      <c r="P149" s="11"/>
      <c r="Q149" s="12" t="str">
        <f t="shared" si="18"/>
        <v/>
      </c>
      <c r="R149" s="12" t="str">
        <f t="shared" si="19"/>
        <v/>
      </c>
      <c r="S149" s="12" t="str">
        <f t="shared" si="20"/>
        <v/>
      </c>
      <c r="T149" s="8"/>
      <c r="U149" s="10"/>
      <c r="V149" s="8"/>
    </row>
    <row r="150" spans="1:22">
      <c r="A150" s="8"/>
      <c r="B150" s="8"/>
      <c r="C150" s="8"/>
      <c r="D150" s="8"/>
      <c r="E150" s="8"/>
      <c r="F150" s="8"/>
      <c r="G150" s="8"/>
      <c r="H150" s="11"/>
      <c r="I150" s="10"/>
      <c r="J150" s="11"/>
      <c r="K150" s="11"/>
      <c r="L150" s="12" t="str">
        <f t="shared" si="14"/>
        <v/>
      </c>
      <c r="M150" s="12" t="str">
        <f t="shared" si="15"/>
        <v/>
      </c>
      <c r="N150" s="12" t="str">
        <f t="shared" si="16"/>
        <v/>
      </c>
      <c r="O150" s="12" t="str">
        <f t="shared" si="17"/>
        <v/>
      </c>
      <c r="P150" s="11"/>
      <c r="Q150" s="12" t="str">
        <f t="shared" si="18"/>
        <v/>
      </c>
      <c r="R150" s="12" t="str">
        <f t="shared" si="19"/>
        <v/>
      </c>
      <c r="S150" s="12" t="str">
        <f t="shared" si="20"/>
        <v/>
      </c>
      <c r="T150" s="8"/>
      <c r="U150" s="10"/>
      <c r="V150" s="8"/>
    </row>
    <row r="151" spans="1:22">
      <c r="A151" s="8"/>
      <c r="B151" s="8"/>
      <c r="C151" s="8"/>
      <c r="D151" s="8"/>
      <c r="E151" s="8"/>
      <c r="F151" s="8"/>
      <c r="G151" s="8"/>
      <c r="H151" s="11"/>
      <c r="I151" s="10"/>
      <c r="J151" s="11"/>
      <c r="K151" s="11"/>
      <c r="L151" s="12" t="str">
        <f t="shared" si="14"/>
        <v/>
      </c>
      <c r="M151" s="12" t="str">
        <f t="shared" si="15"/>
        <v/>
      </c>
      <c r="N151" s="12" t="str">
        <f t="shared" si="16"/>
        <v/>
      </c>
      <c r="O151" s="12" t="str">
        <f t="shared" si="17"/>
        <v/>
      </c>
      <c r="P151" s="11"/>
      <c r="Q151" s="12" t="str">
        <f t="shared" si="18"/>
        <v/>
      </c>
      <c r="R151" s="12" t="str">
        <f t="shared" si="19"/>
        <v/>
      </c>
      <c r="S151" s="12" t="str">
        <f t="shared" si="20"/>
        <v/>
      </c>
      <c r="T151" s="8"/>
      <c r="U151" s="10"/>
      <c r="V151" s="8"/>
    </row>
    <row r="152" spans="1:22">
      <c r="A152" s="8"/>
      <c r="B152" s="8"/>
      <c r="C152" s="8"/>
      <c r="D152" s="8"/>
      <c r="E152" s="8"/>
      <c r="F152" s="8"/>
      <c r="G152" s="8"/>
      <c r="H152" s="11"/>
      <c r="I152" s="10"/>
      <c r="J152" s="11"/>
      <c r="K152" s="11"/>
      <c r="L152" s="12" t="str">
        <f t="shared" si="14"/>
        <v/>
      </c>
      <c r="M152" s="12" t="str">
        <f t="shared" si="15"/>
        <v/>
      </c>
      <c r="N152" s="12" t="str">
        <f t="shared" si="16"/>
        <v/>
      </c>
      <c r="O152" s="12" t="str">
        <f t="shared" si="17"/>
        <v/>
      </c>
      <c r="P152" s="11"/>
      <c r="Q152" s="12" t="str">
        <f t="shared" si="18"/>
        <v/>
      </c>
      <c r="R152" s="12" t="str">
        <f t="shared" si="19"/>
        <v/>
      </c>
      <c r="S152" s="12" t="str">
        <f t="shared" si="20"/>
        <v/>
      </c>
      <c r="T152" s="8"/>
      <c r="U152" s="10"/>
      <c r="V152" s="8"/>
    </row>
    <row r="153" spans="1:22">
      <c r="A153" s="8"/>
      <c r="B153" s="8"/>
      <c r="C153" s="8"/>
      <c r="D153" s="8"/>
      <c r="E153" s="8"/>
      <c r="F153" s="8"/>
      <c r="G153" s="8"/>
      <c r="H153" s="11"/>
      <c r="I153" s="10"/>
      <c r="J153" s="11"/>
      <c r="K153" s="11"/>
      <c r="L153" s="12" t="str">
        <f t="shared" si="14"/>
        <v/>
      </c>
      <c r="M153" s="12" t="str">
        <f t="shared" si="15"/>
        <v/>
      </c>
      <c r="N153" s="12" t="str">
        <f t="shared" si="16"/>
        <v/>
      </c>
      <c r="O153" s="12" t="str">
        <f t="shared" si="17"/>
        <v/>
      </c>
      <c r="P153" s="11"/>
      <c r="Q153" s="12" t="str">
        <f t="shared" si="18"/>
        <v/>
      </c>
      <c r="R153" s="12" t="str">
        <f t="shared" si="19"/>
        <v/>
      </c>
      <c r="S153" s="12" t="str">
        <f t="shared" si="20"/>
        <v/>
      </c>
      <c r="T153" s="8"/>
      <c r="U153" s="10"/>
      <c r="V153" s="8"/>
    </row>
    <row r="154" spans="1:22">
      <c r="A154" s="8"/>
      <c r="B154" s="8"/>
      <c r="C154" s="8"/>
      <c r="D154" s="8"/>
      <c r="E154" s="8"/>
      <c r="F154" s="8"/>
      <c r="G154" s="8"/>
      <c r="H154" s="11"/>
      <c r="I154" s="10"/>
      <c r="J154" s="11"/>
      <c r="K154" s="11"/>
      <c r="L154" s="12" t="str">
        <f t="shared" si="14"/>
        <v/>
      </c>
      <c r="M154" s="12" t="str">
        <f t="shared" si="15"/>
        <v/>
      </c>
      <c r="N154" s="12" t="str">
        <f t="shared" si="16"/>
        <v/>
      </c>
      <c r="O154" s="12" t="str">
        <f t="shared" si="17"/>
        <v/>
      </c>
      <c r="P154" s="11"/>
      <c r="Q154" s="12" t="str">
        <f t="shared" si="18"/>
        <v/>
      </c>
      <c r="R154" s="12" t="str">
        <f t="shared" si="19"/>
        <v/>
      </c>
      <c r="S154" s="12" t="str">
        <f t="shared" si="20"/>
        <v/>
      </c>
      <c r="T154" s="8"/>
      <c r="U154" s="10"/>
      <c r="V154" s="8"/>
    </row>
    <row r="155" spans="1:22">
      <c r="A155" s="8"/>
      <c r="B155" s="8"/>
      <c r="C155" s="8"/>
      <c r="D155" s="8"/>
      <c r="E155" s="8"/>
      <c r="F155" s="8"/>
      <c r="G155" s="8"/>
      <c r="H155" s="11"/>
      <c r="I155" s="10"/>
      <c r="J155" s="11"/>
      <c r="K155" s="11"/>
      <c r="L155" s="12" t="str">
        <f t="shared" si="14"/>
        <v/>
      </c>
      <c r="M155" s="12" t="str">
        <f t="shared" si="15"/>
        <v/>
      </c>
      <c r="N155" s="12" t="str">
        <f t="shared" si="16"/>
        <v/>
      </c>
      <c r="O155" s="12" t="str">
        <f t="shared" si="17"/>
        <v/>
      </c>
      <c r="P155" s="11"/>
      <c r="Q155" s="12" t="str">
        <f t="shared" si="18"/>
        <v/>
      </c>
      <c r="R155" s="12" t="str">
        <f t="shared" si="19"/>
        <v/>
      </c>
      <c r="S155" s="12" t="str">
        <f t="shared" si="20"/>
        <v/>
      </c>
      <c r="T155" s="8"/>
      <c r="U155" s="10"/>
      <c r="V155" s="8"/>
    </row>
    <row r="156" spans="1:22">
      <c r="A156" s="8"/>
      <c r="B156" s="8"/>
      <c r="C156" s="8"/>
      <c r="D156" s="8"/>
      <c r="E156" s="8"/>
      <c r="F156" s="8"/>
      <c r="G156" s="8"/>
      <c r="H156" s="11"/>
      <c r="I156" s="10"/>
      <c r="J156" s="11"/>
      <c r="K156" s="11"/>
      <c r="L156" s="12" t="str">
        <f t="shared" si="14"/>
        <v/>
      </c>
      <c r="M156" s="12" t="str">
        <f t="shared" si="15"/>
        <v/>
      </c>
      <c r="N156" s="12" t="str">
        <f t="shared" si="16"/>
        <v/>
      </c>
      <c r="O156" s="12" t="str">
        <f t="shared" si="17"/>
        <v/>
      </c>
      <c r="P156" s="11"/>
      <c r="Q156" s="12" t="str">
        <f t="shared" si="18"/>
        <v/>
      </c>
      <c r="R156" s="12" t="str">
        <f t="shared" si="19"/>
        <v/>
      </c>
      <c r="S156" s="12" t="str">
        <f t="shared" si="20"/>
        <v/>
      </c>
      <c r="T156" s="8"/>
      <c r="U156" s="10"/>
      <c r="V156" s="8"/>
    </row>
    <row r="157" spans="1:22">
      <c r="A157" s="8"/>
      <c r="B157" s="8"/>
      <c r="C157" s="8"/>
      <c r="D157" s="8"/>
      <c r="E157" s="8"/>
      <c r="F157" s="8"/>
      <c r="G157" s="8"/>
      <c r="H157" s="11"/>
      <c r="I157" s="10"/>
      <c r="J157" s="11"/>
      <c r="K157" s="11"/>
      <c r="L157" s="12" t="str">
        <f t="shared" si="14"/>
        <v/>
      </c>
      <c r="M157" s="12" t="str">
        <f t="shared" si="15"/>
        <v/>
      </c>
      <c r="N157" s="12" t="str">
        <f t="shared" si="16"/>
        <v/>
      </c>
      <c r="O157" s="12" t="str">
        <f t="shared" si="17"/>
        <v/>
      </c>
      <c r="P157" s="11"/>
      <c r="Q157" s="12" t="str">
        <f t="shared" si="18"/>
        <v/>
      </c>
      <c r="R157" s="12" t="str">
        <f t="shared" si="19"/>
        <v/>
      </c>
      <c r="S157" s="12" t="str">
        <f t="shared" si="20"/>
        <v/>
      </c>
      <c r="T157" s="8"/>
      <c r="U157" s="10"/>
      <c r="V157" s="8"/>
    </row>
    <row r="158" spans="1:22">
      <c r="A158" s="8"/>
      <c r="B158" s="8"/>
      <c r="C158" s="8"/>
      <c r="D158" s="8"/>
      <c r="E158" s="8"/>
      <c r="F158" s="8"/>
      <c r="G158" s="8"/>
      <c r="H158" s="11"/>
      <c r="I158" s="10"/>
      <c r="J158" s="11"/>
      <c r="K158" s="11"/>
      <c r="L158" s="12" t="str">
        <f t="shared" si="14"/>
        <v/>
      </c>
      <c r="M158" s="12" t="str">
        <f t="shared" si="15"/>
        <v/>
      </c>
      <c r="N158" s="12" t="str">
        <f t="shared" si="16"/>
        <v/>
      </c>
      <c r="O158" s="12" t="str">
        <f t="shared" si="17"/>
        <v/>
      </c>
      <c r="P158" s="11"/>
      <c r="Q158" s="12" t="str">
        <f t="shared" si="18"/>
        <v/>
      </c>
      <c r="R158" s="12" t="str">
        <f t="shared" si="19"/>
        <v/>
      </c>
      <c r="S158" s="12" t="str">
        <f t="shared" si="20"/>
        <v/>
      </c>
      <c r="T158" s="8"/>
      <c r="U158" s="10"/>
      <c r="V158" s="8"/>
    </row>
    <row r="159" spans="1:22">
      <c r="A159" s="8"/>
      <c r="B159" s="8"/>
      <c r="C159" s="8"/>
      <c r="D159" s="8"/>
      <c r="E159" s="8"/>
      <c r="F159" s="8"/>
      <c r="G159" s="8"/>
      <c r="H159" s="11"/>
      <c r="I159" s="10"/>
      <c r="J159" s="11"/>
      <c r="K159" s="11"/>
      <c r="L159" s="12" t="str">
        <f t="shared" si="14"/>
        <v/>
      </c>
      <c r="M159" s="12" t="str">
        <f t="shared" si="15"/>
        <v/>
      </c>
      <c r="N159" s="12" t="str">
        <f t="shared" si="16"/>
        <v/>
      </c>
      <c r="O159" s="12" t="str">
        <f t="shared" si="17"/>
        <v/>
      </c>
      <c r="P159" s="11"/>
      <c r="Q159" s="12" t="str">
        <f t="shared" si="18"/>
        <v/>
      </c>
      <c r="R159" s="12" t="str">
        <f t="shared" si="19"/>
        <v/>
      </c>
      <c r="S159" s="12" t="str">
        <f t="shared" si="20"/>
        <v/>
      </c>
      <c r="T159" s="8"/>
      <c r="U159" s="10"/>
      <c r="V159" s="8"/>
    </row>
    <row r="160" spans="1:22">
      <c r="A160" s="8"/>
      <c r="B160" s="8"/>
      <c r="C160" s="8"/>
      <c r="D160" s="8"/>
      <c r="E160" s="8"/>
      <c r="F160" s="8"/>
      <c r="G160" s="8"/>
      <c r="H160" s="11"/>
      <c r="I160" s="10"/>
      <c r="J160" s="11"/>
      <c r="K160" s="11"/>
      <c r="L160" s="12" t="str">
        <f t="shared" si="14"/>
        <v/>
      </c>
      <c r="M160" s="12" t="str">
        <f t="shared" si="15"/>
        <v/>
      </c>
      <c r="N160" s="12" t="str">
        <f t="shared" si="16"/>
        <v/>
      </c>
      <c r="O160" s="12" t="str">
        <f t="shared" si="17"/>
        <v/>
      </c>
      <c r="P160" s="11"/>
      <c r="Q160" s="12" t="str">
        <f t="shared" si="18"/>
        <v/>
      </c>
      <c r="R160" s="12" t="str">
        <f t="shared" si="19"/>
        <v/>
      </c>
      <c r="S160" s="12" t="str">
        <f t="shared" si="20"/>
        <v/>
      </c>
      <c r="T160" s="8"/>
      <c r="U160" s="10"/>
      <c r="V160" s="8"/>
    </row>
    <row r="161" spans="1:22">
      <c r="A161" s="8"/>
      <c r="B161" s="8"/>
      <c r="C161" s="8"/>
      <c r="D161" s="8"/>
      <c r="E161" s="8"/>
      <c r="F161" s="8"/>
      <c r="G161" s="8"/>
      <c r="H161" s="11"/>
      <c r="I161" s="10"/>
      <c r="J161" s="11"/>
      <c r="K161" s="11"/>
      <c r="L161" s="12" t="str">
        <f t="shared" si="14"/>
        <v/>
      </c>
      <c r="M161" s="12" t="str">
        <f t="shared" si="15"/>
        <v/>
      </c>
      <c r="N161" s="12" t="str">
        <f t="shared" si="16"/>
        <v/>
      </c>
      <c r="O161" s="12" t="str">
        <f t="shared" si="17"/>
        <v/>
      </c>
      <c r="P161" s="11"/>
      <c r="Q161" s="12" t="str">
        <f t="shared" si="18"/>
        <v/>
      </c>
      <c r="R161" s="12" t="str">
        <f t="shared" si="19"/>
        <v/>
      </c>
      <c r="S161" s="12" t="str">
        <f t="shared" si="20"/>
        <v/>
      </c>
      <c r="T161" s="8"/>
      <c r="U161" s="10"/>
      <c r="V161" s="8"/>
    </row>
    <row r="162" spans="1:22">
      <c r="A162" s="8"/>
      <c r="B162" s="8"/>
      <c r="C162" s="8"/>
      <c r="D162" s="8"/>
      <c r="E162" s="8"/>
      <c r="F162" s="8"/>
      <c r="G162" s="8"/>
      <c r="H162" s="11"/>
      <c r="I162" s="10"/>
      <c r="J162" s="11"/>
      <c r="K162" s="11"/>
      <c r="L162" s="12" t="str">
        <f t="shared" si="14"/>
        <v/>
      </c>
      <c r="M162" s="12" t="str">
        <f t="shared" si="15"/>
        <v/>
      </c>
      <c r="N162" s="12" t="str">
        <f t="shared" si="16"/>
        <v/>
      </c>
      <c r="O162" s="12" t="str">
        <f t="shared" si="17"/>
        <v/>
      </c>
      <c r="P162" s="11"/>
      <c r="Q162" s="12" t="str">
        <f t="shared" si="18"/>
        <v/>
      </c>
      <c r="R162" s="12" t="str">
        <f t="shared" si="19"/>
        <v/>
      </c>
      <c r="S162" s="12" t="str">
        <f t="shared" si="20"/>
        <v/>
      </c>
      <c r="T162" s="8"/>
      <c r="U162" s="10"/>
      <c r="V162" s="8"/>
    </row>
    <row r="163" spans="1:22">
      <c r="A163" s="8"/>
      <c r="B163" s="8"/>
      <c r="C163" s="8"/>
      <c r="D163" s="8"/>
      <c r="E163" s="8"/>
      <c r="F163" s="8"/>
      <c r="G163" s="8"/>
      <c r="H163" s="11"/>
      <c r="I163" s="10"/>
      <c r="J163" s="11"/>
      <c r="K163" s="11"/>
      <c r="L163" s="12" t="str">
        <f t="shared" si="14"/>
        <v/>
      </c>
      <c r="M163" s="12" t="str">
        <f t="shared" si="15"/>
        <v/>
      </c>
      <c r="N163" s="12" t="str">
        <f t="shared" si="16"/>
        <v/>
      </c>
      <c r="O163" s="12" t="str">
        <f t="shared" si="17"/>
        <v/>
      </c>
      <c r="P163" s="11"/>
      <c r="Q163" s="12" t="str">
        <f t="shared" si="18"/>
        <v/>
      </c>
      <c r="R163" s="12" t="str">
        <f t="shared" si="19"/>
        <v/>
      </c>
      <c r="S163" s="12" t="str">
        <f t="shared" si="20"/>
        <v/>
      </c>
      <c r="T163" s="8"/>
      <c r="U163" s="10"/>
      <c r="V163" s="8"/>
    </row>
    <row r="164" spans="1:22">
      <c r="A164" s="8"/>
      <c r="B164" s="8"/>
      <c r="C164" s="8"/>
      <c r="D164" s="8"/>
      <c r="E164" s="8"/>
      <c r="F164" s="8"/>
      <c r="G164" s="8"/>
      <c r="H164" s="11"/>
      <c r="I164" s="10"/>
      <c r="J164" s="11"/>
      <c r="K164" s="11"/>
      <c r="L164" s="12" t="str">
        <f t="shared" si="14"/>
        <v/>
      </c>
      <c r="M164" s="12" t="str">
        <f t="shared" si="15"/>
        <v/>
      </c>
      <c r="N164" s="12" t="str">
        <f t="shared" si="16"/>
        <v/>
      </c>
      <c r="O164" s="12" t="str">
        <f t="shared" si="17"/>
        <v/>
      </c>
      <c r="P164" s="11"/>
      <c r="Q164" s="12" t="str">
        <f t="shared" si="18"/>
        <v/>
      </c>
      <c r="R164" s="12" t="str">
        <f t="shared" si="19"/>
        <v/>
      </c>
      <c r="S164" s="12" t="str">
        <f t="shared" si="20"/>
        <v/>
      </c>
      <c r="T164" s="8"/>
      <c r="U164" s="10"/>
      <c r="V164" s="8"/>
    </row>
    <row r="165" spans="1:22">
      <c r="A165" s="8"/>
      <c r="B165" s="8"/>
      <c r="C165" s="8"/>
      <c r="D165" s="8"/>
      <c r="E165" s="8"/>
      <c r="F165" s="8"/>
      <c r="G165" s="8"/>
      <c r="H165" s="11"/>
      <c r="I165" s="10"/>
      <c r="J165" s="11"/>
      <c r="K165" s="11"/>
      <c r="L165" s="12" t="str">
        <f t="shared" si="14"/>
        <v/>
      </c>
      <c r="M165" s="12" t="str">
        <f t="shared" si="15"/>
        <v/>
      </c>
      <c r="N165" s="12" t="str">
        <f t="shared" si="16"/>
        <v/>
      </c>
      <c r="O165" s="12" t="str">
        <f t="shared" si="17"/>
        <v/>
      </c>
      <c r="P165" s="11"/>
      <c r="Q165" s="12" t="str">
        <f t="shared" si="18"/>
        <v/>
      </c>
      <c r="R165" s="12" t="str">
        <f t="shared" si="19"/>
        <v/>
      </c>
      <c r="S165" s="12" t="str">
        <f t="shared" si="20"/>
        <v/>
      </c>
      <c r="T165" s="8"/>
      <c r="U165" s="10"/>
      <c r="V165" s="8"/>
    </row>
    <row r="166" spans="1:22">
      <c r="A166" s="8"/>
      <c r="B166" s="8"/>
      <c r="C166" s="8"/>
      <c r="D166" s="8"/>
      <c r="E166" s="8"/>
      <c r="F166" s="8"/>
      <c r="G166" s="8"/>
      <c r="H166" s="11"/>
      <c r="I166" s="10"/>
      <c r="J166" s="11"/>
      <c r="K166" s="11"/>
      <c r="L166" s="12" t="str">
        <f t="shared" si="14"/>
        <v/>
      </c>
      <c r="M166" s="12" t="str">
        <f t="shared" si="15"/>
        <v/>
      </c>
      <c r="N166" s="12" t="str">
        <f t="shared" si="16"/>
        <v/>
      </c>
      <c r="O166" s="12" t="str">
        <f t="shared" si="17"/>
        <v/>
      </c>
      <c r="P166" s="11"/>
      <c r="Q166" s="12" t="str">
        <f t="shared" si="18"/>
        <v/>
      </c>
      <c r="R166" s="12" t="str">
        <f t="shared" si="19"/>
        <v/>
      </c>
      <c r="S166" s="12" t="str">
        <f t="shared" si="20"/>
        <v/>
      </c>
      <c r="T166" s="8"/>
      <c r="U166" s="10"/>
      <c r="V166" s="8"/>
    </row>
    <row r="167" spans="1:22">
      <c r="A167" s="8"/>
      <c r="B167" s="8"/>
      <c r="C167" s="8"/>
      <c r="D167" s="8"/>
      <c r="E167" s="8"/>
      <c r="F167" s="8"/>
      <c r="G167" s="8"/>
      <c r="H167" s="11"/>
      <c r="I167" s="10"/>
      <c r="J167" s="11"/>
      <c r="K167" s="11"/>
      <c r="L167" s="12" t="str">
        <f t="shared" si="14"/>
        <v/>
      </c>
      <c r="M167" s="12" t="str">
        <f t="shared" si="15"/>
        <v/>
      </c>
      <c r="N167" s="12" t="str">
        <f t="shared" si="16"/>
        <v/>
      </c>
      <c r="O167" s="12" t="str">
        <f t="shared" si="17"/>
        <v/>
      </c>
      <c r="P167" s="11"/>
      <c r="Q167" s="12" t="str">
        <f t="shared" si="18"/>
        <v/>
      </c>
      <c r="R167" s="12" t="str">
        <f t="shared" si="19"/>
        <v/>
      </c>
      <c r="S167" s="12" t="str">
        <f t="shared" si="20"/>
        <v/>
      </c>
      <c r="T167" s="8"/>
      <c r="U167" s="10"/>
      <c r="V167" s="8"/>
    </row>
    <row r="168" spans="1:22">
      <c r="A168" s="8"/>
      <c r="B168" s="8"/>
      <c r="C168" s="8"/>
      <c r="D168" s="8"/>
      <c r="E168" s="8"/>
      <c r="F168" s="8"/>
      <c r="G168" s="8"/>
      <c r="H168" s="11"/>
      <c r="I168" s="10"/>
      <c r="J168" s="11"/>
      <c r="K168" s="11"/>
      <c r="L168" s="12" t="str">
        <f t="shared" si="14"/>
        <v/>
      </c>
      <c r="M168" s="12" t="str">
        <f t="shared" si="15"/>
        <v/>
      </c>
      <c r="N168" s="12" t="str">
        <f t="shared" si="16"/>
        <v/>
      </c>
      <c r="O168" s="12" t="str">
        <f t="shared" si="17"/>
        <v/>
      </c>
      <c r="P168" s="11"/>
      <c r="Q168" s="12" t="str">
        <f t="shared" si="18"/>
        <v/>
      </c>
      <c r="R168" s="12" t="str">
        <f t="shared" si="19"/>
        <v/>
      </c>
      <c r="S168" s="12" t="str">
        <f t="shared" si="20"/>
        <v/>
      </c>
      <c r="T168" s="8"/>
      <c r="U168" s="10"/>
      <c r="V168" s="8"/>
    </row>
    <row r="169" spans="1:22">
      <c r="A169" s="8"/>
      <c r="B169" s="8"/>
      <c r="C169" s="8"/>
      <c r="D169" s="8"/>
      <c r="E169" s="8"/>
      <c r="F169" s="8"/>
      <c r="G169" s="8"/>
      <c r="H169" s="11"/>
      <c r="I169" s="10"/>
      <c r="J169" s="11"/>
      <c r="K169" s="11"/>
      <c r="L169" s="12" t="str">
        <f t="shared" si="14"/>
        <v/>
      </c>
      <c r="M169" s="12" t="str">
        <f t="shared" si="15"/>
        <v/>
      </c>
      <c r="N169" s="12" t="str">
        <f t="shared" si="16"/>
        <v/>
      </c>
      <c r="O169" s="12" t="str">
        <f t="shared" si="17"/>
        <v/>
      </c>
      <c r="P169" s="11"/>
      <c r="Q169" s="12" t="str">
        <f t="shared" si="18"/>
        <v/>
      </c>
      <c r="R169" s="12" t="str">
        <f t="shared" si="19"/>
        <v/>
      </c>
      <c r="S169" s="12" t="str">
        <f t="shared" si="20"/>
        <v/>
      </c>
      <c r="T169" s="8"/>
      <c r="U169" s="10"/>
      <c r="V169" s="8"/>
    </row>
    <row r="170" spans="1:22">
      <c r="A170" s="8"/>
      <c r="B170" s="8"/>
      <c r="C170" s="8"/>
      <c r="D170" s="8"/>
      <c r="E170" s="8"/>
      <c r="F170" s="8"/>
      <c r="G170" s="8"/>
      <c r="H170" s="11"/>
      <c r="I170" s="10"/>
      <c r="J170" s="11"/>
      <c r="K170" s="11"/>
      <c r="L170" s="12" t="str">
        <f t="shared" si="14"/>
        <v/>
      </c>
      <c r="M170" s="12" t="str">
        <f t="shared" si="15"/>
        <v/>
      </c>
      <c r="N170" s="12" t="str">
        <f t="shared" si="16"/>
        <v/>
      </c>
      <c r="O170" s="12" t="str">
        <f t="shared" si="17"/>
        <v/>
      </c>
      <c r="P170" s="11"/>
      <c r="Q170" s="12" t="str">
        <f t="shared" si="18"/>
        <v/>
      </c>
      <c r="R170" s="12" t="str">
        <f t="shared" si="19"/>
        <v/>
      </c>
      <c r="S170" s="12" t="str">
        <f t="shared" si="20"/>
        <v/>
      </c>
      <c r="T170" s="8"/>
      <c r="U170" s="10"/>
      <c r="V170" s="8"/>
    </row>
    <row r="171" spans="1:22">
      <c r="A171" s="8"/>
      <c r="B171" s="8"/>
      <c r="C171" s="8"/>
      <c r="D171" s="8"/>
      <c r="E171" s="8"/>
      <c r="F171" s="8"/>
      <c r="G171" s="8"/>
      <c r="H171" s="11"/>
      <c r="I171" s="10"/>
      <c r="J171" s="11"/>
      <c r="K171" s="11"/>
      <c r="L171" s="12" t="str">
        <f t="shared" si="14"/>
        <v/>
      </c>
      <c r="M171" s="12" t="str">
        <f t="shared" si="15"/>
        <v/>
      </c>
      <c r="N171" s="12" t="str">
        <f t="shared" si="16"/>
        <v/>
      </c>
      <c r="O171" s="12" t="str">
        <f t="shared" si="17"/>
        <v/>
      </c>
      <c r="P171" s="11"/>
      <c r="Q171" s="12" t="str">
        <f t="shared" si="18"/>
        <v/>
      </c>
      <c r="R171" s="12" t="str">
        <f t="shared" si="19"/>
        <v/>
      </c>
      <c r="S171" s="12" t="str">
        <f t="shared" si="20"/>
        <v/>
      </c>
      <c r="T171" s="8"/>
      <c r="U171" s="10"/>
      <c r="V171" s="8"/>
    </row>
    <row r="172" spans="1:22">
      <c r="A172" s="8"/>
      <c r="B172" s="8"/>
      <c r="C172" s="8"/>
      <c r="D172" s="8"/>
      <c r="E172" s="8"/>
      <c r="F172" s="8"/>
      <c r="G172" s="8"/>
      <c r="H172" s="11"/>
      <c r="I172" s="10"/>
      <c r="J172" s="11"/>
      <c r="K172" s="11"/>
      <c r="L172" s="12" t="str">
        <f t="shared" si="14"/>
        <v/>
      </c>
      <c r="M172" s="12" t="str">
        <f t="shared" si="15"/>
        <v/>
      </c>
      <c r="N172" s="12" t="str">
        <f t="shared" si="16"/>
        <v/>
      </c>
      <c r="O172" s="12" t="str">
        <f t="shared" si="17"/>
        <v/>
      </c>
      <c r="P172" s="11"/>
      <c r="Q172" s="12" t="str">
        <f t="shared" si="18"/>
        <v/>
      </c>
      <c r="R172" s="12" t="str">
        <f t="shared" si="19"/>
        <v/>
      </c>
      <c r="S172" s="12" t="str">
        <f t="shared" si="20"/>
        <v/>
      </c>
      <c r="T172" s="8"/>
      <c r="U172" s="10"/>
      <c r="V172" s="8"/>
    </row>
    <row r="173" spans="1:22">
      <c r="A173" s="8"/>
      <c r="B173" s="8"/>
      <c r="C173" s="8"/>
      <c r="D173" s="8"/>
      <c r="E173" s="8"/>
      <c r="F173" s="8"/>
      <c r="G173" s="8"/>
      <c r="H173" s="11"/>
      <c r="I173" s="10"/>
      <c r="J173" s="11"/>
      <c r="K173" s="11"/>
      <c r="L173" s="12" t="str">
        <f t="shared" si="14"/>
        <v/>
      </c>
      <c r="M173" s="12" t="str">
        <f t="shared" si="15"/>
        <v/>
      </c>
      <c r="N173" s="12" t="str">
        <f t="shared" si="16"/>
        <v/>
      </c>
      <c r="O173" s="12" t="str">
        <f t="shared" si="17"/>
        <v/>
      </c>
      <c r="P173" s="11"/>
      <c r="Q173" s="12" t="str">
        <f t="shared" si="18"/>
        <v/>
      </c>
      <c r="R173" s="12" t="str">
        <f t="shared" si="19"/>
        <v/>
      </c>
      <c r="S173" s="12" t="str">
        <f t="shared" si="20"/>
        <v/>
      </c>
      <c r="T173" s="8"/>
      <c r="U173" s="10"/>
      <c r="V173" s="8"/>
    </row>
    <row r="174" spans="1:22">
      <c r="A174" s="8"/>
      <c r="B174" s="8"/>
      <c r="C174" s="8"/>
      <c r="D174" s="8"/>
      <c r="E174" s="8"/>
      <c r="F174" s="8"/>
      <c r="G174" s="8"/>
      <c r="H174" s="11"/>
      <c r="I174" s="10"/>
      <c r="J174" s="11"/>
      <c r="K174" s="11"/>
      <c r="L174" s="12" t="str">
        <f t="shared" si="14"/>
        <v/>
      </c>
      <c r="M174" s="12" t="str">
        <f t="shared" si="15"/>
        <v/>
      </c>
      <c r="N174" s="12" t="str">
        <f t="shared" si="16"/>
        <v/>
      </c>
      <c r="O174" s="12" t="str">
        <f t="shared" si="17"/>
        <v/>
      </c>
      <c r="P174" s="11"/>
      <c r="Q174" s="12" t="str">
        <f t="shared" si="18"/>
        <v/>
      </c>
      <c r="R174" s="12" t="str">
        <f t="shared" si="19"/>
        <v/>
      </c>
      <c r="S174" s="12" t="str">
        <f t="shared" si="20"/>
        <v/>
      </c>
      <c r="T174" s="8"/>
      <c r="U174" s="10"/>
      <c r="V174" s="8"/>
    </row>
    <row r="175" spans="1:22">
      <c r="A175" s="8"/>
      <c r="B175" s="8"/>
      <c r="C175" s="8"/>
      <c r="D175" s="8"/>
      <c r="E175" s="8"/>
      <c r="F175" s="8"/>
      <c r="G175" s="8"/>
      <c r="H175" s="11"/>
      <c r="I175" s="10"/>
      <c r="J175" s="11"/>
      <c r="K175" s="11"/>
      <c r="L175" s="12" t="str">
        <f t="shared" si="14"/>
        <v/>
      </c>
      <c r="M175" s="12" t="str">
        <f t="shared" si="15"/>
        <v/>
      </c>
      <c r="N175" s="12" t="str">
        <f t="shared" si="16"/>
        <v/>
      </c>
      <c r="O175" s="12" t="str">
        <f t="shared" si="17"/>
        <v/>
      </c>
      <c r="P175" s="11"/>
      <c r="Q175" s="12" t="str">
        <f t="shared" si="18"/>
        <v/>
      </c>
      <c r="R175" s="12" t="str">
        <f t="shared" si="19"/>
        <v/>
      </c>
      <c r="S175" s="12" t="str">
        <f t="shared" si="20"/>
        <v/>
      </c>
      <c r="T175" s="8"/>
      <c r="U175" s="10"/>
      <c r="V175" s="8"/>
    </row>
    <row r="176" spans="1:22">
      <c r="A176" s="8"/>
      <c r="B176" s="8"/>
      <c r="C176" s="8"/>
      <c r="D176" s="8"/>
      <c r="E176" s="8"/>
      <c r="F176" s="8"/>
      <c r="G176" s="8"/>
      <c r="H176" s="11"/>
      <c r="I176" s="10"/>
      <c r="J176" s="11"/>
      <c r="K176" s="11"/>
      <c r="L176" s="12" t="str">
        <f t="shared" si="14"/>
        <v/>
      </c>
      <c r="M176" s="12" t="str">
        <f t="shared" si="15"/>
        <v/>
      </c>
      <c r="N176" s="12" t="str">
        <f t="shared" si="16"/>
        <v/>
      </c>
      <c r="O176" s="12" t="str">
        <f t="shared" si="17"/>
        <v/>
      </c>
      <c r="P176" s="11"/>
      <c r="Q176" s="12" t="str">
        <f t="shared" si="18"/>
        <v/>
      </c>
      <c r="R176" s="12" t="str">
        <f t="shared" si="19"/>
        <v/>
      </c>
      <c r="S176" s="12" t="str">
        <f t="shared" si="20"/>
        <v/>
      </c>
      <c r="T176" s="8"/>
      <c r="U176" s="10"/>
      <c r="V176" s="8"/>
    </row>
    <row r="177" spans="1:22">
      <c r="A177" s="8"/>
      <c r="B177" s="8"/>
      <c r="C177" s="8"/>
      <c r="D177" s="8"/>
      <c r="E177" s="8"/>
      <c r="F177" s="8"/>
      <c r="G177" s="8"/>
      <c r="H177" s="11"/>
      <c r="I177" s="10"/>
      <c r="J177" s="11"/>
      <c r="K177" s="11"/>
      <c r="L177" s="12" t="str">
        <f t="shared" si="14"/>
        <v/>
      </c>
      <c r="M177" s="12" t="str">
        <f t="shared" si="15"/>
        <v/>
      </c>
      <c r="N177" s="12" t="str">
        <f t="shared" si="16"/>
        <v/>
      </c>
      <c r="O177" s="12" t="str">
        <f t="shared" si="17"/>
        <v/>
      </c>
      <c r="P177" s="11"/>
      <c r="Q177" s="12" t="str">
        <f t="shared" si="18"/>
        <v/>
      </c>
      <c r="R177" s="12" t="str">
        <f t="shared" si="19"/>
        <v/>
      </c>
      <c r="S177" s="12" t="str">
        <f t="shared" si="20"/>
        <v/>
      </c>
      <c r="T177" s="8"/>
      <c r="U177" s="10"/>
      <c r="V177" s="8"/>
    </row>
    <row r="178" spans="1:22">
      <c r="A178" s="8"/>
      <c r="B178" s="8"/>
      <c r="C178" s="8"/>
      <c r="D178" s="8"/>
      <c r="E178" s="8"/>
      <c r="F178" s="8"/>
      <c r="G178" s="8"/>
      <c r="H178" s="11"/>
      <c r="I178" s="10"/>
      <c r="J178" s="11"/>
      <c r="K178" s="11"/>
      <c r="L178" s="12" t="str">
        <f t="shared" si="14"/>
        <v/>
      </c>
      <c r="M178" s="12" t="str">
        <f t="shared" si="15"/>
        <v/>
      </c>
      <c r="N178" s="12" t="str">
        <f t="shared" si="16"/>
        <v/>
      </c>
      <c r="O178" s="12" t="str">
        <f t="shared" si="17"/>
        <v/>
      </c>
      <c r="P178" s="11"/>
      <c r="Q178" s="12" t="str">
        <f t="shared" si="18"/>
        <v/>
      </c>
      <c r="R178" s="12" t="str">
        <f t="shared" si="19"/>
        <v/>
      </c>
      <c r="S178" s="12" t="str">
        <f t="shared" si="20"/>
        <v/>
      </c>
      <c r="T178" s="8"/>
      <c r="U178" s="10"/>
      <c r="V178" s="8"/>
    </row>
    <row r="179" spans="1:22">
      <c r="A179" s="8"/>
      <c r="B179" s="8"/>
      <c r="C179" s="8"/>
      <c r="D179" s="8"/>
      <c r="E179" s="8"/>
      <c r="F179" s="8"/>
      <c r="G179" s="8"/>
      <c r="H179" s="11"/>
      <c r="I179" s="10"/>
      <c r="J179" s="11"/>
      <c r="K179" s="11"/>
      <c r="L179" s="12" t="str">
        <f t="shared" si="14"/>
        <v/>
      </c>
      <c r="M179" s="12" t="str">
        <f t="shared" si="15"/>
        <v/>
      </c>
      <c r="N179" s="12" t="str">
        <f t="shared" si="16"/>
        <v/>
      </c>
      <c r="O179" s="12" t="str">
        <f t="shared" si="17"/>
        <v/>
      </c>
      <c r="P179" s="11"/>
      <c r="Q179" s="12" t="str">
        <f t="shared" si="18"/>
        <v/>
      </c>
      <c r="R179" s="12" t="str">
        <f t="shared" si="19"/>
        <v/>
      </c>
      <c r="S179" s="12" t="str">
        <f t="shared" si="20"/>
        <v/>
      </c>
      <c r="T179" s="8"/>
      <c r="U179" s="10"/>
      <c r="V179" s="8"/>
    </row>
    <row r="180" spans="1:22">
      <c r="A180" s="8"/>
      <c r="B180" s="8"/>
      <c r="C180" s="8"/>
      <c r="D180" s="8"/>
      <c r="E180" s="8"/>
      <c r="F180" s="8"/>
      <c r="G180" s="8"/>
      <c r="H180" s="11"/>
      <c r="I180" s="10"/>
      <c r="J180" s="11"/>
      <c r="K180" s="11"/>
      <c r="L180" s="12" t="str">
        <f t="shared" si="14"/>
        <v/>
      </c>
      <c r="M180" s="12" t="str">
        <f t="shared" si="15"/>
        <v/>
      </c>
      <c r="N180" s="12" t="str">
        <f t="shared" si="16"/>
        <v/>
      </c>
      <c r="O180" s="12" t="str">
        <f t="shared" si="17"/>
        <v/>
      </c>
      <c r="P180" s="11"/>
      <c r="Q180" s="12" t="str">
        <f t="shared" si="18"/>
        <v/>
      </c>
      <c r="R180" s="12" t="str">
        <f t="shared" si="19"/>
        <v/>
      </c>
      <c r="S180" s="12" t="str">
        <f t="shared" si="20"/>
        <v/>
      </c>
      <c r="T180" s="8"/>
      <c r="U180" s="10"/>
      <c r="V180" s="8"/>
    </row>
    <row r="181" spans="1:22">
      <c r="A181" s="8"/>
      <c r="B181" s="8"/>
      <c r="C181" s="8"/>
      <c r="D181" s="8"/>
      <c r="E181" s="8"/>
      <c r="F181" s="8"/>
      <c r="G181" s="8"/>
      <c r="H181" s="11"/>
      <c r="I181" s="10"/>
      <c r="J181" s="11"/>
      <c r="K181" s="11"/>
      <c r="L181" s="12" t="str">
        <f t="shared" si="14"/>
        <v/>
      </c>
      <c r="M181" s="12" t="str">
        <f t="shared" si="15"/>
        <v/>
      </c>
      <c r="N181" s="12" t="str">
        <f t="shared" si="16"/>
        <v/>
      </c>
      <c r="O181" s="12" t="str">
        <f t="shared" si="17"/>
        <v/>
      </c>
      <c r="P181" s="11"/>
      <c r="Q181" s="12" t="str">
        <f t="shared" si="18"/>
        <v/>
      </c>
      <c r="R181" s="12" t="str">
        <f t="shared" si="19"/>
        <v/>
      </c>
      <c r="S181" s="12" t="str">
        <f t="shared" si="20"/>
        <v/>
      </c>
      <c r="T181" s="8"/>
      <c r="U181" s="10"/>
      <c r="V181" s="8"/>
    </row>
    <row r="182" spans="1:22">
      <c r="A182" s="8"/>
      <c r="B182" s="8"/>
      <c r="C182" s="8"/>
      <c r="D182" s="8"/>
      <c r="E182" s="8"/>
      <c r="F182" s="8"/>
      <c r="G182" s="8"/>
      <c r="H182" s="11"/>
      <c r="I182" s="10"/>
      <c r="J182" s="11"/>
      <c r="K182" s="11"/>
      <c r="L182" s="12" t="str">
        <f t="shared" si="14"/>
        <v/>
      </c>
      <c r="M182" s="12" t="str">
        <f t="shared" si="15"/>
        <v/>
      </c>
      <c r="N182" s="12" t="str">
        <f t="shared" si="16"/>
        <v/>
      </c>
      <c r="O182" s="12" t="str">
        <f t="shared" si="17"/>
        <v/>
      </c>
      <c r="P182" s="11"/>
      <c r="Q182" s="12" t="str">
        <f t="shared" si="18"/>
        <v/>
      </c>
      <c r="R182" s="12" t="str">
        <f t="shared" si="19"/>
        <v/>
      </c>
      <c r="S182" s="12" t="str">
        <f t="shared" si="20"/>
        <v/>
      </c>
      <c r="T182" s="8"/>
      <c r="U182" s="10"/>
      <c r="V182" s="8"/>
    </row>
    <row r="183" spans="1:22">
      <c r="A183" s="8"/>
      <c r="B183" s="8"/>
      <c r="C183" s="8"/>
      <c r="D183" s="8"/>
      <c r="E183" s="8"/>
      <c r="F183" s="8"/>
      <c r="G183" s="8"/>
      <c r="H183" s="11"/>
      <c r="I183" s="10"/>
      <c r="J183" s="11"/>
      <c r="K183" s="11"/>
      <c r="L183" s="12" t="str">
        <f t="shared" si="14"/>
        <v/>
      </c>
      <c r="M183" s="12" t="str">
        <f t="shared" si="15"/>
        <v/>
      </c>
      <c r="N183" s="12" t="str">
        <f t="shared" si="16"/>
        <v/>
      </c>
      <c r="O183" s="12" t="str">
        <f t="shared" si="17"/>
        <v/>
      </c>
      <c r="P183" s="11"/>
      <c r="Q183" s="12" t="str">
        <f t="shared" si="18"/>
        <v/>
      </c>
      <c r="R183" s="12" t="str">
        <f t="shared" si="19"/>
        <v/>
      </c>
      <c r="S183" s="12" t="str">
        <f t="shared" si="20"/>
        <v/>
      </c>
      <c r="T183" s="8"/>
      <c r="U183" s="10"/>
      <c r="V183" s="8"/>
    </row>
    <row r="184" spans="1:22">
      <c r="A184" s="8"/>
      <c r="B184" s="8"/>
      <c r="C184" s="8"/>
      <c r="D184" s="8"/>
      <c r="E184" s="8"/>
      <c r="F184" s="8"/>
      <c r="G184" s="8"/>
      <c r="H184" s="11"/>
      <c r="I184" s="10"/>
      <c r="J184" s="11"/>
      <c r="K184" s="11"/>
      <c r="L184" s="12" t="str">
        <f t="shared" si="14"/>
        <v/>
      </c>
      <c r="M184" s="12" t="str">
        <f t="shared" si="15"/>
        <v/>
      </c>
      <c r="N184" s="12" t="str">
        <f t="shared" si="16"/>
        <v/>
      </c>
      <c r="O184" s="12" t="str">
        <f t="shared" si="17"/>
        <v/>
      </c>
      <c r="P184" s="11"/>
      <c r="Q184" s="12" t="str">
        <f t="shared" si="18"/>
        <v/>
      </c>
      <c r="R184" s="12" t="str">
        <f t="shared" si="19"/>
        <v/>
      </c>
      <c r="S184" s="12" t="str">
        <f t="shared" si="20"/>
        <v/>
      </c>
      <c r="T184" s="8"/>
      <c r="U184" s="10"/>
      <c r="V184" s="8"/>
    </row>
    <row r="185" spans="1:22">
      <c r="A185" s="8"/>
      <c r="B185" s="8"/>
      <c r="C185" s="8"/>
      <c r="D185" s="8"/>
      <c r="E185" s="8"/>
      <c r="F185" s="8"/>
      <c r="G185" s="8"/>
      <c r="H185" s="11"/>
      <c r="I185" s="10"/>
      <c r="J185" s="11"/>
      <c r="K185" s="11"/>
      <c r="L185" s="12" t="str">
        <f t="shared" si="14"/>
        <v/>
      </c>
      <c r="M185" s="12" t="str">
        <f t="shared" si="15"/>
        <v/>
      </c>
      <c r="N185" s="12" t="str">
        <f t="shared" si="16"/>
        <v/>
      </c>
      <c r="O185" s="12" t="str">
        <f t="shared" si="17"/>
        <v/>
      </c>
      <c r="P185" s="11"/>
      <c r="Q185" s="12" t="str">
        <f t="shared" si="18"/>
        <v/>
      </c>
      <c r="R185" s="12" t="str">
        <f t="shared" si="19"/>
        <v/>
      </c>
      <c r="S185" s="12" t="str">
        <f t="shared" si="20"/>
        <v/>
      </c>
      <c r="T185" s="8"/>
      <c r="U185" s="10"/>
      <c r="V185" s="8"/>
    </row>
    <row r="186" spans="1:22">
      <c r="A186" s="8"/>
      <c r="B186" s="8"/>
      <c r="C186" s="8"/>
      <c r="D186" s="8"/>
      <c r="E186" s="8"/>
      <c r="F186" s="8"/>
      <c r="G186" s="8"/>
      <c r="H186" s="11"/>
      <c r="I186" s="10"/>
      <c r="J186" s="11"/>
      <c r="K186" s="11"/>
      <c r="L186" s="12" t="str">
        <f t="shared" si="14"/>
        <v/>
      </c>
      <c r="M186" s="12" t="str">
        <f t="shared" si="15"/>
        <v/>
      </c>
      <c r="N186" s="12" t="str">
        <f t="shared" si="16"/>
        <v/>
      </c>
      <c r="O186" s="12" t="str">
        <f t="shared" si="17"/>
        <v/>
      </c>
      <c r="P186" s="11"/>
      <c r="Q186" s="12" t="str">
        <f t="shared" si="18"/>
        <v/>
      </c>
      <c r="R186" s="12" t="str">
        <f t="shared" si="19"/>
        <v/>
      </c>
      <c r="S186" s="12" t="str">
        <f t="shared" si="20"/>
        <v/>
      </c>
      <c r="T186" s="8"/>
      <c r="U186" s="10"/>
      <c r="V186" s="8"/>
    </row>
    <row r="187" spans="1:22">
      <c r="A187" s="8"/>
      <c r="B187" s="8"/>
      <c r="C187" s="8"/>
      <c r="D187" s="8"/>
      <c r="E187" s="8"/>
      <c r="F187" s="8"/>
      <c r="G187" s="8"/>
      <c r="H187" s="11"/>
      <c r="I187" s="10"/>
      <c r="J187" s="11"/>
      <c r="K187" s="11"/>
      <c r="L187" s="12" t="str">
        <f t="shared" si="14"/>
        <v/>
      </c>
      <c r="M187" s="12" t="str">
        <f t="shared" si="15"/>
        <v/>
      </c>
      <c r="N187" s="12" t="str">
        <f t="shared" si="16"/>
        <v/>
      </c>
      <c r="O187" s="12" t="str">
        <f t="shared" si="17"/>
        <v/>
      </c>
      <c r="P187" s="11"/>
      <c r="Q187" s="12" t="str">
        <f t="shared" si="18"/>
        <v/>
      </c>
      <c r="R187" s="12" t="str">
        <f t="shared" si="19"/>
        <v/>
      </c>
      <c r="S187" s="12" t="str">
        <f t="shared" si="20"/>
        <v/>
      </c>
      <c r="T187" s="8"/>
      <c r="U187" s="10"/>
      <c r="V187" s="8"/>
    </row>
    <row r="188" spans="1:22">
      <c r="A188" s="8"/>
      <c r="B188" s="8"/>
      <c r="C188" s="8"/>
      <c r="D188" s="8"/>
      <c r="E188" s="8"/>
      <c r="F188" s="8"/>
      <c r="G188" s="8"/>
      <c r="H188" s="11"/>
      <c r="I188" s="10"/>
      <c r="J188" s="11"/>
      <c r="K188" s="11"/>
      <c r="L188" s="12" t="str">
        <f t="shared" si="14"/>
        <v/>
      </c>
      <c r="M188" s="12" t="str">
        <f t="shared" si="15"/>
        <v/>
      </c>
      <c r="N188" s="12" t="str">
        <f t="shared" si="16"/>
        <v/>
      </c>
      <c r="O188" s="12" t="str">
        <f t="shared" si="17"/>
        <v/>
      </c>
      <c r="P188" s="11"/>
      <c r="Q188" s="12" t="str">
        <f t="shared" si="18"/>
        <v/>
      </c>
      <c r="R188" s="12" t="str">
        <f t="shared" si="19"/>
        <v/>
      </c>
      <c r="S188" s="12" t="str">
        <f t="shared" si="20"/>
        <v/>
      </c>
      <c r="T188" s="8"/>
      <c r="U188" s="10"/>
      <c r="V188" s="8"/>
    </row>
    <row r="189" spans="1:22">
      <c r="A189" s="8"/>
      <c r="B189" s="8"/>
      <c r="C189" s="8"/>
      <c r="D189" s="8"/>
      <c r="E189" s="8"/>
      <c r="F189" s="8"/>
      <c r="G189" s="8"/>
      <c r="H189" s="11"/>
      <c r="I189" s="10"/>
      <c r="J189" s="11"/>
      <c r="K189" s="11"/>
      <c r="L189" s="12" t="str">
        <f t="shared" si="14"/>
        <v/>
      </c>
      <c r="M189" s="12" t="str">
        <f t="shared" si="15"/>
        <v/>
      </c>
      <c r="N189" s="12" t="str">
        <f t="shared" si="16"/>
        <v/>
      </c>
      <c r="O189" s="12" t="str">
        <f t="shared" si="17"/>
        <v/>
      </c>
      <c r="P189" s="11"/>
      <c r="Q189" s="12" t="str">
        <f t="shared" si="18"/>
        <v/>
      </c>
      <c r="R189" s="12" t="str">
        <f t="shared" si="19"/>
        <v/>
      </c>
      <c r="S189" s="12" t="str">
        <f t="shared" si="20"/>
        <v/>
      </c>
      <c r="T189" s="8"/>
      <c r="U189" s="10"/>
      <c r="V189" s="8"/>
    </row>
    <row r="190" spans="1:22">
      <c r="A190" s="8"/>
      <c r="B190" s="8"/>
      <c r="C190" s="8"/>
      <c r="D190" s="8"/>
      <c r="E190" s="8"/>
      <c r="F190" s="8"/>
      <c r="G190" s="8"/>
      <c r="H190" s="11"/>
      <c r="I190" s="10"/>
      <c r="J190" s="11"/>
      <c r="K190" s="11"/>
      <c r="L190" s="12" t="str">
        <f t="shared" si="14"/>
        <v/>
      </c>
      <c r="M190" s="12" t="str">
        <f t="shared" si="15"/>
        <v/>
      </c>
      <c r="N190" s="12" t="str">
        <f t="shared" si="16"/>
        <v/>
      </c>
      <c r="O190" s="12" t="str">
        <f t="shared" si="17"/>
        <v/>
      </c>
      <c r="P190" s="11"/>
      <c r="Q190" s="12" t="str">
        <f t="shared" si="18"/>
        <v/>
      </c>
      <c r="R190" s="12" t="str">
        <f t="shared" si="19"/>
        <v/>
      </c>
      <c r="S190" s="12" t="str">
        <f t="shared" si="20"/>
        <v/>
      </c>
      <c r="T190" s="8"/>
      <c r="U190" s="10"/>
      <c r="V190" s="8"/>
    </row>
    <row r="191" spans="1:22">
      <c r="A191" s="8"/>
      <c r="B191" s="8"/>
      <c r="C191" s="8"/>
      <c r="D191" s="8"/>
      <c r="E191" s="8"/>
      <c r="F191" s="8"/>
      <c r="G191" s="8"/>
      <c r="H191" s="11"/>
      <c r="I191" s="10"/>
      <c r="J191" s="11"/>
      <c r="K191" s="11"/>
      <c r="L191" s="12" t="str">
        <f t="shared" si="14"/>
        <v/>
      </c>
      <c r="M191" s="12" t="str">
        <f t="shared" si="15"/>
        <v/>
      </c>
      <c r="N191" s="12" t="str">
        <f t="shared" si="16"/>
        <v/>
      </c>
      <c r="O191" s="12" t="str">
        <f t="shared" si="17"/>
        <v/>
      </c>
      <c r="P191" s="11"/>
      <c r="Q191" s="12" t="str">
        <f t="shared" si="18"/>
        <v/>
      </c>
      <c r="R191" s="12" t="str">
        <f t="shared" si="19"/>
        <v/>
      </c>
      <c r="S191" s="12" t="str">
        <f t="shared" si="20"/>
        <v/>
      </c>
      <c r="T191" s="8"/>
      <c r="U191" s="10"/>
      <c r="V191" s="8"/>
    </row>
    <row r="192" spans="1:22">
      <c r="A192" s="8"/>
      <c r="B192" s="8"/>
      <c r="C192" s="8"/>
      <c r="D192" s="8"/>
      <c r="E192" s="8"/>
      <c r="F192" s="8"/>
      <c r="G192" s="8"/>
      <c r="H192" s="11"/>
      <c r="I192" s="10"/>
      <c r="J192" s="11"/>
      <c r="K192" s="11"/>
      <c r="L192" s="12" t="str">
        <f t="shared" si="14"/>
        <v/>
      </c>
      <c r="M192" s="12" t="str">
        <f t="shared" si="15"/>
        <v/>
      </c>
      <c r="N192" s="12" t="str">
        <f t="shared" si="16"/>
        <v/>
      </c>
      <c r="O192" s="12" t="str">
        <f t="shared" si="17"/>
        <v/>
      </c>
      <c r="P192" s="11"/>
      <c r="Q192" s="12" t="str">
        <f t="shared" si="18"/>
        <v/>
      </c>
      <c r="R192" s="12" t="str">
        <f t="shared" si="19"/>
        <v/>
      </c>
      <c r="S192" s="12" t="str">
        <f t="shared" si="20"/>
        <v/>
      </c>
      <c r="T192" s="8"/>
      <c r="U192" s="10"/>
      <c r="V192" s="8"/>
    </row>
    <row r="193" spans="1:22">
      <c r="A193" s="8"/>
      <c r="B193" s="8"/>
      <c r="C193" s="8"/>
      <c r="D193" s="8"/>
      <c r="E193" s="8"/>
      <c r="F193" s="8"/>
      <c r="G193" s="8"/>
      <c r="H193" s="11"/>
      <c r="I193" s="10"/>
      <c r="J193" s="11"/>
      <c r="K193" s="11"/>
      <c r="L193" s="12" t="str">
        <f t="shared" si="14"/>
        <v/>
      </c>
      <c r="M193" s="12" t="str">
        <f t="shared" si="15"/>
        <v/>
      </c>
      <c r="N193" s="12" t="str">
        <f t="shared" si="16"/>
        <v/>
      </c>
      <c r="O193" s="12" t="str">
        <f t="shared" si="17"/>
        <v/>
      </c>
      <c r="P193" s="11"/>
      <c r="Q193" s="12" t="str">
        <f t="shared" si="18"/>
        <v/>
      </c>
      <c r="R193" s="12" t="str">
        <f t="shared" si="19"/>
        <v/>
      </c>
      <c r="S193" s="12" t="str">
        <f t="shared" si="20"/>
        <v/>
      </c>
      <c r="T193" s="8"/>
      <c r="U193" s="10"/>
      <c r="V193" s="8"/>
    </row>
    <row r="194" spans="1:22">
      <c r="A194" s="8"/>
      <c r="B194" s="8"/>
      <c r="C194" s="8"/>
      <c r="D194" s="8"/>
      <c r="E194" s="8"/>
      <c r="F194" s="8"/>
      <c r="G194" s="8"/>
      <c r="H194" s="11"/>
      <c r="I194" s="10"/>
      <c r="J194" s="11"/>
      <c r="K194" s="11"/>
      <c r="L194" s="12" t="str">
        <f t="shared" si="14"/>
        <v/>
      </c>
      <c r="M194" s="12" t="str">
        <f t="shared" si="15"/>
        <v/>
      </c>
      <c r="N194" s="12" t="str">
        <f t="shared" si="16"/>
        <v/>
      </c>
      <c r="O194" s="12" t="str">
        <f t="shared" si="17"/>
        <v/>
      </c>
      <c r="P194" s="11"/>
      <c r="Q194" s="12" t="str">
        <f t="shared" si="18"/>
        <v/>
      </c>
      <c r="R194" s="12" t="str">
        <f t="shared" si="19"/>
        <v/>
      </c>
      <c r="S194" s="12" t="str">
        <f t="shared" si="20"/>
        <v/>
      </c>
      <c r="T194" s="8"/>
      <c r="U194" s="10"/>
      <c r="V194" s="8"/>
    </row>
    <row r="195" spans="1:22">
      <c r="A195" s="8"/>
      <c r="B195" s="8"/>
      <c r="C195" s="8"/>
      <c r="D195" s="8"/>
      <c r="E195" s="8"/>
      <c r="F195" s="8"/>
      <c r="G195" s="8"/>
      <c r="H195" s="11"/>
      <c r="I195" s="10"/>
      <c r="J195" s="11"/>
      <c r="K195" s="11"/>
      <c r="L195" s="12" t="str">
        <f t="shared" si="14"/>
        <v/>
      </c>
      <c r="M195" s="12" t="str">
        <f t="shared" si="15"/>
        <v/>
      </c>
      <c r="N195" s="12" t="str">
        <f t="shared" si="16"/>
        <v/>
      </c>
      <c r="O195" s="12" t="str">
        <f t="shared" si="17"/>
        <v/>
      </c>
      <c r="P195" s="11"/>
      <c r="Q195" s="12" t="str">
        <f t="shared" si="18"/>
        <v/>
      </c>
      <c r="R195" s="12" t="str">
        <f t="shared" si="19"/>
        <v/>
      </c>
      <c r="S195" s="12" t="str">
        <f t="shared" si="20"/>
        <v/>
      </c>
      <c r="T195" s="8"/>
      <c r="U195" s="10"/>
      <c r="V195" s="8"/>
    </row>
    <row r="196" spans="1:22">
      <c r="A196" s="8"/>
      <c r="B196" s="8"/>
      <c r="C196" s="8"/>
      <c r="D196" s="8"/>
      <c r="E196" s="8"/>
      <c r="F196" s="8"/>
      <c r="G196" s="8"/>
      <c r="H196" s="11"/>
      <c r="I196" s="10"/>
      <c r="J196" s="11"/>
      <c r="K196" s="11"/>
      <c r="L196" s="12" t="str">
        <f t="shared" si="14"/>
        <v/>
      </c>
      <c r="M196" s="12" t="str">
        <f t="shared" si="15"/>
        <v/>
      </c>
      <c r="N196" s="12" t="str">
        <f t="shared" si="16"/>
        <v/>
      </c>
      <c r="O196" s="12" t="str">
        <f t="shared" si="17"/>
        <v/>
      </c>
      <c r="P196" s="11"/>
      <c r="Q196" s="12" t="str">
        <f t="shared" si="18"/>
        <v/>
      </c>
      <c r="R196" s="12" t="str">
        <f t="shared" si="19"/>
        <v/>
      </c>
      <c r="S196" s="12" t="str">
        <f t="shared" si="20"/>
        <v/>
      </c>
      <c r="T196" s="8"/>
      <c r="U196" s="10"/>
      <c r="V196" s="8"/>
    </row>
    <row r="197" spans="1:22">
      <c r="A197" s="8"/>
      <c r="B197" s="8"/>
      <c r="C197" s="8"/>
      <c r="D197" s="8"/>
      <c r="E197" s="8"/>
      <c r="F197" s="8"/>
      <c r="G197" s="8"/>
      <c r="H197" s="11"/>
      <c r="I197" s="10"/>
      <c r="J197" s="11"/>
      <c r="K197" s="11"/>
      <c r="L197" s="12" t="str">
        <f t="shared" ref="L197:L260" si="21">IF(A197="","",J197+K197)</f>
        <v/>
      </c>
      <c r="M197" s="12" t="str">
        <f t="shared" ref="M197:M260" si="22">IF(A197="","",L197-H197)</f>
        <v/>
      </c>
      <c r="N197" s="12" t="str">
        <f t="shared" ref="N197:N260" si="23">IF(A197="","",MAX(0,H197-L197))</f>
        <v/>
      </c>
      <c r="O197" s="12" t="str">
        <f t="shared" ref="O197:O260" si="24">IF(A197="","",MAX(0,L197-H197))</f>
        <v/>
      </c>
      <c r="P197" s="11"/>
      <c r="Q197" s="12" t="str">
        <f t="shared" ref="Q197:Q260" si="25">IF(A197="","",P197-H197)</f>
        <v/>
      </c>
      <c r="R197" s="12" t="str">
        <f t="shared" ref="R197:R260" si="26">IF(A197="","",MAX(0,H197-P197))</f>
        <v/>
      </c>
      <c r="S197" s="12" t="str">
        <f t="shared" ref="S197:S260" si="27">IF(A197="","",MAX(0,P197-H197))</f>
        <v/>
      </c>
      <c r="T197" s="8"/>
      <c r="U197" s="10"/>
      <c r="V197" s="8"/>
    </row>
    <row r="198" spans="1:22">
      <c r="A198" s="8"/>
      <c r="B198" s="8"/>
      <c r="C198" s="8"/>
      <c r="D198" s="8"/>
      <c r="E198" s="8"/>
      <c r="F198" s="8"/>
      <c r="G198" s="8"/>
      <c r="H198" s="11"/>
      <c r="I198" s="10"/>
      <c r="J198" s="11"/>
      <c r="K198" s="11"/>
      <c r="L198" s="12" t="str">
        <f t="shared" si="21"/>
        <v/>
      </c>
      <c r="M198" s="12" t="str">
        <f t="shared" si="22"/>
        <v/>
      </c>
      <c r="N198" s="12" t="str">
        <f t="shared" si="23"/>
        <v/>
      </c>
      <c r="O198" s="12" t="str">
        <f t="shared" si="24"/>
        <v/>
      </c>
      <c r="P198" s="11"/>
      <c r="Q198" s="12" t="str">
        <f t="shared" si="25"/>
        <v/>
      </c>
      <c r="R198" s="12" t="str">
        <f t="shared" si="26"/>
        <v/>
      </c>
      <c r="S198" s="12" t="str">
        <f t="shared" si="27"/>
        <v/>
      </c>
      <c r="T198" s="8"/>
      <c r="U198" s="10"/>
      <c r="V198" s="8"/>
    </row>
    <row r="199" spans="1:22">
      <c r="A199" s="8"/>
      <c r="B199" s="8"/>
      <c r="C199" s="8"/>
      <c r="D199" s="8"/>
      <c r="E199" s="8"/>
      <c r="F199" s="8"/>
      <c r="G199" s="8"/>
      <c r="H199" s="11"/>
      <c r="I199" s="10"/>
      <c r="J199" s="11"/>
      <c r="K199" s="11"/>
      <c r="L199" s="12" t="str">
        <f t="shared" si="21"/>
        <v/>
      </c>
      <c r="M199" s="12" t="str">
        <f t="shared" si="22"/>
        <v/>
      </c>
      <c r="N199" s="12" t="str">
        <f t="shared" si="23"/>
        <v/>
      </c>
      <c r="O199" s="12" t="str">
        <f t="shared" si="24"/>
        <v/>
      </c>
      <c r="P199" s="11"/>
      <c r="Q199" s="12" t="str">
        <f t="shared" si="25"/>
        <v/>
      </c>
      <c r="R199" s="12" t="str">
        <f t="shared" si="26"/>
        <v/>
      </c>
      <c r="S199" s="12" t="str">
        <f t="shared" si="27"/>
        <v/>
      </c>
      <c r="T199" s="8"/>
      <c r="U199" s="10"/>
      <c r="V199" s="8"/>
    </row>
    <row r="200" spans="1:22">
      <c r="A200" s="8"/>
      <c r="B200" s="8"/>
      <c r="C200" s="8"/>
      <c r="D200" s="8"/>
      <c r="E200" s="8"/>
      <c r="F200" s="8"/>
      <c r="G200" s="8"/>
      <c r="H200" s="11"/>
      <c r="I200" s="10"/>
      <c r="J200" s="11"/>
      <c r="K200" s="11"/>
      <c r="L200" s="12" t="str">
        <f t="shared" si="21"/>
        <v/>
      </c>
      <c r="M200" s="12" t="str">
        <f t="shared" si="22"/>
        <v/>
      </c>
      <c r="N200" s="12" t="str">
        <f t="shared" si="23"/>
        <v/>
      </c>
      <c r="O200" s="12" t="str">
        <f t="shared" si="24"/>
        <v/>
      </c>
      <c r="P200" s="11"/>
      <c r="Q200" s="12" t="str">
        <f t="shared" si="25"/>
        <v/>
      </c>
      <c r="R200" s="12" t="str">
        <f t="shared" si="26"/>
        <v/>
      </c>
      <c r="S200" s="12" t="str">
        <f t="shared" si="27"/>
        <v/>
      </c>
      <c r="T200" s="8"/>
      <c r="U200" s="10"/>
      <c r="V200" s="8"/>
    </row>
    <row r="201" spans="1:22">
      <c r="A201" s="8"/>
      <c r="B201" s="8"/>
      <c r="C201" s="8"/>
      <c r="D201" s="8"/>
      <c r="E201" s="8"/>
      <c r="F201" s="8"/>
      <c r="G201" s="8"/>
      <c r="H201" s="11"/>
      <c r="I201" s="10"/>
      <c r="J201" s="11"/>
      <c r="K201" s="11"/>
      <c r="L201" s="12" t="str">
        <f t="shared" si="21"/>
        <v/>
      </c>
      <c r="M201" s="12" t="str">
        <f t="shared" si="22"/>
        <v/>
      </c>
      <c r="N201" s="12" t="str">
        <f t="shared" si="23"/>
        <v/>
      </c>
      <c r="O201" s="12" t="str">
        <f t="shared" si="24"/>
        <v/>
      </c>
      <c r="P201" s="11"/>
      <c r="Q201" s="12" t="str">
        <f t="shared" si="25"/>
        <v/>
      </c>
      <c r="R201" s="12" t="str">
        <f t="shared" si="26"/>
        <v/>
      </c>
      <c r="S201" s="12" t="str">
        <f t="shared" si="27"/>
        <v/>
      </c>
      <c r="T201" s="8"/>
      <c r="U201" s="10"/>
      <c r="V201" s="8"/>
    </row>
    <row r="202" spans="1:22">
      <c r="A202" s="8"/>
      <c r="B202" s="8"/>
      <c r="C202" s="8"/>
      <c r="D202" s="8"/>
      <c r="E202" s="8"/>
      <c r="F202" s="8"/>
      <c r="G202" s="8"/>
      <c r="H202" s="11"/>
      <c r="I202" s="10"/>
      <c r="J202" s="11"/>
      <c r="K202" s="11"/>
      <c r="L202" s="12" t="str">
        <f t="shared" si="21"/>
        <v/>
      </c>
      <c r="M202" s="12" t="str">
        <f t="shared" si="22"/>
        <v/>
      </c>
      <c r="N202" s="12" t="str">
        <f t="shared" si="23"/>
        <v/>
      </c>
      <c r="O202" s="12" t="str">
        <f t="shared" si="24"/>
        <v/>
      </c>
      <c r="P202" s="11"/>
      <c r="Q202" s="12" t="str">
        <f t="shared" si="25"/>
        <v/>
      </c>
      <c r="R202" s="12" t="str">
        <f t="shared" si="26"/>
        <v/>
      </c>
      <c r="S202" s="12" t="str">
        <f t="shared" si="27"/>
        <v/>
      </c>
      <c r="T202" s="8"/>
      <c r="U202" s="10"/>
      <c r="V202" s="8"/>
    </row>
    <row r="203" spans="1:22">
      <c r="A203" s="8"/>
      <c r="B203" s="8"/>
      <c r="C203" s="8"/>
      <c r="D203" s="8"/>
      <c r="E203" s="8"/>
      <c r="F203" s="8"/>
      <c r="G203" s="8"/>
      <c r="H203" s="11"/>
      <c r="I203" s="10"/>
      <c r="J203" s="11"/>
      <c r="K203" s="11"/>
      <c r="L203" s="12" t="str">
        <f t="shared" si="21"/>
        <v/>
      </c>
      <c r="M203" s="12" t="str">
        <f t="shared" si="22"/>
        <v/>
      </c>
      <c r="N203" s="12" t="str">
        <f t="shared" si="23"/>
        <v/>
      </c>
      <c r="O203" s="12" t="str">
        <f t="shared" si="24"/>
        <v/>
      </c>
      <c r="P203" s="11"/>
      <c r="Q203" s="12" t="str">
        <f t="shared" si="25"/>
        <v/>
      </c>
      <c r="R203" s="12" t="str">
        <f t="shared" si="26"/>
        <v/>
      </c>
      <c r="S203" s="12" t="str">
        <f t="shared" si="27"/>
        <v/>
      </c>
      <c r="T203" s="8"/>
      <c r="U203" s="10"/>
      <c r="V203" s="8"/>
    </row>
    <row r="204" spans="1:22">
      <c r="A204" s="8"/>
      <c r="B204" s="8"/>
      <c r="C204" s="8"/>
      <c r="D204" s="8"/>
      <c r="E204" s="8"/>
      <c r="F204" s="8"/>
      <c r="G204" s="8"/>
      <c r="H204" s="11"/>
      <c r="I204" s="10"/>
      <c r="J204" s="11"/>
      <c r="K204" s="11"/>
      <c r="L204" s="12" t="str">
        <f t="shared" si="21"/>
        <v/>
      </c>
      <c r="M204" s="12" t="str">
        <f t="shared" si="22"/>
        <v/>
      </c>
      <c r="N204" s="12" t="str">
        <f t="shared" si="23"/>
        <v/>
      </c>
      <c r="O204" s="12" t="str">
        <f t="shared" si="24"/>
        <v/>
      </c>
      <c r="P204" s="11"/>
      <c r="Q204" s="12" t="str">
        <f t="shared" si="25"/>
        <v/>
      </c>
      <c r="R204" s="12" t="str">
        <f t="shared" si="26"/>
        <v/>
      </c>
      <c r="S204" s="12" t="str">
        <f t="shared" si="27"/>
        <v/>
      </c>
      <c r="T204" s="8"/>
      <c r="U204" s="10"/>
      <c r="V204" s="8"/>
    </row>
    <row r="205" spans="1:22">
      <c r="A205" s="8"/>
      <c r="B205" s="8"/>
      <c r="C205" s="8"/>
      <c r="D205" s="8"/>
      <c r="E205" s="8"/>
      <c r="F205" s="8"/>
      <c r="G205" s="8"/>
      <c r="H205" s="11"/>
      <c r="I205" s="10"/>
      <c r="J205" s="11"/>
      <c r="K205" s="11"/>
      <c r="L205" s="12" t="str">
        <f t="shared" si="21"/>
        <v/>
      </c>
      <c r="M205" s="12" t="str">
        <f t="shared" si="22"/>
        <v/>
      </c>
      <c r="N205" s="12" t="str">
        <f t="shared" si="23"/>
        <v/>
      </c>
      <c r="O205" s="12" t="str">
        <f t="shared" si="24"/>
        <v/>
      </c>
      <c r="P205" s="11"/>
      <c r="Q205" s="12" t="str">
        <f t="shared" si="25"/>
        <v/>
      </c>
      <c r="R205" s="12" t="str">
        <f t="shared" si="26"/>
        <v/>
      </c>
      <c r="S205" s="12" t="str">
        <f t="shared" si="27"/>
        <v/>
      </c>
      <c r="T205" s="8"/>
      <c r="U205" s="10"/>
      <c r="V205" s="8"/>
    </row>
    <row r="206" spans="1:22">
      <c r="A206" s="8"/>
      <c r="B206" s="8"/>
      <c r="C206" s="8"/>
      <c r="D206" s="8"/>
      <c r="E206" s="8"/>
      <c r="F206" s="8"/>
      <c r="G206" s="8"/>
      <c r="H206" s="11"/>
      <c r="I206" s="10"/>
      <c r="J206" s="11"/>
      <c r="K206" s="11"/>
      <c r="L206" s="12" t="str">
        <f t="shared" si="21"/>
        <v/>
      </c>
      <c r="M206" s="12" t="str">
        <f t="shared" si="22"/>
        <v/>
      </c>
      <c r="N206" s="12" t="str">
        <f t="shared" si="23"/>
        <v/>
      </c>
      <c r="O206" s="12" t="str">
        <f t="shared" si="24"/>
        <v/>
      </c>
      <c r="P206" s="11"/>
      <c r="Q206" s="12" t="str">
        <f t="shared" si="25"/>
        <v/>
      </c>
      <c r="R206" s="12" t="str">
        <f t="shared" si="26"/>
        <v/>
      </c>
      <c r="S206" s="12" t="str">
        <f t="shared" si="27"/>
        <v/>
      </c>
      <c r="T206" s="8"/>
      <c r="U206" s="10"/>
      <c r="V206" s="8"/>
    </row>
    <row r="207" spans="1:22">
      <c r="A207" s="8"/>
      <c r="B207" s="8"/>
      <c r="C207" s="8"/>
      <c r="D207" s="8"/>
      <c r="E207" s="8"/>
      <c r="F207" s="8"/>
      <c r="G207" s="8"/>
      <c r="H207" s="11"/>
      <c r="I207" s="10"/>
      <c r="J207" s="11"/>
      <c r="K207" s="11"/>
      <c r="L207" s="12" t="str">
        <f t="shared" si="21"/>
        <v/>
      </c>
      <c r="M207" s="12" t="str">
        <f t="shared" si="22"/>
        <v/>
      </c>
      <c r="N207" s="12" t="str">
        <f t="shared" si="23"/>
        <v/>
      </c>
      <c r="O207" s="12" t="str">
        <f t="shared" si="24"/>
        <v/>
      </c>
      <c r="P207" s="11"/>
      <c r="Q207" s="12" t="str">
        <f t="shared" si="25"/>
        <v/>
      </c>
      <c r="R207" s="12" t="str">
        <f t="shared" si="26"/>
        <v/>
      </c>
      <c r="S207" s="12" t="str">
        <f t="shared" si="27"/>
        <v/>
      </c>
      <c r="T207" s="8"/>
      <c r="U207" s="10"/>
      <c r="V207" s="8"/>
    </row>
    <row r="208" spans="1:22">
      <c r="A208" s="8"/>
      <c r="B208" s="8"/>
      <c r="C208" s="8"/>
      <c r="D208" s="8"/>
      <c r="E208" s="8"/>
      <c r="F208" s="8"/>
      <c r="G208" s="8"/>
      <c r="H208" s="11"/>
      <c r="I208" s="10"/>
      <c r="J208" s="11"/>
      <c r="K208" s="11"/>
      <c r="L208" s="12" t="str">
        <f t="shared" si="21"/>
        <v/>
      </c>
      <c r="M208" s="12" t="str">
        <f t="shared" si="22"/>
        <v/>
      </c>
      <c r="N208" s="12" t="str">
        <f t="shared" si="23"/>
        <v/>
      </c>
      <c r="O208" s="12" t="str">
        <f t="shared" si="24"/>
        <v/>
      </c>
      <c r="P208" s="11"/>
      <c r="Q208" s="12" t="str">
        <f t="shared" si="25"/>
        <v/>
      </c>
      <c r="R208" s="12" t="str">
        <f t="shared" si="26"/>
        <v/>
      </c>
      <c r="S208" s="12" t="str">
        <f t="shared" si="27"/>
        <v/>
      </c>
      <c r="T208" s="8"/>
      <c r="U208" s="10"/>
      <c r="V208" s="8"/>
    </row>
    <row r="209" spans="1:22">
      <c r="A209" s="8"/>
      <c r="B209" s="8"/>
      <c r="C209" s="8"/>
      <c r="D209" s="8"/>
      <c r="E209" s="8"/>
      <c r="F209" s="8"/>
      <c r="G209" s="8"/>
      <c r="H209" s="11"/>
      <c r="I209" s="10"/>
      <c r="J209" s="11"/>
      <c r="K209" s="11"/>
      <c r="L209" s="12" t="str">
        <f t="shared" si="21"/>
        <v/>
      </c>
      <c r="M209" s="12" t="str">
        <f t="shared" si="22"/>
        <v/>
      </c>
      <c r="N209" s="12" t="str">
        <f t="shared" si="23"/>
        <v/>
      </c>
      <c r="O209" s="12" t="str">
        <f t="shared" si="24"/>
        <v/>
      </c>
      <c r="P209" s="11"/>
      <c r="Q209" s="12" t="str">
        <f t="shared" si="25"/>
        <v/>
      </c>
      <c r="R209" s="12" t="str">
        <f t="shared" si="26"/>
        <v/>
      </c>
      <c r="S209" s="12" t="str">
        <f t="shared" si="27"/>
        <v/>
      </c>
      <c r="T209" s="8"/>
      <c r="U209" s="10"/>
      <c r="V209" s="8"/>
    </row>
    <row r="210" spans="1:22">
      <c r="A210" s="8"/>
      <c r="B210" s="8"/>
      <c r="C210" s="8"/>
      <c r="D210" s="8"/>
      <c r="E210" s="8"/>
      <c r="F210" s="8"/>
      <c r="G210" s="8"/>
      <c r="H210" s="11"/>
      <c r="I210" s="10"/>
      <c r="J210" s="11"/>
      <c r="K210" s="11"/>
      <c r="L210" s="12" t="str">
        <f t="shared" si="21"/>
        <v/>
      </c>
      <c r="M210" s="12" t="str">
        <f t="shared" si="22"/>
        <v/>
      </c>
      <c r="N210" s="12" t="str">
        <f t="shared" si="23"/>
        <v/>
      </c>
      <c r="O210" s="12" t="str">
        <f t="shared" si="24"/>
        <v/>
      </c>
      <c r="P210" s="11"/>
      <c r="Q210" s="12" t="str">
        <f t="shared" si="25"/>
        <v/>
      </c>
      <c r="R210" s="12" t="str">
        <f t="shared" si="26"/>
        <v/>
      </c>
      <c r="S210" s="12" t="str">
        <f t="shared" si="27"/>
        <v/>
      </c>
      <c r="T210" s="8"/>
      <c r="U210" s="10"/>
      <c r="V210" s="8"/>
    </row>
    <row r="211" spans="1:22">
      <c r="A211" s="8"/>
      <c r="B211" s="8"/>
      <c r="C211" s="8"/>
      <c r="D211" s="8"/>
      <c r="E211" s="8"/>
      <c r="F211" s="8"/>
      <c r="G211" s="8"/>
      <c r="H211" s="11"/>
      <c r="I211" s="10"/>
      <c r="J211" s="11"/>
      <c r="K211" s="11"/>
      <c r="L211" s="12" t="str">
        <f t="shared" si="21"/>
        <v/>
      </c>
      <c r="M211" s="12" t="str">
        <f t="shared" si="22"/>
        <v/>
      </c>
      <c r="N211" s="12" t="str">
        <f t="shared" si="23"/>
        <v/>
      </c>
      <c r="O211" s="12" t="str">
        <f t="shared" si="24"/>
        <v/>
      </c>
      <c r="P211" s="11"/>
      <c r="Q211" s="12" t="str">
        <f t="shared" si="25"/>
        <v/>
      </c>
      <c r="R211" s="12" t="str">
        <f t="shared" si="26"/>
        <v/>
      </c>
      <c r="S211" s="12" t="str">
        <f t="shared" si="27"/>
        <v/>
      </c>
      <c r="T211" s="8"/>
      <c r="U211" s="10"/>
      <c r="V211" s="8"/>
    </row>
    <row r="212" spans="1:22">
      <c r="A212" s="8"/>
      <c r="B212" s="8"/>
      <c r="C212" s="8"/>
      <c r="D212" s="8"/>
      <c r="E212" s="8"/>
      <c r="F212" s="8"/>
      <c r="G212" s="8"/>
      <c r="H212" s="11"/>
      <c r="I212" s="10"/>
      <c r="J212" s="11"/>
      <c r="K212" s="11"/>
      <c r="L212" s="12" t="str">
        <f t="shared" si="21"/>
        <v/>
      </c>
      <c r="M212" s="12" t="str">
        <f t="shared" si="22"/>
        <v/>
      </c>
      <c r="N212" s="12" t="str">
        <f t="shared" si="23"/>
        <v/>
      </c>
      <c r="O212" s="12" t="str">
        <f t="shared" si="24"/>
        <v/>
      </c>
      <c r="P212" s="11"/>
      <c r="Q212" s="12" t="str">
        <f t="shared" si="25"/>
        <v/>
      </c>
      <c r="R212" s="12" t="str">
        <f t="shared" si="26"/>
        <v/>
      </c>
      <c r="S212" s="12" t="str">
        <f t="shared" si="27"/>
        <v/>
      </c>
      <c r="T212" s="8"/>
      <c r="U212" s="10"/>
      <c r="V212" s="8"/>
    </row>
    <row r="213" spans="1:22">
      <c r="A213" s="8"/>
      <c r="B213" s="8"/>
      <c r="C213" s="8"/>
      <c r="D213" s="8"/>
      <c r="E213" s="8"/>
      <c r="F213" s="8"/>
      <c r="G213" s="8"/>
      <c r="H213" s="11"/>
      <c r="I213" s="10"/>
      <c r="J213" s="11"/>
      <c r="K213" s="11"/>
      <c r="L213" s="12" t="str">
        <f t="shared" si="21"/>
        <v/>
      </c>
      <c r="M213" s="12" t="str">
        <f t="shared" si="22"/>
        <v/>
      </c>
      <c r="N213" s="12" t="str">
        <f t="shared" si="23"/>
        <v/>
      </c>
      <c r="O213" s="12" t="str">
        <f t="shared" si="24"/>
        <v/>
      </c>
      <c r="P213" s="11"/>
      <c r="Q213" s="12" t="str">
        <f t="shared" si="25"/>
        <v/>
      </c>
      <c r="R213" s="12" t="str">
        <f t="shared" si="26"/>
        <v/>
      </c>
      <c r="S213" s="12" t="str">
        <f t="shared" si="27"/>
        <v/>
      </c>
      <c r="T213" s="8"/>
      <c r="U213" s="10"/>
      <c r="V213" s="8"/>
    </row>
    <row r="214" spans="1:22">
      <c r="A214" s="8"/>
      <c r="B214" s="8"/>
      <c r="C214" s="8"/>
      <c r="D214" s="8"/>
      <c r="E214" s="8"/>
      <c r="F214" s="8"/>
      <c r="G214" s="8"/>
      <c r="H214" s="11"/>
      <c r="I214" s="10"/>
      <c r="J214" s="11"/>
      <c r="K214" s="11"/>
      <c r="L214" s="12" t="str">
        <f t="shared" si="21"/>
        <v/>
      </c>
      <c r="M214" s="12" t="str">
        <f t="shared" si="22"/>
        <v/>
      </c>
      <c r="N214" s="12" t="str">
        <f t="shared" si="23"/>
        <v/>
      </c>
      <c r="O214" s="12" t="str">
        <f t="shared" si="24"/>
        <v/>
      </c>
      <c r="P214" s="11"/>
      <c r="Q214" s="12" t="str">
        <f t="shared" si="25"/>
        <v/>
      </c>
      <c r="R214" s="12" t="str">
        <f t="shared" si="26"/>
        <v/>
      </c>
      <c r="S214" s="12" t="str">
        <f t="shared" si="27"/>
        <v/>
      </c>
      <c r="T214" s="8"/>
      <c r="U214" s="10"/>
      <c r="V214" s="8"/>
    </row>
    <row r="215" spans="1:22">
      <c r="A215" s="8"/>
      <c r="B215" s="8"/>
      <c r="C215" s="8"/>
      <c r="D215" s="8"/>
      <c r="E215" s="8"/>
      <c r="F215" s="8"/>
      <c r="G215" s="8"/>
      <c r="H215" s="11"/>
      <c r="I215" s="10"/>
      <c r="J215" s="11"/>
      <c r="K215" s="11"/>
      <c r="L215" s="12" t="str">
        <f t="shared" si="21"/>
        <v/>
      </c>
      <c r="M215" s="12" t="str">
        <f t="shared" si="22"/>
        <v/>
      </c>
      <c r="N215" s="12" t="str">
        <f t="shared" si="23"/>
        <v/>
      </c>
      <c r="O215" s="12" t="str">
        <f t="shared" si="24"/>
        <v/>
      </c>
      <c r="P215" s="11"/>
      <c r="Q215" s="12" t="str">
        <f t="shared" si="25"/>
        <v/>
      </c>
      <c r="R215" s="12" t="str">
        <f t="shared" si="26"/>
        <v/>
      </c>
      <c r="S215" s="12" t="str">
        <f t="shared" si="27"/>
        <v/>
      </c>
      <c r="T215" s="8"/>
      <c r="U215" s="10"/>
      <c r="V215" s="8"/>
    </row>
    <row r="216" spans="1:22">
      <c r="A216" s="8"/>
      <c r="B216" s="8"/>
      <c r="C216" s="8"/>
      <c r="D216" s="8"/>
      <c r="E216" s="8"/>
      <c r="F216" s="8"/>
      <c r="G216" s="8"/>
      <c r="H216" s="11"/>
      <c r="I216" s="10"/>
      <c r="J216" s="11"/>
      <c r="K216" s="11"/>
      <c r="L216" s="12" t="str">
        <f t="shared" si="21"/>
        <v/>
      </c>
      <c r="M216" s="12" t="str">
        <f t="shared" si="22"/>
        <v/>
      </c>
      <c r="N216" s="12" t="str">
        <f t="shared" si="23"/>
        <v/>
      </c>
      <c r="O216" s="12" t="str">
        <f t="shared" si="24"/>
        <v/>
      </c>
      <c r="P216" s="11"/>
      <c r="Q216" s="12" t="str">
        <f t="shared" si="25"/>
        <v/>
      </c>
      <c r="R216" s="12" t="str">
        <f t="shared" si="26"/>
        <v/>
      </c>
      <c r="S216" s="12" t="str">
        <f t="shared" si="27"/>
        <v/>
      </c>
      <c r="T216" s="8"/>
      <c r="U216" s="10"/>
      <c r="V216" s="8"/>
    </row>
    <row r="217" spans="1:22">
      <c r="A217" s="8"/>
      <c r="B217" s="8"/>
      <c r="C217" s="8"/>
      <c r="D217" s="8"/>
      <c r="E217" s="8"/>
      <c r="F217" s="8"/>
      <c r="G217" s="8"/>
      <c r="H217" s="11"/>
      <c r="I217" s="10"/>
      <c r="J217" s="11"/>
      <c r="K217" s="11"/>
      <c r="L217" s="12" t="str">
        <f t="shared" si="21"/>
        <v/>
      </c>
      <c r="M217" s="12" t="str">
        <f t="shared" si="22"/>
        <v/>
      </c>
      <c r="N217" s="12" t="str">
        <f t="shared" si="23"/>
        <v/>
      </c>
      <c r="O217" s="12" t="str">
        <f t="shared" si="24"/>
        <v/>
      </c>
      <c r="P217" s="11"/>
      <c r="Q217" s="12" t="str">
        <f t="shared" si="25"/>
        <v/>
      </c>
      <c r="R217" s="12" t="str">
        <f t="shared" si="26"/>
        <v/>
      </c>
      <c r="S217" s="12" t="str">
        <f t="shared" si="27"/>
        <v/>
      </c>
      <c r="T217" s="8"/>
      <c r="U217" s="10"/>
      <c r="V217" s="8"/>
    </row>
    <row r="218" spans="1:22">
      <c r="A218" s="8"/>
      <c r="B218" s="8"/>
      <c r="C218" s="8"/>
      <c r="D218" s="8"/>
      <c r="E218" s="8"/>
      <c r="F218" s="8"/>
      <c r="G218" s="8"/>
      <c r="H218" s="11"/>
      <c r="I218" s="10"/>
      <c r="J218" s="11"/>
      <c r="K218" s="11"/>
      <c r="L218" s="12" t="str">
        <f t="shared" si="21"/>
        <v/>
      </c>
      <c r="M218" s="12" t="str">
        <f t="shared" si="22"/>
        <v/>
      </c>
      <c r="N218" s="12" t="str">
        <f t="shared" si="23"/>
        <v/>
      </c>
      <c r="O218" s="12" t="str">
        <f t="shared" si="24"/>
        <v/>
      </c>
      <c r="P218" s="11"/>
      <c r="Q218" s="12" t="str">
        <f t="shared" si="25"/>
        <v/>
      </c>
      <c r="R218" s="12" t="str">
        <f t="shared" si="26"/>
        <v/>
      </c>
      <c r="S218" s="12" t="str">
        <f t="shared" si="27"/>
        <v/>
      </c>
      <c r="T218" s="8"/>
      <c r="U218" s="10"/>
      <c r="V218" s="8"/>
    </row>
    <row r="219" spans="1:22">
      <c r="A219" s="8"/>
      <c r="B219" s="8"/>
      <c r="C219" s="8"/>
      <c r="D219" s="8"/>
      <c r="E219" s="8"/>
      <c r="F219" s="8"/>
      <c r="G219" s="8"/>
      <c r="H219" s="11"/>
      <c r="I219" s="10"/>
      <c r="J219" s="11"/>
      <c r="K219" s="11"/>
      <c r="L219" s="12" t="str">
        <f t="shared" si="21"/>
        <v/>
      </c>
      <c r="M219" s="12" t="str">
        <f t="shared" si="22"/>
        <v/>
      </c>
      <c r="N219" s="12" t="str">
        <f t="shared" si="23"/>
        <v/>
      </c>
      <c r="O219" s="12" t="str">
        <f t="shared" si="24"/>
        <v/>
      </c>
      <c r="P219" s="11"/>
      <c r="Q219" s="12" t="str">
        <f t="shared" si="25"/>
        <v/>
      </c>
      <c r="R219" s="12" t="str">
        <f t="shared" si="26"/>
        <v/>
      </c>
      <c r="S219" s="12" t="str">
        <f t="shared" si="27"/>
        <v/>
      </c>
      <c r="T219" s="8"/>
      <c r="U219" s="10"/>
      <c r="V219" s="8"/>
    </row>
    <row r="220" spans="1:22">
      <c r="A220" s="8"/>
      <c r="B220" s="8"/>
      <c r="C220" s="8"/>
      <c r="D220" s="8"/>
      <c r="E220" s="8"/>
      <c r="F220" s="8"/>
      <c r="G220" s="8"/>
      <c r="H220" s="11"/>
      <c r="I220" s="10"/>
      <c r="J220" s="11"/>
      <c r="K220" s="11"/>
      <c r="L220" s="12" t="str">
        <f t="shared" si="21"/>
        <v/>
      </c>
      <c r="M220" s="12" t="str">
        <f t="shared" si="22"/>
        <v/>
      </c>
      <c r="N220" s="12" t="str">
        <f t="shared" si="23"/>
        <v/>
      </c>
      <c r="O220" s="12" t="str">
        <f t="shared" si="24"/>
        <v/>
      </c>
      <c r="P220" s="11"/>
      <c r="Q220" s="12" t="str">
        <f t="shared" si="25"/>
        <v/>
      </c>
      <c r="R220" s="12" t="str">
        <f t="shared" si="26"/>
        <v/>
      </c>
      <c r="S220" s="12" t="str">
        <f t="shared" si="27"/>
        <v/>
      </c>
      <c r="T220" s="8"/>
      <c r="U220" s="10"/>
      <c r="V220" s="8"/>
    </row>
    <row r="221" spans="1:22">
      <c r="A221" s="8"/>
      <c r="B221" s="8"/>
      <c r="C221" s="8"/>
      <c r="D221" s="8"/>
      <c r="E221" s="8"/>
      <c r="F221" s="8"/>
      <c r="G221" s="8"/>
      <c r="H221" s="11"/>
      <c r="I221" s="10"/>
      <c r="J221" s="11"/>
      <c r="K221" s="11"/>
      <c r="L221" s="12" t="str">
        <f t="shared" si="21"/>
        <v/>
      </c>
      <c r="M221" s="12" t="str">
        <f t="shared" si="22"/>
        <v/>
      </c>
      <c r="N221" s="12" t="str">
        <f t="shared" si="23"/>
        <v/>
      </c>
      <c r="O221" s="12" t="str">
        <f t="shared" si="24"/>
        <v/>
      </c>
      <c r="P221" s="11"/>
      <c r="Q221" s="12" t="str">
        <f t="shared" si="25"/>
        <v/>
      </c>
      <c r="R221" s="12" t="str">
        <f t="shared" si="26"/>
        <v/>
      </c>
      <c r="S221" s="12" t="str">
        <f t="shared" si="27"/>
        <v/>
      </c>
      <c r="T221" s="8"/>
      <c r="U221" s="10"/>
      <c r="V221" s="8"/>
    </row>
    <row r="222" spans="1:22">
      <c r="A222" s="8"/>
      <c r="B222" s="8"/>
      <c r="C222" s="8"/>
      <c r="D222" s="8"/>
      <c r="E222" s="8"/>
      <c r="F222" s="8"/>
      <c r="G222" s="8"/>
      <c r="H222" s="11"/>
      <c r="I222" s="10"/>
      <c r="J222" s="11"/>
      <c r="K222" s="11"/>
      <c r="L222" s="12" t="str">
        <f t="shared" si="21"/>
        <v/>
      </c>
      <c r="M222" s="12" t="str">
        <f t="shared" si="22"/>
        <v/>
      </c>
      <c r="N222" s="12" t="str">
        <f t="shared" si="23"/>
        <v/>
      </c>
      <c r="O222" s="12" t="str">
        <f t="shared" si="24"/>
        <v/>
      </c>
      <c r="P222" s="11"/>
      <c r="Q222" s="12" t="str">
        <f t="shared" si="25"/>
        <v/>
      </c>
      <c r="R222" s="12" t="str">
        <f t="shared" si="26"/>
        <v/>
      </c>
      <c r="S222" s="12" t="str">
        <f t="shared" si="27"/>
        <v/>
      </c>
      <c r="T222" s="8"/>
      <c r="U222" s="10"/>
      <c r="V222" s="8"/>
    </row>
    <row r="223" spans="1:22">
      <c r="A223" s="8"/>
      <c r="B223" s="8"/>
      <c r="C223" s="8"/>
      <c r="D223" s="8"/>
      <c r="E223" s="8"/>
      <c r="F223" s="8"/>
      <c r="G223" s="8"/>
      <c r="H223" s="11"/>
      <c r="I223" s="10"/>
      <c r="J223" s="11"/>
      <c r="K223" s="11"/>
      <c r="L223" s="12" t="str">
        <f t="shared" si="21"/>
        <v/>
      </c>
      <c r="M223" s="12" t="str">
        <f t="shared" si="22"/>
        <v/>
      </c>
      <c r="N223" s="12" t="str">
        <f t="shared" si="23"/>
        <v/>
      </c>
      <c r="O223" s="12" t="str">
        <f t="shared" si="24"/>
        <v/>
      </c>
      <c r="P223" s="11"/>
      <c r="Q223" s="12" t="str">
        <f t="shared" si="25"/>
        <v/>
      </c>
      <c r="R223" s="12" t="str">
        <f t="shared" si="26"/>
        <v/>
      </c>
      <c r="S223" s="12" t="str">
        <f t="shared" si="27"/>
        <v/>
      </c>
      <c r="T223" s="8"/>
      <c r="U223" s="10"/>
      <c r="V223" s="8"/>
    </row>
    <row r="224" spans="1:22">
      <c r="A224" s="8"/>
      <c r="B224" s="8"/>
      <c r="C224" s="8"/>
      <c r="D224" s="8"/>
      <c r="E224" s="8"/>
      <c r="F224" s="8"/>
      <c r="G224" s="8"/>
      <c r="H224" s="11"/>
      <c r="I224" s="10"/>
      <c r="J224" s="11"/>
      <c r="K224" s="11"/>
      <c r="L224" s="12" t="str">
        <f t="shared" si="21"/>
        <v/>
      </c>
      <c r="M224" s="12" t="str">
        <f t="shared" si="22"/>
        <v/>
      </c>
      <c r="N224" s="12" t="str">
        <f t="shared" si="23"/>
        <v/>
      </c>
      <c r="O224" s="12" t="str">
        <f t="shared" si="24"/>
        <v/>
      </c>
      <c r="P224" s="11"/>
      <c r="Q224" s="12" t="str">
        <f t="shared" si="25"/>
        <v/>
      </c>
      <c r="R224" s="12" t="str">
        <f t="shared" si="26"/>
        <v/>
      </c>
      <c r="S224" s="12" t="str">
        <f t="shared" si="27"/>
        <v/>
      </c>
      <c r="T224" s="8"/>
      <c r="U224" s="10"/>
      <c r="V224" s="8"/>
    </row>
    <row r="225" spans="1:22">
      <c r="A225" s="8"/>
      <c r="B225" s="8"/>
      <c r="C225" s="8"/>
      <c r="D225" s="8"/>
      <c r="E225" s="8"/>
      <c r="F225" s="8"/>
      <c r="G225" s="8"/>
      <c r="H225" s="11"/>
      <c r="I225" s="10"/>
      <c r="J225" s="11"/>
      <c r="K225" s="11"/>
      <c r="L225" s="12" t="str">
        <f t="shared" si="21"/>
        <v/>
      </c>
      <c r="M225" s="12" t="str">
        <f t="shared" si="22"/>
        <v/>
      </c>
      <c r="N225" s="12" t="str">
        <f t="shared" si="23"/>
        <v/>
      </c>
      <c r="O225" s="12" t="str">
        <f t="shared" si="24"/>
        <v/>
      </c>
      <c r="P225" s="11"/>
      <c r="Q225" s="12" t="str">
        <f t="shared" si="25"/>
        <v/>
      </c>
      <c r="R225" s="12" t="str">
        <f t="shared" si="26"/>
        <v/>
      </c>
      <c r="S225" s="12" t="str">
        <f t="shared" si="27"/>
        <v/>
      </c>
      <c r="T225" s="8"/>
      <c r="U225" s="10"/>
      <c r="V225" s="8"/>
    </row>
    <row r="226" spans="1:22">
      <c r="A226" s="8"/>
      <c r="B226" s="8"/>
      <c r="C226" s="8"/>
      <c r="D226" s="8"/>
      <c r="E226" s="8"/>
      <c r="F226" s="8"/>
      <c r="G226" s="8"/>
      <c r="H226" s="11"/>
      <c r="I226" s="10"/>
      <c r="J226" s="11"/>
      <c r="K226" s="11"/>
      <c r="L226" s="12" t="str">
        <f t="shared" si="21"/>
        <v/>
      </c>
      <c r="M226" s="12" t="str">
        <f t="shared" si="22"/>
        <v/>
      </c>
      <c r="N226" s="12" t="str">
        <f t="shared" si="23"/>
        <v/>
      </c>
      <c r="O226" s="12" t="str">
        <f t="shared" si="24"/>
        <v/>
      </c>
      <c r="P226" s="11"/>
      <c r="Q226" s="12" t="str">
        <f t="shared" si="25"/>
        <v/>
      </c>
      <c r="R226" s="12" t="str">
        <f t="shared" si="26"/>
        <v/>
      </c>
      <c r="S226" s="12" t="str">
        <f t="shared" si="27"/>
        <v/>
      </c>
      <c r="T226" s="8"/>
      <c r="U226" s="10"/>
      <c r="V226" s="8"/>
    </row>
    <row r="227" spans="1:22">
      <c r="A227" s="8"/>
      <c r="B227" s="8"/>
      <c r="C227" s="8"/>
      <c r="D227" s="8"/>
      <c r="E227" s="8"/>
      <c r="F227" s="8"/>
      <c r="G227" s="8"/>
      <c r="H227" s="11"/>
      <c r="I227" s="10"/>
      <c r="J227" s="11"/>
      <c r="K227" s="11"/>
      <c r="L227" s="12" t="str">
        <f t="shared" si="21"/>
        <v/>
      </c>
      <c r="M227" s="12" t="str">
        <f t="shared" si="22"/>
        <v/>
      </c>
      <c r="N227" s="12" t="str">
        <f t="shared" si="23"/>
        <v/>
      </c>
      <c r="O227" s="12" t="str">
        <f t="shared" si="24"/>
        <v/>
      </c>
      <c r="P227" s="11"/>
      <c r="Q227" s="12" t="str">
        <f t="shared" si="25"/>
        <v/>
      </c>
      <c r="R227" s="12" t="str">
        <f t="shared" si="26"/>
        <v/>
      </c>
      <c r="S227" s="12" t="str">
        <f t="shared" si="27"/>
        <v/>
      </c>
      <c r="T227" s="8"/>
      <c r="U227" s="10"/>
      <c r="V227" s="8"/>
    </row>
    <row r="228" spans="1:22">
      <c r="A228" s="8"/>
      <c r="B228" s="8"/>
      <c r="C228" s="8"/>
      <c r="D228" s="8"/>
      <c r="E228" s="8"/>
      <c r="F228" s="8"/>
      <c r="G228" s="8"/>
      <c r="H228" s="11"/>
      <c r="I228" s="10"/>
      <c r="J228" s="11"/>
      <c r="K228" s="11"/>
      <c r="L228" s="12" t="str">
        <f t="shared" si="21"/>
        <v/>
      </c>
      <c r="M228" s="12" t="str">
        <f t="shared" si="22"/>
        <v/>
      </c>
      <c r="N228" s="12" t="str">
        <f t="shared" si="23"/>
        <v/>
      </c>
      <c r="O228" s="12" t="str">
        <f t="shared" si="24"/>
        <v/>
      </c>
      <c r="P228" s="11"/>
      <c r="Q228" s="12" t="str">
        <f t="shared" si="25"/>
        <v/>
      </c>
      <c r="R228" s="12" t="str">
        <f t="shared" si="26"/>
        <v/>
      </c>
      <c r="S228" s="12" t="str">
        <f t="shared" si="27"/>
        <v/>
      </c>
      <c r="T228" s="8"/>
      <c r="U228" s="10"/>
      <c r="V228" s="8"/>
    </row>
    <row r="229" spans="1:22">
      <c r="A229" s="8"/>
      <c r="B229" s="8"/>
      <c r="C229" s="8"/>
      <c r="D229" s="8"/>
      <c r="E229" s="8"/>
      <c r="F229" s="8"/>
      <c r="G229" s="8"/>
      <c r="H229" s="11"/>
      <c r="I229" s="10"/>
      <c r="J229" s="11"/>
      <c r="K229" s="11"/>
      <c r="L229" s="12" t="str">
        <f t="shared" si="21"/>
        <v/>
      </c>
      <c r="M229" s="12" t="str">
        <f t="shared" si="22"/>
        <v/>
      </c>
      <c r="N229" s="12" t="str">
        <f t="shared" si="23"/>
        <v/>
      </c>
      <c r="O229" s="12" t="str">
        <f t="shared" si="24"/>
        <v/>
      </c>
      <c r="P229" s="11"/>
      <c r="Q229" s="12" t="str">
        <f t="shared" si="25"/>
        <v/>
      </c>
      <c r="R229" s="12" t="str">
        <f t="shared" si="26"/>
        <v/>
      </c>
      <c r="S229" s="12" t="str">
        <f t="shared" si="27"/>
        <v/>
      </c>
      <c r="T229" s="8"/>
      <c r="U229" s="10"/>
      <c r="V229" s="8"/>
    </row>
    <row r="230" spans="1:22">
      <c r="A230" s="8"/>
      <c r="B230" s="8"/>
      <c r="C230" s="8"/>
      <c r="D230" s="8"/>
      <c r="E230" s="8"/>
      <c r="F230" s="8"/>
      <c r="G230" s="8"/>
      <c r="H230" s="11"/>
      <c r="I230" s="10"/>
      <c r="J230" s="11"/>
      <c r="K230" s="11"/>
      <c r="L230" s="12" t="str">
        <f t="shared" si="21"/>
        <v/>
      </c>
      <c r="M230" s="12" t="str">
        <f t="shared" si="22"/>
        <v/>
      </c>
      <c r="N230" s="12" t="str">
        <f t="shared" si="23"/>
        <v/>
      </c>
      <c r="O230" s="12" t="str">
        <f t="shared" si="24"/>
        <v/>
      </c>
      <c r="P230" s="11"/>
      <c r="Q230" s="12" t="str">
        <f t="shared" si="25"/>
        <v/>
      </c>
      <c r="R230" s="12" t="str">
        <f t="shared" si="26"/>
        <v/>
      </c>
      <c r="S230" s="12" t="str">
        <f t="shared" si="27"/>
        <v/>
      </c>
      <c r="T230" s="8"/>
      <c r="U230" s="10"/>
      <c r="V230" s="8"/>
    </row>
    <row r="231" spans="1:22">
      <c r="A231" s="8"/>
      <c r="B231" s="8"/>
      <c r="C231" s="8"/>
      <c r="D231" s="8"/>
      <c r="E231" s="8"/>
      <c r="F231" s="8"/>
      <c r="G231" s="8"/>
      <c r="H231" s="11"/>
      <c r="I231" s="10"/>
      <c r="J231" s="11"/>
      <c r="K231" s="11"/>
      <c r="L231" s="12" t="str">
        <f t="shared" si="21"/>
        <v/>
      </c>
      <c r="M231" s="12" t="str">
        <f t="shared" si="22"/>
        <v/>
      </c>
      <c r="N231" s="12" t="str">
        <f t="shared" si="23"/>
        <v/>
      </c>
      <c r="O231" s="12" t="str">
        <f t="shared" si="24"/>
        <v/>
      </c>
      <c r="P231" s="11"/>
      <c r="Q231" s="12" t="str">
        <f t="shared" si="25"/>
        <v/>
      </c>
      <c r="R231" s="12" t="str">
        <f t="shared" si="26"/>
        <v/>
      </c>
      <c r="S231" s="12" t="str">
        <f t="shared" si="27"/>
        <v/>
      </c>
      <c r="T231" s="8"/>
      <c r="U231" s="10"/>
      <c r="V231" s="8"/>
    </row>
    <row r="232" spans="1:22">
      <c r="A232" s="8"/>
      <c r="B232" s="8"/>
      <c r="C232" s="8"/>
      <c r="D232" s="8"/>
      <c r="E232" s="8"/>
      <c r="F232" s="8"/>
      <c r="G232" s="8"/>
      <c r="H232" s="11"/>
      <c r="I232" s="10"/>
      <c r="J232" s="11"/>
      <c r="K232" s="11"/>
      <c r="L232" s="12" t="str">
        <f t="shared" si="21"/>
        <v/>
      </c>
      <c r="M232" s="12" t="str">
        <f t="shared" si="22"/>
        <v/>
      </c>
      <c r="N232" s="12" t="str">
        <f t="shared" si="23"/>
        <v/>
      </c>
      <c r="O232" s="12" t="str">
        <f t="shared" si="24"/>
        <v/>
      </c>
      <c r="P232" s="11"/>
      <c r="Q232" s="12" t="str">
        <f t="shared" si="25"/>
        <v/>
      </c>
      <c r="R232" s="12" t="str">
        <f t="shared" si="26"/>
        <v/>
      </c>
      <c r="S232" s="12" t="str">
        <f t="shared" si="27"/>
        <v/>
      </c>
      <c r="T232" s="8"/>
      <c r="U232" s="10"/>
      <c r="V232" s="8"/>
    </row>
    <row r="233" spans="1:22">
      <c r="A233" s="8"/>
      <c r="B233" s="8"/>
      <c r="C233" s="8"/>
      <c r="D233" s="8"/>
      <c r="E233" s="8"/>
      <c r="F233" s="8"/>
      <c r="G233" s="8"/>
      <c r="H233" s="11"/>
      <c r="I233" s="10"/>
      <c r="J233" s="11"/>
      <c r="K233" s="11"/>
      <c r="L233" s="12" t="str">
        <f t="shared" si="21"/>
        <v/>
      </c>
      <c r="M233" s="12" t="str">
        <f t="shared" si="22"/>
        <v/>
      </c>
      <c r="N233" s="12" t="str">
        <f t="shared" si="23"/>
        <v/>
      </c>
      <c r="O233" s="12" t="str">
        <f t="shared" si="24"/>
        <v/>
      </c>
      <c r="P233" s="11"/>
      <c r="Q233" s="12" t="str">
        <f t="shared" si="25"/>
        <v/>
      </c>
      <c r="R233" s="12" t="str">
        <f t="shared" si="26"/>
        <v/>
      </c>
      <c r="S233" s="12" t="str">
        <f t="shared" si="27"/>
        <v/>
      </c>
      <c r="T233" s="8"/>
      <c r="U233" s="10"/>
      <c r="V233" s="8"/>
    </row>
    <row r="234" spans="1:22">
      <c r="A234" s="8"/>
      <c r="B234" s="8"/>
      <c r="C234" s="8"/>
      <c r="D234" s="8"/>
      <c r="E234" s="8"/>
      <c r="F234" s="8"/>
      <c r="G234" s="8"/>
      <c r="H234" s="11"/>
      <c r="I234" s="10"/>
      <c r="J234" s="11"/>
      <c r="K234" s="11"/>
      <c r="L234" s="12" t="str">
        <f t="shared" si="21"/>
        <v/>
      </c>
      <c r="M234" s="12" t="str">
        <f t="shared" si="22"/>
        <v/>
      </c>
      <c r="N234" s="12" t="str">
        <f t="shared" si="23"/>
        <v/>
      </c>
      <c r="O234" s="12" t="str">
        <f t="shared" si="24"/>
        <v/>
      </c>
      <c r="P234" s="11"/>
      <c r="Q234" s="12" t="str">
        <f t="shared" si="25"/>
        <v/>
      </c>
      <c r="R234" s="12" t="str">
        <f t="shared" si="26"/>
        <v/>
      </c>
      <c r="S234" s="12" t="str">
        <f t="shared" si="27"/>
        <v/>
      </c>
      <c r="T234" s="8"/>
      <c r="U234" s="10"/>
      <c r="V234" s="8"/>
    </row>
    <row r="235" spans="1:22">
      <c r="A235" s="8"/>
      <c r="B235" s="8"/>
      <c r="C235" s="8"/>
      <c r="D235" s="8"/>
      <c r="E235" s="8"/>
      <c r="F235" s="8"/>
      <c r="G235" s="8"/>
      <c r="H235" s="11"/>
      <c r="I235" s="10"/>
      <c r="J235" s="11"/>
      <c r="K235" s="11"/>
      <c r="L235" s="12" t="str">
        <f t="shared" si="21"/>
        <v/>
      </c>
      <c r="M235" s="12" t="str">
        <f t="shared" si="22"/>
        <v/>
      </c>
      <c r="N235" s="12" t="str">
        <f t="shared" si="23"/>
        <v/>
      </c>
      <c r="O235" s="12" t="str">
        <f t="shared" si="24"/>
        <v/>
      </c>
      <c r="P235" s="11"/>
      <c r="Q235" s="12" t="str">
        <f t="shared" si="25"/>
        <v/>
      </c>
      <c r="R235" s="12" t="str">
        <f t="shared" si="26"/>
        <v/>
      </c>
      <c r="S235" s="12" t="str">
        <f t="shared" si="27"/>
        <v/>
      </c>
      <c r="T235" s="8"/>
      <c r="U235" s="10"/>
      <c r="V235" s="8"/>
    </row>
    <row r="236" spans="1:22">
      <c r="A236" s="8"/>
      <c r="B236" s="8"/>
      <c r="C236" s="8"/>
      <c r="D236" s="8"/>
      <c r="E236" s="8"/>
      <c r="F236" s="8"/>
      <c r="G236" s="8"/>
      <c r="H236" s="11"/>
      <c r="I236" s="10"/>
      <c r="J236" s="11"/>
      <c r="K236" s="11"/>
      <c r="L236" s="12" t="str">
        <f t="shared" si="21"/>
        <v/>
      </c>
      <c r="M236" s="12" t="str">
        <f t="shared" si="22"/>
        <v/>
      </c>
      <c r="N236" s="12" t="str">
        <f t="shared" si="23"/>
        <v/>
      </c>
      <c r="O236" s="12" t="str">
        <f t="shared" si="24"/>
        <v/>
      </c>
      <c r="P236" s="11"/>
      <c r="Q236" s="12" t="str">
        <f t="shared" si="25"/>
        <v/>
      </c>
      <c r="R236" s="12" t="str">
        <f t="shared" si="26"/>
        <v/>
      </c>
      <c r="S236" s="12" t="str">
        <f t="shared" si="27"/>
        <v/>
      </c>
      <c r="T236" s="8"/>
      <c r="U236" s="10"/>
      <c r="V236" s="8"/>
    </row>
    <row r="237" spans="1:22">
      <c r="A237" s="8"/>
      <c r="B237" s="8"/>
      <c r="C237" s="8"/>
      <c r="D237" s="8"/>
      <c r="E237" s="8"/>
      <c r="F237" s="8"/>
      <c r="G237" s="8"/>
      <c r="H237" s="11"/>
      <c r="I237" s="10"/>
      <c r="J237" s="11"/>
      <c r="K237" s="11"/>
      <c r="L237" s="12" t="str">
        <f t="shared" si="21"/>
        <v/>
      </c>
      <c r="M237" s="12" t="str">
        <f t="shared" si="22"/>
        <v/>
      </c>
      <c r="N237" s="12" t="str">
        <f t="shared" si="23"/>
        <v/>
      </c>
      <c r="O237" s="12" t="str">
        <f t="shared" si="24"/>
        <v/>
      </c>
      <c r="P237" s="11"/>
      <c r="Q237" s="12" t="str">
        <f t="shared" si="25"/>
        <v/>
      </c>
      <c r="R237" s="12" t="str">
        <f t="shared" si="26"/>
        <v/>
      </c>
      <c r="S237" s="12" t="str">
        <f t="shared" si="27"/>
        <v/>
      </c>
      <c r="T237" s="8"/>
      <c r="U237" s="10"/>
      <c r="V237" s="8"/>
    </row>
    <row r="238" spans="1:22">
      <c r="A238" s="8"/>
      <c r="B238" s="8"/>
      <c r="C238" s="8"/>
      <c r="D238" s="8"/>
      <c r="E238" s="8"/>
      <c r="F238" s="8"/>
      <c r="G238" s="8"/>
      <c r="H238" s="11"/>
      <c r="I238" s="10"/>
      <c r="J238" s="11"/>
      <c r="K238" s="11"/>
      <c r="L238" s="12" t="str">
        <f t="shared" si="21"/>
        <v/>
      </c>
      <c r="M238" s="12" t="str">
        <f t="shared" si="22"/>
        <v/>
      </c>
      <c r="N238" s="12" t="str">
        <f t="shared" si="23"/>
        <v/>
      </c>
      <c r="O238" s="12" t="str">
        <f t="shared" si="24"/>
        <v/>
      </c>
      <c r="P238" s="11"/>
      <c r="Q238" s="12" t="str">
        <f t="shared" si="25"/>
        <v/>
      </c>
      <c r="R238" s="12" t="str">
        <f t="shared" si="26"/>
        <v/>
      </c>
      <c r="S238" s="12" t="str">
        <f t="shared" si="27"/>
        <v/>
      </c>
      <c r="T238" s="8"/>
      <c r="U238" s="10"/>
      <c r="V238" s="8"/>
    </row>
    <row r="239" spans="1:22">
      <c r="A239" s="8"/>
      <c r="B239" s="8"/>
      <c r="C239" s="8"/>
      <c r="D239" s="8"/>
      <c r="E239" s="8"/>
      <c r="F239" s="8"/>
      <c r="G239" s="8"/>
      <c r="H239" s="11"/>
      <c r="I239" s="10"/>
      <c r="J239" s="11"/>
      <c r="K239" s="11"/>
      <c r="L239" s="12" t="str">
        <f t="shared" si="21"/>
        <v/>
      </c>
      <c r="M239" s="12" t="str">
        <f t="shared" si="22"/>
        <v/>
      </c>
      <c r="N239" s="12" t="str">
        <f t="shared" si="23"/>
        <v/>
      </c>
      <c r="O239" s="12" t="str">
        <f t="shared" si="24"/>
        <v/>
      </c>
      <c r="P239" s="11"/>
      <c r="Q239" s="12" t="str">
        <f t="shared" si="25"/>
        <v/>
      </c>
      <c r="R239" s="12" t="str">
        <f t="shared" si="26"/>
        <v/>
      </c>
      <c r="S239" s="12" t="str">
        <f t="shared" si="27"/>
        <v/>
      </c>
      <c r="T239" s="8"/>
      <c r="U239" s="10"/>
      <c r="V239" s="8"/>
    </row>
    <row r="240" spans="1:22">
      <c r="A240" s="8"/>
      <c r="B240" s="8"/>
      <c r="C240" s="8"/>
      <c r="D240" s="8"/>
      <c r="E240" s="8"/>
      <c r="F240" s="8"/>
      <c r="G240" s="8"/>
      <c r="H240" s="11"/>
      <c r="I240" s="10"/>
      <c r="J240" s="11"/>
      <c r="K240" s="11"/>
      <c r="L240" s="12" t="str">
        <f t="shared" si="21"/>
        <v/>
      </c>
      <c r="M240" s="12" t="str">
        <f t="shared" si="22"/>
        <v/>
      </c>
      <c r="N240" s="12" t="str">
        <f t="shared" si="23"/>
        <v/>
      </c>
      <c r="O240" s="12" t="str">
        <f t="shared" si="24"/>
        <v/>
      </c>
      <c r="P240" s="11"/>
      <c r="Q240" s="12" t="str">
        <f t="shared" si="25"/>
        <v/>
      </c>
      <c r="R240" s="12" t="str">
        <f t="shared" si="26"/>
        <v/>
      </c>
      <c r="S240" s="12" t="str">
        <f t="shared" si="27"/>
        <v/>
      </c>
      <c r="T240" s="8"/>
      <c r="U240" s="10"/>
      <c r="V240" s="8"/>
    </row>
    <row r="241" spans="1:22">
      <c r="A241" s="8"/>
      <c r="B241" s="8"/>
      <c r="C241" s="8"/>
      <c r="D241" s="8"/>
      <c r="E241" s="8"/>
      <c r="F241" s="8"/>
      <c r="G241" s="8"/>
      <c r="H241" s="11"/>
      <c r="I241" s="10"/>
      <c r="J241" s="11"/>
      <c r="K241" s="11"/>
      <c r="L241" s="12" t="str">
        <f t="shared" si="21"/>
        <v/>
      </c>
      <c r="M241" s="12" t="str">
        <f t="shared" si="22"/>
        <v/>
      </c>
      <c r="N241" s="12" t="str">
        <f t="shared" si="23"/>
        <v/>
      </c>
      <c r="O241" s="12" t="str">
        <f t="shared" si="24"/>
        <v/>
      </c>
      <c r="P241" s="11"/>
      <c r="Q241" s="12" t="str">
        <f t="shared" si="25"/>
        <v/>
      </c>
      <c r="R241" s="12" t="str">
        <f t="shared" si="26"/>
        <v/>
      </c>
      <c r="S241" s="12" t="str">
        <f t="shared" si="27"/>
        <v/>
      </c>
      <c r="T241" s="8"/>
      <c r="U241" s="10"/>
      <c r="V241" s="8"/>
    </row>
    <row r="242" spans="1:22">
      <c r="A242" s="8"/>
      <c r="B242" s="8"/>
      <c r="C242" s="8"/>
      <c r="D242" s="8"/>
      <c r="E242" s="8"/>
      <c r="F242" s="8"/>
      <c r="G242" s="8"/>
      <c r="H242" s="11"/>
      <c r="I242" s="10"/>
      <c r="J242" s="11"/>
      <c r="K242" s="11"/>
      <c r="L242" s="12" t="str">
        <f t="shared" si="21"/>
        <v/>
      </c>
      <c r="M242" s="12" t="str">
        <f t="shared" si="22"/>
        <v/>
      </c>
      <c r="N242" s="12" t="str">
        <f t="shared" si="23"/>
        <v/>
      </c>
      <c r="O242" s="12" t="str">
        <f t="shared" si="24"/>
        <v/>
      </c>
      <c r="P242" s="11"/>
      <c r="Q242" s="12" t="str">
        <f t="shared" si="25"/>
        <v/>
      </c>
      <c r="R242" s="12" t="str">
        <f t="shared" si="26"/>
        <v/>
      </c>
      <c r="S242" s="12" t="str">
        <f t="shared" si="27"/>
        <v/>
      </c>
      <c r="T242" s="8"/>
      <c r="U242" s="10"/>
      <c r="V242" s="8"/>
    </row>
    <row r="243" spans="1:22">
      <c r="A243" s="8"/>
      <c r="B243" s="8"/>
      <c r="C243" s="8"/>
      <c r="D243" s="8"/>
      <c r="E243" s="8"/>
      <c r="F243" s="8"/>
      <c r="G243" s="8"/>
      <c r="H243" s="11"/>
      <c r="I243" s="10"/>
      <c r="J243" s="11"/>
      <c r="K243" s="11"/>
      <c r="L243" s="12" t="str">
        <f t="shared" si="21"/>
        <v/>
      </c>
      <c r="M243" s="12" t="str">
        <f t="shared" si="22"/>
        <v/>
      </c>
      <c r="N243" s="12" t="str">
        <f t="shared" si="23"/>
        <v/>
      </c>
      <c r="O243" s="12" t="str">
        <f t="shared" si="24"/>
        <v/>
      </c>
      <c r="P243" s="11"/>
      <c r="Q243" s="12" t="str">
        <f t="shared" si="25"/>
        <v/>
      </c>
      <c r="R243" s="12" t="str">
        <f t="shared" si="26"/>
        <v/>
      </c>
      <c r="S243" s="12" t="str">
        <f t="shared" si="27"/>
        <v/>
      </c>
      <c r="T243" s="8"/>
      <c r="U243" s="10"/>
      <c r="V243" s="8"/>
    </row>
    <row r="244" spans="1:22">
      <c r="A244" s="8"/>
      <c r="B244" s="8"/>
      <c r="C244" s="8"/>
      <c r="D244" s="8"/>
      <c r="E244" s="8"/>
      <c r="F244" s="8"/>
      <c r="G244" s="8"/>
      <c r="H244" s="11"/>
      <c r="I244" s="10"/>
      <c r="J244" s="11"/>
      <c r="K244" s="11"/>
      <c r="L244" s="12" t="str">
        <f t="shared" si="21"/>
        <v/>
      </c>
      <c r="M244" s="12" t="str">
        <f t="shared" si="22"/>
        <v/>
      </c>
      <c r="N244" s="12" t="str">
        <f t="shared" si="23"/>
        <v/>
      </c>
      <c r="O244" s="12" t="str">
        <f t="shared" si="24"/>
        <v/>
      </c>
      <c r="P244" s="11"/>
      <c r="Q244" s="12" t="str">
        <f t="shared" si="25"/>
        <v/>
      </c>
      <c r="R244" s="12" t="str">
        <f t="shared" si="26"/>
        <v/>
      </c>
      <c r="S244" s="12" t="str">
        <f t="shared" si="27"/>
        <v/>
      </c>
      <c r="T244" s="8"/>
      <c r="U244" s="10"/>
      <c r="V244" s="8"/>
    </row>
    <row r="245" spans="1:22">
      <c r="A245" s="8"/>
      <c r="B245" s="8"/>
      <c r="C245" s="8"/>
      <c r="D245" s="8"/>
      <c r="E245" s="8"/>
      <c r="F245" s="8"/>
      <c r="G245" s="8"/>
      <c r="H245" s="11"/>
      <c r="I245" s="10"/>
      <c r="J245" s="11"/>
      <c r="K245" s="11"/>
      <c r="L245" s="12" t="str">
        <f t="shared" si="21"/>
        <v/>
      </c>
      <c r="M245" s="12" t="str">
        <f t="shared" si="22"/>
        <v/>
      </c>
      <c r="N245" s="12" t="str">
        <f t="shared" si="23"/>
        <v/>
      </c>
      <c r="O245" s="12" t="str">
        <f t="shared" si="24"/>
        <v/>
      </c>
      <c r="P245" s="11"/>
      <c r="Q245" s="12" t="str">
        <f t="shared" si="25"/>
        <v/>
      </c>
      <c r="R245" s="12" t="str">
        <f t="shared" si="26"/>
        <v/>
      </c>
      <c r="S245" s="12" t="str">
        <f t="shared" si="27"/>
        <v/>
      </c>
      <c r="T245" s="8"/>
      <c r="U245" s="10"/>
      <c r="V245" s="8"/>
    </row>
    <row r="246" spans="1:22">
      <c r="A246" s="8"/>
      <c r="B246" s="8"/>
      <c r="C246" s="8"/>
      <c r="D246" s="8"/>
      <c r="E246" s="8"/>
      <c r="F246" s="8"/>
      <c r="G246" s="8"/>
      <c r="H246" s="11"/>
      <c r="I246" s="10"/>
      <c r="J246" s="11"/>
      <c r="K246" s="11"/>
      <c r="L246" s="12" t="str">
        <f t="shared" si="21"/>
        <v/>
      </c>
      <c r="M246" s="12" t="str">
        <f t="shared" si="22"/>
        <v/>
      </c>
      <c r="N246" s="12" t="str">
        <f t="shared" si="23"/>
        <v/>
      </c>
      <c r="O246" s="12" t="str">
        <f t="shared" si="24"/>
        <v/>
      </c>
      <c r="P246" s="11"/>
      <c r="Q246" s="12" t="str">
        <f t="shared" si="25"/>
        <v/>
      </c>
      <c r="R246" s="12" t="str">
        <f t="shared" si="26"/>
        <v/>
      </c>
      <c r="S246" s="12" t="str">
        <f t="shared" si="27"/>
        <v/>
      </c>
      <c r="T246" s="8"/>
      <c r="U246" s="10"/>
      <c r="V246" s="8"/>
    </row>
    <row r="247" spans="1:22">
      <c r="A247" s="8"/>
      <c r="B247" s="8"/>
      <c r="C247" s="8"/>
      <c r="D247" s="8"/>
      <c r="E247" s="8"/>
      <c r="F247" s="8"/>
      <c r="G247" s="8"/>
      <c r="H247" s="11"/>
      <c r="I247" s="10"/>
      <c r="J247" s="11"/>
      <c r="K247" s="11"/>
      <c r="L247" s="12" t="str">
        <f t="shared" si="21"/>
        <v/>
      </c>
      <c r="M247" s="12" t="str">
        <f t="shared" si="22"/>
        <v/>
      </c>
      <c r="N247" s="12" t="str">
        <f t="shared" si="23"/>
        <v/>
      </c>
      <c r="O247" s="12" t="str">
        <f t="shared" si="24"/>
        <v/>
      </c>
      <c r="P247" s="11"/>
      <c r="Q247" s="12" t="str">
        <f t="shared" si="25"/>
        <v/>
      </c>
      <c r="R247" s="12" t="str">
        <f t="shared" si="26"/>
        <v/>
      </c>
      <c r="S247" s="12" t="str">
        <f t="shared" si="27"/>
        <v/>
      </c>
      <c r="T247" s="8"/>
      <c r="U247" s="10"/>
      <c r="V247" s="8"/>
    </row>
    <row r="248" spans="1:22">
      <c r="A248" s="8"/>
      <c r="B248" s="8"/>
      <c r="C248" s="8"/>
      <c r="D248" s="8"/>
      <c r="E248" s="8"/>
      <c r="F248" s="8"/>
      <c r="G248" s="8"/>
      <c r="H248" s="11"/>
      <c r="I248" s="10"/>
      <c r="J248" s="11"/>
      <c r="K248" s="11"/>
      <c r="L248" s="12" t="str">
        <f t="shared" si="21"/>
        <v/>
      </c>
      <c r="M248" s="12" t="str">
        <f t="shared" si="22"/>
        <v/>
      </c>
      <c r="N248" s="12" t="str">
        <f t="shared" si="23"/>
        <v/>
      </c>
      <c r="O248" s="12" t="str">
        <f t="shared" si="24"/>
        <v/>
      </c>
      <c r="P248" s="11"/>
      <c r="Q248" s="12" t="str">
        <f t="shared" si="25"/>
        <v/>
      </c>
      <c r="R248" s="12" t="str">
        <f t="shared" si="26"/>
        <v/>
      </c>
      <c r="S248" s="12" t="str">
        <f t="shared" si="27"/>
        <v/>
      </c>
      <c r="T248" s="8"/>
      <c r="U248" s="10"/>
      <c r="V248" s="8"/>
    </row>
    <row r="249" spans="1:22">
      <c r="A249" s="8"/>
      <c r="B249" s="8"/>
      <c r="C249" s="8"/>
      <c r="D249" s="8"/>
      <c r="E249" s="8"/>
      <c r="F249" s="8"/>
      <c r="G249" s="8"/>
      <c r="H249" s="11"/>
      <c r="I249" s="10"/>
      <c r="J249" s="11"/>
      <c r="K249" s="11"/>
      <c r="L249" s="12" t="str">
        <f t="shared" si="21"/>
        <v/>
      </c>
      <c r="M249" s="12" t="str">
        <f t="shared" si="22"/>
        <v/>
      </c>
      <c r="N249" s="12" t="str">
        <f t="shared" si="23"/>
        <v/>
      </c>
      <c r="O249" s="12" t="str">
        <f t="shared" si="24"/>
        <v/>
      </c>
      <c r="P249" s="11"/>
      <c r="Q249" s="12" t="str">
        <f t="shared" si="25"/>
        <v/>
      </c>
      <c r="R249" s="12" t="str">
        <f t="shared" si="26"/>
        <v/>
      </c>
      <c r="S249" s="12" t="str">
        <f t="shared" si="27"/>
        <v/>
      </c>
      <c r="T249" s="8"/>
      <c r="U249" s="10"/>
      <c r="V249" s="8"/>
    </row>
    <row r="250" spans="1:22">
      <c r="A250" s="8"/>
      <c r="B250" s="8"/>
      <c r="C250" s="8"/>
      <c r="D250" s="8"/>
      <c r="E250" s="8"/>
      <c r="F250" s="8"/>
      <c r="G250" s="8"/>
      <c r="H250" s="11"/>
      <c r="I250" s="10"/>
      <c r="J250" s="11"/>
      <c r="K250" s="11"/>
      <c r="L250" s="12" t="str">
        <f t="shared" si="21"/>
        <v/>
      </c>
      <c r="M250" s="12" t="str">
        <f t="shared" si="22"/>
        <v/>
      </c>
      <c r="N250" s="12" t="str">
        <f t="shared" si="23"/>
        <v/>
      </c>
      <c r="O250" s="12" t="str">
        <f t="shared" si="24"/>
        <v/>
      </c>
      <c r="P250" s="11"/>
      <c r="Q250" s="12" t="str">
        <f t="shared" si="25"/>
        <v/>
      </c>
      <c r="R250" s="12" t="str">
        <f t="shared" si="26"/>
        <v/>
      </c>
      <c r="S250" s="12" t="str">
        <f t="shared" si="27"/>
        <v/>
      </c>
      <c r="T250" s="8"/>
      <c r="U250" s="10"/>
      <c r="V250" s="8"/>
    </row>
    <row r="251" spans="1:22">
      <c r="A251" s="8"/>
      <c r="B251" s="8"/>
      <c r="C251" s="8"/>
      <c r="D251" s="8"/>
      <c r="E251" s="8"/>
      <c r="F251" s="8"/>
      <c r="G251" s="8"/>
      <c r="H251" s="11"/>
      <c r="I251" s="10"/>
      <c r="J251" s="11"/>
      <c r="K251" s="11"/>
      <c r="L251" s="12" t="str">
        <f t="shared" si="21"/>
        <v/>
      </c>
      <c r="M251" s="12" t="str">
        <f t="shared" si="22"/>
        <v/>
      </c>
      <c r="N251" s="12" t="str">
        <f t="shared" si="23"/>
        <v/>
      </c>
      <c r="O251" s="12" t="str">
        <f t="shared" si="24"/>
        <v/>
      </c>
      <c r="P251" s="11"/>
      <c r="Q251" s="12" t="str">
        <f t="shared" si="25"/>
        <v/>
      </c>
      <c r="R251" s="12" t="str">
        <f t="shared" si="26"/>
        <v/>
      </c>
      <c r="S251" s="12" t="str">
        <f t="shared" si="27"/>
        <v/>
      </c>
      <c r="T251" s="8"/>
      <c r="U251" s="10"/>
      <c r="V251" s="8"/>
    </row>
    <row r="252" spans="1:22">
      <c r="A252" s="8"/>
      <c r="B252" s="8"/>
      <c r="C252" s="8"/>
      <c r="D252" s="8"/>
      <c r="E252" s="8"/>
      <c r="F252" s="8"/>
      <c r="G252" s="8"/>
      <c r="H252" s="11"/>
      <c r="I252" s="10"/>
      <c r="J252" s="11"/>
      <c r="K252" s="11"/>
      <c r="L252" s="12" t="str">
        <f t="shared" si="21"/>
        <v/>
      </c>
      <c r="M252" s="12" t="str">
        <f t="shared" si="22"/>
        <v/>
      </c>
      <c r="N252" s="12" t="str">
        <f t="shared" si="23"/>
        <v/>
      </c>
      <c r="O252" s="12" t="str">
        <f t="shared" si="24"/>
        <v/>
      </c>
      <c r="P252" s="11"/>
      <c r="Q252" s="12" t="str">
        <f t="shared" si="25"/>
        <v/>
      </c>
      <c r="R252" s="12" t="str">
        <f t="shared" si="26"/>
        <v/>
      </c>
      <c r="S252" s="12" t="str">
        <f t="shared" si="27"/>
        <v/>
      </c>
      <c r="T252" s="8"/>
      <c r="U252" s="10"/>
      <c r="V252" s="8"/>
    </row>
    <row r="253" spans="1:22">
      <c r="A253" s="8"/>
      <c r="B253" s="8"/>
      <c r="C253" s="8"/>
      <c r="D253" s="8"/>
      <c r="E253" s="8"/>
      <c r="F253" s="8"/>
      <c r="G253" s="8"/>
      <c r="H253" s="11"/>
      <c r="I253" s="10"/>
      <c r="J253" s="11"/>
      <c r="K253" s="11"/>
      <c r="L253" s="12" t="str">
        <f t="shared" si="21"/>
        <v/>
      </c>
      <c r="M253" s="12" t="str">
        <f t="shared" si="22"/>
        <v/>
      </c>
      <c r="N253" s="12" t="str">
        <f t="shared" si="23"/>
        <v/>
      </c>
      <c r="O253" s="12" t="str">
        <f t="shared" si="24"/>
        <v/>
      </c>
      <c r="P253" s="11"/>
      <c r="Q253" s="12" t="str">
        <f t="shared" si="25"/>
        <v/>
      </c>
      <c r="R253" s="12" t="str">
        <f t="shared" si="26"/>
        <v/>
      </c>
      <c r="S253" s="12" t="str">
        <f t="shared" si="27"/>
        <v/>
      </c>
      <c r="T253" s="8"/>
      <c r="U253" s="10"/>
      <c r="V253" s="8"/>
    </row>
    <row r="254" spans="1:22">
      <c r="A254" s="8"/>
      <c r="B254" s="8"/>
      <c r="C254" s="8"/>
      <c r="D254" s="8"/>
      <c r="E254" s="8"/>
      <c r="F254" s="8"/>
      <c r="G254" s="8"/>
      <c r="H254" s="11"/>
      <c r="I254" s="10"/>
      <c r="J254" s="11"/>
      <c r="K254" s="11"/>
      <c r="L254" s="12" t="str">
        <f t="shared" si="21"/>
        <v/>
      </c>
      <c r="M254" s="12" t="str">
        <f t="shared" si="22"/>
        <v/>
      </c>
      <c r="N254" s="12" t="str">
        <f t="shared" si="23"/>
        <v/>
      </c>
      <c r="O254" s="12" t="str">
        <f t="shared" si="24"/>
        <v/>
      </c>
      <c r="P254" s="11"/>
      <c r="Q254" s="12" t="str">
        <f t="shared" si="25"/>
        <v/>
      </c>
      <c r="R254" s="12" t="str">
        <f t="shared" si="26"/>
        <v/>
      </c>
      <c r="S254" s="12" t="str">
        <f t="shared" si="27"/>
        <v/>
      </c>
      <c r="T254" s="8"/>
      <c r="U254" s="10"/>
      <c r="V254" s="8"/>
    </row>
    <row r="255" spans="1:22">
      <c r="A255" s="8"/>
      <c r="B255" s="8"/>
      <c r="C255" s="8"/>
      <c r="D255" s="8"/>
      <c r="E255" s="8"/>
      <c r="F255" s="8"/>
      <c r="G255" s="8"/>
      <c r="H255" s="11"/>
      <c r="I255" s="10"/>
      <c r="J255" s="11"/>
      <c r="K255" s="11"/>
      <c r="L255" s="12" t="str">
        <f t="shared" si="21"/>
        <v/>
      </c>
      <c r="M255" s="12" t="str">
        <f t="shared" si="22"/>
        <v/>
      </c>
      <c r="N255" s="12" t="str">
        <f t="shared" si="23"/>
        <v/>
      </c>
      <c r="O255" s="12" t="str">
        <f t="shared" si="24"/>
        <v/>
      </c>
      <c r="P255" s="11"/>
      <c r="Q255" s="12" t="str">
        <f t="shared" si="25"/>
        <v/>
      </c>
      <c r="R255" s="12" t="str">
        <f t="shared" si="26"/>
        <v/>
      </c>
      <c r="S255" s="12" t="str">
        <f t="shared" si="27"/>
        <v/>
      </c>
      <c r="T255" s="8"/>
      <c r="U255" s="10"/>
      <c r="V255" s="8"/>
    </row>
    <row r="256" spans="1:22">
      <c r="A256" s="8"/>
      <c r="B256" s="8"/>
      <c r="C256" s="8"/>
      <c r="D256" s="8"/>
      <c r="E256" s="8"/>
      <c r="F256" s="8"/>
      <c r="G256" s="8"/>
      <c r="H256" s="11"/>
      <c r="I256" s="10"/>
      <c r="J256" s="11"/>
      <c r="K256" s="11"/>
      <c r="L256" s="12" t="str">
        <f t="shared" si="21"/>
        <v/>
      </c>
      <c r="M256" s="12" t="str">
        <f t="shared" si="22"/>
        <v/>
      </c>
      <c r="N256" s="12" t="str">
        <f t="shared" si="23"/>
        <v/>
      </c>
      <c r="O256" s="12" t="str">
        <f t="shared" si="24"/>
        <v/>
      </c>
      <c r="P256" s="11"/>
      <c r="Q256" s="12" t="str">
        <f t="shared" si="25"/>
        <v/>
      </c>
      <c r="R256" s="12" t="str">
        <f t="shared" si="26"/>
        <v/>
      </c>
      <c r="S256" s="12" t="str">
        <f t="shared" si="27"/>
        <v/>
      </c>
      <c r="T256" s="8"/>
      <c r="U256" s="10"/>
      <c r="V256" s="8"/>
    </row>
    <row r="257" spans="1:22">
      <c r="A257" s="8"/>
      <c r="B257" s="8"/>
      <c r="C257" s="8"/>
      <c r="D257" s="8"/>
      <c r="E257" s="8"/>
      <c r="F257" s="8"/>
      <c r="G257" s="8"/>
      <c r="H257" s="11"/>
      <c r="I257" s="10"/>
      <c r="J257" s="11"/>
      <c r="K257" s="11"/>
      <c r="L257" s="12" t="str">
        <f t="shared" si="21"/>
        <v/>
      </c>
      <c r="M257" s="12" t="str">
        <f t="shared" si="22"/>
        <v/>
      </c>
      <c r="N257" s="12" t="str">
        <f t="shared" si="23"/>
        <v/>
      </c>
      <c r="O257" s="12" t="str">
        <f t="shared" si="24"/>
        <v/>
      </c>
      <c r="P257" s="11"/>
      <c r="Q257" s="12" t="str">
        <f t="shared" si="25"/>
        <v/>
      </c>
      <c r="R257" s="12" t="str">
        <f t="shared" si="26"/>
        <v/>
      </c>
      <c r="S257" s="12" t="str">
        <f t="shared" si="27"/>
        <v/>
      </c>
      <c r="T257" s="8"/>
      <c r="U257" s="10"/>
      <c r="V257" s="8"/>
    </row>
    <row r="258" spans="1:22">
      <c r="A258" s="8"/>
      <c r="B258" s="8"/>
      <c r="C258" s="8"/>
      <c r="D258" s="8"/>
      <c r="E258" s="8"/>
      <c r="F258" s="8"/>
      <c r="G258" s="8"/>
      <c r="H258" s="11"/>
      <c r="I258" s="10"/>
      <c r="J258" s="11"/>
      <c r="K258" s="11"/>
      <c r="L258" s="12" t="str">
        <f t="shared" si="21"/>
        <v/>
      </c>
      <c r="M258" s="12" t="str">
        <f t="shared" si="22"/>
        <v/>
      </c>
      <c r="N258" s="12" t="str">
        <f t="shared" si="23"/>
        <v/>
      </c>
      <c r="O258" s="12" t="str">
        <f t="shared" si="24"/>
        <v/>
      </c>
      <c r="P258" s="11"/>
      <c r="Q258" s="12" t="str">
        <f t="shared" si="25"/>
        <v/>
      </c>
      <c r="R258" s="12" t="str">
        <f t="shared" si="26"/>
        <v/>
      </c>
      <c r="S258" s="12" t="str">
        <f t="shared" si="27"/>
        <v/>
      </c>
      <c r="T258" s="8"/>
      <c r="U258" s="10"/>
      <c r="V258" s="8"/>
    </row>
    <row r="259" spans="1:22">
      <c r="A259" s="8"/>
      <c r="B259" s="8"/>
      <c r="C259" s="8"/>
      <c r="D259" s="8"/>
      <c r="E259" s="8"/>
      <c r="F259" s="8"/>
      <c r="G259" s="8"/>
      <c r="H259" s="11"/>
      <c r="I259" s="10"/>
      <c r="J259" s="11"/>
      <c r="K259" s="11"/>
      <c r="L259" s="12" t="str">
        <f t="shared" si="21"/>
        <v/>
      </c>
      <c r="M259" s="12" t="str">
        <f t="shared" si="22"/>
        <v/>
      </c>
      <c r="N259" s="12" t="str">
        <f t="shared" si="23"/>
        <v/>
      </c>
      <c r="O259" s="12" t="str">
        <f t="shared" si="24"/>
        <v/>
      </c>
      <c r="P259" s="11"/>
      <c r="Q259" s="12" t="str">
        <f t="shared" si="25"/>
        <v/>
      </c>
      <c r="R259" s="12" t="str">
        <f t="shared" si="26"/>
        <v/>
      </c>
      <c r="S259" s="12" t="str">
        <f t="shared" si="27"/>
        <v/>
      </c>
      <c r="T259" s="8"/>
      <c r="U259" s="10"/>
      <c r="V259" s="8"/>
    </row>
    <row r="260" spans="1:22">
      <c r="A260" s="8"/>
      <c r="B260" s="8"/>
      <c r="C260" s="8"/>
      <c r="D260" s="8"/>
      <c r="E260" s="8"/>
      <c r="F260" s="8"/>
      <c r="G260" s="8"/>
      <c r="H260" s="11"/>
      <c r="I260" s="10"/>
      <c r="J260" s="11"/>
      <c r="K260" s="11"/>
      <c r="L260" s="12" t="str">
        <f t="shared" si="21"/>
        <v/>
      </c>
      <c r="M260" s="12" t="str">
        <f t="shared" si="22"/>
        <v/>
      </c>
      <c r="N260" s="12" t="str">
        <f t="shared" si="23"/>
        <v/>
      </c>
      <c r="O260" s="12" t="str">
        <f t="shared" si="24"/>
        <v/>
      </c>
      <c r="P260" s="11"/>
      <c r="Q260" s="12" t="str">
        <f t="shared" si="25"/>
        <v/>
      </c>
      <c r="R260" s="12" t="str">
        <f t="shared" si="26"/>
        <v/>
      </c>
      <c r="S260" s="12" t="str">
        <f t="shared" si="27"/>
        <v/>
      </c>
      <c r="T260" s="8"/>
      <c r="U260" s="10"/>
      <c r="V260" s="8"/>
    </row>
    <row r="261" spans="1:22">
      <c r="A261" s="8"/>
      <c r="B261" s="8"/>
      <c r="C261" s="8"/>
      <c r="D261" s="8"/>
      <c r="E261" s="8"/>
      <c r="F261" s="8"/>
      <c r="G261" s="8"/>
      <c r="H261" s="11"/>
      <c r="I261" s="10"/>
      <c r="J261" s="11"/>
      <c r="K261" s="11"/>
      <c r="L261" s="12" t="str">
        <f t="shared" ref="L261:L324" si="28">IF(A261="","",J261+K261)</f>
        <v/>
      </c>
      <c r="M261" s="12" t="str">
        <f t="shared" ref="M261:M324" si="29">IF(A261="","",L261-H261)</f>
        <v/>
      </c>
      <c r="N261" s="12" t="str">
        <f t="shared" ref="N261:N304" si="30">IF(A261="","",MAX(0,H261-L261))</f>
        <v/>
      </c>
      <c r="O261" s="12" t="str">
        <f t="shared" ref="O261:O304" si="31">IF(A261="","",MAX(0,L261-H261))</f>
        <v/>
      </c>
      <c r="P261" s="11"/>
      <c r="Q261" s="12" t="str">
        <f t="shared" ref="Q261:Q324" si="32">IF(A261="","",P261-H261)</f>
        <v/>
      </c>
      <c r="R261" s="12" t="str">
        <f t="shared" ref="R261:R304" si="33">IF(A261="","",MAX(0,H261-P261))</f>
        <v/>
      </c>
      <c r="S261" s="12" t="str">
        <f t="shared" ref="S261:S304" si="34">IF(A261="","",MAX(0,P261-H261))</f>
        <v/>
      </c>
      <c r="T261" s="8"/>
      <c r="U261" s="10"/>
      <c r="V261" s="8"/>
    </row>
    <row r="262" spans="1:22">
      <c r="A262" s="8"/>
      <c r="B262" s="8"/>
      <c r="C262" s="8"/>
      <c r="D262" s="8"/>
      <c r="E262" s="8"/>
      <c r="F262" s="8"/>
      <c r="G262" s="8"/>
      <c r="H262" s="11"/>
      <c r="I262" s="10"/>
      <c r="J262" s="11"/>
      <c r="K262" s="11"/>
      <c r="L262" s="12" t="str">
        <f t="shared" si="28"/>
        <v/>
      </c>
      <c r="M262" s="12" t="str">
        <f t="shared" si="29"/>
        <v/>
      </c>
      <c r="N262" s="12" t="str">
        <f t="shared" si="30"/>
        <v/>
      </c>
      <c r="O262" s="12" t="str">
        <f t="shared" si="31"/>
        <v/>
      </c>
      <c r="P262" s="11"/>
      <c r="Q262" s="12" t="str">
        <f t="shared" si="32"/>
        <v/>
      </c>
      <c r="R262" s="12" t="str">
        <f t="shared" si="33"/>
        <v/>
      </c>
      <c r="S262" s="12" t="str">
        <f t="shared" si="34"/>
        <v/>
      </c>
      <c r="T262" s="8"/>
      <c r="U262" s="10"/>
      <c r="V262" s="8"/>
    </row>
    <row r="263" spans="1:22">
      <c r="A263" s="8"/>
      <c r="B263" s="8"/>
      <c r="C263" s="8"/>
      <c r="D263" s="8"/>
      <c r="E263" s="8"/>
      <c r="F263" s="8"/>
      <c r="G263" s="8"/>
      <c r="H263" s="11"/>
      <c r="I263" s="10"/>
      <c r="J263" s="11"/>
      <c r="K263" s="11"/>
      <c r="L263" s="12" t="str">
        <f t="shared" si="28"/>
        <v/>
      </c>
      <c r="M263" s="12" t="str">
        <f t="shared" si="29"/>
        <v/>
      </c>
      <c r="N263" s="12" t="str">
        <f t="shared" si="30"/>
        <v/>
      </c>
      <c r="O263" s="12" t="str">
        <f t="shared" si="31"/>
        <v/>
      </c>
      <c r="P263" s="11"/>
      <c r="Q263" s="12" t="str">
        <f t="shared" si="32"/>
        <v/>
      </c>
      <c r="R263" s="12" t="str">
        <f t="shared" si="33"/>
        <v/>
      </c>
      <c r="S263" s="12" t="str">
        <f t="shared" si="34"/>
        <v/>
      </c>
      <c r="T263" s="8"/>
      <c r="U263" s="10"/>
      <c r="V263" s="8"/>
    </row>
    <row r="264" spans="1:22">
      <c r="A264" s="8"/>
      <c r="B264" s="8"/>
      <c r="C264" s="8"/>
      <c r="D264" s="8"/>
      <c r="E264" s="8"/>
      <c r="F264" s="8"/>
      <c r="G264" s="8"/>
      <c r="H264" s="11"/>
      <c r="I264" s="10"/>
      <c r="J264" s="11"/>
      <c r="K264" s="11"/>
      <c r="L264" s="12" t="str">
        <f t="shared" si="28"/>
        <v/>
      </c>
      <c r="M264" s="12" t="str">
        <f t="shared" si="29"/>
        <v/>
      </c>
      <c r="N264" s="12" t="str">
        <f t="shared" si="30"/>
        <v/>
      </c>
      <c r="O264" s="12" t="str">
        <f t="shared" si="31"/>
        <v/>
      </c>
      <c r="P264" s="11"/>
      <c r="Q264" s="12" t="str">
        <f t="shared" si="32"/>
        <v/>
      </c>
      <c r="R264" s="12" t="str">
        <f t="shared" si="33"/>
        <v/>
      </c>
      <c r="S264" s="12" t="str">
        <f t="shared" si="34"/>
        <v/>
      </c>
      <c r="T264" s="8"/>
      <c r="U264" s="10"/>
      <c r="V264" s="8"/>
    </row>
    <row r="265" spans="1:22">
      <c r="A265" s="8"/>
      <c r="B265" s="8"/>
      <c r="C265" s="8"/>
      <c r="D265" s="8"/>
      <c r="E265" s="8"/>
      <c r="F265" s="8"/>
      <c r="G265" s="8"/>
      <c r="H265" s="11"/>
      <c r="I265" s="10"/>
      <c r="J265" s="11"/>
      <c r="K265" s="11"/>
      <c r="L265" s="12" t="str">
        <f t="shared" si="28"/>
        <v/>
      </c>
      <c r="M265" s="12" t="str">
        <f t="shared" si="29"/>
        <v/>
      </c>
      <c r="N265" s="12" t="str">
        <f t="shared" si="30"/>
        <v/>
      </c>
      <c r="O265" s="12" t="str">
        <f t="shared" si="31"/>
        <v/>
      </c>
      <c r="P265" s="11"/>
      <c r="Q265" s="12" t="str">
        <f t="shared" si="32"/>
        <v/>
      </c>
      <c r="R265" s="12" t="str">
        <f t="shared" si="33"/>
        <v/>
      </c>
      <c r="S265" s="12" t="str">
        <f t="shared" si="34"/>
        <v/>
      </c>
      <c r="T265" s="8"/>
      <c r="U265" s="10"/>
      <c r="V265" s="8"/>
    </row>
    <row r="266" spans="1:22">
      <c r="A266" s="8"/>
      <c r="B266" s="8"/>
      <c r="C266" s="8"/>
      <c r="D266" s="8"/>
      <c r="E266" s="8"/>
      <c r="F266" s="8"/>
      <c r="G266" s="8"/>
      <c r="H266" s="11"/>
      <c r="I266" s="10"/>
      <c r="J266" s="11"/>
      <c r="K266" s="11"/>
      <c r="L266" s="12" t="str">
        <f t="shared" si="28"/>
        <v/>
      </c>
      <c r="M266" s="12" t="str">
        <f t="shared" si="29"/>
        <v/>
      </c>
      <c r="N266" s="12" t="str">
        <f t="shared" si="30"/>
        <v/>
      </c>
      <c r="O266" s="12" t="str">
        <f t="shared" si="31"/>
        <v/>
      </c>
      <c r="P266" s="11"/>
      <c r="Q266" s="12" t="str">
        <f t="shared" si="32"/>
        <v/>
      </c>
      <c r="R266" s="12" t="str">
        <f t="shared" si="33"/>
        <v/>
      </c>
      <c r="S266" s="12" t="str">
        <f t="shared" si="34"/>
        <v/>
      </c>
      <c r="T266" s="8"/>
      <c r="U266" s="10"/>
      <c r="V266" s="8"/>
    </row>
    <row r="267" spans="1:22">
      <c r="A267" s="8"/>
      <c r="B267" s="8"/>
      <c r="C267" s="8"/>
      <c r="D267" s="8"/>
      <c r="E267" s="8"/>
      <c r="F267" s="8"/>
      <c r="G267" s="8"/>
      <c r="H267" s="11"/>
      <c r="I267" s="10"/>
      <c r="J267" s="11"/>
      <c r="K267" s="11"/>
      <c r="L267" s="12" t="str">
        <f t="shared" si="28"/>
        <v/>
      </c>
      <c r="M267" s="12" t="str">
        <f t="shared" si="29"/>
        <v/>
      </c>
      <c r="N267" s="12" t="str">
        <f t="shared" si="30"/>
        <v/>
      </c>
      <c r="O267" s="12" t="str">
        <f t="shared" si="31"/>
        <v/>
      </c>
      <c r="P267" s="11"/>
      <c r="Q267" s="12" t="str">
        <f t="shared" si="32"/>
        <v/>
      </c>
      <c r="R267" s="12" t="str">
        <f t="shared" si="33"/>
        <v/>
      </c>
      <c r="S267" s="12" t="str">
        <f t="shared" si="34"/>
        <v/>
      </c>
      <c r="T267" s="8"/>
      <c r="U267" s="10"/>
      <c r="V267" s="8"/>
    </row>
    <row r="268" spans="1:22">
      <c r="A268" s="8"/>
      <c r="B268" s="8"/>
      <c r="C268" s="8"/>
      <c r="D268" s="8"/>
      <c r="E268" s="8"/>
      <c r="F268" s="8"/>
      <c r="G268" s="8"/>
      <c r="H268" s="11"/>
      <c r="I268" s="10"/>
      <c r="J268" s="11"/>
      <c r="K268" s="11"/>
      <c r="L268" s="12" t="str">
        <f t="shared" si="28"/>
        <v/>
      </c>
      <c r="M268" s="12" t="str">
        <f t="shared" si="29"/>
        <v/>
      </c>
      <c r="N268" s="12" t="str">
        <f t="shared" si="30"/>
        <v/>
      </c>
      <c r="O268" s="12" t="str">
        <f t="shared" si="31"/>
        <v/>
      </c>
      <c r="P268" s="11"/>
      <c r="Q268" s="12" t="str">
        <f t="shared" si="32"/>
        <v/>
      </c>
      <c r="R268" s="12" t="str">
        <f t="shared" si="33"/>
        <v/>
      </c>
      <c r="S268" s="12" t="str">
        <f t="shared" si="34"/>
        <v/>
      </c>
      <c r="T268" s="8"/>
      <c r="U268" s="10"/>
      <c r="V268" s="8"/>
    </row>
    <row r="269" spans="1:22">
      <c r="A269" s="8"/>
      <c r="B269" s="8"/>
      <c r="C269" s="8"/>
      <c r="D269" s="8"/>
      <c r="E269" s="8"/>
      <c r="F269" s="8"/>
      <c r="G269" s="8"/>
      <c r="H269" s="11"/>
      <c r="I269" s="10"/>
      <c r="J269" s="11"/>
      <c r="K269" s="11"/>
      <c r="L269" s="12" t="str">
        <f t="shared" si="28"/>
        <v/>
      </c>
      <c r="M269" s="12" t="str">
        <f t="shared" si="29"/>
        <v/>
      </c>
      <c r="N269" s="12" t="str">
        <f t="shared" si="30"/>
        <v/>
      </c>
      <c r="O269" s="12" t="str">
        <f t="shared" si="31"/>
        <v/>
      </c>
      <c r="P269" s="11"/>
      <c r="Q269" s="12" t="str">
        <f t="shared" si="32"/>
        <v/>
      </c>
      <c r="R269" s="12" t="str">
        <f t="shared" si="33"/>
        <v/>
      </c>
      <c r="S269" s="12" t="str">
        <f t="shared" si="34"/>
        <v/>
      </c>
      <c r="T269" s="8"/>
      <c r="U269" s="10"/>
      <c r="V269" s="8"/>
    </row>
    <row r="270" spans="1:22">
      <c r="A270" s="8"/>
      <c r="B270" s="8"/>
      <c r="C270" s="8"/>
      <c r="D270" s="8"/>
      <c r="E270" s="8"/>
      <c r="F270" s="8"/>
      <c r="G270" s="8"/>
      <c r="H270" s="11"/>
      <c r="I270" s="10"/>
      <c r="J270" s="11"/>
      <c r="K270" s="11"/>
      <c r="L270" s="12" t="str">
        <f t="shared" si="28"/>
        <v/>
      </c>
      <c r="M270" s="12" t="str">
        <f t="shared" si="29"/>
        <v/>
      </c>
      <c r="N270" s="12" t="str">
        <f t="shared" si="30"/>
        <v/>
      </c>
      <c r="O270" s="12" t="str">
        <f t="shared" si="31"/>
        <v/>
      </c>
      <c r="P270" s="11"/>
      <c r="Q270" s="12" t="str">
        <f t="shared" si="32"/>
        <v/>
      </c>
      <c r="R270" s="12" t="str">
        <f t="shared" si="33"/>
        <v/>
      </c>
      <c r="S270" s="12" t="str">
        <f t="shared" si="34"/>
        <v/>
      </c>
      <c r="T270" s="8"/>
      <c r="U270" s="10"/>
      <c r="V270" s="8"/>
    </row>
    <row r="271" spans="1:22">
      <c r="A271" s="8"/>
      <c r="B271" s="8"/>
      <c r="C271" s="8"/>
      <c r="D271" s="8"/>
      <c r="E271" s="8"/>
      <c r="F271" s="8"/>
      <c r="G271" s="8"/>
      <c r="H271" s="11"/>
      <c r="I271" s="10"/>
      <c r="J271" s="11"/>
      <c r="K271" s="11"/>
      <c r="L271" s="12" t="str">
        <f t="shared" si="28"/>
        <v/>
      </c>
      <c r="M271" s="12" t="str">
        <f t="shared" si="29"/>
        <v/>
      </c>
      <c r="N271" s="12" t="str">
        <f t="shared" si="30"/>
        <v/>
      </c>
      <c r="O271" s="12" t="str">
        <f t="shared" si="31"/>
        <v/>
      </c>
      <c r="P271" s="11"/>
      <c r="Q271" s="12" t="str">
        <f t="shared" si="32"/>
        <v/>
      </c>
      <c r="R271" s="12" t="str">
        <f t="shared" si="33"/>
        <v/>
      </c>
      <c r="S271" s="12" t="str">
        <f t="shared" si="34"/>
        <v/>
      </c>
      <c r="T271" s="8"/>
      <c r="U271" s="10"/>
      <c r="V271" s="8"/>
    </row>
    <row r="272" spans="1:22">
      <c r="A272" s="8"/>
      <c r="B272" s="8"/>
      <c r="C272" s="8"/>
      <c r="D272" s="8"/>
      <c r="E272" s="8"/>
      <c r="F272" s="8"/>
      <c r="G272" s="8"/>
      <c r="H272" s="11"/>
      <c r="I272" s="10"/>
      <c r="J272" s="11"/>
      <c r="K272" s="11"/>
      <c r="L272" s="12" t="str">
        <f t="shared" si="28"/>
        <v/>
      </c>
      <c r="M272" s="12" t="str">
        <f t="shared" si="29"/>
        <v/>
      </c>
      <c r="N272" s="12" t="str">
        <f t="shared" si="30"/>
        <v/>
      </c>
      <c r="O272" s="12" t="str">
        <f t="shared" si="31"/>
        <v/>
      </c>
      <c r="P272" s="11"/>
      <c r="Q272" s="12" t="str">
        <f t="shared" si="32"/>
        <v/>
      </c>
      <c r="R272" s="12" t="str">
        <f t="shared" si="33"/>
        <v/>
      </c>
      <c r="S272" s="12" t="str">
        <f t="shared" si="34"/>
        <v/>
      </c>
      <c r="T272" s="8"/>
      <c r="U272" s="10"/>
      <c r="V272" s="8"/>
    </row>
    <row r="273" spans="1:22">
      <c r="A273" s="8"/>
      <c r="B273" s="8"/>
      <c r="C273" s="8"/>
      <c r="D273" s="8"/>
      <c r="E273" s="8"/>
      <c r="F273" s="8"/>
      <c r="G273" s="8"/>
      <c r="H273" s="11"/>
      <c r="I273" s="10"/>
      <c r="J273" s="11"/>
      <c r="K273" s="11"/>
      <c r="L273" s="12" t="str">
        <f t="shared" si="28"/>
        <v/>
      </c>
      <c r="M273" s="12" t="str">
        <f t="shared" si="29"/>
        <v/>
      </c>
      <c r="N273" s="12" t="str">
        <f t="shared" si="30"/>
        <v/>
      </c>
      <c r="O273" s="12" t="str">
        <f t="shared" si="31"/>
        <v/>
      </c>
      <c r="P273" s="11"/>
      <c r="Q273" s="12" t="str">
        <f t="shared" si="32"/>
        <v/>
      </c>
      <c r="R273" s="12" t="str">
        <f t="shared" si="33"/>
        <v/>
      </c>
      <c r="S273" s="12" t="str">
        <f t="shared" si="34"/>
        <v/>
      </c>
      <c r="T273" s="8"/>
      <c r="U273" s="10"/>
      <c r="V273" s="8"/>
    </row>
    <row r="274" spans="1:22">
      <c r="A274" s="8"/>
      <c r="B274" s="8"/>
      <c r="C274" s="8"/>
      <c r="D274" s="8"/>
      <c r="E274" s="8"/>
      <c r="F274" s="8"/>
      <c r="G274" s="8"/>
      <c r="H274" s="11"/>
      <c r="I274" s="10"/>
      <c r="J274" s="11"/>
      <c r="K274" s="11"/>
      <c r="L274" s="12" t="str">
        <f t="shared" si="28"/>
        <v/>
      </c>
      <c r="M274" s="12" t="str">
        <f t="shared" si="29"/>
        <v/>
      </c>
      <c r="N274" s="12" t="str">
        <f t="shared" si="30"/>
        <v/>
      </c>
      <c r="O274" s="12" t="str">
        <f t="shared" si="31"/>
        <v/>
      </c>
      <c r="P274" s="11"/>
      <c r="Q274" s="12" t="str">
        <f t="shared" si="32"/>
        <v/>
      </c>
      <c r="R274" s="12" t="str">
        <f t="shared" si="33"/>
        <v/>
      </c>
      <c r="S274" s="12" t="str">
        <f t="shared" si="34"/>
        <v/>
      </c>
      <c r="T274" s="8"/>
      <c r="U274" s="10"/>
      <c r="V274" s="8"/>
    </row>
    <row r="275" spans="1:22">
      <c r="A275" s="8"/>
      <c r="B275" s="8"/>
      <c r="C275" s="8"/>
      <c r="D275" s="8"/>
      <c r="E275" s="8"/>
      <c r="F275" s="8"/>
      <c r="G275" s="8"/>
      <c r="H275" s="11"/>
      <c r="I275" s="10"/>
      <c r="J275" s="11"/>
      <c r="K275" s="11"/>
      <c r="L275" s="12" t="str">
        <f t="shared" si="28"/>
        <v/>
      </c>
      <c r="M275" s="12" t="str">
        <f t="shared" si="29"/>
        <v/>
      </c>
      <c r="N275" s="12" t="str">
        <f t="shared" si="30"/>
        <v/>
      </c>
      <c r="O275" s="12" t="str">
        <f t="shared" si="31"/>
        <v/>
      </c>
      <c r="P275" s="11"/>
      <c r="Q275" s="12" t="str">
        <f t="shared" si="32"/>
        <v/>
      </c>
      <c r="R275" s="12" t="str">
        <f t="shared" si="33"/>
        <v/>
      </c>
      <c r="S275" s="12" t="str">
        <f t="shared" si="34"/>
        <v/>
      </c>
      <c r="T275" s="8"/>
      <c r="U275" s="10"/>
      <c r="V275" s="8"/>
    </row>
    <row r="276" spans="1:22">
      <c r="A276" s="8"/>
      <c r="B276" s="8"/>
      <c r="C276" s="8"/>
      <c r="D276" s="8"/>
      <c r="E276" s="8"/>
      <c r="F276" s="8"/>
      <c r="G276" s="8"/>
      <c r="H276" s="11"/>
      <c r="I276" s="10"/>
      <c r="J276" s="11"/>
      <c r="K276" s="11"/>
      <c r="L276" s="12" t="str">
        <f t="shared" si="28"/>
        <v/>
      </c>
      <c r="M276" s="12" t="str">
        <f t="shared" si="29"/>
        <v/>
      </c>
      <c r="N276" s="12" t="str">
        <f t="shared" si="30"/>
        <v/>
      </c>
      <c r="O276" s="12" t="str">
        <f t="shared" si="31"/>
        <v/>
      </c>
      <c r="P276" s="11"/>
      <c r="Q276" s="12" t="str">
        <f t="shared" si="32"/>
        <v/>
      </c>
      <c r="R276" s="12" t="str">
        <f t="shared" si="33"/>
        <v/>
      </c>
      <c r="S276" s="12" t="str">
        <f t="shared" si="34"/>
        <v/>
      </c>
      <c r="T276" s="8"/>
      <c r="U276" s="10"/>
      <c r="V276" s="8"/>
    </row>
    <row r="277" spans="1:22">
      <c r="A277" s="8"/>
      <c r="B277" s="8"/>
      <c r="C277" s="8"/>
      <c r="D277" s="8"/>
      <c r="E277" s="8"/>
      <c r="F277" s="8"/>
      <c r="G277" s="8"/>
      <c r="H277" s="11"/>
      <c r="I277" s="10"/>
      <c r="J277" s="11"/>
      <c r="K277" s="11"/>
      <c r="L277" s="12" t="str">
        <f t="shared" si="28"/>
        <v/>
      </c>
      <c r="M277" s="12" t="str">
        <f t="shared" si="29"/>
        <v/>
      </c>
      <c r="N277" s="12" t="str">
        <f t="shared" si="30"/>
        <v/>
      </c>
      <c r="O277" s="12" t="str">
        <f t="shared" si="31"/>
        <v/>
      </c>
      <c r="P277" s="11"/>
      <c r="Q277" s="12" t="str">
        <f t="shared" si="32"/>
        <v/>
      </c>
      <c r="R277" s="12" t="str">
        <f t="shared" si="33"/>
        <v/>
      </c>
      <c r="S277" s="12" t="str">
        <f t="shared" si="34"/>
        <v/>
      </c>
      <c r="T277" s="8"/>
      <c r="U277" s="10"/>
      <c r="V277" s="8"/>
    </row>
    <row r="278" spans="1:22">
      <c r="A278" s="8"/>
      <c r="B278" s="8"/>
      <c r="C278" s="8"/>
      <c r="D278" s="8"/>
      <c r="E278" s="8"/>
      <c r="F278" s="8"/>
      <c r="G278" s="8"/>
      <c r="H278" s="11"/>
      <c r="I278" s="10"/>
      <c r="J278" s="11"/>
      <c r="K278" s="11"/>
      <c r="L278" s="12" t="str">
        <f t="shared" si="28"/>
        <v/>
      </c>
      <c r="M278" s="12" t="str">
        <f t="shared" si="29"/>
        <v/>
      </c>
      <c r="N278" s="12" t="str">
        <f t="shared" si="30"/>
        <v/>
      </c>
      <c r="O278" s="12" t="str">
        <f t="shared" si="31"/>
        <v/>
      </c>
      <c r="P278" s="11"/>
      <c r="Q278" s="12" t="str">
        <f t="shared" si="32"/>
        <v/>
      </c>
      <c r="R278" s="12" t="str">
        <f t="shared" si="33"/>
        <v/>
      </c>
      <c r="S278" s="12" t="str">
        <f t="shared" si="34"/>
        <v/>
      </c>
      <c r="T278" s="8"/>
      <c r="U278" s="10"/>
      <c r="V278" s="8"/>
    </row>
    <row r="279" spans="1:22">
      <c r="A279" s="8"/>
      <c r="B279" s="8"/>
      <c r="C279" s="8"/>
      <c r="D279" s="8"/>
      <c r="E279" s="8"/>
      <c r="F279" s="8"/>
      <c r="G279" s="8"/>
      <c r="H279" s="11"/>
      <c r="I279" s="10"/>
      <c r="J279" s="11"/>
      <c r="K279" s="11"/>
      <c r="L279" s="12" t="str">
        <f t="shared" si="28"/>
        <v/>
      </c>
      <c r="M279" s="12" t="str">
        <f t="shared" si="29"/>
        <v/>
      </c>
      <c r="N279" s="12" t="str">
        <f t="shared" si="30"/>
        <v/>
      </c>
      <c r="O279" s="12" t="str">
        <f t="shared" si="31"/>
        <v/>
      </c>
      <c r="P279" s="11"/>
      <c r="Q279" s="12" t="str">
        <f t="shared" si="32"/>
        <v/>
      </c>
      <c r="R279" s="12" t="str">
        <f t="shared" si="33"/>
        <v/>
      </c>
      <c r="S279" s="12" t="str">
        <f t="shared" si="34"/>
        <v/>
      </c>
      <c r="T279" s="8"/>
      <c r="U279" s="10"/>
      <c r="V279" s="8"/>
    </row>
    <row r="280" spans="1:22">
      <c r="A280" s="8"/>
      <c r="B280" s="8"/>
      <c r="C280" s="8"/>
      <c r="D280" s="8"/>
      <c r="E280" s="8"/>
      <c r="F280" s="8"/>
      <c r="G280" s="8"/>
      <c r="H280" s="11"/>
      <c r="I280" s="10"/>
      <c r="J280" s="11"/>
      <c r="K280" s="11"/>
      <c r="L280" s="12" t="str">
        <f t="shared" si="28"/>
        <v/>
      </c>
      <c r="M280" s="12" t="str">
        <f t="shared" si="29"/>
        <v/>
      </c>
      <c r="N280" s="12" t="str">
        <f t="shared" si="30"/>
        <v/>
      </c>
      <c r="O280" s="12" t="str">
        <f t="shared" si="31"/>
        <v/>
      </c>
      <c r="P280" s="11"/>
      <c r="Q280" s="12" t="str">
        <f t="shared" si="32"/>
        <v/>
      </c>
      <c r="R280" s="12" t="str">
        <f t="shared" si="33"/>
        <v/>
      </c>
      <c r="S280" s="12" t="str">
        <f t="shared" si="34"/>
        <v/>
      </c>
      <c r="T280" s="8"/>
      <c r="U280" s="10"/>
      <c r="V280" s="8"/>
    </row>
    <row r="281" spans="1:22">
      <c r="A281" s="8"/>
      <c r="B281" s="8"/>
      <c r="C281" s="8"/>
      <c r="D281" s="8"/>
      <c r="E281" s="8"/>
      <c r="F281" s="8"/>
      <c r="G281" s="8"/>
      <c r="H281" s="11"/>
      <c r="I281" s="10"/>
      <c r="J281" s="11"/>
      <c r="K281" s="11"/>
      <c r="L281" s="12" t="str">
        <f t="shared" si="28"/>
        <v/>
      </c>
      <c r="M281" s="12" t="str">
        <f t="shared" si="29"/>
        <v/>
      </c>
      <c r="N281" s="12" t="str">
        <f t="shared" si="30"/>
        <v/>
      </c>
      <c r="O281" s="12" t="str">
        <f t="shared" si="31"/>
        <v/>
      </c>
      <c r="P281" s="11"/>
      <c r="Q281" s="12" t="str">
        <f t="shared" si="32"/>
        <v/>
      </c>
      <c r="R281" s="12" t="str">
        <f t="shared" si="33"/>
        <v/>
      </c>
      <c r="S281" s="12" t="str">
        <f t="shared" si="34"/>
        <v/>
      </c>
      <c r="T281" s="8"/>
      <c r="U281" s="10"/>
      <c r="V281" s="8"/>
    </row>
    <row r="282" spans="1:22">
      <c r="A282" s="8"/>
      <c r="B282" s="8"/>
      <c r="C282" s="8"/>
      <c r="D282" s="8"/>
      <c r="E282" s="8"/>
      <c r="F282" s="8"/>
      <c r="G282" s="8"/>
      <c r="H282" s="11"/>
      <c r="I282" s="10"/>
      <c r="J282" s="11"/>
      <c r="K282" s="11"/>
      <c r="L282" s="12" t="str">
        <f t="shared" si="28"/>
        <v/>
      </c>
      <c r="M282" s="12" t="str">
        <f t="shared" si="29"/>
        <v/>
      </c>
      <c r="N282" s="12" t="str">
        <f t="shared" si="30"/>
        <v/>
      </c>
      <c r="O282" s="12" t="str">
        <f t="shared" si="31"/>
        <v/>
      </c>
      <c r="P282" s="11"/>
      <c r="Q282" s="12" t="str">
        <f t="shared" si="32"/>
        <v/>
      </c>
      <c r="R282" s="12" t="str">
        <f t="shared" si="33"/>
        <v/>
      </c>
      <c r="S282" s="12" t="str">
        <f t="shared" si="34"/>
        <v/>
      </c>
      <c r="T282" s="8"/>
      <c r="U282" s="10"/>
      <c r="V282" s="8"/>
    </row>
    <row r="283" spans="1:22">
      <c r="A283" s="8"/>
      <c r="B283" s="8"/>
      <c r="C283" s="8"/>
      <c r="D283" s="8"/>
      <c r="E283" s="8"/>
      <c r="F283" s="8"/>
      <c r="G283" s="8"/>
      <c r="H283" s="11"/>
      <c r="I283" s="10"/>
      <c r="J283" s="11"/>
      <c r="K283" s="11"/>
      <c r="L283" s="12" t="str">
        <f t="shared" si="28"/>
        <v/>
      </c>
      <c r="M283" s="12" t="str">
        <f t="shared" si="29"/>
        <v/>
      </c>
      <c r="N283" s="12" t="str">
        <f t="shared" si="30"/>
        <v/>
      </c>
      <c r="O283" s="12" t="str">
        <f t="shared" si="31"/>
        <v/>
      </c>
      <c r="P283" s="11"/>
      <c r="Q283" s="12" t="str">
        <f t="shared" si="32"/>
        <v/>
      </c>
      <c r="R283" s="12" t="str">
        <f t="shared" si="33"/>
        <v/>
      </c>
      <c r="S283" s="12" t="str">
        <f t="shared" si="34"/>
        <v/>
      </c>
      <c r="T283" s="8"/>
      <c r="U283" s="10"/>
      <c r="V283" s="8"/>
    </row>
    <row r="284" spans="1:22">
      <c r="A284" s="8"/>
      <c r="B284" s="8"/>
      <c r="C284" s="8"/>
      <c r="D284" s="8"/>
      <c r="E284" s="8"/>
      <c r="F284" s="8"/>
      <c r="G284" s="8"/>
      <c r="H284" s="11"/>
      <c r="I284" s="10"/>
      <c r="J284" s="11"/>
      <c r="K284" s="11"/>
      <c r="L284" s="12" t="str">
        <f t="shared" si="28"/>
        <v/>
      </c>
      <c r="M284" s="12" t="str">
        <f t="shared" si="29"/>
        <v/>
      </c>
      <c r="N284" s="12" t="str">
        <f t="shared" si="30"/>
        <v/>
      </c>
      <c r="O284" s="12" t="str">
        <f t="shared" si="31"/>
        <v/>
      </c>
      <c r="P284" s="11"/>
      <c r="Q284" s="12" t="str">
        <f t="shared" si="32"/>
        <v/>
      </c>
      <c r="R284" s="12" t="str">
        <f t="shared" si="33"/>
        <v/>
      </c>
      <c r="S284" s="12" t="str">
        <f t="shared" si="34"/>
        <v/>
      </c>
      <c r="T284" s="8"/>
      <c r="U284" s="10"/>
      <c r="V284" s="8"/>
    </row>
    <row r="285" spans="1:22">
      <c r="A285" s="8"/>
      <c r="B285" s="8"/>
      <c r="C285" s="8"/>
      <c r="D285" s="8"/>
      <c r="E285" s="8"/>
      <c r="F285" s="8"/>
      <c r="G285" s="8"/>
      <c r="H285" s="11"/>
      <c r="I285" s="10"/>
      <c r="J285" s="11"/>
      <c r="K285" s="11"/>
      <c r="L285" s="12" t="str">
        <f t="shared" si="28"/>
        <v/>
      </c>
      <c r="M285" s="12" t="str">
        <f t="shared" si="29"/>
        <v/>
      </c>
      <c r="N285" s="12" t="str">
        <f t="shared" si="30"/>
        <v/>
      </c>
      <c r="O285" s="12" t="str">
        <f t="shared" si="31"/>
        <v/>
      </c>
      <c r="P285" s="11"/>
      <c r="Q285" s="12" t="str">
        <f t="shared" si="32"/>
        <v/>
      </c>
      <c r="R285" s="12" t="str">
        <f t="shared" si="33"/>
        <v/>
      </c>
      <c r="S285" s="12" t="str">
        <f t="shared" si="34"/>
        <v/>
      </c>
      <c r="T285" s="8"/>
      <c r="U285" s="10"/>
      <c r="V285" s="8"/>
    </row>
    <row r="286" spans="1:22">
      <c r="A286" s="8"/>
      <c r="B286" s="8"/>
      <c r="C286" s="8"/>
      <c r="D286" s="8"/>
      <c r="E286" s="8"/>
      <c r="F286" s="8"/>
      <c r="G286" s="8"/>
      <c r="H286" s="11"/>
      <c r="I286" s="10"/>
      <c r="J286" s="11"/>
      <c r="K286" s="11"/>
      <c r="L286" s="12" t="str">
        <f t="shared" si="28"/>
        <v/>
      </c>
      <c r="M286" s="12" t="str">
        <f t="shared" si="29"/>
        <v/>
      </c>
      <c r="N286" s="12" t="str">
        <f t="shared" si="30"/>
        <v/>
      </c>
      <c r="O286" s="12" t="str">
        <f t="shared" si="31"/>
        <v/>
      </c>
      <c r="P286" s="11"/>
      <c r="Q286" s="12" t="str">
        <f t="shared" si="32"/>
        <v/>
      </c>
      <c r="R286" s="12" t="str">
        <f t="shared" si="33"/>
        <v/>
      </c>
      <c r="S286" s="12" t="str">
        <f t="shared" si="34"/>
        <v/>
      </c>
      <c r="T286" s="8"/>
      <c r="U286" s="10"/>
      <c r="V286" s="8"/>
    </row>
    <row r="287" spans="1:22">
      <c r="A287" s="8"/>
      <c r="B287" s="8"/>
      <c r="C287" s="8"/>
      <c r="D287" s="8"/>
      <c r="E287" s="8"/>
      <c r="F287" s="8"/>
      <c r="G287" s="8"/>
      <c r="H287" s="11"/>
      <c r="I287" s="10"/>
      <c r="J287" s="11"/>
      <c r="K287" s="11"/>
      <c r="L287" s="12" t="str">
        <f t="shared" si="28"/>
        <v/>
      </c>
      <c r="M287" s="12" t="str">
        <f t="shared" si="29"/>
        <v/>
      </c>
      <c r="N287" s="12" t="str">
        <f t="shared" si="30"/>
        <v/>
      </c>
      <c r="O287" s="12" t="str">
        <f t="shared" si="31"/>
        <v/>
      </c>
      <c r="P287" s="11"/>
      <c r="Q287" s="12" t="str">
        <f t="shared" si="32"/>
        <v/>
      </c>
      <c r="R287" s="12" t="str">
        <f t="shared" si="33"/>
        <v/>
      </c>
      <c r="S287" s="12" t="str">
        <f t="shared" si="34"/>
        <v/>
      </c>
      <c r="T287" s="8"/>
      <c r="U287" s="10"/>
      <c r="V287" s="8"/>
    </row>
    <row r="288" spans="1:22">
      <c r="A288" s="8"/>
      <c r="B288" s="8"/>
      <c r="C288" s="8"/>
      <c r="D288" s="8"/>
      <c r="E288" s="8"/>
      <c r="F288" s="8"/>
      <c r="G288" s="8"/>
      <c r="H288" s="11"/>
      <c r="I288" s="10"/>
      <c r="J288" s="11"/>
      <c r="K288" s="11"/>
      <c r="L288" s="12" t="str">
        <f t="shared" si="28"/>
        <v/>
      </c>
      <c r="M288" s="12" t="str">
        <f t="shared" si="29"/>
        <v/>
      </c>
      <c r="N288" s="12" t="str">
        <f t="shared" si="30"/>
        <v/>
      </c>
      <c r="O288" s="12" t="str">
        <f t="shared" si="31"/>
        <v/>
      </c>
      <c r="P288" s="11"/>
      <c r="Q288" s="12" t="str">
        <f t="shared" si="32"/>
        <v/>
      </c>
      <c r="R288" s="12" t="str">
        <f t="shared" si="33"/>
        <v/>
      </c>
      <c r="S288" s="12" t="str">
        <f t="shared" si="34"/>
        <v/>
      </c>
      <c r="T288" s="8"/>
      <c r="U288" s="10"/>
      <c r="V288" s="8"/>
    </row>
    <row r="289" spans="1:22">
      <c r="A289" s="8"/>
      <c r="B289" s="8"/>
      <c r="C289" s="8"/>
      <c r="D289" s="8"/>
      <c r="E289" s="8"/>
      <c r="F289" s="8"/>
      <c r="G289" s="8"/>
      <c r="H289" s="11"/>
      <c r="I289" s="10"/>
      <c r="J289" s="11"/>
      <c r="K289" s="11"/>
      <c r="L289" s="12" t="str">
        <f t="shared" si="28"/>
        <v/>
      </c>
      <c r="M289" s="12" t="str">
        <f t="shared" si="29"/>
        <v/>
      </c>
      <c r="N289" s="12" t="str">
        <f t="shared" si="30"/>
        <v/>
      </c>
      <c r="O289" s="12" t="str">
        <f t="shared" si="31"/>
        <v/>
      </c>
      <c r="P289" s="11"/>
      <c r="Q289" s="12" t="str">
        <f t="shared" si="32"/>
        <v/>
      </c>
      <c r="R289" s="12" t="str">
        <f t="shared" si="33"/>
        <v/>
      </c>
      <c r="S289" s="12" t="str">
        <f t="shared" si="34"/>
        <v/>
      </c>
      <c r="T289" s="8"/>
      <c r="U289" s="10"/>
      <c r="V289" s="8"/>
    </row>
    <row r="290" spans="1:22">
      <c r="A290" s="8"/>
      <c r="B290" s="8"/>
      <c r="C290" s="8"/>
      <c r="D290" s="8"/>
      <c r="E290" s="8"/>
      <c r="F290" s="8"/>
      <c r="G290" s="8"/>
      <c r="H290" s="11"/>
      <c r="I290" s="10"/>
      <c r="J290" s="11"/>
      <c r="K290" s="11"/>
      <c r="L290" s="12" t="str">
        <f t="shared" si="28"/>
        <v/>
      </c>
      <c r="M290" s="12" t="str">
        <f t="shared" si="29"/>
        <v/>
      </c>
      <c r="N290" s="12" t="str">
        <f t="shared" si="30"/>
        <v/>
      </c>
      <c r="O290" s="12" t="str">
        <f t="shared" si="31"/>
        <v/>
      </c>
      <c r="P290" s="11"/>
      <c r="Q290" s="12" t="str">
        <f t="shared" si="32"/>
        <v/>
      </c>
      <c r="R290" s="12" t="str">
        <f t="shared" si="33"/>
        <v/>
      </c>
      <c r="S290" s="12" t="str">
        <f t="shared" si="34"/>
        <v/>
      </c>
      <c r="T290" s="8"/>
      <c r="U290" s="10"/>
      <c r="V290" s="8"/>
    </row>
    <row r="291" spans="1:22">
      <c r="A291" s="8"/>
      <c r="B291" s="8"/>
      <c r="C291" s="8"/>
      <c r="D291" s="8"/>
      <c r="E291" s="8"/>
      <c r="F291" s="8"/>
      <c r="G291" s="8"/>
      <c r="H291" s="11"/>
      <c r="I291" s="10"/>
      <c r="J291" s="11"/>
      <c r="K291" s="11"/>
      <c r="L291" s="12" t="str">
        <f t="shared" si="28"/>
        <v/>
      </c>
      <c r="M291" s="12" t="str">
        <f t="shared" si="29"/>
        <v/>
      </c>
      <c r="N291" s="12" t="str">
        <f t="shared" si="30"/>
        <v/>
      </c>
      <c r="O291" s="12" t="str">
        <f t="shared" si="31"/>
        <v/>
      </c>
      <c r="P291" s="11"/>
      <c r="Q291" s="12" t="str">
        <f t="shared" si="32"/>
        <v/>
      </c>
      <c r="R291" s="12" t="str">
        <f t="shared" si="33"/>
        <v/>
      </c>
      <c r="S291" s="12" t="str">
        <f t="shared" si="34"/>
        <v/>
      </c>
      <c r="T291" s="8"/>
      <c r="U291" s="10"/>
      <c r="V291" s="8"/>
    </row>
    <row r="292" spans="1:22">
      <c r="A292" s="8"/>
      <c r="B292" s="8"/>
      <c r="C292" s="8"/>
      <c r="D292" s="8"/>
      <c r="E292" s="8"/>
      <c r="F292" s="8"/>
      <c r="G292" s="8"/>
      <c r="H292" s="11"/>
      <c r="I292" s="10"/>
      <c r="J292" s="11"/>
      <c r="K292" s="11"/>
      <c r="L292" s="12" t="str">
        <f t="shared" si="28"/>
        <v/>
      </c>
      <c r="M292" s="12" t="str">
        <f t="shared" si="29"/>
        <v/>
      </c>
      <c r="N292" s="12" t="str">
        <f t="shared" si="30"/>
        <v/>
      </c>
      <c r="O292" s="12" t="str">
        <f t="shared" si="31"/>
        <v/>
      </c>
      <c r="P292" s="11"/>
      <c r="Q292" s="12" t="str">
        <f t="shared" si="32"/>
        <v/>
      </c>
      <c r="R292" s="12" t="str">
        <f t="shared" si="33"/>
        <v/>
      </c>
      <c r="S292" s="12" t="str">
        <f t="shared" si="34"/>
        <v/>
      </c>
      <c r="T292" s="8"/>
      <c r="U292" s="10"/>
      <c r="V292" s="8"/>
    </row>
    <row r="293" spans="1:22">
      <c r="A293" s="8"/>
      <c r="B293" s="8"/>
      <c r="C293" s="8"/>
      <c r="D293" s="8"/>
      <c r="E293" s="8"/>
      <c r="F293" s="8"/>
      <c r="G293" s="8"/>
      <c r="H293" s="11"/>
      <c r="I293" s="10"/>
      <c r="J293" s="11"/>
      <c r="K293" s="11"/>
      <c r="L293" s="12" t="str">
        <f t="shared" si="28"/>
        <v/>
      </c>
      <c r="M293" s="12" t="str">
        <f t="shared" si="29"/>
        <v/>
      </c>
      <c r="N293" s="12" t="str">
        <f t="shared" si="30"/>
        <v/>
      </c>
      <c r="O293" s="12" t="str">
        <f t="shared" si="31"/>
        <v/>
      </c>
      <c r="P293" s="11"/>
      <c r="Q293" s="12" t="str">
        <f t="shared" si="32"/>
        <v/>
      </c>
      <c r="R293" s="12" t="str">
        <f t="shared" si="33"/>
        <v/>
      </c>
      <c r="S293" s="12" t="str">
        <f t="shared" si="34"/>
        <v/>
      </c>
      <c r="T293" s="8"/>
      <c r="U293" s="10"/>
      <c r="V293" s="8"/>
    </row>
    <row r="294" spans="1:22">
      <c r="A294" s="8"/>
      <c r="B294" s="8"/>
      <c r="C294" s="8"/>
      <c r="D294" s="8"/>
      <c r="E294" s="8"/>
      <c r="F294" s="8"/>
      <c r="G294" s="8"/>
      <c r="H294" s="11"/>
      <c r="I294" s="10"/>
      <c r="J294" s="11"/>
      <c r="K294" s="11"/>
      <c r="L294" s="12" t="str">
        <f t="shared" si="28"/>
        <v/>
      </c>
      <c r="M294" s="12" t="str">
        <f t="shared" si="29"/>
        <v/>
      </c>
      <c r="N294" s="12" t="str">
        <f t="shared" si="30"/>
        <v/>
      </c>
      <c r="O294" s="12" t="str">
        <f t="shared" si="31"/>
        <v/>
      </c>
      <c r="P294" s="11"/>
      <c r="Q294" s="12" t="str">
        <f t="shared" si="32"/>
        <v/>
      </c>
      <c r="R294" s="12" t="str">
        <f t="shared" si="33"/>
        <v/>
      </c>
      <c r="S294" s="12" t="str">
        <f t="shared" si="34"/>
        <v/>
      </c>
      <c r="T294" s="8"/>
      <c r="U294" s="10"/>
      <c r="V294" s="8"/>
    </row>
    <row r="295" spans="1:22">
      <c r="A295" s="8"/>
      <c r="B295" s="8"/>
      <c r="C295" s="8"/>
      <c r="D295" s="8"/>
      <c r="E295" s="8"/>
      <c r="F295" s="8"/>
      <c r="G295" s="8"/>
      <c r="H295" s="11"/>
      <c r="I295" s="10"/>
      <c r="J295" s="11"/>
      <c r="K295" s="11"/>
      <c r="L295" s="12" t="str">
        <f t="shared" si="28"/>
        <v/>
      </c>
      <c r="M295" s="12" t="str">
        <f t="shared" si="29"/>
        <v/>
      </c>
      <c r="N295" s="12" t="str">
        <f t="shared" si="30"/>
        <v/>
      </c>
      <c r="O295" s="12" t="str">
        <f t="shared" si="31"/>
        <v/>
      </c>
      <c r="P295" s="11"/>
      <c r="Q295" s="12" t="str">
        <f t="shared" si="32"/>
        <v/>
      </c>
      <c r="R295" s="12" t="str">
        <f t="shared" si="33"/>
        <v/>
      </c>
      <c r="S295" s="12" t="str">
        <f t="shared" si="34"/>
        <v/>
      </c>
      <c r="T295" s="8"/>
      <c r="U295" s="10"/>
      <c r="V295" s="8"/>
    </row>
    <row r="296" spans="1:22">
      <c r="A296" s="8"/>
      <c r="B296" s="8"/>
      <c r="C296" s="8"/>
      <c r="D296" s="8"/>
      <c r="E296" s="8"/>
      <c r="F296" s="8"/>
      <c r="G296" s="8"/>
      <c r="H296" s="11"/>
      <c r="I296" s="10"/>
      <c r="J296" s="11"/>
      <c r="K296" s="11"/>
      <c r="L296" s="12" t="str">
        <f t="shared" si="28"/>
        <v/>
      </c>
      <c r="M296" s="12" t="str">
        <f t="shared" si="29"/>
        <v/>
      </c>
      <c r="N296" s="12" t="str">
        <f t="shared" si="30"/>
        <v/>
      </c>
      <c r="O296" s="12" t="str">
        <f t="shared" si="31"/>
        <v/>
      </c>
      <c r="P296" s="11"/>
      <c r="Q296" s="12" t="str">
        <f t="shared" si="32"/>
        <v/>
      </c>
      <c r="R296" s="12" t="str">
        <f t="shared" si="33"/>
        <v/>
      </c>
      <c r="S296" s="12" t="str">
        <f t="shared" si="34"/>
        <v/>
      </c>
      <c r="T296" s="8"/>
      <c r="U296" s="10"/>
      <c r="V296" s="8"/>
    </row>
    <row r="297" spans="1:22">
      <c r="A297" s="8"/>
      <c r="B297" s="8"/>
      <c r="C297" s="8"/>
      <c r="D297" s="8"/>
      <c r="E297" s="8"/>
      <c r="F297" s="8"/>
      <c r="G297" s="8"/>
      <c r="H297" s="11"/>
      <c r="I297" s="10"/>
      <c r="J297" s="11"/>
      <c r="K297" s="11"/>
      <c r="L297" s="12" t="str">
        <f t="shared" si="28"/>
        <v/>
      </c>
      <c r="M297" s="12" t="str">
        <f t="shared" si="29"/>
        <v/>
      </c>
      <c r="N297" s="12" t="str">
        <f t="shared" si="30"/>
        <v/>
      </c>
      <c r="O297" s="12" t="str">
        <f t="shared" si="31"/>
        <v/>
      </c>
      <c r="P297" s="11"/>
      <c r="Q297" s="12" t="str">
        <f t="shared" si="32"/>
        <v/>
      </c>
      <c r="R297" s="12" t="str">
        <f t="shared" si="33"/>
        <v/>
      </c>
      <c r="S297" s="12" t="str">
        <f t="shared" si="34"/>
        <v/>
      </c>
      <c r="T297" s="8"/>
      <c r="U297" s="10"/>
      <c r="V297" s="8"/>
    </row>
    <row r="298" spans="1:22">
      <c r="A298" s="8"/>
      <c r="B298" s="8"/>
      <c r="C298" s="8"/>
      <c r="D298" s="8"/>
      <c r="E298" s="8"/>
      <c r="F298" s="8"/>
      <c r="G298" s="8"/>
      <c r="H298" s="11"/>
      <c r="I298" s="10"/>
      <c r="J298" s="11"/>
      <c r="K298" s="11"/>
      <c r="L298" s="12" t="str">
        <f t="shared" si="28"/>
        <v/>
      </c>
      <c r="M298" s="12" t="str">
        <f t="shared" si="29"/>
        <v/>
      </c>
      <c r="N298" s="12" t="str">
        <f t="shared" si="30"/>
        <v/>
      </c>
      <c r="O298" s="12" t="str">
        <f t="shared" si="31"/>
        <v/>
      </c>
      <c r="P298" s="11"/>
      <c r="Q298" s="12" t="str">
        <f t="shared" si="32"/>
        <v/>
      </c>
      <c r="R298" s="12" t="str">
        <f t="shared" si="33"/>
        <v/>
      </c>
      <c r="S298" s="12" t="str">
        <f t="shared" si="34"/>
        <v/>
      </c>
      <c r="T298" s="8"/>
      <c r="U298" s="10"/>
      <c r="V298" s="8"/>
    </row>
    <row r="299" spans="1:22">
      <c r="A299" s="8"/>
      <c r="B299" s="8"/>
      <c r="C299" s="8"/>
      <c r="D299" s="8"/>
      <c r="E299" s="8"/>
      <c r="F299" s="8"/>
      <c r="G299" s="8"/>
      <c r="H299" s="11"/>
      <c r="I299" s="10"/>
      <c r="J299" s="11"/>
      <c r="K299" s="11"/>
      <c r="L299" s="12" t="str">
        <f t="shared" si="28"/>
        <v/>
      </c>
      <c r="M299" s="12" t="str">
        <f t="shared" si="29"/>
        <v/>
      </c>
      <c r="N299" s="12" t="str">
        <f t="shared" si="30"/>
        <v/>
      </c>
      <c r="O299" s="12" t="str">
        <f t="shared" si="31"/>
        <v/>
      </c>
      <c r="P299" s="11"/>
      <c r="Q299" s="12" t="str">
        <f t="shared" si="32"/>
        <v/>
      </c>
      <c r="R299" s="12" t="str">
        <f t="shared" si="33"/>
        <v/>
      </c>
      <c r="S299" s="12" t="str">
        <f t="shared" si="34"/>
        <v/>
      </c>
      <c r="T299" s="8"/>
      <c r="U299" s="10"/>
      <c r="V299" s="8"/>
    </row>
    <row r="300" spans="1:22">
      <c r="A300" s="8"/>
      <c r="B300" s="8"/>
      <c r="C300" s="8"/>
      <c r="D300" s="8"/>
      <c r="E300" s="8"/>
      <c r="F300" s="8"/>
      <c r="G300" s="8"/>
      <c r="H300" s="11"/>
      <c r="I300" s="10"/>
      <c r="J300" s="11"/>
      <c r="K300" s="11"/>
      <c r="L300" s="12" t="str">
        <f t="shared" si="28"/>
        <v/>
      </c>
      <c r="M300" s="12" t="str">
        <f t="shared" si="29"/>
        <v/>
      </c>
      <c r="N300" s="12" t="str">
        <f t="shared" si="30"/>
        <v/>
      </c>
      <c r="O300" s="12" t="str">
        <f t="shared" si="31"/>
        <v/>
      </c>
      <c r="P300" s="11"/>
      <c r="Q300" s="12" t="str">
        <f t="shared" si="32"/>
        <v/>
      </c>
      <c r="R300" s="12" t="str">
        <f t="shared" si="33"/>
        <v/>
      </c>
      <c r="S300" s="12" t="str">
        <f t="shared" si="34"/>
        <v/>
      </c>
      <c r="T300" s="8"/>
      <c r="U300" s="10"/>
      <c r="V300" s="8"/>
    </row>
    <row r="301" spans="1:22">
      <c r="A301" s="8"/>
      <c r="B301" s="8"/>
      <c r="C301" s="8"/>
      <c r="D301" s="8"/>
      <c r="E301" s="8"/>
      <c r="F301" s="8"/>
      <c r="G301" s="8"/>
      <c r="H301" s="11"/>
      <c r="I301" s="10"/>
      <c r="J301" s="11"/>
      <c r="K301" s="11"/>
      <c r="L301" s="12" t="str">
        <f t="shared" si="28"/>
        <v/>
      </c>
      <c r="M301" s="12" t="str">
        <f t="shared" si="29"/>
        <v/>
      </c>
      <c r="N301" s="12" t="str">
        <f t="shared" si="30"/>
        <v/>
      </c>
      <c r="O301" s="12" t="str">
        <f t="shared" si="31"/>
        <v/>
      </c>
      <c r="P301" s="11"/>
      <c r="Q301" s="12" t="str">
        <f t="shared" si="32"/>
        <v/>
      </c>
      <c r="R301" s="12" t="str">
        <f t="shared" si="33"/>
        <v/>
      </c>
      <c r="S301" s="12" t="str">
        <f t="shared" si="34"/>
        <v/>
      </c>
      <c r="T301" s="8"/>
      <c r="U301" s="10"/>
      <c r="V301" s="8"/>
    </row>
    <row r="302" spans="1:22">
      <c r="A302" s="8"/>
      <c r="B302" s="8"/>
      <c r="C302" s="8"/>
      <c r="D302" s="8"/>
      <c r="E302" s="8"/>
      <c r="F302" s="8"/>
      <c r="G302" s="8"/>
      <c r="H302" s="11"/>
      <c r="I302" s="10"/>
      <c r="J302" s="11"/>
      <c r="K302" s="11"/>
      <c r="L302" s="12" t="str">
        <f t="shared" si="28"/>
        <v/>
      </c>
      <c r="M302" s="12" t="str">
        <f t="shared" si="29"/>
        <v/>
      </c>
      <c r="N302" s="12" t="str">
        <f t="shared" si="30"/>
        <v/>
      </c>
      <c r="O302" s="12" t="str">
        <f t="shared" si="31"/>
        <v/>
      </c>
      <c r="P302" s="11"/>
      <c r="Q302" s="12" t="str">
        <f t="shared" si="32"/>
        <v/>
      </c>
      <c r="R302" s="12" t="str">
        <f t="shared" si="33"/>
        <v/>
      </c>
      <c r="S302" s="12" t="str">
        <f t="shared" si="34"/>
        <v/>
      </c>
      <c r="T302" s="8"/>
      <c r="U302" s="10"/>
      <c r="V302" s="8"/>
    </row>
    <row r="303" spans="1:22">
      <c r="A303" s="8"/>
      <c r="B303" s="8"/>
      <c r="C303" s="8"/>
      <c r="D303" s="8"/>
      <c r="E303" s="8"/>
      <c r="F303" s="8"/>
      <c r="G303" s="8"/>
      <c r="H303" s="11"/>
      <c r="I303" s="10"/>
      <c r="J303" s="11"/>
      <c r="K303" s="11"/>
      <c r="L303" s="12" t="str">
        <f t="shared" si="28"/>
        <v/>
      </c>
      <c r="M303" s="12" t="str">
        <f t="shared" si="29"/>
        <v/>
      </c>
      <c r="N303" s="12" t="str">
        <f t="shared" si="30"/>
        <v/>
      </c>
      <c r="O303" s="12" t="str">
        <f t="shared" si="31"/>
        <v/>
      </c>
      <c r="P303" s="11"/>
      <c r="Q303" s="12" t="str">
        <f t="shared" si="32"/>
        <v/>
      </c>
      <c r="R303" s="12" t="str">
        <f t="shared" si="33"/>
        <v/>
      </c>
      <c r="S303" s="12" t="str">
        <f t="shared" si="34"/>
        <v/>
      </c>
      <c r="T303" s="8"/>
      <c r="U303" s="10"/>
      <c r="V303" s="8"/>
    </row>
    <row r="304" spans="1:22">
      <c r="A304" s="8"/>
      <c r="B304" s="8"/>
      <c r="C304" s="8"/>
      <c r="D304" s="8"/>
      <c r="E304" s="8"/>
      <c r="F304" s="8"/>
      <c r="G304" s="8"/>
      <c r="H304" s="11"/>
      <c r="I304" s="10"/>
      <c r="J304" s="11"/>
      <c r="K304" s="11"/>
      <c r="L304" s="12" t="str">
        <f t="shared" si="28"/>
        <v/>
      </c>
      <c r="M304" s="12" t="str">
        <f t="shared" si="29"/>
        <v/>
      </c>
      <c r="N304" s="12" t="str">
        <f t="shared" si="30"/>
        <v/>
      </c>
      <c r="O304" s="12" t="str">
        <f t="shared" si="31"/>
        <v/>
      </c>
      <c r="P304" s="11"/>
      <c r="Q304" s="12" t="str">
        <f t="shared" si="32"/>
        <v/>
      </c>
      <c r="R304" s="12" t="str">
        <f t="shared" si="33"/>
        <v/>
      </c>
      <c r="S304" s="12" t="str">
        <f t="shared" si="34"/>
        <v/>
      </c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120" priority="9"/>
  </conditionalFormatting>
  <conditionalFormatting sqref="D5:D304">
    <cfRule type="containsText" dxfId="119" priority="1" operator="containsText" text="Approved"/>
    <cfRule type="containsText" dxfId="118" priority="4" operator="containsText" text="Failed"/>
    <cfRule type="containsText" dxfId="117" priority="7" operator="containsText" text="On Hold"/>
  </conditionalFormatting>
  <dataValidations count="1">
    <dataValidation type="list" sqref="D5:D304" xr:uid="{00000000-0002-0000-0300-000000000000}">
      <formula1>"Confirmed,FGPO Pending,Revised,On Hold,Closed"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4"/>
  <sheetViews>
    <sheetView showGridLines="0" workbookViewId="0">
      <selection sqref="A1:V1"/>
    </sheetView>
  </sheetViews>
  <sheetFormatPr baseColWidth="10" defaultColWidth="8.83203125" defaultRowHeight="14"/>
  <cols>
    <col min="1" max="1" width="15" customWidth="1"/>
    <col min="2" max="2" width="14" customWidth="1"/>
    <col min="3" max="4" width="13" customWidth="1"/>
    <col min="5" max="5" width="17" customWidth="1"/>
    <col min="6" max="6" width="22" customWidth="1"/>
    <col min="7" max="7" width="17" customWidth="1"/>
    <col min="8" max="8" width="10" customWidth="1"/>
    <col min="9" max="9" width="14" customWidth="1"/>
    <col min="10" max="10" width="11" customWidth="1"/>
    <col min="11" max="12" width="14" customWidth="1"/>
    <col min="13" max="13" width="18" customWidth="1"/>
    <col min="14" max="14" width="13" customWidth="1"/>
    <col min="15" max="15" width="14" customWidth="1"/>
    <col min="16" max="16" width="17" customWidth="1"/>
    <col min="17" max="17" width="20" customWidth="1"/>
    <col min="18" max="19" width="14" customWidth="1"/>
    <col min="20" max="21" width="15" customWidth="1"/>
    <col min="22" max="22" width="25" customWidth="1"/>
  </cols>
  <sheetData>
    <row r="1" spans="1:22" ht="30" customHeight="1">
      <c r="A1" s="52" t="s">
        <v>102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103</v>
      </c>
      <c r="B4" s="6" t="s">
        <v>44</v>
      </c>
      <c r="C4" s="6" t="s">
        <v>45</v>
      </c>
      <c r="D4" s="6" t="s">
        <v>46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38</v>
      </c>
      <c r="L4" s="6" t="s">
        <v>110</v>
      </c>
      <c r="M4" s="6" t="s">
        <v>111</v>
      </c>
      <c r="N4" s="6" t="s">
        <v>112</v>
      </c>
      <c r="O4" s="6" t="s">
        <v>113</v>
      </c>
      <c r="P4" s="6" t="s">
        <v>114</v>
      </c>
      <c r="Q4" s="6" t="s">
        <v>115</v>
      </c>
      <c r="R4" s="6" t="s">
        <v>116</v>
      </c>
      <c r="S4" s="6" t="s">
        <v>73</v>
      </c>
      <c r="T4" s="6" t="s">
        <v>100</v>
      </c>
      <c r="U4" s="6" t="s">
        <v>63</v>
      </c>
      <c r="V4" s="6" t="s">
        <v>101</v>
      </c>
    </row>
    <row r="5" spans="1:22">
      <c r="A5" s="8"/>
      <c r="B5" s="8"/>
      <c r="C5" s="8"/>
      <c r="D5" s="8"/>
      <c r="E5" s="8"/>
      <c r="F5" s="8"/>
      <c r="G5" s="8"/>
      <c r="H5" s="13"/>
      <c r="I5" s="13"/>
      <c r="J5" s="8"/>
      <c r="K5" s="13"/>
      <c r="L5" s="13"/>
      <c r="M5" s="14" t="str">
        <f t="shared" ref="M5:M68" si="0">IF(A5="","",K5*L5)</f>
        <v/>
      </c>
      <c r="N5" s="15"/>
      <c r="O5" s="14" t="str">
        <f t="shared" ref="O5:O68" si="1">IF(A5="","",M5*N5)</f>
        <v/>
      </c>
      <c r="P5" s="13"/>
      <c r="Q5" s="14" t="str">
        <f t="shared" ref="Q5:Q68" si="2">IF(A5="","",MAX(0,M5+O5-P5))</f>
        <v/>
      </c>
      <c r="R5" s="10"/>
      <c r="S5" s="8"/>
      <c r="T5" s="8"/>
      <c r="U5" s="10"/>
      <c r="V5" s="8"/>
    </row>
    <row r="6" spans="1:22">
      <c r="A6" s="8"/>
      <c r="B6" s="8"/>
      <c r="C6" s="8"/>
      <c r="D6" s="8"/>
      <c r="E6" s="8"/>
      <c r="F6" s="8"/>
      <c r="G6" s="8"/>
      <c r="H6" s="13"/>
      <c r="I6" s="13"/>
      <c r="J6" s="8"/>
      <c r="K6" s="13"/>
      <c r="L6" s="13"/>
      <c r="M6" s="14" t="str">
        <f t="shared" si="0"/>
        <v/>
      </c>
      <c r="N6" s="15"/>
      <c r="O6" s="14" t="str">
        <f t="shared" si="1"/>
        <v/>
      </c>
      <c r="P6" s="13"/>
      <c r="Q6" s="14" t="str">
        <f t="shared" si="2"/>
        <v/>
      </c>
      <c r="R6" s="10"/>
      <c r="S6" s="8"/>
      <c r="T6" s="8"/>
      <c r="U6" s="10"/>
      <c r="V6" s="8"/>
    </row>
    <row r="7" spans="1:22">
      <c r="A7" s="8"/>
      <c r="B7" s="8"/>
      <c r="C7" s="8"/>
      <c r="D7" s="8"/>
      <c r="E7" s="8"/>
      <c r="F7" s="8"/>
      <c r="G7" s="8"/>
      <c r="H7" s="13"/>
      <c r="I7" s="13"/>
      <c r="J7" s="8"/>
      <c r="K7" s="13"/>
      <c r="L7" s="13"/>
      <c r="M7" s="14" t="str">
        <f t="shared" si="0"/>
        <v/>
      </c>
      <c r="N7" s="15"/>
      <c r="O7" s="14" t="str">
        <f t="shared" si="1"/>
        <v/>
      </c>
      <c r="P7" s="13"/>
      <c r="Q7" s="14" t="str">
        <f t="shared" si="2"/>
        <v/>
      </c>
      <c r="R7" s="10"/>
      <c r="S7" s="8"/>
      <c r="T7" s="8"/>
      <c r="U7" s="10"/>
      <c r="V7" s="8"/>
    </row>
    <row r="8" spans="1:22">
      <c r="A8" s="8"/>
      <c r="B8" s="8"/>
      <c r="C8" s="8"/>
      <c r="D8" s="8"/>
      <c r="E8" s="8"/>
      <c r="F8" s="8"/>
      <c r="G8" s="8"/>
      <c r="H8" s="13"/>
      <c r="I8" s="13"/>
      <c r="J8" s="8"/>
      <c r="K8" s="13"/>
      <c r="L8" s="13"/>
      <c r="M8" s="14" t="str">
        <f t="shared" si="0"/>
        <v/>
      </c>
      <c r="N8" s="15"/>
      <c r="O8" s="14" t="str">
        <f t="shared" si="1"/>
        <v/>
      </c>
      <c r="P8" s="13"/>
      <c r="Q8" s="14" t="str">
        <f t="shared" si="2"/>
        <v/>
      </c>
      <c r="R8" s="10"/>
      <c r="S8" s="8"/>
      <c r="T8" s="8"/>
      <c r="U8" s="10"/>
      <c r="V8" s="8"/>
    </row>
    <row r="9" spans="1:22">
      <c r="A9" s="8"/>
      <c r="B9" s="8"/>
      <c r="C9" s="8"/>
      <c r="D9" s="8"/>
      <c r="E9" s="8"/>
      <c r="F9" s="8"/>
      <c r="G9" s="8"/>
      <c r="H9" s="13"/>
      <c r="I9" s="13"/>
      <c r="J9" s="8"/>
      <c r="K9" s="13"/>
      <c r="L9" s="13"/>
      <c r="M9" s="14" t="str">
        <f t="shared" si="0"/>
        <v/>
      </c>
      <c r="N9" s="15"/>
      <c r="O9" s="14" t="str">
        <f t="shared" si="1"/>
        <v/>
      </c>
      <c r="P9" s="13"/>
      <c r="Q9" s="14" t="str">
        <f t="shared" si="2"/>
        <v/>
      </c>
      <c r="R9" s="10"/>
      <c r="S9" s="8"/>
      <c r="T9" s="8"/>
      <c r="U9" s="10"/>
      <c r="V9" s="8"/>
    </row>
    <row r="10" spans="1:22">
      <c r="A10" s="8"/>
      <c r="B10" s="8"/>
      <c r="C10" s="8"/>
      <c r="D10" s="8"/>
      <c r="E10" s="8"/>
      <c r="F10" s="8"/>
      <c r="G10" s="8"/>
      <c r="H10" s="13"/>
      <c r="I10" s="13"/>
      <c r="J10" s="8"/>
      <c r="K10" s="13"/>
      <c r="L10" s="13"/>
      <c r="M10" s="14" t="str">
        <f t="shared" si="0"/>
        <v/>
      </c>
      <c r="N10" s="15"/>
      <c r="O10" s="14" t="str">
        <f t="shared" si="1"/>
        <v/>
      </c>
      <c r="P10" s="13"/>
      <c r="Q10" s="14" t="str">
        <f t="shared" si="2"/>
        <v/>
      </c>
      <c r="R10" s="10"/>
      <c r="S10" s="8"/>
      <c r="T10" s="8"/>
      <c r="U10" s="10"/>
      <c r="V10" s="8"/>
    </row>
    <row r="11" spans="1:22">
      <c r="A11" s="8"/>
      <c r="B11" s="8"/>
      <c r="C11" s="8"/>
      <c r="D11" s="8"/>
      <c r="E11" s="8"/>
      <c r="F11" s="8"/>
      <c r="G11" s="8"/>
      <c r="H11" s="13"/>
      <c r="I11" s="13"/>
      <c r="J11" s="8"/>
      <c r="K11" s="13"/>
      <c r="L11" s="13"/>
      <c r="M11" s="14" t="str">
        <f t="shared" si="0"/>
        <v/>
      </c>
      <c r="N11" s="15"/>
      <c r="O11" s="14" t="str">
        <f t="shared" si="1"/>
        <v/>
      </c>
      <c r="P11" s="13"/>
      <c r="Q11" s="14" t="str">
        <f t="shared" si="2"/>
        <v/>
      </c>
      <c r="R11" s="10"/>
      <c r="S11" s="8"/>
      <c r="T11" s="8"/>
      <c r="U11" s="10"/>
      <c r="V11" s="8"/>
    </row>
    <row r="12" spans="1:22">
      <c r="A12" s="8"/>
      <c r="B12" s="8"/>
      <c r="C12" s="8"/>
      <c r="D12" s="8"/>
      <c r="E12" s="8"/>
      <c r="F12" s="8"/>
      <c r="G12" s="8"/>
      <c r="H12" s="13"/>
      <c r="I12" s="13"/>
      <c r="J12" s="8"/>
      <c r="K12" s="13"/>
      <c r="L12" s="13"/>
      <c r="M12" s="14" t="str">
        <f t="shared" si="0"/>
        <v/>
      </c>
      <c r="N12" s="15"/>
      <c r="O12" s="14" t="str">
        <f t="shared" si="1"/>
        <v/>
      </c>
      <c r="P12" s="13"/>
      <c r="Q12" s="14" t="str">
        <f t="shared" si="2"/>
        <v/>
      </c>
      <c r="R12" s="10"/>
      <c r="S12" s="8"/>
      <c r="T12" s="8"/>
      <c r="U12" s="10"/>
      <c r="V12" s="8"/>
    </row>
    <row r="13" spans="1:22">
      <c r="A13" s="8"/>
      <c r="B13" s="8"/>
      <c r="C13" s="8"/>
      <c r="D13" s="8"/>
      <c r="E13" s="8"/>
      <c r="F13" s="8"/>
      <c r="G13" s="8"/>
      <c r="H13" s="13"/>
      <c r="I13" s="13"/>
      <c r="J13" s="8"/>
      <c r="K13" s="13"/>
      <c r="L13" s="13"/>
      <c r="M13" s="14" t="str">
        <f t="shared" si="0"/>
        <v/>
      </c>
      <c r="N13" s="15"/>
      <c r="O13" s="14" t="str">
        <f t="shared" si="1"/>
        <v/>
      </c>
      <c r="P13" s="13"/>
      <c r="Q13" s="14" t="str">
        <f t="shared" si="2"/>
        <v/>
      </c>
      <c r="R13" s="10"/>
      <c r="S13" s="8"/>
      <c r="T13" s="8"/>
      <c r="U13" s="10"/>
      <c r="V13" s="8"/>
    </row>
    <row r="14" spans="1:22">
      <c r="A14" s="8"/>
      <c r="B14" s="8"/>
      <c r="C14" s="8"/>
      <c r="D14" s="8"/>
      <c r="E14" s="8"/>
      <c r="F14" s="8"/>
      <c r="G14" s="8"/>
      <c r="H14" s="13"/>
      <c r="I14" s="13"/>
      <c r="J14" s="8"/>
      <c r="K14" s="13"/>
      <c r="L14" s="13"/>
      <c r="M14" s="14" t="str">
        <f t="shared" si="0"/>
        <v/>
      </c>
      <c r="N14" s="15"/>
      <c r="O14" s="14" t="str">
        <f t="shared" si="1"/>
        <v/>
      </c>
      <c r="P14" s="13"/>
      <c r="Q14" s="14" t="str">
        <f t="shared" si="2"/>
        <v/>
      </c>
      <c r="R14" s="10"/>
      <c r="S14" s="8"/>
      <c r="T14" s="8"/>
      <c r="U14" s="10"/>
      <c r="V14" s="8"/>
    </row>
    <row r="15" spans="1:22">
      <c r="A15" s="8"/>
      <c r="B15" s="8"/>
      <c r="C15" s="8"/>
      <c r="D15" s="8"/>
      <c r="E15" s="8"/>
      <c r="F15" s="8"/>
      <c r="G15" s="8"/>
      <c r="H15" s="13"/>
      <c r="I15" s="13"/>
      <c r="J15" s="8"/>
      <c r="K15" s="13"/>
      <c r="L15" s="13"/>
      <c r="M15" s="14" t="str">
        <f t="shared" si="0"/>
        <v/>
      </c>
      <c r="N15" s="15"/>
      <c r="O15" s="14" t="str">
        <f t="shared" si="1"/>
        <v/>
      </c>
      <c r="P15" s="13"/>
      <c r="Q15" s="14" t="str">
        <f t="shared" si="2"/>
        <v/>
      </c>
      <c r="R15" s="10"/>
      <c r="S15" s="8"/>
      <c r="T15" s="8"/>
      <c r="U15" s="10"/>
      <c r="V15" s="8"/>
    </row>
    <row r="16" spans="1:22">
      <c r="A16" s="8"/>
      <c r="B16" s="8"/>
      <c r="C16" s="8"/>
      <c r="D16" s="8"/>
      <c r="E16" s="8"/>
      <c r="F16" s="8"/>
      <c r="G16" s="8"/>
      <c r="H16" s="13"/>
      <c r="I16" s="13"/>
      <c r="J16" s="8"/>
      <c r="K16" s="13"/>
      <c r="L16" s="13"/>
      <c r="M16" s="14" t="str">
        <f t="shared" si="0"/>
        <v/>
      </c>
      <c r="N16" s="15"/>
      <c r="O16" s="14" t="str">
        <f t="shared" si="1"/>
        <v/>
      </c>
      <c r="P16" s="13"/>
      <c r="Q16" s="14" t="str">
        <f t="shared" si="2"/>
        <v/>
      </c>
      <c r="R16" s="10"/>
      <c r="S16" s="8"/>
      <c r="T16" s="8"/>
      <c r="U16" s="10"/>
      <c r="V16" s="8"/>
    </row>
    <row r="17" spans="1:22">
      <c r="A17" s="8"/>
      <c r="B17" s="8"/>
      <c r="C17" s="8"/>
      <c r="D17" s="8"/>
      <c r="E17" s="8"/>
      <c r="F17" s="8"/>
      <c r="G17" s="8"/>
      <c r="H17" s="13"/>
      <c r="I17" s="13"/>
      <c r="J17" s="8"/>
      <c r="K17" s="13"/>
      <c r="L17" s="13"/>
      <c r="M17" s="14" t="str">
        <f t="shared" si="0"/>
        <v/>
      </c>
      <c r="N17" s="15"/>
      <c r="O17" s="14" t="str">
        <f t="shared" si="1"/>
        <v/>
      </c>
      <c r="P17" s="13"/>
      <c r="Q17" s="14" t="str">
        <f t="shared" si="2"/>
        <v/>
      </c>
      <c r="R17" s="10"/>
      <c r="S17" s="8"/>
      <c r="T17" s="8"/>
      <c r="U17" s="10"/>
      <c r="V17" s="8"/>
    </row>
    <row r="18" spans="1:22">
      <c r="A18" s="8"/>
      <c r="B18" s="8"/>
      <c r="C18" s="8"/>
      <c r="D18" s="8"/>
      <c r="E18" s="8"/>
      <c r="F18" s="8"/>
      <c r="G18" s="8"/>
      <c r="H18" s="13"/>
      <c r="I18" s="13"/>
      <c r="J18" s="8"/>
      <c r="K18" s="13"/>
      <c r="L18" s="13"/>
      <c r="M18" s="14" t="str">
        <f t="shared" si="0"/>
        <v/>
      </c>
      <c r="N18" s="15"/>
      <c r="O18" s="14" t="str">
        <f t="shared" si="1"/>
        <v/>
      </c>
      <c r="P18" s="13"/>
      <c r="Q18" s="14" t="str">
        <f t="shared" si="2"/>
        <v/>
      </c>
      <c r="R18" s="10"/>
      <c r="S18" s="8"/>
      <c r="T18" s="8"/>
      <c r="U18" s="10"/>
      <c r="V18" s="8"/>
    </row>
    <row r="19" spans="1:22">
      <c r="A19" s="8"/>
      <c r="B19" s="8"/>
      <c r="C19" s="8"/>
      <c r="D19" s="8"/>
      <c r="E19" s="8"/>
      <c r="F19" s="8"/>
      <c r="G19" s="8"/>
      <c r="H19" s="13"/>
      <c r="I19" s="13"/>
      <c r="J19" s="8"/>
      <c r="K19" s="13"/>
      <c r="L19" s="13"/>
      <c r="M19" s="14" t="str">
        <f t="shared" si="0"/>
        <v/>
      </c>
      <c r="N19" s="15"/>
      <c r="O19" s="14" t="str">
        <f t="shared" si="1"/>
        <v/>
      </c>
      <c r="P19" s="13"/>
      <c r="Q19" s="14" t="str">
        <f t="shared" si="2"/>
        <v/>
      </c>
      <c r="R19" s="10"/>
      <c r="S19" s="8"/>
      <c r="T19" s="8"/>
      <c r="U19" s="10"/>
      <c r="V19" s="8"/>
    </row>
    <row r="20" spans="1:22">
      <c r="A20" s="8"/>
      <c r="B20" s="8"/>
      <c r="C20" s="8"/>
      <c r="D20" s="8"/>
      <c r="E20" s="8"/>
      <c r="F20" s="8"/>
      <c r="G20" s="8"/>
      <c r="H20" s="13"/>
      <c r="I20" s="13"/>
      <c r="J20" s="8"/>
      <c r="K20" s="13"/>
      <c r="L20" s="13"/>
      <c r="M20" s="14" t="str">
        <f t="shared" si="0"/>
        <v/>
      </c>
      <c r="N20" s="15"/>
      <c r="O20" s="14" t="str">
        <f t="shared" si="1"/>
        <v/>
      </c>
      <c r="P20" s="13"/>
      <c r="Q20" s="14" t="str">
        <f t="shared" si="2"/>
        <v/>
      </c>
      <c r="R20" s="10"/>
      <c r="S20" s="8"/>
      <c r="T20" s="8"/>
      <c r="U20" s="10"/>
      <c r="V20" s="8"/>
    </row>
    <row r="21" spans="1:22">
      <c r="A21" s="8"/>
      <c r="B21" s="8"/>
      <c r="C21" s="8"/>
      <c r="D21" s="8"/>
      <c r="E21" s="8"/>
      <c r="F21" s="8"/>
      <c r="G21" s="8"/>
      <c r="H21" s="13"/>
      <c r="I21" s="13"/>
      <c r="J21" s="8"/>
      <c r="K21" s="13"/>
      <c r="L21" s="13"/>
      <c r="M21" s="14" t="str">
        <f t="shared" si="0"/>
        <v/>
      </c>
      <c r="N21" s="15"/>
      <c r="O21" s="14" t="str">
        <f t="shared" si="1"/>
        <v/>
      </c>
      <c r="P21" s="13"/>
      <c r="Q21" s="14" t="str">
        <f t="shared" si="2"/>
        <v/>
      </c>
      <c r="R21" s="10"/>
      <c r="S21" s="8"/>
      <c r="T21" s="8"/>
      <c r="U21" s="10"/>
      <c r="V21" s="8"/>
    </row>
    <row r="22" spans="1:22">
      <c r="A22" s="8"/>
      <c r="B22" s="8"/>
      <c r="C22" s="8"/>
      <c r="D22" s="8"/>
      <c r="E22" s="8"/>
      <c r="F22" s="8"/>
      <c r="G22" s="8"/>
      <c r="H22" s="13"/>
      <c r="I22" s="13"/>
      <c r="J22" s="8"/>
      <c r="K22" s="13"/>
      <c r="L22" s="13"/>
      <c r="M22" s="14" t="str">
        <f t="shared" si="0"/>
        <v/>
      </c>
      <c r="N22" s="15"/>
      <c r="O22" s="14" t="str">
        <f t="shared" si="1"/>
        <v/>
      </c>
      <c r="P22" s="13"/>
      <c r="Q22" s="14" t="str">
        <f t="shared" si="2"/>
        <v/>
      </c>
      <c r="R22" s="10"/>
      <c r="S22" s="8"/>
      <c r="T22" s="8"/>
      <c r="U22" s="10"/>
      <c r="V22" s="8"/>
    </row>
    <row r="23" spans="1:22">
      <c r="A23" s="8"/>
      <c r="B23" s="8"/>
      <c r="C23" s="8"/>
      <c r="D23" s="8"/>
      <c r="E23" s="8"/>
      <c r="F23" s="8"/>
      <c r="G23" s="8"/>
      <c r="H23" s="13"/>
      <c r="I23" s="13"/>
      <c r="J23" s="8"/>
      <c r="K23" s="13"/>
      <c r="L23" s="13"/>
      <c r="M23" s="14" t="str">
        <f t="shared" si="0"/>
        <v/>
      </c>
      <c r="N23" s="15"/>
      <c r="O23" s="14" t="str">
        <f t="shared" si="1"/>
        <v/>
      </c>
      <c r="P23" s="13"/>
      <c r="Q23" s="14" t="str">
        <f t="shared" si="2"/>
        <v/>
      </c>
      <c r="R23" s="10"/>
      <c r="S23" s="8"/>
      <c r="T23" s="8"/>
      <c r="U23" s="10"/>
      <c r="V23" s="8"/>
    </row>
    <row r="24" spans="1:22">
      <c r="A24" s="8"/>
      <c r="B24" s="8"/>
      <c r="C24" s="8"/>
      <c r="D24" s="8"/>
      <c r="E24" s="8"/>
      <c r="F24" s="8"/>
      <c r="G24" s="8"/>
      <c r="H24" s="13"/>
      <c r="I24" s="13"/>
      <c r="J24" s="8"/>
      <c r="K24" s="13"/>
      <c r="L24" s="13"/>
      <c r="M24" s="14" t="str">
        <f t="shared" si="0"/>
        <v/>
      </c>
      <c r="N24" s="15"/>
      <c r="O24" s="14" t="str">
        <f t="shared" si="1"/>
        <v/>
      </c>
      <c r="P24" s="13"/>
      <c r="Q24" s="14" t="str">
        <f t="shared" si="2"/>
        <v/>
      </c>
      <c r="R24" s="10"/>
      <c r="S24" s="8"/>
      <c r="T24" s="8"/>
      <c r="U24" s="10"/>
      <c r="V24" s="8"/>
    </row>
    <row r="25" spans="1:22">
      <c r="A25" s="8"/>
      <c r="B25" s="8"/>
      <c r="C25" s="8"/>
      <c r="D25" s="8"/>
      <c r="E25" s="8"/>
      <c r="F25" s="8"/>
      <c r="G25" s="8"/>
      <c r="H25" s="13"/>
      <c r="I25" s="13"/>
      <c r="J25" s="8"/>
      <c r="K25" s="13"/>
      <c r="L25" s="13"/>
      <c r="M25" s="14" t="str">
        <f t="shared" si="0"/>
        <v/>
      </c>
      <c r="N25" s="15"/>
      <c r="O25" s="14" t="str">
        <f t="shared" si="1"/>
        <v/>
      </c>
      <c r="P25" s="13"/>
      <c r="Q25" s="14" t="str">
        <f t="shared" si="2"/>
        <v/>
      </c>
      <c r="R25" s="10"/>
      <c r="S25" s="8"/>
      <c r="T25" s="8"/>
      <c r="U25" s="10"/>
      <c r="V25" s="8"/>
    </row>
    <row r="26" spans="1:22">
      <c r="A26" s="8"/>
      <c r="B26" s="8"/>
      <c r="C26" s="8"/>
      <c r="D26" s="8"/>
      <c r="E26" s="8"/>
      <c r="F26" s="8"/>
      <c r="G26" s="8"/>
      <c r="H26" s="13"/>
      <c r="I26" s="13"/>
      <c r="J26" s="8"/>
      <c r="K26" s="13"/>
      <c r="L26" s="13"/>
      <c r="M26" s="14" t="str">
        <f t="shared" si="0"/>
        <v/>
      </c>
      <c r="N26" s="15"/>
      <c r="O26" s="14" t="str">
        <f t="shared" si="1"/>
        <v/>
      </c>
      <c r="P26" s="13"/>
      <c r="Q26" s="14" t="str">
        <f t="shared" si="2"/>
        <v/>
      </c>
      <c r="R26" s="10"/>
      <c r="S26" s="8"/>
      <c r="T26" s="8"/>
      <c r="U26" s="10"/>
      <c r="V26" s="8"/>
    </row>
    <row r="27" spans="1:22">
      <c r="A27" s="8"/>
      <c r="B27" s="8"/>
      <c r="C27" s="8"/>
      <c r="D27" s="8"/>
      <c r="E27" s="8"/>
      <c r="F27" s="8"/>
      <c r="G27" s="8"/>
      <c r="H27" s="13"/>
      <c r="I27" s="13"/>
      <c r="J27" s="8"/>
      <c r="K27" s="13"/>
      <c r="L27" s="13"/>
      <c r="M27" s="14" t="str">
        <f t="shared" si="0"/>
        <v/>
      </c>
      <c r="N27" s="15"/>
      <c r="O27" s="14" t="str">
        <f t="shared" si="1"/>
        <v/>
      </c>
      <c r="P27" s="13"/>
      <c r="Q27" s="14" t="str">
        <f t="shared" si="2"/>
        <v/>
      </c>
      <c r="R27" s="10"/>
      <c r="S27" s="8"/>
      <c r="T27" s="8"/>
      <c r="U27" s="10"/>
      <c r="V27" s="8"/>
    </row>
    <row r="28" spans="1:22">
      <c r="A28" s="8"/>
      <c r="B28" s="8"/>
      <c r="C28" s="8"/>
      <c r="D28" s="8"/>
      <c r="E28" s="8"/>
      <c r="F28" s="8"/>
      <c r="G28" s="8"/>
      <c r="H28" s="13"/>
      <c r="I28" s="13"/>
      <c r="J28" s="8"/>
      <c r="K28" s="13"/>
      <c r="L28" s="13"/>
      <c r="M28" s="14" t="str">
        <f t="shared" si="0"/>
        <v/>
      </c>
      <c r="N28" s="15"/>
      <c r="O28" s="14" t="str">
        <f t="shared" si="1"/>
        <v/>
      </c>
      <c r="P28" s="13"/>
      <c r="Q28" s="14" t="str">
        <f t="shared" si="2"/>
        <v/>
      </c>
      <c r="R28" s="10"/>
      <c r="S28" s="8"/>
      <c r="T28" s="8"/>
      <c r="U28" s="10"/>
      <c r="V28" s="8"/>
    </row>
    <row r="29" spans="1:22">
      <c r="A29" s="8"/>
      <c r="B29" s="8"/>
      <c r="C29" s="8"/>
      <c r="D29" s="8"/>
      <c r="E29" s="8"/>
      <c r="F29" s="8"/>
      <c r="G29" s="8"/>
      <c r="H29" s="13"/>
      <c r="I29" s="13"/>
      <c r="J29" s="8"/>
      <c r="K29" s="13"/>
      <c r="L29" s="13"/>
      <c r="M29" s="14" t="str">
        <f t="shared" si="0"/>
        <v/>
      </c>
      <c r="N29" s="15"/>
      <c r="O29" s="14" t="str">
        <f t="shared" si="1"/>
        <v/>
      </c>
      <c r="P29" s="13"/>
      <c r="Q29" s="14" t="str">
        <f t="shared" si="2"/>
        <v/>
      </c>
      <c r="R29" s="10"/>
      <c r="S29" s="8"/>
      <c r="T29" s="8"/>
      <c r="U29" s="10"/>
      <c r="V29" s="8"/>
    </row>
    <row r="30" spans="1:22">
      <c r="A30" s="8"/>
      <c r="B30" s="8"/>
      <c r="C30" s="8"/>
      <c r="D30" s="8"/>
      <c r="E30" s="8"/>
      <c r="F30" s="8"/>
      <c r="G30" s="8"/>
      <c r="H30" s="13"/>
      <c r="I30" s="13"/>
      <c r="J30" s="8"/>
      <c r="K30" s="13"/>
      <c r="L30" s="13"/>
      <c r="M30" s="14" t="str">
        <f t="shared" si="0"/>
        <v/>
      </c>
      <c r="N30" s="15"/>
      <c r="O30" s="14" t="str">
        <f t="shared" si="1"/>
        <v/>
      </c>
      <c r="P30" s="13"/>
      <c r="Q30" s="14" t="str">
        <f t="shared" si="2"/>
        <v/>
      </c>
      <c r="R30" s="10"/>
      <c r="S30" s="8"/>
      <c r="T30" s="8"/>
      <c r="U30" s="10"/>
      <c r="V30" s="8"/>
    </row>
    <row r="31" spans="1:22">
      <c r="A31" s="8"/>
      <c r="B31" s="8"/>
      <c r="C31" s="8"/>
      <c r="D31" s="8"/>
      <c r="E31" s="8"/>
      <c r="F31" s="8"/>
      <c r="G31" s="8"/>
      <c r="H31" s="13"/>
      <c r="I31" s="13"/>
      <c r="J31" s="8"/>
      <c r="K31" s="13"/>
      <c r="L31" s="13"/>
      <c r="M31" s="14" t="str">
        <f t="shared" si="0"/>
        <v/>
      </c>
      <c r="N31" s="15"/>
      <c r="O31" s="14" t="str">
        <f t="shared" si="1"/>
        <v/>
      </c>
      <c r="P31" s="13"/>
      <c r="Q31" s="14" t="str">
        <f t="shared" si="2"/>
        <v/>
      </c>
      <c r="R31" s="10"/>
      <c r="S31" s="8"/>
      <c r="T31" s="8"/>
      <c r="U31" s="10"/>
      <c r="V31" s="8"/>
    </row>
    <row r="32" spans="1:22">
      <c r="A32" s="8"/>
      <c r="B32" s="8"/>
      <c r="C32" s="8"/>
      <c r="D32" s="8"/>
      <c r="E32" s="8"/>
      <c r="F32" s="8"/>
      <c r="G32" s="8"/>
      <c r="H32" s="13"/>
      <c r="I32" s="13"/>
      <c r="J32" s="8"/>
      <c r="K32" s="13"/>
      <c r="L32" s="13"/>
      <c r="M32" s="14" t="str">
        <f t="shared" si="0"/>
        <v/>
      </c>
      <c r="N32" s="15"/>
      <c r="O32" s="14" t="str">
        <f t="shared" si="1"/>
        <v/>
      </c>
      <c r="P32" s="13"/>
      <c r="Q32" s="14" t="str">
        <f t="shared" si="2"/>
        <v/>
      </c>
      <c r="R32" s="10"/>
      <c r="S32" s="8"/>
      <c r="T32" s="8"/>
      <c r="U32" s="10"/>
      <c r="V32" s="8"/>
    </row>
    <row r="33" spans="1:22">
      <c r="A33" s="8"/>
      <c r="B33" s="8"/>
      <c r="C33" s="8"/>
      <c r="D33" s="8"/>
      <c r="E33" s="8"/>
      <c r="F33" s="8"/>
      <c r="G33" s="8"/>
      <c r="H33" s="13"/>
      <c r="I33" s="13"/>
      <c r="J33" s="8"/>
      <c r="K33" s="13"/>
      <c r="L33" s="13"/>
      <c r="M33" s="14" t="str">
        <f t="shared" si="0"/>
        <v/>
      </c>
      <c r="N33" s="15"/>
      <c r="O33" s="14" t="str">
        <f t="shared" si="1"/>
        <v/>
      </c>
      <c r="P33" s="13"/>
      <c r="Q33" s="14" t="str">
        <f t="shared" si="2"/>
        <v/>
      </c>
      <c r="R33" s="10"/>
      <c r="S33" s="8"/>
      <c r="T33" s="8"/>
      <c r="U33" s="10"/>
      <c r="V33" s="8"/>
    </row>
    <row r="34" spans="1:22">
      <c r="A34" s="8"/>
      <c r="B34" s="8"/>
      <c r="C34" s="8"/>
      <c r="D34" s="8"/>
      <c r="E34" s="8"/>
      <c r="F34" s="8"/>
      <c r="G34" s="8"/>
      <c r="H34" s="13"/>
      <c r="I34" s="13"/>
      <c r="J34" s="8"/>
      <c r="K34" s="13"/>
      <c r="L34" s="13"/>
      <c r="M34" s="14" t="str">
        <f t="shared" si="0"/>
        <v/>
      </c>
      <c r="N34" s="15"/>
      <c r="O34" s="14" t="str">
        <f t="shared" si="1"/>
        <v/>
      </c>
      <c r="P34" s="13"/>
      <c r="Q34" s="14" t="str">
        <f t="shared" si="2"/>
        <v/>
      </c>
      <c r="R34" s="10"/>
      <c r="S34" s="8"/>
      <c r="T34" s="8"/>
      <c r="U34" s="10"/>
      <c r="V34" s="8"/>
    </row>
    <row r="35" spans="1:22">
      <c r="A35" s="8"/>
      <c r="B35" s="8"/>
      <c r="C35" s="8"/>
      <c r="D35" s="8"/>
      <c r="E35" s="8"/>
      <c r="F35" s="8"/>
      <c r="G35" s="8"/>
      <c r="H35" s="13"/>
      <c r="I35" s="13"/>
      <c r="J35" s="8"/>
      <c r="K35" s="13"/>
      <c r="L35" s="13"/>
      <c r="M35" s="14" t="str">
        <f t="shared" si="0"/>
        <v/>
      </c>
      <c r="N35" s="15"/>
      <c r="O35" s="14" t="str">
        <f t="shared" si="1"/>
        <v/>
      </c>
      <c r="P35" s="13"/>
      <c r="Q35" s="14" t="str">
        <f t="shared" si="2"/>
        <v/>
      </c>
      <c r="R35" s="10"/>
      <c r="S35" s="8"/>
      <c r="T35" s="8"/>
      <c r="U35" s="10"/>
      <c r="V35" s="8"/>
    </row>
    <row r="36" spans="1:22">
      <c r="A36" s="8"/>
      <c r="B36" s="8"/>
      <c r="C36" s="8"/>
      <c r="D36" s="8"/>
      <c r="E36" s="8"/>
      <c r="F36" s="8"/>
      <c r="G36" s="8"/>
      <c r="H36" s="13"/>
      <c r="I36" s="13"/>
      <c r="J36" s="8"/>
      <c r="K36" s="13"/>
      <c r="L36" s="13"/>
      <c r="M36" s="14" t="str">
        <f t="shared" si="0"/>
        <v/>
      </c>
      <c r="N36" s="15"/>
      <c r="O36" s="14" t="str">
        <f t="shared" si="1"/>
        <v/>
      </c>
      <c r="P36" s="13"/>
      <c r="Q36" s="14" t="str">
        <f t="shared" si="2"/>
        <v/>
      </c>
      <c r="R36" s="10"/>
      <c r="S36" s="8"/>
      <c r="T36" s="8"/>
      <c r="U36" s="10"/>
      <c r="V36" s="8"/>
    </row>
    <row r="37" spans="1:22">
      <c r="A37" s="8"/>
      <c r="B37" s="8"/>
      <c r="C37" s="8"/>
      <c r="D37" s="8"/>
      <c r="E37" s="8"/>
      <c r="F37" s="8"/>
      <c r="G37" s="8"/>
      <c r="H37" s="13"/>
      <c r="I37" s="13"/>
      <c r="J37" s="8"/>
      <c r="K37" s="13"/>
      <c r="L37" s="13"/>
      <c r="M37" s="14" t="str">
        <f t="shared" si="0"/>
        <v/>
      </c>
      <c r="N37" s="15"/>
      <c r="O37" s="14" t="str">
        <f t="shared" si="1"/>
        <v/>
      </c>
      <c r="P37" s="13"/>
      <c r="Q37" s="14" t="str">
        <f t="shared" si="2"/>
        <v/>
      </c>
      <c r="R37" s="10"/>
      <c r="S37" s="8"/>
      <c r="T37" s="8"/>
      <c r="U37" s="10"/>
      <c r="V37" s="8"/>
    </row>
    <row r="38" spans="1:22">
      <c r="A38" s="8"/>
      <c r="B38" s="8"/>
      <c r="C38" s="8"/>
      <c r="D38" s="8"/>
      <c r="E38" s="8"/>
      <c r="F38" s="8"/>
      <c r="G38" s="8"/>
      <c r="H38" s="13"/>
      <c r="I38" s="13"/>
      <c r="J38" s="8"/>
      <c r="K38" s="13"/>
      <c r="L38" s="13"/>
      <c r="M38" s="14" t="str">
        <f t="shared" si="0"/>
        <v/>
      </c>
      <c r="N38" s="15"/>
      <c r="O38" s="14" t="str">
        <f t="shared" si="1"/>
        <v/>
      </c>
      <c r="P38" s="13"/>
      <c r="Q38" s="14" t="str">
        <f t="shared" si="2"/>
        <v/>
      </c>
      <c r="R38" s="10"/>
      <c r="S38" s="8"/>
      <c r="T38" s="8"/>
      <c r="U38" s="10"/>
      <c r="V38" s="8"/>
    </row>
    <row r="39" spans="1:22">
      <c r="A39" s="8"/>
      <c r="B39" s="8"/>
      <c r="C39" s="8"/>
      <c r="D39" s="8"/>
      <c r="E39" s="8"/>
      <c r="F39" s="8"/>
      <c r="G39" s="8"/>
      <c r="H39" s="13"/>
      <c r="I39" s="13"/>
      <c r="J39" s="8"/>
      <c r="K39" s="13"/>
      <c r="L39" s="13"/>
      <c r="M39" s="14" t="str">
        <f t="shared" si="0"/>
        <v/>
      </c>
      <c r="N39" s="15"/>
      <c r="O39" s="14" t="str">
        <f t="shared" si="1"/>
        <v/>
      </c>
      <c r="P39" s="13"/>
      <c r="Q39" s="14" t="str">
        <f t="shared" si="2"/>
        <v/>
      </c>
      <c r="R39" s="10"/>
      <c r="S39" s="8"/>
      <c r="T39" s="8"/>
      <c r="U39" s="10"/>
      <c r="V39" s="8"/>
    </row>
    <row r="40" spans="1:22">
      <c r="A40" s="8"/>
      <c r="B40" s="8"/>
      <c r="C40" s="8"/>
      <c r="D40" s="8"/>
      <c r="E40" s="8"/>
      <c r="F40" s="8"/>
      <c r="G40" s="8"/>
      <c r="H40" s="13"/>
      <c r="I40" s="13"/>
      <c r="J40" s="8"/>
      <c r="K40" s="13"/>
      <c r="L40" s="13"/>
      <c r="M40" s="14" t="str">
        <f t="shared" si="0"/>
        <v/>
      </c>
      <c r="N40" s="15"/>
      <c r="O40" s="14" t="str">
        <f t="shared" si="1"/>
        <v/>
      </c>
      <c r="P40" s="13"/>
      <c r="Q40" s="14" t="str">
        <f t="shared" si="2"/>
        <v/>
      </c>
      <c r="R40" s="10"/>
      <c r="S40" s="8"/>
      <c r="T40" s="8"/>
      <c r="U40" s="10"/>
      <c r="V40" s="8"/>
    </row>
    <row r="41" spans="1:22">
      <c r="A41" s="8"/>
      <c r="B41" s="8"/>
      <c r="C41" s="8"/>
      <c r="D41" s="8"/>
      <c r="E41" s="8"/>
      <c r="F41" s="8"/>
      <c r="G41" s="8"/>
      <c r="H41" s="13"/>
      <c r="I41" s="13"/>
      <c r="J41" s="8"/>
      <c r="K41" s="13"/>
      <c r="L41" s="13"/>
      <c r="M41" s="14" t="str">
        <f t="shared" si="0"/>
        <v/>
      </c>
      <c r="N41" s="15"/>
      <c r="O41" s="14" t="str">
        <f t="shared" si="1"/>
        <v/>
      </c>
      <c r="P41" s="13"/>
      <c r="Q41" s="14" t="str">
        <f t="shared" si="2"/>
        <v/>
      </c>
      <c r="R41" s="10"/>
      <c r="S41" s="8"/>
      <c r="T41" s="8"/>
      <c r="U41" s="10"/>
      <c r="V41" s="8"/>
    </row>
    <row r="42" spans="1:22">
      <c r="A42" s="8"/>
      <c r="B42" s="8"/>
      <c r="C42" s="8"/>
      <c r="D42" s="8"/>
      <c r="E42" s="8"/>
      <c r="F42" s="8"/>
      <c r="G42" s="8"/>
      <c r="H42" s="13"/>
      <c r="I42" s="13"/>
      <c r="J42" s="8"/>
      <c r="K42" s="13"/>
      <c r="L42" s="13"/>
      <c r="M42" s="14" t="str">
        <f t="shared" si="0"/>
        <v/>
      </c>
      <c r="N42" s="15"/>
      <c r="O42" s="14" t="str">
        <f t="shared" si="1"/>
        <v/>
      </c>
      <c r="P42" s="13"/>
      <c r="Q42" s="14" t="str">
        <f t="shared" si="2"/>
        <v/>
      </c>
      <c r="R42" s="10"/>
      <c r="S42" s="8"/>
      <c r="T42" s="8"/>
      <c r="U42" s="10"/>
      <c r="V42" s="8"/>
    </row>
    <row r="43" spans="1:22">
      <c r="A43" s="8"/>
      <c r="B43" s="8"/>
      <c r="C43" s="8"/>
      <c r="D43" s="8"/>
      <c r="E43" s="8"/>
      <c r="F43" s="8"/>
      <c r="G43" s="8"/>
      <c r="H43" s="13"/>
      <c r="I43" s="13"/>
      <c r="J43" s="8"/>
      <c r="K43" s="13"/>
      <c r="L43" s="13"/>
      <c r="M43" s="14" t="str">
        <f t="shared" si="0"/>
        <v/>
      </c>
      <c r="N43" s="15"/>
      <c r="O43" s="14" t="str">
        <f t="shared" si="1"/>
        <v/>
      </c>
      <c r="P43" s="13"/>
      <c r="Q43" s="14" t="str">
        <f t="shared" si="2"/>
        <v/>
      </c>
      <c r="R43" s="10"/>
      <c r="S43" s="8"/>
      <c r="T43" s="8"/>
      <c r="U43" s="10"/>
      <c r="V43" s="8"/>
    </row>
    <row r="44" spans="1:22">
      <c r="A44" s="8"/>
      <c r="B44" s="8"/>
      <c r="C44" s="8"/>
      <c r="D44" s="8"/>
      <c r="E44" s="8"/>
      <c r="F44" s="8"/>
      <c r="G44" s="8"/>
      <c r="H44" s="13"/>
      <c r="I44" s="13"/>
      <c r="J44" s="8"/>
      <c r="K44" s="13"/>
      <c r="L44" s="13"/>
      <c r="M44" s="14" t="str">
        <f t="shared" si="0"/>
        <v/>
      </c>
      <c r="N44" s="15"/>
      <c r="O44" s="14" t="str">
        <f t="shared" si="1"/>
        <v/>
      </c>
      <c r="P44" s="13"/>
      <c r="Q44" s="14" t="str">
        <f t="shared" si="2"/>
        <v/>
      </c>
      <c r="R44" s="10"/>
      <c r="S44" s="8"/>
      <c r="T44" s="8"/>
      <c r="U44" s="10"/>
      <c r="V44" s="8"/>
    </row>
    <row r="45" spans="1:22">
      <c r="A45" s="8"/>
      <c r="B45" s="8"/>
      <c r="C45" s="8"/>
      <c r="D45" s="8"/>
      <c r="E45" s="8"/>
      <c r="F45" s="8"/>
      <c r="G45" s="8"/>
      <c r="H45" s="13"/>
      <c r="I45" s="13"/>
      <c r="J45" s="8"/>
      <c r="K45" s="13"/>
      <c r="L45" s="13"/>
      <c r="M45" s="14" t="str">
        <f t="shared" si="0"/>
        <v/>
      </c>
      <c r="N45" s="15"/>
      <c r="O45" s="14" t="str">
        <f t="shared" si="1"/>
        <v/>
      </c>
      <c r="P45" s="13"/>
      <c r="Q45" s="14" t="str">
        <f t="shared" si="2"/>
        <v/>
      </c>
      <c r="R45" s="10"/>
      <c r="S45" s="8"/>
      <c r="T45" s="8"/>
      <c r="U45" s="10"/>
      <c r="V45" s="8"/>
    </row>
    <row r="46" spans="1:22">
      <c r="A46" s="8"/>
      <c r="B46" s="8"/>
      <c r="C46" s="8"/>
      <c r="D46" s="8"/>
      <c r="E46" s="8"/>
      <c r="F46" s="8"/>
      <c r="G46" s="8"/>
      <c r="H46" s="13"/>
      <c r="I46" s="13"/>
      <c r="J46" s="8"/>
      <c r="K46" s="13"/>
      <c r="L46" s="13"/>
      <c r="M46" s="14" t="str">
        <f t="shared" si="0"/>
        <v/>
      </c>
      <c r="N46" s="15"/>
      <c r="O46" s="14" t="str">
        <f t="shared" si="1"/>
        <v/>
      </c>
      <c r="P46" s="13"/>
      <c r="Q46" s="14" t="str">
        <f t="shared" si="2"/>
        <v/>
      </c>
      <c r="R46" s="10"/>
      <c r="S46" s="8"/>
      <c r="T46" s="8"/>
      <c r="U46" s="10"/>
      <c r="V46" s="8"/>
    </row>
    <row r="47" spans="1:22">
      <c r="A47" s="8"/>
      <c r="B47" s="8"/>
      <c r="C47" s="8"/>
      <c r="D47" s="8"/>
      <c r="E47" s="8"/>
      <c r="F47" s="8"/>
      <c r="G47" s="8"/>
      <c r="H47" s="13"/>
      <c r="I47" s="13"/>
      <c r="J47" s="8"/>
      <c r="K47" s="13"/>
      <c r="L47" s="13"/>
      <c r="M47" s="14" t="str">
        <f t="shared" si="0"/>
        <v/>
      </c>
      <c r="N47" s="15"/>
      <c r="O47" s="14" t="str">
        <f t="shared" si="1"/>
        <v/>
      </c>
      <c r="P47" s="13"/>
      <c r="Q47" s="14" t="str">
        <f t="shared" si="2"/>
        <v/>
      </c>
      <c r="R47" s="10"/>
      <c r="S47" s="8"/>
      <c r="T47" s="8"/>
      <c r="U47" s="10"/>
      <c r="V47" s="8"/>
    </row>
    <row r="48" spans="1:22">
      <c r="A48" s="8"/>
      <c r="B48" s="8"/>
      <c r="C48" s="8"/>
      <c r="D48" s="8"/>
      <c r="E48" s="8"/>
      <c r="F48" s="8"/>
      <c r="G48" s="8"/>
      <c r="H48" s="13"/>
      <c r="I48" s="13"/>
      <c r="J48" s="8"/>
      <c r="K48" s="13"/>
      <c r="L48" s="13"/>
      <c r="M48" s="14" t="str">
        <f t="shared" si="0"/>
        <v/>
      </c>
      <c r="N48" s="15"/>
      <c r="O48" s="14" t="str">
        <f t="shared" si="1"/>
        <v/>
      </c>
      <c r="P48" s="13"/>
      <c r="Q48" s="14" t="str">
        <f t="shared" si="2"/>
        <v/>
      </c>
      <c r="R48" s="10"/>
      <c r="S48" s="8"/>
      <c r="T48" s="8"/>
      <c r="U48" s="10"/>
      <c r="V48" s="8"/>
    </row>
    <row r="49" spans="1:22">
      <c r="A49" s="8"/>
      <c r="B49" s="8"/>
      <c r="C49" s="8"/>
      <c r="D49" s="8"/>
      <c r="E49" s="8"/>
      <c r="F49" s="8"/>
      <c r="G49" s="8"/>
      <c r="H49" s="13"/>
      <c r="I49" s="13"/>
      <c r="J49" s="8"/>
      <c r="K49" s="13"/>
      <c r="L49" s="13"/>
      <c r="M49" s="14" t="str">
        <f t="shared" si="0"/>
        <v/>
      </c>
      <c r="N49" s="15"/>
      <c r="O49" s="14" t="str">
        <f t="shared" si="1"/>
        <v/>
      </c>
      <c r="P49" s="13"/>
      <c r="Q49" s="14" t="str">
        <f t="shared" si="2"/>
        <v/>
      </c>
      <c r="R49" s="10"/>
      <c r="S49" s="8"/>
      <c r="T49" s="8"/>
      <c r="U49" s="10"/>
      <c r="V49" s="8"/>
    </row>
    <row r="50" spans="1:22">
      <c r="A50" s="8"/>
      <c r="B50" s="8"/>
      <c r="C50" s="8"/>
      <c r="D50" s="8"/>
      <c r="E50" s="8"/>
      <c r="F50" s="8"/>
      <c r="G50" s="8"/>
      <c r="H50" s="13"/>
      <c r="I50" s="13"/>
      <c r="J50" s="8"/>
      <c r="K50" s="13"/>
      <c r="L50" s="13"/>
      <c r="M50" s="14" t="str">
        <f t="shared" si="0"/>
        <v/>
      </c>
      <c r="N50" s="15"/>
      <c r="O50" s="14" t="str">
        <f t="shared" si="1"/>
        <v/>
      </c>
      <c r="P50" s="13"/>
      <c r="Q50" s="14" t="str">
        <f t="shared" si="2"/>
        <v/>
      </c>
      <c r="R50" s="10"/>
      <c r="S50" s="8"/>
      <c r="T50" s="8"/>
      <c r="U50" s="10"/>
      <c r="V50" s="8"/>
    </row>
    <row r="51" spans="1:22">
      <c r="A51" s="8"/>
      <c r="B51" s="8"/>
      <c r="C51" s="8"/>
      <c r="D51" s="8"/>
      <c r="E51" s="8"/>
      <c r="F51" s="8"/>
      <c r="G51" s="8"/>
      <c r="H51" s="13"/>
      <c r="I51" s="13"/>
      <c r="J51" s="8"/>
      <c r="K51" s="13"/>
      <c r="L51" s="13"/>
      <c r="M51" s="14" t="str">
        <f t="shared" si="0"/>
        <v/>
      </c>
      <c r="N51" s="15"/>
      <c r="O51" s="14" t="str">
        <f t="shared" si="1"/>
        <v/>
      </c>
      <c r="P51" s="13"/>
      <c r="Q51" s="14" t="str">
        <f t="shared" si="2"/>
        <v/>
      </c>
      <c r="R51" s="10"/>
      <c r="S51" s="8"/>
      <c r="T51" s="8"/>
      <c r="U51" s="10"/>
      <c r="V51" s="8"/>
    </row>
    <row r="52" spans="1:22">
      <c r="A52" s="8"/>
      <c r="B52" s="8"/>
      <c r="C52" s="8"/>
      <c r="D52" s="8"/>
      <c r="E52" s="8"/>
      <c r="F52" s="8"/>
      <c r="G52" s="8"/>
      <c r="H52" s="13"/>
      <c r="I52" s="13"/>
      <c r="J52" s="8"/>
      <c r="K52" s="13"/>
      <c r="L52" s="13"/>
      <c r="M52" s="14" t="str">
        <f t="shared" si="0"/>
        <v/>
      </c>
      <c r="N52" s="15"/>
      <c r="O52" s="14" t="str">
        <f t="shared" si="1"/>
        <v/>
      </c>
      <c r="P52" s="13"/>
      <c r="Q52" s="14" t="str">
        <f t="shared" si="2"/>
        <v/>
      </c>
      <c r="R52" s="10"/>
      <c r="S52" s="8"/>
      <c r="T52" s="8"/>
      <c r="U52" s="10"/>
      <c r="V52" s="8"/>
    </row>
    <row r="53" spans="1:22">
      <c r="A53" s="8"/>
      <c r="B53" s="8"/>
      <c r="C53" s="8"/>
      <c r="D53" s="8"/>
      <c r="E53" s="8"/>
      <c r="F53" s="8"/>
      <c r="G53" s="8"/>
      <c r="H53" s="13"/>
      <c r="I53" s="13"/>
      <c r="J53" s="8"/>
      <c r="K53" s="13"/>
      <c r="L53" s="13"/>
      <c r="M53" s="14" t="str">
        <f t="shared" si="0"/>
        <v/>
      </c>
      <c r="N53" s="15"/>
      <c r="O53" s="14" t="str">
        <f t="shared" si="1"/>
        <v/>
      </c>
      <c r="P53" s="13"/>
      <c r="Q53" s="14" t="str">
        <f t="shared" si="2"/>
        <v/>
      </c>
      <c r="R53" s="10"/>
      <c r="S53" s="8"/>
      <c r="T53" s="8"/>
      <c r="U53" s="10"/>
      <c r="V53" s="8"/>
    </row>
    <row r="54" spans="1:22">
      <c r="A54" s="8"/>
      <c r="B54" s="8"/>
      <c r="C54" s="8"/>
      <c r="D54" s="8"/>
      <c r="E54" s="8"/>
      <c r="F54" s="8"/>
      <c r="G54" s="8"/>
      <c r="H54" s="13"/>
      <c r="I54" s="13"/>
      <c r="J54" s="8"/>
      <c r="K54" s="13"/>
      <c r="L54" s="13"/>
      <c r="M54" s="14" t="str">
        <f t="shared" si="0"/>
        <v/>
      </c>
      <c r="N54" s="15"/>
      <c r="O54" s="14" t="str">
        <f t="shared" si="1"/>
        <v/>
      </c>
      <c r="P54" s="13"/>
      <c r="Q54" s="14" t="str">
        <f t="shared" si="2"/>
        <v/>
      </c>
      <c r="R54" s="10"/>
      <c r="S54" s="8"/>
      <c r="T54" s="8"/>
      <c r="U54" s="10"/>
      <c r="V54" s="8"/>
    </row>
    <row r="55" spans="1:22">
      <c r="A55" s="8"/>
      <c r="B55" s="8"/>
      <c r="C55" s="8"/>
      <c r="D55" s="8"/>
      <c r="E55" s="8"/>
      <c r="F55" s="8"/>
      <c r="G55" s="8"/>
      <c r="H55" s="13"/>
      <c r="I55" s="13"/>
      <c r="J55" s="8"/>
      <c r="K55" s="13"/>
      <c r="L55" s="13"/>
      <c r="M55" s="14" t="str">
        <f t="shared" si="0"/>
        <v/>
      </c>
      <c r="N55" s="15"/>
      <c r="O55" s="14" t="str">
        <f t="shared" si="1"/>
        <v/>
      </c>
      <c r="P55" s="13"/>
      <c r="Q55" s="14" t="str">
        <f t="shared" si="2"/>
        <v/>
      </c>
      <c r="R55" s="10"/>
      <c r="S55" s="8"/>
      <c r="T55" s="8"/>
      <c r="U55" s="10"/>
      <c r="V55" s="8"/>
    </row>
    <row r="56" spans="1:22">
      <c r="A56" s="8"/>
      <c r="B56" s="8"/>
      <c r="C56" s="8"/>
      <c r="D56" s="8"/>
      <c r="E56" s="8"/>
      <c r="F56" s="8"/>
      <c r="G56" s="8"/>
      <c r="H56" s="13"/>
      <c r="I56" s="13"/>
      <c r="J56" s="8"/>
      <c r="K56" s="13"/>
      <c r="L56" s="13"/>
      <c r="M56" s="14" t="str">
        <f t="shared" si="0"/>
        <v/>
      </c>
      <c r="N56" s="15"/>
      <c r="O56" s="14" t="str">
        <f t="shared" si="1"/>
        <v/>
      </c>
      <c r="P56" s="13"/>
      <c r="Q56" s="14" t="str">
        <f t="shared" si="2"/>
        <v/>
      </c>
      <c r="R56" s="10"/>
      <c r="S56" s="8"/>
      <c r="T56" s="8"/>
      <c r="U56" s="10"/>
      <c r="V56" s="8"/>
    </row>
    <row r="57" spans="1:22">
      <c r="A57" s="8"/>
      <c r="B57" s="8"/>
      <c r="C57" s="8"/>
      <c r="D57" s="8"/>
      <c r="E57" s="8"/>
      <c r="F57" s="8"/>
      <c r="G57" s="8"/>
      <c r="H57" s="13"/>
      <c r="I57" s="13"/>
      <c r="J57" s="8"/>
      <c r="K57" s="13"/>
      <c r="L57" s="13"/>
      <c r="M57" s="14" t="str">
        <f t="shared" si="0"/>
        <v/>
      </c>
      <c r="N57" s="15"/>
      <c r="O57" s="14" t="str">
        <f t="shared" si="1"/>
        <v/>
      </c>
      <c r="P57" s="13"/>
      <c r="Q57" s="14" t="str">
        <f t="shared" si="2"/>
        <v/>
      </c>
      <c r="R57" s="10"/>
      <c r="S57" s="8"/>
      <c r="T57" s="8"/>
      <c r="U57" s="10"/>
      <c r="V57" s="8"/>
    </row>
    <row r="58" spans="1:22">
      <c r="A58" s="8"/>
      <c r="B58" s="8"/>
      <c r="C58" s="8"/>
      <c r="D58" s="8"/>
      <c r="E58" s="8"/>
      <c r="F58" s="8"/>
      <c r="G58" s="8"/>
      <c r="H58" s="13"/>
      <c r="I58" s="13"/>
      <c r="J58" s="8"/>
      <c r="K58" s="13"/>
      <c r="L58" s="13"/>
      <c r="M58" s="14" t="str">
        <f t="shared" si="0"/>
        <v/>
      </c>
      <c r="N58" s="15"/>
      <c r="O58" s="14" t="str">
        <f t="shared" si="1"/>
        <v/>
      </c>
      <c r="P58" s="13"/>
      <c r="Q58" s="14" t="str">
        <f t="shared" si="2"/>
        <v/>
      </c>
      <c r="R58" s="10"/>
      <c r="S58" s="8"/>
      <c r="T58" s="8"/>
      <c r="U58" s="10"/>
      <c r="V58" s="8"/>
    </row>
    <row r="59" spans="1:22">
      <c r="A59" s="8"/>
      <c r="B59" s="8"/>
      <c r="C59" s="8"/>
      <c r="D59" s="8"/>
      <c r="E59" s="8"/>
      <c r="F59" s="8"/>
      <c r="G59" s="8"/>
      <c r="H59" s="13"/>
      <c r="I59" s="13"/>
      <c r="J59" s="8"/>
      <c r="K59" s="13"/>
      <c r="L59" s="13"/>
      <c r="M59" s="14" t="str">
        <f t="shared" si="0"/>
        <v/>
      </c>
      <c r="N59" s="15"/>
      <c r="O59" s="14" t="str">
        <f t="shared" si="1"/>
        <v/>
      </c>
      <c r="P59" s="13"/>
      <c r="Q59" s="14" t="str">
        <f t="shared" si="2"/>
        <v/>
      </c>
      <c r="R59" s="10"/>
      <c r="S59" s="8"/>
      <c r="T59" s="8"/>
      <c r="U59" s="10"/>
      <c r="V59" s="8"/>
    </row>
    <row r="60" spans="1:22">
      <c r="A60" s="8"/>
      <c r="B60" s="8"/>
      <c r="C60" s="8"/>
      <c r="D60" s="8"/>
      <c r="E60" s="8"/>
      <c r="F60" s="8"/>
      <c r="G60" s="8"/>
      <c r="H60" s="13"/>
      <c r="I60" s="13"/>
      <c r="J60" s="8"/>
      <c r="K60" s="13"/>
      <c r="L60" s="13"/>
      <c r="M60" s="14" t="str">
        <f t="shared" si="0"/>
        <v/>
      </c>
      <c r="N60" s="15"/>
      <c r="O60" s="14" t="str">
        <f t="shared" si="1"/>
        <v/>
      </c>
      <c r="P60" s="13"/>
      <c r="Q60" s="14" t="str">
        <f t="shared" si="2"/>
        <v/>
      </c>
      <c r="R60" s="10"/>
      <c r="S60" s="8"/>
      <c r="T60" s="8"/>
      <c r="U60" s="10"/>
      <c r="V60" s="8"/>
    </row>
    <row r="61" spans="1:22">
      <c r="A61" s="8"/>
      <c r="B61" s="8"/>
      <c r="C61" s="8"/>
      <c r="D61" s="8"/>
      <c r="E61" s="8"/>
      <c r="F61" s="8"/>
      <c r="G61" s="8"/>
      <c r="H61" s="13"/>
      <c r="I61" s="13"/>
      <c r="J61" s="8"/>
      <c r="K61" s="13"/>
      <c r="L61" s="13"/>
      <c r="M61" s="14" t="str">
        <f t="shared" si="0"/>
        <v/>
      </c>
      <c r="N61" s="15"/>
      <c r="O61" s="14" t="str">
        <f t="shared" si="1"/>
        <v/>
      </c>
      <c r="P61" s="13"/>
      <c r="Q61" s="14" t="str">
        <f t="shared" si="2"/>
        <v/>
      </c>
      <c r="R61" s="10"/>
      <c r="S61" s="8"/>
      <c r="T61" s="8"/>
      <c r="U61" s="10"/>
      <c r="V61" s="8"/>
    </row>
    <row r="62" spans="1:22">
      <c r="A62" s="8"/>
      <c r="B62" s="8"/>
      <c r="C62" s="8"/>
      <c r="D62" s="8"/>
      <c r="E62" s="8"/>
      <c r="F62" s="8"/>
      <c r="G62" s="8"/>
      <c r="H62" s="13"/>
      <c r="I62" s="13"/>
      <c r="J62" s="8"/>
      <c r="K62" s="13"/>
      <c r="L62" s="13"/>
      <c r="M62" s="14" t="str">
        <f t="shared" si="0"/>
        <v/>
      </c>
      <c r="N62" s="15"/>
      <c r="O62" s="14" t="str">
        <f t="shared" si="1"/>
        <v/>
      </c>
      <c r="P62" s="13"/>
      <c r="Q62" s="14" t="str">
        <f t="shared" si="2"/>
        <v/>
      </c>
      <c r="R62" s="10"/>
      <c r="S62" s="8"/>
      <c r="T62" s="8"/>
      <c r="U62" s="10"/>
      <c r="V62" s="8"/>
    </row>
    <row r="63" spans="1:22">
      <c r="A63" s="8"/>
      <c r="B63" s="8"/>
      <c r="C63" s="8"/>
      <c r="D63" s="8"/>
      <c r="E63" s="8"/>
      <c r="F63" s="8"/>
      <c r="G63" s="8"/>
      <c r="H63" s="13"/>
      <c r="I63" s="13"/>
      <c r="J63" s="8"/>
      <c r="K63" s="13"/>
      <c r="L63" s="13"/>
      <c r="M63" s="14" t="str">
        <f t="shared" si="0"/>
        <v/>
      </c>
      <c r="N63" s="15"/>
      <c r="O63" s="14" t="str">
        <f t="shared" si="1"/>
        <v/>
      </c>
      <c r="P63" s="13"/>
      <c r="Q63" s="14" t="str">
        <f t="shared" si="2"/>
        <v/>
      </c>
      <c r="R63" s="10"/>
      <c r="S63" s="8"/>
      <c r="T63" s="8"/>
      <c r="U63" s="10"/>
      <c r="V63" s="8"/>
    </row>
    <row r="64" spans="1:22">
      <c r="A64" s="8"/>
      <c r="B64" s="8"/>
      <c r="C64" s="8"/>
      <c r="D64" s="8"/>
      <c r="E64" s="8"/>
      <c r="F64" s="8"/>
      <c r="G64" s="8"/>
      <c r="H64" s="13"/>
      <c r="I64" s="13"/>
      <c r="J64" s="8"/>
      <c r="K64" s="13"/>
      <c r="L64" s="13"/>
      <c r="M64" s="14" t="str">
        <f t="shared" si="0"/>
        <v/>
      </c>
      <c r="N64" s="15"/>
      <c r="O64" s="14" t="str">
        <f t="shared" si="1"/>
        <v/>
      </c>
      <c r="P64" s="13"/>
      <c r="Q64" s="14" t="str">
        <f t="shared" si="2"/>
        <v/>
      </c>
      <c r="R64" s="10"/>
      <c r="S64" s="8"/>
      <c r="T64" s="8"/>
      <c r="U64" s="10"/>
      <c r="V64" s="8"/>
    </row>
    <row r="65" spans="1:22">
      <c r="A65" s="8"/>
      <c r="B65" s="8"/>
      <c r="C65" s="8"/>
      <c r="D65" s="8"/>
      <c r="E65" s="8"/>
      <c r="F65" s="8"/>
      <c r="G65" s="8"/>
      <c r="H65" s="13"/>
      <c r="I65" s="13"/>
      <c r="J65" s="8"/>
      <c r="K65" s="13"/>
      <c r="L65" s="13"/>
      <c r="M65" s="14" t="str">
        <f t="shared" si="0"/>
        <v/>
      </c>
      <c r="N65" s="15"/>
      <c r="O65" s="14" t="str">
        <f t="shared" si="1"/>
        <v/>
      </c>
      <c r="P65" s="13"/>
      <c r="Q65" s="14" t="str">
        <f t="shared" si="2"/>
        <v/>
      </c>
      <c r="R65" s="10"/>
      <c r="S65" s="8"/>
      <c r="T65" s="8"/>
      <c r="U65" s="10"/>
      <c r="V65" s="8"/>
    </row>
    <row r="66" spans="1:22">
      <c r="A66" s="8"/>
      <c r="B66" s="8"/>
      <c r="C66" s="8"/>
      <c r="D66" s="8"/>
      <c r="E66" s="8"/>
      <c r="F66" s="8"/>
      <c r="G66" s="8"/>
      <c r="H66" s="13"/>
      <c r="I66" s="13"/>
      <c r="J66" s="8"/>
      <c r="K66" s="13"/>
      <c r="L66" s="13"/>
      <c r="M66" s="14" t="str">
        <f t="shared" si="0"/>
        <v/>
      </c>
      <c r="N66" s="15"/>
      <c r="O66" s="14" t="str">
        <f t="shared" si="1"/>
        <v/>
      </c>
      <c r="P66" s="13"/>
      <c r="Q66" s="14" t="str">
        <f t="shared" si="2"/>
        <v/>
      </c>
      <c r="R66" s="10"/>
      <c r="S66" s="8"/>
      <c r="T66" s="8"/>
      <c r="U66" s="10"/>
      <c r="V66" s="8"/>
    </row>
    <row r="67" spans="1:22">
      <c r="A67" s="8"/>
      <c r="B67" s="8"/>
      <c r="C67" s="8"/>
      <c r="D67" s="8"/>
      <c r="E67" s="8"/>
      <c r="F67" s="8"/>
      <c r="G67" s="8"/>
      <c r="H67" s="13"/>
      <c r="I67" s="13"/>
      <c r="J67" s="8"/>
      <c r="K67" s="13"/>
      <c r="L67" s="13"/>
      <c r="M67" s="14" t="str">
        <f t="shared" si="0"/>
        <v/>
      </c>
      <c r="N67" s="15"/>
      <c r="O67" s="14" t="str">
        <f t="shared" si="1"/>
        <v/>
      </c>
      <c r="P67" s="13"/>
      <c r="Q67" s="14" t="str">
        <f t="shared" si="2"/>
        <v/>
      </c>
      <c r="R67" s="10"/>
      <c r="S67" s="8"/>
      <c r="T67" s="8"/>
      <c r="U67" s="10"/>
      <c r="V67" s="8"/>
    </row>
    <row r="68" spans="1:22">
      <c r="A68" s="8"/>
      <c r="B68" s="8"/>
      <c r="C68" s="8"/>
      <c r="D68" s="8"/>
      <c r="E68" s="8"/>
      <c r="F68" s="8"/>
      <c r="G68" s="8"/>
      <c r="H68" s="13"/>
      <c r="I68" s="13"/>
      <c r="J68" s="8"/>
      <c r="K68" s="13"/>
      <c r="L68" s="13"/>
      <c r="M68" s="14" t="str">
        <f t="shared" si="0"/>
        <v/>
      </c>
      <c r="N68" s="15"/>
      <c r="O68" s="14" t="str">
        <f t="shared" si="1"/>
        <v/>
      </c>
      <c r="P68" s="13"/>
      <c r="Q68" s="14" t="str">
        <f t="shared" si="2"/>
        <v/>
      </c>
      <c r="R68" s="10"/>
      <c r="S68" s="8"/>
      <c r="T68" s="8"/>
      <c r="U68" s="10"/>
      <c r="V68" s="8"/>
    </row>
    <row r="69" spans="1:22">
      <c r="A69" s="8"/>
      <c r="B69" s="8"/>
      <c r="C69" s="8"/>
      <c r="D69" s="8"/>
      <c r="E69" s="8"/>
      <c r="F69" s="8"/>
      <c r="G69" s="8"/>
      <c r="H69" s="13"/>
      <c r="I69" s="13"/>
      <c r="J69" s="8"/>
      <c r="K69" s="13"/>
      <c r="L69" s="13"/>
      <c r="M69" s="14" t="str">
        <f t="shared" ref="M69:M132" si="3">IF(A69="","",K69*L69)</f>
        <v/>
      </c>
      <c r="N69" s="15"/>
      <c r="O69" s="14" t="str">
        <f t="shared" ref="O69:O132" si="4">IF(A69="","",M69*N69)</f>
        <v/>
      </c>
      <c r="P69" s="13"/>
      <c r="Q69" s="14" t="str">
        <f t="shared" ref="Q69:Q132" si="5">IF(A69="","",MAX(0,M69+O69-P69))</f>
        <v/>
      </c>
      <c r="R69" s="10"/>
      <c r="S69" s="8"/>
      <c r="T69" s="8"/>
      <c r="U69" s="10"/>
      <c r="V69" s="8"/>
    </row>
    <row r="70" spans="1:22">
      <c r="A70" s="8"/>
      <c r="B70" s="8"/>
      <c r="C70" s="8"/>
      <c r="D70" s="8"/>
      <c r="E70" s="8"/>
      <c r="F70" s="8"/>
      <c r="G70" s="8"/>
      <c r="H70" s="13"/>
      <c r="I70" s="13"/>
      <c r="J70" s="8"/>
      <c r="K70" s="13"/>
      <c r="L70" s="13"/>
      <c r="M70" s="14" t="str">
        <f t="shared" si="3"/>
        <v/>
      </c>
      <c r="N70" s="15"/>
      <c r="O70" s="14" t="str">
        <f t="shared" si="4"/>
        <v/>
      </c>
      <c r="P70" s="13"/>
      <c r="Q70" s="14" t="str">
        <f t="shared" si="5"/>
        <v/>
      </c>
      <c r="R70" s="10"/>
      <c r="S70" s="8"/>
      <c r="T70" s="8"/>
      <c r="U70" s="10"/>
      <c r="V70" s="8"/>
    </row>
    <row r="71" spans="1:22">
      <c r="A71" s="8"/>
      <c r="B71" s="8"/>
      <c r="C71" s="8"/>
      <c r="D71" s="8"/>
      <c r="E71" s="8"/>
      <c r="F71" s="8"/>
      <c r="G71" s="8"/>
      <c r="H71" s="13"/>
      <c r="I71" s="13"/>
      <c r="J71" s="8"/>
      <c r="K71" s="13"/>
      <c r="L71" s="13"/>
      <c r="M71" s="14" t="str">
        <f t="shared" si="3"/>
        <v/>
      </c>
      <c r="N71" s="15"/>
      <c r="O71" s="14" t="str">
        <f t="shared" si="4"/>
        <v/>
      </c>
      <c r="P71" s="13"/>
      <c r="Q71" s="14" t="str">
        <f t="shared" si="5"/>
        <v/>
      </c>
      <c r="R71" s="10"/>
      <c r="S71" s="8"/>
      <c r="T71" s="8"/>
      <c r="U71" s="10"/>
      <c r="V71" s="8"/>
    </row>
    <row r="72" spans="1:22">
      <c r="A72" s="8"/>
      <c r="B72" s="8"/>
      <c r="C72" s="8"/>
      <c r="D72" s="8"/>
      <c r="E72" s="8"/>
      <c r="F72" s="8"/>
      <c r="G72" s="8"/>
      <c r="H72" s="13"/>
      <c r="I72" s="13"/>
      <c r="J72" s="8"/>
      <c r="K72" s="13"/>
      <c r="L72" s="13"/>
      <c r="M72" s="14" t="str">
        <f t="shared" si="3"/>
        <v/>
      </c>
      <c r="N72" s="15"/>
      <c r="O72" s="14" t="str">
        <f t="shared" si="4"/>
        <v/>
      </c>
      <c r="P72" s="13"/>
      <c r="Q72" s="14" t="str">
        <f t="shared" si="5"/>
        <v/>
      </c>
      <c r="R72" s="10"/>
      <c r="S72" s="8"/>
      <c r="T72" s="8"/>
      <c r="U72" s="10"/>
      <c r="V72" s="8"/>
    </row>
    <row r="73" spans="1:22">
      <c r="A73" s="8"/>
      <c r="B73" s="8"/>
      <c r="C73" s="8"/>
      <c r="D73" s="8"/>
      <c r="E73" s="8"/>
      <c r="F73" s="8"/>
      <c r="G73" s="8"/>
      <c r="H73" s="13"/>
      <c r="I73" s="13"/>
      <c r="J73" s="8"/>
      <c r="K73" s="13"/>
      <c r="L73" s="13"/>
      <c r="M73" s="14" t="str">
        <f t="shared" si="3"/>
        <v/>
      </c>
      <c r="N73" s="15"/>
      <c r="O73" s="14" t="str">
        <f t="shared" si="4"/>
        <v/>
      </c>
      <c r="P73" s="13"/>
      <c r="Q73" s="14" t="str">
        <f t="shared" si="5"/>
        <v/>
      </c>
      <c r="R73" s="10"/>
      <c r="S73" s="8"/>
      <c r="T73" s="8"/>
      <c r="U73" s="10"/>
      <c r="V73" s="8"/>
    </row>
    <row r="74" spans="1:22">
      <c r="A74" s="8"/>
      <c r="B74" s="8"/>
      <c r="C74" s="8"/>
      <c r="D74" s="8"/>
      <c r="E74" s="8"/>
      <c r="F74" s="8"/>
      <c r="G74" s="8"/>
      <c r="H74" s="13"/>
      <c r="I74" s="13"/>
      <c r="J74" s="8"/>
      <c r="K74" s="13"/>
      <c r="L74" s="13"/>
      <c r="M74" s="14" t="str">
        <f t="shared" si="3"/>
        <v/>
      </c>
      <c r="N74" s="15"/>
      <c r="O74" s="14" t="str">
        <f t="shared" si="4"/>
        <v/>
      </c>
      <c r="P74" s="13"/>
      <c r="Q74" s="14" t="str">
        <f t="shared" si="5"/>
        <v/>
      </c>
      <c r="R74" s="10"/>
      <c r="S74" s="8"/>
      <c r="T74" s="8"/>
      <c r="U74" s="10"/>
      <c r="V74" s="8"/>
    </row>
    <row r="75" spans="1:22">
      <c r="A75" s="8"/>
      <c r="B75" s="8"/>
      <c r="C75" s="8"/>
      <c r="D75" s="8"/>
      <c r="E75" s="8"/>
      <c r="F75" s="8"/>
      <c r="G75" s="8"/>
      <c r="H75" s="13"/>
      <c r="I75" s="13"/>
      <c r="J75" s="8"/>
      <c r="K75" s="13"/>
      <c r="L75" s="13"/>
      <c r="M75" s="14" t="str">
        <f t="shared" si="3"/>
        <v/>
      </c>
      <c r="N75" s="15"/>
      <c r="O75" s="14" t="str">
        <f t="shared" si="4"/>
        <v/>
      </c>
      <c r="P75" s="13"/>
      <c r="Q75" s="14" t="str">
        <f t="shared" si="5"/>
        <v/>
      </c>
      <c r="R75" s="10"/>
      <c r="S75" s="8"/>
      <c r="T75" s="8"/>
      <c r="U75" s="10"/>
      <c r="V75" s="8"/>
    </row>
    <row r="76" spans="1:22">
      <c r="A76" s="8"/>
      <c r="B76" s="8"/>
      <c r="C76" s="8"/>
      <c r="D76" s="8"/>
      <c r="E76" s="8"/>
      <c r="F76" s="8"/>
      <c r="G76" s="8"/>
      <c r="H76" s="13"/>
      <c r="I76" s="13"/>
      <c r="J76" s="8"/>
      <c r="K76" s="13"/>
      <c r="L76" s="13"/>
      <c r="M76" s="14" t="str">
        <f t="shared" si="3"/>
        <v/>
      </c>
      <c r="N76" s="15"/>
      <c r="O76" s="14" t="str">
        <f t="shared" si="4"/>
        <v/>
      </c>
      <c r="P76" s="13"/>
      <c r="Q76" s="14" t="str">
        <f t="shared" si="5"/>
        <v/>
      </c>
      <c r="R76" s="10"/>
      <c r="S76" s="8"/>
      <c r="T76" s="8"/>
      <c r="U76" s="10"/>
      <c r="V76" s="8"/>
    </row>
    <row r="77" spans="1:22">
      <c r="A77" s="8"/>
      <c r="B77" s="8"/>
      <c r="C77" s="8"/>
      <c r="D77" s="8"/>
      <c r="E77" s="8"/>
      <c r="F77" s="8"/>
      <c r="G77" s="8"/>
      <c r="H77" s="13"/>
      <c r="I77" s="13"/>
      <c r="J77" s="8"/>
      <c r="K77" s="13"/>
      <c r="L77" s="13"/>
      <c r="M77" s="14" t="str">
        <f t="shared" si="3"/>
        <v/>
      </c>
      <c r="N77" s="15"/>
      <c r="O77" s="14" t="str">
        <f t="shared" si="4"/>
        <v/>
      </c>
      <c r="P77" s="13"/>
      <c r="Q77" s="14" t="str">
        <f t="shared" si="5"/>
        <v/>
      </c>
      <c r="R77" s="10"/>
      <c r="S77" s="8"/>
      <c r="T77" s="8"/>
      <c r="U77" s="10"/>
      <c r="V77" s="8"/>
    </row>
    <row r="78" spans="1:22">
      <c r="A78" s="8"/>
      <c r="B78" s="8"/>
      <c r="C78" s="8"/>
      <c r="D78" s="8"/>
      <c r="E78" s="8"/>
      <c r="F78" s="8"/>
      <c r="G78" s="8"/>
      <c r="H78" s="13"/>
      <c r="I78" s="13"/>
      <c r="J78" s="8"/>
      <c r="K78" s="13"/>
      <c r="L78" s="13"/>
      <c r="M78" s="14" t="str">
        <f t="shared" si="3"/>
        <v/>
      </c>
      <c r="N78" s="15"/>
      <c r="O78" s="14" t="str">
        <f t="shared" si="4"/>
        <v/>
      </c>
      <c r="P78" s="13"/>
      <c r="Q78" s="14" t="str">
        <f t="shared" si="5"/>
        <v/>
      </c>
      <c r="R78" s="10"/>
      <c r="S78" s="8"/>
      <c r="T78" s="8"/>
      <c r="U78" s="10"/>
      <c r="V78" s="8"/>
    </row>
    <row r="79" spans="1:22">
      <c r="A79" s="8"/>
      <c r="B79" s="8"/>
      <c r="C79" s="8"/>
      <c r="D79" s="8"/>
      <c r="E79" s="8"/>
      <c r="F79" s="8"/>
      <c r="G79" s="8"/>
      <c r="H79" s="13"/>
      <c r="I79" s="13"/>
      <c r="J79" s="8"/>
      <c r="K79" s="13"/>
      <c r="L79" s="13"/>
      <c r="M79" s="14" t="str">
        <f t="shared" si="3"/>
        <v/>
      </c>
      <c r="N79" s="15"/>
      <c r="O79" s="14" t="str">
        <f t="shared" si="4"/>
        <v/>
      </c>
      <c r="P79" s="13"/>
      <c r="Q79" s="14" t="str">
        <f t="shared" si="5"/>
        <v/>
      </c>
      <c r="R79" s="10"/>
      <c r="S79" s="8"/>
      <c r="T79" s="8"/>
      <c r="U79" s="10"/>
      <c r="V79" s="8"/>
    </row>
    <row r="80" spans="1:22">
      <c r="A80" s="8"/>
      <c r="B80" s="8"/>
      <c r="C80" s="8"/>
      <c r="D80" s="8"/>
      <c r="E80" s="8"/>
      <c r="F80" s="8"/>
      <c r="G80" s="8"/>
      <c r="H80" s="13"/>
      <c r="I80" s="13"/>
      <c r="J80" s="8"/>
      <c r="K80" s="13"/>
      <c r="L80" s="13"/>
      <c r="M80" s="14" t="str">
        <f t="shared" si="3"/>
        <v/>
      </c>
      <c r="N80" s="15"/>
      <c r="O80" s="14" t="str">
        <f t="shared" si="4"/>
        <v/>
      </c>
      <c r="P80" s="13"/>
      <c r="Q80" s="14" t="str">
        <f t="shared" si="5"/>
        <v/>
      </c>
      <c r="R80" s="10"/>
      <c r="S80" s="8"/>
      <c r="T80" s="8"/>
      <c r="U80" s="10"/>
      <c r="V80" s="8"/>
    </row>
    <row r="81" spans="1:22">
      <c r="A81" s="8"/>
      <c r="B81" s="8"/>
      <c r="C81" s="8"/>
      <c r="D81" s="8"/>
      <c r="E81" s="8"/>
      <c r="F81" s="8"/>
      <c r="G81" s="8"/>
      <c r="H81" s="13"/>
      <c r="I81" s="13"/>
      <c r="J81" s="8"/>
      <c r="K81" s="13"/>
      <c r="L81" s="13"/>
      <c r="M81" s="14" t="str">
        <f t="shared" si="3"/>
        <v/>
      </c>
      <c r="N81" s="15"/>
      <c r="O81" s="14" t="str">
        <f t="shared" si="4"/>
        <v/>
      </c>
      <c r="P81" s="13"/>
      <c r="Q81" s="14" t="str">
        <f t="shared" si="5"/>
        <v/>
      </c>
      <c r="R81" s="10"/>
      <c r="S81" s="8"/>
      <c r="T81" s="8"/>
      <c r="U81" s="10"/>
      <c r="V81" s="8"/>
    </row>
    <row r="82" spans="1:22">
      <c r="A82" s="8"/>
      <c r="B82" s="8"/>
      <c r="C82" s="8"/>
      <c r="D82" s="8"/>
      <c r="E82" s="8"/>
      <c r="F82" s="8"/>
      <c r="G82" s="8"/>
      <c r="H82" s="13"/>
      <c r="I82" s="13"/>
      <c r="J82" s="8"/>
      <c r="K82" s="13"/>
      <c r="L82" s="13"/>
      <c r="M82" s="14" t="str">
        <f t="shared" si="3"/>
        <v/>
      </c>
      <c r="N82" s="15"/>
      <c r="O82" s="14" t="str">
        <f t="shared" si="4"/>
        <v/>
      </c>
      <c r="P82" s="13"/>
      <c r="Q82" s="14" t="str">
        <f t="shared" si="5"/>
        <v/>
      </c>
      <c r="R82" s="10"/>
      <c r="S82" s="8"/>
      <c r="T82" s="8"/>
      <c r="U82" s="10"/>
      <c r="V82" s="8"/>
    </row>
    <row r="83" spans="1:22">
      <c r="A83" s="8"/>
      <c r="B83" s="8"/>
      <c r="C83" s="8"/>
      <c r="D83" s="8"/>
      <c r="E83" s="8"/>
      <c r="F83" s="8"/>
      <c r="G83" s="8"/>
      <c r="H83" s="13"/>
      <c r="I83" s="13"/>
      <c r="J83" s="8"/>
      <c r="K83" s="13"/>
      <c r="L83" s="13"/>
      <c r="M83" s="14" t="str">
        <f t="shared" si="3"/>
        <v/>
      </c>
      <c r="N83" s="15"/>
      <c r="O83" s="14" t="str">
        <f t="shared" si="4"/>
        <v/>
      </c>
      <c r="P83" s="13"/>
      <c r="Q83" s="14" t="str">
        <f t="shared" si="5"/>
        <v/>
      </c>
      <c r="R83" s="10"/>
      <c r="S83" s="8"/>
      <c r="T83" s="8"/>
      <c r="U83" s="10"/>
      <c r="V83" s="8"/>
    </row>
    <row r="84" spans="1:22">
      <c r="A84" s="8"/>
      <c r="B84" s="8"/>
      <c r="C84" s="8"/>
      <c r="D84" s="8"/>
      <c r="E84" s="8"/>
      <c r="F84" s="8"/>
      <c r="G84" s="8"/>
      <c r="H84" s="13"/>
      <c r="I84" s="13"/>
      <c r="J84" s="8"/>
      <c r="K84" s="13"/>
      <c r="L84" s="13"/>
      <c r="M84" s="14" t="str">
        <f t="shared" si="3"/>
        <v/>
      </c>
      <c r="N84" s="15"/>
      <c r="O84" s="14" t="str">
        <f t="shared" si="4"/>
        <v/>
      </c>
      <c r="P84" s="13"/>
      <c r="Q84" s="14" t="str">
        <f t="shared" si="5"/>
        <v/>
      </c>
      <c r="R84" s="10"/>
      <c r="S84" s="8"/>
      <c r="T84" s="8"/>
      <c r="U84" s="10"/>
      <c r="V84" s="8"/>
    </row>
    <row r="85" spans="1:22">
      <c r="A85" s="8"/>
      <c r="B85" s="8"/>
      <c r="C85" s="8"/>
      <c r="D85" s="8"/>
      <c r="E85" s="8"/>
      <c r="F85" s="8"/>
      <c r="G85" s="8"/>
      <c r="H85" s="13"/>
      <c r="I85" s="13"/>
      <c r="J85" s="8"/>
      <c r="K85" s="13"/>
      <c r="L85" s="13"/>
      <c r="M85" s="14" t="str">
        <f t="shared" si="3"/>
        <v/>
      </c>
      <c r="N85" s="15"/>
      <c r="O85" s="14" t="str">
        <f t="shared" si="4"/>
        <v/>
      </c>
      <c r="P85" s="13"/>
      <c r="Q85" s="14" t="str">
        <f t="shared" si="5"/>
        <v/>
      </c>
      <c r="R85" s="10"/>
      <c r="S85" s="8"/>
      <c r="T85" s="8"/>
      <c r="U85" s="10"/>
      <c r="V85" s="8"/>
    </row>
    <row r="86" spans="1:22">
      <c r="A86" s="8"/>
      <c r="B86" s="8"/>
      <c r="C86" s="8"/>
      <c r="D86" s="8"/>
      <c r="E86" s="8"/>
      <c r="F86" s="8"/>
      <c r="G86" s="8"/>
      <c r="H86" s="13"/>
      <c r="I86" s="13"/>
      <c r="J86" s="8"/>
      <c r="K86" s="13"/>
      <c r="L86" s="13"/>
      <c r="M86" s="14" t="str">
        <f t="shared" si="3"/>
        <v/>
      </c>
      <c r="N86" s="15"/>
      <c r="O86" s="14" t="str">
        <f t="shared" si="4"/>
        <v/>
      </c>
      <c r="P86" s="13"/>
      <c r="Q86" s="14" t="str">
        <f t="shared" si="5"/>
        <v/>
      </c>
      <c r="R86" s="10"/>
      <c r="S86" s="8"/>
      <c r="T86" s="8"/>
      <c r="U86" s="10"/>
      <c r="V86" s="8"/>
    </row>
    <row r="87" spans="1:22">
      <c r="A87" s="8"/>
      <c r="B87" s="8"/>
      <c r="C87" s="8"/>
      <c r="D87" s="8"/>
      <c r="E87" s="8"/>
      <c r="F87" s="8"/>
      <c r="G87" s="8"/>
      <c r="H87" s="13"/>
      <c r="I87" s="13"/>
      <c r="J87" s="8"/>
      <c r="K87" s="13"/>
      <c r="L87" s="13"/>
      <c r="M87" s="14" t="str">
        <f t="shared" si="3"/>
        <v/>
      </c>
      <c r="N87" s="15"/>
      <c r="O87" s="14" t="str">
        <f t="shared" si="4"/>
        <v/>
      </c>
      <c r="P87" s="13"/>
      <c r="Q87" s="14" t="str">
        <f t="shared" si="5"/>
        <v/>
      </c>
      <c r="R87" s="10"/>
      <c r="S87" s="8"/>
      <c r="T87" s="8"/>
      <c r="U87" s="10"/>
      <c r="V87" s="8"/>
    </row>
    <row r="88" spans="1:22">
      <c r="A88" s="8"/>
      <c r="B88" s="8"/>
      <c r="C88" s="8"/>
      <c r="D88" s="8"/>
      <c r="E88" s="8"/>
      <c r="F88" s="8"/>
      <c r="G88" s="8"/>
      <c r="H88" s="13"/>
      <c r="I88" s="13"/>
      <c r="J88" s="8"/>
      <c r="K88" s="13"/>
      <c r="L88" s="13"/>
      <c r="M88" s="14" t="str">
        <f t="shared" si="3"/>
        <v/>
      </c>
      <c r="N88" s="15"/>
      <c r="O88" s="14" t="str">
        <f t="shared" si="4"/>
        <v/>
      </c>
      <c r="P88" s="13"/>
      <c r="Q88" s="14" t="str">
        <f t="shared" si="5"/>
        <v/>
      </c>
      <c r="R88" s="10"/>
      <c r="S88" s="8"/>
      <c r="T88" s="8"/>
      <c r="U88" s="10"/>
      <c r="V88" s="8"/>
    </row>
    <row r="89" spans="1:22">
      <c r="A89" s="8"/>
      <c r="B89" s="8"/>
      <c r="C89" s="8"/>
      <c r="D89" s="8"/>
      <c r="E89" s="8"/>
      <c r="F89" s="8"/>
      <c r="G89" s="8"/>
      <c r="H89" s="13"/>
      <c r="I89" s="13"/>
      <c r="J89" s="8"/>
      <c r="K89" s="13"/>
      <c r="L89" s="13"/>
      <c r="M89" s="14" t="str">
        <f t="shared" si="3"/>
        <v/>
      </c>
      <c r="N89" s="15"/>
      <c r="O89" s="14" t="str">
        <f t="shared" si="4"/>
        <v/>
      </c>
      <c r="P89" s="13"/>
      <c r="Q89" s="14" t="str">
        <f t="shared" si="5"/>
        <v/>
      </c>
      <c r="R89" s="10"/>
      <c r="S89" s="8"/>
      <c r="T89" s="8"/>
      <c r="U89" s="10"/>
      <c r="V89" s="8"/>
    </row>
    <row r="90" spans="1:22">
      <c r="A90" s="8"/>
      <c r="B90" s="8"/>
      <c r="C90" s="8"/>
      <c r="D90" s="8"/>
      <c r="E90" s="8"/>
      <c r="F90" s="8"/>
      <c r="G90" s="8"/>
      <c r="H90" s="13"/>
      <c r="I90" s="13"/>
      <c r="J90" s="8"/>
      <c r="K90" s="13"/>
      <c r="L90" s="13"/>
      <c r="M90" s="14" t="str">
        <f t="shared" si="3"/>
        <v/>
      </c>
      <c r="N90" s="15"/>
      <c r="O90" s="14" t="str">
        <f t="shared" si="4"/>
        <v/>
      </c>
      <c r="P90" s="13"/>
      <c r="Q90" s="14" t="str">
        <f t="shared" si="5"/>
        <v/>
      </c>
      <c r="R90" s="10"/>
      <c r="S90" s="8"/>
      <c r="T90" s="8"/>
      <c r="U90" s="10"/>
      <c r="V90" s="8"/>
    </row>
    <row r="91" spans="1:22">
      <c r="A91" s="8"/>
      <c r="B91" s="8"/>
      <c r="C91" s="8"/>
      <c r="D91" s="8"/>
      <c r="E91" s="8"/>
      <c r="F91" s="8"/>
      <c r="G91" s="8"/>
      <c r="H91" s="13"/>
      <c r="I91" s="13"/>
      <c r="J91" s="8"/>
      <c r="K91" s="13"/>
      <c r="L91" s="13"/>
      <c r="M91" s="14" t="str">
        <f t="shared" si="3"/>
        <v/>
      </c>
      <c r="N91" s="15"/>
      <c r="O91" s="14" t="str">
        <f t="shared" si="4"/>
        <v/>
      </c>
      <c r="P91" s="13"/>
      <c r="Q91" s="14" t="str">
        <f t="shared" si="5"/>
        <v/>
      </c>
      <c r="R91" s="10"/>
      <c r="S91" s="8"/>
      <c r="T91" s="8"/>
      <c r="U91" s="10"/>
      <c r="V91" s="8"/>
    </row>
    <row r="92" spans="1:22">
      <c r="A92" s="8"/>
      <c r="B92" s="8"/>
      <c r="C92" s="8"/>
      <c r="D92" s="8"/>
      <c r="E92" s="8"/>
      <c r="F92" s="8"/>
      <c r="G92" s="8"/>
      <c r="H92" s="13"/>
      <c r="I92" s="13"/>
      <c r="J92" s="8"/>
      <c r="K92" s="13"/>
      <c r="L92" s="13"/>
      <c r="M92" s="14" t="str">
        <f t="shared" si="3"/>
        <v/>
      </c>
      <c r="N92" s="15"/>
      <c r="O92" s="14" t="str">
        <f t="shared" si="4"/>
        <v/>
      </c>
      <c r="P92" s="13"/>
      <c r="Q92" s="14" t="str">
        <f t="shared" si="5"/>
        <v/>
      </c>
      <c r="R92" s="10"/>
      <c r="S92" s="8"/>
      <c r="T92" s="8"/>
      <c r="U92" s="10"/>
      <c r="V92" s="8"/>
    </row>
    <row r="93" spans="1:22">
      <c r="A93" s="8"/>
      <c r="B93" s="8"/>
      <c r="C93" s="8"/>
      <c r="D93" s="8"/>
      <c r="E93" s="8"/>
      <c r="F93" s="8"/>
      <c r="G93" s="8"/>
      <c r="H93" s="13"/>
      <c r="I93" s="13"/>
      <c r="J93" s="8"/>
      <c r="K93" s="13"/>
      <c r="L93" s="13"/>
      <c r="M93" s="14" t="str">
        <f t="shared" si="3"/>
        <v/>
      </c>
      <c r="N93" s="15"/>
      <c r="O93" s="14" t="str">
        <f t="shared" si="4"/>
        <v/>
      </c>
      <c r="P93" s="13"/>
      <c r="Q93" s="14" t="str">
        <f t="shared" si="5"/>
        <v/>
      </c>
      <c r="R93" s="10"/>
      <c r="S93" s="8"/>
      <c r="T93" s="8"/>
      <c r="U93" s="10"/>
      <c r="V93" s="8"/>
    </row>
    <row r="94" spans="1:22">
      <c r="A94" s="8"/>
      <c r="B94" s="8"/>
      <c r="C94" s="8"/>
      <c r="D94" s="8"/>
      <c r="E94" s="8"/>
      <c r="F94" s="8"/>
      <c r="G94" s="8"/>
      <c r="H94" s="13"/>
      <c r="I94" s="13"/>
      <c r="J94" s="8"/>
      <c r="K94" s="13"/>
      <c r="L94" s="13"/>
      <c r="M94" s="14" t="str">
        <f t="shared" si="3"/>
        <v/>
      </c>
      <c r="N94" s="15"/>
      <c r="O94" s="14" t="str">
        <f t="shared" si="4"/>
        <v/>
      </c>
      <c r="P94" s="13"/>
      <c r="Q94" s="14" t="str">
        <f t="shared" si="5"/>
        <v/>
      </c>
      <c r="R94" s="10"/>
      <c r="S94" s="8"/>
      <c r="T94" s="8"/>
      <c r="U94" s="10"/>
      <c r="V94" s="8"/>
    </row>
    <row r="95" spans="1:22">
      <c r="A95" s="8"/>
      <c r="B95" s="8"/>
      <c r="C95" s="8"/>
      <c r="D95" s="8"/>
      <c r="E95" s="8"/>
      <c r="F95" s="8"/>
      <c r="G95" s="8"/>
      <c r="H95" s="13"/>
      <c r="I95" s="13"/>
      <c r="J95" s="8"/>
      <c r="K95" s="13"/>
      <c r="L95" s="13"/>
      <c r="M95" s="14" t="str">
        <f t="shared" si="3"/>
        <v/>
      </c>
      <c r="N95" s="15"/>
      <c r="O95" s="14" t="str">
        <f t="shared" si="4"/>
        <v/>
      </c>
      <c r="P95" s="13"/>
      <c r="Q95" s="14" t="str">
        <f t="shared" si="5"/>
        <v/>
      </c>
      <c r="R95" s="10"/>
      <c r="S95" s="8"/>
      <c r="T95" s="8"/>
      <c r="U95" s="10"/>
      <c r="V95" s="8"/>
    </row>
    <row r="96" spans="1:22">
      <c r="A96" s="8"/>
      <c r="B96" s="8"/>
      <c r="C96" s="8"/>
      <c r="D96" s="8"/>
      <c r="E96" s="8"/>
      <c r="F96" s="8"/>
      <c r="G96" s="8"/>
      <c r="H96" s="13"/>
      <c r="I96" s="13"/>
      <c r="J96" s="8"/>
      <c r="K96" s="13"/>
      <c r="L96" s="13"/>
      <c r="M96" s="14" t="str">
        <f t="shared" si="3"/>
        <v/>
      </c>
      <c r="N96" s="15"/>
      <c r="O96" s="14" t="str">
        <f t="shared" si="4"/>
        <v/>
      </c>
      <c r="P96" s="13"/>
      <c r="Q96" s="14" t="str">
        <f t="shared" si="5"/>
        <v/>
      </c>
      <c r="R96" s="10"/>
      <c r="S96" s="8"/>
      <c r="T96" s="8"/>
      <c r="U96" s="10"/>
      <c r="V96" s="8"/>
    </row>
    <row r="97" spans="1:22">
      <c r="A97" s="8"/>
      <c r="B97" s="8"/>
      <c r="C97" s="8"/>
      <c r="D97" s="8"/>
      <c r="E97" s="8"/>
      <c r="F97" s="8"/>
      <c r="G97" s="8"/>
      <c r="H97" s="13"/>
      <c r="I97" s="13"/>
      <c r="J97" s="8"/>
      <c r="K97" s="13"/>
      <c r="L97" s="13"/>
      <c r="M97" s="14" t="str">
        <f t="shared" si="3"/>
        <v/>
      </c>
      <c r="N97" s="15"/>
      <c r="O97" s="14" t="str">
        <f t="shared" si="4"/>
        <v/>
      </c>
      <c r="P97" s="13"/>
      <c r="Q97" s="14" t="str">
        <f t="shared" si="5"/>
        <v/>
      </c>
      <c r="R97" s="10"/>
      <c r="S97" s="8"/>
      <c r="T97" s="8"/>
      <c r="U97" s="10"/>
      <c r="V97" s="8"/>
    </row>
    <row r="98" spans="1:22">
      <c r="A98" s="8"/>
      <c r="B98" s="8"/>
      <c r="C98" s="8"/>
      <c r="D98" s="8"/>
      <c r="E98" s="8"/>
      <c r="F98" s="8"/>
      <c r="G98" s="8"/>
      <c r="H98" s="13"/>
      <c r="I98" s="13"/>
      <c r="J98" s="8"/>
      <c r="K98" s="13"/>
      <c r="L98" s="13"/>
      <c r="M98" s="14" t="str">
        <f t="shared" si="3"/>
        <v/>
      </c>
      <c r="N98" s="15"/>
      <c r="O98" s="14" t="str">
        <f t="shared" si="4"/>
        <v/>
      </c>
      <c r="P98" s="13"/>
      <c r="Q98" s="14" t="str">
        <f t="shared" si="5"/>
        <v/>
      </c>
      <c r="R98" s="10"/>
      <c r="S98" s="8"/>
      <c r="T98" s="8"/>
      <c r="U98" s="10"/>
      <c r="V98" s="8"/>
    </row>
    <row r="99" spans="1:22">
      <c r="A99" s="8"/>
      <c r="B99" s="8"/>
      <c r="C99" s="8"/>
      <c r="D99" s="8"/>
      <c r="E99" s="8"/>
      <c r="F99" s="8"/>
      <c r="G99" s="8"/>
      <c r="H99" s="13"/>
      <c r="I99" s="13"/>
      <c r="J99" s="8"/>
      <c r="K99" s="13"/>
      <c r="L99" s="13"/>
      <c r="M99" s="14" t="str">
        <f t="shared" si="3"/>
        <v/>
      </c>
      <c r="N99" s="15"/>
      <c r="O99" s="14" t="str">
        <f t="shared" si="4"/>
        <v/>
      </c>
      <c r="P99" s="13"/>
      <c r="Q99" s="14" t="str">
        <f t="shared" si="5"/>
        <v/>
      </c>
      <c r="R99" s="10"/>
      <c r="S99" s="8"/>
      <c r="T99" s="8"/>
      <c r="U99" s="10"/>
      <c r="V99" s="8"/>
    </row>
    <row r="100" spans="1:22">
      <c r="A100" s="8"/>
      <c r="B100" s="8"/>
      <c r="C100" s="8"/>
      <c r="D100" s="8"/>
      <c r="E100" s="8"/>
      <c r="F100" s="8"/>
      <c r="G100" s="8"/>
      <c r="H100" s="13"/>
      <c r="I100" s="13"/>
      <c r="J100" s="8"/>
      <c r="K100" s="13"/>
      <c r="L100" s="13"/>
      <c r="M100" s="14" t="str">
        <f t="shared" si="3"/>
        <v/>
      </c>
      <c r="N100" s="15"/>
      <c r="O100" s="14" t="str">
        <f t="shared" si="4"/>
        <v/>
      </c>
      <c r="P100" s="13"/>
      <c r="Q100" s="14" t="str">
        <f t="shared" si="5"/>
        <v/>
      </c>
      <c r="R100" s="10"/>
      <c r="S100" s="8"/>
      <c r="T100" s="8"/>
      <c r="U100" s="10"/>
      <c r="V100" s="8"/>
    </row>
    <row r="101" spans="1:22">
      <c r="A101" s="8"/>
      <c r="B101" s="8"/>
      <c r="C101" s="8"/>
      <c r="D101" s="8"/>
      <c r="E101" s="8"/>
      <c r="F101" s="8"/>
      <c r="G101" s="8"/>
      <c r="H101" s="13"/>
      <c r="I101" s="13"/>
      <c r="J101" s="8"/>
      <c r="K101" s="13"/>
      <c r="L101" s="13"/>
      <c r="M101" s="14" t="str">
        <f t="shared" si="3"/>
        <v/>
      </c>
      <c r="N101" s="15"/>
      <c r="O101" s="14" t="str">
        <f t="shared" si="4"/>
        <v/>
      </c>
      <c r="P101" s="13"/>
      <c r="Q101" s="14" t="str">
        <f t="shared" si="5"/>
        <v/>
      </c>
      <c r="R101" s="10"/>
      <c r="S101" s="8"/>
      <c r="T101" s="8"/>
      <c r="U101" s="10"/>
      <c r="V101" s="8"/>
    </row>
    <row r="102" spans="1:22">
      <c r="A102" s="8"/>
      <c r="B102" s="8"/>
      <c r="C102" s="8"/>
      <c r="D102" s="8"/>
      <c r="E102" s="8"/>
      <c r="F102" s="8"/>
      <c r="G102" s="8"/>
      <c r="H102" s="13"/>
      <c r="I102" s="13"/>
      <c r="J102" s="8"/>
      <c r="K102" s="13"/>
      <c r="L102" s="13"/>
      <c r="M102" s="14" t="str">
        <f t="shared" si="3"/>
        <v/>
      </c>
      <c r="N102" s="15"/>
      <c r="O102" s="14" t="str">
        <f t="shared" si="4"/>
        <v/>
      </c>
      <c r="P102" s="13"/>
      <c r="Q102" s="14" t="str">
        <f t="shared" si="5"/>
        <v/>
      </c>
      <c r="R102" s="10"/>
      <c r="S102" s="8"/>
      <c r="T102" s="8"/>
      <c r="U102" s="10"/>
      <c r="V102" s="8"/>
    </row>
    <row r="103" spans="1:22">
      <c r="A103" s="8"/>
      <c r="B103" s="8"/>
      <c r="C103" s="8"/>
      <c r="D103" s="8"/>
      <c r="E103" s="8"/>
      <c r="F103" s="8"/>
      <c r="G103" s="8"/>
      <c r="H103" s="13"/>
      <c r="I103" s="13"/>
      <c r="J103" s="8"/>
      <c r="K103" s="13"/>
      <c r="L103" s="13"/>
      <c r="M103" s="14" t="str">
        <f t="shared" si="3"/>
        <v/>
      </c>
      <c r="N103" s="15"/>
      <c r="O103" s="14" t="str">
        <f t="shared" si="4"/>
        <v/>
      </c>
      <c r="P103" s="13"/>
      <c r="Q103" s="14" t="str">
        <f t="shared" si="5"/>
        <v/>
      </c>
      <c r="R103" s="10"/>
      <c r="S103" s="8"/>
      <c r="T103" s="8"/>
      <c r="U103" s="10"/>
      <c r="V103" s="8"/>
    </row>
    <row r="104" spans="1:22">
      <c r="A104" s="8"/>
      <c r="B104" s="8"/>
      <c r="C104" s="8"/>
      <c r="D104" s="8"/>
      <c r="E104" s="8"/>
      <c r="F104" s="8"/>
      <c r="G104" s="8"/>
      <c r="H104" s="13"/>
      <c r="I104" s="13"/>
      <c r="J104" s="8"/>
      <c r="K104" s="13"/>
      <c r="L104" s="13"/>
      <c r="M104" s="14" t="str">
        <f t="shared" si="3"/>
        <v/>
      </c>
      <c r="N104" s="15"/>
      <c r="O104" s="14" t="str">
        <f t="shared" si="4"/>
        <v/>
      </c>
      <c r="P104" s="13"/>
      <c r="Q104" s="14" t="str">
        <f t="shared" si="5"/>
        <v/>
      </c>
      <c r="R104" s="10"/>
      <c r="S104" s="8"/>
      <c r="T104" s="8"/>
      <c r="U104" s="10"/>
      <c r="V104" s="8"/>
    </row>
    <row r="105" spans="1:22">
      <c r="A105" s="8"/>
      <c r="B105" s="8"/>
      <c r="C105" s="8"/>
      <c r="D105" s="8"/>
      <c r="E105" s="8"/>
      <c r="F105" s="8"/>
      <c r="G105" s="8"/>
      <c r="H105" s="13"/>
      <c r="I105" s="13"/>
      <c r="J105" s="8"/>
      <c r="K105" s="13"/>
      <c r="L105" s="13"/>
      <c r="M105" s="14" t="str">
        <f t="shared" si="3"/>
        <v/>
      </c>
      <c r="N105" s="15"/>
      <c r="O105" s="14" t="str">
        <f t="shared" si="4"/>
        <v/>
      </c>
      <c r="P105" s="13"/>
      <c r="Q105" s="14" t="str">
        <f t="shared" si="5"/>
        <v/>
      </c>
      <c r="R105" s="10"/>
      <c r="S105" s="8"/>
      <c r="T105" s="8"/>
      <c r="U105" s="10"/>
      <c r="V105" s="8"/>
    </row>
    <row r="106" spans="1:22">
      <c r="A106" s="8"/>
      <c r="B106" s="8"/>
      <c r="C106" s="8"/>
      <c r="D106" s="8"/>
      <c r="E106" s="8"/>
      <c r="F106" s="8"/>
      <c r="G106" s="8"/>
      <c r="H106" s="13"/>
      <c r="I106" s="13"/>
      <c r="J106" s="8"/>
      <c r="K106" s="13"/>
      <c r="L106" s="13"/>
      <c r="M106" s="14" t="str">
        <f t="shared" si="3"/>
        <v/>
      </c>
      <c r="N106" s="15"/>
      <c r="O106" s="14" t="str">
        <f t="shared" si="4"/>
        <v/>
      </c>
      <c r="P106" s="13"/>
      <c r="Q106" s="14" t="str">
        <f t="shared" si="5"/>
        <v/>
      </c>
      <c r="R106" s="10"/>
      <c r="S106" s="8"/>
      <c r="T106" s="8"/>
      <c r="U106" s="10"/>
      <c r="V106" s="8"/>
    </row>
    <row r="107" spans="1:22">
      <c r="A107" s="8"/>
      <c r="B107" s="8"/>
      <c r="C107" s="8"/>
      <c r="D107" s="8"/>
      <c r="E107" s="8"/>
      <c r="F107" s="8"/>
      <c r="G107" s="8"/>
      <c r="H107" s="13"/>
      <c r="I107" s="13"/>
      <c r="J107" s="8"/>
      <c r="K107" s="13"/>
      <c r="L107" s="13"/>
      <c r="M107" s="14" t="str">
        <f t="shared" si="3"/>
        <v/>
      </c>
      <c r="N107" s="15"/>
      <c r="O107" s="14" t="str">
        <f t="shared" si="4"/>
        <v/>
      </c>
      <c r="P107" s="13"/>
      <c r="Q107" s="14" t="str">
        <f t="shared" si="5"/>
        <v/>
      </c>
      <c r="R107" s="10"/>
      <c r="S107" s="8"/>
      <c r="T107" s="8"/>
      <c r="U107" s="10"/>
      <c r="V107" s="8"/>
    </row>
    <row r="108" spans="1:22">
      <c r="A108" s="8"/>
      <c r="B108" s="8"/>
      <c r="C108" s="8"/>
      <c r="D108" s="8"/>
      <c r="E108" s="8"/>
      <c r="F108" s="8"/>
      <c r="G108" s="8"/>
      <c r="H108" s="13"/>
      <c r="I108" s="13"/>
      <c r="J108" s="8"/>
      <c r="K108" s="13"/>
      <c r="L108" s="13"/>
      <c r="M108" s="14" t="str">
        <f t="shared" si="3"/>
        <v/>
      </c>
      <c r="N108" s="15"/>
      <c r="O108" s="14" t="str">
        <f t="shared" si="4"/>
        <v/>
      </c>
      <c r="P108" s="13"/>
      <c r="Q108" s="14" t="str">
        <f t="shared" si="5"/>
        <v/>
      </c>
      <c r="R108" s="10"/>
      <c r="S108" s="8"/>
      <c r="T108" s="8"/>
      <c r="U108" s="10"/>
      <c r="V108" s="8"/>
    </row>
    <row r="109" spans="1:22">
      <c r="A109" s="8"/>
      <c r="B109" s="8"/>
      <c r="C109" s="8"/>
      <c r="D109" s="8"/>
      <c r="E109" s="8"/>
      <c r="F109" s="8"/>
      <c r="G109" s="8"/>
      <c r="H109" s="13"/>
      <c r="I109" s="13"/>
      <c r="J109" s="8"/>
      <c r="K109" s="13"/>
      <c r="L109" s="13"/>
      <c r="M109" s="14" t="str">
        <f t="shared" si="3"/>
        <v/>
      </c>
      <c r="N109" s="15"/>
      <c r="O109" s="14" t="str">
        <f t="shared" si="4"/>
        <v/>
      </c>
      <c r="P109" s="13"/>
      <c r="Q109" s="14" t="str">
        <f t="shared" si="5"/>
        <v/>
      </c>
      <c r="R109" s="10"/>
      <c r="S109" s="8"/>
      <c r="T109" s="8"/>
      <c r="U109" s="10"/>
      <c r="V109" s="8"/>
    </row>
    <row r="110" spans="1:22">
      <c r="A110" s="8"/>
      <c r="B110" s="8"/>
      <c r="C110" s="8"/>
      <c r="D110" s="8"/>
      <c r="E110" s="8"/>
      <c r="F110" s="8"/>
      <c r="G110" s="8"/>
      <c r="H110" s="13"/>
      <c r="I110" s="13"/>
      <c r="J110" s="8"/>
      <c r="K110" s="13"/>
      <c r="L110" s="13"/>
      <c r="M110" s="14" t="str">
        <f t="shared" si="3"/>
        <v/>
      </c>
      <c r="N110" s="15"/>
      <c r="O110" s="14" t="str">
        <f t="shared" si="4"/>
        <v/>
      </c>
      <c r="P110" s="13"/>
      <c r="Q110" s="14" t="str">
        <f t="shared" si="5"/>
        <v/>
      </c>
      <c r="R110" s="10"/>
      <c r="S110" s="8"/>
      <c r="T110" s="8"/>
      <c r="U110" s="10"/>
      <c r="V110" s="8"/>
    </row>
    <row r="111" spans="1:22">
      <c r="A111" s="8"/>
      <c r="B111" s="8"/>
      <c r="C111" s="8"/>
      <c r="D111" s="8"/>
      <c r="E111" s="8"/>
      <c r="F111" s="8"/>
      <c r="G111" s="8"/>
      <c r="H111" s="13"/>
      <c r="I111" s="13"/>
      <c r="J111" s="8"/>
      <c r="K111" s="13"/>
      <c r="L111" s="13"/>
      <c r="M111" s="14" t="str">
        <f t="shared" si="3"/>
        <v/>
      </c>
      <c r="N111" s="15"/>
      <c r="O111" s="14" t="str">
        <f t="shared" si="4"/>
        <v/>
      </c>
      <c r="P111" s="13"/>
      <c r="Q111" s="14" t="str">
        <f t="shared" si="5"/>
        <v/>
      </c>
      <c r="R111" s="10"/>
      <c r="S111" s="8"/>
      <c r="T111" s="8"/>
      <c r="U111" s="10"/>
      <c r="V111" s="8"/>
    </row>
    <row r="112" spans="1:22">
      <c r="A112" s="8"/>
      <c r="B112" s="8"/>
      <c r="C112" s="8"/>
      <c r="D112" s="8"/>
      <c r="E112" s="8"/>
      <c r="F112" s="8"/>
      <c r="G112" s="8"/>
      <c r="H112" s="13"/>
      <c r="I112" s="13"/>
      <c r="J112" s="8"/>
      <c r="K112" s="13"/>
      <c r="L112" s="13"/>
      <c r="M112" s="14" t="str">
        <f t="shared" si="3"/>
        <v/>
      </c>
      <c r="N112" s="15"/>
      <c r="O112" s="14" t="str">
        <f t="shared" si="4"/>
        <v/>
      </c>
      <c r="P112" s="13"/>
      <c r="Q112" s="14" t="str">
        <f t="shared" si="5"/>
        <v/>
      </c>
      <c r="R112" s="10"/>
      <c r="S112" s="8"/>
      <c r="T112" s="8"/>
      <c r="U112" s="10"/>
      <c r="V112" s="8"/>
    </row>
    <row r="113" spans="1:22">
      <c r="A113" s="8"/>
      <c r="B113" s="8"/>
      <c r="C113" s="8"/>
      <c r="D113" s="8"/>
      <c r="E113" s="8"/>
      <c r="F113" s="8"/>
      <c r="G113" s="8"/>
      <c r="H113" s="13"/>
      <c r="I113" s="13"/>
      <c r="J113" s="8"/>
      <c r="K113" s="13"/>
      <c r="L113" s="13"/>
      <c r="M113" s="14" t="str">
        <f t="shared" si="3"/>
        <v/>
      </c>
      <c r="N113" s="15"/>
      <c r="O113" s="14" t="str">
        <f t="shared" si="4"/>
        <v/>
      </c>
      <c r="P113" s="13"/>
      <c r="Q113" s="14" t="str">
        <f t="shared" si="5"/>
        <v/>
      </c>
      <c r="R113" s="10"/>
      <c r="S113" s="8"/>
      <c r="T113" s="8"/>
      <c r="U113" s="10"/>
      <c r="V113" s="8"/>
    </row>
    <row r="114" spans="1:22">
      <c r="A114" s="8"/>
      <c r="B114" s="8"/>
      <c r="C114" s="8"/>
      <c r="D114" s="8"/>
      <c r="E114" s="8"/>
      <c r="F114" s="8"/>
      <c r="G114" s="8"/>
      <c r="H114" s="13"/>
      <c r="I114" s="13"/>
      <c r="J114" s="8"/>
      <c r="K114" s="13"/>
      <c r="L114" s="13"/>
      <c r="M114" s="14" t="str">
        <f t="shared" si="3"/>
        <v/>
      </c>
      <c r="N114" s="15"/>
      <c r="O114" s="14" t="str">
        <f t="shared" si="4"/>
        <v/>
      </c>
      <c r="P114" s="13"/>
      <c r="Q114" s="14" t="str">
        <f t="shared" si="5"/>
        <v/>
      </c>
      <c r="R114" s="10"/>
      <c r="S114" s="8"/>
      <c r="T114" s="8"/>
      <c r="U114" s="10"/>
      <c r="V114" s="8"/>
    </row>
    <row r="115" spans="1:22">
      <c r="A115" s="8"/>
      <c r="B115" s="8"/>
      <c r="C115" s="8"/>
      <c r="D115" s="8"/>
      <c r="E115" s="8"/>
      <c r="F115" s="8"/>
      <c r="G115" s="8"/>
      <c r="H115" s="13"/>
      <c r="I115" s="13"/>
      <c r="J115" s="8"/>
      <c r="K115" s="13"/>
      <c r="L115" s="13"/>
      <c r="M115" s="14" t="str">
        <f t="shared" si="3"/>
        <v/>
      </c>
      <c r="N115" s="15"/>
      <c r="O115" s="14" t="str">
        <f t="shared" si="4"/>
        <v/>
      </c>
      <c r="P115" s="13"/>
      <c r="Q115" s="14" t="str">
        <f t="shared" si="5"/>
        <v/>
      </c>
      <c r="R115" s="10"/>
      <c r="S115" s="8"/>
      <c r="T115" s="8"/>
      <c r="U115" s="10"/>
      <c r="V115" s="8"/>
    </row>
    <row r="116" spans="1:22">
      <c r="A116" s="8"/>
      <c r="B116" s="8"/>
      <c r="C116" s="8"/>
      <c r="D116" s="8"/>
      <c r="E116" s="8"/>
      <c r="F116" s="8"/>
      <c r="G116" s="8"/>
      <c r="H116" s="13"/>
      <c r="I116" s="13"/>
      <c r="J116" s="8"/>
      <c r="K116" s="13"/>
      <c r="L116" s="13"/>
      <c r="M116" s="14" t="str">
        <f t="shared" si="3"/>
        <v/>
      </c>
      <c r="N116" s="15"/>
      <c r="O116" s="14" t="str">
        <f t="shared" si="4"/>
        <v/>
      </c>
      <c r="P116" s="13"/>
      <c r="Q116" s="14" t="str">
        <f t="shared" si="5"/>
        <v/>
      </c>
      <c r="R116" s="10"/>
      <c r="S116" s="8"/>
      <c r="T116" s="8"/>
      <c r="U116" s="10"/>
      <c r="V116" s="8"/>
    </row>
    <row r="117" spans="1:22">
      <c r="A117" s="8"/>
      <c r="B117" s="8"/>
      <c r="C117" s="8"/>
      <c r="D117" s="8"/>
      <c r="E117" s="8"/>
      <c r="F117" s="8"/>
      <c r="G117" s="8"/>
      <c r="H117" s="13"/>
      <c r="I117" s="13"/>
      <c r="J117" s="8"/>
      <c r="K117" s="13"/>
      <c r="L117" s="13"/>
      <c r="M117" s="14" t="str">
        <f t="shared" si="3"/>
        <v/>
      </c>
      <c r="N117" s="15"/>
      <c r="O117" s="14" t="str">
        <f t="shared" si="4"/>
        <v/>
      </c>
      <c r="P117" s="13"/>
      <c r="Q117" s="14" t="str">
        <f t="shared" si="5"/>
        <v/>
      </c>
      <c r="R117" s="10"/>
      <c r="S117" s="8"/>
      <c r="T117" s="8"/>
      <c r="U117" s="10"/>
      <c r="V117" s="8"/>
    </row>
    <row r="118" spans="1:22">
      <c r="A118" s="8"/>
      <c r="B118" s="8"/>
      <c r="C118" s="8"/>
      <c r="D118" s="8"/>
      <c r="E118" s="8"/>
      <c r="F118" s="8"/>
      <c r="G118" s="8"/>
      <c r="H118" s="13"/>
      <c r="I118" s="13"/>
      <c r="J118" s="8"/>
      <c r="K118" s="13"/>
      <c r="L118" s="13"/>
      <c r="M118" s="14" t="str">
        <f t="shared" si="3"/>
        <v/>
      </c>
      <c r="N118" s="15"/>
      <c r="O118" s="14" t="str">
        <f t="shared" si="4"/>
        <v/>
      </c>
      <c r="P118" s="13"/>
      <c r="Q118" s="14" t="str">
        <f t="shared" si="5"/>
        <v/>
      </c>
      <c r="R118" s="10"/>
      <c r="S118" s="8"/>
      <c r="T118" s="8"/>
      <c r="U118" s="10"/>
      <c r="V118" s="8"/>
    </row>
    <row r="119" spans="1:22">
      <c r="A119" s="8"/>
      <c r="B119" s="8"/>
      <c r="C119" s="8"/>
      <c r="D119" s="8"/>
      <c r="E119" s="8"/>
      <c r="F119" s="8"/>
      <c r="G119" s="8"/>
      <c r="H119" s="13"/>
      <c r="I119" s="13"/>
      <c r="J119" s="8"/>
      <c r="K119" s="13"/>
      <c r="L119" s="13"/>
      <c r="M119" s="14" t="str">
        <f t="shared" si="3"/>
        <v/>
      </c>
      <c r="N119" s="15"/>
      <c r="O119" s="14" t="str">
        <f t="shared" si="4"/>
        <v/>
      </c>
      <c r="P119" s="13"/>
      <c r="Q119" s="14" t="str">
        <f t="shared" si="5"/>
        <v/>
      </c>
      <c r="R119" s="10"/>
      <c r="S119" s="8"/>
      <c r="T119" s="8"/>
      <c r="U119" s="10"/>
      <c r="V119" s="8"/>
    </row>
    <row r="120" spans="1:22">
      <c r="A120" s="8"/>
      <c r="B120" s="8"/>
      <c r="C120" s="8"/>
      <c r="D120" s="8"/>
      <c r="E120" s="8"/>
      <c r="F120" s="8"/>
      <c r="G120" s="8"/>
      <c r="H120" s="13"/>
      <c r="I120" s="13"/>
      <c r="J120" s="8"/>
      <c r="K120" s="13"/>
      <c r="L120" s="13"/>
      <c r="M120" s="14" t="str">
        <f t="shared" si="3"/>
        <v/>
      </c>
      <c r="N120" s="15"/>
      <c r="O120" s="14" t="str">
        <f t="shared" si="4"/>
        <v/>
      </c>
      <c r="P120" s="13"/>
      <c r="Q120" s="14" t="str">
        <f t="shared" si="5"/>
        <v/>
      </c>
      <c r="R120" s="10"/>
      <c r="S120" s="8"/>
      <c r="T120" s="8"/>
      <c r="U120" s="10"/>
      <c r="V120" s="8"/>
    </row>
    <row r="121" spans="1:22">
      <c r="A121" s="8"/>
      <c r="B121" s="8"/>
      <c r="C121" s="8"/>
      <c r="D121" s="8"/>
      <c r="E121" s="8"/>
      <c r="F121" s="8"/>
      <c r="G121" s="8"/>
      <c r="H121" s="13"/>
      <c r="I121" s="13"/>
      <c r="J121" s="8"/>
      <c r="K121" s="13"/>
      <c r="L121" s="13"/>
      <c r="M121" s="14" t="str">
        <f t="shared" si="3"/>
        <v/>
      </c>
      <c r="N121" s="15"/>
      <c r="O121" s="14" t="str">
        <f t="shared" si="4"/>
        <v/>
      </c>
      <c r="P121" s="13"/>
      <c r="Q121" s="14" t="str">
        <f t="shared" si="5"/>
        <v/>
      </c>
      <c r="R121" s="10"/>
      <c r="S121" s="8"/>
      <c r="T121" s="8"/>
      <c r="U121" s="10"/>
      <c r="V121" s="8"/>
    </row>
    <row r="122" spans="1:22">
      <c r="A122" s="8"/>
      <c r="B122" s="8"/>
      <c r="C122" s="8"/>
      <c r="D122" s="8"/>
      <c r="E122" s="8"/>
      <c r="F122" s="8"/>
      <c r="G122" s="8"/>
      <c r="H122" s="13"/>
      <c r="I122" s="13"/>
      <c r="J122" s="8"/>
      <c r="K122" s="13"/>
      <c r="L122" s="13"/>
      <c r="M122" s="14" t="str">
        <f t="shared" si="3"/>
        <v/>
      </c>
      <c r="N122" s="15"/>
      <c r="O122" s="14" t="str">
        <f t="shared" si="4"/>
        <v/>
      </c>
      <c r="P122" s="13"/>
      <c r="Q122" s="14" t="str">
        <f t="shared" si="5"/>
        <v/>
      </c>
      <c r="R122" s="10"/>
      <c r="S122" s="8"/>
      <c r="T122" s="8"/>
      <c r="U122" s="10"/>
      <c r="V122" s="8"/>
    </row>
    <row r="123" spans="1:22">
      <c r="A123" s="8"/>
      <c r="B123" s="8"/>
      <c r="C123" s="8"/>
      <c r="D123" s="8"/>
      <c r="E123" s="8"/>
      <c r="F123" s="8"/>
      <c r="G123" s="8"/>
      <c r="H123" s="13"/>
      <c r="I123" s="13"/>
      <c r="J123" s="8"/>
      <c r="K123" s="13"/>
      <c r="L123" s="13"/>
      <c r="M123" s="14" t="str">
        <f t="shared" si="3"/>
        <v/>
      </c>
      <c r="N123" s="15"/>
      <c r="O123" s="14" t="str">
        <f t="shared" si="4"/>
        <v/>
      </c>
      <c r="P123" s="13"/>
      <c r="Q123" s="14" t="str">
        <f t="shared" si="5"/>
        <v/>
      </c>
      <c r="R123" s="10"/>
      <c r="S123" s="8"/>
      <c r="T123" s="8"/>
      <c r="U123" s="10"/>
      <c r="V123" s="8"/>
    </row>
    <row r="124" spans="1:22">
      <c r="A124" s="8"/>
      <c r="B124" s="8"/>
      <c r="C124" s="8"/>
      <c r="D124" s="8"/>
      <c r="E124" s="8"/>
      <c r="F124" s="8"/>
      <c r="G124" s="8"/>
      <c r="H124" s="13"/>
      <c r="I124" s="13"/>
      <c r="J124" s="8"/>
      <c r="K124" s="13"/>
      <c r="L124" s="13"/>
      <c r="M124" s="14" t="str">
        <f t="shared" si="3"/>
        <v/>
      </c>
      <c r="N124" s="15"/>
      <c r="O124" s="14" t="str">
        <f t="shared" si="4"/>
        <v/>
      </c>
      <c r="P124" s="13"/>
      <c r="Q124" s="14" t="str">
        <f t="shared" si="5"/>
        <v/>
      </c>
      <c r="R124" s="10"/>
      <c r="S124" s="8"/>
      <c r="T124" s="8"/>
      <c r="U124" s="10"/>
      <c r="V124" s="8"/>
    </row>
    <row r="125" spans="1:22">
      <c r="A125" s="8"/>
      <c r="B125" s="8"/>
      <c r="C125" s="8"/>
      <c r="D125" s="8"/>
      <c r="E125" s="8"/>
      <c r="F125" s="8"/>
      <c r="G125" s="8"/>
      <c r="H125" s="13"/>
      <c r="I125" s="13"/>
      <c r="J125" s="8"/>
      <c r="K125" s="13"/>
      <c r="L125" s="13"/>
      <c r="M125" s="14" t="str">
        <f t="shared" si="3"/>
        <v/>
      </c>
      <c r="N125" s="15"/>
      <c r="O125" s="14" t="str">
        <f t="shared" si="4"/>
        <v/>
      </c>
      <c r="P125" s="13"/>
      <c r="Q125" s="14" t="str">
        <f t="shared" si="5"/>
        <v/>
      </c>
      <c r="R125" s="10"/>
      <c r="S125" s="8"/>
      <c r="T125" s="8"/>
      <c r="U125" s="10"/>
      <c r="V125" s="8"/>
    </row>
    <row r="126" spans="1:22">
      <c r="A126" s="8"/>
      <c r="B126" s="8"/>
      <c r="C126" s="8"/>
      <c r="D126" s="8"/>
      <c r="E126" s="8"/>
      <c r="F126" s="8"/>
      <c r="G126" s="8"/>
      <c r="H126" s="13"/>
      <c r="I126" s="13"/>
      <c r="J126" s="8"/>
      <c r="K126" s="13"/>
      <c r="L126" s="13"/>
      <c r="M126" s="14" t="str">
        <f t="shared" si="3"/>
        <v/>
      </c>
      <c r="N126" s="15"/>
      <c r="O126" s="14" t="str">
        <f t="shared" si="4"/>
        <v/>
      </c>
      <c r="P126" s="13"/>
      <c r="Q126" s="14" t="str">
        <f t="shared" si="5"/>
        <v/>
      </c>
      <c r="R126" s="10"/>
      <c r="S126" s="8"/>
      <c r="T126" s="8"/>
      <c r="U126" s="10"/>
      <c r="V126" s="8"/>
    </row>
    <row r="127" spans="1:22">
      <c r="A127" s="8"/>
      <c r="B127" s="8"/>
      <c r="C127" s="8"/>
      <c r="D127" s="8"/>
      <c r="E127" s="8"/>
      <c r="F127" s="8"/>
      <c r="G127" s="8"/>
      <c r="H127" s="13"/>
      <c r="I127" s="13"/>
      <c r="J127" s="8"/>
      <c r="K127" s="13"/>
      <c r="L127" s="13"/>
      <c r="M127" s="14" t="str">
        <f t="shared" si="3"/>
        <v/>
      </c>
      <c r="N127" s="15"/>
      <c r="O127" s="14" t="str">
        <f t="shared" si="4"/>
        <v/>
      </c>
      <c r="P127" s="13"/>
      <c r="Q127" s="14" t="str">
        <f t="shared" si="5"/>
        <v/>
      </c>
      <c r="R127" s="10"/>
      <c r="S127" s="8"/>
      <c r="T127" s="8"/>
      <c r="U127" s="10"/>
      <c r="V127" s="8"/>
    </row>
    <row r="128" spans="1:22">
      <c r="A128" s="8"/>
      <c r="B128" s="8"/>
      <c r="C128" s="8"/>
      <c r="D128" s="8"/>
      <c r="E128" s="8"/>
      <c r="F128" s="8"/>
      <c r="G128" s="8"/>
      <c r="H128" s="13"/>
      <c r="I128" s="13"/>
      <c r="J128" s="8"/>
      <c r="K128" s="13"/>
      <c r="L128" s="13"/>
      <c r="M128" s="14" t="str">
        <f t="shared" si="3"/>
        <v/>
      </c>
      <c r="N128" s="15"/>
      <c r="O128" s="14" t="str">
        <f t="shared" si="4"/>
        <v/>
      </c>
      <c r="P128" s="13"/>
      <c r="Q128" s="14" t="str">
        <f t="shared" si="5"/>
        <v/>
      </c>
      <c r="R128" s="10"/>
      <c r="S128" s="8"/>
      <c r="T128" s="8"/>
      <c r="U128" s="10"/>
      <c r="V128" s="8"/>
    </row>
    <row r="129" spans="1:22">
      <c r="A129" s="8"/>
      <c r="B129" s="8"/>
      <c r="C129" s="8"/>
      <c r="D129" s="8"/>
      <c r="E129" s="8"/>
      <c r="F129" s="8"/>
      <c r="G129" s="8"/>
      <c r="H129" s="13"/>
      <c r="I129" s="13"/>
      <c r="J129" s="8"/>
      <c r="K129" s="13"/>
      <c r="L129" s="13"/>
      <c r="M129" s="14" t="str">
        <f t="shared" si="3"/>
        <v/>
      </c>
      <c r="N129" s="15"/>
      <c r="O129" s="14" t="str">
        <f t="shared" si="4"/>
        <v/>
      </c>
      <c r="P129" s="13"/>
      <c r="Q129" s="14" t="str">
        <f t="shared" si="5"/>
        <v/>
      </c>
      <c r="R129" s="10"/>
      <c r="S129" s="8"/>
      <c r="T129" s="8"/>
      <c r="U129" s="10"/>
      <c r="V129" s="8"/>
    </row>
    <row r="130" spans="1:22">
      <c r="A130" s="8"/>
      <c r="B130" s="8"/>
      <c r="C130" s="8"/>
      <c r="D130" s="8"/>
      <c r="E130" s="8"/>
      <c r="F130" s="8"/>
      <c r="G130" s="8"/>
      <c r="H130" s="13"/>
      <c r="I130" s="13"/>
      <c r="J130" s="8"/>
      <c r="K130" s="13"/>
      <c r="L130" s="13"/>
      <c r="M130" s="14" t="str">
        <f t="shared" si="3"/>
        <v/>
      </c>
      <c r="N130" s="15"/>
      <c r="O130" s="14" t="str">
        <f t="shared" si="4"/>
        <v/>
      </c>
      <c r="P130" s="13"/>
      <c r="Q130" s="14" t="str">
        <f t="shared" si="5"/>
        <v/>
      </c>
      <c r="R130" s="10"/>
      <c r="S130" s="8"/>
      <c r="T130" s="8"/>
      <c r="U130" s="10"/>
      <c r="V130" s="8"/>
    </row>
    <row r="131" spans="1:22">
      <c r="A131" s="8"/>
      <c r="B131" s="8"/>
      <c r="C131" s="8"/>
      <c r="D131" s="8"/>
      <c r="E131" s="8"/>
      <c r="F131" s="8"/>
      <c r="G131" s="8"/>
      <c r="H131" s="13"/>
      <c r="I131" s="13"/>
      <c r="J131" s="8"/>
      <c r="K131" s="13"/>
      <c r="L131" s="13"/>
      <c r="M131" s="14" t="str">
        <f t="shared" si="3"/>
        <v/>
      </c>
      <c r="N131" s="15"/>
      <c r="O131" s="14" t="str">
        <f t="shared" si="4"/>
        <v/>
      </c>
      <c r="P131" s="13"/>
      <c r="Q131" s="14" t="str">
        <f t="shared" si="5"/>
        <v/>
      </c>
      <c r="R131" s="10"/>
      <c r="S131" s="8"/>
      <c r="T131" s="8"/>
      <c r="U131" s="10"/>
      <c r="V131" s="8"/>
    </row>
    <row r="132" spans="1:22">
      <c r="A132" s="8"/>
      <c r="B132" s="8"/>
      <c r="C132" s="8"/>
      <c r="D132" s="8"/>
      <c r="E132" s="8"/>
      <c r="F132" s="8"/>
      <c r="G132" s="8"/>
      <c r="H132" s="13"/>
      <c r="I132" s="13"/>
      <c r="J132" s="8"/>
      <c r="K132" s="13"/>
      <c r="L132" s="13"/>
      <c r="M132" s="14" t="str">
        <f t="shared" si="3"/>
        <v/>
      </c>
      <c r="N132" s="15"/>
      <c r="O132" s="14" t="str">
        <f t="shared" si="4"/>
        <v/>
      </c>
      <c r="P132" s="13"/>
      <c r="Q132" s="14" t="str">
        <f t="shared" si="5"/>
        <v/>
      </c>
      <c r="R132" s="10"/>
      <c r="S132" s="8"/>
      <c r="T132" s="8"/>
      <c r="U132" s="10"/>
      <c r="V132" s="8"/>
    </row>
    <row r="133" spans="1:22">
      <c r="A133" s="8"/>
      <c r="B133" s="8"/>
      <c r="C133" s="8"/>
      <c r="D133" s="8"/>
      <c r="E133" s="8"/>
      <c r="F133" s="8"/>
      <c r="G133" s="8"/>
      <c r="H133" s="13"/>
      <c r="I133" s="13"/>
      <c r="J133" s="8"/>
      <c r="K133" s="13"/>
      <c r="L133" s="13"/>
      <c r="M133" s="14" t="str">
        <f t="shared" ref="M133:M196" si="6">IF(A133="","",K133*L133)</f>
        <v/>
      </c>
      <c r="N133" s="15"/>
      <c r="O133" s="14" t="str">
        <f t="shared" ref="O133:O196" si="7">IF(A133="","",M133*N133)</f>
        <v/>
      </c>
      <c r="P133" s="13"/>
      <c r="Q133" s="14" t="str">
        <f t="shared" ref="Q133:Q196" si="8">IF(A133="","",MAX(0,M133+O133-P133))</f>
        <v/>
      </c>
      <c r="R133" s="10"/>
      <c r="S133" s="8"/>
      <c r="T133" s="8"/>
      <c r="U133" s="10"/>
      <c r="V133" s="8"/>
    </row>
    <row r="134" spans="1:22">
      <c r="A134" s="8"/>
      <c r="B134" s="8"/>
      <c r="C134" s="8"/>
      <c r="D134" s="8"/>
      <c r="E134" s="8"/>
      <c r="F134" s="8"/>
      <c r="G134" s="8"/>
      <c r="H134" s="13"/>
      <c r="I134" s="13"/>
      <c r="J134" s="8"/>
      <c r="K134" s="13"/>
      <c r="L134" s="13"/>
      <c r="M134" s="14" t="str">
        <f t="shared" si="6"/>
        <v/>
      </c>
      <c r="N134" s="15"/>
      <c r="O134" s="14" t="str">
        <f t="shared" si="7"/>
        <v/>
      </c>
      <c r="P134" s="13"/>
      <c r="Q134" s="14" t="str">
        <f t="shared" si="8"/>
        <v/>
      </c>
      <c r="R134" s="10"/>
      <c r="S134" s="8"/>
      <c r="T134" s="8"/>
      <c r="U134" s="10"/>
      <c r="V134" s="8"/>
    </row>
    <row r="135" spans="1:22">
      <c r="A135" s="8"/>
      <c r="B135" s="8"/>
      <c r="C135" s="8"/>
      <c r="D135" s="8"/>
      <c r="E135" s="8"/>
      <c r="F135" s="8"/>
      <c r="G135" s="8"/>
      <c r="H135" s="13"/>
      <c r="I135" s="13"/>
      <c r="J135" s="8"/>
      <c r="K135" s="13"/>
      <c r="L135" s="13"/>
      <c r="M135" s="14" t="str">
        <f t="shared" si="6"/>
        <v/>
      </c>
      <c r="N135" s="15"/>
      <c r="O135" s="14" t="str">
        <f t="shared" si="7"/>
        <v/>
      </c>
      <c r="P135" s="13"/>
      <c r="Q135" s="14" t="str">
        <f t="shared" si="8"/>
        <v/>
      </c>
      <c r="R135" s="10"/>
      <c r="S135" s="8"/>
      <c r="T135" s="8"/>
      <c r="U135" s="10"/>
      <c r="V135" s="8"/>
    </row>
    <row r="136" spans="1:22">
      <c r="A136" s="8"/>
      <c r="B136" s="8"/>
      <c r="C136" s="8"/>
      <c r="D136" s="8"/>
      <c r="E136" s="8"/>
      <c r="F136" s="8"/>
      <c r="G136" s="8"/>
      <c r="H136" s="13"/>
      <c r="I136" s="13"/>
      <c r="J136" s="8"/>
      <c r="K136" s="13"/>
      <c r="L136" s="13"/>
      <c r="M136" s="14" t="str">
        <f t="shared" si="6"/>
        <v/>
      </c>
      <c r="N136" s="15"/>
      <c r="O136" s="14" t="str">
        <f t="shared" si="7"/>
        <v/>
      </c>
      <c r="P136" s="13"/>
      <c r="Q136" s="14" t="str">
        <f t="shared" si="8"/>
        <v/>
      </c>
      <c r="R136" s="10"/>
      <c r="S136" s="8"/>
      <c r="T136" s="8"/>
      <c r="U136" s="10"/>
      <c r="V136" s="8"/>
    </row>
    <row r="137" spans="1:22">
      <c r="A137" s="8"/>
      <c r="B137" s="8"/>
      <c r="C137" s="8"/>
      <c r="D137" s="8"/>
      <c r="E137" s="8"/>
      <c r="F137" s="8"/>
      <c r="G137" s="8"/>
      <c r="H137" s="13"/>
      <c r="I137" s="13"/>
      <c r="J137" s="8"/>
      <c r="K137" s="13"/>
      <c r="L137" s="13"/>
      <c r="M137" s="14" t="str">
        <f t="shared" si="6"/>
        <v/>
      </c>
      <c r="N137" s="15"/>
      <c r="O137" s="14" t="str">
        <f t="shared" si="7"/>
        <v/>
      </c>
      <c r="P137" s="13"/>
      <c r="Q137" s="14" t="str">
        <f t="shared" si="8"/>
        <v/>
      </c>
      <c r="R137" s="10"/>
      <c r="S137" s="8"/>
      <c r="T137" s="8"/>
      <c r="U137" s="10"/>
      <c r="V137" s="8"/>
    </row>
    <row r="138" spans="1:22">
      <c r="A138" s="8"/>
      <c r="B138" s="8"/>
      <c r="C138" s="8"/>
      <c r="D138" s="8"/>
      <c r="E138" s="8"/>
      <c r="F138" s="8"/>
      <c r="G138" s="8"/>
      <c r="H138" s="13"/>
      <c r="I138" s="13"/>
      <c r="J138" s="8"/>
      <c r="K138" s="13"/>
      <c r="L138" s="13"/>
      <c r="M138" s="14" t="str">
        <f t="shared" si="6"/>
        <v/>
      </c>
      <c r="N138" s="15"/>
      <c r="O138" s="14" t="str">
        <f t="shared" si="7"/>
        <v/>
      </c>
      <c r="P138" s="13"/>
      <c r="Q138" s="14" t="str">
        <f t="shared" si="8"/>
        <v/>
      </c>
      <c r="R138" s="10"/>
      <c r="S138" s="8"/>
      <c r="T138" s="8"/>
      <c r="U138" s="10"/>
      <c r="V138" s="8"/>
    </row>
    <row r="139" spans="1:22">
      <c r="A139" s="8"/>
      <c r="B139" s="8"/>
      <c r="C139" s="8"/>
      <c r="D139" s="8"/>
      <c r="E139" s="8"/>
      <c r="F139" s="8"/>
      <c r="G139" s="8"/>
      <c r="H139" s="13"/>
      <c r="I139" s="13"/>
      <c r="J139" s="8"/>
      <c r="K139" s="13"/>
      <c r="L139" s="13"/>
      <c r="M139" s="14" t="str">
        <f t="shared" si="6"/>
        <v/>
      </c>
      <c r="N139" s="15"/>
      <c r="O139" s="14" t="str">
        <f t="shared" si="7"/>
        <v/>
      </c>
      <c r="P139" s="13"/>
      <c r="Q139" s="14" t="str">
        <f t="shared" si="8"/>
        <v/>
      </c>
      <c r="R139" s="10"/>
      <c r="S139" s="8"/>
      <c r="T139" s="8"/>
      <c r="U139" s="10"/>
      <c r="V139" s="8"/>
    </row>
    <row r="140" spans="1:22">
      <c r="A140" s="8"/>
      <c r="B140" s="8"/>
      <c r="C140" s="8"/>
      <c r="D140" s="8"/>
      <c r="E140" s="8"/>
      <c r="F140" s="8"/>
      <c r="G140" s="8"/>
      <c r="H140" s="13"/>
      <c r="I140" s="13"/>
      <c r="J140" s="8"/>
      <c r="K140" s="13"/>
      <c r="L140" s="13"/>
      <c r="M140" s="14" t="str">
        <f t="shared" si="6"/>
        <v/>
      </c>
      <c r="N140" s="15"/>
      <c r="O140" s="14" t="str">
        <f t="shared" si="7"/>
        <v/>
      </c>
      <c r="P140" s="13"/>
      <c r="Q140" s="14" t="str">
        <f t="shared" si="8"/>
        <v/>
      </c>
      <c r="R140" s="10"/>
      <c r="S140" s="8"/>
      <c r="T140" s="8"/>
      <c r="U140" s="10"/>
      <c r="V140" s="8"/>
    </row>
    <row r="141" spans="1:22">
      <c r="A141" s="8"/>
      <c r="B141" s="8"/>
      <c r="C141" s="8"/>
      <c r="D141" s="8"/>
      <c r="E141" s="8"/>
      <c r="F141" s="8"/>
      <c r="G141" s="8"/>
      <c r="H141" s="13"/>
      <c r="I141" s="13"/>
      <c r="J141" s="8"/>
      <c r="K141" s="13"/>
      <c r="L141" s="13"/>
      <c r="M141" s="14" t="str">
        <f t="shared" si="6"/>
        <v/>
      </c>
      <c r="N141" s="15"/>
      <c r="O141" s="14" t="str">
        <f t="shared" si="7"/>
        <v/>
      </c>
      <c r="P141" s="13"/>
      <c r="Q141" s="14" t="str">
        <f t="shared" si="8"/>
        <v/>
      </c>
      <c r="R141" s="10"/>
      <c r="S141" s="8"/>
      <c r="T141" s="8"/>
      <c r="U141" s="10"/>
      <c r="V141" s="8"/>
    </row>
    <row r="142" spans="1:22">
      <c r="A142" s="8"/>
      <c r="B142" s="8"/>
      <c r="C142" s="8"/>
      <c r="D142" s="8"/>
      <c r="E142" s="8"/>
      <c r="F142" s="8"/>
      <c r="G142" s="8"/>
      <c r="H142" s="13"/>
      <c r="I142" s="13"/>
      <c r="J142" s="8"/>
      <c r="K142" s="13"/>
      <c r="L142" s="13"/>
      <c r="M142" s="14" t="str">
        <f t="shared" si="6"/>
        <v/>
      </c>
      <c r="N142" s="15"/>
      <c r="O142" s="14" t="str">
        <f t="shared" si="7"/>
        <v/>
      </c>
      <c r="P142" s="13"/>
      <c r="Q142" s="14" t="str">
        <f t="shared" si="8"/>
        <v/>
      </c>
      <c r="R142" s="10"/>
      <c r="S142" s="8"/>
      <c r="T142" s="8"/>
      <c r="U142" s="10"/>
      <c r="V142" s="8"/>
    </row>
    <row r="143" spans="1:22">
      <c r="A143" s="8"/>
      <c r="B143" s="8"/>
      <c r="C143" s="8"/>
      <c r="D143" s="8"/>
      <c r="E143" s="8"/>
      <c r="F143" s="8"/>
      <c r="G143" s="8"/>
      <c r="H143" s="13"/>
      <c r="I143" s="13"/>
      <c r="J143" s="8"/>
      <c r="K143" s="13"/>
      <c r="L143" s="13"/>
      <c r="M143" s="14" t="str">
        <f t="shared" si="6"/>
        <v/>
      </c>
      <c r="N143" s="15"/>
      <c r="O143" s="14" t="str">
        <f t="shared" si="7"/>
        <v/>
      </c>
      <c r="P143" s="13"/>
      <c r="Q143" s="14" t="str">
        <f t="shared" si="8"/>
        <v/>
      </c>
      <c r="R143" s="10"/>
      <c r="S143" s="8"/>
      <c r="T143" s="8"/>
      <c r="U143" s="10"/>
      <c r="V143" s="8"/>
    </row>
    <row r="144" spans="1:22">
      <c r="A144" s="8"/>
      <c r="B144" s="8"/>
      <c r="C144" s="8"/>
      <c r="D144" s="8"/>
      <c r="E144" s="8"/>
      <c r="F144" s="8"/>
      <c r="G144" s="8"/>
      <c r="H144" s="13"/>
      <c r="I144" s="13"/>
      <c r="J144" s="8"/>
      <c r="K144" s="13"/>
      <c r="L144" s="13"/>
      <c r="M144" s="14" t="str">
        <f t="shared" si="6"/>
        <v/>
      </c>
      <c r="N144" s="15"/>
      <c r="O144" s="14" t="str">
        <f t="shared" si="7"/>
        <v/>
      </c>
      <c r="P144" s="13"/>
      <c r="Q144" s="14" t="str">
        <f t="shared" si="8"/>
        <v/>
      </c>
      <c r="R144" s="10"/>
      <c r="S144" s="8"/>
      <c r="T144" s="8"/>
      <c r="U144" s="10"/>
      <c r="V144" s="8"/>
    </row>
    <row r="145" spans="1:22">
      <c r="A145" s="8"/>
      <c r="B145" s="8"/>
      <c r="C145" s="8"/>
      <c r="D145" s="8"/>
      <c r="E145" s="8"/>
      <c r="F145" s="8"/>
      <c r="G145" s="8"/>
      <c r="H145" s="13"/>
      <c r="I145" s="13"/>
      <c r="J145" s="8"/>
      <c r="K145" s="13"/>
      <c r="L145" s="13"/>
      <c r="M145" s="14" t="str">
        <f t="shared" si="6"/>
        <v/>
      </c>
      <c r="N145" s="15"/>
      <c r="O145" s="14" t="str">
        <f t="shared" si="7"/>
        <v/>
      </c>
      <c r="P145" s="13"/>
      <c r="Q145" s="14" t="str">
        <f t="shared" si="8"/>
        <v/>
      </c>
      <c r="R145" s="10"/>
      <c r="S145" s="8"/>
      <c r="T145" s="8"/>
      <c r="U145" s="10"/>
      <c r="V145" s="8"/>
    </row>
    <row r="146" spans="1:22">
      <c r="A146" s="8"/>
      <c r="B146" s="8"/>
      <c r="C146" s="8"/>
      <c r="D146" s="8"/>
      <c r="E146" s="8"/>
      <c r="F146" s="8"/>
      <c r="G146" s="8"/>
      <c r="H146" s="13"/>
      <c r="I146" s="13"/>
      <c r="J146" s="8"/>
      <c r="K146" s="13"/>
      <c r="L146" s="13"/>
      <c r="M146" s="14" t="str">
        <f t="shared" si="6"/>
        <v/>
      </c>
      <c r="N146" s="15"/>
      <c r="O146" s="14" t="str">
        <f t="shared" si="7"/>
        <v/>
      </c>
      <c r="P146" s="13"/>
      <c r="Q146" s="14" t="str">
        <f t="shared" si="8"/>
        <v/>
      </c>
      <c r="R146" s="10"/>
      <c r="S146" s="8"/>
      <c r="T146" s="8"/>
      <c r="U146" s="10"/>
      <c r="V146" s="8"/>
    </row>
    <row r="147" spans="1:22">
      <c r="A147" s="8"/>
      <c r="B147" s="8"/>
      <c r="C147" s="8"/>
      <c r="D147" s="8"/>
      <c r="E147" s="8"/>
      <c r="F147" s="8"/>
      <c r="G147" s="8"/>
      <c r="H147" s="13"/>
      <c r="I147" s="13"/>
      <c r="J147" s="8"/>
      <c r="K147" s="13"/>
      <c r="L147" s="13"/>
      <c r="M147" s="14" t="str">
        <f t="shared" si="6"/>
        <v/>
      </c>
      <c r="N147" s="15"/>
      <c r="O147" s="14" t="str">
        <f t="shared" si="7"/>
        <v/>
      </c>
      <c r="P147" s="13"/>
      <c r="Q147" s="14" t="str">
        <f t="shared" si="8"/>
        <v/>
      </c>
      <c r="R147" s="10"/>
      <c r="S147" s="8"/>
      <c r="T147" s="8"/>
      <c r="U147" s="10"/>
      <c r="V147" s="8"/>
    </row>
    <row r="148" spans="1:22">
      <c r="A148" s="8"/>
      <c r="B148" s="8"/>
      <c r="C148" s="8"/>
      <c r="D148" s="8"/>
      <c r="E148" s="8"/>
      <c r="F148" s="8"/>
      <c r="G148" s="8"/>
      <c r="H148" s="13"/>
      <c r="I148" s="13"/>
      <c r="J148" s="8"/>
      <c r="K148" s="13"/>
      <c r="L148" s="13"/>
      <c r="M148" s="14" t="str">
        <f t="shared" si="6"/>
        <v/>
      </c>
      <c r="N148" s="15"/>
      <c r="O148" s="14" t="str">
        <f t="shared" si="7"/>
        <v/>
      </c>
      <c r="P148" s="13"/>
      <c r="Q148" s="14" t="str">
        <f t="shared" si="8"/>
        <v/>
      </c>
      <c r="R148" s="10"/>
      <c r="S148" s="8"/>
      <c r="T148" s="8"/>
      <c r="U148" s="10"/>
      <c r="V148" s="8"/>
    </row>
    <row r="149" spans="1:22">
      <c r="A149" s="8"/>
      <c r="B149" s="8"/>
      <c r="C149" s="8"/>
      <c r="D149" s="8"/>
      <c r="E149" s="8"/>
      <c r="F149" s="8"/>
      <c r="G149" s="8"/>
      <c r="H149" s="13"/>
      <c r="I149" s="13"/>
      <c r="J149" s="8"/>
      <c r="K149" s="13"/>
      <c r="L149" s="13"/>
      <c r="M149" s="14" t="str">
        <f t="shared" si="6"/>
        <v/>
      </c>
      <c r="N149" s="15"/>
      <c r="O149" s="14" t="str">
        <f t="shared" si="7"/>
        <v/>
      </c>
      <c r="P149" s="13"/>
      <c r="Q149" s="14" t="str">
        <f t="shared" si="8"/>
        <v/>
      </c>
      <c r="R149" s="10"/>
      <c r="S149" s="8"/>
      <c r="T149" s="8"/>
      <c r="U149" s="10"/>
      <c r="V149" s="8"/>
    </row>
    <row r="150" spans="1:22">
      <c r="A150" s="8"/>
      <c r="B150" s="8"/>
      <c r="C150" s="8"/>
      <c r="D150" s="8"/>
      <c r="E150" s="8"/>
      <c r="F150" s="8"/>
      <c r="G150" s="8"/>
      <c r="H150" s="13"/>
      <c r="I150" s="13"/>
      <c r="J150" s="8"/>
      <c r="K150" s="13"/>
      <c r="L150" s="13"/>
      <c r="M150" s="14" t="str">
        <f t="shared" si="6"/>
        <v/>
      </c>
      <c r="N150" s="15"/>
      <c r="O150" s="14" t="str">
        <f t="shared" si="7"/>
        <v/>
      </c>
      <c r="P150" s="13"/>
      <c r="Q150" s="14" t="str">
        <f t="shared" si="8"/>
        <v/>
      </c>
      <c r="R150" s="10"/>
      <c r="S150" s="8"/>
      <c r="T150" s="8"/>
      <c r="U150" s="10"/>
      <c r="V150" s="8"/>
    </row>
    <row r="151" spans="1:22">
      <c r="A151" s="8"/>
      <c r="B151" s="8"/>
      <c r="C151" s="8"/>
      <c r="D151" s="8"/>
      <c r="E151" s="8"/>
      <c r="F151" s="8"/>
      <c r="G151" s="8"/>
      <c r="H151" s="13"/>
      <c r="I151" s="13"/>
      <c r="J151" s="8"/>
      <c r="K151" s="13"/>
      <c r="L151" s="13"/>
      <c r="M151" s="14" t="str">
        <f t="shared" si="6"/>
        <v/>
      </c>
      <c r="N151" s="15"/>
      <c r="O151" s="14" t="str">
        <f t="shared" si="7"/>
        <v/>
      </c>
      <c r="P151" s="13"/>
      <c r="Q151" s="14" t="str">
        <f t="shared" si="8"/>
        <v/>
      </c>
      <c r="R151" s="10"/>
      <c r="S151" s="8"/>
      <c r="T151" s="8"/>
      <c r="U151" s="10"/>
      <c r="V151" s="8"/>
    </row>
    <row r="152" spans="1:22">
      <c r="A152" s="8"/>
      <c r="B152" s="8"/>
      <c r="C152" s="8"/>
      <c r="D152" s="8"/>
      <c r="E152" s="8"/>
      <c r="F152" s="8"/>
      <c r="G152" s="8"/>
      <c r="H152" s="13"/>
      <c r="I152" s="13"/>
      <c r="J152" s="8"/>
      <c r="K152" s="13"/>
      <c r="L152" s="13"/>
      <c r="M152" s="14" t="str">
        <f t="shared" si="6"/>
        <v/>
      </c>
      <c r="N152" s="15"/>
      <c r="O152" s="14" t="str">
        <f t="shared" si="7"/>
        <v/>
      </c>
      <c r="P152" s="13"/>
      <c r="Q152" s="14" t="str">
        <f t="shared" si="8"/>
        <v/>
      </c>
      <c r="R152" s="10"/>
      <c r="S152" s="8"/>
      <c r="T152" s="8"/>
      <c r="U152" s="10"/>
      <c r="V152" s="8"/>
    </row>
    <row r="153" spans="1:22">
      <c r="A153" s="8"/>
      <c r="B153" s="8"/>
      <c r="C153" s="8"/>
      <c r="D153" s="8"/>
      <c r="E153" s="8"/>
      <c r="F153" s="8"/>
      <c r="G153" s="8"/>
      <c r="H153" s="13"/>
      <c r="I153" s="13"/>
      <c r="J153" s="8"/>
      <c r="K153" s="13"/>
      <c r="L153" s="13"/>
      <c r="M153" s="14" t="str">
        <f t="shared" si="6"/>
        <v/>
      </c>
      <c r="N153" s="15"/>
      <c r="O153" s="14" t="str">
        <f t="shared" si="7"/>
        <v/>
      </c>
      <c r="P153" s="13"/>
      <c r="Q153" s="14" t="str">
        <f t="shared" si="8"/>
        <v/>
      </c>
      <c r="R153" s="10"/>
      <c r="S153" s="8"/>
      <c r="T153" s="8"/>
      <c r="U153" s="10"/>
      <c r="V153" s="8"/>
    </row>
    <row r="154" spans="1:22">
      <c r="A154" s="8"/>
      <c r="B154" s="8"/>
      <c r="C154" s="8"/>
      <c r="D154" s="8"/>
      <c r="E154" s="8"/>
      <c r="F154" s="8"/>
      <c r="G154" s="8"/>
      <c r="H154" s="13"/>
      <c r="I154" s="13"/>
      <c r="J154" s="8"/>
      <c r="K154" s="13"/>
      <c r="L154" s="13"/>
      <c r="M154" s="14" t="str">
        <f t="shared" si="6"/>
        <v/>
      </c>
      <c r="N154" s="15"/>
      <c r="O154" s="14" t="str">
        <f t="shared" si="7"/>
        <v/>
      </c>
      <c r="P154" s="13"/>
      <c r="Q154" s="14" t="str">
        <f t="shared" si="8"/>
        <v/>
      </c>
      <c r="R154" s="10"/>
      <c r="S154" s="8"/>
      <c r="T154" s="8"/>
      <c r="U154" s="10"/>
      <c r="V154" s="8"/>
    </row>
    <row r="155" spans="1:22">
      <c r="A155" s="8"/>
      <c r="B155" s="8"/>
      <c r="C155" s="8"/>
      <c r="D155" s="8"/>
      <c r="E155" s="8"/>
      <c r="F155" s="8"/>
      <c r="G155" s="8"/>
      <c r="H155" s="13"/>
      <c r="I155" s="13"/>
      <c r="J155" s="8"/>
      <c r="K155" s="13"/>
      <c r="L155" s="13"/>
      <c r="M155" s="14" t="str">
        <f t="shared" si="6"/>
        <v/>
      </c>
      <c r="N155" s="15"/>
      <c r="O155" s="14" t="str">
        <f t="shared" si="7"/>
        <v/>
      </c>
      <c r="P155" s="13"/>
      <c r="Q155" s="14" t="str">
        <f t="shared" si="8"/>
        <v/>
      </c>
      <c r="R155" s="10"/>
      <c r="S155" s="8"/>
      <c r="T155" s="8"/>
      <c r="U155" s="10"/>
      <c r="V155" s="8"/>
    </row>
    <row r="156" spans="1:22">
      <c r="A156" s="8"/>
      <c r="B156" s="8"/>
      <c r="C156" s="8"/>
      <c r="D156" s="8"/>
      <c r="E156" s="8"/>
      <c r="F156" s="8"/>
      <c r="G156" s="8"/>
      <c r="H156" s="13"/>
      <c r="I156" s="13"/>
      <c r="J156" s="8"/>
      <c r="K156" s="13"/>
      <c r="L156" s="13"/>
      <c r="M156" s="14" t="str">
        <f t="shared" si="6"/>
        <v/>
      </c>
      <c r="N156" s="15"/>
      <c r="O156" s="14" t="str">
        <f t="shared" si="7"/>
        <v/>
      </c>
      <c r="P156" s="13"/>
      <c r="Q156" s="14" t="str">
        <f t="shared" si="8"/>
        <v/>
      </c>
      <c r="R156" s="10"/>
      <c r="S156" s="8"/>
      <c r="T156" s="8"/>
      <c r="U156" s="10"/>
      <c r="V156" s="8"/>
    </row>
    <row r="157" spans="1:22">
      <c r="A157" s="8"/>
      <c r="B157" s="8"/>
      <c r="C157" s="8"/>
      <c r="D157" s="8"/>
      <c r="E157" s="8"/>
      <c r="F157" s="8"/>
      <c r="G157" s="8"/>
      <c r="H157" s="13"/>
      <c r="I157" s="13"/>
      <c r="J157" s="8"/>
      <c r="K157" s="13"/>
      <c r="L157" s="13"/>
      <c r="M157" s="14" t="str">
        <f t="shared" si="6"/>
        <v/>
      </c>
      <c r="N157" s="15"/>
      <c r="O157" s="14" t="str">
        <f t="shared" si="7"/>
        <v/>
      </c>
      <c r="P157" s="13"/>
      <c r="Q157" s="14" t="str">
        <f t="shared" si="8"/>
        <v/>
      </c>
      <c r="R157" s="10"/>
      <c r="S157" s="8"/>
      <c r="T157" s="8"/>
      <c r="U157" s="10"/>
      <c r="V157" s="8"/>
    </row>
    <row r="158" spans="1:22">
      <c r="A158" s="8"/>
      <c r="B158" s="8"/>
      <c r="C158" s="8"/>
      <c r="D158" s="8"/>
      <c r="E158" s="8"/>
      <c r="F158" s="8"/>
      <c r="G158" s="8"/>
      <c r="H158" s="13"/>
      <c r="I158" s="13"/>
      <c r="J158" s="8"/>
      <c r="K158" s="13"/>
      <c r="L158" s="13"/>
      <c r="M158" s="14" t="str">
        <f t="shared" si="6"/>
        <v/>
      </c>
      <c r="N158" s="15"/>
      <c r="O158" s="14" t="str">
        <f t="shared" si="7"/>
        <v/>
      </c>
      <c r="P158" s="13"/>
      <c r="Q158" s="14" t="str">
        <f t="shared" si="8"/>
        <v/>
      </c>
      <c r="R158" s="10"/>
      <c r="S158" s="8"/>
      <c r="T158" s="8"/>
      <c r="U158" s="10"/>
      <c r="V158" s="8"/>
    </row>
    <row r="159" spans="1:22">
      <c r="A159" s="8"/>
      <c r="B159" s="8"/>
      <c r="C159" s="8"/>
      <c r="D159" s="8"/>
      <c r="E159" s="8"/>
      <c r="F159" s="8"/>
      <c r="G159" s="8"/>
      <c r="H159" s="13"/>
      <c r="I159" s="13"/>
      <c r="J159" s="8"/>
      <c r="K159" s="13"/>
      <c r="L159" s="13"/>
      <c r="M159" s="14" t="str">
        <f t="shared" si="6"/>
        <v/>
      </c>
      <c r="N159" s="15"/>
      <c r="O159" s="14" t="str">
        <f t="shared" si="7"/>
        <v/>
      </c>
      <c r="P159" s="13"/>
      <c r="Q159" s="14" t="str">
        <f t="shared" si="8"/>
        <v/>
      </c>
      <c r="R159" s="10"/>
      <c r="S159" s="8"/>
      <c r="T159" s="8"/>
      <c r="U159" s="10"/>
      <c r="V159" s="8"/>
    </row>
    <row r="160" spans="1:22">
      <c r="A160" s="8"/>
      <c r="B160" s="8"/>
      <c r="C160" s="8"/>
      <c r="D160" s="8"/>
      <c r="E160" s="8"/>
      <c r="F160" s="8"/>
      <c r="G160" s="8"/>
      <c r="H160" s="13"/>
      <c r="I160" s="13"/>
      <c r="J160" s="8"/>
      <c r="K160" s="13"/>
      <c r="L160" s="13"/>
      <c r="M160" s="14" t="str">
        <f t="shared" si="6"/>
        <v/>
      </c>
      <c r="N160" s="15"/>
      <c r="O160" s="14" t="str">
        <f t="shared" si="7"/>
        <v/>
      </c>
      <c r="P160" s="13"/>
      <c r="Q160" s="14" t="str">
        <f t="shared" si="8"/>
        <v/>
      </c>
      <c r="R160" s="10"/>
      <c r="S160" s="8"/>
      <c r="T160" s="8"/>
      <c r="U160" s="10"/>
      <c r="V160" s="8"/>
    </row>
    <row r="161" spans="1:22">
      <c r="A161" s="8"/>
      <c r="B161" s="8"/>
      <c r="C161" s="8"/>
      <c r="D161" s="8"/>
      <c r="E161" s="8"/>
      <c r="F161" s="8"/>
      <c r="G161" s="8"/>
      <c r="H161" s="13"/>
      <c r="I161" s="13"/>
      <c r="J161" s="8"/>
      <c r="K161" s="13"/>
      <c r="L161" s="13"/>
      <c r="M161" s="14" t="str">
        <f t="shared" si="6"/>
        <v/>
      </c>
      <c r="N161" s="15"/>
      <c r="O161" s="14" t="str">
        <f t="shared" si="7"/>
        <v/>
      </c>
      <c r="P161" s="13"/>
      <c r="Q161" s="14" t="str">
        <f t="shared" si="8"/>
        <v/>
      </c>
      <c r="R161" s="10"/>
      <c r="S161" s="8"/>
      <c r="T161" s="8"/>
      <c r="U161" s="10"/>
      <c r="V161" s="8"/>
    </row>
    <row r="162" spans="1:22">
      <c r="A162" s="8"/>
      <c r="B162" s="8"/>
      <c r="C162" s="8"/>
      <c r="D162" s="8"/>
      <c r="E162" s="8"/>
      <c r="F162" s="8"/>
      <c r="G162" s="8"/>
      <c r="H162" s="13"/>
      <c r="I162" s="13"/>
      <c r="J162" s="8"/>
      <c r="K162" s="13"/>
      <c r="L162" s="13"/>
      <c r="M162" s="14" t="str">
        <f t="shared" si="6"/>
        <v/>
      </c>
      <c r="N162" s="15"/>
      <c r="O162" s="14" t="str">
        <f t="shared" si="7"/>
        <v/>
      </c>
      <c r="P162" s="13"/>
      <c r="Q162" s="14" t="str">
        <f t="shared" si="8"/>
        <v/>
      </c>
      <c r="R162" s="10"/>
      <c r="S162" s="8"/>
      <c r="T162" s="8"/>
      <c r="U162" s="10"/>
      <c r="V162" s="8"/>
    </row>
    <row r="163" spans="1:22">
      <c r="A163" s="8"/>
      <c r="B163" s="8"/>
      <c r="C163" s="8"/>
      <c r="D163" s="8"/>
      <c r="E163" s="8"/>
      <c r="F163" s="8"/>
      <c r="G163" s="8"/>
      <c r="H163" s="13"/>
      <c r="I163" s="13"/>
      <c r="J163" s="8"/>
      <c r="K163" s="13"/>
      <c r="L163" s="13"/>
      <c r="M163" s="14" t="str">
        <f t="shared" si="6"/>
        <v/>
      </c>
      <c r="N163" s="15"/>
      <c r="O163" s="14" t="str">
        <f t="shared" si="7"/>
        <v/>
      </c>
      <c r="P163" s="13"/>
      <c r="Q163" s="14" t="str">
        <f t="shared" si="8"/>
        <v/>
      </c>
      <c r="R163" s="10"/>
      <c r="S163" s="8"/>
      <c r="T163" s="8"/>
      <c r="U163" s="10"/>
      <c r="V163" s="8"/>
    </row>
    <row r="164" spans="1:22">
      <c r="A164" s="8"/>
      <c r="B164" s="8"/>
      <c r="C164" s="8"/>
      <c r="D164" s="8"/>
      <c r="E164" s="8"/>
      <c r="F164" s="8"/>
      <c r="G164" s="8"/>
      <c r="H164" s="13"/>
      <c r="I164" s="13"/>
      <c r="J164" s="8"/>
      <c r="K164" s="13"/>
      <c r="L164" s="13"/>
      <c r="M164" s="14" t="str">
        <f t="shared" si="6"/>
        <v/>
      </c>
      <c r="N164" s="15"/>
      <c r="O164" s="14" t="str">
        <f t="shared" si="7"/>
        <v/>
      </c>
      <c r="P164" s="13"/>
      <c r="Q164" s="14" t="str">
        <f t="shared" si="8"/>
        <v/>
      </c>
      <c r="R164" s="10"/>
      <c r="S164" s="8"/>
      <c r="T164" s="8"/>
      <c r="U164" s="10"/>
      <c r="V164" s="8"/>
    </row>
    <row r="165" spans="1:22">
      <c r="A165" s="8"/>
      <c r="B165" s="8"/>
      <c r="C165" s="8"/>
      <c r="D165" s="8"/>
      <c r="E165" s="8"/>
      <c r="F165" s="8"/>
      <c r="G165" s="8"/>
      <c r="H165" s="13"/>
      <c r="I165" s="13"/>
      <c r="J165" s="8"/>
      <c r="K165" s="13"/>
      <c r="L165" s="13"/>
      <c r="M165" s="14" t="str">
        <f t="shared" si="6"/>
        <v/>
      </c>
      <c r="N165" s="15"/>
      <c r="O165" s="14" t="str">
        <f t="shared" si="7"/>
        <v/>
      </c>
      <c r="P165" s="13"/>
      <c r="Q165" s="14" t="str">
        <f t="shared" si="8"/>
        <v/>
      </c>
      <c r="R165" s="10"/>
      <c r="S165" s="8"/>
      <c r="T165" s="8"/>
      <c r="U165" s="10"/>
      <c r="V165" s="8"/>
    </row>
    <row r="166" spans="1:22">
      <c r="A166" s="8"/>
      <c r="B166" s="8"/>
      <c r="C166" s="8"/>
      <c r="D166" s="8"/>
      <c r="E166" s="8"/>
      <c r="F166" s="8"/>
      <c r="G166" s="8"/>
      <c r="H166" s="13"/>
      <c r="I166" s="13"/>
      <c r="J166" s="8"/>
      <c r="K166" s="13"/>
      <c r="L166" s="13"/>
      <c r="M166" s="14" t="str">
        <f t="shared" si="6"/>
        <v/>
      </c>
      <c r="N166" s="15"/>
      <c r="O166" s="14" t="str">
        <f t="shared" si="7"/>
        <v/>
      </c>
      <c r="P166" s="13"/>
      <c r="Q166" s="14" t="str">
        <f t="shared" si="8"/>
        <v/>
      </c>
      <c r="R166" s="10"/>
      <c r="S166" s="8"/>
      <c r="T166" s="8"/>
      <c r="U166" s="10"/>
      <c r="V166" s="8"/>
    </row>
    <row r="167" spans="1:22">
      <c r="A167" s="8"/>
      <c r="B167" s="8"/>
      <c r="C167" s="8"/>
      <c r="D167" s="8"/>
      <c r="E167" s="8"/>
      <c r="F167" s="8"/>
      <c r="G167" s="8"/>
      <c r="H167" s="13"/>
      <c r="I167" s="13"/>
      <c r="J167" s="8"/>
      <c r="K167" s="13"/>
      <c r="L167" s="13"/>
      <c r="M167" s="14" t="str">
        <f t="shared" si="6"/>
        <v/>
      </c>
      <c r="N167" s="15"/>
      <c r="O167" s="14" t="str">
        <f t="shared" si="7"/>
        <v/>
      </c>
      <c r="P167" s="13"/>
      <c r="Q167" s="14" t="str">
        <f t="shared" si="8"/>
        <v/>
      </c>
      <c r="R167" s="10"/>
      <c r="S167" s="8"/>
      <c r="T167" s="8"/>
      <c r="U167" s="10"/>
      <c r="V167" s="8"/>
    </row>
    <row r="168" spans="1:22">
      <c r="A168" s="8"/>
      <c r="B168" s="8"/>
      <c r="C168" s="8"/>
      <c r="D168" s="8"/>
      <c r="E168" s="8"/>
      <c r="F168" s="8"/>
      <c r="G168" s="8"/>
      <c r="H168" s="13"/>
      <c r="I168" s="13"/>
      <c r="J168" s="8"/>
      <c r="K168" s="13"/>
      <c r="L168" s="13"/>
      <c r="M168" s="14" t="str">
        <f t="shared" si="6"/>
        <v/>
      </c>
      <c r="N168" s="15"/>
      <c r="O168" s="14" t="str">
        <f t="shared" si="7"/>
        <v/>
      </c>
      <c r="P168" s="13"/>
      <c r="Q168" s="14" t="str">
        <f t="shared" si="8"/>
        <v/>
      </c>
      <c r="R168" s="10"/>
      <c r="S168" s="8"/>
      <c r="T168" s="8"/>
      <c r="U168" s="10"/>
      <c r="V168" s="8"/>
    </row>
    <row r="169" spans="1:22">
      <c r="A169" s="8"/>
      <c r="B169" s="8"/>
      <c r="C169" s="8"/>
      <c r="D169" s="8"/>
      <c r="E169" s="8"/>
      <c r="F169" s="8"/>
      <c r="G169" s="8"/>
      <c r="H169" s="13"/>
      <c r="I169" s="13"/>
      <c r="J169" s="8"/>
      <c r="K169" s="13"/>
      <c r="L169" s="13"/>
      <c r="M169" s="14" t="str">
        <f t="shared" si="6"/>
        <v/>
      </c>
      <c r="N169" s="15"/>
      <c r="O169" s="14" t="str">
        <f t="shared" si="7"/>
        <v/>
      </c>
      <c r="P169" s="13"/>
      <c r="Q169" s="14" t="str">
        <f t="shared" si="8"/>
        <v/>
      </c>
      <c r="R169" s="10"/>
      <c r="S169" s="8"/>
      <c r="T169" s="8"/>
      <c r="U169" s="10"/>
      <c r="V169" s="8"/>
    </row>
    <row r="170" spans="1:22">
      <c r="A170" s="8"/>
      <c r="B170" s="8"/>
      <c r="C170" s="8"/>
      <c r="D170" s="8"/>
      <c r="E170" s="8"/>
      <c r="F170" s="8"/>
      <c r="G170" s="8"/>
      <c r="H170" s="13"/>
      <c r="I170" s="13"/>
      <c r="J170" s="8"/>
      <c r="K170" s="13"/>
      <c r="L170" s="13"/>
      <c r="M170" s="14" t="str">
        <f t="shared" si="6"/>
        <v/>
      </c>
      <c r="N170" s="15"/>
      <c r="O170" s="14" t="str">
        <f t="shared" si="7"/>
        <v/>
      </c>
      <c r="P170" s="13"/>
      <c r="Q170" s="14" t="str">
        <f t="shared" si="8"/>
        <v/>
      </c>
      <c r="R170" s="10"/>
      <c r="S170" s="8"/>
      <c r="T170" s="8"/>
      <c r="U170" s="10"/>
      <c r="V170" s="8"/>
    </row>
    <row r="171" spans="1:22">
      <c r="A171" s="8"/>
      <c r="B171" s="8"/>
      <c r="C171" s="8"/>
      <c r="D171" s="8"/>
      <c r="E171" s="8"/>
      <c r="F171" s="8"/>
      <c r="G171" s="8"/>
      <c r="H171" s="13"/>
      <c r="I171" s="13"/>
      <c r="J171" s="8"/>
      <c r="K171" s="13"/>
      <c r="L171" s="13"/>
      <c r="M171" s="14" t="str">
        <f t="shared" si="6"/>
        <v/>
      </c>
      <c r="N171" s="15"/>
      <c r="O171" s="14" t="str">
        <f t="shared" si="7"/>
        <v/>
      </c>
      <c r="P171" s="13"/>
      <c r="Q171" s="14" t="str">
        <f t="shared" si="8"/>
        <v/>
      </c>
      <c r="R171" s="10"/>
      <c r="S171" s="8"/>
      <c r="T171" s="8"/>
      <c r="U171" s="10"/>
      <c r="V171" s="8"/>
    </row>
    <row r="172" spans="1:22">
      <c r="A172" s="8"/>
      <c r="B172" s="8"/>
      <c r="C172" s="8"/>
      <c r="D172" s="8"/>
      <c r="E172" s="8"/>
      <c r="F172" s="8"/>
      <c r="G172" s="8"/>
      <c r="H172" s="13"/>
      <c r="I172" s="13"/>
      <c r="J172" s="8"/>
      <c r="K172" s="13"/>
      <c r="L172" s="13"/>
      <c r="M172" s="14" t="str">
        <f t="shared" si="6"/>
        <v/>
      </c>
      <c r="N172" s="15"/>
      <c r="O172" s="14" t="str">
        <f t="shared" si="7"/>
        <v/>
      </c>
      <c r="P172" s="13"/>
      <c r="Q172" s="14" t="str">
        <f t="shared" si="8"/>
        <v/>
      </c>
      <c r="R172" s="10"/>
      <c r="S172" s="8"/>
      <c r="T172" s="8"/>
      <c r="U172" s="10"/>
      <c r="V172" s="8"/>
    </row>
    <row r="173" spans="1:22">
      <c r="A173" s="8"/>
      <c r="B173" s="8"/>
      <c r="C173" s="8"/>
      <c r="D173" s="8"/>
      <c r="E173" s="8"/>
      <c r="F173" s="8"/>
      <c r="G173" s="8"/>
      <c r="H173" s="13"/>
      <c r="I173" s="13"/>
      <c r="J173" s="8"/>
      <c r="K173" s="13"/>
      <c r="L173" s="13"/>
      <c r="M173" s="14" t="str">
        <f t="shared" si="6"/>
        <v/>
      </c>
      <c r="N173" s="15"/>
      <c r="O173" s="14" t="str">
        <f t="shared" si="7"/>
        <v/>
      </c>
      <c r="P173" s="13"/>
      <c r="Q173" s="14" t="str">
        <f t="shared" si="8"/>
        <v/>
      </c>
      <c r="R173" s="10"/>
      <c r="S173" s="8"/>
      <c r="T173" s="8"/>
      <c r="U173" s="10"/>
      <c r="V173" s="8"/>
    </row>
    <row r="174" spans="1:22">
      <c r="A174" s="8"/>
      <c r="B174" s="8"/>
      <c r="C174" s="8"/>
      <c r="D174" s="8"/>
      <c r="E174" s="8"/>
      <c r="F174" s="8"/>
      <c r="G174" s="8"/>
      <c r="H174" s="13"/>
      <c r="I174" s="13"/>
      <c r="J174" s="8"/>
      <c r="K174" s="13"/>
      <c r="L174" s="13"/>
      <c r="M174" s="14" t="str">
        <f t="shared" si="6"/>
        <v/>
      </c>
      <c r="N174" s="15"/>
      <c r="O174" s="14" t="str">
        <f t="shared" si="7"/>
        <v/>
      </c>
      <c r="P174" s="13"/>
      <c r="Q174" s="14" t="str">
        <f t="shared" si="8"/>
        <v/>
      </c>
      <c r="R174" s="10"/>
      <c r="S174" s="8"/>
      <c r="T174" s="8"/>
      <c r="U174" s="10"/>
      <c r="V174" s="8"/>
    </row>
    <row r="175" spans="1:22">
      <c r="A175" s="8"/>
      <c r="B175" s="8"/>
      <c r="C175" s="8"/>
      <c r="D175" s="8"/>
      <c r="E175" s="8"/>
      <c r="F175" s="8"/>
      <c r="G175" s="8"/>
      <c r="H175" s="13"/>
      <c r="I175" s="13"/>
      <c r="J175" s="8"/>
      <c r="K175" s="13"/>
      <c r="L175" s="13"/>
      <c r="M175" s="14" t="str">
        <f t="shared" si="6"/>
        <v/>
      </c>
      <c r="N175" s="15"/>
      <c r="O175" s="14" t="str">
        <f t="shared" si="7"/>
        <v/>
      </c>
      <c r="P175" s="13"/>
      <c r="Q175" s="14" t="str">
        <f t="shared" si="8"/>
        <v/>
      </c>
      <c r="R175" s="10"/>
      <c r="S175" s="8"/>
      <c r="T175" s="8"/>
      <c r="U175" s="10"/>
      <c r="V175" s="8"/>
    </row>
    <row r="176" spans="1:22">
      <c r="A176" s="8"/>
      <c r="B176" s="8"/>
      <c r="C176" s="8"/>
      <c r="D176" s="8"/>
      <c r="E176" s="8"/>
      <c r="F176" s="8"/>
      <c r="G176" s="8"/>
      <c r="H176" s="13"/>
      <c r="I176" s="13"/>
      <c r="J176" s="8"/>
      <c r="K176" s="13"/>
      <c r="L176" s="13"/>
      <c r="M176" s="14" t="str">
        <f t="shared" si="6"/>
        <v/>
      </c>
      <c r="N176" s="15"/>
      <c r="O176" s="14" t="str">
        <f t="shared" si="7"/>
        <v/>
      </c>
      <c r="P176" s="13"/>
      <c r="Q176" s="14" t="str">
        <f t="shared" si="8"/>
        <v/>
      </c>
      <c r="R176" s="10"/>
      <c r="S176" s="8"/>
      <c r="T176" s="8"/>
      <c r="U176" s="10"/>
      <c r="V176" s="8"/>
    </row>
    <row r="177" spans="1:22">
      <c r="A177" s="8"/>
      <c r="B177" s="8"/>
      <c r="C177" s="8"/>
      <c r="D177" s="8"/>
      <c r="E177" s="8"/>
      <c r="F177" s="8"/>
      <c r="G177" s="8"/>
      <c r="H177" s="13"/>
      <c r="I177" s="13"/>
      <c r="J177" s="8"/>
      <c r="K177" s="13"/>
      <c r="L177" s="13"/>
      <c r="M177" s="14" t="str">
        <f t="shared" si="6"/>
        <v/>
      </c>
      <c r="N177" s="15"/>
      <c r="O177" s="14" t="str">
        <f t="shared" si="7"/>
        <v/>
      </c>
      <c r="P177" s="13"/>
      <c r="Q177" s="14" t="str">
        <f t="shared" si="8"/>
        <v/>
      </c>
      <c r="R177" s="10"/>
      <c r="S177" s="8"/>
      <c r="T177" s="8"/>
      <c r="U177" s="10"/>
      <c r="V177" s="8"/>
    </row>
    <row r="178" spans="1:22">
      <c r="A178" s="8"/>
      <c r="B178" s="8"/>
      <c r="C178" s="8"/>
      <c r="D178" s="8"/>
      <c r="E178" s="8"/>
      <c r="F178" s="8"/>
      <c r="G178" s="8"/>
      <c r="H178" s="13"/>
      <c r="I178" s="13"/>
      <c r="J178" s="8"/>
      <c r="K178" s="13"/>
      <c r="L178" s="13"/>
      <c r="M178" s="14" t="str">
        <f t="shared" si="6"/>
        <v/>
      </c>
      <c r="N178" s="15"/>
      <c r="O178" s="14" t="str">
        <f t="shared" si="7"/>
        <v/>
      </c>
      <c r="P178" s="13"/>
      <c r="Q178" s="14" t="str">
        <f t="shared" si="8"/>
        <v/>
      </c>
      <c r="R178" s="10"/>
      <c r="S178" s="8"/>
      <c r="T178" s="8"/>
      <c r="U178" s="10"/>
      <c r="V178" s="8"/>
    </row>
    <row r="179" spans="1:22">
      <c r="A179" s="8"/>
      <c r="B179" s="8"/>
      <c r="C179" s="8"/>
      <c r="D179" s="8"/>
      <c r="E179" s="8"/>
      <c r="F179" s="8"/>
      <c r="G179" s="8"/>
      <c r="H179" s="13"/>
      <c r="I179" s="13"/>
      <c r="J179" s="8"/>
      <c r="K179" s="13"/>
      <c r="L179" s="13"/>
      <c r="M179" s="14" t="str">
        <f t="shared" si="6"/>
        <v/>
      </c>
      <c r="N179" s="15"/>
      <c r="O179" s="14" t="str">
        <f t="shared" si="7"/>
        <v/>
      </c>
      <c r="P179" s="13"/>
      <c r="Q179" s="14" t="str">
        <f t="shared" si="8"/>
        <v/>
      </c>
      <c r="R179" s="10"/>
      <c r="S179" s="8"/>
      <c r="T179" s="8"/>
      <c r="U179" s="10"/>
      <c r="V179" s="8"/>
    </row>
    <row r="180" spans="1:22">
      <c r="A180" s="8"/>
      <c r="B180" s="8"/>
      <c r="C180" s="8"/>
      <c r="D180" s="8"/>
      <c r="E180" s="8"/>
      <c r="F180" s="8"/>
      <c r="G180" s="8"/>
      <c r="H180" s="13"/>
      <c r="I180" s="13"/>
      <c r="J180" s="8"/>
      <c r="K180" s="13"/>
      <c r="L180" s="13"/>
      <c r="M180" s="14" t="str">
        <f t="shared" si="6"/>
        <v/>
      </c>
      <c r="N180" s="15"/>
      <c r="O180" s="14" t="str">
        <f t="shared" si="7"/>
        <v/>
      </c>
      <c r="P180" s="13"/>
      <c r="Q180" s="14" t="str">
        <f t="shared" si="8"/>
        <v/>
      </c>
      <c r="R180" s="10"/>
      <c r="S180" s="8"/>
      <c r="T180" s="8"/>
      <c r="U180" s="10"/>
      <c r="V180" s="8"/>
    </row>
    <row r="181" spans="1:22">
      <c r="A181" s="8"/>
      <c r="B181" s="8"/>
      <c r="C181" s="8"/>
      <c r="D181" s="8"/>
      <c r="E181" s="8"/>
      <c r="F181" s="8"/>
      <c r="G181" s="8"/>
      <c r="H181" s="13"/>
      <c r="I181" s="13"/>
      <c r="J181" s="8"/>
      <c r="K181" s="13"/>
      <c r="L181" s="13"/>
      <c r="M181" s="14" t="str">
        <f t="shared" si="6"/>
        <v/>
      </c>
      <c r="N181" s="15"/>
      <c r="O181" s="14" t="str">
        <f t="shared" si="7"/>
        <v/>
      </c>
      <c r="P181" s="13"/>
      <c r="Q181" s="14" t="str">
        <f t="shared" si="8"/>
        <v/>
      </c>
      <c r="R181" s="10"/>
      <c r="S181" s="8"/>
      <c r="T181" s="8"/>
      <c r="U181" s="10"/>
      <c r="V181" s="8"/>
    </row>
    <row r="182" spans="1:22">
      <c r="A182" s="8"/>
      <c r="B182" s="8"/>
      <c r="C182" s="8"/>
      <c r="D182" s="8"/>
      <c r="E182" s="8"/>
      <c r="F182" s="8"/>
      <c r="G182" s="8"/>
      <c r="H182" s="13"/>
      <c r="I182" s="13"/>
      <c r="J182" s="8"/>
      <c r="K182" s="13"/>
      <c r="L182" s="13"/>
      <c r="M182" s="14" t="str">
        <f t="shared" si="6"/>
        <v/>
      </c>
      <c r="N182" s="15"/>
      <c r="O182" s="14" t="str">
        <f t="shared" si="7"/>
        <v/>
      </c>
      <c r="P182" s="13"/>
      <c r="Q182" s="14" t="str">
        <f t="shared" si="8"/>
        <v/>
      </c>
      <c r="R182" s="10"/>
      <c r="S182" s="8"/>
      <c r="T182" s="8"/>
      <c r="U182" s="10"/>
      <c r="V182" s="8"/>
    </row>
    <row r="183" spans="1:22">
      <c r="A183" s="8"/>
      <c r="B183" s="8"/>
      <c r="C183" s="8"/>
      <c r="D183" s="8"/>
      <c r="E183" s="8"/>
      <c r="F183" s="8"/>
      <c r="G183" s="8"/>
      <c r="H183" s="13"/>
      <c r="I183" s="13"/>
      <c r="J183" s="8"/>
      <c r="K183" s="13"/>
      <c r="L183" s="13"/>
      <c r="M183" s="14" t="str">
        <f t="shared" si="6"/>
        <v/>
      </c>
      <c r="N183" s="15"/>
      <c r="O183" s="14" t="str">
        <f t="shared" si="7"/>
        <v/>
      </c>
      <c r="P183" s="13"/>
      <c r="Q183" s="14" t="str">
        <f t="shared" si="8"/>
        <v/>
      </c>
      <c r="R183" s="10"/>
      <c r="S183" s="8"/>
      <c r="T183" s="8"/>
      <c r="U183" s="10"/>
      <c r="V183" s="8"/>
    </row>
    <row r="184" spans="1:22">
      <c r="A184" s="8"/>
      <c r="B184" s="8"/>
      <c r="C184" s="8"/>
      <c r="D184" s="8"/>
      <c r="E184" s="8"/>
      <c r="F184" s="8"/>
      <c r="G184" s="8"/>
      <c r="H184" s="13"/>
      <c r="I184" s="13"/>
      <c r="J184" s="8"/>
      <c r="K184" s="13"/>
      <c r="L184" s="13"/>
      <c r="M184" s="14" t="str">
        <f t="shared" si="6"/>
        <v/>
      </c>
      <c r="N184" s="15"/>
      <c r="O184" s="14" t="str">
        <f t="shared" si="7"/>
        <v/>
      </c>
      <c r="P184" s="13"/>
      <c r="Q184" s="14" t="str">
        <f t="shared" si="8"/>
        <v/>
      </c>
      <c r="R184" s="10"/>
      <c r="S184" s="8"/>
      <c r="T184" s="8"/>
      <c r="U184" s="10"/>
      <c r="V184" s="8"/>
    </row>
    <row r="185" spans="1:22">
      <c r="A185" s="8"/>
      <c r="B185" s="8"/>
      <c r="C185" s="8"/>
      <c r="D185" s="8"/>
      <c r="E185" s="8"/>
      <c r="F185" s="8"/>
      <c r="G185" s="8"/>
      <c r="H185" s="13"/>
      <c r="I185" s="13"/>
      <c r="J185" s="8"/>
      <c r="K185" s="13"/>
      <c r="L185" s="13"/>
      <c r="M185" s="14" t="str">
        <f t="shared" si="6"/>
        <v/>
      </c>
      <c r="N185" s="15"/>
      <c r="O185" s="14" t="str">
        <f t="shared" si="7"/>
        <v/>
      </c>
      <c r="P185" s="13"/>
      <c r="Q185" s="14" t="str">
        <f t="shared" si="8"/>
        <v/>
      </c>
      <c r="R185" s="10"/>
      <c r="S185" s="8"/>
      <c r="T185" s="8"/>
      <c r="U185" s="10"/>
      <c r="V185" s="8"/>
    </row>
    <row r="186" spans="1:22">
      <c r="A186" s="8"/>
      <c r="B186" s="8"/>
      <c r="C186" s="8"/>
      <c r="D186" s="8"/>
      <c r="E186" s="8"/>
      <c r="F186" s="8"/>
      <c r="G186" s="8"/>
      <c r="H186" s="13"/>
      <c r="I186" s="13"/>
      <c r="J186" s="8"/>
      <c r="K186" s="13"/>
      <c r="L186" s="13"/>
      <c r="M186" s="14" t="str">
        <f t="shared" si="6"/>
        <v/>
      </c>
      <c r="N186" s="15"/>
      <c r="O186" s="14" t="str">
        <f t="shared" si="7"/>
        <v/>
      </c>
      <c r="P186" s="13"/>
      <c r="Q186" s="14" t="str">
        <f t="shared" si="8"/>
        <v/>
      </c>
      <c r="R186" s="10"/>
      <c r="S186" s="8"/>
      <c r="T186" s="8"/>
      <c r="U186" s="10"/>
      <c r="V186" s="8"/>
    </row>
    <row r="187" spans="1:22">
      <c r="A187" s="8"/>
      <c r="B187" s="8"/>
      <c r="C187" s="8"/>
      <c r="D187" s="8"/>
      <c r="E187" s="8"/>
      <c r="F187" s="8"/>
      <c r="G187" s="8"/>
      <c r="H187" s="13"/>
      <c r="I187" s="13"/>
      <c r="J187" s="8"/>
      <c r="K187" s="13"/>
      <c r="L187" s="13"/>
      <c r="M187" s="14" t="str">
        <f t="shared" si="6"/>
        <v/>
      </c>
      <c r="N187" s="15"/>
      <c r="O187" s="14" t="str">
        <f t="shared" si="7"/>
        <v/>
      </c>
      <c r="P187" s="13"/>
      <c r="Q187" s="14" t="str">
        <f t="shared" si="8"/>
        <v/>
      </c>
      <c r="R187" s="10"/>
      <c r="S187" s="8"/>
      <c r="T187" s="8"/>
      <c r="U187" s="10"/>
      <c r="V187" s="8"/>
    </row>
    <row r="188" spans="1:22">
      <c r="A188" s="8"/>
      <c r="B188" s="8"/>
      <c r="C188" s="8"/>
      <c r="D188" s="8"/>
      <c r="E188" s="8"/>
      <c r="F188" s="8"/>
      <c r="G188" s="8"/>
      <c r="H188" s="13"/>
      <c r="I188" s="13"/>
      <c r="J188" s="8"/>
      <c r="K188" s="13"/>
      <c r="L188" s="13"/>
      <c r="M188" s="14" t="str">
        <f t="shared" si="6"/>
        <v/>
      </c>
      <c r="N188" s="15"/>
      <c r="O188" s="14" t="str">
        <f t="shared" si="7"/>
        <v/>
      </c>
      <c r="P188" s="13"/>
      <c r="Q188" s="14" t="str">
        <f t="shared" si="8"/>
        <v/>
      </c>
      <c r="R188" s="10"/>
      <c r="S188" s="8"/>
      <c r="T188" s="8"/>
      <c r="U188" s="10"/>
      <c r="V188" s="8"/>
    </row>
    <row r="189" spans="1:22">
      <c r="A189" s="8"/>
      <c r="B189" s="8"/>
      <c r="C189" s="8"/>
      <c r="D189" s="8"/>
      <c r="E189" s="8"/>
      <c r="F189" s="8"/>
      <c r="G189" s="8"/>
      <c r="H189" s="13"/>
      <c r="I189" s="13"/>
      <c r="J189" s="8"/>
      <c r="K189" s="13"/>
      <c r="L189" s="13"/>
      <c r="M189" s="14" t="str">
        <f t="shared" si="6"/>
        <v/>
      </c>
      <c r="N189" s="15"/>
      <c r="O189" s="14" t="str">
        <f t="shared" si="7"/>
        <v/>
      </c>
      <c r="P189" s="13"/>
      <c r="Q189" s="14" t="str">
        <f t="shared" si="8"/>
        <v/>
      </c>
      <c r="R189" s="10"/>
      <c r="S189" s="8"/>
      <c r="T189" s="8"/>
      <c r="U189" s="10"/>
      <c r="V189" s="8"/>
    </row>
    <row r="190" spans="1:22">
      <c r="A190" s="8"/>
      <c r="B190" s="8"/>
      <c r="C190" s="8"/>
      <c r="D190" s="8"/>
      <c r="E190" s="8"/>
      <c r="F190" s="8"/>
      <c r="G190" s="8"/>
      <c r="H190" s="13"/>
      <c r="I190" s="13"/>
      <c r="J190" s="8"/>
      <c r="K190" s="13"/>
      <c r="L190" s="13"/>
      <c r="M190" s="14" t="str">
        <f t="shared" si="6"/>
        <v/>
      </c>
      <c r="N190" s="15"/>
      <c r="O190" s="14" t="str">
        <f t="shared" si="7"/>
        <v/>
      </c>
      <c r="P190" s="13"/>
      <c r="Q190" s="14" t="str">
        <f t="shared" si="8"/>
        <v/>
      </c>
      <c r="R190" s="10"/>
      <c r="S190" s="8"/>
      <c r="T190" s="8"/>
      <c r="U190" s="10"/>
      <c r="V190" s="8"/>
    </row>
    <row r="191" spans="1:22">
      <c r="A191" s="8"/>
      <c r="B191" s="8"/>
      <c r="C191" s="8"/>
      <c r="D191" s="8"/>
      <c r="E191" s="8"/>
      <c r="F191" s="8"/>
      <c r="G191" s="8"/>
      <c r="H191" s="13"/>
      <c r="I191" s="13"/>
      <c r="J191" s="8"/>
      <c r="K191" s="13"/>
      <c r="L191" s="13"/>
      <c r="M191" s="14" t="str">
        <f t="shared" si="6"/>
        <v/>
      </c>
      <c r="N191" s="15"/>
      <c r="O191" s="14" t="str">
        <f t="shared" si="7"/>
        <v/>
      </c>
      <c r="P191" s="13"/>
      <c r="Q191" s="14" t="str">
        <f t="shared" si="8"/>
        <v/>
      </c>
      <c r="R191" s="10"/>
      <c r="S191" s="8"/>
      <c r="T191" s="8"/>
      <c r="U191" s="10"/>
      <c r="V191" s="8"/>
    </row>
    <row r="192" spans="1:22">
      <c r="A192" s="8"/>
      <c r="B192" s="8"/>
      <c r="C192" s="8"/>
      <c r="D192" s="8"/>
      <c r="E192" s="8"/>
      <c r="F192" s="8"/>
      <c r="G192" s="8"/>
      <c r="H192" s="13"/>
      <c r="I192" s="13"/>
      <c r="J192" s="8"/>
      <c r="K192" s="13"/>
      <c r="L192" s="13"/>
      <c r="M192" s="14" t="str">
        <f t="shared" si="6"/>
        <v/>
      </c>
      <c r="N192" s="15"/>
      <c r="O192" s="14" t="str">
        <f t="shared" si="7"/>
        <v/>
      </c>
      <c r="P192" s="13"/>
      <c r="Q192" s="14" t="str">
        <f t="shared" si="8"/>
        <v/>
      </c>
      <c r="R192" s="10"/>
      <c r="S192" s="8"/>
      <c r="T192" s="8"/>
      <c r="U192" s="10"/>
      <c r="V192" s="8"/>
    </row>
    <row r="193" spans="1:22">
      <c r="A193" s="8"/>
      <c r="B193" s="8"/>
      <c r="C193" s="8"/>
      <c r="D193" s="8"/>
      <c r="E193" s="8"/>
      <c r="F193" s="8"/>
      <c r="G193" s="8"/>
      <c r="H193" s="13"/>
      <c r="I193" s="13"/>
      <c r="J193" s="8"/>
      <c r="K193" s="13"/>
      <c r="L193" s="13"/>
      <c r="M193" s="14" t="str">
        <f t="shared" si="6"/>
        <v/>
      </c>
      <c r="N193" s="15"/>
      <c r="O193" s="14" t="str">
        <f t="shared" si="7"/>
        <v/>
      </c>
      <c r="P193" s="13"/>
      <c r="Q193" s="14" t="str">
        <f t="shared" si="8"/>
        <v/>
      </c>
      <c r="R193" s="10"/>
      <c r="S193" s="8"/>
      <c r="T193" s="8"/>
      <c r="U193" s="10"/>
      <c r="V193" s="8"/>
    </row>
    <row r="194" spans="1:22">
      <c r="A194" s="8"/>
      <c r="B194" s="8"/>
      <c r="C194" s="8"/>
      <c r="D194" s="8"/>
      <c r="E194" s="8"/>
      <c r="F194" s="8"/>
      <c r="G194" s="8"/>
      <c r="H194" s="13"/>
      <c r="I194" s="13"/>
      <c r="J194" s="8"/>
      <c r="K194" s="13"/>
      <c r="L194" s="13"/>
      <c r="M194" s="14" t="str">
        <f t="shared" si="6"/>
        <v/>
      </c>
      <c r="N194" s="15"/>
      <c r="O194" s="14" t="str">
        <f t="shared" si="7"/>
        <v/>
      </c>
      <c r="P194" s="13"/>
      <c r="Q194" s="14" t="str">
        <f t="shared" si="8"/>
        <v/>
      </c>
      <c r="R194" s="10"/>
      <c r="S194" s="8"/>
      <c r="T194" s="8"/>
      <c r="U194" s="10"/>
      <c r="V194" s="8"/>
    </row>
    <row r="195" spans="1:22">
      <c r="A195" s="8"/>
      <c r="B195" s="8"/>
      <c r="C195" s="8"/>
      <c r="D195" s="8"/>
      <c r="E195" s="8"/>
      <c r="F195" s="8"/>
      <c r="G195" s="8"/>
      <c r="H195" s="13"/>
      <c r="I195" s="13"/>
      <c r="J195" s="8"/>
      <c r="K195" s="13"/>
      <c r="L195" s="13"/>
      <c r="M195" s="14" t="str">
        <f t="shared" si="6"/>
        <v/>
      </c>
      <c r="N195" s="15"/>
      <c r="O195" s="14" t="str">
        <f t="shared" si="7"/>
        <v/>
      </c>
      <c r="P195" s="13"/>
      <c r="Q195" s="14" t="str">
        <f t="shared" si="8"/>
        <v/>
      </c>
      <c r="R195" s="10"/>
      <c r="S195" s="8"/>
      <c r="T195" s="8"/>
      <c r="U195" s="10"/>
      <c r="V195" s="8"/>
    </row>
    <row r="196" spans="1:22">
      <c r="A196" s="8"/>
      <c r="B196" s="8"/>
      <c r="C196" s="8"/>
      <c r="D196" s="8"/>
      <c r="E196" s="8"/>
      <c r="F196" s="8"/>
      <c r="G196" s="8"/>
      <c r="H196" s="13"/>
      <c r="I196" s="13"/>
      <c r="J196" s="8"/>
      <c r="K196" s="13"/>
      <c r="L196" s="13"/>
      <c r="M196" s="14" t="str">
        <f t="shared" si="6"/>
        <v/>
      </c>
      <c r="N196" s="15"/>
      <c r="O196" s="14" t="str">
        <f t="shared" si="7"/>
        <v/>
      </c>
      <c r="P196" s="13"/>
      <c r="Q196" s="14" t="str">
        <f t="shared" si="8"/>
        <v/>
      </c>
      <c r="R196" s="10"/>
      <c r="S196" s="8"/>
      <c r="T196" s="8"/>
      <c r="U196" s="10"/>
      <c r="V196" s="8"/>
    </row>
    <row r="197" spans="1:22">
      <c r="A197" s="8"/>
      <c r="B197" s="8"/>
      <c r="C197" s="8"/>
      <c r="D197" s="8"/>
      <c r="E197" s="8"/>
      <c r="F197" s="8"/>
      <c r="G197" s="8"/>
      <c r="H197" s="13"/>
      <c r="I197" s="13"/>
      <c r="J197" s="8"/>
      <c r="K197" s="13"/>
      <c r="L197" s="13"/>
      <c r="M197" s="14" t="str">
        <f t="shared" ref="M197:M260" si="9">IF(A197="","",K197*L197)</f>
        <v/>
      </c>
      <c r="N197" s="15"/>
      <c r="O197" s="14" t="str">
        <f t="shared" ref="O197:O260" si="10">IF(A197="","",M197*N197)</f>
        <v/>
      </c>
      <c r="P197" s="13"/>
      <c r="Q197" s="14" t="str">
        <f t="shared" ref="Q197:Q260" si="11">IF(A197="","",MAX(0,M197+O197-P197))</f>
        <v/>
      </c>
      <c r="R197" s="10"/>
      <c r="S197" s="8"/>
      <c r="T197" s="8"/>
      <c r="U197" s="10"/>
      <c r="V197" s="8"/>
    </row>
    <row r="198" spans="1:22">
      <c r="A198" s="8"/>
      <c r="B198" s="8"/>
      <c r="C198" s="8"/>
      <c r="D198" s="8"/>
      <c r="E198" s="8"/>
      <c r="F198" s="8"/>
      <c r="G198" s="8"/>
      <c r="H198" s="13"/>
      <c r="I198" s="13"/>
      <c r="J198" s="8"/>
      <c r="K198" s="13"/>
      <c r="L198" s="13"/>
      <c r="M198" s="14" t="str">
        <f t="shared" si="9"/>
        <v/>
      </c>
      <c r="N198" s="15"/>
      <c r="O198" s="14" t="str">
        <f t="shared" si="10"/>
        <v/>
      </c>
      <c r="P198" s="13"/>
      <c r="Q198" s="14" t="str">
        <f t="shared" si="11"/>
        <v/>
      </c>
      <c r="R198" s="10"/>
      <c r="S198" s="8"/>
      <c r="T198" s="8"/>
      <c r="U198" s="10"/>
      <c r="V198" s="8"/>
    </row>
    <row r="199" spans="1:22">
      <c r="A199" s="8"/>
      <c r="B199" s="8"/>
      <c r="C199" s="8"/>
      <c r="D199" s="8"/>
      <c r="E199" s="8"/>
      <c r="F199" s="8"/>
      <c r="G199" s="8"/>
      <c r="H199" s="13"/>
      <c r="I199" s="13"/>
      <c r="J199" s="8"/>
      <c r="K199" s="13"/>
      <c r="L199" s="13"/>
      <c r="M199" s="14" t="str">
        <f t="shared" si="9"/>
        <v/>
      </c>
      <c r="N199" s="15"/>
      <c r="O199" s="14" t="str">
        <f t="shared" si="10"/>
        <v/>
      </c>
      <c r="P199" s="13"/>
      <c r="Q199" s="14" t="str">
        <f t="shared" si="11"/>
        <v/>
      </c>
      <c r="R199" s="10"/>
      <c r="S199" s="8"/>
      <c r="T199" s="8"/>
      <c r="U199" s="10"/>
      <c r="V199" s="8"/>
    </row>
    <row r="200" spans="1:22">
      <c r="A200" s="8"/>
      <c r="B200" s="8"/>
      <c r="C200" s="8"/>
      <c r="D200" s="8"/>
      <c r="E200" s="8"/>
      <c r="F200" s="8"/>
      <c r="G200" s="8"/>
      <c r="H200" s="13"/>
      <c r="I200" s="13"/>
      <c r="J200" s="8"/>
      <c r="K200" s="13"/>
      <c r="L200" s="13"/>
      <c r="M200" s="14" t="str">
        <f t="shared" si="9"/>
        <v/>
      </c>
      <c r="N200" s="15"/>
      <c r="O200" s="14" t="str">
        <f t="shared" si="10"/>
        <v/>
      </c>
      <c r="P200" s="13"/>
      <c r="Q200" s="14" t="str">
        <f t="shared" si="11"/>
        <v/>
      </c>
      <c r="R200" s="10"/>
      <c r="S200" s="8"/>
      <c r="T200" s="8"/>
      <c r="U200" s="10"/>
      <c r="V200" s="8"/>
    </row>
    <row r="201" spans="1:22">
      <c r="A201" s="8"/>
      <c r="B201" s="8"/>
      <c r="C201" s="8"/>
      <c r="D201" s="8"/>
      <c r="E201" s="8"/>
      <c r="F201" s="8"/>
      <c r="G201" s="8"/>
      <c r="H201" s="13"/>
      <c r="I201" s="13"/>
      <c r="J201" s="8"/>
      <c r="K201" s="13"/>
      <c r="L201" s="13"/>
      <c r="M201" s="14" t="str">
        <f t="shared" si="9"/>
        <v/>
      </c>
      <c r="N201" s="15"/>
      <c r="O201" s="14" t="str">
        <f t="shared" si="10"/>
        <v/>
      </c>
      <c r="P201" s="13"/>
      <c r="Q201" s="14" t="str">
        <f t="shared" si="11"/>
        <v/>
      </c>
      <c r="R201" s="10"/>
      <c r="S201" s="8"/>
      <c r="T201" s="8"/>
      <c r="U201" s="10"/>
      <c r="V201" s="8"/>
    </row>
    <row r="202" spans="1:22">
      <c r="A202" s="8"/>
      <c r="B202" s="8"/>
      <c r="C202" s="8"/>
      <c r="D202" s="8"/>
      <c r="E202" s="8"/>
      <c r="F202" s="8"/>
      <c r="G202" s="8"/>
      <c r="H202" s="13"/>
      <c r="I202" s="13"/>
      <c r="J202" s="8"/>
      <c r="K202" s="13"/>
      <c r="L202" s="13"/>
      <c r="M202" s="14" t="str">
        <f t="shared" si="9"/>
        <v/>
      </c>
      <c r="N202" s="15"/>
      <c r="O202" s="14" t="str">
        <f t="shared" si="10"/>
        <v/>
      </c>
      <c r="P202" s="13"/>
      <c r="Q202" s="14" t="str">
        <f t="shared" si="11"/>
        <v/>
      </c>
      <c r="R202" s="10"/>
      <c r="S202" s="8"/>
      <c r="T202" s="8"/>
      <c r="U202" s="10"/>
      <c r="V202" s="8"/>
    </row>
    <row r="203" spans="1:22">
      <c r="A203" s="8"/>
      <c r="B203" s="8"/>
      <c r="C203" s="8"/>
      <c r="D203" s="8"/>
      <c r="E203" s="8"/>
      <c r="F203" s="8"/>
      <c r="G203" s="8"/>
      <c r="H203" s="13"/>
      <c r="I203" s="13"/>
      <c r="J203" s="8"/>
      <c r="K203" s="13"/>
      <c r="L203" s="13"/>
      <c r="M203" s="14" t="str">
        <f t="shared" si="9"/>
        <v/>
      </c>
      <c r="N203" s="15"/>
      <c r="O203" s="14" t="str">
        <f t="shared" si="10"/>
        <v/>
      </c>
      <c r="P203" s="13"/>
      <c r="Q203" s="14" t="str">
        <f t="shared" si="11"/>
        <v/>
      </c>
      <c r="R203" s="10"/>
      <c r="S203" s="8"/>
      <c r="T203" s="8"/>
      <c r="U203" s="10"/>
      <c r="V203" s="8"/>
    </row>
    <row r="204" spans="1:22">
      <c r="A204" s="8"/>
      <c r="B204" s="8"/>
      <c r="C204" s="8"/>
      <c r="D204" s="8"/>
      <c r="E204" s="8"/>
      <c r="F204" s="8"/>
      <c r="G204" s="8"/>
      <c r="H204" s="13"/>
      <c r="I204" s="13"/>
      <c r="J204" s="8"/>
      <c r="K204" s="13"/>
      <c r="L204" s="13"/>
      <c r="M204" s="14" t="str">
        <f t="shared" si="9"/>
        <v/>
      </c>
      <c r="N204" s="15"/>
      <c r="O204" s="14" t="str">
        <f t="shared" si="10"/>
        <v/>
      </c>
      <c r="P204" s="13"/>
      <c r="Q204" s="14" t="str">
        <f t="shared" si="11"/>
        <v/>
      </c>
      <c r="R204" s="10"/>
      <c r="S204" s="8"/>
      <c r="T204" s="8"/>
      <c r="U204" s="10"/>
      <c r="V204" s="8"/>
    </row>
    <row r="205" spans="1:22">
      <c r="A205" s="8"/>
      <c r="B205" s="8"/>
      <c r="C205" s="8"/>
      <c r="D205" s="8"/>
      <c r="E205" s="8"/>
      <c r="F205" s="8"/>
      <c r="G205" s="8"/>
      <c r="H205" s="13"/>
      <c r="I205" s="13"/>
      <c r="J205" s="8"/>
      <c r="K205" s="13"/>
      <c r="L205" s="13"/>
      <c r="M205" s="14" t="str">
        <f t="shared" si="9"/>
        <v/>
      </c>
      <c r="N205" s="15"/>
      <c r="O205" s="14" t="str">
        <f t="shared" si="10"/>
        <v/>
      </c>
      <c r="P205" s="13"/>
      <c r="Q205" s="14" t="str">
        <f t="shared" si="11"/>
        <v/>
      </c>
      <c r="R205" s="10"/>
      <c r="S205" s="8"/>
      <c r="T205" s="8"/>
      <c r="U205" s="10"/>
      <c r="V205" s="8"/>
    </row>
    <row r="206" spans="1:22">
      <c r="A206" s="8"/>
      <c r="B206" s="8"/>
      <c r="C206" s="8"/>
      <c r="D206" s="8"/>
      <c r="E206" s="8"/>
      <c r="F206" s="8"/>
      <c r="G206" s="8"/>
      <c r="H206" s="13"/>
      <c r="I206" s="13"/>
      <c r="J206" s="8"/>
      <c r="K206" s="13"/>
      <c r="L206" s="13"/>
      <c r="M206" s="14" t="str">
        <f t="shared" si="9"/>
        <v/>
      </c>
      <c r="N206" s="15"/>
      <c r="O206" s="14" t="str">
        <f t="shared" si="10"/>
        <v/>
      </c>
      <c r="P206" s="13"/>
      <c r="Q206" s="14" t="str">
        <f t="shared" si="11"/>
        <v/>
      </c>
      <c r="R206" s="10"/>
      <c r="S206" s="8"/>
      <c r="T206" s="8"/>
      <c r="U206" s="10"/>
      <c r="V206" s="8"/>
    </row>
    <row r="207" spans="1:22">
      <c r="A207" s="8"/>
      <c r="B207" s="8"/>
      <c r="C207" s="8"/>
      <c r="D207" s="8"/>
      <c r="E207" s="8"/>
      <c r="F207" s="8"/>
      <c r="G207" s="8"/>
      <c r="H207" s="13"/>
      <c r="I207" s="13"/>
      <c r="J207" s="8"/>
      <c r="K207" s="13"/>
      <c r="L207" s="13"/>
      <c r="M207" s="14" t="str">
        <f t="shared" si="9"/>
        <v/>
      </c>
      <c r="N207" s="15"/>
      <c r="O207" s="14" t="str">
        <f t="shared" si="10"/>
        <v/>
      </c>
      <c r="P207" s="13"/>
      <c r="Q207" s="14" t="str">
        <f t="shared" si="11"/>
        <v/>
      </c>
      <c r="R207" s="10"/>
      <c r="S207" s="8"/>
      <c r="T207" s="8"/>
      <c r="U207" s="10"/>
      <c r="V207" s="8"/>
    </row>
    <row r="208" spans="1:22">
      <c r="A208" s="8"/>
      <c r="B208" s="8"/>
      <c r="C208" s="8"/>
      <c r="D208" s="8"/>
      <c r="E208" s="8"/>
      <c r="F208" s="8"/>
      <c r="G208" s="8"/>
      <c r="H208" s="13"/>
      <c r="I208" s="13"/>
      <c r="J208" s="8"/>
      <c r="K208" s="13"/>
      <c r="L208" s="13"/>
      <c r="M208" s="14" t="str">
        <f t="shared" si="9"/>
        <v/>
      </c>
      <c r="N208" s="15"/>
      <c r="O208" s="14" t="str">
        <f t="shared" si="10"/>
        <v/>
      </c>
      <c r="P208" s="13"/>
      <c r="Q208" s="14" t="str">
        <f t="shared" si="11"/>
        <v/>
      </c>
      <c r="R208" s="10"/>
      <c r="S208" s="8"/>
      <c r="T208" s="8"/>
      <c r="U208" s="10"/>
      <c r="V208" s="8"/>
    </row>
    <row r="209" spans="1:22">
      <c r="A209" s="8"/>
      <c r="B209" s="8"/>
      <c r="C209" s="8"/>
      <c r="D209" s="8"/>
      <c r="E209" s="8"/>
      <c r="F209" s="8"/>
      <c r="G209" s="8"/>
      <c r="H209" s="13"/>
      <c r="I209" s="13"/>
      <c r="J209" s="8"/>
      <c r="K209" s="13"/>
      <c r="L209" s="13"/>
      <c r="M209" s="14" t="str">
        <f t="shared" si="9"/>
        <v/>
      </c>
      <c r="N209" s="15"/>
      <c r="O209" s="14" t="str">
        <f t="shared" si="10"/>
        <v/>
      </c>
      <c r="P209" s="13"/>
      <c r="Q209" s="14" t="str">
        <f t="shared" si="11"/>
        <v/>
      </c>
      <c r="R209" s="10"/>
      <c r="S209" s="8"/>
      <c r="T209" s="8"/>
      <c r="U209" s="10"/>
      <c r="V209" s="8"/>
    </row>
    <row r="210" spans="1:22">
      <c r="A210" s="8"/>
      <c r="B210" s="8"/>
      <c r="C210" s="8"/>
      <c r="D210" s="8"/>
      <c r="E210" s="8"/>
      <c r="F210" s="8"/>
      <c r="G210" s="8"/>
      <c r="H210" s="13"/>
      <c r="I210" s="13"/>
      <c r="J210" s="8"/>
      <c r="K210" s="13"/>
      <c r="L210" s="13"/>
      <c r="M210" s="14" t="str">
        <f t="shared" si="9"/>
        <v/>
      </c>
      <c r="N210" s="15"/>
      <c r="O210" s="14" t="str">
        <f t="shared" si="10"/>
        <v/>
      </c>
      <c r="P210" s="13"/>
      <c r="Q210" s="14" t="str">
        <f t="shared" si="11"/>
        <v/>
      </c>
      <c r="R210" s="10"/>
      <c r="S210" s="8"/>
      <c r="T210" s="8"/>
      <c r="U210" s="10"/>
      <c r="V210" s="8"/>
    </row>
    <row r="211" spans="1:22">
      <c r="A211" s="8"/>
      <c r="B211" s="8"/>
      <c r="C211" s="8"/>
      <c r="D211" s="8"/>
      <c r="E211" s="8"/>
      <c r="F211" s="8"/>
      <c r="G211" s="8"/>
      <c r="H211" s="13"/>
      <c r="I211" s="13"/>
      <c r="J211" s="8"/>
      <c r="K211" s="13"/>
      <c r="L211" s="13"/>
      <c r="M211" s="14" t="str">
        <f t="shared" si="9"/>
        <v/>
      </c>
      <c r="N211" s="15"/>
      <c r="O211" s="14" t="str">
        <f t="shared" si="10"/>
        <v/>
      </c>
      <c r="P211" s="13"/>
      <c r="Q211" s="14" t="str">
        <f t="shared" si="11"/>
        <v/>
      </c>
      <c r="R211" s="10"/>
      <c r="S211" s="8"/>
      <c r="T211" s="8"/>
      <c r="U211" s="10"/>
      <c r="V211" s="8"/>
    </row>
    <row r="212" spans="1:22">
      <c r="A212" s="8"/>
      <c r="B212" s="8"/>
      <c r="C212" s="8"/>
      <c r="D212" s="8"/>
      <c r="E212" s="8"/>
      <c r="F212" s="8"/>
      <c r="G212" s="8"/>
      <c r="H212" s="13"/>
      <c r="I212" s="13"/>
      <c r="J212" s="8"/>
      <c r="K212" s="13"/>
      <c r="L212" s="13"/>
      <c r="M212" s="14" t="str">
        <f t="shared" si="9"/>
        <v/>
      </c>
      <c r="N212" s="15"/>
      <c r="O212" s="14" t="str">
        <f t="shared" si="10"/>
        <v/>
      </c>
      <c r="P212" s="13"/>
      <c r="Q212" s="14" t="str">
        <f t="shared" si="11"/>
        <v/>
      </c>
      <c r="R212" s="10"/>
      <c r="S212" s="8"/>
      <c r="T212" s="8"/>
      <c r="U212" s="10"/>
      <c r="V212" s="8"/>
    </row>
    <row r="213" spans="1:22">
      <c r="A213" s="8"/>
      <c r="B213" s="8"/>
      <c r="C213" s="8"/>
      <c r="D213" s="8"/>
      <c r="E213" s="8"/>
      <c r="F213" s="8"/>
      <c r="G213" s="8"/>
      <c r="H213" s="13"/>
      <c r="I213" s="13"/>
      <c r="J213" s="8"/>
      <c r="K213" s="13"/>
      <c r="L213" s="13"/>
      <c r="M213" s="14" t="str">
        <f t="shared" si="9"/>
        <v/>
      </c>
      <c r="N213" s="15"/>
      <c r="O213" s="14" t="str">
        <f t="shared" si="10"/>
        <v/>
      </c>
      <c r="P213" s="13"/>
      <c r="Q213" s="14" t="str">
        <f t="shared" si="11"/>
        <v/>
      </c>
      <c r="R213" s="10"/>
      <c r="S213" s="8"/>
      <c r="T213" s="8"/>
      <c r="U213" s="10"/>
      <c r="V213" s="8"/>
    </row>
    <row r="214" spans="1:22">
      <c r="A214" s="8"/>
      <c r="B214" s="8"/>
      <c r="C214" s="8"/>
      <c r="D214" s="8"/>
      <c r="E214" s="8"/>
      <c r="F214" s="8"/>
      <c r="G214" s="8"/>
      <c r="H214" s="13"/>
      <c r="I214" s="13"/>
      <c r="J214" s="8"/>
      <c r="K214" s="13"/>
      <c r="L214" s="13"/>
      <c r="M214" s="14" t="str">
        <f t="shared" si="9"/>
        <v/>
      </c>
      <c r="N214" s="15"/>
      <c r="O214" s="14" t="str">
        <f t="shared" si="10"/>
        <v/>
      </c>
      <c r="P214" s="13"/>
      <c r="Q214" s="14" t="str">
        <f t="shared" si="11"/>
        <v/>
      </c>
      <c r="R214" s="10"/>
      <c r="S214" s="8"/>
      <c r="T214" s="8"/>
      <c r="U214" s="10"/>
      <c r="V214" s="8"/>
    </row>
    <row r="215" spans="1:22">
      <c r="A215" s="8"/>
      <c r="B215" s="8"/>
      <c r="C215" s="8"/>
      <c r="D215" s="8"/>
      <c r="E215" s="8"/>
      <c r="F215" s="8"/>
      <c r="G215" s="8"/>
      <c r="H215" s="13"/>
      <c r="I215" s="13"/>
      <c r="J215" s="8"/>
      <c r="K215" s="13"/>
      <c r="L215" s="13"/>
      <c r="M215" s="14" t="str">
        <f t="shared" si="9"/>
        <v/>
      </c>
      <c r="N215" s="15"/>
      <c r="O215" s="14" t="str">
        <f t="shared" si="10"/>
        <v/>
      </c>
      <c r="P215" s="13"/>
      <c r="Q215" s="14" t="str">
        <f t="shared" si="11"/>
        <v/>
      </c>
      <c r="R215" s="10"/>
      <c r="S215" s="8"/>
      <c r="T215" s="8"/>
      <c r="U215" s="10"/>
      <c r="V215" s="8"/>
    </row>
    <row r="216" spans="1:22">
      <c r="A216" s="8"/>
      <c r="B216" s="8"/>
      <c r="C216" s="8"/>
      <c r="D216" s="8"/>
      <c r="E216" s="8"/>
      <c r="F216" s="8"/>
      <c r="G216" s="8"/>
      <c r="H216" s="13"/>
      <c r="I216" s="13"/>
      <c r="J216" s="8"/>
      <c r="K216" s="13"/>
      <c r="L216" s="13"/>
      <c r="M216" s="14" t="str">
        <f t="shared" si="9"/>
        <v/>
      </c>
      <c r="N216" s="15"/>
      <c r="O216" s="14" t="str">
        <f t="shared" si="10"/>
        <v/>
      </c>
      <c r="P216" s="13"/>
      <c r="Q216" s="14" t="str">
        <f t="shared" si="11"/>
        <v/>
      </c>
      <c r="R216" s="10"/>
      <c r="S216" s="8"/>
      <c r="T216" s="8"/>
      <c r="U216" s="10"/>
      <c r="V216" s="8"/>
    </row>
    <row r="217" spans="1:22">
      <c r="A217" s="8"/>
      <c r="B217" s="8"/>
      <c r="C217" s="8"/>
      <c r="D217" s="8"/>
      <c r="E217" s="8"/>
      <c r="F217" s="8"/>
      <c r="G217" s="8"/>
      <c r="H217" s="13"/>
      <c r="I217" s="13"/>
      <c r="J217" s="8"/>
      <c r="K217" s="13"/>
      <c r="L217" s="13"/>
      <c r="M217" s="14" t="str">
        <f t="shared" si="9"/>
        <v/>
      </c>
      <c r="N217" s="15"/>
      <c r="O217" s="14" t="str">
        <f t="shared" si="10"/>
        <v/>
      </c>
      <c r="P217" s="13"/>
      <c r="Q217" s="14" t="str">
        <f t="shared" si="11"/>
        <v/>
      </c>
      <c r="R217" s="10"/>
      <c r="S217" s="8"/>
      <c r="T217" s="8"/>
      <c r="U217" s="10"/>
      <c r="V217" s="8"/>
    </row>
    <row r="218" spans="1:22">
      <c r="A218" s="8"/>
      <c r="B218" s="8"/>
      <c r="C218" s="8"/>
      <c r="D218" s="8"/>
      <c r="E218" s="8"/>
      <c r="F218" s="8"/>
      <c r="G218" s="8"/>
      <c r="H218" s="13"/>
      <c r="I218" s="13"/>
      <c r="J218" s="8"/>
      <c r="K218" s="13"/>
      <c r="L218" s="13"/>
      <c r="M218" s="14" t="str">
        <f t="shared" si="9"/>
        <v/>
      </c>
      <c r="N218" s="15"/>
      <c r="O218" s="14" t="str">
        <f t="shared" si="10"/>
        <v/>
      </c>
      <c r="P218" s="13"/>
      <c r="Q218" s="14" t="str">
        <f t="shared" si="11"/>
        <v/>
      </c>
      <c r="R218" s="10"/>
      <c r="S218" s="8"/>
      <c r="T218" s="8"/>
      <c r="U218" s="10"/>
      <c r="V218" s="8"/>
    </row>
    <row r="219" spans="1:22">
      <c r="A219" s="8"/>
      <c r="B219" s="8"/>
      <c r="C219" s="8"/>
      <c r="D219" s="8"/>
      <c r="E219" s="8"/>
      <c r="F219" s="8"/>
      <c r="G219" s="8"/>
      <c r="H219" s="13"/>
      <c r="I219" s="13"/>
      <c r="J219" s="8"/>
      <c r="K219" s="13"/>
      <c r="L219" s="13"/>
      <c r="M219" s="14" t="str">
        <f t="shared" si="9"/>
        <v/>
      </c>
      <c r="N219" s="15"/>
      <c r="O219" s="14" t="str">
        <f t="shared" si="10"/>
        <v/>
      </c>
      <c r="P219" s="13"/>
      <c r="Q219" s="14" t="str">
        <f t="shared" si="11"/>
        <v/>
      </c>
      <c r="R219" s="10"/>
      <c r="S219" s="8"/>
      <c r="T219" s="8"/>
      <c r="U219" s="10"/>
      <c r="V219" s="8"/>
    </row>
    <row r="220" spans="1:22">
      <c r="A220" s="8"/>
      <c r="B220" s="8"/>
      <c r="C220" s="8"/>
      <c r="D220" s="8"/>
      <c r="E220" s="8"/>
      <c r="F220" s="8"/>
      <c r="G220" s="8"/>
      <c r="H220" s="13"/>
      <c r="I220" s="13"/>
      <c r="J220" s="8"/>
      <c r="K220" s="13"/>
      <c r="L220" s="13"/>
      <c r="M220" s="14" t="str">
        <f t="shared" si="9"/>
        <v/>
      </c>
      <c r="N220" s="15"/>
      <c r="O220" s="14" t="str">
        <f t="shared" si="10"/>
        <v/>
      </c>
      <c r="P220" s="13"/>
      <c r="Q220" s="14" t="str">
        <f t="shared" si="11"/>
        <v/>
      </c>
      <c r="R220" s="10"/>
      <c r="S220" s="8"/>
      <c r="T220" s="8"/>
      <c r="U220" s="10"/>
      <c r="V220" s="8"/>
    </row>
    <row r="221" spans="1:22">
      <c r="A221" s="8"/>
      <c r="B221" s="8"/>
      <c r="C221" s="8"/>
      <c r="D221" s="8"/>
      <c r="E221" s="8"/>
      <c r="F221" s="8"/>
      <c r="G221" s="8"/>
      <c r="H221" s="13"/>
      <c r="I221" s="13"/>
      <c r="J221" s="8"/>
      <c r="K221" s="13"/>
      <c r="L221" s="13"/>
      <c r="M221" s="14" t="str">
        <f t="shared" si="9"/>
        <v/>
      </c>
      <c r="N221" s="15"/>
      <c r="O221" s="14" t="str">
        <f t="shared" si="10"/>
        <v/>
      </c>
      <c r="P221" s="13"/>
      <c r="Q221" s="14" t="str">
        <f t="shared" si="11"/>
        <v/>
      </c>
      <c r="R221" s="10"/>
      <c r="S221" s="8"/>
      <c r="T221" s="8"/>
      <c r="U221" s="10"/>
      <c r="V221" s="8"/>
    </row>
    <row r="222" spans="1:22">
      <c r="A222" s="8"/>
      <c r="B222" s="8"/>
      <c r="C222" s="8"/>
      <c r="D222" s="8"/>
      <c r="E222" s="8"/>
      <c r="F222" s="8"/>
      <c r="G222" s="8"/>
      <c r="H222" s="13"/>
      <c r="I222" s="13"/>
      <c r="J222" s="8"/>
      <c r="K222" s="13"/>
      <c r="L222" s="13"/>
      <c r="M222" s="14" t="str">
        <f t="shared" si="9"/>
        <v/>
      </c>
      <c r="N222" s="15"/>
      <c r="O222" s="14" t="str">
        <f t="shared" si="10"/>
        <v/>
      </c>
      <c r="P222" s="13"/>
      <c r="Q222" s="14" t="str">
        <f t="shared" si="11"/>
        <v/>
      </c>
      <c r="R222" s="10"/>
      <c r="S222" s="8"/>
      <c r="T222" s="8"/>
      <c r="U222" s="10"/>
      <c r="V222" s="8"/>
    </row>
    <row r="223" spans="1:22">
      <c r="A223" s="8"/>
      <c r="B223" s="8"/>
      <c r="C223" s="8"/>
      <c r="D223" s="8"/>
      <c r="E223" s="8"/>
      <c r="F223" s="8"/>
      <c r="G223" s="8"/>
      <c r="H223" s="13"/>
      <c r="I223" s="13"/>
      <c r="J223" s="8"/>
      <c r="K223" s="13"/>
      <c r="L223" s="13"/>
      <c r="M223" s="14" t="str">
        <f t="shared" si="9"/>
        <v/>
      </c>
      <c r="N223" s="15"/>
      <c r="O223" s="14" t="str">
        <f t="shared" si="10"/>
        <v/>
      </c>
      <c r="P223" s="13"/>
      <c r="Q223" s="14" t="str">
        <f t="shared" si="11"/>
        <v/>
      </c>
      <c r="R223" s="10"/>
      <c r="S223" s="8"/>
      <c r="T223" s="8"/>
      <c r="U223" s="10"/>
      <c r="V223" s="8"/>
    </row>
    <row r="224" spans="1:22">
      <c r="A224" s="8"/>
      <c r="B224" s="8"/>
      <c r="C224" s="8"/>
      <c r="D224" s="8"/>
      <c r="E224" s="8"/>
      <c r="F224" s="8"/>
      <c r="G224" s="8"/>
      <c r="H224" s="13"/>
      <c r="I224" s="13"/>
      <c r="J224" s="8"/>
      <c r="K224" s="13"/>
      <c r="L224" s="13"/>
      <c r="M224" s="14" t="str">
        <f t="shared" si="9"/>
        <v/>
      </c>
      <c r="N224" s="15"/>
      <c r="O224" s="14" t="str">
        <f t="shared" si="10"/>
        <v/>
      </c>
      <c r="P224" s="13"/>
      <c r="Q224" s="14" t="str">
        <f t="shared" si="11"/>
        <v/>
      </c>
      <c r="R224" s="10"/>
      <c r="S224" s="8"/>
      <c r="T224" s="8"/>
      <c r="U224" s="10"/>
      <c r="V224" s="8"/>
    </row>
    <row r="225" spans="1:22">
      <c r="A225" s="8"/>
      <c r="B225" s="8"/>
      <c r="C225" s="8"/>
      <c r="D225" s="8"/>
      <c r="E225" s="8"/>
      <c r="F225" s="8"/>
      <c r="G225" s="8"/>
      <c r="H225" s="13"/>
      <c r="I225" s="13"/>
      <c r="J225" s="8"/>
      <c r="K225" s="13"/>
      <c r="L225" s="13"/>
      <c r="M225" s="14" t="str">
        <f t="shared" si="9"/>
        <v/>
      </c>
      <c r="N225" s="15"/>
      <c r="O225" s="14" t="str">
        <f t="shared" si="10"/>
        <v/>
      </c>
      <c r="P225" s="13"/>
      <c r="Q225" s="14" t="str">
        <f t="shared" si="11"/>
        <v/>
      </c>
      <c r="R225" s="10"/>
      <c r="S225" s="8"/>
      <c r="T225" s="8"/>
      <c r="U225" s="10"/>
      <c r="V225" s="8"/>
    </row>
    <row r="226" spans="1:22">
      <c r="A226" s="8"/>
      <c r="B226" s="8"/>
      <c r="C226" s="8"/>
      <c r="D226" s="8"/>
      <c r="E226" s="8"/>
      <c r="F226" s="8"/>
      <c r="G226" s="8"/>
      <c r="H226" s="13"/>
      <c r="I226" s="13"/>
      <c r="J226" s="8"/>
      <c r="K226" s="13"/>
      <c r="L226" s="13"/>
      <c r="M226" s="14" t="str">
        <f t="shared" si="9"/>
        <v/>
      </c>
      <c r="N226" s="15"/>
      <c r="O226" s="14" t="str">
        <f t="shared" si="10"/>
        <v/>
      </c>
      <c r="P226" s="13"/>
      <c r="Q226" s="14" t="str">
        <f t="shared" si="11"/>
        <v/>
      </c>
      <c r="R226" s="10"/>
      <c r="S226" s="8"/>
      <c r="T226" s="8"/>
      <c r="U226" s="10"/>
      <c r="V226" s="8"/>
    </row>
    <row r="227" spans="1:22">
      <c r="A227" s="8"/>
      <c r="B227" s="8"/>
      <c r="C227" s="8"/>
      <c r="D227" s="8"/>
      <c r="E227" s="8"/>
      <c r="F227" s="8"/>
      <c r="G227" s="8"/>
      <c r="H227" s="13"/>
      <c r="I227" s="13"/>
      <c r="J227" s="8"/>
      <c r="K227" s="13"/>
      <c r="L227" s="13"/>
      <c r="M227" s="14" t="str">
        <f t="shared" si="9"/>
        <v/>
      </c>
      <c r="N227" s="15"/>
      <c r="O227" s="14" t="str">
        <f t="shared" si="10"/>
        <v/>
      </c>
      <c r="P227" s="13"/>
      <c r="Q227" s="14" t="str">
        <f t="shared" si="11"/>
        <v/>
      </c>
      <c r="R227" s="10"/>
      <c r="S227" s="8"/>
      <c r="T227" s="8"/>
      <c r="U227" s="10"/>
      <c r="V227" s="8"/>
    </row>
    <row r="228" spans="1:22">
      <c r="A228" s="8"/>
      <c r="B228" s="8"/>
      <c r="C228" s="8"/>
      <c r="D228" s="8"/>
      <c r="E228" s="8"/>
      <c r="F228" s="8"/>
      <c r="G228" s="8"/>
      <c r="H228" s="13"/>
      <c r="I228" s="13"/>
      <c r="J228" s="8"/>
      <c r="K228" s="13"/>
      <c r="L228" s="13"/>
      <c r="M228" s="14" t="str">
        <f t="shared" si="9"/>
        <v/>
      </c>
      <c r="N228" s="15"/>
      <c r="O228" s="14" t="str">
        <f t="shared" si="10"/>
        <v/>
      </c>
      <c r="P228" s="13"/>
      <c r="Q228" s="14" t="str">
        <f t="shared" si="11"/>
        <v/>
      </c>
      <c r="R228" s="10"/>
      <c r="S228" s="8"/>
      <c r="T228" s="8"/>
      <c r="U228" s="10"/>
      <c r="V228" s="8"/>
    </row>
    <row r="229" spans="1:22">
      <c r="A229" s="8"/>
      <c r="B229" s="8"/>
      <c r="C229" s="8"/>
      <c r="D229" s="8"/>
      <c r="E229" s="8"/>
      <c r="F229" s="8"/>
      <c r="G229" s="8"/>
      <c r="H229" s="13"/>
      <c r="I229" s="13"/>
      <c r="J229" s="8"/>
      <c r="K229" s="13"/>
      <c r="L229" s="13"/>
      <c r="M229" s="14" t="str">
        <f t="shared" si="9"/>
        <v/>
      </c>
      <c r="N229" s="15"/>
      <c r="O229" s="14" t="str">
        <f t="shared" si="10"/>
        <v/>
      </c>
      <c r="P229" s="13"/>
      <c r="Q229" s="14" t="str">
        <f t="shared" si="11"/>
        <v/>
      </c>
      <c r="R229" s="10"/>
      <c r="S229" s="8"/>
      <c r="T229" s="8"/>
      <c r="U229" s="10"/>
      <c r="V229" s="8"/>
    </row>
    <row r="230" spans="1:22">
      <c r="A230" s="8"/>
      <c r="B230" s="8"/>
      <c r="C230" s="8"/>
      <c r="D230" s="8"/>
      <c r="E230" s="8"/>
      <c r="F230" s="8"/>
      <c r="G230" s="8"/>
      <c r="H230" s="13"/>
      <c r="I230" s="13"/>
      <c r="J230" s="8"/>
      <c r="K230" s="13"/>
      <c r="L230" s="13"/>
      <c r="M230" s="14" t="str">
        <f t="shared" si="9"/>
        <v/>
      </c>
      <c r="N230" s="15"/>
      <c r="O230" s="14" t="str">
        <f t="shared" si="10"/>
        <v/>
      </c>
      <c r="P230" s="13"/>
      <c r="Q230" s="14" t="str">
        <f t="shared" si="11"/>
        <v/>
      </c>
      <c r="R230" s="10"/>
      <c r="S230" s="8"/>
      <c r="T230" s="8"/>
      <c r="U230" s="10"/>
      <c r="V230" s="8"/>
    </row>
    <row r="231" spans="1:22">
      <c r="A231" s="8"/>
      <c r="B231" s="8"/>
      <c r="C231" s="8"/>
      <c r="D231" s="8"/>
      <c r="E231" s="8"/>
      <c r="F231" s="8"/>
      <c r="G231" s="8"/>
      <c r="H231" s="13"/>
      <c r="I231" s="13"/>
      <c r="J231" s="8"/>
      <c r="K231" s="13"/>
      <c r="L231" s="13"/>
      <c r="M231" s="14" t="str">
        <f t="shared" si="9"/>
        <v/>
      </c>
      <c r="N231" s="15"/>
      <c r="O231" s="14" t="str">
        <f t="shared" si="10"/>
        <v/>
      </c>
      <c r="P231" s="13"/>
      <c r="Q231" s="14" t="str">
        <f t="shared" si="11"/>
        <v/>
      </c>
      <c r="R231" s="10"/>
      <c r="S231" s="8"/>
      <c r="T231" s="8"/>
      <c r="U231" s="10"/>
      <c r="V231" s="8"/>
    </row>
    <row r="232" spans="1:22">
      <c r="A232" s="8"/>
      <c r="B232" s="8"/>
      <c r="C232" s="8"/>
      <c r="D232" s="8"/>
      <c r="E232" s="8"/>
      <c r="F232" s="8"/>
      <c r="G232" s="8"/>
      <c r="H232" s="13"/>
      <c r="I232" s="13"/>
      <c r="J232" s="8"/>
      <c r="K232" s="13"/>
      <c r="L232" s="13"/>
      <c r="M232" s="14" t="str">
        <f t="shared" si="9"/>
        <v/>
      </c>
      <c r="N232" s="15"/>
      <c r="O232" s="14" t="str">
        <f t="shared" si="10"/>
        <v/>
      </c>
      <c r="P232" s="13"/>
      <c r="Q232" s="14" t="str">
        <f t="shared" si="11"/>
        <v/>
      </c>
      <c r="R232" s="10"/>
      <c r="S232" s="8"/>
      <c r="T232" s="8"/>
      <c r="U232" s="10"/>
      <c r="V232" s="8"/>
    </row>
    <row r="233" spans="1:22">
      <c r="A233" s="8"/>
      <c r="B233" s="8"/>
      <c r="C233" s="8"/>
      <c r="D233" s="8"/>
      <c r="E233" s="8"/>
      <c r="F233" s="8"/>
      <c r="G233" s="8"/>
      <c r="H233" s="13"/>
      <c r="I233" s="13"/>
      <c r="J233" s="8"/>
      <c r="K233" s="13"/>
      <c r="L233" s="13"/>
      <c r="M233" s="14" t="str">
        <f t="shared" si="9"/>
        <v/>
      </c>
      <c r="N233" s="15"/>
      <c r="O233" s="14" t="str">
        <f t="shared" si="10"/>
        <v/>
      </c>
      <c r="P233" s="13"/>
      <c r="Q233" s="14" t="str">
        <f t="shared" si="11"/>
        <v/>
      </c>
      <c r="R233" s="10"/>
      <c r="S233" s="8"/>
      <c r="T233" s="8"/>
      <c r="U233" s="10"/>
      <c r="V233" s="8"/>
    </row>
    <row r="234" spans="1:22">
      <c r="A234" s="8"/>
      <c r="B234" s="8"/>
      <c r="C234" s="8"/>
      <c r="D234" s="8"/>
      <c r="E234" s="8"/>
      <c r="F234" s="8"/>
      <c r="G234" s="8"/>
      <c r="H234" s="13"/>
      <c r="I234" s="13"/>
      <c r="J234" s="8"/>
      <c r="K234" s="13"/>
      <c r="L234" s="13"/>
      <c r="M234" s="14" t="str">
        <f t="shared" si="9"/>
        <v/>
      </c>
      <c r="N234" s="15"/>
      <c r="O234" s="14" t="str">
        <f t="shared" si="10"/>
        <v/>
      </c>
      <c r="P234" s="13"/>
      <c r="Q234" s="14" t="str">
        <f t="shared" si="11"/>
        <v/>
      </c>
      <c r="R234" s="10"/>
      <c r="S234" s="8"/>
      <c r="T234" s="8"/>
      <c r="U234" s="10"/>
      <c r="V234" s="8"/>
    </row>
    <row r="235" spans="1:22">
      <c r="A235" s="8"/>
      <c r="B235" s="8"/>
      <c r="C235" s="8"/>
      <c r="D235" s="8"/>
      <c r="E235" s="8"/>
      <c r="F235" s="8"/>
      <c r="G235" s="8"/>
      <c r="H235" s="13"/>
      <c r="I235" s="13"/>
      <c r="J235" s="8"/>
      <c r="K235" s="13"/>
      <c r="L235" s="13"/>
      <c r="M235" s="14" t="str">
        <f t="shared" si="9"/>
        <v/>
      </c>
      <c r="N235" s="15"/>
      <c r="O235" s="14" t="str">
        <f t="shared" si="10"/>
        <v/>
      </c>
      <c r="P235" s="13"/>
      <c r="Q235" s="14" t="str">
        <f t="shared" si="11"/>
        <v/>
      </c>
      <c r="R235" s="10"/>
      <c r="S235" s="8"/>
      <c r="T235" s="8"/>
      <c r="U235" s="10"/>
      <c r="V235" s="8"/>
    </row>
    <row r="236" spans="1:22">
      <c r="A236" s="8"/>
      <c r="B236" s="8"/>
      <c r="C236" s="8"/>
      <c r="D236" s="8"/>
      <c r="E236" s="8"/>
      <c r="F236" s="8"/>
      <c r="G236" s="8"/>
      <c r="H236" s="13"/>
      <c r="I236" s="13"/>
      <c r="J236" s="8"/>
      <c r="K236" s="13"/>
      <c r="L236" s="13"/>
      <c r="M236" s="14" t="str">
        <f t="shared" si="9"/>
        <v/>
      </c>
      <c r="N236" s="15"/>
      <c r="O236" s="14" t="str">
        <f t="shared" si="10"/>
        <v/>
      </c>
      <c r="P236" s="13"/>
      <c r="Q236" s="14" t="str">
        <f t="shared" si="11"/>
        <v/>
      </c>
      <c r="R236" s="10"/>
      <c r="S236" s="8"/>
      <c r="T236" s="8"/>
      <c r="U236" s="10"/>
      <c r="V236" s="8"/>
    </row>
    <row r="237" spans="1:22">
      <c r="A237" s="8"/>
      <c r="B237" s="8"/>
      <c r="C237" s="8"/>
      <c r="D237" s="8"/>
      <c r="E237" s="8"/>
      <c r="F237" s="8"/>
      <c r="G237" s="8"/>
      <c r="H237" s="13"/>
      <c r="I237" s="13"/>
      <c r="J237" s="8"/>
      <c r="K237" s="13"/>
      <c r="L237" s="13"/>
      <c r="M237" s="14" t="str">
        <f t="shared" si="9"/>
        <v/>
      </c>
      <c r="N237" s="15"/>
      <c r="O237" s="14" t="str">
        <f t="shared" si="10"/>
        <v/>
      </c>
      <c r="P237" s="13"/>
      <c r="Q237" s="14" t="str">
        <f t="shared" si="11"/>
        <v/>
      </c>
      <c r="R237" s="10"/>
      <c r="S237" s="8"/>
      <c r="T237" s="8"/>
      <c r="U237" s="10"/>
      <c r="V237" s="8"/>
    </row>
    <row r="238" spans="1:22">
      <c r="A238" s="8"/>
      <c r="B238" s="8"/>
      <c r="C238" s="8"/>
      <c r="D238" s="8"/>
      <c r="E238" s="8"/>
      <c r="F238" s="8"/>
      <c r="G238" s="8"/>
      <c r="H238" s="13"/>
      <c r="I238" s="13"/>
      <c r="J238" s="8"/>
      <c r="K238" s="13"/>
      <c r="L238" s="13"/>
      <c r="M238" s="14" t="str">
        <f t="shared" si="9"/>
        <v/>
      </c>
      <c r="N238" s="15"/>
      <c r="O238" s="14" t="str">
        <f t="shared" si="10"/>
        <v/>
      </c>
      <c r="P238" s="13"/>
      <c r="Q238" s="14" t="str">
        <f t="shared" si="11"/>
        <v/>
      </c>
      <c r="R238" s="10"/>
      <c r="S238" s="8"/>
      <c r="T238" s="8"/>
      <c r="U238" s="10"/>
      <c r="V238" s="8"/>
    </row>
    <row r="239" spans="1:22">
      <c r="A239" s="8"/>
      <c r="B239" s="8"/>
      <c r="C239" s="8"/>
      <c r="D239" s="8"/>
      <c r="E239" s="8"/>
      <c r="F239" s="8"/>
      <c r="G239" s="8"/>
      <c r="H239" s="13"/>
      <c r="I239" s="13"/>
      <c r="J239" s="8"/>
      <c r="K239" s="13"/>
      <c r="L239" s="13"/>
      <c r="M239" s="14" t="str">
        <f t="shared" si="9"/>
        <v/>
      </c>
      <c r="N239" s="15"/>
      <c r="O239" s="14" t="str">
        <f t="shared" si="10"/>
        <v/>
      </c>
      <c r="P239" s="13"/>
      <c r="Q239" s="14" t="str">
        <f t="shared" si="11"/>
        <v/>
      </c>
      <c r="R239" s="10"/>
      <c r="S239" s="8"/>
      <c r="T239" s="8"/>
      <c r="U239" s="10"/>
      <c r="V239" s="8"/>
    </row>
    <row r="240" spans="1:22">
      <c r="A240" s="8"/>
      <c r="B240" s="8"/>
      <c r="C240" s="8"/>
      <c r="D240" s="8"/>
      <c r="E240" s="8"/>
      <c r="F240" s="8"/>
      <c r="G240" s="8"/>
      <c r="H240" s="13"/>
      <c r="I240" s="13"/>
      <c r="J240" s="8"/>
      <c r="K240" s="13"/>
      <c r="L240" s="13"/>
      <c r="M240" s="14" t="str">
        <f t="shared" si="9"/>
        <v/>
      </c>
      <c r="N240" s="15"/>
      <c r="O240" s="14" t="str">
        <f t="shared" si="10"/>
        <v/>
      </c>
      <c r="P240" s="13"/>
      <c r="Q240" s="14" t="str">
        <f t="shared" si="11"/>
        <v/>
      </c>
      <c r="R240" s="10"/>
      <c r="S240" s="8"/>
      <c r="T240" s="8"/>
      <c r="U240" s="10"/>
      <c r="V240" s="8"/>
    </row>
    <row r="241" spans="1:22">
      <c r="A241" s="8"/>
      <c r="B241" s="8"/>
      <c r="C241" s="8"/>
      <c r="D241" s="8"/>
      <c r="E241" s="8"/>
      <c r="F241" s="8"/>
      <c r="G241" s="8"/>
      <c r="H241" s="13"/>
      <c r="I241" s="13"/>
      <c r="J241" s="8"/>
      <c r="K241" s="13"/>
      <c r="L241" s="13"/>
      <c r="M241" s="14" t="str">
        <f t="shared" si="9"/>
        <v/>
      </c>
      <c r="N241" s="15"/>
      <c r="O241" s="14" t="str">
        <f t="shared" si="10"/>
        <v/>
      </c>
      <c r="P241" s="13"/>
      <c r="Q241" s="14" t="str">
        <f t="shared" si="11"/>
        <v/>
      </c>
      <c r="R241" s="10"/>
      <c r="S241" s="8"/>
      <c r="T241" s="8"/>
      <c r="U241" s="10"/>
      <c r="V241" s="8"/>
    </row>
    <row r="242" spans="1:22">
      <c r="A242" s="8"/>
      <c r="B242" s="8"/>
      <c r="C242" s="8"/>
      <c r="D242" s="8"/>
      <c r="E242" s="8"/>
      <c r="F242" s="8"/>
      <c r="G242" s="8"/>
      <c r="H242" s="13"/>
      <c r="I242" s="13"/>
      <c r="J242" s="8"/>
      <c r="K242" s="13"/>
      <c r="L242" s="13"/>
      <c r="M242" s="14" t="str">
        <f t="shared" si="9"/>
        <v/>
      </c>
      <c r="N242" s="15"/>
      <c r="O242" s="14" t="str">
        <f t="shared" si="10"/>
        <v/>
      </c>
      <c r="P242" s="13"/>
      <c r="Q242" s="14" t="str">
        <f t="shared" si="11"/>
        <v/>
      </c>
      <c r="R242" s="10"/>
      <c r="S242" s="8"/>
      <c r="T242" s="8"/>
      <c r="U242" s="10"/>
      <c r="V242" s="8"/>
    </row>
    <row r="243" spans="1:22">
      <c r="A243" s="8"/>
      <c r="B243" s="8"/>
      <c r="C243" s="8"/>
      <c r="D243" s="8"/>
      <c r="E243" s="8"/>
      <c r="F243" s="8"/>
      <c r="G243" s="8"/>
      <c r="H243" s="13"/>
      <c r="I243" s="13"/>
      <c r="J243" s="8"/>
      <c r="K243" s="13"/>
      <c r="L243" s="13"/>
      <c r="M243" s="14" t="str">
        <f t="shared" si="9"/>
        <v/>
      </c>
      <c r="N243" s="15"/>
      <c r="O243" s="14" t="str">
        <f t="shared" si="10"/>
        <v/>
      </c>
      <c r="P243" s="13"/>
      <c r="Q243" s="14" t="str">
        <f t="shared" si="11"/>
        <v/>
      </c>
      <c r="R243" s="10"/>
      <c r="S243" s="8"/>
      <c r="T243" s="8"/>
      <c r="U243" s="10"/>
      <c r="V243" s="8"/>
    </row>
    <row r="244" spans="1:22">
      <c r="A244" s="8"/>
      <c r="B244" s="8"/>
      <c r="C244" s="8"/>
      <c r="D244" s="8"/>
      <c r="E244" s="8"/>
      <c r="F244" s="8"/>
      <c r="G244" s="8"/>
      <c r="H244" s="13"/>
      <c r="I244" s="13"/>
      <c r="J244" s="8"/>
      <c r="K244" s="13"/>
      <c r="L244" s="13"/>
      <c r="M244" s="14" t="str">
        <f t="shared" si="9"/>
        <v/>
      </c>
      <c r="N244" s="15"/>
      <c r="O244" s="14" t="str">
        <f t="shared" si="10"/>
        <v/>
      </c>
      <c r="P244" s="13"/>
      <c r="Q244" s="14" t="str">
        <f t="shared" si="11"/>
        <v/>
      </c>
      <c r="R244" s="10"/>
      <c r="S244" s="8"/>
      <c r="T244" s="8"/>
      <c r="U244" s="10"/>
      <c r="V244" s="8"/>
    </row>
    <row r="245" spans="1:22">
      <c r="A245" s="8"/>
      <c r="B245" s="8"/>
      <c r="C245" s="8"/>
      <c r="D245" s="8"/>
      <c r="E245" s="8"/>
      <c r="F245" s="8"/>
      <c r="G245" s="8"/>
      <c r="H245" s="13"/>
      <c r="I245" s="13"/>
      <c r="J245" s="8"/>
      <c r="K245" s="13"/>
      <c r="L245" s="13"/>
      <c r="M245" s="14" t="str">
        <f t="shared" si="9"/>
        <v/>
      </c>
      <c r="N245" s="15"/>
      <c r="O245" s="14" t="str">
        <f t="shared" si="10"/>
        <v/>
      </c>
      <c r="P245" s="13"/>
      <c r="Q245" s="14" t="str">
        <f t="shared" si="11"/>
        <v/>
      </c>
      <c r="R245" s="10"/>
      <c r="S245" s="8"/>
      <c r="T245" s="8"/>
      <c r="U245" s="10"/>
      <c r="V245" s="8"/>
    </row>
    <row r="246" spans="1:22">
      <c r="A246" s="8"/>
      <c r="B246" s="8"/>
      <c r="C246" s="8"/>
      <c r="D246" s="8"/>
      <c r="E246" s="8"/>
      <c r="F246" s="8"/>
      <c r="G246" s="8"/>
      <c r="H246" s="13"/>
      <c r="I246" s="13"/>
      <c r="J246" s="8"/>
      <c r="K246" s="13"/>
      <c r="L246" s="13"/>
      <c r="M246" s="14" t="str">
        <f t="shared" si="9"/>
        <v/>
      </c>
      <c r="N246" s="15"/>
      <c r="O246" s="14" t="str">
        <f t="shared" si="10"/>
        <v/>
      </c>
      <c r="P246" s="13"/>
      <c r="Q246" s="14" t="str">
        <f t="shared" si="11"/>
        <v/>
      </c>
      <c r="R246" s="10"/>
      <c r="S246" s="8"/>
      <c r="T246" s="8"/>
      <c r="U246" s="10"/>
      <c r="V246" s="8"/>
    </row>
    <row r="247" spans="1:22">
      <c r="A247" s="8"/>
      <c r="B247" s="8"/>
      <c r="C247" s="8"/>
      <c r="D247" s="8"/>
      <c r="E247" s="8"/>
      <c r="F247" s="8"/>
      <c r="G247" s="8"/>
      <c r="H247" s="13"/>
      <c r="I247" s="13"/>
      <c r="J247" s="8"/>
      <c r="K247" s="13"/>
      <c r="L247" s="13"/>
      <c r="M247" s="14" t="str">
        <f t="shared" si="9"/>
        <v/>
      </c>
      <c r="N247" s="15"/>
      <c r="O247" s="14" t="str">
        <f t="shared" si="10"/>
        <v/>
      </c>
      <c r="P247" s="13"/>
      <c r="Q247" s="14" t="str">
        <f t="shared" si="11"/>
        <v/>
      </c>
      <c r="R247" s="10"/>
      <c r="S247" s="8"/>
      <c r="T247" s="8"/>
      <c r="U247" s="10"/>
      <c r="V247" s="8"/>
    </row>
    <row r="248" spans="1:22">
      <c r="A248" s="8"/>
      <c r="B248" s="8"/>
      <c r="C248" s="8"/>
      <c r="D248" s="8"/>
      <c r="E248" s="8"/>
      <c r="F248" s="8"/>
      <c r="G248" s="8"/>
      <c r="H248" s="13"/>
      <c r="I248" s="13"/>
      <c r="J248" s="8"/>
      <c r="K248" s="13"/>
      <c r="L248" s="13"/>
      <c r="M248" s="14" t="str">
        <f t="shared" si="9"/>
        <v/>
      </c>
      <c r="N248" s="15"/>
      <c r="O248" s="14" t="str">
        <f t="shared" si="10"/>
        <v/>
      </c>
      <c r="P248" s="13"/>
      <c r="Q248" s="14" t="str">
        <f t="shared" si="11"/>
        <v/>
      </c>
      <c r="R248" s="10"/>
      <c r="S248" s="8"/>
      <c r="T248" s="8"/>
      <c r="U248" s="10"/>
      <c r="V248" s="8"/>
    </row>
    <row r="249" spans="1:22">
      <c r="A249" s="8"/>
      <c r="B249" s="8"/>
      <c r="C249" s="8"/>
      <c r="D249" s="8"/>
      <c r="E249" s="8"/>
      <c r="F249" s="8"/>
      <c r="G249" s="8"/>
      <c r="H249" s="13"/>
      <c r="I249" s="13"/>
      <c r="J249" s="8"/>
      <c r="K249" s="13"/>
      <c r="L249" s="13"/>
      <c r="M249" s="14" t="str">
        <f t="shared" si="9"/>
        <v/>
      </c>
      <c r="N249" s="15"/>
      <c r="O249" s="14" t="str">
        <f t="shared" si="10"/>
        <v/>
      </c>
      <c r="P249" s="13"/>
      <c r="Q249" s="14" t="str">
        <f t="shared" si="11"/>
        <v/>
      </c>
      <c r="R249" s="10"/>
      <c r="S249" s="8"/>
      <c r="T249" s="8"/>
      <c r="U249" s="10"/>
      <c r="V249" s="8"/>
    </row>
    <row r="250" spans="1:22">
      <c r="A250" s="8"/>
      <c r="B250" s="8"/>
      <c r="C250" s="8"/>
      <c r="D250" s="8"/>
      <c r="E250" s="8"/>
      <c r="F250" s="8"/>
      <c r="G250" s="8"/>
      <c r="H250" s="13"/>
      <c r="I250" s="13"/>
      <c r="J250" s="8"/>
      <c r="K250" s="13"/>
      <c r="L250" s="13"/>
      <c r="M250" s="14" t="str">
        <f t="shared" si="9"/>
        <v/>
      </c>
      <c r="N250" s="15"/>
      <c r="O250" s="14" t="str">
        <f t="shared" si="10"/>
        <v/>
      </c>
      <c r="P250" s="13"/>
      <c r="Q250" s="14" t="str">
        <f t="shared" si="11"/>
        <v/>
      </c>
      <c r="R250" s="10"/>
      <c r="S250" s="8"/>
      <c r="T250" s="8"/>
      <c r="U250" s="10"/>
      <c r="V250" s="8"/>
    </row>
    <row r="251" spans="1:22">
      <c r="A251" s="8"/>
      <c r="B251" s="8"/>
      <c r="C251" s="8"/>
      <c r="D251" s="8"/>
      <c r="E251" s="8"/>
      <c r="F251" s="8"/>
      <c r="G251" s="8"/>
      <c r="H251" s="13"/>
      <c r="I251" s="13"/>
      <c r="J251" s="8"/>
      <c r="K251" s="13"/>
      <c r="L251" s="13"/>
      <c r="M251" s="14" t="str">
        <f t="shared" si="9"/>
        <v/>
      </c>
      <c r="N251" s="15"/>
      <c r="O251" s="14" t="str">
        <f t="shared" si="10"/>
        <v/>
      </c>
      <c r="P251" s="13"/>
      <c r="Q251" s="14" t="str">
        <f t="shared" si="11"/>
        <v/>
      </c>
      <c r="R251" s="10"/>
      <c r="S251" s="8"/>
      <c r="T251" s="8"/>
      <c r="U251" s="10"/>
      <c r="V251" s="8"/>
    </row>
    <row r="252" spans="1:22">
      <c r="A252" s="8"/>
      <c r="B252" s="8"/>
      <c r="C252" s="8"/>
      <c r="D252" s="8"/>
      <c r="E252" s="8"/>
      <c r="F252" s="8"/>
      <c r="G252" s="8"/>
      <c r="H252" s="13"/>
      <c r="I252" s="13"/>
      <c r="J252" s="8"/>
      <c r="K252" s="13"/>
      <c r="L252" s="13"/>
      <c r="M252" s="14" t="str">
        <f t="shared" si="9"/>
        <v/>
      </c>
      <c r="N252" s="15"/>
      <c r="O252" s="14" t="str">
        <f t="shared" si="10"/>
        <v/>
      </c>
      <c r="P252" s="13"/>
      <c r="Q252" s="14" t="str">
        <f t="shared" si="11"/>
        <v/>
      </c>
      <c r="R252" s="10"/>
      <c r="S252" s="8"/>
      <c r="T252" s="8"/>
      <c r="U252" s="10"/>
      <c r="V252" s="8"/>
    </row>
    <row r="253" spans="1:22">
      <c r="A253" s="8"/>
      <c r="B253" s="8"/>
      <c r="C253" s="8"/>
      <c r="D253" s="8"/>
      <c r="E253" s="8"/>
      <c r="F253" s="8"/>
      <c r="G253" s="8"/>
      <c r="H253" s="13"/>
      <c r="I253" s="13"/>
      <c r="J253" s="8"/>
      <c r="K253" s="13"/>
      <c r="L253" s="13"/>
      <c r="M253" s="14" t="str">
        <f t="shared" si="9"/>
        <v/>
      </c>
      <c r="N253" s="15"/>
      <c r="O253" s="14" t="str">
        <f t="shared" si="10"/>
        <v/>
      </c>
      <c r="P253" s="13"/>
      <c r="Q253" s="14" t="str">
        <f t="shared" si="11"/>
        <v/>
      </c>
      <c r="R253" s="10"/>
      <c r="S253" s="8"/>
      <c r="T253" s="8"/>
      <c r="U253" s="10"/>
      <c r="V253" s="8"/>
    </row>
    <row r="254" spans="1:22">
      <c r="A254" s="8"/>
      <c r="B254" s="8"/>
      <c r="C254" s="8"/>
      <c r="D254" s="8"/>
      <c r="E254" s="8"/>
      <c r="F254" s="8"/>
      <c r="G254" s="8"/>
      <c r="H254" s="13"/>
      <c r="I254" s="13"/>
      <c r="J254" s="8"/>
      <c r="K254" s="13"/>
      <c r="L254" s="13"/>
      <c r="M254" s="14" t="str">
        <f t="shared" si="9"/>
        <v/>
      </c>
      <c r="N254" s="15"/>
      <c r="O254" s="14" t="str">
        <f t="shared" si="10"/>
        <v/>
      </c>
      <c r="P254" s="13"/>
      <c r="Q254" s="14" t="str">
        <f t="shared" si="11"/>
        <v/>
      </c>
      <c r="R254" s="10"/>
      <c r="S254" s="8"/>
      <c r="T254" s="8"/>
      <c r="U254" s="10"/>
      <c r="V254" s="8"/>
    </row>
    <row r="255" spans="1:22">
      <c r="A255" s="8"/>
      <c r="B255" s="8"/>
      <c r="C255" s="8"/>
      <c r="D255" s="8"/>
      <c r="E255" s="8"/>
      <c r="F255" s="8"/>
      <c r="G255" s="8"/>
      <c r="H255" s="13"/>
      <c r="I255" s="13"/>
      <c r="J255" s="8"/>
      <c r="K255" s="13"/>
      <c r="L255" s="13"/>
      <c r="M255" s="14" t="str">
        <f t="shared" si="9"/>
        <v/>
      </c>
      <c r="N255" s="15"/>
      <c r="O255" s="14" t="str">
        <f t="shared" si="10"/>
        <v/>
      </c>
      <c r="P255" s="13"/>
      <c r="Q255" s="14" t="str">
        <f t="shared" si="11"/>
        <v/>
      </c>
      <c r="R255" s="10"/>
      <c r="S255" s="8"/>
      <c r="T255" s="8"/>
      <c r="U255" s="10"/>
      <c r="V255" s="8"/>
    </row>
    <row r="256" spans="1:22">
      <c r="A256" s="8"/>
      <c r="B256" s="8"/>
      <c r="C256" s="8"/>
      <c r="D256" s="8"/>
      <c r="E256" s="8"/>
      <c r="F256" s="8"/>
      <c r="G256" s="8"/>
      <c r="H256" s="13"/>
      <c r="I256" s="13"/>
      <c r="J256" s="8"/>
      <c r="K256" s="13"/>
      <c r="L256" s="13"/>
      <c r="M256" s="14" t="str">
        <f t="shared" si="9"/>
        <v/>
      </c>
      <c r="N256" s="15"/>
      <c r="O256" s="14" t="str">
        <f t="shared" si="10"/>
        <v/>
      </c>
      <c r="P256" s="13"/>
      <c r="Q256" s="14" t="str">
        <f t="shared" si="11"/>
        <v/>
      </c>
      <c r="R256" s="10"/>
      <c r="S256" s="8"/>
      <c r="T256" s="8"/>
      <c r="U256" s="10"/>
      <c r="V256" s="8"/>
    </row>
    <row r="257" spans="1:22">
      <c r="A257" s="8"/>
      <c r="B257" s="8"/>
      <c r="C257" s="8"/>
      <c r="D257" s="8"/>
      <c r="E257" s="8"/>
      <c r="F257" s="8"/>
      <c r="G257" s="8"/>
      <c r="H257" s="13"/>
      <c r="I257" s="13"/>
      <c r="J257" s="8"/>
      <c r="K257" s="13"/>
      <c r="L257" s="13"/>
      <c r="M257" s="14" t="str">
        <f t="shared" si="9"/>
        <v/>
      </c>
      <c r="N257" s="15"/>
      <c r="O257" s="14" t="str">
        <f t="shared" si="10"/>
        <v/>
      </c>
      <c r="P257" s="13"/>
      <c r="Q257" s="14" t="str">
        <f t="shared" si="11"/>
        <v/>
      </c>
      <c r="R257" s="10"/>
      <c r="S257" s="8"/>
      <c r="T257" s="8"/>
      <c r="U257" s="10"/>
      <c r="V257" s="8"/>
    </row>
    <row r="258" spans="1:22">
      <c r="A258" s="8"/>
      <c r="B258" s="8"/>
      <c r="C258" s="8"/>
      <c r="D258" s="8"/>
      <c r="E258" s="8"/>
      <c r="F258" s="8"/>
      <c r="G258" s="8"/>
      <c r="H258" s="13"/>
      <c r="I258" s="13"/>
      <c r="J258" s="8"/>
      <c r="K258" s="13"/>
      <c r="L258" s="13"/>
      <c r="M258" s="14" t="str">
        <f t="shared" si="9"/>
        <v/>
      </c>
      <c r="N258" s="15"/>
      <c r="O258" s="14" t="str">
        <f t="shared" si="10"/>
        <v/>
      </c>
      <c r="P258" s="13"/>
      <c r="Q258" s="14" t="str">
        <f t="shared" si="11"/>
        <v/>
      </c>
      <c r="R258" s="10"/>
      <c r="S258" s="8"/>
      <c r="T258" s="8"/>
      <c r="U258" s="10"/>
      <c r="V258" s="8"/>
    </row>
    <row r="259" spans="1:22">
      <c r="A259" s="8"/>
      <c r="B259" s="8"/>
      <c r="C259" s="8"/>
      <c r="D259" s="8"/>
      <c r="E259" s="8"/>
      <c r="F259" s="8"/>
      <c r="G259" s="8"/>
      <c r="H259" s="13"/>
      <c r="I259" s="13"/>
      <c r="J259" s="8"/>
      <c r="K259" s="13"/>
      <c r="L259" s="13"/>
      <c r="M259" s="14" t="str">
        <f t="shared" si="9"/>
        <v/>
      </c>
      <c r="N259" s="15"/>
      <c r="O259" s="14" t="str">
        <f t="shared" si="10"/>
        <v/>
      </c>
      <c r="P259" s="13"/>
      <c r="Q259" s="14" t="str">
        <f t="shared" si="11"/>
        <v/>
      </c>
      <c r="R259" s="10"/>
      <c r="S259" s="8"/>
      <c r="T259" s="8"/>
      <c r="U259" s="10"/>
      <c r="V259" s="8"/>
    </row>
    <row r="260" spans="1:22">
      <c r="A260" s="8"/>
      <c r="B260" s="8"/>
      <c r="C260" s="8"/>
      <c r="D260" s="8"/>
      <c r="E260" s="8"/>
      <c r="F260" s="8"/>
      <c r="G260" s="8"/>
      <c r="H260" s="13"/>
      <c r="I260" s="13"/>
      <c r="J260" s="8"/>
      <c r="K260" s="13"/>
      <c r="L260" s="13"/>
      <c r="M260" s="14" t="str">
        <f t="shared" si="9"/>
        <v/>
      </c>
      <c r="N260" s="15"/>
      <c r="O260" s="14" t="str">
        <f t="shared" si="10"/>
        <v/>
      </c>
      <c r="P260" s="13"/>
      <c r="Q260" s="14" t="str">
        <f t="shared" si="11"/>
        <v/>
      </c>
      <c r="R260" s="10"/>
      <c r="S260" s="8"/>
      <c r="T260" s="8"/>
      <c r="U260" s="10"/>
      <c r="V260" s="8"/>
    </row>
    <row r="261" spans="1:22">
      <c r="A261" s="8"/>
      <c r="B261" s="8"/>
      <c r="C261" s="8"/>
      <c r="D261" s="8"/>
      <c r="E261" s="8"/>
      <c r="F261" s="8"/>
      <c r="G261" s="8"/>
      <c r="H261" s="13"/>
      <c r="I261" s="13"/>
      <c r="J261" s="8"/>
      <c r="K261" s="13"/>
      <c r="L261" s="13"/>
      <c r="M261" s="14" t="str">
        <f t="shared" ref="M261:M324" si="12">IF(A261="","",K261*L261)</f>
        <v/>
      </c>
      <c r="N261" s="15"/>
      <c r="O261" s="14" t="str">
        <f t="shared" ref="O261:O324" si="13">IF(A261="","",M261*N261)</f>
        <v/>
      </c>
      <c r="P261" s="13"/>
      <c r="Q261" s="14" t="str">
        <f t="shared" ref="Q261:Q324" si="14">IF(A261="","",MAX(0,M261+O261-P261))</f>
        <v/>
      </c>
      <c r="R261" s="10"/>
      <c r="S261" s="8"/>
      <c r="T261" s="8"/>
      <c r="U261" s="10"/>
      <c r="V261" s="8"/>
    </row>
    <row r="262" spans="1:22">
      <c r="A262" s="8"/>
      <c r="B262" s="8"/>
      <c r="C262" s="8"/>
      <c r="D262" s="8"/>
      <c r="E262" s="8"/>
      <c r="F262" s="8"/>
      <c r="G262" s="8"/>
      <c r="H262" s="13"/>
      <c r="I262" s="13"/>
      <c r="J262" s="8"/>
      <c r="K262" s="13"/>
      <c r="L262" s="13"/>
      <c r="M262" s="14" t="str">
        <f t="shared" si="12"/>
        <v/>
      </c>
      <c r="N262" s="15"/>
      <c r="O262" s="14" t="str">
        <f t="shared" si="13"/>
        <v/>
      </c>
      <c r="P262" s="13"/>
      <c r="Q262" s="14" t="str">
        <f t="shared" si="14"/>
        <v/>
      </c>
      <c r="R262" s="10"/>
      <c r="S262" s="8"/>
      <c r="T262" s="8"/>
      <c r="U262" s="10"/>
      <c r="V262" s="8"/>
    </row>
    <row r="263" spans="1:22">
      <c r="A263" s="8"/>
      <c r="B263" s="8"/>
      <c r="C263" s="8"/>
      <c r="D263" s="8"/>
      <c r="E263" s="8"/>
      <c r="F263" s="8"/>
      <c r="G263" s="8"/>
      <c r="H263" s="13"/>
      <c r="I263" s="13"/>
      <c r="J263" s="8"/>
      <c r="K263" s="13"/>
      <c r="L263" s="13"/>
      <c r="M263" s="14" t="str">
        <f t="shared" si="12"/>
        <v/>
      </c>
      <c r="N263" s="15"/>
      <c r="O263" s="14" t="str">
        <f t="shared" si="13"/>
        <v/>
      </c>
      <c r="P263" s="13"/>
      <c r="Q263" s="14" t="str">
        <f t="shared" si="14"/>
        <v/>
      </c>
      <c r="R263" s="10"/>
      <c r="S263" s="8"/>
      <c r="T263" s="8"/>
      <c r="U263" s="10"/>
      <c r="V263" s="8"/>
    </row>
    <row r="264" spans="1:22">
      <c r="A264" s="8"/>
      <c r="B264" s="8"/>
      <c r="C264" s="8"/>
      <c r="D264" s="8"/>
      <c r="E264" s="8"/>
      <c r="F264" s="8"/>
      <c r="G264" s="8"/>
      <c r="H264" s="13"/>
      <c r="I264" s="13"/>
      <c r="J264" s="8"/>
      <c r="K264" s="13"/>
      <c r="L264" s="13"/>
      <c r="M264" s="14" t="str">
        <f t="shared" si="12"/>
        <v/>
      </c>
      <c r="N264" s="15"/>
      <c r="O264" s="14" t="str">
        <f t="shared" si="13"/>
        <v/>
      </c>
      <c r="P264" s="13"/>
      <c r="Q264" s="14" t="str">
        <f t="shared" si="14"/>
        <v/>
      </c>
      <c r="R264" s="10"/>
      <c r="S264" s="8"/>
      <c r="T264" s="8"/>
      <c r="U264" s="10"/>
      <c r="V264" s="8"/>
    </row>
    <row r="265" spans="1:22">
      <c r="A265" s="8"/>
      <c r="B265" s="8"/>
      <c r="C265" s="8"/>
      <c r="D265" s="8"/>
      <c r="E265" s="8"/>
      <c r="F265" s="8"/>
      <c r="G265" s="8"/>
      <c r="H265" s="13"/>
      <c r="I265" s="13"/>
      <c r="J265" s="8"/>
      <c r="K265" s="13"/>
      <c r="L265" s="13"/>
      <c r="M265" s="14" t="str">
        <f t="shared" si="12"/>
        <v/>
      </c>
      <c r="N265" s="15"/>
      <c r="O265" s="14" t="str">
        <f t="shared" si="13"/>
        <v/>
      </c>
      <c r="P265" s="13"/>
      <c r="Q265" s="14" t="str">
        <f t="shared" si="14"/>
        <v/>
      </c>
      <c r="R265" s="10"/>
      <c r="S265" s="8"/>
      <c r="T265" s="8"/>
      <c r="U265" s="10"/>
      <c r="V265" s="8"/>
    </row>
    <row r="266" spans="1:22">
      <c r="A266" s="8"/>
      <c r="B266" s="8"/>
      <c r="C266" s="8"/>
      <c r="D266" s="8"/>
      <c r="E266" s="8"/>
      <c r="F266" s="8"/>
      <c r="G266" s="8"/>
      <c r="H266" s="13"/>
      <c r="I266" s="13"/>
      <c r="J266" s="8"/>
      <c r="K266" s="13"/>
      <c r="L266" s="13"/>
      <c r="M266" s="14" t="str">
        <f t="shared" si="12"/>
        <v/>
      </c>
      <c r="N266" s="15"/>
      <c r="O266" s="14" t="str">
        <f t="shared" si="13"/>
        <v/>
      </c>
      <c r="P266" s="13"/>
      <c r="Q266" s="14" t="str">
        <f t="shared" si="14"/>
        <v/>
      </c>
      <c r="R266" s="10"/>
      <c r="S266" s="8"/>
      <c r="T266" s="8"/>
      <c r="U266" s="10"/>
      <c r="V266" s="8"/>
    </row>
    <row r="267" spans="1:22">
      <c r="A267" s="8"/>
      <c r="B267" s="8"/>
      <c r="C267" s="8"/>
      <c r="D267" s="8"/>
      <c r="E267" s="8"/>
      <c r="F267" s="8"/>
      <c r="G267" s="8"/>
      <c r="H267" s="13"/>
      <c r="I267" s="13"/>
      <c r="J267" s="8"/>
      <c r="K267" s="13"/>
      <c r="L267" s="13"/>
      <c r="M267" s="14" t="str">
        <f t="shared" si="12"/>
        <v/>
      </c>
      <c r="N267" s="15"/>
      <c r="O267" s="14" t="str">
        <f t="shared" si="13"/>
        <v/>
      </c>
      <c r="P267" s="13"/>
      <c r="Q267" s="14" t="str">
        <f t="shared" si="14"/>
        <v/>
      </c>
      <c r="R267" s="10"/>
      <c r="S267" s="8"/>
      <c r="T267" s="8"/>
      <c r="U267" s="10"/>
      <c r="V267" s="8"/>
    </row>
    <row r="268" spans="1:22">
      <c r="A268" s="8"/>
      <c r="B268" s="8"/>
      <c r="C268" s="8"/>
      <c r="D268" s="8"/>
      <c r="E268" s="8"/>
      <c r="F268" s="8"/>
      <c r="G268" s="8"/>
      <c r="H268" s="13"/>
      <c r="I268" s="13"/>
      <c r="J268" s="8"/>
      <c r="K268" s="13"/>
      <c r="L268" s="13"/>
      <c r="M268" s="14" t="str">
        <f t="shared" si="12"/>
        <v/>
      </c>
      <c r="N268" s="15"/>
      <c r="O268" s="14" t="str">
        <f t="shared" si="13"/>
        <v/>
      </c>
      <c r="P268" s="13"/>
      <c r="Q268" s="14" t="str">
        <f t="shared" si="14"/>
        <v/>
      </c>
      <c r="R268" s="10"/>
      <c r="S268" s="8"/>
      <c r="T268" s="8"/>
      <c r="U268" s="10"/>
      <c r="V268" s="8"/>
    </row>
    <row r="269" spans="1:22">
      <c r="A269" s="8"/>
      <c r="B269" s="8"/>
      <c r="C269" s="8"/>
      <c r="D269" s="8"/>
      <c r="E269" s="8"/>
      <c r="F269" s="8"/>
      <c r="G269" s="8"/>
      <c r="H269" s="13"/>
      <c r="I269" s="13"/>
      <c r="J269" s="8"/>
      <c r="K269" s="13"/>
      <c r="L269" s="13"/>
      <c r="M269" s="14" t="str">
        <f t="shared" si="12"/>
        <v/>
      </c>
      <c r="N269" s="15"/>
      <c r="O269" s="14" t="str">
        <f t="shared" si="13"/>
        <v/>
      </c>
      <c r="P269" s="13"/>
      <c r="Q269" s="14" t="str">
        <f t="shared" si="14"/>
        <v/>
      </c>
      <c r="R269" s="10"/>
      <c r="S269" s="8"/>
      <c r="T269" s="8"/>
      <c r="U269" s="10"/>
      <c r="V269" s="8"/>
    </row>
    <row r="270" spans="1:22">
      <c r="A270" s="8"/>
      <c r="B270" s="8"/>
      <c r="C270" s="8"/>
      <c r="D270" s="8"/>
      <c r="E270" s="8"/>
      <c r="F270" s="8"/>
      <c r="G270" s="8"/>
      <c r="H270" s="13"/>
      <c r="I270" s="13"/>
      <c r="J270" s="8"/>
      <c r="K270" s="13"/>
      <c r="L270" s="13"/>
      <c r="M270" s="14" t="str">
        <f t="shared" si="12"/>
        <v/>
      </c>
      <c r="N270" s="15"/>
      <c r="O270" s="14" t="str">
        <f t="shared" si="13"/>
        <v/>
      </c>
      <c r="P270" s="13"/>
      <c r="Q270" s="14" t="str">
        <f t="shared" si="14"/>
        <v/>
      </c>
      <c r="R270" s="10"/>
      <c r="S270" s="8"/>
      <c r="T270" s="8"/>
      <c r="U270" s="10"/>
      <c r="V270" s="8"/>
    </row>
    <row r="271" spans="1:22">
      <c r="A271" s="8"/>
      <c r="B271" s="8"/>
      <c r="C271" s="8"/>
      <c r="D271" s="8"/>
      <c r="E271" s="8"/>
      <c r="F271" s="8"/>
      <c r="G271" s="8"/>
      <c r="H271" s="13"/>
      <c r="I271" s="13"/>
      <c r="J271" s="8"/>
      <c r="K271" s="13"/>
      <c r="L271" s="13"/>
      <c r="M271" s="14" t="str">
        <f t="shared" si="12"/>
        <v/>
      </c>
      <c r="N271" s="15"/>
      <c r="O271" s="14" t="str">
        <f t="shared" si="13"/>
        <v/>
      </c>
      <c r="P271" s="13"/>
      <c r="Q271" s="14" t="str">
        <f t="shared" si="14"/>
        <v/>
      </c>
      <c r="R271" s="10"/>
      <c r="S271" s="8"/>
      <c r="T271" s="8"/>
      <c r="U271" s="10"/>
      <c r="V271" s="8"/>
    </row>
    <row r="272" spans="1:22">
      <c r="A272" s="8"/>
      <c r="B272" s="8"/>
      <c r="C272" s="8"/>
      <c r="D272" s="8"/>
      <c r="E272" s="8"/>
      <c r="F272" s="8"/>
      <c r="G272" s="8"/>
      <c r="H272" s="13"/>
      <c r="I272" s="13"/>
      <c r="J272" s="8"/>
      <c r="K272" s="13"/>
      <c r="L272" s="13"/>
      <c r="M272" s="14" t="str">
        <f t="shared" si="12"/>
        <v/>
      </c>
      <c r="N272" s="15"/>
      <c r="O272" s="14" t="str">
        <f t="shared" si="13"/>
        <v/>
      </c>
      <c r="P272" s="13"/>
      <c r="Q272" s="14" t="str">
        <f t="shared" si="14"/>
        <v/>
      </c>
      <c r="R272" s="10"/>
      <c r="S272" s="8"/>
      <c r="T272" s="8"/>
      <c r="U272" s="10"/>
      <c r="V272" s="8"/>
    </row>
    <row r="273" spans="1:22">
      <c r="A273" s="8"/>
      <c r="B273" s="8"/>
      <c r="C273" s="8"/>
      <c r="D273" s="8"/>
      <c r="E273" s="8"/>
      <c r="F273" s="8"/>
      <c r="G273" s="8"/>
      <c r="H273" s="13"/>
      <c r="I273" s="13"/>
      <c r="J273" s="8"/>
      <c r="K273" s="13"/>
      <c r="L273" s="13"/>
      <c r="M273" s="14" t="str">
        <f t="shared" si="12"/>
        <v/>
      </c>
      <c r="N273" s="15"/>
      <c r="O273" s="14" t="str">
        <f t="shared" si="13"/>
        <v/>
      </c>
      <c r="P273" s="13"/>
      <c r="Q273" s="14" t="str">
        <f t="shared" si="14"/>
        <v/>
      </c>
      <c r="R273" s="10"/>
      <c r="S273" s="8"/>
      <c r="T273" s="8"/>
      <c r="U273" s="10"/>
      <c r="V273" s="8"/>
    </row>
    <row r="274" spans="1:22">
      <c r="A274" s="8"/>
      <c r="B274" s="8"/>
      <c r="C274" s="8"/>
      <c r="D274" s="8"/>
      <c r="E274" s="8"/>
      <c r="F274" s="8"/>
      <c r="G274" s="8"/>
      <c r="H274" s="13"/>
      <c r="I274" s="13"/>
      <c r="J274" s="8"/>
      <c r="K274" s="13"/>
      <c r="L274" s="13"/>
      <c r="M274" s="14" t="str">
        <f t="shared" si="12"/>
        <v/>
      </c>
      <c r="N274" s="15"/>
      <c r="O274" s="14" t="str">
        <f t="shared" si="13"/>
        <v/>
      </c>
      <c r="P274" s="13"/>
      <c r="Q274" s="14" t="str">
        <f t="shared" si="14"/>
        <v/>
      </c>
      <c r="R274" s="10"/>
      <c r="S274" s="8"/>
      <c r="T274" s="8"/>
      <c r="U274" s="10"/>
      <c r="V274" s="8"/>
    </row>
    <row r="275" spans="1:22">
      <c r="A275" s="8"/>
      <c r="B275" s="8"/>
      <c r="C275" s="8"/>
      <c r="D275" s="8"/>
      <c r="E275" s="8"/>
      <c r="F275" s="8"/>
      <c r="G275" s="8"/>
      <c r="H275" s="13"/>
      <c r="I275" s="13"/>
      <c r="J275" s="8"/>
      <c r="K275" s="13"/>
      <c r="L275" s="13"/>
      <c r="M275" s="14" t="str">
        <f t="shared" si="12"/>
        <v/>
      </c>
      <c r="N275" s="15"/>
      <c r="O275" s="14" t="str">
        <f t="shared" si="13"/>
        <v/>
      </c>
      <c r="P275" s="13"/>
      <c r="Q275" s="14" t="str">
        <f t="shared" si="14"/>
        <v/>
      </c>
      <c r="R275" s="10"/>
      <c r="S275" s="8"/>
      <c r="T275" s="8"/>
      <c r="U275" s="10"/>
      <c r="V275" s="8"/>
    </row>
    <row r="276" spans="1:22">
      <c r="A276" s="8"/>
      <c r="B276" s="8"/>
      <c r="C276" s="8"/>
      <c r="D276" s="8"/>
      <c r="E276" s="8"/>
      <c r="F276" s="8"/>
      <c r="G276" s="8"/>
      <c r="H276" s="13"/>
      <c r="I276" s="13"/>
      <c r="J276" s="8"/>
      <c r="K276" s="13"/>
      <c r="L276" s="13"/>
      <c r="M276" s="14" t="str">
        <f t="shared" si="12"/>
        <v/>
      </c>
      <c r="N276" s="15"/>
      <c r="O276" s="14" t="str">
        <f t="shared" si="13"/>
        <v/>
      </c>
      <c r="P276" s="13"/>
      <c r="Q276" s="14" t="str">
        <f t="shared" si="14"/>
        <v/>
      </c>
      <c r="R276" s="10"/>
      <c r="S276" s="8"/>
      <c r="T276" s="8"/>
      <c r="U276" s="10"/>
      <c r="V276" s="8"/>
    </row>
    <row r="277" spans="1:22">
      <c r="A277" s="8"/>
      <c r="B277" s="8"/>
      <c r="C277" s="8"/>
      <c r="D277" s="8"/>
      <c r="E277" s="8"/>
      <c r="F277" s="8"/>
      <c r="G277" s="8"/>
      <c r="H277" s="13"/>
      <c r="I277" s="13"/>
      <c r="J277" s="8"/>
      <c r="K277" s="13"/>
      <c r="L277" s="13"/>
      <c r="M277" s="14" t="str">
        <f t="shared" si="12"/>
        <v/>
      </c>
      <c r="N277" s="15"/>
      <c r="O277" s="14" t="str">
        <f t="shared" si="13"/>
        <v/>
      </c>
      <c r="P277" s="13"/>
      <c r="Q277" s="14" t="str">
        <f t="shared" si="14"/>
        <v/>
      </c>
      <c r="R277" s="10"/>
      <c r="S277" s="8"/>
      <c r="T277" s="8"/>
      <c r="U277" s="10"/>
      <c r="V277" s="8"/>
    </row>
    <row r="278" spans="1:22">
      <c r="A278" s="8"/>
      <c r="B278" s="8"/>
      <c r="C278" s="8"/>
      <c r="D278" s="8"/>
      <c r="E278" s="8"/>
      <c r="F278" s="8"/>
      <c r="G278" s="8"/>
      <c r="H278" s="13"/>
      <c r="I278" s="13"/>
      <c r="J278" s="8"/>
      <c r="K278" s="13"/>
      <c r="L278" s="13"/>
      <c r="M278" s="14" t="str">
        <f t="shared" si="12"/>
        <v/>
      </c>
      <c r="N278" s="15"/>
      <c r="O278" s="14" t="str">
        <f t="shared" si="13"/>
        <v/>
      </c>
      <c r="P278" s="13"/>
      <c r="Q278" s="14" t="str">
        <f t="shared" si="14"/>
        <v/>
      </c>
      <c r="R278" s="10"/>
      <c r="S278" s="8"/>
      <c r="T278" s="8"/>
      <c r="U278" s="10"/>
      <c r="V278" s="8"/>
    </row>
    <row r="279" spans="1:22">
      <c r="A279" s="8"/>
      <c r="B279" s="8"/>
      <c r="C279" s="8"/>
      <c r="D279" s="8"/>
      <c r="E279" s="8"/>
      <c r="F279" s="8"/>
      <c r="G279" s="8"/>
      <c r="H279" s="13"/>
      <c r="I279" s="13"/>
      <c r="J279" s="8"/>
      <c r="K279" s="13"/>
      <c r="L279" s="13"/>
      <c r="M279" s="14" t="str">
        <f t="shared" si="12"/>
        <v/>
      </c>
      <c r="N279" s="15"/>
      <c r="O279" s="14" t="str">
        <f t="shared" si="13"/>
        <v/>
      </c>
      <c r="P279" s="13"/>
      <c r="Q279" s="14" t="str">
        <f t="shared" si="14"/>
        <v/>
      </c>
      <c r="R279" s="10"/>
      <c r="S279" s="8"/>
      <c r="T279" s="8"/>
      <c r="U279" s="10"/>
      <c r="V279" s="8"/>
    </row>
    <row r="280" spans="1:22">
      <c r="A280" s="8"/>
      <c r="B280" s="8"/>
      <c r="C280" s="8"/>
      <c r="D280" s="8"/>
      <c r="E280" s="8"/>
      <c r="F280" s="8"/>
      <c r="G280" s="8"/>
      <c r="H280" s="13"/>
      <c r="I280" s="13"/>
      <c r="J280" s="8"/>
      <c r="K280" s="13"/>
      <c r="L280" s="13"/>
      <c r="M280" s="14" t="str">
        <f t="shared" si="12"/>
        <v/>
      </c>
      <c r="N280" s="15"/>
      <c r="O280" s="14" t="str">
        <f t="shared" si="13"/>
        <v/>
      </c>
      <c r="P280" s="13"/>
      <c r="Q280" s="14" t="str">
        <f t="shared" si="14"/>
        <v/>
      </c>
      <c r="R280" s="10"/>
      <c r="S280" s="8"/>
      <c r="T280" s="8"/>
      <c r="U280" s="10"/>
      <c r="V280" s="8"/>
    </row>
    <row r="281" spans="1:22">
      <c r="A281" s="8"/>
      <c r="B281" s="8"/>
      <c r="C281" s="8"/>
      <c r="D281" s="8"/>
      <c r="E281" s="8"/>
      <c r="F281" s="8"/>
      <c r="G281" s="8"/>
      <c r="H281" s="13"/>
      <c r="I281" s="13"/>
      <c r="J281" s="8"/>
      <c r="K281" s="13"/>
      <c r="L281" s="13"/>
      <c r="M281" s="14" t="str">
        <f t="shared" si="12"/>
        <v/>
      </c>
      <c r="N281" s="15"/>
      <c r="O281" s="14" t="str">
        <f t="shared" si="13"/>
        <v/>
      </c>
      <c r="P281" s="13"/>
      <c r="Q281" s="14" t="str">
        <f t="shared" si="14"/>
        <v/>
      </c>
      <c r="R281" s="10"/>
      <c r="S281" s="8"/>
      <c r="T281" s="8"/>
      <c r="U281" s="10"/>
      <c r="V281" s="8"/>
    </row>
    <row r="282" spans="1:22">
      <c r="A282" s="8"/>
      <c r="B282" s="8"/>
      <c r="C282" s="8"/>
      <c r="D282" s="8"/>
      <c r="E282" s="8"/>
      <c r="F282" s="8"/>
      <c r="G282" s="8"/>
      <c r="H282" s="13"/>
      <c r="I282" s="13"/>
      <c r="J282" s="8"/>
      <c r="K282" s="13"/>
      <c r="L282" s="13"/>
      <c r="M282" s="14" t="str">
        <f t="shared" si="12"/>
        <v/>
      </c>
      <c r="N282" s="15"/>
      <c r="O282" s="14" t="str">
        <f t="shared" si="13"/>
        <v/>
      </c>
      <c r="P282" s="13"/>
      <c r="Q282" s="14" t="str">
        <f t="shared" si="14"/>
        <v/>
      </c>
      <c r="R282" s="10"/>
      <c r="S282" s="8"/>
      <c r="T282" s="8"/>
      <c r="U282" s="10"/>
      <c r="V282" s="8"/>
    </row>
    <row r="283" spans="1:22">
      <c r="A283" s="8"/>
      <c r="B283" s="8"/>
      <c r="C283" s="8"/>
      <c r="D283" s="8"/>
      <c r="E283" s="8"/>
      <c r="F283" s="8"/>
      <c r="G283" s="8"/>
      <c r="H283" s="13"/>
      <c r="I283" s="13"/>
      <c r="J283" s="8"/>
      <c r="K283" s="13"/>
      <c r="L283" s="13"/>
      <c r="M283" s="14" t="str">
        <f t="shared" si="12"/>
        <v/>
      </c>
      <c r="N283" s="15"/>
      <c r="O283" s="14" t="str">
        <f t="shared" si="13"/>
        <v/>
      </c>
      <c r="P283" s="13"/>
      <c r="Q283" s="14" t="str">
        <f t="shared" si="14"/>
        <v/>
      </c>
      <c r="R283" s="10"/>
      <c r="S283" s="8"/>
      <c r="T283" s="8"/>
      <c r="U283" s="10"/>
      <c r="V283" s="8"/>
    </row>
    <row r="284" spans="1:22">
      <c r="A284" s="8"/>
      <c r="B284" s="8"/>
      <c r="C284" s="8"/>
      <c r="D284" s="8"/>
      <c r="E284" s="8"/>
      <c r="F284" s="8"/>
      <c r="G284" s="8"/>
      <c r="H284" s="13"/>
      <c r="I284" s="13"/>
      <c r="J284" s="8"/>
      <c r="K284" s="13"/>
      <c r="L284" s="13"/>
      <c r="M284" s="14" t="str">
        <f t="shared" si="12"/>
        <v/>
      </c>
      <c r="N284" s="15"/>
      <c r="O284" s="14" t="str">
        <f t="shared" si="13"/>
        <v/>
      </c>
      <c r="P284" s="13"/>
      <c r="Q284" s="14" t="str">
        <f t="shared" si="14"/>
        <v/>
      </c>
      <c r="R284" s="10"/>
      <c r="S284" s="8"/>
      <c r="T284" s="8"/>
      <c r="U284" s="10"/>
      <c r="V284" s="8"/>
    </row>
    <row r="285" spans="1:22">
      <c r="A285" s="8"/>
      <c r="B285" s="8"/>
      <c r="C285" s="8"/>
      <c r="D285" s="8"/>
      <c r="E285" s="8"/>
      <c r="F285" s="8"/>
      <c r="G285" s="8"/>
      <c r="H285" s="13"/>
      <c r="I285" s="13"/>
      <c r="J285" s="8"/>
      <c r="K285" s="13"/>
      <c r="L285" s="13"/>
      <c r="M285" s="14" t="str">
        <f t="shared" si="12"/>
        <v/>
      </c>
      <c r="N285" s="15"/>
      <c r="O285" s="14" t="str">
        <f t="shared" si="13"/>
        <v/>
      </c>
      <c r="P285" s="13"/>
      <c r="Q285" s="14" t="str">
        <f t="shared" si="14"/>
        <v/>
      </c>
      <c r="R285" s="10"/>
      <c r="S285" s="8"/>
      <c r="T285" s="8"/>
      <c r="U285" s="10"/>
      <c r="V285" s="8"/>
    </row>
    <row r="286" spans="1:22">
      <c r="A286" s="8"/>
      <c r="B286" s="8"/>
      <c r="C286" s="8"/>
      <c r="D286" s="8"/>
      <c r="E286" s="8"/>
      <c r="F286" s="8"/>
      <c r="G286" s="8"/>
      <c r="H286" s="13"/>
      <c r="I286" s="13"/>
      <c r="J286" s="8"/>
      <c r="K286" s="13"/>
      <c r="L286" s="13"/>
      <c r="M286" s="14" t="str">
        <f t="shared" si="12"/>
        <v/>
      </c>
      <c r="N286" s="15"/>
      <c r="O286" s="14" t="str">
        <f t="shared" si="13"/>
        <v/>
      </c>
      <c r="P286" s="13"/>
      <c r="Q286" s="14" t="str">
        <f t="shared" si="14"/>
        <v/>
      </c>
      <c r="R286" s="10"/>
      <c r="S286" s="8"/>
      <c r="T286" s="8"/>
      <c r="U286" s="10"/>
      <c r="V286" s="8"/>
    </row>
    <row r="287" spans="1:22">
      <c r="A287" s="8"/>
      <c r="B287" s="8"/>
      <c r="C287" s="8"/>
      <c r="D287" s="8"/>
      <c r="E287" s="8"/>
      <c r="F287" s="8"/>
      <c r="G287" s="8"/>
      <c r="H287" s="13"/>
      <c r="I287" s="13"/>
      <c r="J287" s="8"/>
      <c r="K287" s="13"/>
      <c r="L287" s="13"/>
      <c r="M287" s="14" t="str">
        <f t="shared" si="12"/>
        <v/>
      </c>
      <c r="N287" s="15"/>
      <c r="O287" s="14" t="str">
        <f t="shared" si="13"/>
        <v/>
      </c>
      <c r="P287" s="13"/>
      <c r="Q287" s="14" t="str">
        <f t="shared" si="14"/>
        <v/>
      </c>
      <c r="R287" s="10"/>
      <c r="S287" s="8"/>
      <c r="T287" s="8"/>
      <c r="U287" s="10"/>
      <c r="V287" s="8"/>
    </row>
    <row r="288" spans="1:22">
      <c r="A288" s="8"/>
      <c r="B288" s="8"/>
      <c r="C288" s="8"/>
      <c r="D288" s="8"/>
      <c r="E288" s="8"/>
      <c r="F288" s="8"/>
      <c r="G288" s="8"/>
      <c r="H288" s="13"/>
      <c r="I288" s="13"/>
      <c r="J288" s="8"/>
      <c r="K288" s="13"/>
      <c r="L288" s="13"/>
      <c r="M288" s="14" t="str">
        <f t="shared" si="12"/>
        <v/>
      </c>
      <c r="N288" s="15"/>
      <c r="O288" s="14" t="str">
        <f t="shared" si="13"/>
        <v/>
      </c>
      <c r="P288" s="13"/>
      <c r="Q288" s="14" t="str">
        <f t="shared" si="14"/>
        <v/>
      </c>
      <c r="R288" s="10"/>
      <c r="S288" s="8"/>
      <c r="T288" s="8"/>
      <c r="U288" s="10"/>
      <c r="V288" s="8"/>
    </row>
    <row r="289" spans="1:22">
      <c r="A289" s="8"/>
      <c r="B289" s="8"/>
      <c r="C289" s="8"/>
      <c r="D289" s="8"/>
      <c r="E289" s="8"/>
      <c r="F289" s="8"/>
      <c r="G289" s="8"/>
      <c r="H289" s="13"/>
      <c r="I289" s="13"/>
      <c r="J289" s="8"/>
      <c r="K289" s="13"/>
      <c r="L289" s="13"/>
      <c r="M289" s="14" t="str">
        <f t="shared" si="12"/>
        <v/>
      </c>
      <c r="N289" s="15"/>
      <c r="O289" s="14" t="str">
        <f t="shared" si="13"/>
        <v/>
      </c>
      <c r="P289" s="13"/>
      <c r="Q289" s="14" t="str">
        <f t="shared" si="14"/>
        <v/>
      </c>
      <c r="R289" s="10"/>
      <c r="S289" s="8"/>
      <c r="T289" s="8"/>
      <c r="U289" s="10"/>
      <c r="V289" s="8"/>
    </row>
    <row r="290" spans="1:22">
      <c r="A290" s="8"/>
      <c r="B290" s="8"/>
      <c r="C290" s="8"/>
      <c r="D290" s="8"/>
      <c r="E290" s="8"/>
      <c r="F290" s="8"/>
      <c r="G290" s="8"/>
      <c r="H290" s="13"/>
      <c r="I290" s="13"/>
      <c r="J290" s="8"/>
      <c r="K290" s="13"/>
      <c r="L290" s="13"/>
      <c r="M290" s="14" t="str">
        <f t="shared" si="12"/>
        <v/>
      </c>
      <c r="N290" s="15"/>
      <c r="O290" s="14" t="str">
        <f t="shared" si="13"/>
        <v/>
      </c>
      <c r="P290" s="13"/>
      <c r="Q290" s="14" t="str">
        <f t="shared" si="14"/>
        <v/>
      </c>
      <c r="R290" s="10"/>
      <c r="S290" s="8"/>
      <c r="T290" s="8"/>
      <c r="U290" s="10"/>
      <c r="V290" s="8"/>
    </row>
    <row r="291" spans="1:22">
      <c r="A291" s="8"/>
      <c r="B291" s="8"/>
      <c r="C291" s="8"/>
      <c r="D291" s="8"/>
      <c r="E291" s="8"/>
      <c r="F291" s="8"/>
      <c r="G291" s="8"/>
      <c r="H291" s="13"/>
      <c r="I291" s="13"/>
      <c r="J291" s="8"/>
      <c r="K291" s="13"/>
      <c r="L291" s="13"/>
      <c r="M291" s="14" t="str">
        <f t="shared" si="12"/>
        <v/>
      </c>
      <c r="N291" s="15"/>
      <c r="O291" s="14" t="str">
        <f t="shared" si="13"/>
        <v/>
      </c>
      <c r="P291" s="13"/>
      <c r="Q291" s="14" t="str">
        <f t="shared" si="14"/>
        <v/>
      </c>
      <c r="R291" s="10"/>
      <c r="S291" s="8"/>
      <c r="T291" s="8"/>
      <c r="U291" s="10"/>
      <c r="V291" s="8"/>
    </row>
    <row r="292" spans="1:22">
      <c r="A292" s="8"/>
      <c r="B292" s="8"/>
      <c r="C292" s="8"/>
      <c r="D292" s="8"/>
      <c r="E292" s="8"/>
      <c r="F292" s="8"/>
      <c r="G292" s="8"/>
      <c r="H292" s="13"/>
      <c r="I292" s="13"/>
      <c r="J292" s="8"/>
      <c r="K292" s="13"/>
      <c r="L292" s="13"/>
      <c r="M292" s="14" t="str">
        <f t="shared" si="12"/>
        <v/>
      </c>
      <c r="N292" s="15"/>
      <c r="O292" s="14" t="str">
        <f t="shared" si="13"/>
        <v/>
      </c>
      <c r="P292" s="13"/>
      <c r="Q292" s="14" t="str">
        <f t="shared" si="14"/>
        <v/>
      </c>
      <c r="R292" s="10"/>
      <c r="S292" s="8"/>
      <c r="T292" s="8"/>
      <c r="U292" s="10"/>
      <c r="V292" s="8"/>
    </row>
    <row r="293" spans="1:22">
      <c r="A293" s="8"/>
      <c r="B293" s="8"/>
      <c r="C293" s="8"/>
      <c r="D293" s="8"/>
      <c r="E293" s="8"/>
      <c r="F293" s="8"/>
      <c r="G293" s="8"/>
      <c r="H293" s="13"/>
      <c r="I293" s="13"/>
      <c r="J293" s="8"/>
      <c r="K293" s="13"/>
      <c r="L293" s="13"/>
      <c r="M293" s="14" t="str">
        <f t="shared" si="12"/>
        <v/>
      </c>
      <c r="N293" s="15"/>
      <c r="O293" s="14" t="str">
        <f t="shared" si="13"/>
        <v/>
      </c>
      <c r="P293" s="13"/>
      <c r="Q293" s="14" t="str">
        <f t="shared" si="14"/>
        <v/>
      </c>
      <c r="R293" s="10"/>
      <c r="S293" s="8"/>
      <c r="T293" s="8"/>
      <c r="U293" s="10"/>
      <c r="V293" s="8"/>
    </row>
    <row r="294" spans="1:22">
      <c r="A294" s="8"/>
      <c r="B294" s="8"/>
      <c r="C294" s="8"/>
      <c r="D294" s="8"/>
      <c r="E294" s="8"/>
      <c r="F294" s="8"/>
      <c r="G294" s="8"/>
      <c r="H294" s="13"/>
      <c r="I294" s="13"/>
      <c r="J294" s="8"/>
      <c r="K294" s="13"/>
      <c r="L294" s="13"/>
      <c r="M294" s="14" t="str">
        <f t="shared" si="12"/>
        <v/>
      </c>
      <c r="N294" s="15"/>
      <c r="O294" s="14" t="str">
        <f t="shared" si="13"/>
        <v/>
      </c>
      <c r="P294" s="13"/>
      <c r="Q294" s="14" t="str">
        <f t="shared" si="14"/>
        <v/>
      </c>
      <c r="R294" s="10"/>
      <c r="S294" s="8"/>
      <c r="T294" s="8"/>
      <c r="U294" s="10"/>
      <c r="V294" s="8"/>
    </row>
    <row r="295" spans="1:22">
      <c r="A295" s="8"/>
      <c r="B295" s="8"/>
      <c r="C295" s="8"/>
      <c r="D295" s="8"/>
      <c r="E295" s="8"/>
      <c r="F295" s="8"/>
      <c r="G295" s="8"/>
      <c r="H295" s="13"/>
      <c r="I295" s="13"/>
      <c r="J295" s="8"/>
      <c r="K295" s="13"/>
      <c r="L295" s="13"/>
      <c r="M295" s="14" t="str">
        <f t="shared" si="12"/>
        <v/>
      </c>
      <c r="N295" s="15"/>
      <c r="O295" s="14" t="str">
        <f t="shared" si="13"/>
        <v/>
      </c>
      <c r="P295" s="13"/>
      <c r="Q295" s="14" t="str">
        <f t="shared" si="14"/>
        <v/>
      </c>
      <c r="R295" s="10"/>
      <c r="S295" s="8"/>
      <c r="T295" s="8"/>
      <c r="U295" s="10"/>
      <c r="V295" s="8"/>
    </row>
    <row r="296" spans="1:22">
      <c r="A296" s="8"/>
      <c r="B296" s="8"/>
      <c r="C296" s="8"/>
      <c r="D296" s="8"/>
      <c r="E296" s="8"/>
      <c r="F296" s="8"/>
      <c r="G296" s="8"/>
      <c r="H296" s="13"/>
      <c r="I296" s="13"/>
      <c r="J296" s="8"/>
      <c r="K296" s="13"/>
      <c r="L296" s="13"/>
      <c r="M296" s="14" t="str">
        <f t="shared" si="12"/>
        <v/>
      </c>
      <c r="N296" s="15"/>
      <c r="O296" s="14" t="str">
        <f t="shared" si="13"/>
        <v/>
      </c>
      <c r="P296" s="13"/>
      <c r="Q296" s="14" t="str">
        <f t="shared" si="14"/>
        <v/>
      </c>
      <c r="R296" s="10"/>
      <c r="S296" s="8"/>
      <c r="T296" s="8"/>
      <c r="U296" s="10"/>
      <c r="V296" s="8"/>
    </row>
    <row r="297" spans="1:22">
      <c r="A297" s="8"/>
      <c r="B297" s="8"/>
      <c r="C297" s="8"/>
      <c r="D297" s="8"/>
      <c r="E297" s="8"/>
      <c r="F297" s="8"/>
      <c r="G297" s="8"/>
      <c r="H297" s="13"/>
      <c r="I297" s="13"/>
      <c r="J297" s="8"/>
      <c r="K297" s="13"/>
      <c r="L297" s="13"/>
      <c r="M297" s="14" t="str">
        <f t="shared" si="12"/>
        <v/>
      </c>
      <c r="N297" s="15"/>
      <c r="O297" s="14" t="str">
        <f t="shared" si="13"/>
        <v/>
      </c>
      <c r="P297" s="13"/>
      <c r="Q297" s="14" t="str">
        <f t="shared" si="14"/>
        <v/>
      </c>
      <c r="R297" s="10"/>
      <c r="S297" s="8"/>
      <c r="T297" s="8"/>
      <c r="U297" s="10"/>
      <c r="V297" s="8"/>
    </row>
    <row r="298" spans="1:22">
      <c r="A298" s="8"/>
      <c r="B298" s="8"/>
      <c r="C298" s="8"/>
      <c r="D298" s="8"/>
      <c r="E298" s="8"/>
      <c r="F298" s="8"/>
      <c r="G298" s="8"/>
      <c r="H298" s="13"/>
      <c r="I298" s="13"/>
      <c r="J298" s="8"/>
      <c r="K298" s="13"/>
      <c r="L298" s="13"/>
      <c r="M298" s="14" t="str">
        <f t="shared" si="12"/>
        <v/>
      </c>
      <c r="N298" s="15"/>
      <c r="O298" s="14" t="str">
        <f t="shared" si="13"/>
        <v/>
      </c>
      <c r="P298" s="13"/>
      <c r="Q298" s="14" t="str">
        <f t="shared" si="14"/>
        <v/>
      </c>
      <c r="R298" s="10"/>
      <c r="S298" s="8"/>
      <c r="T298" s="8"/>
      <c r="U298" s="10"/>
      <c r="V298" s="8"/>
    </row>
    <row r="299" spans="1:22">
      <c r="A299" s="8"/>
      <c r="B299" s="8"/>
      <c r="C299" s="8"/>
      <c r="D299" s="8"/>
      <c r="E299" s="8"/>
      <c r="F299" s="8"/>
      <c r="G299" s="8"/>
      <c r="H299" s="13"/>
      <c r="I299" s="13"/>
      <c r="J299" s="8"/>
      <c r="K299" s="13"/>
      <c r="L299" s="13"/>
      <c r="M299" s="14" t="str">
        <f t="shared" si="12"/>
        <v/>
      </c>
      <c r="N299" s="15"/>
      <c r="O299" s="14" t="str">
        <f t="shared" si="13"/>
        <v/>
      </c>
      <c r="P299" s="13"/>
      <c r="Q299" s="14" t="str">
        <f t="shared" si="14"/>
        <v/>
      </c>
      <c r="R299" s="10"/>
      <c r="S299" s="8"/>
      <c r="T299" s="8"/>
      <c r="U299" s="10"/>
      <c r="V299" s="8"/>
    </row>
    <row r="300" spans="1:22">
      <c r="A300" s="8"/>
      <c r="B300" s="8"/>
      <c r="C300" s="8"/>
      <c r="D300" s="8"/>
      <c r="E300" s="8"/>
      <c r="F300" s="8"/>
      <c r="G300" s="8"/>
      <c r="H300" s="13"/>
      <c r="I300" s="13"/>
      <c r="J300" s="8"/>
      <c r="K300" s="13"/>
      <c r="L300" s="13"/>
      <c r="M300" s="14" t="str">
        <f t="shared" si="12"/>
        <v/>
      </c>
      <c r="N300" s="15"/>
      <c r="O300" s="14" t="str">
        <f t="shared" si="13"/>
        <v/>
      </c>
      <c r="P300" s="13"/>
      <c r="Q300" s="14" t="str">
        <f t="shared" si="14"/>
        <v/>
      </c>
      <c r="R300" s="10"/>
      <c r="S300" s="8"/>
      <c r="T300" s="8"/>
      <c r="U300" s="10"/>
      <c r="V300" s="8"/>
    </row>
    <row r="301" spans="1:22">
      <c r="A301" s="8"/>
      <c r="B301" s="8"/>
      <c r="C301" s="8"/>
      <c r="D301" s="8"/>
      <c r="E301" s="8"/>
      <c r="F301" s="8"/>
      <c r="G301" s="8"/>
      <c r="H301" s="13"/>
      <c r="I301" s="13"/>
      <c r="J301" s="8"/>
      <c r="K301" s="13"/>
      <c r="L301" s="13"/>
      <c r="M301" s="14" t="str">
        <f t="shared" si="12"/>
        <v/>
      </c>
      <c r="N301" s="15"/>
      <c r="O301" s="14" t="str">
        <f t="shared" si="13"/>
        <v/>
      </c>
      <c r="P301" s="13"/>
      <c r="Q301" s="14" t="str">
        <f t="shared" si="14"/>
        <v/>
      </c>
      <c r="R301" s="10"/>
      <c r="S301" s="8"/>
      <c r="T301" s="8"/>
      <c r="U301" s="10"/>
      <c r="V301" s="8"/>
    </row>
    <row r="302" spans="1:22">
      <c r="A302" s="8"/>
      <c r="B302" s="8"/>
      <c r="C302" s="8"/>
      <c r="D302" s="8"/>
      <c r="E302" s="8"/>
      <c r="F302" s="8"/>
      <c r="G302" s="8"/>
      <c r="H302" s="13"/>
      <c r="I302" s="13"/>
      <c r="J302" s="8"/>
      <c r="K302" s="13"/>
      <c r="L302" s="13"/>
      <c r="M302" s="14" t="str">
        <f t="shared" si="12"/>
        <v/>
      </c>
      <c r="N302" s="15"/>
      <c r="O302" s="14" t="str">
        <f t="shared" si="13"/>
        <v/>
      </c>
      <c r="P302" s="13"/>
      <c r="Q302" s="14" t="str">
        <f t="shared" si="14"/>
        <v/>
      </c>
      <c r="R302" s="10"/>
      <c r="S302" s="8"/>
      <c r="T302" s="8"/>
      <c r="U302" s="10"/>
      <c r="V302" s="8"/>
    </row>
    <row r="303" spans="1:22">
      <c r="A303" s="8"/>
      <c r="B303" s="8"/>
      <c r="C303" s="8"/>
      <c r="D303" s="8"/>
      <c r="E303" s="8"/>
      <c r="F303" s="8"/>
      <c r="G303" s="8"/>
      <c r="H303" s="13"/>
      <c r="I303" s="13"/>
      <c r="J303" s="8"/>
      <c r="K303" s="13"/>
      <c r="L303" s="13"/>
      <c r="M303" s="14" t="str">
        <f t="shared" si="12"/>
        <v/>
      </c>
      <c r="N303" s="15"/>
      <c r="O303" s="14" t="str">
        <f t="shared" si="13"/>
        <v/>
      </c>
      <c r="P303" s="13"/>
      <c r="Q303" s="14" t="str">
        <f t="shared" si="14"/>
        <v/>
      </c>
      <c r="R303" s="10"/>
      <c r="S303" s="8"/>
      <c r="T303" s="8"/>
      <c r="U303" s="10"/>
      <c r="V303" s="8"/>
    </row>
    <row r="304" spans="1:22">
      <c r="A304" s="8"/>
      <c r="B304" s="8"/>
      <c r="C304" s="8"/>
      <c r="D304" s="8"/>
      <c r="E304" s="8"/>
      <c r="F304" s="8"/>
      <c r="G304" s="8"/>
      <c r="H304" s="13"/>
      <c r="I304" s="13"/>
      <c r="J304" s="8"/>
      <c r="K304" s="13"/>
      <c r="L304" s="13"/>
      <c r="M304" s="14" t="str">
        <f t="shared" si="12"/>
        <v/>
      </c>
      <c r="N304" s="15"/>
      <c r="O304" s="14" t="str">
        <f t="shared" si="13"/>
        <v/>
      </c>
      <c r="P304" s="13"/>
      <c r="Q304" s="14" t="str">
        <f t="shared" si="14"/>
        <v/>
      </c>
      <c r="R304" s="10"/>
      <c r="S304" s="8"/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116" priority="9"/>
  </conditionalFormatting>
  <conditionalFormatting sqref="S5:S304">
    <cfRule type="containsText" dxfId="115" priority="1" operator="containsText" text="Approved"/>
    <cfRule type="containsText" dxfId="114" priority="4" operator="containsText" text="Failed"/>
    <cfRule type="containsText" dxfId="113" priority="7" operator="containsText" text="On Hold"/>
  </conditionalFormatting>
  <dataValidations count="3">
    <dataValidation type="list" sqref="E5:E304" xr:uid="{00000000-0002-0000-0400-000000000000}">
      <formula1>"Body Fabric,Rib,Shoulder Tape,Neck Tape,Pocketing,Other"</formula1>
    </dataValidation>
    <dataValidation type="list" sqref="J5:J304" xr:uid="{00000000-0002-0000-0400-000001000000}">
      <formula1>"Yards,Meters,Kilograms,Pounds,Rolls"</formula1>
    </dataValidation>
    <dataValidation type="list" sqref="S5:S304" xr:uid="{00000000-0002-0000-0400-000002000000}">
      <formula1>"Pending,Approved,On Hold,Closed"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4"/>
  <sheetViews>
    <sheetView showGridLines="0" workbookViewId="0">
      <selection sqref="A1:T1"/>
    </sheetView>
  </sheetViews>
  <sheetFormatPr baseColWidth="10" defaultColWidth="8.83203125" defaultRowHeight="14"/>
  <cols>
    <col min="1" max="1" width="18" customWidth="1"/>
    <col min="2" max="2" width="14" customWidth="1"/>
    <col min="3" max="5" width="17" customWidth="1"/>
    <col min="6" max="7" width="13" customWidth="1"/>
    <col min="8" max="8" width="16" customWidth="1"/>
    <col min="9" max="9" width="11" customWidth="1"/>
    <col min="10" max="10" width="13" customWidth="1"/>
    <col min="11" max="11" width="14" customWidth="1"/>
    <col min="12" max="12" width="13" customWidth="1"/>
    <col min="13" max="13" width="17" customWidth="1"/>
    <col min="14" max="15" width="15" customWidth="1"/>
    <col min="16" max="16" width="18" customWidth="1"/>
    <col min="17" max="17" width="16" customWidth="1"/>
    <col min="18" max="19" width="15" customWidth="1"/>
    <col min="20" max="20" width="25" customWidth="1"/>
  </cols>
  <sheetData>
    <row r="1" spans="1:20" ht="30" customHeight="1">
      <c r="A1" s="52" t="s">
        <v>117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4" spans="1:20" ht="44" customHeight="1">
      <c r="A4" s="6" t="s">
        <v>118</v>
      </c>
      <c r="B4" s="6" t="s">
        <v>44</v>
      </c>
      <c r="C4" s="6" t="s">
        <v>119</v>
      </c>
      <c r="D4" s="6" t="s">
        <v>120</v>
      </c>
      <c r="E4" s="6" t="s">
        <v>104</v>
      </c>
      <c r="F4" s="6" t="s">
        <v>45</v>
      </c>
      <c r="G4" s="6" t="s">
        <v>46</v>
      </c>
      <c r="H4" s="6" t="s">
        <v>121</v>
      </c>
      <c r="I4" s="6" t="s">
        <v>109</v>
      </c>
      <c r="J4" s="6" t="s">
        <v>122</v>
      </c>
      <c r="K4" s="6" t="s">
        <v>123</v>
      </c>
      <c r="L4" s="6" t="s">
        <v>124</v>
      </c>
      <c r="M4" s="6" t="s">
        <v>125</v>
      </c>
      <c r="N4" s="6" t="s">
        <v>126</v>
      </c>
      <c r="O4" s="6" t="s">
        <v>127</v>
      </c>
      <c r="P4" s="6" t="s">
        <v>128</v>
      </c>
      <c r="Q4" s="6" t="s">
        <v>129</v>
      </c>
      <c r="R4" s="6" t="s">
        <v>130</v>
      </c>
      <c r="S4" s="6" t="s">
        <v>63</v>
      </c>
      <c r="T4" s="6" t="s">
        <v>101</v>
      </c>
    </row>
    <row r="5" spans="1:20">
      <c r="A5" s="8"/>
      <c r="B5" s="8"/>
      <c r="C5" s="8"/>
      <c r="D5" s="8"/>
      <c r="E5" s="8"/>
      <c r="F5" s="8"/>
      <c r="G5" s="8"/>
      <c r="H5" s="13"/>
      <c r="I5" s="8"/>
      <c r="J5" s="13"/>
      <c r="K5" s="14" t="str">
        <f t="shared" ref="K5:K68" si="0">IF(A5="","",H5*J5)</f>
        <v/>
      </c>
      <c r="L5" s="10"/>
      <c r="M5" s="10"/>
      <c r="N5" s="10"/>
      <c r="O5" s="10"/>
      <c r="P5" s="8"/>
      <c r="Q5" s="8"/>
      <c r="R5" s="8"/>
      <c r="S5" s="10"/>
      <c r="T5" s="8"/>
    </row>
    <row r="6" spans="1:20">
      <c r="A6" s="8"/>
      <c r="B6" s="8"/>
      <c r="C6" s="8"/>
      <c r="D6" s="8"/>
      <c r="E6" s="8"/>
      <c r="F6" s="8"/>
      <c r="G6" s="8"/>
      <c r="H6" s="13"/>
      <c r="I6" s="8"/>
      <c r="J6" s="13"/>
      <c r="K6" s="14" t="str">
        <f t="shared" si="0"/>
        <v/>
      </c>
      <c r="L6" s="10"/>
      <c r="M6" s="10"/>
      <c r="N6" s="10"/>
      <c r="O6" s="10"/>
      <c r="P6" s="8"/>
      <c r="Q6" s="8"/>
      <c r="R6" s="8"/>
      <c r="S6" s="10"/>
      <c r="T6" s="8"/>
    </row>
    <row r="7" spans="1:20">
      <c r="A7" s="8"/>
      <c r="B7" s="8"/>
      <c r="C7" s="8"/>
      <c r="D7" s="8"/>
      <c r="E7" s="8"/>
      <c r="F7" s="8"/>
      <c r="G7" s="8"/>
      <c r="H7" s="13"/>
      <c r="I7" s="8"/>
      <c r="J7" s="13"/>
      <c r="K7" s="14" t="str">
        <f t="shared" si="0"/>
        <v/>
      </c>
      <c r="L7" s="10"/>
      <c r="M7" s="10"/>
      <c r="N7" s="10"/>
      <c r="O7" s="10"/>
      <c r="P7" s="8"/>
      <c r="Q7" s="8"/>
      <c r="R7" s="8"/>
      <c r="S7" s="10"/>
      <c r="T7" s="8"/>
    </row>
    <row r="8" spans="1:20">
      <c r="A8" s="8"/>
      <c r="B8" s="8"/>
      <c r="C8" s="8"/>
      <c r="D8" s="8"/>
      <c r="E8" s="8"/>
      <c r="F8" s="8"/>
      <c r="G8" s="8"/>
      <c r="H8" s="13"/>
      <c r="I8" s="8"/>
      <c r="J8" s="13"/>
      <c r="K8" s="14" t="str">
        <f t="shared" si="0"/>
        <v/>
      </c>
      <c r="L8" s="10"/>
      <c r="M8" s="10"/>
      <c r="N8" s="10"/>
      <c r="O8" s="10"/>
      <c r="P8" s="8"/>
      <c r="Q8" s="8"/>
      <c r="R8" s="8"/>
      <c r="S8" s="10"/>
      <c r="T8" s="8"/>
    </row>
    <row r="9" spans="1:20">
      <c r="A9" s="8"/>
      <c r="B9" s="8"/>
      <c r="C9" s="8"/>
      <c r="D9" s="8"/>
      <c r="E9" s="8"/>
      <c r="F9" s="8"/>
      <c r="G9" s="8"/>
      <c r="H9" s="13"/>
      <c r="I9" s="8"/>
      <c r="J9" s="13"/>
      <c r="K9" s="14" t="str">
        <f t="shared" si="0"/>
        <v/>
      </c>
      <c r="L9" s="10"/>
      <c r="M9" s="10"/>
      <c r="N9" s="10"/>
      <c r="O9" s="10"/>
      <c r="P9" s="8"/>
      <c r="Q9" s="8"/>
      <c r="R9" s="8"/>
      <c r="S9" s="10"/>
      <c r="T9" s="8"/>
    </row>
    <row r="10" spans="1:20">
      <c r="A10" s="8"/>
      <c r="B10" s="8"/>
      <c r="C10" s="8"/>
      <c r="D10" s="8"/>
      <c r="E10" s="8"/>
      <c r="F10" s="8"/>
      <c r="G10" s="8"/>
      <c r="H10" s="13"/>
      <c r="I10" s="8"/>
      <c r="J10" s="13"/>
      <c r="K10" s="14" t="str">
        <f t="shared" si="0"/>
        <v/>
      </c>
      <c r="L10" s="10"/>
      <c r="M10" s="10"/>
      <c r="N10" s="10"/>
      <c r="O10" s="10"/>
      <c r="P10" s="8"/>
      <c r="Q10" s="8"/>
      <c r="R10" s="8"/>
      <c r="S10" s="10"/>
      <c r="T10" s="8"/>
    </row>
    <row r="11" spans="1:20">
      <c r="A11" s="8"/>
      <c r="B11" s="8"/>
      <c r="C11" s="8"/>
      <c r="D11" s="8"/>
      <c r="E11" s="8"/>
      <c r="F11" s="8"/>
      <c r="G11" s="8"/>
      <c r="H11" s="13"/>
      <c r="I11" s="8"/>
      <c r="J11" s="13"/>
      <c r="K11" s="14" t="str">
        <f t="shared" si="0"/>
        <v/>
      </c>
      <c r="L11" s="10"/>
      <c r="M11" s="10"/>
      <c r="N11" s="10"/>
      <c r="O11" s="10"/>
      <c r="P11" s="8"/>
      <c r="Q11" s="8"/>
      <c r="R11" s="8"/>
      <c r="S11" s="10"/>
      <c r="T11" s="8"/>
    </row>
    <row r="12" spans="1:20">
      <c r="A12" s="8"/>
      <c r="B12" s="8"/>
      <c r="C12" s="8"/>
      <c r="D12" s="8"/>
      <c r="E12" s="8"/>
      <c r="F12" s="8"/>
      <c r="G12" s="8"/>
      <c r="H12" s="13"/>
      <c r="I12" s="8"/>
      <c r="J12" s="13"/>
      <c r="K12" s="14" t="str">
        <f t="shared" si="0"/>
        <v/>
      </c>
      <c r="L12" s="10"/>
      <c r="M12" s="10"/>
      <c r="N12" s="10"/>
      <c r="O12" s="10"/>
      <c r="P12" s="8"/>
      <c r="Q12" s="8"/>
      <c r="R12" s="8"/>
      <c r="S12" s="10"/>
      <c r="T12" s="8"/>
    </row>
    <row r="13" spans="1:20">
      <c r="A13" s="8"/>
      <c r="B13" s="8"/>
      <c r="C13" s="8"/>
      <c r="D13" s="8"/>
      <c r="E13" s="8"/>
      <c r="F13" s="8"/>
      <c r="G13" s="8"/>
      <c r="H13" s="13"/>
      <c r="I13" s="8"/>
      <c r="J13" s="13"/>
      <c r="K13" s="14" t="str">
        <f t="shared" si="0"/>
        <v/>
      </c>
      <c r="L13" s="10"/>
      <c r="M13" s="10"/>
      <c r="N13" s="10"/>
      <c r="O13" s="10"/>
      <c r="P13" s="8"/>
      <c r="Q13" s="8"/>
      <c r="R13" s="8"/>
      <c r="S13" s="10"/>
      <c r="T13" s="8"/>
    </row>
    <row r="14" spans="1:20">
      <c r="A14" s="8"/>
      <c r="B14" s="8"/>
      <c r="C14" s="8"/>
      <c r="D14" s="8"/>
      <c r="E14" s="8"/>
      <c r="F14" s="8"/>
      <c r="G14" s="8"/>
      <c r="H14" s="13"/>
      <c r="I14" s="8"/>
      <c r="J14" s="13"/>
      <c r="K14" s="14" t="str">
        <f t="shared" si="0"/>
        <v/>
      </c>
      <c r="L14" s="10"/>
      <c r="M14" s="10"/>
      <c r="N14" s="10"/>
      <c r="O14" s="10"/>
      <c r="P14" s="8"/>
      <c r="Q14" s="8"/>
      <c r="R14" s="8"/>
      <c r="S14" s="10"/>
      <c r="T14" s="8"/>
    </row>
    <row r="15" spans="1:20">
      <c r="A15" s="8"/>
      <c r="B15" s="8"/>
      <c r="C15" s="8"/>
      <c r="D15" s="8"/>
      <c r="E15" s="8"/>
      <c r="F15" s="8"/>
      <c r="G15" s="8"/>
      <c r="H15" s="13"/>
      <c r="I15" s="8"/>
      <c r="J15" s="13"/>
      <c r="K15" s="14" t="str">
        <f t="shared" si="0"/>
        <v/>
      </c>
      <c r="L15" s="10"/>
      <c r="M15" s="10"/>
      <c r="N15" s="10"/>
      <c r="O15" s="10"/>
      <c r="P15" s="8"/>
      <c r="Q15" s="8"/>
      <c r="R15" s="8"/>
      <c r="S15" s="10"/>
      <c r="T15" s="8"/>
    </row>
    <row r="16" spans="1:20">
      <c r="A16" s="8"/>
      <c r="B16" s="8"/>
      <c r="C16" s="8"/>
      <c r="D16" s="8"/>
      <c r="E16" s="8"/>
      <c r="F16" s="8"/>
      <c r="G16" s="8"/>
      <c r="H16" s="13"/>
      <c r="I16" s="8"/>
      <c r="J16" s="13"/>
      <c r="K16" s="14" t="str">
        <f t="shared" si="0"/>
        <v/>
      </c>
      <c r="L16" s="10"/>
      <c r="M16" s="10"/>
      <c r="N16" s="10"/>
      <c r="O16" s="10"/>
      <c r="P16" s="8"/>
      <c r="Q16" s="8"/>
      <c r="R16" s="8"/>
      <c r="S16" s="10"/>
      <c r="T16" s="8"/>
    </row>
    <row r="17" spans="1:20">
      <c r="A17" s="8"/>
      <c r="B17" s="8"/>
      <c r="C17" s="8"/>
      <c r="D17" s="8"/>
      <c r="E17" s="8"/>
      <c r="F17" s="8"/>
      <c r="G17" s="8"/>
      <c r="H17" s="13"/>
      <c r="I17" s="8"/>
      <c r="J17" s="13"/>
      <c r="K17" s="14" t="str">
        <f t="shared" si="0"/>
        <v/>
      </c>
      <c r="L17" s="10"/>
      <c r="M17" s="10"/>
      <c r="N17" s="10"/>
      <c r="O17" s="10"/>
      <c r="P17" s="8"/>
      <c r="Q17" s="8"/>
      <c r="R17" s="8"/>
      <c r="S17" s="10"/>
      <c r="T17" s="8"/>
    </row>
    <row r="18" spans="1:20">
      <c r="A18" s="8"/>
      <c r="B18" s="8"/>
      <c r="C18" s="8"/>
      <c r="D18" s="8"/>
      <c r="E18" s="8"/>
      <c r="F18" s="8"/>
      <c r="G18" s="8"/>
      <c r="H18" s="13"/>
      <c r="I18" s="8"/>
      <c r="J18" s="13"/>
      <c r="K18" s="14" t="str">
        <f t="shared" si="0"/>
        <v/>
      </c>
      <c r="L18" s="10"/>
      <c r="M18" s="10"/>
      <c r="N18" s="10"/>
      <c r="O18" s="10"/>
      <c r="P18" s="8"/>
      <c r="Q18" s="8"/>
      <c r="R18" s="8"/>
      <c r="S18" s="10"/>
      <c r="T18" s="8"/>
    </row>
    <row r="19" spans="1:20">
      <c r="A19" s="8"/>
      <c r="B19" s="8"/>
      <c r="C19" s="8"/>
      <c r="D19" s="8"/>
      <c r="E19" s="8"/>
      <c r="F19" s="8"/>
      <c r="G19" s="8"/>
      <c r="H19" s="13"/>
      <c r="I19" s="8"/>
      <c r="J19" s="13"/>
      <c r="K19" s="14" t="str">
        <f t="shared" si="0"/>
        <v/>
      </c>
      <c r="L19" s="10"/>
      <c r="M19" s="10"/>
      <c r="N19" s="10"/>
      <c r="O19" s="10"/>
      <c r="P19" s="8"/>
      <c r="Q19" s="8"/>
      <c r="R19" s="8"/>
      <c r="S19" s="10"/>
      <c r="T19" s="8"/>
    </row>
    <row r="20" spans="1:20">
      <c r="A20" s="8"/>
      <c r="B20" s="8"/>
      <c r="C20" s="8"/>
      <c r="D20" s="8"/>
      <c r="E20" s="8"/>
      <c r="F20" s="8"/>
      <c r="G20" s="8"/>
      <c r="H20" s="13"/>
      <c r="I20" s="8"/>
      <c r="J20" s="13"/>
      <c r="K20" s="14" t="str">
        <f t="shared" si="0"/>
        <v/>
      </c>
      <c r="L20" s="10"/>
      <c r="M20" s="10"/>
      <c r="N20" s="10"/>
      <c r="O20" s="10"/>
      <c r="P20" s="8"/>
      <c r="Q20" s="8"/>
      <c r="R20" s="8"/>
      <c r="S20" s="10"/>
      <c r="T20" s="8"/>
    </row>
    <row r="21" spans="1:20">
      <c r="A21" s="8"/>
      <c r="B21" s="8"/>
      <c r="C21" s="8"/>
      <c r="D21" s="8"/>
      <c r="E21" s="8"/>
      <c r="F21" s="8"/>
      <c r="G21" s="8"/>
      <c r="H21" s="13"/>
      <c r="I21" s="8"/>
      <c r="J21" s="13"/>
      <c r="K21" s="14" t="str">
        <f t="shared" si="0"/>
        <v/>
      </c>
      <c r="L21" s="10"/>
      <c r="M21" s="10"/>
      <c r="N21" s="10"/>
      <c r="O21" s="10"/>
      <c r="P21" s="8"/>
      <c r="Q21" s="8"/>
      <c r="R21" s="8"/>
      <c r="S21" s="10"/>
      <c r="T21" s="8"/>
    </row>
    <row r="22" spans="1:20">
      <c r="A22" s="8"/>
      <c r="B22" s="8"/>
      <c r="C22" s="8"/>
      <c r="D22" s="8"/>
      <c r="E22" s="8"/>
      <c r="F22" s="8"/>
      <c r="G22" s="8"/>
      <c r="H22" s="13"/>
      <c r="I22" s="8"/>
      <c r="J22" s="13"/>
      <c r="K22" s="14" t="str">
        <f t="shared" si="0"/>
        <v/>
      </c>
      <c r="L22" s="10"/>
      <c r="M22" s="10"/>
      <c r="N22" s="10"/>
      <c r="O22" s="10"/>
      <c r="P22" s="8"/>
      <c r="Q22" s="8"/>
      <c r="R22" s="8"/>
      <c r="S22" s="10"/>
      <c r="T22" s="8"/>
    </row>
    <row r="23" spans="1:20">
      <c r="A23" s="8"/>
      <c r="B23" s="8"/>
      <c r="C23" s="8"/>
      <c r="D23" s="8"/>
      <c r="E23" s="8"/>
      <c r="F23" s="8"/>
      <c r="G23" s="8"/>
      <c r="H23" s="13"/>
      <c r="I23" s="8"/>
      <c r="J23" s="13"/>
      <c r="K23" s="14" t="str">
        <f t="shared" si="0"/>
        <v/>
      </c>
      <c r="L23" s="10"/>
      <c r="M23" s="10"/>
      <c r="N23" s="10"/>
      <c r="O23" s="10"/>
      <c r="P23" s="8"/>
      <c r="Q23" s="8"/>
      <c r="R23" s="8"/>
      <c r="S23" s="10"/>
      <c r="T23" s="8"/>
    </row>
    <row r="24" spans="1:20">
      <c r="A24" s="8"/>
      <c r="B24" s="8"/>
      <c r="C24" s="8"/>
      <c r="D24" s="8"/>
      <c r="E24" s="8"/>
      <c r="F24" s="8"/>
      <c r="G24" s="8"/>
      <c r="H24" s="13"/>
      <c r="I24" s="8"/>
      <c r="J24" s="13"/>
      <c r="K24" s="14" t="str">
        <f t="shared" si="0"/>
        <v/>
      </c>
      <c r="L24" s="10"/>
      <c r="M24" s="10"/>
      <c r="N24" s="10"/>
      <c r="O24" s="10"/>
      <c r="P24" s="8"/>
      <c r="Q24" s="8"/>
      <c r="R24" s="8"/>
      <c r="S24" s="10"/>
      <c r="T24" s="8"/>
    </row>
    <row r="25" spans="1:20">
      <c r="A25" s="8"/>
      <c r="B25" s="8"/>
      <c r="C25" s="8"/>
      <c r="D25" s="8"/>
      <c r="E25" s="8"/>
      <c r="F25" s="8"/>
      <c r="G25" s="8"/>
      <c r="H25" s="13"/>
      <c r="I25" s="8"/>
      <c r="J25" s="13"/>
      <c r="K25" s="14" t="str">
        <f t="shared" si="0"/>
        <v/>
      </c>
      <c r="L25" s="10"/>
      <c r="M25" s="10"/>
      <c r="N25" s="10"/>
      <c r="O25" s="10"/>
      <c r="P25" s="8"/>
      <c r="Q25" s="8"/>
      <c r="R25" s="8"/>
      <c r="S25" s="10"/>
      <c r="T25" s="8"/>
    </row>
    <row r="26" spans="1:20">
      <c r="A26" s="8"/>
      <c r="B26" s="8"/>
      <c r="C26" s="8"/>
      <c r="D26" s="8"/>
      <c r="E26" s="8"/>
      <c r="F26" s="8"/>
      <c r="G26" s="8"/>
      <c r="H26" s="13"/>
      <c r="I26" s="8"/>
      <c r="J26" s="13"/>
      <c r="K26" s="14" t="str">
        <f t="shared" si="0"/>
        <v/>
      </c>
      <c r="L26" s="10"/>
      <c r="M26" s="10"/>
      <c r="N26" s="10"/>
      <c r="O26" s="10"/>
      <c r="P26" s="8"/>
      <c r="Q26" s="8"/>
      <c r="R26" s="8"/>
      <c r="S26" s="10"/>
      <c r="T26" s="8"/>
    </row>
    <row r="27" spans="1:20">
      <c r="A27" s="8"/>
      <c r="B27" s="8"/>
      <c r="C27" s="8"/>
      <c r="D27" s="8"/>
      <c r="E27" s="8"/>
      <c r="F27" s="8"/>
      <c r="G27" s="8"/>
      <c r="H27" s="13"/>
      <c r="I27" s="8"/>
      <c r="J27" s="13"/>
      <c r="K27" s="14" t="str">
        <f t="shared" si="0"/>
        <v/>
      </c>
      <c r="L27" s="10"/>
      <c r="M27" s="10"/>
      <c r="N27" s="10"/>
      <c r="O27" s="10"/>
      <c r="P27" s="8"/>
      <c r="Q27" s="8"/>
      <c r="R27" s="8"/>
      <c r="S27" s="10"/>
      <c r="T27" s="8"/>
    </row>
    <row r="28" spans="1:20">
      <c r="A28" s="8"/>
      <c r="B28" s="8"/>
      <c r="C28" s="8"/>
      <c r="D28" s="8"/>
      <c r="E28" s="8"/>
      <c r="F28" s="8"/>
      <c r="G28" s="8"/>
      <c r="H28" s="13"/>
      <c r="I28" s="8"/>
      <c r="J28" s="13"/>
      <c r="K28" s="14" t="str">
        <f t="shared" si="0"/>
        <v/>
      </c>
      <c r="L28" s="10"/>
      <c r="M28" s="10"/>
      <c r="N28" s="10"/>
      <c r="O28" s="10"/>
      <c r="P28" s="8"/>
      <c r="Q28" s="8"/>
      <c r="R28" s="8"/>
      <c r="S28" s="10"/>
      <c r="T28" s="8"/>
    </row>
    <row r="29" spans="1:20">
      <c r="A29" s="8"/>
      <c r="B29" s="8"/>
      <c r="C29" s="8"/>
      <c r="D29" s="8"/>
      <c r="E29" s="8"/>
      <c r="F29" s="8"/>
      <c r="G29" s="8"/>
      <c r="H29" s="13"/>
      <c r="I29" s="8"/>
      <c r="J29" s="13"/>
      <c r="K29" s="14" t="str">
        <f t="shared" si="0"/>
        <v/>
      </c>
      <c r="L29" s="10"/>
      <c r="M29" s="10"/>
      <c r="N29" s="10"/>
      <c r="O29" s="10"/>
      <c r="P29" s="8"/>
      <c r="Q29" s="8"/>
      <c r="R29" s="8"/>
      <c r="S29" s="10"/>
      <c r="T29" s="8"/>
    </row>
    <row r="30" spans="1:20">
      <c r="A30" s="8"/>
      <c r="B30" s="8"/>
      <c r="C30" s="8"/>
      <c r="D30" s="8"/>
      <c r="E30" s="8"/>
      <c r="F30" s="8"/>
      <c r="G30" s="8"/>
      <c r="H30" s="13"/>
      <c r="I30" s="8"/>
      <c r="J30" s="13"/>
      <c r="K30" s="14" t="str">
        <f t="shared" si="0"/>
        <v/>
      </c>
      <c r="L30" s="10"/>
      <c r="M30" s="10"/>
      <c r="N30" s="10"/>
      <c r="O30" s="10"/>
      <c r="P30" s="8"/>
      <c r="Q30" s="8"/>
      <c r="R30" s="8"/>
      <c r="S30" s="10"/>
      <c r="T30" s="8"/>
    </row>
    <row r="31" spans="1:20">
      <c r="A31" s="8"/>
      <c r="B31" s="8"/>
      <c r="C31" s="8"/>
      <c r="D31" s="8"/>
      <c r="E31" s="8"/>
      <c r="F31" s="8"/>
      <c r="G31" s="8"/>
      <c r="H31" s="13"/>
      <c r="I31" s="8"/>
      <c r="J31" s="13"/>
      <c r="K31" s="14" t="str">
        <f t="shared" si="0"/>
        <v/>
      </c>
      <c r="L31" s="10"/>
      <c r="M31" s="10"/>
      <c r="N31" s="10"/>
      <c r="O31" s="10"/>
      <c r="P31" s="8"/>
      <c r="Q31" s="8"/>
      <c r="R31" s="8"/>
      <c r="S31" s="10"/>
      <c r="T31" s="8"/>
    </row>
    <row r="32" spans="1:20">
      <c r="A32" s="8"/>
      <c r="B32" s="8"/>
      <c r="C32" s="8"/>
      <c r="D32" s="8"/>
      <c r="E32" s="8"/>
      <c r="F32" s="8"/>
      <c r="G32" s="8"/>
      <c r="H32" s="13"/>
      <c r="I32" s="8"/>
      <c r="J32" s="13"/>
      <c r="K32" s="14" t="str">
        <f t="shared" si="0"/>
        <v/>
      </c>
      <c r="L32" s="10"/>
      <c r="M32" s="10"/>
      <c r="N32" s="10"/>
      <c r="O32" s="10"/>
      <c r="P32" s="8"/>
      <c r="Q32" s="8"/>
      <c r="R32" s="8"/>
      <c r="S32" s="10"/>
      <c r="T32" s="8"/>
    </row>
    <row r="33" spans="1:20">
      <c r="A33" s="8"/>
      <c r="B33" s="8"/>
      <c r="C33" s="8"/>
      <c r="D33" s="8"/>
      <c r="E33" s="8"/>
      <c r="F33" s="8"/>
      <c r="G33" s="8"/>
      <c r="H33" s="13"/>
      <c r="I33" s="8"/>
      <c r="J33" s="13"/>
      <c r="K33" s="14" t="str">
        <f t="shared" si="0"/>
        <v/>
      </c>
      <c r="L33" s="10"/>
      <c r="M33" s="10"/>
      <c r="N33" s="10"/>
      <c r="O33" s="10"/>
      <c r="P33" s="8"/>
      <c r="Q33" s="8"/>
      <c r="R33" s="8"/>
      <c r="S33" s="10"/>
      <c r="T33" s="8"/>
    </row>
    <row r="34" spans="1:20">
      <c r="A34" s="8"/>
      <c r="B34" s="8"/>
      <c r="C34" s="8"/>
      <c r="D34" s="8"/>
      <c r="E34" s="8"/>
      <c r="F34" s="8"/>
      <c r="G34" s="8"/>
      <c r="H34" s="13"/>
      <c r="I34" s="8"/>
      <c r="J34" s="13"/>
      <c r="K34" s="14" t="str">
        <f t="shared" si="0"/>
        <v/>
      </c>
      <c r="L34" s="10"/>
      <c r="M34" s="10"/>
      <c r="N34" s="10"/>
      <c r="O34" s="10"/>
      <c r="P34" s="8"/>
      <c r="Q34" s="8"/>
      <c r="R34" s="8"/>
      <c r="S34" s="10"/>
      <c r="T34" s="8"/>
    </row>
    <row r="35" spans="1:20">
      <c r="A35" s="8"/>
      <c r="B35" s="8"/>
      <c r="C35" s="8"/>
      <c r="D35" s="8"/>
      <c r="E35" s="8"/>
      <c r="F35" s="8"/>
      <c r="G35" s="8"/>
      <c r="H35" s="13"/>
      <c r="I35" s="8"/>
      <c r="J35" s="13"/>
      <c r="K35" s="14" t="str">
        <f t="shared" si="0"/>
        <v/>
      </c>
      <c r="L35" s="10"/>
      <c r="M35" s="10"/>
      <c r="N35" s="10"/>
      <c r="O35" s="10"/>
      <c r="P35" s="8"/>
      <c r="Q35" s="8"/>
      <c r="R35" s="8"/>
      <c r="S35" s="10"/>
      <c r="T35" s="8"/>
    </row>
    <row r="36" spans="1:20">
      <c r="A36" s="8"/>
      <c r="B36" s="8"/>
      <c r="C36" s="8"/>
      <c r="D36" s="8"/>
      <c r="E36" s="8"/>
      <c r="F36" s="8"/>
      <c r="G36" s="8"/>
      <c r="H36" s="13"/>
      <c r="I36" s="8"/>
      <c r="J36" s="13"/>
      <c r="K36" s="14" t="str">
        <f t="shared" si="0"/>
        <v/>
      </c>
      <c r="L36" s="10"/>
      <c r="M36" s="10"/>
      <c r="N36" s="10"/>
      <c r="O36" s="10"/>
      <c r="P36" s="8"/>
      <c r="Q36" s="8"/>
      <c r="R36" s="8"/>
      <c r="S36" s="10"/>
      <c r="T36" s="8"/>
    </row>
    <row r="37" spans="1:20">
      <c r="A37" s="8"/>
      <c r="B37" s="8"/>
      <c r="C37" s="8"/>
      <c r="D37" s="8"/>
      <c r="E37" s="8"/>
      <c r="F37" s="8"/>
      <c r="G37" s="8"/>
      <c r="H37" s="13"/>
      <c r="I37" s="8"/>
      <c r="J37" s="13"/>
      <c r="K37" s="14" t="str">
        <f t="shared" si="0"/>
        <v/>
      </c>
      <c r="L37" s="10"/>
      <c r="M37" s="10"/>
      <c r="N37" s="10"/>
      <c r="O37" s="10"/>
      <c r="P37" s="8"/>
      <c r="Q37" s="8"/>
      <c r="R37" s="8"/>
      <c r="S37" s="10"/>
      <c r="T37" s="8"/>
    </row>
    <row r="38" spans="1:20">
      <c r="A38" s="8"/>
      <c r="B38" s="8"/>
      <c r="C38" s="8"/>
      <c r="D38" s="8"/>
      <c r="E38" s="8"/>
      <c r="F38" s="8"/>
      <c r="G38" s="8"/>
      <c r="H38" s="13"/>
      <c r="I38" s="8"/>
      <c r="J38" s="13"/>
      <c r="K38" s="14" t="str">
        <f t="shared" si="0"/>
        <v/>
      </c>
      <c r="L38" s="10"/>
      <c r="M38" s="10"/>
      <c r="N38" s="10"/>
      <c r="O38" s="10"/>
      <c r="P38" s="8"/>
      <c r="Q38" s="8"/>
      <c r="R38" s="8"/>
      <c r="S38" s="10"/>
      <c r="T38" s="8"/>
    </row>
    <row r="39" spans="1:20">
      <c r="A39" s="8"/>
      <c r="B39" s="8"/>
      <c r="C39" s="8"/>
      <c r="D39" s="8"/>
      <c r="E39" s="8"/>
      <c r="F39" s="8"/>
      <c r="G39" s="8"/>
      <c r="H39" s="13"/>
      <c r="I39" s="8"/>
      <c r="J39" s="13"/>
      <c r="K39" s="14" t="str">
        <f t="shared" si="0"/>
        <v/>
      </c>
      <c r="L39" s="10"/>
      <c r="M39" s="10"/>
      <c r="N39" s="10"/>
      <c r="O39" s="10"/>
      <c r="P39" s="8"/>
      <c r="Q39" s="8"/>
      <c r="R39" s="8"/>
      <c r="S39" s="10"/>
      <c r="T39" s="8"/>
    </row>
    <row r="40" spans="1:20">
      <c r="A40" s="8"/>
      <c r="B40" s="8"/>
      <c r="C40" s="8"/>
      <c r="D40" s="8"/>
      <c r="E40" s="8"/>
      <c r="F40" s="8"/>
      <c r="G40" s="8"/>
      <c r="H40" s="13"/>
      <c r="I40" s="8"/>
      <c r="J40" s="13"/>
      <c r="K40" s="14" t="str">
        <f t="shared" si="0"/>
        <v/>
      </c>
      <c r="L40" s="10"/>
      <c r="M40" s="10"/>
      <c r="N40" s="10"/>
      <c r="O40" s="10"/>
      <c r="P40" s="8"/>
      <c r="Q40" s="8"/>
      <c r="R40" s="8"/>
      <c r="S40" s="10"/>
      <c r="T40" s="8"/>
    </row>
    <row r="41" spans="1:20">
      <c r="A41" s="8"/>
      <c r="B41" s="8"/>
      <c r="C41" s="8"/>
      <c r="D41" s="8"/>
      <c r="E41" s="8"/>
      <c r="F41" s="8"/>
      <c r="G41" s="8"/>
      <c r="H41" s="13"/>
      <c r="I41" s="8"/>
      <c r="J41" s="13"/>
      <c r="K41" s="14" t="str">
        <f t="shared" si="0"/>
        <v/>
      </c>
      <c r="L41" s="10"/>
      <c r="M41" s="10"/>
      <c r="N41" s="10"/>
      <c r="O41" s="10"/>
      <c r="P41" s="8"/>
      <c r="Q41" s="8"/>
      <c r="R41" s="8"/>
      <c r="S41" s="10"/>
      <c r="T41" s="8"/>
    </row>
    <row r="42" spans="1:20">
      <c r="A42" s="8"/>
      <c r="B42" s="8"/>
      <c r="C42" s="8"/>
      <c r="D42" s="8"/>
      <c r="E42" s="8"/>
      <c r="F42" s="8"/>
      <c r="G42" s="8"/>
      <c r="H42" s="13"/>
      <c r="I42" s="8"/>
      <c r="J42" s="13"/>
      <c r="K42" s="14" t="str">
        <f t="shared" si="0"/>
        <v/>
      </c>
      <c r="L42" s="10"/>
      <c r="M42" s="10"/>
      <c r="N42" s="10"/>
      <c r="O42" s="10"/>
      <c r="P42" s="8"/>
      <c r="Q42" s="8"/>
      <c r="R42" s="8"/>
      <c r="S42" s="10"/>
      <c r="T42" s="8"/>
    </row>
    <row r="43" spans="1:20">
      <c r="A43" s="8"/>
      <c r="B43" s="8"/>
      <c r="C43" s="8"/>
      <c r="D43" s="8"/>
      <c r="E43" s="8"/>
      <c r="F43" s="8"/>
      <c r="G43" s="8"/>
      <c r="H43" s="13"/>
      <c r="I43" s="8"/>
      <c r="J43" s="13"/>
      <c r="K43" s="14" t="str">
        <f t="shared" si="0"/>
        <v/>
      </c>
      <c r="L43" s="10"/>
      <c r="M43" s="10"/>
      <c r="N43" s="10"/>
      <c r="O43" s="10"/>
      <c r="P43" s="8"/>
      <c r="Q43" s="8"/>
      <c r="R43" s="8"/>
      <c r="S43" s="10"/>
      <c r="T43" s="8"/>
    </row>
    <row r="44" spans="1:20">
      <c r="A44" s="8"/>
      <c r="B44" s="8"/>
      <c r="C44" s="8"/>
      <c r="D44" s="8"/>
      <c r="E44" s="8"/>
      <c r="F44" s="8"/>
      <c r="G44" s="8"/>
      <c r="H44" s="13"/>
      <c r="I44" s="8"/>
      <c r="J44" s="13"/>
      <c r="K44" s="14" t="str">
        <f t="shared" si="0"/>
        <v/>
      </c>
      <c r="L44" s="10"/>
      <c r="M44" s="10"/>
      <c r="N44" s="10"/>
      <c r="O44" s="10"/>
      <c r="P44" s="8"/>
      <c r="Q44" s="8"/>
      <c r="R44" s="8"/>
      <c r="S44" s="10"/>
      <c r="T44" s="8"/>
    </row>
    <row r="45" spans="1:20">
      <c r="A45" s="8"/>
      <c r="B45" s="8"/>
      <c r="C45" s="8"/>
      <c r="D45" s="8"/>
      <c r="E45" s="8"/>
      <c r="F45" s="8"/>
      <c r="G45" s="8"/>
      <c r="H45" s="13"/>
      <c r="I45" s="8"/>
      <c r="J45" s="13"/>
      <c r="K45" s="14" t="str">
        <f t="shared" si="0"/>
        <v/>
      </c>
      <c r="L45" s="10"/>
      <c r="M45" s="10"/>
      <c r="N45" s="10"/>
      <c r="O45" s="10"/>
      <c r="P45" s="8"/>
      <c r="Q45" s="8"/>
      <c r="R45" s="8"/>
      <c r="S45" s="10"/>
      <c r="T45" s="8"/>
    </row>
    <row r="46" spans="1:20">
      <c r="A46" s="8"/>
      <c r="B46" s="8"/>
      <c r="C46" s="8"/>
      <c r="D46" s="8"/>
      <c r="E46" s="8"/>
      <c r="F46" s="8"/>
      <c r="G46" s="8"/>
      <c r="H46" s="13"/>
      <c r="I46" s="8"/>
      <c r="J46" s="13"/>
      <c r="K46" s="14" t="str">
        <f t="shared" si="0"/>
        <v/>
      </c>
      <c r="L46" s="10"/>
      <c r="M46" s="10"/>
      <c r="N46" s="10"/>
      <c r="O46" s="10"/>
      <c r="P46" s="8"/>
      <c r="Q46" s="8"/>
      <c r="R46" s="8"/>
      <c r="S46" s="10"/>
      <c r="T46" s="8"/>
    </row>
    <row r="47" spans="1:20">
      <c r="A47" s="8"/>
      <c r="B47" s="8"/>
      <c r="C47" s="8"/>
      <c r="D47" s="8"/>
      <c r="E47" s="8"/>
      <c r="F47" s="8"/>
      <c r="G47" s="8"/>
      <c r="H47" s="13"/>
      <c r="I47" s="8"/>
      <c r="J47" s="13"/>
      <c r="K47" s="14" t="str">
        <f t="shared" si="0"/>
        <v/>
      </c>
      <c r="L47" s="10"/>
      <c r="M47" s="10"/>
      <c r="N47" s="10"/>
      <c r="O47" s="10"/>
      <c r="P47" s="8"/>
      <c r="Q47" s="8"/>
      <c r="R47" s="8"/>
      <c r="S47" s="10"/>
      <c r="T47" s="8"/>
    </row>
    <row r="48" spans="1:20">
      <c r="A48" s="8"/>
      <c r="B48" s="8"/>
      <c r="C48" s="8"/>
      <c r="D48" s="8"/>
      <c r="E48" s="8"/>
      <c r="F48" s="8"/>
      <c r="G48" s="8"/>
      <c r="H48" s="13"/>
      <c r="I48" s="8"/>
      <c r="J48" s="13"/>
      <c r="K48" s="14" t="str">
        <f t="shared" si="0"/>
        <v/>
      </c>
      <c r="L48" s="10"/>
      <c r="M48" s="10"/>
      <c r="N48" s="10"/>
      <c r="O48" s="10"/>
      <c r="P48" s="8"/>
      <c r="Q48" s="8"/>
      <c r="R48" s="8"/>
      <c r="S48" s="10"/>
      <c r="T48" s="8"/>
    </row>
    <row r="49" spans="1:20">
      <c r="A49" s="8"/>
      <c r="B49" s="8"/>
      <c r="C49" s="8"/>
      <c r="D49" s="8"/>
      <c r="E49" s="8"/>
      <c r="F49" s="8"/>
      <c r="G49" s="8"/>
      <c r="H49" s="13"/>
      <c r="I49" s="8"/>
      <c r="J49" s="13"/>
      <c r="K49" s="14" t="str">
        <f t="shared" si="0"/>
        <v/>
      </c>
      <c r="L49" s="10"/>
      <c r="M49" s="10"/>
      <c r="N49" s="10"/>
      <c r="O49" s="10"/>
      <c r="P49" s="8"/>
      <c r="Q49" s="8"/>
      <c r="R49" s="8"/>
      <c r="S49" s="10"/>
      <c r="T49" s="8"/>
    </row>
    <row r="50" spans="1:20">
      <c r="A50" s="8"/>
      <c r="B50" s="8"/>
      <c r="C50" s="8"/>
      <c r="D50" s="8"/>
      <c r="E50" s="8"/>
      <c r="F50" s="8"/>
      <c r="G50" s="8"/>
      <c r="H50" s="13"/>
      <c r="I50" s="8"/>
      <c r="J50" s="13"/>
      <c r="K50" s="14" t="str">
        <f t="shared" si="0"/>
        <v/>
      </c>
      <c r="L50" s="10"/>
      <c r="M50" s="10"/>
      <c r="N50" s="10"/>
      <c r="O50" s="10"/>
      <c r="P50" s="8"/>
      <c r="Q50" s="8"/>
      <c r="R50" s="8"/>
      <c r="S50" s="10"/>
      <c r="T50" s="8"/>
    </row>
    <row r="51" spans="1:20">
      <c r="A51" s="8"/>
      <c r="B51" s="8"/>
      <c r="C51" s="8"/>
      <c r="D51" s="8"/>
      <c r="E51" s="8"/>
      <c r="F51" s="8"/>
      <c r="G51" s="8"/>
      <c r="H51" s="13"/>
      <c r="I51" s="8"/>
      <c r="J51" s="13"/>
      <c r="K51" s="14" t="str">
        <f t="shared" si="0"/>
        <v/>
      </c>
      <c r="L51" s="10"/>
      <c r="M51" s="10"/>
      <c r="N51" s="10"/>
      <c r="O51" s="10"/>
      <c r="P51" s="8"/>
      <c r="Q51" s="8"/>
      <c r="R51" s="8"/>
      <c r="S51" s="10"/>
      <c r="T51" s="8"/>
    </row>
    <row r="52" spans="1:20">
      <c r="A52" s="8"/>
      <c r="B52" s="8"/>
      <c r="C52" s="8"/>
      <c r="D52" s="8"/>
      <c r="E52" s="8"/>
      <c r="F52" s="8"/>
      <c r="G52" s="8"/>
      <c r="H52" s="13"/>
      <c r="I52" s="8"/>
      <c r="J52" s="13"/>
      <c r="K52" s="14" t="str">
        <f t="shared" si="0"/>
        <v/>
      </c>
      <c r="L52" s="10"/>
      <c r="M52" s="10"/>
      <c r="N52" s="10"/>
      <c r="O52" s="10"/>
      <c r="P52" s="8"/>
      <c r="Q52" s="8"/>
      <c r="R52" s="8"/>
      <c r="S52" s="10"/>
      <c r="T52" s="8"/>
    </row>
    <row r="53" spans="1:20">
      <c r="A53" s="8"/>
      <c r="B53" s="8"/>
      <c r="C53" s="8"/>
      <c r="D53" s="8"/>
      <c r="E53" s="8"/>
      <c r="F53" s="8"/>
      <c r="G53" s="8"/>
      <c r="H53" s="13"/>
      <c r="I53" s="8"/>
      <c r="J53" s="13"/>
      <c r="K53" s="14" t="str">
        <f t="shared" si="0"/>
        <v/>
      </c>
      <c r="L53" s="10"/>
      <c r="M53" s="10"/>
      <c r="N53" s="10"/>
      <c r="O53" s="10"/>
      <c r="P53" s="8"/>
      <c r="Q53" s="8"/>
      <c r="R53" s="8"/>
      <c r="S53" s="10"/>
      <c r="T53" s="8"/>
    </row>
    <row r="54" spans="1:20">
      <c r="A54" s="8"/>
      <c r="B54" s="8"/>
      <c r="C54" s="8"/>
      <c r="D54" s="8"/>
      <c r="E54" s="8"/>
      <c r="F54" s="8"/>
      <c r="G54" s="8"/>
      <c r="H54" s="13"/>
      <c r="I54" s="8"/>
      <c r="J54" s="13"/>
      <c r="K54" s="14" t="str">
        <f t="shared" si="0"/>
        <v/>
      </c>
      <c r="L54" s="10"/>
      <c r="M54" s="10"/>
      <c r="N54" s="10"/>
      <c r="O54" s="10"/>
      <c r="P54" s="8"/>
      <c r="Q54" s="8"/>
      <c r="R54" s="8"/>
      <c r="S54" s="10"/>
      <c r="T54" s="8"/>
    </row>
    <row r="55" spans="1:20">
      <c r="A55" s="8"/>
      <c r="B55" s="8"/>
      <c r="C55" s="8"/>
      <c r="D55" s="8"/>
      <c r="E55" s="8"/>
      <c r="F55" s="8"/>
      <c r="G55" s="8"/>
      <c r="H55" s="13"/>
      <c r="I55" s="8"/>
      <c r="J55" s="13"/>
      <c r="K55" s="14" t="str">
        <f t="shared" si="0"/>
        <v/>
      </c>
      <c r="L55" s="10"/>
      <c r="M55" s="10"/>
      <c r="N55" s="10"/>
      <c r="O55" s="10"/>
      <c r="P55" s="8"/>
      <c r="Q55" s="8"/>
      <c r="R55" s="8"/>
      <c r="S55" s="10"/>
      <c r="T55" s="8"/>
    </row>
    <row r="56" spans="1:20">
      <c r="A56" s="8"/>
      <c r="B56" s="8"/>
      <c r="C56" s="8"/>
      <c r="D56" s="8"/>
      <c r="E56" s="8"/>
      <c r="F56" s="8"/>
      <c r="G56" s="8"/>
      <c r="H56" s="13"/>
      <c r="I56" s="8"/>
      <c r="J56" s="13"/>
      <c r="K56" s="14" t="str">
        <f t="shared" si="0"/>
        <v/>
      </c>
      <c r="L56" s="10"/>
      <c r="M56" s="10"/>
      <c r="N56" s="10"/>
      <c r="O56" s="10"/>
      <c r="P56" s="8"/>
      <c r="Q56" s="8"/>
      <c r="R56" s="8"/>
      <c r="S56" s="10"/>
      <c r="T56" s="8"/>
    </row>
    <row r="57" spans="1:20">
      <c r="A57" s="8"/>
      <c r="B57" s="8"/>
      <c r="C57" s="8"/>
      <c r="D57" s="8"/>
      <c r="E57" s="8"/>
      <c r="F57" s="8"/>
      <c r="G57" s="8"/>
      <c r="H57" s="13"/>
      <c r="I57" s="8"/>
      <c r="J57" s="13"/>
      <c r="K57" s="14" t="str">
        <f t="shared" si="0"/>
        <v/>
      </c>
      <c r="L57" s="10"/>
      <c r="M57" s="10"/>
      <c r="N57" s="10"/>
      <c r="O57" s="10"/>
      <c r="P57" s="8"/>
      <c r="Q57" s="8"/>
      <c r="R57" s="8"/>
      <c r="S57" s="10"/>
      <c r="T57" s="8"/>
    </row>
    <row r="58" spans="1:20">
      <c r="A58" s="8"/>
      <c r="B58" s="8"/>
      <c r="C58" s="8"/>
      <c r="D58" s="8"/>
      <c r="E58" s="8"/>
      <c r="F58" s="8"/>
      <c r="G58" s="8"/>
      <c r="H58" s="13"/>
      <c r="I58" s="8"/>
      <c r="J58" s="13"/>
      <c r="K58" s="14" t="str">
        <f t="shared" si="0"/>
        <v/>
      </c>
      <c r="L58" s="10"/>
      <c r="M58" s="10"/>
      <c r="N58" s="10"/>
      <c r="O58" s="10"/>
      <c r="P58" s="8"/>
      <c r="Q58" s="8"/>
      <c r="R58" s="8"/>
      <c r="S58" s="10"/>
      <c r="T58" s="8"/>
    </row>
    <row r="59" spans="1:20">
      <c r="A59" s="8"/>
      <c r="B59" s="8"/>
      <c r="C59" s="8"/>
      <c r="D59" s="8"/>
      <c r="E59" s="8"/>
      <c r="F59" s="8"/>
      <c r="G59" s="8"/>
      <c r="H59" s="13"/>
      <c r="I59" s="8"/>
      <c r="J59" s="13"/>
      <c r="K59" s="14" t="str">
        <f t="shared" si="0"/>
        <v/>
      </c>
      <c r="L59" s="10"/>
      <c r="M59" s="10"/>
      <c r="N59" s="10"/>
      <c r="O59" s="10"/>
      <c r="P59" s="8"/>
      <c r="Q59" s="8"/>
      <c r="R59" s="8"/>
      <c r="S59" s="10"/>
      <c r="T59" s="8"/>
    </row>
    <row r="60" spans="1:20">
      <c r="A60" s="8"/>
      <c r="B60" s="8"/>
      <c r="C60" s="8"/>
      <c r="D60" s="8"/>
      <c r="E60" s="8"/>
      <c r="F60" s="8"/>
      <c r="G60" s="8"/>
      <c r="H60" s="13"/>
      <c r="I60" s="8"/>
      <c r="J60" s="13"/>
      <c r="K60" s="14" t="str">
        <f t="shared" si="0"/>
        <v/>
      </c>
      <c r="L60" s="10"/>
      <c r="M60" s="10"/>
      <c r="N60" s="10"/>
      <c r="O60" s="10"/>
      <c r="P60" s="8"/>
      <c r="Q60" s="8"/>
      <c r="R60" s="8"/>
      <c r="S60" s="10"/>
      <c r="T60" s="8"/>
    </row>
    <row r="61" spans="1:20">
      <c r="A61" s="8"/>
      <c r="B61" s="8"/>
      <c r="C61" s="8"/>
      <c r="D61" s="8"/>
      <c r="E61" s="8"/>
      <c r="F61" s="8"/>
      <c r="G61" s="8"/>
      <c r="H61" s="13"/>
      <c r="I61" s="8"/>
      <c r="J61" s="13"/>
      <c r="K61" s="14" t="str">
        <f t="shared" si="0"/>
        <v/>
      </c>
      <c r="L61" s="10"/>
      <c r="M61" s="10"/>
      <c r="N61" s="10"/>
      <c r="O61" s="10"/>
      <c r="P61" s="8"/>
      <c r="Q61" s="8"/>
      <c r="R61" s="8"/>
      <c r="S61" s="10"/>
      <c r="T61" s="8"/>
    </row>
    <row r="62" spans="1:20">
      <c r="A62" s="8"/>
      <c r="B62" s="8"/>
      <c r="C62" s="8"/>
      <c r="D62" s="8"/>
      <c r="E62" s="8"/>
      <c r="F62" s="8"/>
      <c r="G62" s="8"/>
      <c r="H62" s="13"/>
      <c r="I62" s="8"/>
      <c r="J62" s="13"/>
      <c r="K62" s="14" t="str">
        <f t="shared" si="0"/>
        <v/>
      </c>
      <c r="L62" s="10"/>
      <c r="M62" s="10"/>
      <c r="N62" s="10"/>
      <c r="O62" s="10"/>
      <c r="P62" s="8"/>
      <c r="Q62" s="8"/>
      <c r="R62" s="8"/>
      <c r="S62" s="10"/>
      <c r="T62" s="8"/>
    </row>
    <row r="63" spans="1:20">
      <c r="A63" s="8"/>
      <c r="B63" s="8"/>
      <c r="C63" s="8"/>
      <c r="D63" s="8"/>
      <c r="E63" s="8"/>
      <c r="F63" s="8"/>
      <c r="G63" s="8"/>
      <c r="H63" s="13"/>
      <c r="I63" s="8"/>
      <c r="J63" s="13"/>
      <c r="K63" s="14" t="str">
        <f t="shared" si="0"/>
        <v/>
      </c>
      <c r="L63" s="10"/>
      <c r="M63" s="10"/>
      <c r="N63" s="10"/>
      <c r="O63" s="10"/>
      <c r="P63" s="8"/>
      <c r="Q63" s="8"/>
      <c r="R63" s="8"/>
      <c r="S63" s="10"/>
      <c r="T63" s="8"/>
    </row>
    <row r="64" spans="1:20">
      <c r="A64" s="8"/>
      <c r="B64" s="8"/>
      <c r="C64" s="8"/>
      <c r="D64" s="8"/>
      <c r="E64" s="8"/>
      <c r="F64" s="8"/>
      <c r="G64" s="8"/>
      <c r="H64" s="13"/>
      <c r="I64" s="8"/>
      <c r="J64" s="13"/>
      <c r="K64" s="14" t="str">
        <f t="shared" si="0"/>
        <v/>
      </c>
      <c r="L64" s="10"/>
      <c r="M64" s="10"/>
      <c r="N64" s="10"/>
      <c r="O64" s="10"/>
      <c r="P64" s="8"/>
      <c r="Q64" s="8"/>
      <c r="R64" s="8"/>
      <c r="S64" s="10"/>
      <c r="T64" s="8"/>
    </row>
    <row r="65" spans="1:20">
      <c r="A65" s="8"/>
      <c r="B65" s="8"/>
      <c r="C65" s="8"/>
      <c r="D65" s="8"/>
      <c r="E65" s="8"/>
      <c r="F65" s="8"/>
      <c r="G65" s="8"/>
      <c r="H65" s="13"/>
      <c r="I65" s="8"/>
      <c r="J65" s="13"/>
      <c r="K65" s="14" t="str">
        <f t="shared" si="0"/>
        <v/>
      </c>
      <c r="L65" s="10"/>
      <c r="M65" s="10"/>
      <c r="N65" s="10"/>
      <c r="O65" s="10"/>
      <c r="P65" s="8"/>
      <c r="Q65" s="8"/>
      <c r="R65" s="8"/>
      <c r="S65" s="10"/>
      <c r="T65" s="8"/>
    </row>
    <row r="66" spans="1:20">
      <c r="A66" s="8"/>
      <c r="B66" s="8"/>
      <c r="C66" s="8"/>
      <c r="D66" s="8"/>
      <c r="E66" s="8"/>
      <c r="F66" s="8"/>
      <c r="G66" s="8"/>
      <c r="H66" s="13"/>
      <c r="I66" s="8"/>
      <c r="J66" s="13"/>
      <c r="K66" s="14" t="str">
        <f t="shared" si="0"/>
        <v/>
      </c>
      <c r="L66" s="10"/>
      <c r="M66" s="10"/>
      <c r="N66" s="10"/>
      <c r="O66" s="10"/>
      <c r="P66" s="8"/>
      <c r="Q66" s="8"/>
      <c r="R66" s="8"/>
      <c r="S66" s="10"/>
      <c r="T66" s="8"/>
    </row>
    <row r="67" spans="1:20">
      <c r="A67" s="8"/>
      <c r="B67" s="8"/>
      <c r="C67" s="8"/>
      <c r="D67" s="8"/>
      <c r="E67" s="8"/>
      <c r="F67" s="8"/>
      <c r="G67" s="8"/>
      <c r="H67" s="13"/>
      <c r="I67" s="8"/>
      <c r="J67" s="13"/>
      <c r="K67" s="14" t="str">
        <f t="shared" si="0"/>
        <v/>
      </c>
      <c r="L67" s="10"/>
      <c r="M67" s="10"/>
      <c r="N67" s="10"/>
      <c r="O67" s="10"/>
      <c r="P67" s="8"/>
      <c r="Q67" s="8"/>
      <c r="R67" s="8"/>
      <c r="S67" s="10"/>
      <c r="T67" s="8"/>
    </row>
    <row r="68" spans="1:20">
      <c r="A68" s="8"/>
      <c r="B68" s="8"/>
      <c r="C68" s="8"/>
      <c r="D68" s="8"/>
      <c r="E68" s="8"/>
      <c r="F68" s="8"/>
      <c r="G68" s="8"/>
      <c r="H68" s="13"/>
      <c r="I68" s="8"/>
      <c r="J68" s="13"/>
      <c r="K68" s="14" t="str">
        <f t="shared" si="0"/>
        <v/>
      </c>
      <c r="L68" s="10"/>
      <c r="M68" s="10"/>
      <c r="N68" s="10"/>
      <c r="O68" s="10"/>
      <c r="P68" s="8"/>
      <c r="Q68" s="8"/>
      <c r="R68" s="8"/>
      <c r="S68" s="10"/>
      <c r="T68" s="8"/>
    </row>
    <row r="69" spans="1:20">
      <c r="A69" s="8"/>
      <c r="B69" s="8"/>
      <c r="C69" s="8"/>
      <c r="D69" s="8"/>
      <c r="E69" s="8"/>
      <c r="F69" s="8"/>
      <c r="G69" s="8"/>
      <c r="H69" s="13"/>
      <c r="I69" s="8"/>
      <c r="J69" s="13"/>
      <c r="K69" s="14" t="str">
        <f t="shared" ref="K69:K132" si="1">IF(A69="","",H69*J69)</f>
        <v/>
      </c>
      <c r="L69" s="10"/>
      <c r="M69" s="10"/>
      <c r="N69" s="10"/>
      <c r="O69" s="10"/>
      <c r="P69" s="8"/>
      <c r="Q69" s="8"/>
      <c r="R69" s="8"/>
      <c r="S69" s="10"/>
      <c r="T69" s="8"/>
    </row>
    <row r="70" spans="1:20">
      <c r="A70" s="8"/>
      <c r="B70" s="8"/>
      <c r="C70" s="8"/>
      <c r="D70" s="8"/>
      <c r="E70" s="8"/>
      <c r="F70" s="8"/>
      <c r="G70" s="8"/>
      <c r="H70" s="13"/>
      <c r="I70" s="8"/>
      <c r="J70" s="13"/>
      <c r="K70" s="14" t="str">
        <f t="shared" si="1"/>
        <v/>
      </c>
      <c r="L70" s="10"/>
      <c r="M70" s="10"/>
      <c r="N70" s="10"/>
      <c r="O70" s="10"/>
      <c r="P70" s="8"/>
      <c r="Q70" s="8"/>
      <c r="R70" s="8"/>
      <c r="S70" s="10"/>
      <c r="T70" s="8"/>
    </row>
    <row r="71" spans="1:20">
      <c r="A71" s="8"/>
      <c r="B71" s="8"/>
      <c r="C71" s="8"/>
      <c r="D71" s="8"/>
      <c r="E71" s="8"/>
      <c r="F71" s="8"/>
      <c r="G71" s="8"/>
      <c r="H71" s="13"/>
      <c r="I71" s="8"/>
      <c r="J71" s="13"/>
      <c r="K71" s="14" t="str">
        <f t="shared" si="1"/>
        <v/>
      </c>
      <c r="L71" s="10"/>
      <c r="M71" s="10"/>
      <c r="N71" s="10"/>
      <c r="O71" s="10"/>
      <c r="P71" s="8"/>
      <c r="Q71" s="8"/>
      <c r="R71" s="8"/>
      <c r="S71" s="10"/>
      <c r="T71" s="8"/>
    </row>
    <row r="72" spans="1:20">
      <c r="A72" s="8"/>
      <c r="B72" s="8"/>
      <c r="C72" s="8"/>
      <c r="D72" s="8"/>
      <c r="E72" s="8"/>
      <c r="F72" s="8"/>
      <c r="G72" s="8"/>
      <c r="H72" s="13"/>
      <c r="I72" s="8"/>
      <c r="J72" s="13"/>
      <c r="K72" s="14" t="str">
        <f t="shared" si="1"/>
        <v/>
      </c>
      <c r="L72" s="10"/>
      <c r="M72" s="10"/>
      <c r="N72" s="10"/>
      <c r="O72" s="10"/>
      <c r="P72" s="8"/>
      <c r="Q72" s="8"/>
      <c r="R72" s="8"/>
      <c r="S72" s="10"/>
      <c r="T72" s="8"/>
    </row>
    <row r="73" spans="1:20">
      <c r="A73" s="8"/>
      <c r="B73" s="8"/>
      <c r="C73" s="8"/>
      <c r="D73" s="8"/>
      <c r="E73" s="8"/>
      <c r="F73" s="8"/>
      <c r="G73" s="8"/>
      <c r="H73" s="13"/>
      <c r="I73" s="8"/>
      <c r="J73" s="13"/>
      <c r="K73" s="14" t="str">
        <f t="shared" si="1"/>
        <v/>
      </c>
      <c r="L73" s="10"/>
      <c r="M73" s="10"/>
      <c r="N73" s="10"/>
      <c r="O73" s="10"/>
      <c r="P73" s="8"/>
      <c r="Q73" s="8"/>
      <c r="R73" s="8"/>
      <c r="S73" s="10"/>
      <c r="T73" s="8"/>
    </row>
    <row r="74" spans="1:20">
      <c r="A74" s="8"/>
      <c r="B74" s="8"/>
      <c r="C74" s="8"/>
      <c r="D74" s="8"/>
      <c r="E74" s="8"/>
      <c r="F74" s="8"/>
      <c r="G74" s="8"/>
      <c r="H74" s="13"/>
      <c r="I74" s="8"/>
      <c r="J74" s="13"/>
      <c r="K74" s="14" t="str">
        <f t="shared" si="1"/>
        <v/>
      </c>
      <c r="L74" s="10"/>
      <c r="M74" s="10"/>
      <c r="N74" s="10"/>
      <c r="O74" s="10"/>
      <c r="P74" s="8"/>
      <c r="Q74" s="8"/>
      <c r="R74" s="8"/>
      <c r="S74" s="10"/>
      <c r="T74" s="8"/>
    </row>
    <row r="75" spans="1:20">
      <c r="A75" s="8"/>
      <c r="B75" s="8"/>
      <c r="C75" s="8"/>
      <c r="D75" s="8"/>
      <c r="E75" s="8"/>
      <c r="F75" s="8"/>
      <c r="G75" s="8"/>
      <c r="H75" s="13"/>
      <c r="I75" s="8"/>
      <c r="J75" s="13"/>
      <c r="K75" s="14" t="str">
        <f t="shared" si="1"/>
        <v/>
      </c>
      <c r="L75" s="10"/>
      <c r="M75" s="10"/>
      <c r="N75" s="10"/>
      <c r="O75" s="10"/>
      <c r="P75" s="8"/>
      <c r="Q75" s="8"/>
      <c r="R75" s="8"/>
      <c r="S75" s="10"/>
      <c r="T75" s="8"/>
    </row>
    <row r="76" spans="1:20">
      <c r="A76" s="8"/>
      <c r="B76" s="8"/>
      <c r="C76" s="8"/>
      <c r="D76" s="8"/>
      <c r="E76" s="8"/>
      <c r="F76" s="8"/>
      <c r="G76" s="8"/>
      <c r="H76" s="13"/>
      <c r="I76" s="8"/>
      <c r="J76" s="13"/>
      <c r="K76" s="14" t="str">
        <f t="shared" si="1"/>
        <v/>
      </c>
      <c r="L76" s="10"/>
      <c r="M76" s="10"/>
      <c r="N76" s="10"/>
      <c r="O76" s="10"/>
      <c r="P76" s="8"/>
      <c r="Q76" s="8"/>
      <c r="R76" s="8"/>
      <c r="S76" s="10"/>
      <c r="T76" s="8"/>
    </row>
    <row r="77" spans="1:20">
      <c r="A77" s="8"/>
      <c r="B77" s="8"/>
      <c r="C77" s="8"/>
      <c r="D77" s="8"/>
      <c r="E77" s="8"/>
      <c r="F77" s="8"/>
      <c r="G77" s="8"/>
      <c r="H77" s="13"/>
      <c r="I77" s="8"/>
      <c r="J77" s="13"/>
      <c r="K77" s="14" t="str">
        <f t="shared" si="1"/>
        <v/>
      </c>
      <c r="L77" s="10"/>
      <c r="M77" s="10"/>
      <c r="N77" s="10"/>
      <c r="O77" s="10"/>
      <c r="P77" s="8"/>
      <c r="Q77" s="8"/>
      <c r="R77" s="8"/>
      <c r="S77" s="10"/>
      <c r="T77" s="8"/>
    </row>
    <row r="78" spans="1:20">
      <c r="A78" s="8"/>
      <c r="B78" s="8"/>
      <c r="C78" s="8"/>
      <c r="D78" s="8"/>
      <c r="E78" s="8"/>
      <c r="F78" s="8"/>
      <c r="G78" s="8"/>
      <c r="H78" s="13"/>
      <c r="I78" s="8"/>
      <c r="J78" s="13"/>
      <c r="K78" s="14" t="str">
        <f t="shared" si="1"/>
        <v/>
      </c>
      <c r="L78" s="10"/>
      <c r="M78" s="10"/>
      <c r="N78" s="10"/>
      <c r="O78" s="10"/>
      <c r="P78" s="8"/>
      <c r="Q78" s="8"/>
      <c r="R78" s="8"/>
      <c r="S78" s="10"/>
      <c r="T78" s="8"/>
    </row>
    <row r="79" spans="1:20">
      <c r="A79" s="8"/>
      <c r="B79" s="8"/>
      <c r="C79" s="8"/>
      <c r="D79" s="8"/>
      <c r="E79" s="8"/>
      <c r="F79" s="8"/>
      <c r="G79" s="8"/>
      <c r="H79" s="13"/>
      <c r="I79" s="8"/>
      <c r="J79" s="13"/>
      <c r="K79" s="14" t="str">
        <f t="shared" si="1"/>
        <v/>
      </c>
      <c r="L79" s="10"/>
      <c r="M79" s="10"/>
      <c r="N79" s="10"/>
      <c r="O79" s="10"/>
      <c r="P79" s="8"/>
      <c r="Q79" s="8"/>
      <c r="R79" s="8"/>
      <c r="S79" s="10"/>
      <c r="T79" s="8"/>
    </row>
    <row r="80" spans="1:20">
      <c r="A80" s="8"/>
      <c r="B80" s="8"/>
      <c r="C80" s="8"/>
      <c r="D80" s="8"/>
      <c r="E80" s="8"/>
      <c r="F80" s="8"/>
      <c r="G80" s="8"/>
      <c r="H80" s="13"/>
      <c r="I80" s="8"/>
      <c r="J80" s="13"/>
      <c r="K80" s="14" t="str">
        <f t="shared" si="1"/>
        <v/>
      </c>
      <c r="L80" s="10"/>
      <c r="M80" s="10"/>
      <c r="N80" s="10"/>
      <c r="O80" s="10"/>
      <c r="P80" s="8"/>
      <c r="Q80" s="8"/>
      <c r="R80" s="8"/>
      <c r="S80" s="10"/>
      <c r="T80" s="8"/>
    </row>
    <row r="81" spans="1:20">
      <c r="A81" s="8"/>
      <c r="B81" s="8"/>
      <c r="C81" s="8"/>
      <c r="D81" s="8"/>
      <c r="E81" s="8"/>
      <c r="F81" s="8"/>
      <c r="G81" s="8"/>
      <c r="H81" s="13"/>
      <c r="I81" s="8"/>
      <c r="J81" s="13"/>
      <c r="K81" s="14" t="str">
        <f t="shared" si="1"/>
        <v/>
      </c>
      <c r="L81" s="10"/>
      <c r="M81" s="10"/>
      <c r="N81" s="10"/>
      <c r="O81" s="10"/>
      <c r="P81" s="8"/>
      <c r="Q81" s="8"/>
      <c r="R81" s="8"/>
      <c r="S81" s="10"/>
      <c r="T81" s="8"/>
    </row>
    <row r="82" spans="1:20">
      <c r="A82" s="8"/>
      <c r="B82" s="8"/>
      <c r="C82" s="8"/>
      <c r="D82" s="8"/>
      <c r="E82" s="8"/>
      <c r="F82" s="8"/>
      <c r="G82" s="8"/>
      <c r="H82" s="13"/>
      <c r="I82" s="8"/>
      <c r="J82" s="13"/>
      <c r="K82" s="14" t="str">
        <f t="shared" si="1"/>
        <v/>
      </c>
      <c r="L82" s="10"/>
      <c r="M82" s="10"/>
      <c r="N82" s="10"/>
      <c r="O82" s="10"/>
      <c r="P82" s="8"/>
      <c r="Q82" s="8"/>
      <c r="R82" s="8"/>
      <c r="S82" s="10"/>
      <c r="T82" s="8"/>
    </row>
    <row r="83" spans="1:20">
      <c r="A83" s="8"/>
      <c r="B83" s="8"/>
      <c r="C83" s="8"/>
      <c r="D83" s="8"/>
      <c r="E83" s="8"/>
      <c r="F83" s="8"/>
      <c r="G83" s="8"/>
      <c r="H83" s="13"/>
      <c r="I83" s="8"/>
      <c r="J83" s="13"/>
      <c r="K83" s="14" t="str">
        <f t="shared" si="1"/>
        <v/>
      </c>
      <c r="L83" s="10"/>
      <c r="M83" s="10"/>
      <c r="N83" s="10"/>
      <c r="O83" s="10"/>
      <c r="P83" s="8"/>
      <c r="Q83" s="8"/>
      <c r="R83" s="8"/>
      <c r="S83" s="10"/>
      <c r="T83" s="8"/>
    </row>
    <row r="84" spans="1:20">
      <c r="A84" s="8"/>
      <c r="B84" s="8"/>
      <c r="C84" s="8"/>
      <c r="D84" s="8"/>
      <c r="E84" s="8"/>
      <c r="F84" s="8"/>
      <c r="G84" s="8"/>
      <c r="H84" s="13"/>
      <c r="I84" s="8"/>
      <c r="J84" s="13"/>
      <c r="K84" s="14" t="str">
        <f t="shared" si="1"/>
        <v/>
      </c>
      <c r="L84" s="10"/>
      <c r="M84" s="10"/>
      <c r="N84" s="10"/>
      <c r="O84" s="10"/>
      <c r="P84" s="8"/>
      <c r="Q84" s="8"/>
      <c r="R84" s="8"/>
      <c r="S84" s="10"/>
      <c r="T84" s="8"/>
    </row>
    <row r="85" spans="1:20">
      <c r="A85" s="8"/>
      <c r="B85" s="8"/>
      <c r="C85" s="8"/>
      <c r="D85" s="8"/>
      <c r="E85" s="8"/>
      <c r="F85" s="8"/>
      <c r="G85" s="8"/>
      <c r="H85" s="13"/>
      <c r="I85" s="8"/>
      <c r="J85" s="13"/>
      <c r="K85" s="14" t="str">
        <f t="shared" si="1"/>
        <v/>
      </c>
      <c r="L85" s="10"/>
      <c r="M85" s="10"/>
      <c r="N85" s="10"/>
      <c r="O85" s="10"/>
      <c r="P85" s="8"/>
      <c r="Q85" s="8"/>
      <c r="R85" s="8"/>
      <c r="S85" s="10"/>
      <c r="T85" s="8"/>
    </row>
    <row r="86" spans="1:20">
      <c r="A86" s="8"/>
      <c r="B86" s="8"/>
      <c r="C86" s="8"/>
      <c r="D86" s="8"/>
      <c r="E86" s="8"/>
      <c r="F86" s="8"/>
      <c r="G86" s="8"/>
      <c r="H86" s="13"/>
      <c r="I86" s="8"/>
      <c r="J86" s="13"/>
      <c r="K86" s="14" t="str">
        <f t="shared" si="1"/>
        <v/>
      </c>
      <c r="L86" s="10"/>
      <c r="M86" s="10"/>
      <c r="N86" s="10"/>
      <c r="O86" s="10"/>
      <c r="P86" s="8"/>
      <c r="Q86" s="8"/>
      <c r="R86" s="8"/>
      <c r="S86" s="10"/>
      <c r="T86" s="8"/>
    </row>
    <row r="87" spans="1:20">
      <c r="A87" s="8"/>
      <c r="B87" s="8"/>
      <c r="C87" s="8"/>
      <c r="D87" s="8"/>
      <c r="E87" s="8"/>
      <c r="F87" s="8"/>
      <c r="G87" s="8"/>
      <c r="H87" s="13"/>
      <c r="I87" s="8"/>
      <c r="J87" s="13"/>
      <c r="K87" s="14" t="str">
        <f t="shared" si="1"/>
        <v/>
      </c>
      <c r="L87" s="10"/>
      <c r="M87" s="10"/>
      <c r="N87" s="10"/>
      <c r="O87" s="10"/>
      <c r="P87" s="8"/>
      <c r="Q87" s="8"/>
      <c r="R87" s="8"/>
      <c r="S87" s="10"/>
      <c r="T87" s="8"/>
    </row>
    <row r="88" spans="1:20">
      <c r="A88" s="8"/>
      <c r="B88" s="8"/>
      <c r="C88" s="8"/>
      <c r="D88" s="8"/>
      <c r="E88" s="8"/>
      <c r="F88" s="8"/>
      <c r="G88" s="8"/>
      <c r="H88" s="13"/>
      <c r="I88" s="8"/>
      <c r="J88" s="13"/>
      <c r="K88" s="14" t="str">
        <f t="shared" si="1"/>
        <v/>
      </c>
      <c r="L88" s="10"/>
      <c r="M88" s="10"/>
      <c r="N88" s="10"/>
      <c r="O88" s="10"/>
      <c r="P88" s="8"/>
      <c r="Q88" s="8"/>
      <c r="R88" s="8"/>
      <c r="S88" s="10"/>
      <c r="T88" s="8"/>
    </row>
    <row r="89" spans="1:20">
      <c r="A89" s="8"/>
      <c r="B89" s="8"/>
      <c r="C89" s="8"/>
      <c r="D89" s="8"/>
      <c r="E89" s="8"/>
      <c r="F89" s="8"/>
      <c r="G89" s="8"/>
      <c r="H89" s="13"/>
      <c r="I89" s="8"/>
      <c r="J89" s="13"/>
      <c r="K89" s="14" t="str">
        <f t="shared" si="1"/>
        <v/>
      </c>
      <c r="L89" s="10"/>
      <c r="M89" s="10"/>
      <c r="N89" s="10"/>
      <c r="O89" s="10"/>
      <c r="P89" s="8"/>
      <c r="Q89" s="8"/>
      <c r="R89" s="8"/>
      <c r="S89" s="10"/>
      <c r="T89" s="8"/>
    </row>
    <row r="90" spans="1:20">
      <c r="A90" s="8"/>
      <c r="B90" s="8"/>
      <c r="C90" s="8"/>
      <c r="D90" s="8"/>
      <c r="E90" s="8"/>
      <c r="F90" s="8"/>
      <c r="G90" s="8"/>
      <c r="H90" s="13"/>
      <c r="I90" s="8"/>
      <c r="J90" s="13"/>
      <c r="K90" s="14" t="str">
        <f t="shared" si="1"/>
        <v/>
      </c>
      <c r="L90" s="10"/>
      <c r="M90" s="10"/>
      <c r="N90" s="10"/>
      <c r="O90" s="10"/>
      <c r="P90" s="8"/>
      <c r="Q90" s="8"/>
      <c r="R90" s="8"/>
      <c r="S90" s="10"/>
      <c r="T90" s="8"/>
    </row>
    <row r="91" spans="1:20">
      <c r="A91" s="8"/>
      <c r="B91" s="8"/>
      <c r="C91" s="8"/>
      <c r="D91" s="8"/>
      <c r="E91" s="8"/>
      <c r="F91" s="8"/>
      <c r="G91" s="8"/>
      <c r="H91" s="13"/>
      <c r="I91" s="8"/>
      <c r="J91" s="13"/>
      <c r="K91" s="14" t="str">
        <f t="shared" si="1"/>
        <v/>
      </c>
      <c r="L91" s="10"/>
      <c r="M91" s="10"/>
      <c r="N91" s="10"/>
      <c r="O91" s="10"/>
      <c r="P91" s="8"/>
      <c r="Q91" s="8"/>
      <c r="R91" s="8"/>
      <c r="S91" s="10"/>
      <c r="T91" s="8"/>
    </row>
    <row r="92" spans="1:20">
      <c r="A92" s="8"/>
      <c r="B92" s="8"/>
      <c r="C92" s="8"/>
      <c r="D92" s="8"/>
      <c r="E92" s="8"/>
      <c r="F92" s="8"/>
      <c r="G92" s="8"/>
      <c r="H92" s="13"/>
      <c r="I92" s="8"/>
      <c r="J92" s="13"/>
      <c r="K92" s="14" t="str">
        <f t="shared" si="1"/>
        <v/>
      </c>
      <c r="L92" s="10"/>
      <c r="M92" s="10"/>
      <c r="N92" s="10"/>
      <c r="O92" s="10"/>
      <c r="P92" s="8"/>
      <c r="Q92" s="8"/>
      <c r="R92" s="8"/>
      <c r="S92" s="10"/>
      <c r="T92" s="8"/>
    </row>
    <row r="93" spans="1:20">
      <c r="A93" s="8"/>
      <c r="B93" s="8"/>
      <c r="C93" s="8"/>
      <c r="D93" s="8"/>
      <c r="E93" s="8"/>
      <c r="F93" s="8"/>
      <c r="G93" s="8"/>
      <c r="H93" s="13"/>
      <c r="I93" s="8"/>
      <c r="J93" s="13"/>
      <c r="K93" s="14" t="str">
        <f t="shared" si="1"/>
        <v/>
      </c>
      <c r="L93" s="10"/>
      <c r="M93" s="10"/>
      <c r="N93" s="10"/>
      <c r="O93" s="10"/>
      <c r="P93" s="8"/>
      <c r="Q93" s="8"/>
      <c r="R93" s="8"/>
      <c r="S93" s="10"/>
      <c r="T93" s="8"/>
    </row>
    <row r="94" spans="1:20">
      <c r="A94" s="8"/>
      <c r="B94" s="8"/>
      <c r="C94" s="8"/>
      <c r="D94" s="8"/>
      <c r="E94" s="8"/>
      <c r="F94" s="8"/>
      <c r="G94" s="8"/>
      <c r="H94" s="13"/>
      <c r="I94" s="8"/>
      <c r="J94" s="13"/>
      <c r="K94" s="14" t="str">
        <f t="shared" si="1"/>
        <v/>
      </c>
      <c r="L94" s="10"/>
      <c r="M94" s="10"/>
      <c r="N94" s="10"/>
      <c r="O94" s="10"/>
      <c r="P94" s="8"/>
      <c r="Q94" s="8"/>
      <c r="R94" s="8"/>
      <c r="S94" s="10"/>
      <c r="T94" s="8"/>
    </row>
    <row r="95" spans="1:20">
      <c r="A95" s="8"/>
      <c r="B95" s="8"/>
      <c r="C95" s="8"/>
      <c r="D95" s="8"/>
      <c r="E95" s="8"/>
      <c r="F95" s="8"/>
      <c r="G95" s="8"/>
      <c r="H95" s="13"/>
      <c r="I95" s="8"/>
      <c r="J95" s="13"/>
      <c r="K95" s="14" t="str">
        <f t="shared" si="1"/>
        <v/>
      </c>
      <c r="L95" s="10"/>
      <c r="M95" s="10"/>
      <c r="N95" s="10"/>
      <c r="O95" s="10"/>
      <c r="P95" s="8"/>
      <c r="Q95" s="8"/>
      <c r="R95" s="8"/>
      <c r="S95" s="10"/>
      <c r="T95" s="8"/>
    </row>
    <row r="96" spans="1:20">
      <c r="A96" s="8"/>
      <c r="B96" s="8"/>
      <c r="C96" s="8"/>
      <c r="D96" s="8"/>
      <c r="E96" s="8"/>
      <c r="F96" s="8"/>
      <c r="G96" s="8"/>
      <c r="H96" s="13"/>
      <c r="I96" s="8"/>
      <c r="J96" s="13"/>
      <c r="K96" s="14" t="str">
        <f t="shared" si="1"/>
        <v/>
      </c>
      <c r="L96" s="10"/>
      <c r="M96" s="10"/>
      <c r="N96" s="10"/>
      <c r="O96" s="10"/>
      <c r="P96" s="8"/>
      <c r="Q96" s="8"/>
      <c r="R96" s="8"/>
      <c r="S96" s="10"/>
      <c r="T96" s="8"/>
    </row>
    <row r="97" spans="1:20">
      <c r="A97" s="8"/>
      <c r="B97" s="8"/>
      <c r="C97" s="8"/>
      <c r="D97" s="8"/>
      <c r="E97" s="8"/>
      <c r="F97" s="8"/>
      <c r="G97" s="8"/>
      <c r="H97" s="13"/>
      <c r="I97" s="8"/>
      <c r="J97" s="13"/>
      <c r="K97" s="14" t="str">
        <f t="shared" si="1"/>
        <v/>
      </c>
      <c r="L97" s="10"/>
      <c r="M97" s="10"/>
      <c r="N97" s="10"/>
      <c r="O97" s="10"/>
      <c r="P97" s="8"/>
      <c r="Q97" s="8"/>
      <c r="R97" s="8"/>
      <c r="S97" s="10"/>
      <c r="T97" s="8"/>
    </row>
    <row r="98" spans="1:20">
      <c r="A98" s="8"/>
      <c r="B98" s="8"/>
      <c r="C98" s="8"/>
      <c r="D98" s="8"/>
      <c r="E98" s="8"/>
      <c r="F98" s="8"/>
      <c r="G98" s="8"/>
      <c r="H98" s="13"/>
      <c r="I98" s="8"/>
      <c r="J98" s="13"/>
      <c r="K98" s="14" t="str">
        <f t="shared" si="1"/>
        <v/>
      </c>
      <c r="L98" s="10"/>
      <c r="M98" s="10"/>
      <c r="N98" s="10"/>
      <c r="O98" s="10"/>
      <c r="P98" s="8"/>
      <c r="Q98" s="8"/>
      <c r="R98" s="8"/>
      <c r="S98" s="10"/>
      <c r="T98" s="8"/>
    </row>
    <row r="99" spans="1:20">
      <c r="A99" s="8"/>
      <c r="B99" s="8"/>
      <c r="C99" s="8"/>
      <c r="D99" s="8"/>
      <c r="E99" s="8"/>
      <c r="F99" s="8"/>
      <c r="G99" s="8"/>
      <c r="H99" s="13"/>
      <c r="I99" s="8"/>
      <c r="J99" s="13"/>
      <c r="K99" s="14" t="str">
        <f t="shared" si="1"/>
        <v/>
      </c>
      <c r="L99" s="10"/>
      <c r="M99" s="10"/>
      <c r="N99" s="10"/>
      <c r="O99" s="10"/>
      <c r="P99" s="8"/>
      <c r="Q99" s="8"/>
      <c r="R99" s="8"/>
      <c r="S99" s="10"/>
      <c r="T99" s="8"/>
    </row>
    <row r="100" spans="1:20">
      <c r="A100" s="8"/>
      <c r="B100" s="8"/>
      <c r="C100" s="8"/>
      <c r="D100" s="8"/>
      <c r="E100" s="8"/>
      <c r="F100" s="8"/>
      <c r="G100" s="8"/>
      <c r="H100" s="13"/>
      <c r="I100" s="8"/>
      <c r="J100" s="13"/>
      <c r="K100" s="14" t="str">
        <f t="shared" si="1"/>
        <v/>
      </c>
      <c r="L100" s="10"/>
      <c r="M100" s="10"/>
      <c r="N100" s="10"/>
      <c r="O100" s="10"/>
      <c r="P100" s="8"/>
      <c r="Q100" s="8"/>
      <c r="R100" s="8"/>
      <c r="S100" s="10"/>
      <c r="T100" s="8"/>
    </row>
    <row r="101" spans="1:20">
      <c r="A101" s="8"/>
      <c r="B101" s="8"/>
      <c r="C101" s="8"/>
      <c r="D101" s="8"/>
      <c r="E101" s="8"/>
      <c r="F101" s="8"/>
      <c r="G101" s="8"/>
      <c r="H101" s="13"/>
      <c r="I101" s="8"/>
      <c r="J101" s="13"/>
      <c r="K101" s="14" t="str">
        <f t="shared" si="1"/>
        <v/>
      </c>
      <c r="L101" s="10"/>
      <c r="M101" s="10"/>
      <c r="N101" s="10"/>
      <c r="O101" s="10"/>
      <c r="P101" s="8"/>
      <c r="Q101" s="8"/>
      <c r="R101" s="8"/>
      <c r="S101" s="10"/>
      <c r="T101" s="8"/>
    </row>
    <row r="102" spans="1:20">
      <c r="A102" s="8"/>
      <c r="B102" s="8"/>
      <c r="C102" s="8"/>
      <c r="D102" s="8"/>
      <c r="E102" s="8"/>
      <c r="F102" s="8"/>
      <c r="G102" s="8"/>
      <c r="H102" s="13"/>
      <c r="I102" s="8"/>
      <c r="J102" s="13"/>
      <c r="K102" s="14" t="str">
        <f t="shared" si="1"/>
        <v/>
      </c>
      <c r="L102" s="10"/>
      <c r="M102" s="10"/>
      <c r="N102" s="10"/>
      <c r="O102" s="10"/>
      <c r="P102" s="8"/>
      <c r="Q102" s="8"/>
      <c r="R102" s="8"/>
      <c r="S102" s="10"/>
      <c r="T102" s="8"/>
    </row>
    <row r="103" spans="1:20">
      <c r="A103" s="8"/>
      <c r="B103" s="8"/>
      <c r="C103" s="8"/>
      <c r="D103" s="8"/>
      <c r="E103" s="8"/>
      <c r="F103" s="8"/>
      <c r="G103" s="8"/>
      <c r="H103" s="13"/>
      <c r="I103" s="8"/>
      <c r="J103" s="13"/>
      <c r="K103" s="14" t="str">
        <f t="shared" si="1"/>
        <v/>
      </c>
      <c r="L103" s="10"/>
      <c r="M103" s="10"/>
      <c r="N103" s="10"/>
      <c r="O103" s="10"/>
      <c r="P103" s="8"/>
      <c r="Q103" s="8"/>
      <c r="R103" s="8"/>
      <c r="S103" s="10"/>
      <c r="T103" s="8"/>
    </row>
    <row r="104" spans="1:20">
      <c r="A104" s="8"/>
      <c r="B104" s="8"/>
      <c r="C104" s="8"/>
      <c r="D104" s="8"/>
      <c r="E104" s="8"/>
      <c r="F104" s="8"/>
      <c r="G104" s="8"/>
      <c r="H104" s="13"/>
      <c r="I104" s="8"/>
      <c r="J104" s="13"/>
      <c r="K104" s="14" t="str">
        <f t="shared" si="1"/>
        <v/>
      </c>
      <c r="L104" s="10"/>
      <c r="M104" s="10"/>
      <c r="N104" s="10"/>
      <c r="O104" s="10"/>
      <c r="P104" s="8"/>
      <c r="Q104" s="8"/>
      <c r="R104" s="8"/>
      <c r="S104" s="10"/>
      <c r="T104" s="8"/>
    </row>
    <row r="105" spans="1:20">
      <c r="A105" s="8"/>
      <c r="B105" s="8"/>
      <c r="C105" s="8"/>
      <c r="D105" s="8"/>
      <c r="E105" s="8"/>
      <c r="F105" s="8"/>
      <c r="G105" s="8"/>
      <c r="H105" s="13"/>
      <c r="I105" s="8"/>
      <c r="J105" s="13"/>
      <c r="K105" s="14" t="str">
        <f t="shared" si="1"/>
        <v/>
      </c>
      <c r="L105" s="10"/>
      <c r="M105" s="10"/>
      <c r="N105" s="10"/>
      <c r="O105" s="10"/>
      <c r="P105" s="8"/>
      <c r="Q105" s="8"/>
      <c r="R105" s="8"/>
      <c r="S105" s="10"/>
      <c r="T105" s="8"/>
    </row>
    <row r="106" spans="1:20">
      <c r="A106" s="8"/>
      <c r="B106" s="8"/>
      <c r="C106" s="8"/>
      <c r="D106" s="8"/>
      <c r="E106" s="8"/>
      <c r="F106" s="8"/>
      <c r="G106" s="8"/>
      <c r="H106" s="13"/>
      <c r="I106" s="8"/>
      <c r="J106" s="13"/>
      <c r="K106" s="14" t="str">
        <f t="shared" si="1"/>
        <v/>
      </c>
      <c r="L106" s="10"/>
      <c r="M106" s="10"/>
      <c r="N106" s="10"/>
      <c r="O106" s="10"/>
      <c r="P106" s="8"/>
      <c r="Q106" s="8"/>
      <c r="R106" s="8"/>
      <c r="S106" s="10"/>
      <c r="T106" s="8"/>
    </row>
    <row r="107" spans="1:20">
      <c r="A107" s="8"/>
      <c r="B107" s="8"/>
      <c r="C107" s="8"/>
      <c r="D107" s="8"/>
      <c r="E107" s="8"/>
      <c r="F107" s="8"/>
      <c r="G107" s="8"/>
      <c r="H107" s="13"/>
      <c r="I107" s="8"/>
      <c r="J107" s="13"/>
      <c r="K107" s="14" t="str">
        <f t="shared" si="1"/>
        <v/>
      </c>
      <c r="L107" s="10"/>
      <c r="M107" s="10"/>
      <c r="N107" s="10"/>
      <c r="O107" s="10"/>
      <c r="P107" s="8"/>
      <c r="Q107" s="8"/>
      <c r="R107" s="8"/>
      <c r="S107" s="10"/>
      <c r="T107" s="8"/>
    </row>
    <row r="108" spans="1:20">
      <c r="A108" s="8"/>
      <c r="B108" s="8"/>
      <c r="C108" s="8"/>
      <c r="D108" s="8"/>
      <c r="E108" s="8"/>
      <c r="F108" s="8"/>
      <c r="G108" s="8"/>
      <c r="H108" s="13"/>
      <c r="I108" s="8"/>
      <c r="J108" s="13"/>
      <c r="K108" s="14" t="str">
        <f t="shared" si="1"/>
        <v/>
      </c>
      <c r="L108" s="10"/>
      <c r="M108" s="10"/>
      <c r="N108" s="10"/>
      <c r="O108" s="10"/>
      <c r="P108" s="8"/>
      <c r="Q108" s="8"/>
      <c r="R108" s="8"/>
      <c r="S108" s="10"/>
      <c r="T108" s="8"/>
    </row>
    <row r="109" spans="1:20">
      <c r="A109" s="8"/>
      <c r="B109" s="8"/>
      <c r="C109" s="8"/>
      <c r="D109" s="8"/>
      <c r="E109" s="8"/>
      <c r="F109" s="8"/>
      <c r="G109" s="8"/>
      <c r="H109" s="13"/>
      <c r="I109" s="8"/>
      <c r="J109" s="13"/>
      <c r="K109" s="14" t="str">
        <f t="shared" si="1"/>
        <v/>
      </c>
      <c r="L109" s="10"/>
      <c r="M109" s="10"/>
      <c r="N109" s="10"/>
      <c r="O109" s="10"/>
      <c r="P109" s="8"/>
      <c r="Q109" s="8"/>
      <c r="R109" s="8"/>
      <c r="S109" s="10"/>
      <c r="T109" s="8"/>
    </row>
    <row r="110" spans="1:20">
      <c r="A110" s="8"/>
      <c r="B110" s="8"/>
      <c r="C110" s="8"/>
      <c r="D110" s="8"/>
      <c r="E110" s="8"/>
      <c r="F110" s="8"/>
      <c r="G110" s="8"/>
      <c r="H110" s="13"/>
      <c r="I110" s="8"/>
      <c r="J110" s="13"/>
      <c r="K110" s="14" t="str">
        <f t="shared" si="1"/>
        <v/>
      </c>
      <c r="L110" s="10"/>
      <c r="M110" s="10"/>
      <c r="N110" s="10"/>
      <c r="O110" s="10"/>
      <c r="P110" s="8"/>
      <c r="Q110" s="8"/>
      <c r="R110" s="8"/>
      <c r="S110" s="10"/>
      <c r="T110" s="8"/>
    </row>
    <row r="111" spans="1:20">
      <c r="A111" s="8"/>
      <c r="B111" s="8"/>
      <c r="C111" s="8"/>
      <c r="D111" s="8"/>
      <c r="E111" s="8"/>
      <c r="F111" s="8"/>
      <c r="G111" s="8"/>
      <c r="H111" s="13"/>
      <c r="I111" s="8"/>
      <c r="J111" s="13"/>
      <c r="K111" s="14" t="str">
        <f t="shared" si="1"/>
        <v/>
      </c>
      <c r="L111" s="10"/>
      <c r="M111" s="10"/>
      <c r="N111" s="10"/>
      <c r="O111" s="10"/>
      <c r="P111" s="8"/>
      <c r="Q111" s="8"/>
      <c r="R111" s="8"/>
      <c r="S111" s="10"/>
      <c r="T111" s="8"/>
    </row>
    <row r="112" spans="1:20">
      <c r="A112" s="8"/>
      <c r="B112" s="8"/>
      <c r="C112" s="8"/>
      <c r="D112" s="8"/>
      <c r="E112" s="8"/>
      <c r="F112" s="8"/>
      <c r="G112" s="8"/>
      <c r="H112" s="13"/>
      <c r="I112" s="8"/>
      <c r="J112" s="13"/>
      <c r="K112" s="14" t="str">
        <f t="shared" si="1"/>
        <v/>
      </c>
      <c r="L112" s="10"/>
      <c r="M112" s="10"/>
      <c r="N112" s="10"/>
      <c r="O112" s="10"/>
      <c r="P112" s="8"/>
      <c r="Q112" s="8"/>
      <c r="R112" s="8"/>
      <c r="S112" s="10"/>
      <c r="T112" s="8"/>
    </row>
    <row r="113" spans="1:20">
      <c r="A113" s="8"/>
      <c r="B113" s="8"/>
      <c r="C113" s="8"/>
      <c r="D113" s="8"/>
      <c r="E113" s="8"/>
      <c r="F113" s="8"/>
      <c r="G113" s="8"/>
      <c r="H113" s="13"/>
      <c r="I113" s="8"/>
      <c r="J113" s="13"/>
      <c r="K113" s="14" t="str">
        <f t="shared" si="1"/>
        <v/>
      </c>
      <c r="L113" s="10"/>
      <c r="M113" s="10"/>
      <c r="N113" s="10"/>
      <c r="O113" s="10"/>
      <c r="P113" s="8"/>
      <c r="Q113" s="8"/>
      <c r="R113" s="8"/>
      <c r="S113" s="10"/>
      <c r="T113" s="8"/>
    </row>
    <row r="114" spans="1:20">
      <c r="A114" s="8"/>
      <c r="B114" s="8"/>
      <c r="C114" s="8"/>
      <c r="D114" s="8"/>
      <c r="E114" s="8"/>
      <c r="F114" s="8"/>
      <c r="G114" s="8"/>
      <c r="H114" s="13"/>
      <c r="I114" s="8"/>
      <c r="J114" s="13"/>
      <c r="K114" s="14" t="str">
        <f t="shared" si="1"/>
        <v/>
      </c>
      <c r="L114" s="10"/>
      <c r="M114" s="10"/>
      <c r="N114" s="10"/>
      <c r="O114" s="10"/>
      <c r="P114" s="8"/>
      <c r="Q114" s="8"/>
      <c r="R114" s="8"/>
      <c r="S114" s="10"/>
      <c r="T114" s="8"/>
    </row>
    <row r="115" spans="1:20">
      <c r="A115" s="8"/>
      <c r="B115" s="8"/>
      <c r="C115" s="8"/>
      <c r="D115" s="8"/>
      <c r="E115" s="8"/>
      <c r="F115" s="8"/>
      <c r="G115" s="8"/>
      <c r="H115" s="13"/>
      <c r="I115" s="8"/>
      <c r="J115" s="13"/>
      <c r="K115" s="14" t="str">
        <f t="shared" si="1"/>
        <v/>
      </c>
      <c r="L115" s="10"/>
      <c r="M115" s="10"/>
      <c r="N115" s="10"/>
      <c r="O115" s="10"/>
      <c r="P115" s="8"/>
      <c r="Q115" s="8"/>
      <c r="R115" s="8"/>
      <c r="S115" s="10"/>
      <c r="T115" s="8"/>
    </row>
    <row r="116" spans="1:20">
      <c r="A116" s="8"/>
      <c r="B116" s="8"/>
      <c r="C116" s="8"/>
      <c r="D116" s="8"/>
      <c r="E116" s="8"/>
      <c r="F116" s="8"/>
      <c r="G116" s="8"/>
      <c r="H116" s="13"/>
      <c r="I116" s="8"/>
      <c r="J116" s="13"/>
      <c r="K116" s="14" t="str">
        <f t="shared" si="1"/>
        <v/>
      </c>
      <c r="L116" s="10"/>
      <c r="M116" s="10"/>
      <c r="N116" s="10"/>
      <c r="O116" s="10"/>
      <c r="P116" s="8"/>
      <c r="Q116" s="8"/>
      <c r="R116" s="8"/>
      <c r="S116" s="10"/>
      <c r="T116" s="8"/>
    </row>
    <row r="117" spans="1:20">
      <c r="A117" s="8"/>
      <c r="B117" s="8"/>
      <c r="C117" s="8"/>
      <c r="D117" s="8"/>
      <c r="E117" s="8"/>
      <c r="F117" s="8"/>
      <c r="G117" s="8"/>
      <c r="H117" s="13"/>
      <c r="I117" s="8"/>
      <c r="J117" s="13"/>
      <c r="K117" s="14" t="str">
        <f t="shared" si="1"/>
        <v/>
      </c>
      <c r="L117" s="10"/>
      <c r="M117" s="10"/>
      <c r="N117" s="10"/>
      <c r="O117" s="10"/>
      <c r="P117" s="8"/>
      <c r="Q117" s="8"/>
      <c r="R117" s="8"/>
      <c r="S117" s="10"/>
      <c r="T117" s="8"/>
    </row>
    <row r="118" spans="1:20">
      <c r="A118" s="8"/>
      <c r="B118" s="8"/>
      <c r="C118" s="8"/>
      <c r="D118" s="8"/>
      <c r="E118" s="8"/>
      <c r="F118" s="8"/>
      <c r="G118" s="8"/>
      <c r="H118" s="13"/>
      <c r="I118" s="8"/>
      <c r="J118" s="13"/>
      <c r="K118" s="14" t="str">
        <f t="shared" si="1"/>
        <v/>
      </c>
      <c r="L118" s="10"/>
      <c r="M118" s="10"/>
      <c r="N118" s="10"/>
      <c r="O118" s="10"/>
      <c r="P118" s="8"/>
      <c r="Q118" s="8"/>
      <c r="R118" s="8"/>
      <c r="S118" s="10"/>
      <c r="T118" s="8"/>
    </row>
    <row r="119" spans="1:20">
      <c r="A119" s="8"/>
      <c r="B119" s="8"/>
      <c r="C119" s="8"/>
      <c r="D119" s="8"/>
      <c r="E119" s="8"/>
      <c r="F119" s="8"/>
      <c r="G119" s="8"/>
      <c r="H119" s="13"/>
      <c r="I119" s="8"/>
      <c r="J119" s="13"/>
      <c r="K119" s="14" t="str">
        <f t="shared" si="1"/>
        <v/>
      </c>
      <c r="L119" s="10"/>
      <c r="M119" s="10"/>
      <c r="N119" s="10"/>
      <c r="O119" s="10"/>
      <c r="P119" s="8"/>
      <c r="Q119" s="8"/>
      <c r="R119" s="8"/>
      <c r="S119" s="10"/>
      <c r="T119" s="8"/>
    </row>
    <row r="120" spans="1:20">
      <c r="A120" s="8"/>
      <c r="B120" s="8"/>
      <c r="C120" s="8"/>
      <c r="D120" s="8"/>
      <c r="E120" s="8"/>
      <c r="F120" s="8"/>
      <c r="G120" s="8"/>
      <c r="H120" s="13"/>
      <c r="I120" s="8"/>
      <c r="J120" s="13"/>
      <c r="K120" s="14" t="str">
        <f t="shared" si="1"/>
        <v/>
      </c>
      <c r="L120" s="10"/>
      <c r="M120" s="10"/>
      <c r="N120" s="10"/>
      <c r="O120" s="10"/>
      <c r="P120" s="8"/>
      <c r="Q120" s="8"/>
      <c r="R120" s="8"/>
      <c r="S120" s="10"/>
      <c r="T120" s="8"/>
    </row>
    <row r="121" spans="1:20">
      <c r="A121" s="8"/>
      <c r="B121" s="8"/>
      <c r="C121" s="8"/>
      <c r="D121" s="8"/>
      <c r="E121" s="8"/>
      <c r="F121" s="8"/>
      <c r="G121" s="8"/>
      <c r="H121" s="13"/>
      <c r="I121" s="8"/>
      <c r="J121" s="13"/>
      <c r="K121" s="14" t="str">
        <f t="shared" si="1"/>
        <v/>
      </c>
      <c r="L121" s="10"/>
      <c r="M121" s="10"/>
      <c r="N121" s="10"/>
      <c r="O121" s="10"/>
      <c r="P121" s="8"/>
      <c r="Q121" s="8"/>
      <c r="R121" s="8"/>
      <c r="S121" s="10"/>
      <c r="T121" s="8"/>
    </row>
    <row r="122" spans="1:20">
      <c r="A122" s="8"/>
      <c r="B122" s="8"/>
      <c r="C122" s="8"/>
      <c r="D122" s="8"/>
      <c r="E122" s="8"/>
      <c r="F122" s="8"/>
      <c r="G122" s="8"/>
      <c r="H122" s="13"/>
      <c r="I122" s="8"/>
      <c r="J122" s="13"/>
      <c r="K122" s="14" t="str">
        <f t="shared" si="1"/>
        <v/>
      </c>
      <c r="L122" s="10"/>
      <c r="M122" s="10"/>
      <c r="N122" s="10"/>
      <c r="O122" s="10"/>
      <c r="P122" s="8"/>
      <c r="Q122" s="8"/>
      <c r="R122" s="8"/>
      <c r="S122" s="10"/>
      <c r="T122" s="8"/>
    </row>
    <row r="123" spans="1:20">
      <c r="A123" s="8"/>
      <c r="B123" s="8"/>
      <c r="C123" s="8"/>
      <c r="D123" s="8"/>
      <c r="E123" s="8"/>
      <c r="F123" s="8"/>
      <c r="G123" s="8"/>
      <c r="H123" s="13"/>
      <c r="I123" s="8"/>
      <c r="J123" s="13"/>
      <c r="K123" s="14" t="str">
        <f t="shared" si="1"/>
        <v/>
      </c>
      <c r="L123" s="10"/>
      <c r="M123" s="10"/>
      <c r="N123" s="10"/>
      <c r="O123" s="10"/>
      <c r="P123" s="8"/>
      <c r="Q123" s="8"/>
      <c r="R123" s="8"/>
      <c r="S123" s="10"/>
      <c r="T123" s="8"/>
    </row>
    <row r="124" spans="1:20">
      <c r="A124" s="8"/>
      <c r="B124" s="8"/>
      <c r="C124" s="8"/>
      <c r="D124" s="8"/>
      <c r="E124" s="8"/>
      <c r="F124" s="8"/>
      <c r="G124" s="8"/>
      <c r="H124" s="13"/>
      <c r="I124" s="8"/>
      <c r="J124" s="13"/>
      <c r="K124" s="14" t="str">
        <f t="shared" si="1"/>
        <v/>
      </c>
      <c r="L124" s="10"/>
      <c r="M124" s="10"/>
      <c r="N124" s="10"/>
      <c r="O124" s="10"/>
      <c r="P124" s="8"/>
      <c r="Q124" s="8"/>
      <c r="R124" s="8"/>
      <c r="S124" s="10"/>
      <c r="T124" s="8"/>
    </row>
    <row r="125" spans="1:20">
      <c r="A125" s="8"/>
      <c r="B125" s="8"/>
      <c r="C125" s="8"/>
      <c r="D125" s="8"/>
      <c r="E125" s="8"/>
      <c r="F125" s="8"/>
      <c r="G125" s="8"/>
      <c r="H125" s="13"/>
      <c r="I125" s="8"/>
      <c r="J125" s="13"/>
      <c r="K125" s="14" t="str">
        <f t="shared" si="1"/>
        <v/>
      </c>
      <c r="L125" s="10"/>
      <c r="M125" s="10"/>
      <c r="N125" s="10"/>
      <c r="O125" s="10"/>
      <c r="P125" s="8"/>
      <c r="Q125" s="8"/>
      <c r="R125" s="8"/>
      <c r="S125" s="10"/>
      <c r="T125" s="8"/>
    </row>
    <row r="126" spans="1:20">
      <c r="A126" s="8"/>
      <c r="B126" s="8"/>
      <c r="C126" s="8"/>
      <c r="D126" s="8"/>
      <c r="E126" s="8"/>
      <c r="F126" s="8"/>
      <c r="G126" s="8"/>
      <c r="H126" s="13"/>
      <c r="I126" s="8"/>
      <c r="J126" s="13"/>
      <c r="K126" s="14" t="str">
        <f t="shared" si="1"/>
        <v/>
      </c>
      <c r="L126" s="10"/>
      <c r="M126" s="10"/>
      <c r="N126" s="10"/>
      <c r="O126" s="10"/>
      <c r="P126" s="8"/>
      <c r="Q126" s="8"/>
      <c r="R126" s="8"/>
      <c r="S126" s="10"/>
      <c r="T126" s="8"/>
    </row>
    <row r="127" spans="1:20">
      <c r="A127" s="8"/>
      <c r="B127" s="8"/>
      <c r="C127" s="8"/>
      <c r="D127" s="8"/>
      <c r="E127" s="8"/>
      <c r="F127" s="8"/>
      <c r="G127" s="8"/>
      <c r="H127" s="13"/>
      <c r="I127" s="8"/>
      <c r="J127" s="13"/>
      <c r="K127" s="14" t="str">
        <f t="shared" si="1"/>
        <v/>
      </c>
      <c r="L127" s="10"/>
      <c r="M127" s="10"/>
      <c r="N127" s="10"/>
      <c r="O127" s="10"/>
      <c r="P127" s="8"/>
      <c r="Q127" s="8"/>
      <c r="R127" s="8"/>
      <c r="S127" s="10"/>
      <c r="T127" s="8"/>
    </row>
    <row r="128" spans="1:20">
      <c r="A128" s="8"/>
      <c r="B128" s="8"/>
      <c r="C128" s="8"/>
      <c r="D128" s="8"/>
      <c r="E128" s="8"/>
      <c r="F128" s="8"/>
      <c r="G128" s="8"/>
      <c r="H128" s="13"/>
      <c r="I128" s="8"/>
      <c r="J128" s="13"/>
      <c r="K128" s="14" t="str">
        <f t="shared" si="1"/>
        <v/>
      </c>
      <c r="L128" s="10"/>
      <c r="M128" s="10"/>
      <c r="N128" s="10"/>
      <c r="O128" s="10"/>
      <c r="P128" s="8"/>
      <c r="Q128" s="8"/>
      <c r="R128" s="8"/>
      <c r="S128" s="10"/>
      <c r="T128" s="8"/>
    </row>
    <row r="129" spans="1:20">
      <c r="A129" s="8"/>
      <c r="B129" s="8"/>
      <c r="C129" s="8"/>
      <c r="D129" s="8"/>
      <c r="E129" s="8"/>
      <c r="F129" s="8"/>
      <c r="G129" s="8"/>
      <c r="H129" s="13"/>
      <c r="I129" s="8"/>
      <c r="J129" s="13"/>
      <c r="K129" s="14" t="str">
        <f t="shared" si="1"/>
        <v/>
      </c>
      <c r="L129" s="10"/>
      <c r="M129" s="10"/>
      <c r="N129" s="10"/>
      <c r="O129" s="10"/>
      <c r="P129" s="8"/>
      <c r="Q129" s="8"/>
      <c r="R129" s="8"/>
      <c r="S129" s="10"/>
      <c r="T129" s="8"/>
    </row>
    <row r="130" spans="1:20">
      <c r="A130" s="8"/>
      <c r="B130" s="8"/>
      <c r="C130" s="8"/>
      <c r="D130" s="8"/>
      <c r="E130" s="8"/>
      <c r="F130" s="8"/>
      <c r="G130" s="8"/>
      <c r="H130" s="13"/>
      <c r="I130" s="8"/>
      <c r="J130" s="13"/>
      <c r="K130" s="14" t="str">
        <f t="shared" si="1"/>
        <v/>
      </c>
      <c r="L130" s="10"/>
      <c r="M130" s="10"/>
      <c r="N130" s="10"/>
      <c r="O130" s="10"/>
      <c r="P130" s="8"/>
      <c r="Q130" s="8"/>
      <c r="R130" s="8"/>
      <c r="S130" s="10"/>
      <c r="T130" s="8"/>
    </row>
    <row r="131" spans="1:20">
      <c r="A131" s="8"/>
      <c r="B131" s="8"/>
      <c r="C131" s="8"/>
      <c r="D131" s="8"/>
      <c r="E131" s="8"/>
      <c r="F131" s="8"/>
      <c r="G131" s="8"/>
      <c r="H131" s="13"/>
      <c r="I131" s="8"/>
      <c r="J131" s="13"/>
      <c r="K131" s="14" t="str">
        <f t="shared" si="1"/>
        <v/>
      </c>
      <c r="L131" s="10"/>
      <c r="M131" s="10"/>
      <c r="N131" s="10"/>
      <c r="O131" s="10"/>
      <c r="P131" s="8"/>
      <c r="Q131" s="8"/>
      <c r="R131" s="8"/>
      <c r="S131" s="10"/>
      <c r="T131" s="8"/>
    </row>
    <row r="132" spans="1:20">
      <c r="A132" s="8"/>
      <c r="B132" s="8"/>
      <c r="C132" s="8"/>
      <c r="D132" s="8"/>
      <c r="E132" s="8"/>
      <c r="F132" s="8"/>
      <c r="G132" s="8"/>
      <c r="H132" s="13"/>
      <c r="I132" s="8"/>
      <c r="J132" s="13"/>
      <c r="K132" s="14" t="str">
        <f t="shared" si="1"/>
        <v/>
      </c>
      <c r="L132" s="10"/>
      <c r="M132" s="10"/>
      <c r="N132" s="10"/>
      <c r="O132" s="10"/>
      <c r="P132" s="8"/>
      <c r="Q132" s="8"/>
      <c r="R132" s="8"/>
      <c r="S132" s="10"/>
      <c r="T132" s="8"/>
    </row>
    <row r="133" spans="1:20">
      <c r="A133" s="8"/>
      <c r="B133" s="8"/>
      <c r="C133" s="8"/>
      <c r="D133" s="8"/>
      <c r="E133" s="8"/>
      <c r="F133" s="8"/>
      <c r="G133" s="8"/>
      <c r="H133" s="13"/>
      <c r="I133" s="8"/>
      <c r="J133" s="13"/>
      <c r="K133" s="14" t="str">
        <f t="shared" ref="K133:K196" si="2">IF(A133="","",H133*J133)</f>
        <v/>
      </c>
      <c r="L133" s="10"/>
      <c r="M133" s="10"/>
      <c r="N133" s="10"/>
      <c r="O133" s="10"/>
      <c r="P133" s="8"/>
      <c r="Q133" s="8"/>
      <c r="R133" s="8"/>
      <c r="S133" s="10"/>
      <c r="T133" s="8"/>
    </row>
    <row r="134" spans="1:20">
      <c r="A134" s="8"/>
      <c r="B134" s="8"/>
      <c r="C134" s="8"/>
      <c r="D134" s="8"/>
      <c r="E134" s="8"/>
      <c r="F134" s="8"/>
      <c r="G134" s="8"/>
      <c r="H134" s="13"/>
      <c r="I134" s="8"/>
      <c r="J134" s="13"/>
      <c r="K134" s="14" t="str">
        <f t="shared" si="2"/>
        <v/>
      </c>
      <c r="L134" s="10"/>
      <c r="M134" s="10"/>
      <c r="N134" s="10"/>
      <c r="O134" s="10"/>
      <c r="P134" s="8"/>
      <c r="Q134" s="8"/>
      <c r="R134" s="8"/>
      <c r="S134" s="10"/>
      <c r="T134" s="8"/>
    </row>
    <row r="135" spans="1:20">
      <c r="A135" s="8"/>
      <c r="B135" s="8"/>
      <c r="C135" s="8"/>
      <c r="D135" s="8"/>
      <c r="E135" s="8"/>
      <c r="F135" s="8"/>
      <c r="G135" s="8"/>
      <c r="H135" s="13"/>
      <c r="I135" s="8"/>
      <c r="J135" s="13"/>
      <c r="K135" s="14" t="str">
        <f t="shared" si="2"/>
        <v/>
      </c>
      <c r="L135" s="10"/>
      <c r="M135" s="10"/>
      <c r="N135" s="10"/>
      <c r="O135" s="10"/>
      <c r="P135" s="8"/>
      <c r="Q135" s="8"/>
      <c r="R135" s="8"/>
      <c r="S135" s="10"/>
      <c r="T135" s="8"/>
    </row>
    <row r="136" spans="1:20">
      <c r="A136" s="8"/>
      <c r="B136" s="8"/>
      <c r="C136" s="8"/>
      <c r="D136" s="8"/>
      <c r="E136" s="8"/>
      <c r="F136" s="8"/>
      <c r="G136" s="8"/>
      <c r="H136" s="13"/>
      <c r="I136" s="8"/>
      <c r="J136" s="13"/>
      <c r="K136" s="14" t="str">
        <f t="shared" si="2"/>
        <v/>
      </c>
      <c r="L136" s="10"/>
      <c r="M136" s="10"/>
      <c r="N136" s="10"/>
      <c r="O136" s="10"/>
      <c r="P136" s="8"/>
      <c r="Q136" s="8"/>
      <c r="R136" s="8"/>
      <c r="S136" s="10"/>
      <c r="T136" s="8"/>
    </row>
    <row r="137" spans="1:20">
      <c r="A137" s="8"/>
      <c r="B137" s="8"/>
      <c r="C137" s="8"/>
      <c r="D137" s="8"/>
      <c r="E137" s="8"/>
      <c r="F137" s="8"/>
      <c r="G137" s="8"/>
      <c r="H137" s="13"/>
      <c r="I137" s="8"/>
      <c r="J137" s="13"/>
      <c r="K137" s="14" t="str">
        <f t="shared" si="2"/>
        <v/>
      </c>
      <c r="L137" s="10"/>
      <c r="M137" s="10"/>
      <c r="N137" s="10"/>
      <c r="O137" s="10"/>
      <c r="P137" s="8"/>
      <c r="Q137" s="8"/>
      <c r="R137" s="8"/>
      <c r="S137" s="10"/>
      <c r="T137" s="8"/>
    </row>
    <row r="138" spans="1:20">
      <c r="A138" s="8"/>
      <c r="B138" s="8"/>
      <c r="C138" s="8"/>
      <c r="D138" s="8"/>
      <c r="E138" s="8"/>
      <c r="F138" s="8"/>
      <c r="G138" s="8"/>
      <c r="H138" s="13"/>
      <c r="I138" s="8"/>
      <c r="J138" s="13"/>
      <c r="K138" s="14" t="str">
        <f t="shared" si="2"/>
        <v/>
      </c>
      <c r="L138" s="10"/>
      <c r="M138" s="10"/>
      <c r="N138" s="10"/>
      <c r="O138" s="10"/>
      <c r="P138" s="8"/>
      <c r="Q138" s="8"/>
      <c r="R138" s="8"/>
      <c r="S138" s="10"/>
      <c r="T138" s="8"/>
    </row>
    <row r="139" spans="1:20">
      <c r="A139" s="8"/>
      <c r="B139" s="8"/>
      <c r="C139" s="8"/>
      <c r="D139" s="8"/>
      <c r="E139" s="8"/>
      <c r="F139" s="8"/>
      <c r="G139" s="8"/>
      <c r="H139" s="13"/>
      <c r="I139" s="8"/>
      <c r="J139" s="13"/>
      <c r="K139" s="14" t="str">
        <f t="shared" si="2"/>
        <v/>
      </c>
      <c r="L139" s="10"/>
      <c r="M139" s="10"/>
      <c r="N139" s="10"/>
      <c r="O139" s="10"/>
      <c r="P139" s="8"/>
      <c r="Q139" s="8"/>
      <c r="R139" s="8"/>
      <c r="S139" s="10"/>
      <c r="T139" s="8"/>
    </row>
    <row r="140" spans="1:20">
      <c r="A140" s="8"/>
      <c r="B140" s="8"/>
      <c r="C140" s="8"/>
      <c r="D140" s="8"/>
      <c r="E140" s="8"/>
      <c r="F140" s="8"/>
      <c r="G140" s="8"/>
      <c r="H140" s="13"/>
      <c r="I140" s="8"/>
      <c r="J140" s="13"/>
      <c r="K140" s="14" t="str">
        <f t="shared" si="2"/>
        <v/>
      </c>
      <c r="L140" s="10"/>
      <c r="M140" s="10"/>
      <c r="N140" s="10"/>
      <c r="O140" s="10"/>
      <c r="P140" s="8"/>
      <c r="Q140" s="8"/>
      <c r="R140" s="8"/>
      <c r="S140" s="10"/>
      <c r="T140" s="8"/>
    </row>
    <row r="141" spans="1:20">
      <c r="A141" s="8"/>
      <c r="B141" s="8"/>
      <c r="C141" s="8"/>
      <c r="D141" s="8"/>
      <c r="E141" s="8"/>
      <c r="F141" s="8"/>
      <c r="G141" s="8"/>
      <c r="H141" s="13"/>
      <c r="I141" s="8"/>
      <c r="J141" s="13"/>
      <c r="K141" s="14" t="str">
        <f t="shared" si="2"/>
        <v/>
      </c>
      <c r="L141" s="10"/>
      <c r="M141" s="10"/>
      <c r="N141" s="10"/>
      <c r="O141" s="10"/>
      <c r="P141" s="8"/>
      <c r="Q141" s="8"/>
      <c r="R141" s="8"/>
      <c r="S141" s="10"/>
      <c r="T141" s="8"/>
    </row>
    <row r="142" spans="1:20">
      <c r="A142" s="8"/>
      <c r="B142" s="8"/>
      <c r="C142" s="8"/>
      <c r="D142" s="8"/>
      <c r="E142" s="8"/>
      <c r="F142" s="8"/>
      <c r="G142" s="8"/>
      <c r="H142" s="13"/>
      <c r="I142" s="8"/>
      <c r="J142" s="13"/>
      <c r="K142" s="14" t="str">
        <f t="shared" si="2"/>
        <v/>
      </c>
      <c r="L142" s="10"/>
      <c r="M142" s="10"/>
      <c r="N142" s="10"/>
      <c r="O142" s="10"/>
      <c r="P142" s="8"/>
      <c r="Q142" s="8"/>
      <c r="R142" s="8"/>
      <c r="S142" s="10"/>
      <c r="T142" s="8"/>
    </row>
    <row r="143" spans="1:20">
      <c r="A143" s="8"/>
      <c r="B143" s="8"/>
      <c r="C143" s="8"/>
      <c r="D143" s="8"/>
      <c r="E143" s="8"/>
      <c r="F143" s="8"/>
      <c r="G143" s="8"/>
      <c r="H143" s="13"/>
      <c r="I143" s="8"/>
      <c r="J143" s="13"/>
      <c r="K143" s="14" t="str">
        <f t="shared" si="2"/>
        <v/>
      </c>
      <c r="L143" s="10"/>
      <c r="M143" s="10"/>
      <c r="N143" s="10"/>
      <c r="O143" s="10"/>
      <c r="P143" s="8"/>
      <c r="Q143" s="8"/>
      <c r="R143" s="8"/>
      <c r="S143" s="10"/>
      <c r="T143" s="8"/>
    </row>
    <row r="144" spans="1:20">
      <c r="A144" s="8"/>
      <c r="B144" s="8"/>
      <c r="C144" s="8"/>
      <c r="D144" s="8"/>
      <c r="E144" s="8"/>
      <c r="F144" s="8"/>
      <c r="G144" s="8"/>
      <c r="H144" s="13"/>
      <c r="I144" s="8"/>
      <c r="J144" s="13"/>
      <c r="K144" s="14" t="str">
        <f t="shared" si="2"/>
        <v/>
      </c>
      <c r="L144" s="10"/>
      <c r="M144" s="10"/>
      <c r="N144" s="10"/>
      <c r="O144" s="10"/>
      <c r="P144" s="8"/>
      <c r="Q144" s="8"/>
      <c r="R144" s="8"/>
      <c r="S144" s="10"/>
      <c r="T144" s="8"/>
    </row>
    <row r="145" spans="1:20">
      <c r="A145" s="8"/>
      <c r="B145" s="8"/>
      <c r="C145" s="8"/>
      <c r="D145" s="8"/>
      <c r="E145" s="8"/>
      <c r="F145" s="8"/>
      <c r="G145" s="8"/>
      <c r="H145" s="13"/>
      <c r="I145" s="8"/>
      <c r="J145" s="13"/>
      <c r="K145" s="14" t="str">
        <f t="shared" si="2"/>
        <v/>
      </c>
      <c r="L145" s="10"/>
      <c r="M145" s="10"/>
      <c r="N145" s="10"/>
      <c r="O145" s="10"/>
      <c r="P145" s="8"/>
      <c r="Q145" s="8"/>
      <c r="R145" s="8"/>
      <c r="S145" s="10"/>
      <c r="T145" s="8"/>
    </row>
    <row r="146" spans="1:20">
      <c r="A146" s="8"/>
      <c r="B146" s="8"/>
      <c r="C146" s="8"/>
      <c r="D146" s="8"/>
      <c r="E146" s="8"/>
      <c r="F146" s="8"/>
      <c r="G146" s="8"/>
      <c r="H146" s="13"/>
      <c r="I146" s="8"/>
      <c r="J146" s="13"/>
      <c r="K146" s="14" t="str">
        <f t="shared" si="2"/>
        <v/>
      </c>
      <c r="L146" s="10"/>
      <c r="M146" s="10"/>
      <c r="N146" s="10"/>
      <c r="O146" s="10"/>
      <c r="P146" s="8"/>
      <c r="Q146" s="8"/>
      <c r="R146" s="8"/>
      <c r="S146" s="10"/>
      <c r="T146" s="8"/>
    </row>
    <row r="147" spans="1:20">
      <c r="A147" s="8"/>
      <c r="B147" s="8"/>
      <c r="C147" s="8"/>
      <c r="D147" s="8"/>
      <c r="E147" s="8"/>
      <c r="F147" s="8"/>
      <c r="G147" s="8"/>
      <c r="H147" s="13"/>
      <c r="I147" s="8"/>
      <c r="J147" s="13"/>
      <c r="K147" s="14" t="str">
        <f t="shared" si="2"/>
        <v/>
      </c>
      <c r="L147" s="10"/>
      <c r="M147" s="10"/>
      <c r="N147" s="10"/>
      <c r="O147" s="10"/>
      <c r="P147" s="8"/>
      <c r="Q147" s="8"/>
      <c r="R147" s="8"/>
      <c r="S147" s="10"/>
      <c r="T147" s="8"/>
    </row>
    <row r="148" spans="1:20">
      <c r="A148" s="8"/>
      <c r="B148" s="8"/>
      <c r="C148" s="8"/>
      <c r="D148" s="8"/>
      <c r="E148" s="8"/>
      <c r="F148" s="8"/>
      <c r="G148" s="8"/>
      <c r="H148" s="13"/>
      <c r="I148" s="8"/>
      <c r="J148" s="13"/>
      <c r="K148" s="14" t="str">
        <f t="shared" si="2"/>
        <v/>
      </c>
      <c r="L148" s="10"/>
      <c r="M148" s="10"/>
      <c r="N148" s="10"/>
      <c r="O148" s="10"/>
      <c r="P148" s="8"/>
      <c r="Q148" s="8"/>
      <c r="R148" s="8"/>
      <c r="S148" s="10"/>
      <c r="T148" s="8"/>
    </row>
    <row r="149" spans="1:20">
      <c r="A149" s="8"/>
      <c r="B149" s="8"/>
      <c r="C149" s="8"/>
      <c r="D149" s="8"/>
      <c r="E149" s="8"/>
      <c r="F149" s="8"/>
      <c r="G149" s="8"/>
      <c r="H149" s="13"/>
      <c r="I149" s="8"/>
      <c r="J149" s="13"/>
      <c r="K149" s="14" t="str">
        <f t="shared" si="2"/>
        <v/>
      </c>
      <c r="L149" s="10"/>
      <c r="M149" s="10"/>
      <c r="N149" s="10"/>
      <c r="O149" s="10"/>
      <c r="P149" s="8"/>
      <c r="Q149" s="8"/>
      <c r="R149" s="8"/>
      <c r="S149" s="10"/>
      <c r="T149" s="8"/>
    </row>
    <row r="150" spans="1:20">
      <c r="A150" s="8"/>
      <c r="B150" s="8"/>
      <c r="C150" s="8"/>
      <c r="D150" s="8"/>
      <c r="E150" s="8"/>
      <c r="F150" s="8"/>
      <c r="G150" s="8"/>
      <c r="H150" s="13"/>
      <c r="I150" s="8"/>
      <c r="J150" s="13"/>
      <c r="K150" s="14" t="str">
        <f t="shared" si="2"/>
        <v/>
      </c>
      <c r="L150" s="10"/>
      <c r="M150" s="10"/>
      <c r="N150" s="10"/>
      <c r="O150" s="10"/>
      <c r="P150" s="8"/>
      <c r="Q150" s="8"/>
      <c r="R150" s="8"/>
      <c r="S150" s="10"/>
      <c r="T150" s="8"/>
    </row>
    <row r="151" spans="1:20">
      <c r="A151" s="8"/>
      <c r="B151" s="8"/>
      <c r="C151" s="8"/>
      <c r="D151" s="8"/>
      <c r="E151" s="8"/>
      <c r="F151" s="8"/>
      <c r="G151" s="8"/>
      <c r="H151" s="13"/>
      <c r="I151" s="8"/>
      <c r="J151" s="13"/>
      <c r="K151" s="14" t="str">
        <f t="shared" si="2"/>
        <v/>
      </c>
      <c r="L151" s="10"/>
      <c r="M151" s="10"/>
      <c r="N151" s="10"/>
      <c r="O151" s="10"/>
      <c r="P151" s="8"/>
      <c r="Q151" s="8"/>
      <c r="R151" s="8"/>
      <c r="S151" s="10"/>
      <c r="T151" s="8"/>
    </row>
    <row r="152" spans="1:20">
      <c r="A152" s="8"/>
      <c r="B152" s="8"/>
      <c r="C152" s="8"/>
      <c r="D152" s="8"/>
      <c r="E152" s="8"/>
      <c r="F152" s="8"/>
      <c r="G152" s="8"/>
      <c r="H152" s="13"/>
      <c r="I152" s="8"/>
      <c r="J152" s="13"/>
      <c r="K152" s="14" t="str">
        <f t="shared" si="2"/>
        <v/>
      </c>
      <c r="L152" s="10"/>
      <c r="M152" s="10"/>
      <c r="N152" s="10"/>
      <c r="O152" s="10"/>
      <c r="P152" s="8"/>
      <c r="Q152" s="8"/>
      <c r="R152" s="8"/>
      <c r="S152" s="10"/>
      <c r="T152" s="8"/>
    </row>
    <row r="153" spans="1:20">
      <c r="A153" s="8"/>
      <c r="B153" s="8"/>
      <c r="C153" s="8"/>
      <c r="D153" s="8"/>
      <c r="E153" s="8"/>
      <c r="F153" s="8"/>
      <c r="G153" s="8"/>
      <c r="H153" s="13"/>
      <c r="I153" s="8"/>
      <c r="J153" s="13"/>
      <c r="K153" s="14" t="str">
        <f t="shared" si="2"/>
        <v/>
      </c>
      <c r="L153" s="10"/>
      <c r="M153" s="10"/>
      <c r="N153" s="10"/>
      <c r="O153" s="10"/>
      <c r="P153" s="8"/>
      <c r="Q153" s="8"/>
      <c r="R153" s="8"/>
      <c r="S153" s="10"/>
      <c r="T153" s="8"/>
    </row>
    <row r="154" spans="1:20">
      <c r="A154" s="8"/>
      <c r="B154" s="8"/>
      <c r="C154" s="8"/>
      <c r="D154" s="8"/>
      <c r="E154" s="8"/>
      <c r="F154" s="8"/>
      <c r="G154" s="8"/>
      <c r="H154" s="13"/>
      <c r="I154" s="8"/>
      <c r="J154" s="13"/>
      <c r="K154" s="14" t="str">
        <f t="shared" si="2"/>
        <v/>
      </c>
      <c r="L154" s="10"/>
      <c r="M154" s="10"/>
      <c r="N154" s="10"/>
      <c r="O154" s="10"/>
      <c r="P154" s="8"/>
      <c r="Q154" s="8"/>
      <c r="R154" s="8"/>
      <c r="S154" s="10"/>
      <c r="T154" s="8"/>
    </row>
    <row r="155" spans="1:20">
      <c r="A155" s="8"/>
      <c r="B155" s="8"/>
      <c r="C155" s="8"/>
      <c r="D155" s="8"/>
      <c r="E155" s="8"/>
      <c r="F155" s="8"/>
      <c r="G155" s="8"/>
      <c r="H155" s="13"/>
      <c r="I155" s="8"/>
      <c r="J155" s="13"/>
      <c r="K155" s="14" t="str">
        <f t="shared" si="2"/>
        <v/>
      </c>
      <c r="L155" s="10"/>
      <c r="M155" s="10"/>
      <c r="N155" s="10"/>
      <c r="O155" s="10"/>
      <c r="P155" s="8"/>
      <c r="Q155" s="8"/>
      <c r="R155" s="8"/>
      <c r="S155" s="10"/>
      <c r="T155" s="8"/>
    </row>
    <row r="156" spans="1:20">
      <c r="A156" s="8"/>
      <c r="B156" s="8"/>
      <c r="C156" s="8"/>
      <c r="D156" s="8"/>
      <c r="E156" s="8"/>
      <c r="F156" s="8"/>
      <c r="G156" s="8"/>
      <c r="H156" s="13"/>
      <c r="I156" s="8"/>
      <c r="J156" s="13"/>
      <c r="K156" s="14" t="str">
        <f t="shared" si="2"/>
        <v/>
      </c>
      <c r="L156" s="10"/>
      <c r="M156" s="10"/>
      <c r="N156" s="10"/>
      <c r="O156" s="10"/>
      <c r="P156" s="8"/>
      <c r="Q156" s="8"/>
      <c r="R156" s="8"/>
      <c r="S156" s="10"/>
      <c r="T156" s="8"/>
    </row>
    <row r="157" spans="1:20">
      <c r="A157" s="8"/>
      <c r="B157" s="8"/>
      <c r="C157" s="8"/>
      <c r="D157" s="8"/>
      <c r="E157" s="8"/>
      <c r="F157" s="8"/>
      <c r="G157" s="8"/>
      <c r="H157" s="13"/>
      <c r="I157" s="8"/>
      <c r="J157" s="13"/>
      <c r="K157" s="14" t="str">
        <f t="shared" si="2"/>
        <v/>
      </c>
      <c r="L157" s="10"/>
      <c r="M157" s="10"/>
      <c r="N157" s="10"/>
      <c r="O157" s="10"/>
      <c r="P157" s="8"/>
      <c r="Q157" s="8"/>
      <c r="R157" s="8"/>
      <c r="S157" s="10"/>
      <c r="T157" s="8"/>
    </row>
    <row r="158" spans="1:20">
      <c r="A158" s="8"/>
      <c r="B158" s="8"/>
      <c r="C158" s="8"/>
      <c r="D158" s="8"/>
      <c r="E158" s="8"/>
      <c r="F158" s="8"/>
      <c r="G158" s="8"/>
      <c r="H158" s="13"/>
      <c r="I158" s="8"/>
      <c r="J158" s="13"/>
      <c r="K158" s="14" t="str">
        <f t="shared" si="2"/>
        <v/>
      </c>
      <c r="L158" s="10"/>
      <c r="M158" s="10"/>
      <c r="N158" s="10"/>
      <c r="O158" s="10"/>
      <c r="P158" s="8"/>
      <c r="Q158" s="8"/>
      <c r="R158" s="8"/>
      <c r="S158" s="10"/>
      <c r="T158" s="8"/>
    </row>
    <row r="159" spans="1:20">
      <c r="A159" s="8"/>
      <c r="B159" s="8"/>
      <c r="C159" s="8"/>
      <c r="D159" s="8"/>
      <c r="E159" s="8"/>
      <c r="F159" s="8"/>
      <c r="G159" s="8"/>
      <c r="H159" s="13"/>
      <c r="I159" s="8"/>
      <c r="J159" s="13"/>
      <c r="K159" s="14" t="str">
        <f t="shared" si="2"/>
        <v/>
      </c>
      <c r="L159" s="10"/>
      <c r="M159" s="10"/>
      <c r="N159" s="10"/>
      <c r="O159" s="10"/>
      <c r="P159" s="8"/>
      <c r="Q159" s="8"/>
      <c r="R159" s="8"/>
      <c r="S159" s="10"/>
      <c r="T159" s="8"/>
    </row>
    <row r="160" spans="1:20">
      <c r="A160" s="8"/>
      <c r="B160" s="8"/>
      <c r="C160" s="8"/>
      <c r="D160" s="8"/>
      <c r="E160" s="8"/>
      <c r="F160" s="8"/>
      <c r="G160" s="8"/>
      <c r="H160" s="13"/>
      <c r="I160" s="8"/>
      <c r="J160" s="13"/>
      <c r="K160" s="14" t="str">
        <f t="shared" si="2"/>
        <v/>
      </c>
      <c r="L160" s="10"/>
      <c r="M160" s="10"/>
      <c r="N160" s="10"/>
      <c r="O160" s="10"/>
      <c r="P160" s="8"/>
      <c r="Q160" s="8"/>
      <c r="R160" s="8"/>
      <c r="S160" s="10"/>
      <c r="T160" s="8"/>
    </row>
    <row r="161" spans="1:20">
      <c r="A161" s="8"/>
      <c r="B161" s="8"/>
      <c r="C161" s="8"/>
      <c r="D161" s="8"/>
      <c r="E161" s="8"/>
      <c r="F161" s="8"/>
      <c r="G161" s="8"/>
      <c r="H161" s="13"/>
      <c r="I161" s="8"/>
      <c r="J161" s="13"/>
      <c r="K161" s="14" t="str">
        <f t="shared" si="2"/>
        <v/>
      </c>
      <c r="L161" s="10"/>
      <c r="M161" s="10"/>
      <c r="N161" s="10"/>
      <c r="O161" s="10"/>
      <c r="P161" s="8"/>
      <c r="Q161" s="8"/>
      <c r="R161" s="8"/>
      <c r="S161" s="10"/>
      <c r="T161" s="8"/>
    </row>
    <row r="162" spans="1:20">
      <c r="A162" s="8"/>
      <c r="B162" s="8"/>
      <c r="C162" s="8"/>
      <c r="D162" s="8"/>
      <c r="E162" s="8"/>
      <c r="F162" s="8"/>
      <c r="G162" s="8"/>
      <c r="H162" s="13"/>
      <c r="I162" s="8"/>
      <c r="J162" s="13"/>
      <c r="K162" s="14" t="str">
        <f t="shared" si="2"/>
        <v/>
      </c>
      <c r="L162" s="10"/>
      <c r="M162" s="10"/>
      <c r="N162" s="10"/>
      <c r="O162" s="10"/>
      <c r="P162" s="8"/>
      <c r="Q162" s="8"/>
      <c r="R162" s="8"/>
      <c r="S162" s="10"/>
      <c r="T162" s="8"/>
    </row>
    <row r="163" spans="1:20">
      <c r="A163" s="8"/>
      <c r="B163" s="8"/>
      <c r="C163" s="8"/>
      <c r="D163" s="8"/>
      <c r="E163" s="8"/>
      <c r="F163" s="8"/>
      <c r="G163" s="8"/>
      <c r="H163" s="13"/>
      <c r="I163" s="8"/>
      <c r="J163" s="13"/>
      <c r="K163" s="14" t="str">
        <f t="shared" si="2"/>
        <v/>
      </c>
      <c r="L163" s="10"/>
      <c r="M163" s="10"/>
      <c r="N163" s="10"/>
      <c r="O163" s="10"/>
      <c r="P163" s="8"/>
      <c r="Q163" s="8"/>
      <c r="R163" s="8"/>
      <c r="S163" s="10"/>
      <c r="T163" s="8"/>
    </row>
    <row r="164" spans="1:20">
      <c r="A164" s="8"/>
      <c r="B164" s="8"/>
      <c r="C164" s="8"/>
      <c r="D164" s="8"/>
      <c r="E164" s="8"/>
      <c r="F164" s="8"/>
      <c r="G164" s="8"/>
      <c r="H164" s="13"/>
      <c r="I164" s="8"/>
      <c r="J164" s="13"/>
      <c r="K164" s="14" t="str">
        <f t="shared" si="2"/>
        <v/>
      </c>
      <c r="L164" s="10"/>
      <c r="M164" s="10"/>
      <c r="N164" s="10"/>
      <c r="O164" s="10"/>
      <c r="P164" s="8"/>
      <c r="Q164" s="8"/>
      <c r="R164" s="8"/>
      <c r="S164" s="10"/>
      <c r="T164" s="8"/>
    </row>
    <row r="165" spans="1:20">
      <c r="A165" s="8"/>
      <c r="B165" s="8"/>
      <c r="C165" s="8"/>
      <c r="D165" s="8"/>
      <c r="E165" s="8"/>
      <c r="F165" s="8"/>
      <c r="G165" s="8"/>
      <c r="H165" s="13"/>
      <c r="I165" s="8"/>
      <c r="J165" s="13"/>
      <c r="K165" s="14" t="str">
        <f t="shared" si="2"/>
        <v/>
      </c>
      <c r="L165" s="10"/>
      <c r="M165" s="10"/>
      <c r="N165" s="10"/>
      <c r="O165" s="10"/>
      <c r="P165" s="8"/>
      <c r="Q165" s="8"/>
      <c r="R165" s="8"/>
      <c r="S165" s="10"/>
      <c r="T165" s="8"/>
    </row>
    <row r="166" spans="1:20">
      <c r="A166" s="8"/>
      <c r="B166" s="8"/>
      <c r="C166" s="8"/>
      <c r="D166" s="8"/>
      <c r="E166" s="8"/>
      <c r="F166" s="8"/>
      <c r="G166" s="8"/>
      <c r="H166" s="13"/>
      <c r="I166" s="8"/>
      <c r="J166" s="13"/>
      <c r="K166" s="14" t="str">
        <f t="shared" si="2"/>
        <v/>
      </c>
      <c r="L166" s="10"/>
      <c r="M166" s="10"/>
      <c r="N166" s="10"/>
      <c r="O166" s="10"/>
      <c r="P166" s="8"/>
      <c r="Q166" s="8"/>
      <c r="R166" s="8"/>
      <c r="S166" s="10"/>
      <c r="T166" s="8"/>
    </row>
    <row r="167" spans="1:20">
      <c r="A167" s="8"/>
      <c r="B167" s="8"/>
      <c r="C167" s="8"/>
      <c r="D167" s="8"/>
      <c r="E167" s="8"/>
      <c r="F167" s="8"/>
      <c r="G167" s="8"/>
      <c r="H167" s="13"/>
      <c r="I167" s="8"/>
      <c r="J167" s="13"/>
      <c r="K167" s="14" t="str">
        <f t="shared" si="2"/>
        <v/>
      </c>
      <c r="L167" s="10"/>
      <c r="M167" s="10"/>
      <c r="N167" s="10"/>
      <c r="O167" s="10"/>
      <c r="P167" s="8"/>
      <c r="Q167" s="8"/>
      <c r="R167" s="8"/>
      <c r="S167" s="10"/>
      <c r="T167" s="8"/>
    </row>
    <row r="168" spans="1:20">
      <c r="A168" s="8"/>
      <c r="B168" s="8"/>
      <c r="C168" s="8"/>
      <c r="D168" s="8"/>
      <c r="E168" s="8"/>
      <c r="F168" s="8"/>
      <c r="G168" s="8"/>
      <c r="H168" s="13"/>
      <c r="I168" s="8"/>
      <c r="J168" s="13"/>
      <c r="K168" s="14" t="str">
        <f t="shared" si="2"/>
        <v/>
      </c>
      <c r="L168" s="10"/>
      <c r="M168" s="10"/>
      <c r="N168" s="10"/>
      <c r="O168" s="10"/>
      <c r="P168" s="8"/>
      <c r="Q168" s="8"/>
      <c r="R168" s="8"/>
      <c r="S168" s="10"/>
      <c r="T168" s="8"/>
    </row>
    <row r="169" spans="1:20">
      <c r="A169" s="8"/>
      <c r="B169" s="8"/>
      <c r="C169" s="8"/>
      <c r="D169" s="8"/>
      <c r="E169" s="8"/>
      <c r="F169" s="8"/>
      <c r="G169" s="8"/>
      <c r="H169" s="13"/>
      <c r="I169" s="8"/>
      <c r="J169" s="13"/>
      <c r="K169" s="14" t="str">
        <f t="shared" si="2"/>
        <v/>
      </c>
      <c r="L169" s="10"/>
      <c r="M169" s="10"/>
      <c r="N169" s="10"/>
      <c r="O169" s="10"/>
      <c r="P169" s="8"/>
      <c r="Q169" s="8"/>
      <c r="R169" s="8"/>
      <c r="S169" s="10"/>
      <c r="T169" s="8"/>
    </row>
    <row r="170" spans="1:20">
      <c r="A170" s="8"/>
      <c r="B170" s="8"/>
      <c r="C170" s="8"/>
      <c r="D170" s="8"/>
      <c r="E170" s="8"/>
      <c r="F170" s="8"/>
      <c r="G170" s="8"/>
      <c r="H170" s="13"/>
      <c r="I170" s="8"/>
      <c r="J170" s="13"/>
      <c r="K170" s="14" t="str">
        <f t="shared" si="2"/>
        <v/>
      </c>
      <c r="L170" s="10"/>
      <c r="M170" s="10"/>
      <c r="N170" s="10"/>
      <c r="O170" s="10"/>
      <c r="P170" s="8"/>
      <c r="Q170" s="8"/>
      <c r="R170" s="8"/>
      <c r="S170" s="10"/>
      <c r="T170" s="8"/>
    </row>
    <row r="171" spans="1:20">
      <c r="A171" s="8"/>
      <c r="B171" s="8"/>
      <c r="C171" s="8"/>
      <c r="D171" s="8"/>
      <c r="E171" s="8"/>
      <c r="F171" s="8"/>
      <c r="G171" s="8"/>
      <c r="H171" s="13"/>
      <c r="I171" s="8"/>
      <c r="J171" s="13"/>
      <c r="K171" s="14" t="str">
        <f t="shared" si="2"/>
        <v/>
      </c>
      <c r="L171" s="10"/>
      <c r="M171" s="10"/>
      <c r="N171" s="10"/>
      <c r="O171" s="10"/>
      <c r="P171" s="8"/>
      <c r="Q171" s="8"/>
      <c r="R171" s="8"/>
      <c r="S171" s="10"/>
      <c r="T171" s="8"/>
    </row>
    <row r="172" spans="1:20">
      <c r="A172" s="8"/>
      <c r="B172" s="8"/>
      <c r="C172" s="8"/>
      <c r="D172" s="8"/>
      <c r="E172" s="8"/>
      <c r="F172" s="8"/>
      <c r="G172" s="8"/>
      <c r="H172" s="13"/>
      <c r="I172" s="8"/>
      <c r="J172" s="13"/>
      <c r="K172" s="14" t="str">
        <f t="shared" si="2"/>
        <v/>
      </c>
      <c r="L172" s="10"/>
      <c r="M172" s="10"/>
      <c r="N172" s="10"/>
      <c r="O172" s="10"/>
      <c r="P172" s="8"/>
      <c r="Q172" s="8"/>
      <c r="R172" s="8"/>
      <c r="S172" s="10"/>
      <c r="T172" s="8"/>
    </row>
    <row r="173" spans="1:20">
      <c r="A173" s="8"/>
      <c r="B173" s="8"/>
      <c r="C173" s="8"/>
      <c r="D173" s="8"/>
      <c r="E173" s="8"/>
      <c r="F173" s="8"/>
      <c r="G173" s="8"/>
      <c r="H173" s="13"/>
      <c r="I173" s="8"/>
      <c r="J173" s="13"/>
      <c r="K173" s="14" t="str">
        <f t="shared" si="2"/>
        <v/>
      </c>
      <c r="L173" s="10"/>
      <c r="M173" s="10"/>
      <c r="N173" s="10"/>
      <c r="O173" s="10"/>
      <c r="P173" s="8"/>
      <c r="Q173" s="8"/>
      <c r="R173" s="8"/>
      <c r="S173" s="10"/>
      <c r="T173" s="8"/>
    </row>
    <row r="174" spans="1:20">
      <c r="A174" s="8"/>
      <c r="B174" s="8"/>
      <c r="C174" s="8"/>
      <c r="D174" s="8"/>
      <c r="E174" s="8"/>
      <c r="F174" s="8"/>
      <c r="G174" s="8"/>
      <c r="H174" s="13"/>
      <c r="I174" s="8"/>
      <c r="J174" s="13"/>
      <c r="K174" s="14" t="str">
        <f t="shared" si="2"/>
        <v/>
      </c>
      <c r="L174" s="10"/>
      <c r="M174" s="10"/>
      <c r="N174" s="10"/>
      <c r="O174" s="10"/>
      <c r="P174" s="8"/>
      <c r="Q174" s="8"/>
      <c r="R174" s="8"/>
      <c r="S174" s="10"/>
      <c r="T174" s="8"/>
    </row>
    <row r="175" spans="1:20">
      <c r="A175" s="8"/>
      <c r="B175" s="8"/>
      <c r="C175" s="8"/>
      <c r="D175" s="8"/>
      <c r="E175" s="8"/>
      <c r="F175" s="8"/>
      <c r="G175" s="8"/>
      <c r="H175" s="13"/>
      <c r="I175" s="8"/>
      <c r="J175" s="13"/>
      <c r="K175" s="14" t="str">
        <f t="shared" si="2"/>
        <v/>
      </c>
      <c r="L175" s="10"/>
      <c r="M175" s="10"/>
      <c r="N175" s="10"/>
      <c r="O175" s="10"/>
      <c r="P175" s="8"/>
      <c r="Q175" s="8"/>
      <c r="R175" s="8"/>
      <c r="S175" s="10"/>
      <c r="T175" s="8"/>
    </row>
    <row r="176" spans="1:20">
      <c r="A176" s="8"/>
      <c r="B176" s="8"/>
      <c r="C176" s="8"/>
      <c r="D176" s="8"/>
      <c r="E176" s="8"/>
      <c r="F176" s="8"/>
      <c r="G176" s="8"/>
      <c r="H176" s="13"/>
      <c r="I176" s="8"/>
      <c r="J176" s="13"/>
      <c r="K176" s="14" t="str">
        <f t="shared" si="2"/>
        <v/>
      </c>
      <c r="L176" s="10"/>
      <c r="M176" s="10"/>
      <c r="N176" s="10"/>
      <c r="O176" s="10"/>
      <c r="P176" s="8"/>
      <c r="Q176" s="8"/>
      <c r="R176" s="8"/>
      <c r="S176" s="10"/>
      <c r="T176" s="8"/>
    </row>
    <row r="177" spans="1:20">
      <c r="A177" s="8"/>
      <c r="B177" s="8"/>
      <c r="C177" s="8"/>
      <c r="D177" s="8"/>
      <c r="E177" s="8"/>
      <c r="F177" s="8"/>
      <c r="G177" s="8"/>
      <c r="H177" s="13"/>
      <c r="I177" s="8"/>
      <c r="J177" s="13"/>
      <c r="K177" s="14" t="str">
        <f t="shared" si="2"/>
        <v/>
      </c>
      <c r="L177" s="10"/>
      <c r="M177" s="10"/>
      <c r="N177" s="10"/>
      <c r="O177" s="10"/>
      <c r="P177" s="8"/>
      <c r="Q177" s="8"/>
      <c r="R177" s="8"/>
      <c r="S177" s="10"/>
      <c r="T177" s="8"/>
    </row>
    <row r="178" spans="1:20">
      <c r="A178" s="8"/>
      <c r="B178" s="8"/>
      <c r="C178" s="8"/>
      <c r="D178" s="8"/>
      <c r="E178" s="8"/>
      <c r="F178" s="8"/>
      <c r="G178" s="8"/>
      <c r="H178" s="13"/>
      <c r="I178" s="8"/>
      <c r="J178" s="13"/>
      <c r="K178" s="14" t="str">
        <f t="shared" si="2"/>
        <v/>
      </c>
      <c r="L178" s="10"/>
      <c r="M178" s="10"/>
      <c r="N178" s="10"/>
      <c r="O178" s="10"/>
      <c r="P178" s="8"/>
      <c r="Q178" s="8"/>
      <c r="R178" s="8"/>
      <c r="S178" s="10"/>
      <c r="T178" s="8"/>
    </row>
    <row r="179" spans="1:20">
      <c r="A179" s="8"/>
      <c r="B179" s="8"/>
      <c r="C179" s="8"/>
      <c r="D179" s="8"/>
      <c r="E179" s="8"/>
      <c r="F179" s="8"/>
      <c r="G179" s="8"/>
      <c r="H179" s="13"/>
      <c r="I179" s="8"/>
      <c r="J179" s="13"/>
      <c r="K179" s="14" t="str">
        <f t="shared" si="2"/>
        <v/>
      </c>
      <c r="L179" s="10"/>
      <c r="M179" s="10"/>
      <c r="N179" s="10"/>
      <c r="O179" s="10"/>
      <c r="P179" s="8"/>
      <c r="Q179" s="8"/>
      <c r="R179" s="8"/>
      <c r="S179" s="10"/>
      <c r="T179" s="8"/>
    </row>
    <row r="180" spans="1:20">
      <c r="A180" s="8"/>
      <c r="B180" s="8"/>
      <c r="C180" s="8"/>
      <c r="D180" s="8"/>
      <c r="E180" s="8"/>
      <c r="F180" s="8"/>
      <c r="G180" s="8"/>
      <c r="H180" s="13"/>
      <c r="I180" s="8"/>
      <c r="J180" s="13"/>
      <c r="K180" s="14" t="str">
        <f t="shared" si="2"/>
        <v/>
      </c>
      <c r="L180" s="10"/>
      <c r="M180" s="10"/>
      <c r="N180" s="10"/>
      <c r="O180" s="10"/>
      <c r="P180" s="8"/>
      <c r="Q180" s="8"/>
      <c r="R180" s="8"/>
      <c r="S180" s="10"/>
      <c r="T180" s="8"/>
    </row>
    <row r="181" spans="1:20">
      <c r="A181" s="8"/>
      <c r="B181" s="8"/>
      <c r="C181" s="8"/>
      <c r="D181" s="8"/>
      <c r="E181" s="8"/>
      <c r="F181" s="8"/>
      <c r="G181" s="8"/>
      <c r="H181" s="13"/>
      <c r="I181" s="8"/>
      <c r="J181" s="13"/>
      <c r="K181" s="14" t="str">
        <f t="shared" si="2"/>
        <v/>
      </c>
      <c r="L181" s="10"/>
      <c r="M181" s="10"/>
      <c r="N181" s="10"/>
      <c r="O181" s="10"/>
      <c r="P181" s="8"/>
      <c r="Q181" s="8"/>
      <c r="R181" s="8"/>
      <c r="S181" s="10"/>
      <c r="T181" s="8"/>
    </row>
    <row r="182" spans="1:20">
      <c r="A182" s="8"/>
      <c r="B182" s="8"/>
      <c r="C182" s="8"/>
      <c r="D182" s="8"/>
      <c r="E182" s="8"/>
      <c r="F182" s="8"/>
      <c r="G182" s="8"/>
      <c r="H182" s="13"/>
      <c r="I182" s="8"/>
      <c r="J182" s="13"/>
      <c r="K182" s="14" t="str">
        <f t="shared" si="2"/>
        <v/>
      </c>
      <c r="L182" s="10"/>
      <c r="M182" s="10"/>
      <c r="N182" s="10"/>
      <c r="O182" s="10"/>
      <c r="P182" s="8"/>
      <c r="Q182" s="8"/>
      <c r="R182" s="8"/>
      <c r="S182" s="10"/>
      <c r="T182" s="8"/>
    </row>
    <row r="183" spans="1:20">
      <c r="A183" s="8"/>
      <c r="B183" s="8"/>
      <c r="C183" s="8"/>
      <c r="D183" s="8"/>
      <c r="E183" s="8"/>
      <c r="F183" s="8"/>
      <c r="G183" s="8"/>
      <c r="H183" s="13"/>
      <c r="I183" s="8"/>
      <c r="J183" s="13"/>
      <c r="K183" s="14" t="str">
        <f t="shared" si="2"/>
        <v/>
      </c>
      <c r="L183" s="10"/>
      <c r="M183" s="10"/>
      <c r="N183" s="10"/>
      <c r="O183" s="10"/>
      <c r="P183" s="8"/>
      <c r="Q183" s="8"/>
      <c r="R183" s="8"/>
      <c r="S183" s="10"/>
      <c r="T183" s="8"/>
    </row>
    <row r="184" spans="1:20">
      <c r="A184" s="8"/>
      <c r="B184" s="8"/>
      <c r="C184" s="8"/>
      <c r="D184" s="8"/>
      <c r="E184" s="8"/>
      <c r="F184" s="8"/>
      <c r="G184" s="8"/>
      <c r="H184" s="13"/>
      <c r="I184" s="8"/>
      <c r="J184" s="13"/>
      <c r="K184" s="14" t="str">
        <f t="shared" si="2"/>
        <v/>
      </c>
      <c r="L184" s="10"/>
      <c r="M184" s="10"/>
      <c r="N184" s="10"/>
      <c r="O184" s="10"/>
      <c r="P184" s="8"/>
      <c r="Q184" s="8"/>
      <c r="R184" s="8"/>
      <c r="S184" s="10"/>
      <c r="T184" s="8"/>
    </row>
    <row r="185" spans="1:20">
      <c r="A185" s="8"/>
      <c r="B185" s="8"/>
      <c r="C185" s="8"/>
      <c r="D185" s="8"/>
      <c r="E185" s="8"/>
      <c r="F185" s="8"/>
      <c r="G185" s="8"/>
      <c r="H185" s="13"/>
      <c r="I185" s="8"/>
      <c r="J185" s="13"/>
      <c r="K185" s="14" t="str">
        <f t="shared" si="2"/>
        <v/>
      </c>
      <c r="L185" s="10"/>
      <c r="M185" s="10"/>
      <c r="N185" s="10"/>
      <c r="O185" s="10"/>
      <c r="P185" s="8"/>
      <c r="Q185" s="8"/>
      <c r="R185" s="8"/>
      <c r="S185" s="10"/>
      <c r="T185" s="8"/>
    </row>
    <row r="186" spans="1:20">
      <c r="A186" s="8"/>
      <c r="B186" s="8"/>
      <c r="C186" s="8"/>
      <c r="D186" s="8"/>
      <c r="E186" s="8"/>
      <c r="F186" s="8"/>
      <c r="G186" s="8"/>
      <c r="H186" s="13"/>
      <c r="I186" s="8"/>
      <c r="J186" s="13"/>
      <c r="K186" s="14" t="str">
        <f t="shared" si="2"/>
        <v/>
      </c>
      <c r="L186" s="10"/>
      <c r="M186" s="10"/>
      <c r="N186" s="10"/>
      <c r="O186" s="10"/>
      <c r="P186" s="8"/>
      <c r="Q186" s="8"/>
      <c r="R186" s="8"/>
      <c r="S186" s="10"/>
      <c r="T186" s="8"/>
    </row>
    <row r="187" spans="1:20">
      <c r="A187" s="8"/>
      <c r="B187" s="8"/>
      <c r="C187" s="8"/>
      <c r="D187" s="8"/>
      <c r="E187" s="8"/>
      <c r="F187" s="8"/>
      <c r="G187" s="8"/>
      <c r="H187" s="13"/>
      <c r="I187" s="8"/>
      <c r="J187" s="13"/>
      <c r="K187" s="14" t="str">
        <f t="shared" si="2"/>
        <v/>
      </c>
      <c r="L187" s="10"/>
      <c r="M187" s="10"/>
      <c r="N187" s="10"/>
      <c r="O187" s="10"/>
      <c r="P187" s="8"/>
      <c r="Q187" s="8"/>
      <c r="R187" s="8"/>
      <c r="S187" s="10"/>
      <c r="T187" s="8"/>
    </row>
    <row r="188" spans="1:20">
      <c r="A188" s="8"/>
      <c r="B188" s="8"/>
      <c r="C188" s="8"/>
      <c r="D188" s="8"/>
      <c r="E188" s="8"/>
      <c r="F188" s="8"/>
      <c r="G188" s="8"/>
      <c r="H188" s="13"/>
      <c r="I188" s="8"/>
      <c r="J188" s="13"/>
      <c r="K188" s="14" t="str">
        <f t="shared" si="2"/>
        <v/>
      </c>
      <c r="L188" s="10"/>
      <c r="M188" s="10"/>
      <c r="N188" s="10"/>
      <c r="O188" s="10"/>
      <c r="P188" s="8"/>
      <c r="Q188" s="8"/>
      <c r="R188" s="8"/>
      <c r="S188" s="10"/>
      <c r="T188" s="8"/>
    </row>
    <row r="189" spans="1:20">
      <c r="A189" s="8"/>
      <c r="B189" s="8"/>
      <c r="C189" s="8"/>
      <c r="D189" s="8"/>
      <c r="E189" s="8"/>
      <c r="F189" s="8"/>
      <c r="G189" s="8"/>
      <c r="H189" s="13"/>
      <c r="I189" s="8"/>
      <c r="J189" s="13"/>
      <c r="K189" s="14" t="str">
        <f t="shared" si="2"/>
        <v/>
      </c>
      <c r="L189" s="10"/>
      <c r="M189" s="10"/>
      <c r="N189" s="10"/>
      <c r="O189" s="10"/>
      <c r="P189" s="8"/>
      <c r="Q189" s="8"/>
      <c r="R189" s="8"/>
      <c r="S189" s="10"/>
      <c r="T189" s="8"/>
    </row>
    <row r="190" spans="1:20">
      <c r="A190" s="8"/>
      <c r="B190" s="8"/>
      <c r="C190" s="8"/>
      <c r="D190" s="8"/>
      <c r="E190" s="8"/>
      <c r="F190" s="8"/>
      <c r="G190" s="8"/>
      <c r="H190" s="13"/>
      <c r="I190" s="8"/>
      <c r="J190" s="13"/>
      <c r="K190" s="14" t="str">
        <f t="shared" si="2"/>
        <v/>
      </c>
      <c r="L190" s="10"/>
      <c r="M190" s="10"/>
      <c r="N190" s="10"/>
      <c r="O190" s="10"/>
      <c r="P190" s="8"/>
      <c r="Q190" s="8"/>
      <c r="R190" s="8"/>
      <c r="S190" s="10"/>
      <c r="T190" s="8"/>
    </row>
    <row r="191" spans="1:20">
      <c r="A191" s="8"/>
      <c r="B191" s="8"/>
      <c r="C191" s="8"/>
      <c r="D191" s="8"/>
      <c r="E191" s="8"/>
      <c r="F191" s="8"/>
      <c r="G191" s="8"/>
      <c r="H191" s="13"/>
      <c r="I191" s="8"/>
      <c r="J191" s="13"/>
      <c r="K191" s="14" t="str">
        <f t="shared" si="2"/>
        <v/>
      </c>
      <c r="L191" s="10"/>
      <c r="M191" s="10"/>
      <c r="N191" s="10"/>
      <c r="O191" s="10"/>
      <c r="P191" s="8"/>
      <c r="Q191" s="8"/>
      <c r="R191" s="8"/>
      <c r="S191" s="10"/>
      <c r="T191" s="8"/>
    </row>
    <row r="192" spans="1:20">
      <c r="A192" s="8"/>
      <c r="B192" s="8"/>
      <c r="C192" s="8"/>
      <c r="D192" s="8"/>
      <c r="E192" s="8"/>
      <c r="F192" s="8"/>
      <c r="G192" s="8"/>
      <c r="H192" s="13"/>
      <c r="I192" s="8"/>
      <c r="J192" s="13"/>
      <c r="K192" s="14" t="str">
        <f t="shared" si="2"/>
        <v/>
      </c>
      <c r="L192" s="10"/>
      <c r="M192" s="10"/>
      <c r="N192" s="10"/>
      <c r="O192" s="10"/>
      <c r="P192" s="8"/>
      <c r="Q192" s="8"/>
      <c r="R192" s="8"/>
      <c r="S192" s="10"/>
      <c r="T192" s="8"/>
    </row>
    <row r="193" spans="1:20">
      <c r="A193" s="8"/>
      <c r="B193" s="8"/>
      <c r="C193" s="8"/>
      <c r="D193" s="8"/>
      <c r="E193" s="8"/>
      <c r="F193" s="8"/>
      <c r="G193" s="8"/>
      <c r="H193" s="13"/>
      <c r="I193" s="8"/>
      <c r="J193" s="13"/>
      <c r="K193" s="14" t="str">
        <f t="shared" si="2"/>
        <v/>
      </c>
      <c r="L193" s="10"/>
      <c r="M193" s="10"/>
      <c r="N193" s="10"/>
      <c r="O193" s="10"/>
      <c r="P193" s="8"/>
      <c r="Q193" s="8"/>
      <c r="R193" s="8"/>
      <c r="S193" s="10"/>
      <c r="T193" s="8"/>
    </row>
    <row r="194" spans="1:20">
      <c r="A194" s="8"/>
      <c r="B194" s="8"/>
      <c r="C194" s="8"/>
      <c r="D194" s="8"/>
      <c r="E194" s="8"/>
      <c r="F194" s="8"/>
      <c r="G194" s="8"/>
      <c r="H194" s="13"/>
      <c r="I194" s="8"/>
      <c r="J194" s="13"/>
      <c r="K194" s="14" t="str">
        <f t="shared" si="2"/>
        <v/>
      </c>
      <c r="L194" s="10"/>
      <c r="M194" s="10"/>
      <c r="N194" s="10"/>
      <c r="O194" s="10"/>
      <c r="P194" s="8"/>
      <c r="Q194" s="8"/>
      <c r="R194" s="8"/>
      <c r="S194" s="10"/>
      <c r="T194" s="8"/>
    </row>
    <row r="195" spans="1:20">
      <c r="A195" s="8"/>
      <c r="B195" s="8"/>
      <c r="C195" s="8"/>
      <c r="D195" s="8"/>
      <c r="E195" s="8"/>
      <c r="F195" s="8"/>
      <c r="G195" s="8"/>
      <c r="H195" s="13"/>
      <c r="I195" s="8"/>
      <c r="J195" s="13"/>
      <c r="K195" s="14" t="str">
        <f t="shared" si="2"/>
        <v/>
      </c>
      <c r="L195" s="10"/>
      <c r="M195" s="10"/>
      <c r="N195" s="10"/>
      <c r="O195" s="10"/>
      <c r="P195" s="8"/>
      <c r="Q195" s="8"/>
      <c r="R195" s="8"/>
      <c r="S195" s="10"/>
      <c r="T195" s="8"/>
    </row>
    <row r="196" spans="1:20">
      <c r="A196" s="8"/>
      <c r="B196" s="8"/>
      <c r="C196" s="8"/>
      <c r="D196" s="8"/>
      <c r="E196" s="8"/>
      <c r="F196" s="8"/>
      <c r="G196" s="8"/>
      <c r="H196" s="13"/>
      <c r="I196" s="8"/>
      <c r="J196" s="13"/>
      <c r="K196" s="14" t="str">
        <f t="shared" si="2"/>
        <v/>
      </c>
      <c r="L196" s="10"/>
      <c r="M196" s="10"/>
      <c r="N196" s="10"/>
      <c r="O196" s="10"/>
      <c r="P196" s="8"/>
      <c r="Q196" s="8"/>
      <c r="R196" s="8"/>
      <c r="S196" s="10"/>
      <c r="T196" s="8"/>
    </row>
    <row r="197" spans="1:20">
      <c r="A197" s="8"/>
      <c r="B197" s="8"/>
      <c r="C197" s="8"/>
      <c r="D197" s="8"/>
      <c r="E197" s="8"/>
      <c r="F197" s="8"/>
      <c r="G197" s="8"/>
      <c r="H197" s="13"/>
      <c r="I197" s="8"/>
      <c r="J197" s="13"/>
      <c r="K197" s="14" t="str">
        <f t="shared" ref="K197:K260" si="3">IF(A197="","",H197*J197)</f>
        <v/>
      </c>
      <c r="L197" s="10"/>
      <c r="M197" s="10"/>
      <c r="N197" s="10"/>
      <c r="O197" s="10"/>
      <c r="P197" s="8"/>
      <c r="Q197" s="8"/>
      <c r="R197" s="8"/>
      <c r="S197" s="10"/>
      <c r="T197" s="8"/>
    </row>
    <row r="198" spans="1:20">
      <c r="A198" s="8"/>
      <c r="B198" s="8"/>
      <c r="C198" s="8"/>
      <c r="D198" s="8"/>
      <c r="E198" s="8"/>
      <c r="F198" s="8"/>
      <c r="G198" s="8"/>
      <c r="H198" s="13"/>
      <c r="I198" s="8"/>
      <c r="J198" s="13"/>
      <c r="K198" s="14" t="str">
        <f t="shared" si="3"/>
        <v/>
      </c>
      <c r="L198" s="10"/>
      <c r="M198" s="10"/>
      <c r="N198" s="10"/>
      <c r="O198" s="10"/>
      <c r="P198" s="8"/>
      <c r="Q198" s="8"/>
      <c r="R198" s="8"/>
      <c r="S198" s="10"/>
      <c r="T198" s="8"/>
    </row>
    <row r="199" spans="1:20">
      <c r="A199" s="8"/>
      <c r="B199" s="8"/>
      <c r="C199" s="8"/>
      <c r="D199" s="8"/>
      <c r="E199" s="8"/>
      <c r="F199" s="8"/>
      <c r="G199" s="8"/>
      <c r="H199" s="13"/>
      <c r="I199" s="8"/>
      <c r="J199" s="13"/>
      <c r="K199" s="14" t="str">
        <f t="shared" si="3"/>
        <v/>
      </c>
      <c r="L199" s="10"/>
      <c r="M199" s="10"/>
      <c r="N199" s="10"/>
      <c r="O199" s="10"/>
      <c r="P199" s="8"/>
      <c r="Q199" s="8"/>
      <c r="R199" s="8"/>
      <c r="S199" s="10"/>
      <c r="T199" s="8"/>
    </row>
    <row r="200" spans="1:20">
      <c r="A200" s="8"/>
      <c r="B200" s="8"/>
      <c r="C200" s="8"/>
      <c r="D200" s="8"/>
      <c r="E200" s="8"/>
      <c r="F200" s="8"/>
      <c r="G200" s="8"/>
      <c r="H200" s="13"/>
      <c r="I200" s="8"/>
      <c r="J200" s="13"/>
      <c r="K200" s="14" t="str">
        <f t="shared" si="3"/>
        <v/>
      </c>
      <c r="L200" s="10"/>
      <c r="M200" s="10"/>
      <c r="N200" s="10"/>
      <c r="O200" s="10"/>
      <c r="P200" s="8"/>
      <c r="Q200" s="8"/>
      <c r="R200" s="8"/>
      <c r="S200" s="10"/>
      <c r="T200" s="8"/>
    </row>
    <row r="201" spans="1:20">
      <c r="A201" s="8"/>
      <c r="B201" s="8"/>
      <c r="C201" s="8"/>
      <c r="D201" s="8"/>
      <c r="E201" s="8"/>
      <c r="F201" s="8"/>
      <c r="G201" s="8"/>
      <c r="H201" s="13"/>
      <c r="I201" s="8"/>
      <c r="J201" s="13"/>
      <c r="K201" s="14" t="str">
        <f t="shared" si="3"/>
        <v/>
      </c>
      <c r="L201" s="10"/>
      <c r="M201" s="10"/>
      <c r="N201" s="10"/>
      <c r="O201" s="10"/>
      <c r="P201" s="8"/>
      <c r="Q201" s="8"/>
      <c r="R201" s="8"/>
      <c r="S201" s="10"/>
      <c r="T201" s="8"/>
    </row>
    <row r="202" spans="1:20">
      <c r="A202" s="8"/>
      <c r="B202" s="8"/>
      <c r="C202" s="8"/>
      <c r="D202" s="8"/>
      <c r="E202" s="8"/>
      <c r="F202" s="8"/>
      <c r="G202" s="8"/>
      <c r="H202" s="13"/>
      <c r="I202" s="8"/>
      <c r="J202" s="13"/>
      <c r="K202" s="14" t="str">
        <f t="shared" si="3"/>
        <v/>
      </c>
      <c r="L202" s="10"/>
      <c r="M202" s="10"/>
      <c r="N202" s="10"/>
      <c r="O202" s="10"/>
      <c r="P202" s="8"/>
      <c r="Q202" s="8"/>
      <c r="R202" s="8"/>
      <c r="S202" s="10"/>
      <c r="T202" s="8"/>
    </row>
    <row r="203" spans="1:20">
      <c r="A203" s="8"/>
      <c r="B203" s="8"/>
      <c r="C203" s="8"/>
      <c r="D203" s="8"/>
      <c r="E203" s="8"/>
      <c r="F203" s="8"/>
      <c r="G203" s="8"/>
      <c r="H203" s="13"/>
      <c r="I203" s="8"/>
      <c r="J203" s="13"/>
      <c r="K203" s="14" t="str">
        <f t="shared" si="3"/>
        <v/>
      </c>
      <c r="L203" s="10"/>
      <c r="M203" s="10"/>
      <c r="N203" s="10"/>
      <c r="O203" s="10"/>
      <c r="P203" s="8"/>
      <c r="Q203" s="8"/>
      <c r="R203" s="8"/>
      <c r="S203" s="10"/>
      <c r="T203" s="8"/>
    </row>
    <row r="204" spans="1:20">
      <c r="A204" s="8"/>
      <c r="B204" s="8"/>
      <c r="C204" s="8"/>
      <c r="D204" s="8"/>
      <c r="E204" s="8"/>
      <c r="F204" s="8"/>
      <c r="G204" s="8"/>
      <c r="H204" s="13"/>
      <c r="I204" s="8"/>
      <c r="J204" s="13"/>
      <c r="K204" s="14" t="str">
        <f t="shared" si="3"/>
        <v/>
      </c>
      <c r="L204" s="10"/>
      <c r="M204" s="10"/>
      <c r="N204" s="10"/>
      <c r="O204" s="10"/>
      <c r="P204" s="8"/>
      <c r="Q204" s="8"/>
      <c r="R204" s="8"/>
      <c r="S204" s="10"/>
      <c r="T204" s="8"/>
    </row>
    <row r="205" spans="1:20">
      <c r="A205" s="8"/>
      <c r="B205" s="8"/>
      <c r="C205" s="8"/>
      <c r="D205" s="8"/>
      <c r="E205" s="8"/>
      <c r="F205" s="8"/>
      <c r="G205" s="8"/>
      <c r="H205" s="13"/>
      <c r="I205" s="8"/>
      <c r="J205" s="13"/>
      <c r="K205" s="14" t="str">
        <f t="shared" si="3"/>
        <v/>
      </c>
      <c r="L205" s="10"/>
      <c r="M205" s="10"/>
      <c r="N205" s="10"/>
      <c r="O205" s="10"/>
      <c r="P205" s="8"/>
      <c r="Q205" s="8"/>
      <c r="R205" s="8"/>
      <c r="S205" s="10"/>
      <c r="T205" s="8"/>
    </row>
    <row r="206" spans="1:20">
      <c r="A206" s="8"/>
      <c r="B206" s="8"/>
      <c r="C206" s="8"/>
      <c r="D206" s="8"/>
      <c r="E206" s="8"/>
      <c r="F206" s="8"/>
      <c r="G206" s="8"/>
      <c r="H206" s="13"/>
      <c r="I206" s="8"/>
      <c r="J206" s="13"/>
      <c r="K206" s="14" t="str">
        <f t="shared" si="3"/>
        <v/>
      </c>
      <c r="L206" s="10"/>
      <c r="M206" s="10"/>
      <c r="N206" s="10"/>
      <c r="O206" s="10"/>
      <c r="P206" s="8"/>
      <c r="Q206" s="8"/>
      <c r="R206" s="8"/>
      <c r="S206" s="10"/>
      <c r="T206" s="8"/>
    </row>
    <row r="207" spans="1:20">
      <c r="A207" s="8"/>
      <c r="B207" s="8"/>
      <c r="C207" s="8"/>
      <c r="D207" s="8"/>
      <c r="E207" s="8"/>
      <c r="F207" s="8"/>
      <c r="G207" s="8"/>
      <c r="H207" s="13"/>
      <c r="I207" s="8"/>
      <c r="J207" s="13"/>
      <c r="K207" s="14" t="str">
        <f t="shared" si="3"/>
        <v/>
      </c>
      <c r="L207" s="10"/>
      <c r="M207" s="10"/>
      <c r="N207" s="10"/>
      <c r="O207" s="10"/>
      <c r="P207" s="8"/>
      <c r="Q207" s="8"/>
      <c r="R207" s="8"/>
      <c r="S207" s="10"/>
      <c r="T207" s="8"/>
    </row>
    <row r="208" spans="1:20">
      <c r="A208" s="8"/>
      <c r="B208" s="8"/>
      <c r="C208" s="8"/>
      <c r="D208" s="8"/>
      <c r="E208" s="8"/>
      <c r="F208" s="8"/>
      <c r="G208" s="8"/>
      <c r="H208" s="13"/>
      <c r="I208" s="8"/>
      <c r="J208" s="13"/>
      <c r="K208" s="14" t="str">
        <f t="shared" si="3"/>
        <v/>
      </c>
      <c r="L208" s="10"/>
      <c r="M208" s="10"/>
      <c r="N208" s="10"/>
      <c r="O208" s="10"/>
      <c r="P208" s="8"/>
      <c r="Q208" s="8"/>
      <c r="R208" s="8"/>
      <c r="S208" s="10"/>
      <c r="T208" s="8"/>
    </row>
    <row r="209" spans="1:20">
      <c r="A209" s="8"/>
      <c r="B209" s="8"/>
      <c r="C209" s="8"/>
      <c r="D209" s="8"/>
      <c r="E209" s="8"/>
      <c r="F209" s="8"/>
      <c r="G209" s="8"/>
      <c r="H209" s="13"/>
      <c r="I209" s="8"/>
      <c r="J209" s="13"/>
      <c r="K209" s="14" t="str">
        <f t="shared" si="3"/>
        <v/>
      </c>
      <c r="L209" s="10"/>
      <c r="M209" s="10"/>
      <c r="N209" s="10"/>
      <c r="O209" s="10"/>
      <c r="P209" s="8"/>
      <c r="Q209" s="8"/>
      <c r="R209" s="8"/>
      <c r="S209" s="10"/>
      <c r="T209" s="8"/>
    </row>
    <row r="210" spans="1:20">
      <c r="A210" s="8"/>
      <c r="B210" s="8"/>
      <c r="C210" s="8"/>
      <c r="D210" s="8"/>
      <c r="E210" s="8"/>
      <c r="F210" s="8"/>
      <c r="G210" s="8"/>
      <c r="H210" s="13"/>
      <c r="I210" s="8"/>
      <c r="J210" s="13"/>
      <c r="K210" s="14" t="str">
        <f t="shared" si="3"/>
        <v/>
      </c>
      <c r="L210" s="10"/>
      <c r="M210" s="10"/>
      <c r="N210" s="10"/>
      <c r="O210" s="10"/>
      <c r="P210" s="8"/>
      <c r="Q210" s="8"/>
      <c r="R210" s="8"/>
      <c r="S210" s="10"/>
      <c r="T210" s="8"/>
    </row>
    <row r="211" spans="1:20">
      <c r="A211" s="8"/>
      <c r="B211" s="8"/>
      <c r="C211" s="8"/>
      <c r="D211" s="8"/>
      <c r="E211" s="8"/>
      <c r="F211" s="8"/>
      <c r="G211" s="8"/>
      <c r="H211" s="13"/>
      <c r="I211" s="8"/>
      <c r="J211" s="13"/>
      <c r="K211" s="14" t="str">
        <f t="shared" si="3"/>
        <v/>
      </c>
      <c r="L211" s="10"/>
      <c r="M211" s="10"/>
      <c r="N211" s="10"/>
      <c r="O211" s="10"/>
      <c r="P211" s="8"/>
      <c r="Q211" s="8"/>
      <c r="R211" s="8"/>
      <c r="S211" s="10"/>
      <c r="T211" s="8"/>
    </row>
    <row r="212" spans="1:20">
      <c r="A212" s="8"/>
      <c r="B212" s="8"/>
      <c r="C212" s="8"/>
      <c r="D212" s="8"/>
      <c r="E212" s="8"/>
      <c r="F212" s="8"/>
      <c r="G212" s="8"/>
      <c r="H212" s="13"/>
      <c r="I212" s="8"/>
      <c r="J212" s="13"/>
      <c r="K212" s="14" t="str">
        <f t="shared" si="3"/>
        <v/>
      </c>
      <c r="L212" s="10"/>
      <c r="M212" s="10"/>
      <c r="N212" s="10"/>
      <c r="O212" s="10"/>
      <c r="P212" s="8"/>
      <c r="Q212" s="8"/>
      <c r="R212" s="8"/>
      <c r="S212" s="10"/>
      <c r="T212" s="8"/>
    </row>
    <row r="213" spans="1:20">
      <c r="A213" s="8"/>
      <c r="B213" s="8"/>
      <c r="C213" s="8"/>
      <c r="D213" s="8"/>
      <c r="E213" s="8"/>
      <c r="F213" s="8"/>
      <c r="G213" s="8"/>
      <c r="H213" s="13"/>
      <c r="I213" s="8"/>
      <c r="J213" s="13"/>
      <c r="K213" s="14" t="str">
        <f t="shared" si="3"/>
        <v/>
      </c>
      <c r="L213" s="10"/>
      <c r="M213" s="10"/>
      <c r="N213" s="10"/>
      <c r="O213" s="10"/>
      <c r="P213" s="8"/>
      <c r="Q213" s="8"/>
      <c r="R213" s="8"/>
      <c r="S213" s="10"/>
      <c r="T213" s="8"/>
    </row>
    <row r="214" spans="1:20">
      <c r="A214" s="8"/>
      <c r="B214" s="8"/>
      <c r="C214" s="8"/>
      <c r="D214" s="8"/>
      <c r="E214" s="8"/>
      <c r="F214" s="8"/>
      <c r="G214" s="8"/>
      <c r="H214" s="13"/>
      <c r="I214" s="8"/>
      <c r="J214" s="13"/>
      <c r="K214" s="14" t="str">
        <f t="shared" si="3"/>
        <v/>
      </c>
      <c r="L214" s="10"/>
      <c r="M214" s="10"/>
      <c r="N214" s="10"/>
      <c r="O214" s="10"/>
      <c r="P214" s="8"/>
      <c r="Q214" s="8"/>
      <c r="R214" s="8"/>
      <c r="S214" s="10"/>
      <c r="T214" s="8"/>
    </row>
    <row r="215" spans="1:20">
      <c r="A215" s="8"/>
      <c r="B215" s="8"/>
      <c r="C215" s="8"/>
      <c r="D215" s="8"/>
      <c r="E215" s="8"/>
      <c r="F215" s="8"/>
      <c r="G215" s="8"/>
      <c r="H215" s="13"/>
      <c r="I215" s="8"/>
      <c r="J215" s="13"/>
      <c r="K215" s="14" t="str">
        <f t="shared" si="3"/>
        <v/>
      </c>
      <c r="L215" s="10"/>
      <c r="M215" s="10"/>
      <c r="N215" s="10"/>
      <c r="O215" s="10"/>
      <c r="P215" s="8"/>
      <c r="Q215" s="8"/>
      <c r="R215" s="8"/>
      <c r="S215" s="10"/>
      <c r="T215" s="8"/>
    </row>
    <row r="216" spans="1:20">
      <c r="A216" s="8"/>
      <c r="B216" s="8"/>
      <c r="C216" s="8"/>
      <c r="D216" s="8"/>
      <c r="E216" s="8"/>
      <c r="F216" s="8"/>
      <c r="G216" s="8"/>
      <c r="H216" s="13"/>
      <c r="I216" s="8"/>
      <c r="J216" s="13"/>
      <c r="K216" s="14" t="str">
        <f t="shared" si="3"/>
        <v/>
      </c>
      <c r="L216" s="10"/>
      <c r="M216" s="10"/>
      <c r="N216" s="10"/>
      <c r="O216" s="10"/>
      <c r="P216" s="8"/>
      <c r="Q216" s="8"/>
      <c r="R216" s="8"/>
      <c r="S216" s="10"/>
      <c r="T216" s="8"/>
    </row>
    <row r="217" spans="1:20">
      <c r="A217" s="8"/>
      <c r="B217" s="8"/>
      <c r="C217" s="8"/>
      <c r="D217" s="8"/>
      <c r="E217" s="8"/>
      <c r="F217" s="8"/>
      <c r="G217" s="8"/>
      <c r="H217" s="13"/>
      <c r="I217" s="8"/>
      <c r="J217" s="13"/>
      <c r="K217" s="14" t="str">
        <f t="shared" si="3"/>
        <v/>
      </c>
      <c r="L217" s="10"/>
      <c r="M217" s="10"/>
      <c r="N217" s="10"/>
      <c r="O217" s="10"/>
      <c r="P217" s="8"/>
      <c r="Q217" s="8"/>
      <c r="R217" s="8"/>
      <c r="S217" s="10"/>
      <c r="T217" s="8"/>
    </row>
    <row r="218" spans="1:20">
      <c r="A218" s="8"/>
      <c r="B218" s="8"/>
      <c r="C218" s="8"/>
      <c r="D218" s="8"/>
      <c r="E218" s="8"/>
      <c r="F218" s="8"/>
      <c r="G218" s="8"/>
      <c r="H218" s="13"/>
      <c r="I218" s="8"/>
      <c r="J218" s="13"/>
      <c r="K218" s="14" t="str">
        <f t="shared" si="3"/>
        <v/>
      </c>
      <c r="L218" s="10"/>
      <c r="M218" s="10"/>
      <c r="N218" s="10"/>
      <c r="O218" s="10"/>
      <c r="P218" s="8"/>
      <c r="Q218" s="8"/>
      <c r="R218" s="8"/>
      <c r="S218" s="10"/>
      <c r="T218" s="8"/>
    </row>
    <row r="219" spans="1:20">
      <c r="A219" s="8"/>
      <c r="B219" s="8"/>
      <c r="C219" s="8"/>
      <c r="D219" s="8"/>
      <c r="E219" s="8"/>
      <c r="F219" s="8"/>
      <c r="G219" s="8"/>
      <c r="H219" s="13"/>
      <c r="I219" s="8"/>
      <c r="J219" s="13"/>
      <c r="K219" s="14" t="str">
        <f t="shared" si="3"/>
        <v/>
      </c>
      <c r="L219" s="10"/>
      <c r="M219" s="10"/>
      <c r="N219" s="10"/>
      <c r="O219" s="10"/>
      <c r="P219" s="8"/>
      <c r="Q219" s="8"/>
      <c r="R219" s="8"/>
      <c r="S219" s="10"/>
      <c r="T219" s="8"/>
    </row>
    <row r="220" spans="1:20">
      <c r="A220" s="8"/>
      <c r="B220" s="8"/>
      <c r="C220" s="8"/>
      <c r="D220" s="8"/>
      <c r="E220" s="8"/>
      <c r="F220" s="8"/>
      <c r="G220" s="8"/>
      <c r="H220" s="13"/>
      <c r="I220" s="8"/>
      <c r="J220" s="13"/>
      <c r="K220" s="14" t="str">
        <f t="shared" si="3"/>
        <v/>
      </c>
      <c r="L220" s="10"/>
      <c r="M220" s="10"/>
      <c r="N220" s="10"/>
      <c r="O220" s="10"/>
      <c r="P220" s="8"/>
      <c r="Q220" s="8"/>
      <c r="R220" s="8"/>
      <c r="S220" s="10"/>
      <c r="T220" s="8"/>
    </row>
    <row r="221" spans="1:20">
      <c r="A221" s="8"/>
      <c r="B221" s="8"/>
      <c r="C221" s="8"/>
      <c r="D221" s="8"/>
      <c r="E221" s="8"/>
      <c r="F221" s="8"/>
      <c r="G221" s="8"/>
      <c r="H221" s="13"/>
      <c r="I221" s="8"/>
      <c r="J221" s="13"/>
      <c r="K221" s="14" t="str">
        <f t="shared" si="3"/>
        <v/>
      </c>
      <c r="L221" s="10"/>
      <c r="M221" s="10"/>
      <c r="N221" s="10"/>
      <c r="O221" s="10"/>
      <c r="P221" s="8"/>
      <c r="Q221" s="8"/>
      <c r="R221" s="8"/>
      <c r="S221" s="10"/>
      <c r="T221" s="8"/>
    </row>
    <row r="222" spans="1:20">
      <c r="A222" s="8"/>
      <c r="B222" s="8"/>
      <c r="C222" s="8"/>
      <c r="D222" s="8"/>
      <c r="E222" s="8"/>
      <c r="F222" s="8"/>
      <c r="G222" s="8"/>
      <c r="H222" s="13"/>
      <c r="I222" s="8"/>
      <c r="J222" s="13"/>
      <c r="K222" s="14" t="str">
        <f t="shared" si="3"/>
        <v/>
      </c>
      <c r="L222" s="10"/>
      <c r="M222" s="10"/>
      <c r="N222" s="10"/>
      <c r="O222" s="10"/>
      <c r="P222" s="8"/>
      <c r="Q222" s="8"/>
      <c r="R222" s="8"/>
      <c r="S222" s="10"/>
      <c r="T222" s="8"/>
    </row>
    <row r="223" spans="1:20">
      <c r="A223" s="8"/>
      <c r="B223" s="8"/>
      <c r="C223" s="8"/>
      <c r="D223" s="8"/>
      <c r="E223" s="8"/>
      <c r="F223" s="8"/>
      <c r="G223" s="8"/>
      <c r="H223" s="13"/>
      <c r="I223" s="8"/>
      <c r="J223" s="13"/>
      <c r="K223" s="14" t="str">
        <f t="shared" si="3"/>
        <v/>
      </c>
      <c r="L223" s="10"/>
      <c r="M223" s="10"/>
      <c r="N223" s="10"/>
      <c r="O223" s="10"/>
      <c r="P223" s="8"/>
      <c r="Q223" s="8"/>
      <c r="R223" s="8"/>
      <c r="S223" s="10"/>
      <c r="T223" s="8"/>
    </row>
    <row r="224" spans="1:20">
      <c r="A224" s="8"/>
      <c r="B224" s="8"/>
      <c r="C224" s="8"/>
      <c r="D224" s="8"/>
      <c r="E224" s="8"/>
      <c r="F224" s="8"/>
      <c r="G224" s="8"/>
      <c r="H224" s="13"/>
      <c r="I224" s="8"/>
      <c r="J224" s="13"/>
      <c r="K224" s="14" t="str">
        <f t="shared" si="3"/>
        <v/>
      </c>
      <c r="L224" s="10"/>
      <c r="M224" s="10"/>
      <c r="N224" s="10"/>
      <c r="O224" s="10"/>
      <c r="P224" s="8"/>
      <c r="Q224" s="8"/>
      <c r="R224" s="8"/>
      <c r="S224" s="10"/>
      <c r="T224" s="8"/>
    </row>
    <row r="225" spans="1:20">
      <c r="A225" s="8"/>
      <c r="B225" s="8"/>
      <c r="C225" s="8"/>
      <c r="D225" s="8"/>
      <c r="E225" s="8"/>
      <c r="F225" s="8"/>
      <c r="G225" s="8"/>
      <c r="H225" s="13"/>
      <c r="I225" s="8"/>
      <c r="J225" s="13"/>
      <c r="K225" s="14" t="str">
        <f t="shared" si="3"/>
        <v/>
      </c>
      <c r="L225" s="10"/>
      <c r="M225" s="10"/>
      <c r="N225" s="10"/>
      <c r="O225" s="10"/>
      <c r="P225" s="8"/>
      <c r="Q225" s="8"/>
      <c r="R225" s="8"/>
      <c r="S225" s="10"/>
      <c r="T225" s="8"/>
    </row>
    <row r="226" spans="1:20">
      <c r="A226" s="8"/>
      <c r="B226" s="8"/>
      <c r="C226" s="8"/>
      <c r="D226" s="8"/>
      <c r="E226" s="8"/>
      <c r="F226" s="8"/>
      <c r="G226" s="8"/>
      <c r="H226" s="13"/>
      <c r="I226" s="8"/>
      <c r="J226" s="13"/>
      <c r="K226" s="14" t="str">
        <f t="shared" si="3"/>
        <v/>
      </c>
      <c r="L226" s="10"/>
      <c r="M226" s="10"/>
      <c r="N226" s="10"/>
      <c r="O226" s="10"/>
      <c r="P226" s="8"/>
      <c r="Q226" s="8"/>
      <c r="R226" s="8"/>
      <c r="S226" s="10"/>
      <c r="T226" s="8"/>
    </row>
    <row r="227" spans="1:20">
      <c r="A227" s="8"/>
      <c r="B227" s="8"/>
      <c r="C227" s="8"/>
      <c r="D227" s="8"/>
      <c r="E227" s="8"/>
      <c r="F227" s="8"/>
      <c r="G227" s="8"/>
      <c r="H227" s="13"/>
      <c r="I227" s="8"/>
      <c r="J227" s="13"/>
      <c r="K227" s="14" t="str">
        <f t="shared" si="3"/>
        <v/>
      </c>
      <c r="L227" s="10"/>
      <c r="M227" s="10"/>
      <c r="N227" s="10"/>
      <c r="O227" s="10"/>
      <c r="P227" s="8"/>
      <c r="Q227" s="8"/>
      <c r="R227" s="8"/>
      <c r="S227" s="10"/>
      <c r="T227" s="8"/>
    </row>
    <row r="228" spans="1:20">
      <c r="A228" s="8"/>
      <c r="B228" s="8"/>
      <c r="C228" s="8"/>
      <c r="D228" s="8"/>
      <c r="E228" s="8"/>
      <c r="F228" s="8"/>
      <c r="G228" s="8"/>
      <c r="H228" s="13"/>
      <c r="I228" s="8"/>
      <c r="J228" s="13"/>
      <c r="K228" s="14" t="str">
        <f t="shared" si="3"/>
        <v/>
      </c>
      <c r="L228" s="10"/>
      <c r="M228" s="10"/>
      <c r="N228" s="10"/>
      <c r="O228" s="10"/>
      <c r="P228" s="8"/>
      <c r="Q228" s="8"/>
      <c r="R228" s="8"/>
      <c r="S228" s="10"/>
      <c r="T228" s="8"/>
    </row>
    <row r="229" spans="1:20">
      <c r="A229" s="8"/>
      <c r="B229" s="8"/>
      <c r="C229" s="8"/>
      <c r="D229" s="8"/>
      <c r="E229" s="8"/>
      <c r="F229" s="8"/>
      <c r="G229" s="8"/>
      <c r="H229" s="13"/>
      <c r="I229" s="8"/>
      <c r="J229" s="13"/>
      <c r="K229" s="14" t="str">
        <f t="shared" si="3"/>
        <v/>
      </c>
      <c r="L229" s="10"/>
      <c r="M229" s="10"/>
      <c r="N229" s="10"/>
      <c r="O229" s="10"/>
      <c r="P229" s="8"/>
      <c r="Q229" s="8"/>
      <c r="R229" s="8"/>
      <c r="S229" s="10"/>
      <c r="T229" s="8"/>
    </row>
    <row r="230" spans="1:20">
      <c r="A230" s="8"/>
      <c r="B230" s="8"/>
      <c r="C230" s="8"/>
      <c r="D230" s="8"/>
      <c r="E230" s="8"/>
      <c r="F230" s="8"/>
      <c r="G230" s="8"/>
      <c r="H230" s="13"/>
      <c r="I230" s="8"/>
      <c r="J230" s="13"/>
      <c r="K230" s="14" t="str">
        <f t="shared" si="3"/>
        <v/>
      </c>
      <c r="L230" s="10"/>
      <c r="M230" s="10"/>
      <c r="N230" s="10"/>
      <c r="O230" s="10"/>
      <c r="P230" s="8"/>
      <c r="Q230" s="8"/>
      <c r="R230" s="8"/>
      <c r="S230" s="10"/>
      <c r="T230" s="8"/>
    </row>
    <row r="231" spans="1:20">
      <c r="A231" s="8"/>
      <c r="B231" s="8"/>
      <c r="C231" s="8"/>
      <c r="D231" s="8"/>
      <c r="E231" s="8"/>
      <c r="F231" s="8"/>
      <c r="G231" s="8"/>
      <c r="H231" s="13"/>
      <c r="I231" s="8"/>
      <c r="J231" s="13"/>
      <c r="K231" s="14" t="str">
        <f t="shared" si="3"/>
        <v/>
      </c>
      <c r="L231" s="10"/>
      <c r="M231" s="10"/>
      <c r="N231" s="10"/>
      <c r="O231" s="10"/>
      <c r="P231" s="8"/>
      <c r="Q231" s="8"/>
      <c r="R231" s="8"/>
      <c r="S231" s="10"/>
      <c r="T231" s="8"/>
    </row>
    <row r="232" spans="1:20">
      <c r="A232" s="8"/>
      <c r="B232" s="8"/>
      <c r="C232" s="8"/>
      <c r="D232" s="8"/>
      <c r="E232" s="8"/>
      <c r="F232" s="8"/>
      <c r="G232" s="8"/>
      <c r="H232" s="13"/>
      <c r="I232" s="8"/>
      <c r="J232" s="13"/>
      <c r="K232" s="14" t="str">
        <f t="shared" si="3"/>
        <v/>
      </c>
      <c r="L232" s="10"/>
      <c r="M232" s="10"/>
      <c r="N232" s="10"/>
      <c r="O232" s="10"/>
      <c r="P232" s="8"/>
      <c r="Q232" s="8"/>
      <c r="R232" s="8"/>
      <c r="S232" s="10"/>
      <c r="T232" s="8"/>
    </row>
    <row r="233" spans="1:20">
      <c r="A233" s="8"/>
      <c r="B233" s="8"/>
      <c r="C233" s="8"/>
      <c r="D233" s="8"/>
      <c r="E233" s="8"/>
      <c r="F233" s="8"/>
      <c r="G233" s="8"/>
      <c r="H233" s="13"/>
      <c r="I233" s="8"/>
      <c r="J233" s="13"/>
      <c r="K233" s="14" t="str">
        <f t="shared" si="3"/>
        <v/>
      </c>
      <c r="L233" s="10"/>
      <c r="M233" s="10"/>
      <c r="N233" s="10"/>
      <c r="O233" s="10"/>
      <c r="P233" s="8"/>
      <c r="Q233" s="8"/>
      <c r="R233" s="8"/>
      <c r="S233" s="10"/>
      <c r="T233" s="8"/>
    </row>
    <row r="234" spans="1:20">
      <c r="A234" s="8"/>
      <c r="B234" s="8"/>
      <c r="C234" s="8"/>
      <c r="D234" s="8"/>
      <c r="E234" s="8"/>
      <c r="F234" s="8"/>
      <c r="G234" s="8"/>
      <c r="H234" s="13"/>
      <c r="I234" s="8"/>
      <c r="J234" s="13"/>
      <c r="K234" s="14" t="str">
        <f t="shared" si="3"/>
        <v/>
      </c>
      <c r="L234" s="10"/>
      <c r="M234" s="10"/>
      <c r="N234" s="10"/>
      <c r="O234" s="10"/>
      <c r="P234" s="8"/>
      <c r="Q234" s="8"/>
      <c r="R234" s="8"/>
      <c r="S234" s="10"/>
      <c r="T234" s="8"/>
    </row>
    <row r="235" spans="1:20">
      <c r="A235" s="8"/>
      <c r="B235" s="8"/>
      <c r="C235" s="8"/>
      <c r="D235" s="8"/>
      <c r="E235" s="8"/>
      <c r="F235" s="8"/>
      <c r="G235" s="8"/>
      <c r="H235" s="13"/>
      <c r="I235" s="8"/>
      <c r="J235" s="13"/>
      <c r="K235" s="14" t="str">
        <f t="shared" si="3"/>
        <v/>
      </c>
      <c r="L235" s="10"/>
      <c r="M235" s="10"/>
      <c r="N235" s="10"/>
      <c r="O235" s="10"/>
      <c r="P235" s="8"/>
      <c r="Q235" s="8"/>
      <c r="R235" s="8"/>
      <c r="S235" s="10"/>
      <c r="T235" s="8"/>
    </row>
    <row r="236" spans="1:20">
      <c r="A236" s="8"/>
      <c r="B236" s="8"/>
      <c r="C236" s="8"/>
      <c r="D236" s="8"/>
      <c r="E236" s="8"/>
      <c r="F236" s="8"/>
      <c r="G236" s="8"/>
      <c r="H236" s="13"/>
      <c r="I236" s="8"/>
      <c r="J236" s="13"/>
      <c r="K236" s="14" t="str">
        <f t="shared" si="3"/>
        <v/>
      </c>
      <c r="L236" s="10"/>
      <c r="M236" s="10"/>
      <c r="N236" s="10"/>
      <c r="O236" s="10"/>
      <c r="P236" s="8"/>
      <c r="Q236" s="8"/>
      <c r="R236" s="8"/>
      <c r="S236" s="10"/>
      <c r="T236" s="8"/>
    </row>
    <row r="237" spans="1:20">
      <c r="A237" s="8"/>
      <c r="B237" s="8"/>
      <c r="C237" s="8"/>
      <c r="D237" s="8"/>
      <c r="E237" s="8"/>
      <c r="F237" s="8"/>
      <c r="G237" s="8"/>
      <c r="H237" s="13"/>
      <c r="I237" s="8"/>
      <c r="J237" s="13"/>
      <c r="K237" s="14" t="str">
        <f t="shared" si="3"/>
        <v/>
      </c>
      <c r="L237" s="10"/>
      <c r="M237" s="10"/>
      <c r="N237" s="10"/>
      <c r="O237" s="10"/>
      <c r="P237" s="8"/>
      <c r="Q237" s="8"/>
      <c r="R237" s="8"/>
      <c r="S237" s="10"/>
      <c r="T237" s="8"/>
    </row>
    <row r="238" spans="1:20">
      <c r="A238" s="8"/>
      <c r="B238" s="8"/>
      <c r="C238" s="8"/>
      <c r="D238" s="8"/>
      <c r="E238" s="8"/>
      <c r="F238" s="8"/>
      <c r="G238" s="8"/>
      <c r="H238" s="13"/>
      <c r="I238" s="8"/>
      <c r="J238" s="13"/>
      <c r="K238" s="14" t="str">
        <f t="shared" si="3"/>
        <v/>
      </c>
      <c r="L238" s="10"/>
      <c r="M238" s="10"/>
      <c r="N238" s="10"/>
      <c r="O238" s="10"/>
      <c r="P238" s="8"/>
      <c r="Q238" s="8"/>
      <c r="R238" s="8"/>
      <c r="S238" s="10"/>
      <c r="T238" s="8"/>
    </row>
    <row r="239" spans="1:20">
      <c r="A239" s="8"/>
      <c r="B239" s="8"/>
      <c r="C239" s="8"/>
      <c r="D239" s="8"/>
      <c r="E239" s="8"/>
      <c r="F239" s="8"/>
      <c r="G239" s="8"/>
      <c r="H239" s="13"/>
      <c r="I239" s="8"/>
      <c r="J239" s="13"/>
      <c r="K239" s="14" t="str">
        <f t="shared" si="3"/>
        <v/>
      </c>
      <c r="L239" s="10"/>
      <c r="M239" s="10"/>
      <c r="N239" s="10"/>
      <c r="O239" s="10"/>
      <c r="P239" s="8"/>
      <c r="Q239" s="8"/>
      <c r="R239" s="8"/>
      <c r="S239" s="10"/>
      <c r="T239" s="8"/>
    </row>
    <row r="240" spans="1:20">
      <c r="A240" s="8"/>
      <c r="B240" s="8"/>
      <c r="C240" s="8"/>
      <c r="D240" s="8"/>
      <c r="E240" s="8"/>
      <c r="F240" s="8"/>
      <c r="G240" s="8"/>
      <c r="H240" s="13"/>
      <c r="I240" s="8"/>
      <c r="J240" s="13"/>
      <c r="K240" s="14" t="str">
        <f t="shared" si="3"/>
        <v/>
      </c>
      <c r="L240" s="10"/>
      <c r="M240" s="10"/>
      <c r="N240" s="10"/>
      <c r="O240" s="10"/>
      <c r="P240" s="8"/>
      <c r="Q240" s="8"/>
      <c r="R240" s="8"/>
      <c r="S240" s="10"/>
      <c r="T240" s="8"/>
    </row>
    <row r="241" spans="1:20">
      <c r="A241" s="8"/>
      <c r="B241" s="8"/>
      <c r="C241" s="8"/>
      <c r="D241" s="8"/>
      <c r="E241" s="8"/>
      <c r="F241" s="8"/>
      <c r="G241" s="8"/>
      <c r="H241" s="13"/>
      <c r="I241" s="8"/>
      <c r="J241" s="13"/>
      <c r="K241" s="14" t="str">
        <f t="shared" si="3"/>
        <v/>
      </c>
      <c r="L241" s="10"/>
      <c r="M241" s="10"/>
      <c r="N241" s="10"/>
      <c r="O241" s="10"/>
      <c r="P241" s="8"/>
      <c r="Q241" s="8"/>
      <c r="R241" s="8"/>
      <c r="S241" s="10"/>
      <c r="T241" s="8"/>
    </row>
    <row r="242" spans="1:20">
      <c r="A242" s="8"/>
      <c r="B242" s="8"/>
      <c r="C242" s="8"/>
      <c r="D242" s="8"/>
      <c r="E242" s="8"/>
      <c r="F242" s="8"/>
      <c r="G242" s="8"/>
      <c r="H242" s="13"/>
      <c r="I242" s="8"/>
      <c r="J242" s="13"/>
      <c r="K242" s="14" t="str">
        <f t="shared" si="3"/>
        <v/>
      </c>
      <c r="L242" s="10"/>
      <c r="M242" s="10"/>
      <c r="N242" s="10"/>
      <c r="O242" s="10"/>
      <c r="P242" s="8"/>
      <c r="Q242" s="8"/>
      <c r="R242" s="8"/>
      <c r="S242" s="10"/>
      <c r="T242" s="8"/>
    </row>
    <row r="243" spans="1:20">
      <c r="A243" s="8"/>
      <c r="B243" s="8"/>
      <c r="C243" s="8"/>
      <c r="D243" s="8"/>
      <c r="E243" s="8"/>
      <c r="F243" s="8"/>
      <c r="G243" s="8"/>
      <c r="H243" s="13"/>
      <c r="I243" s="8"/>
      <c r="J243" s="13"/>
      <c r="K243" s="14" t="str">
        <f t="shared" si="3"/>
        <v/>
      </c>
      <c r="L243" s="10"/>
      <c r="M243" s="10"/>
      <c r="N243" s="10"/>
      <c r="O243" s="10"/>
      <c r="P243" s="8"/>
      <c r="Q243" s="8"/>
      <c r="R243" s="8"/>
      <c r="S243" s="10"/>
      <c r="T243" s="8"/>
    </row>
    <row r="244" spans="1:20">
      <c r="A244" s="8"/>
      <c r="B244" s="8"/>
      <c r="C244" s="8"/>
      <c r="D244" s="8"/>
      <c r="E244" s="8"/>
      <c r="F244" s="8"/>
      <c r="G244" s="8"/>
      <c r="H244" s="13"/>
      <c r="I244" s="8"/>
      <c r="J244" s="13"/>
      <c r="K244" s="14" t="str">
        <f t="shared" si="3"/>
        <v/>
      </c>
      <c r="L244" s="10"/>
      <c r="M244" s="10"/>
      <c r="N244" s="10"/>
      <c r="O244" s="10"/>
      <c r="P244" s="8"/>
      <c r="Q244" s="8"/>
      <c r="R244" s="8"/>
      <c r="S244" s="10"/>
      <c r="T244" s="8"/>
    </row>
    <row r="245" spans="1:20">
      <c r="A245" s="8"/>
      <c r="B245" s="8"/>
      <c r="C245" s="8"/>
      <c r="D245" s="8"/>
      <c r="E245" s="8"/>
      <c r="F245" s="8"/>
      <c r="G245" s="8"/>
      <c r="H245" s="13"/>
      <c r="I245" s="8"/>
      <c r="J245" s="13"/>
      <c r="K245" s="14" t="str">
        <f t="shared" si="3"/>
        <v/>
      </c>
      <c r="L245" s="10"/>
      <c r="M245" s="10"/>
      <c r="N245" s="10"/>
      <c r="O245" s="10"/>
      <c r="P245" s="8"/>
      <c r="Q245" s="8"/>
      <c r="R245" s="8"/>
      <c r="S245" s="10"/>
      <c r="T245" s="8"/>
    </row>
    <row r="246" spans="1:20">
      <c r="A246" s="8"/>
      <c r="B246" s="8"/>
      <c r="C246" s="8"/>
      <c r="D246" s="8"/>
      <c r="E246" s="8"/>
      <c r="F246" s="8"/>
      <c r="G246" s="8"/>
      <c r="H246" s="13"/>
      <c r="I246" s="8"/>
      <c r="J246" s="13"/>
      <c r="K246" s="14" t="str">
        <f t="shared" si="3"/>
        <v/>
      </c>
      <c r="L246" s="10"/>
      <c r="M246" s="10"/>
      <c r="N246" s="10"/>
      <c r="O246" s="10"/>
      <c r="P246" s="8"/>
      <c r="Q246" s="8"/>
      <c r="R246" s="8"/>
      <c r="S246" s="10"/>
      <c r="T246" s="8"/>
    </row>
    <row r="247" spans="1:20">
      <c r="A247" s="8"/>
      <c r="B247" s="8"/>
      <c r="C247" s="8"/>
      <c r="D247" s="8"/>
      <c r="E247" s="8"/>
      <c r="F247" s="8"/>
      <c r="G247" s="8"/>
      <c r="H247" s="13"/>
      <c r="I247" s="8"/>
      <c r="J247" s="13"/>
      <c r="K247" s="14" t="str">
        <f t="shared" si="3"/>
        <v/>
      </c>
      <c r="L247" s="10"/>
      <c r="M247" s="10"/>
      <c r="N247" s="10"/>
      <c r="O247" s="10"/>
      <c r="P247" s="8"/>
      <c r="Q247" s="8"/>
      <c r="R247" s="8"/>
      <c r="S247" s="10"/>
      <c r="T247" s="8"/>
    </row>
    <row r="248" spans="1:20">
      <c r="A248" s="8"/>
      <c r="B248" s="8"/>
      <c r="C248" s="8"/>
      <c r="D248" s="8"/>
      <c r="E248" s="8"/>
      <c r="F248" s="8"/>
      <c r="G248" s="8"/>
      <c r="H248" s="13"/>
      <c r="I248" s="8"/>
      <c r="J248" s="13"/>
      <c r="K248" s="14" t="str">
        <f t="shared" si="3"/>
        <v/>
      </c>
      <c r="L248" s="10"/>
      <c r="M248" s="10"/>
      <c r="N248" s="10"/>
      <c r="O248" s="10"/>
      <c r="P248" s="8"/>
      <c r="Q248" s="8"/>
      <c r="R248" s="8"/>
      <c r="S248" s="10"/>
      <c r="T248" s="8"/>
    </row>
    <row r="249" spans="1:20">
      <c r="A249" s="8"/>
      <c r="B249" s="8"/>
      <c r="C249" s="8"/>
      <c r="D249" s="8"/>
      <c r="E249" s="8"/>
      <c r="F249" s="8"/>
      <c r="G249" s="8"/>
      <c r="H249" s="13"/>
      <c r="I249" s="8"/>
      <c r="J249" s="13"/>
      <c r="K249" s="14" t="str">
        <f t="shared" si="3"/>
        <v/>
      </c>
      <c r="L249" s="10"/>
      <c r="M249" s="10"/>
      <c r="N249" s="10"/>
      <c r="O249" s="10"/>
      <c r="P249" s="8"/>
      <c r="Q249" s="8"/>
      <c r="R249" s="8"/>
      <c r="S249" s="10"/>
      <c r="T249" s="8"/>
    </row>
    <row r="250" spans="1:20">
      <c r="A250" s="8"/>
      <c r="B250" s="8"/>
      <c r="C250" s="8"/>
      <c r="D250" s="8"/>
      <c r="E250" s="8"/>
      <c r="F250" s="8"/>
      <c r="G250" s="8"/>
      <c r="H250" s="13"/>
      <c r="I250" s="8"/>
      <c r="J250" s="13"/>
      <c r="K250" s="14" t="str">
        <f t="shared" si="3"/>
        <v/>
      </c>
      <c r="L250" s="10"/>
      <c r="M250" s="10"/>
      <c r="N250" s="10"/>
      <c r="O250" s="10"/>
      <c r="P250" s="8"/>
      <c r="Q250" s="8"/>
      <c r="R250" s="8"/>
      <c r="S250" s="10"/>
      <c r="T250" s="8"/>
    </row>
    <row r="251" spans="1:20">
      <c r="A251" s="8"/>
      <c r="B251" s="8"/>
      <c r="C251" s="8"/>
      <c r="D251" s="8"/>
      <c r="E251" s="8"/>
      <c r="F251" s="8"/>
      <c r="G251" s="8"/>
      <c r="H251" s="13"/>
      <c r="I251" s="8"/>
      <c r="J251" s="13"/>
      <c r="K251" s="14" t="str">
        <f t="shared" si="3"/>
        <v/>
      </c>
      <c r="L251" s="10"/>
      <c r="M251" s="10"/>
      <c r="N251" s="10"/>
      <c r="O251" s="10"/>
      <c r="P251" s="8"/>
      <c r="Q251" s="8"/>
      <c r="R251" s="8"/>
      <c r="S251" s="10"/>
      <c r="T251" s="8"/>
    </row>
    <row r="252" spans="1:20">
      <c r="A252" s="8"/>
      <c r="B252" s="8"/>
      <c r="C252" s="8"/>
      <c r="D252" s="8"/>
      <c r="E252" s="8"/>
      <c r="F252" s="8"/>
      <c r="G252" s="8"/>
      <c r="H252" s="13"/>
      <c r="I252" s="8"/>
      <c r="J252" s="13"/>
      <c r="K252" s="14" t="str">
        <f t="shared" si="3"/>
        <v/>
      </c>
      <c r="L252" s="10"/>
      <c r="M252" s="10"/>
      <c r="N252" s="10"/>
      <c r="O252" s="10"/>
      <c r="P252" s="8"/>
      <c r="Q252" s="8"/>
      <c r="R252" s="8"/>
      <c r="S252" s="10"/>
      <c r="T252" s="8"/>
    </row>
    <row r="253" spans="1:20">
      <c r="A253" s="8"/>
      <c r="B253" s="8"/>
      <c r="C253" s="8"/>
      <c r="D253" s="8"/>
      <c r="E253" s="8"/>
      <c r="F253" s="8"/>
      <c r="G253" s="8"/>
      <c r="H253" s="13"/>
      <c r="I253" s="8"/>
      <c r="J253" s="13"/>
      <c r="K253" s="14" t="str">
        <f t="shared" si="3"/>
        <v/>
      </c>
      <c r="L253" s="10"/>
      <c r="M253" s="10"/>
      <c r="N253" s="10"/>
      <c r="O253" s="10"/>
      <c r="P253" s="8"/>
      <c r="Q253" s="8"/>
      <c r="R253" s="8"/>
      <c r="S253" s="10"/>
      <c r="T253" s="8"/>
    </row>
    <row r="254" spans="1:20">
      <c r="A254" s="8"/>
      <c r="B254" s="8"/>
      <c r="C254" s="8"/>
      <c r="D254" s="8"/>
      <c r="E254" s="8"/>
      <c r="F254" s="8"/>
      <c r="G254" s="8"/>
      <c r="H254" s="13"/>
      <c r="I254" s="8"/>
      <c r="J254" s="13"/>
      <c r="K254" s="14" t="str">
        <f t="shared" si="3"/>
        <v/>
      </c>
      <c r="L254" s="10"/>
      <c r="M254" s="10"/>
      <c r="N254" s="10"/>
      <c r="O254" s="10"/>
      <c r="P254" s="8"/>
      <c r="Q254" s="8"/>
      <c r="R254" s="8"/>
      <c r="S254" s="10"/>
      <c r="T254" s="8"/>
    </row>
    <row r="255" spans="1:20">
      <c r="A255" s="8"/>
      <c r="B255" s="8"/>
      <c r="C255" s="8"/>
      <c r="D255" s="8"/>
      <c r="E255" s="8"/>
      <c r="F255" s="8"/>
      <c r="G255" s="8"/>
      <c r="H255" s="13"/>
      <c r="I255" s="8"/>
      <c r="J255" s="13"/>
      <c r="K255" s="14" t="str">
        <f t="shared" si="3"/>
        <v/>
      </c>
      <c r="L255" s="10"/>
      <c r="M255" s="10"/>
      <c r="N255" s="10"/>
      <c r="O255" s="10"/>
      <c r="P255" s="8"/>
      <c r="Q255" s="8"/>
      <c r="R255" s="8"/>
      <c r="S255" s="10"/>
      <c r="T255" s="8"/>
    </row>
    <row r="256" spans="1:20">
      <c r="A256" s="8"/>
      <c r="B256" s="8"/>
      <c r="C256" s="8"/>
      <c r="D256" s="8"/>
      <c r="E256" s="8"/>
      <c r="F256" s="8"/>
      <c r="G256" s="8"/>
      <c r="H256" s="13"/>
      <c r="I256" s="8"/>
      <c r="J256" s="13"/>
      <c r="K256" s="14" t="str">
        <f t="shared" si="3"/>
        <v/>
      </c>
      <c r="L256" s="10"/>
      <c r="M256" s="10"/>
      <c r="N256" s="10"/>
      <c r="O256" s="10"/>
      <c r="P256" s="8"/>
      <c r="Q256" s="8"/>
      <c r="R256" s="8"/>
      <c r="S256" s="10"/>
      <c r="T256" s="8"/>
    </row>
    <row r="257" spans="1:20">
      <c r="A257" s="8"/>
      <c r="B257" s="8"/>
      <c r="C257" s="8"/>
      <c r="D257" s="8"/>
      <c r="E257" s="8"/>
      <c r="F257" s="8"/>
      <c r="G257" s="8"/>
      <c r="H257" s="13"/>
      <c r="I257" s="8"/>
      <c r="J257" s="13"/>
      <c r="K257" s="14" t="str">
        <f t="shared" si="3"/>
        <v/>
      </c>
      <c r="L257" s="10"/>
      <c r="M257" s="10"/>
      <c r="N257" s="10"/>
      <c r="O257" s="10"/>
      <c r="P257" s="8"/>
      <c r="Q257" s="8"/>
      <c r="R257" s="8"/>
      <c r="S257" s="10"/>
      <c r="T257" s="8"/>
    </row>
    <row r="258" spans="1:20">
      <c r="A258" s="8"/>
      <c r="B258" s="8"/>
      <c r="C258" s="8"/>
      <c r="D258" s="8"/>
      <c r="E258" s="8"/>
      <c r="F258" s="8"/>
      <c r="G258" s="8"/>
      <c r="H258" s="13"/>
      <c r="I258" s="8"/>
      <c r="J258" s="13"/>
      <c r="K258" s="14" t="str">
        <f t="shared" si="3"/>
        <v/>
      </c>
      <c r="L258" s="10"/>
      <c r="M258" s="10"/>
      <c r="N258" s="10"/>
      <c r="O258" s="10"/>
      <c r="P258" s="8"/>
      <c r="Q258" s="8"/>
      <c r="R258" s="8"/>
      <c r="S258" s="10"/>
      <c r="T258" s="8"/>
    </row>
    <row r="259" spans="1:20">
      <c r="A259" s="8"/>
      <c r="B259" s="8"/>
      <c r="C259" s="8"/>
      <c r="D259" s="8"/>
      <c r="E259" s="8"/>
      <c r="F259" s="8"/>
      <c r="G259" s="8"/>
      <c r="H259" s="13"/>
      <c r="I259" s="8"/>
      <c r="J259" s="13"/>
      <c r="K259" s="14" t="str">
        <f t="shared" si="3"/>
        <v/>
      </c>
      <c r="L259" s="10"/>
      <c r="M259" s="10"/>
      <c r="N259" s="10"/>
      <c r="O259" s="10"/>
      <c r="P259" s="8"/>
      <c r="Q259" s="8"/>
      <c r="R259" s="8"/>
      <c r="S259" s="10"/>
      <c r="T259" s="8"/>
    </row>
    <row r="260" spans="1:20">
      <c r="A260" s="8"/>
      <c r="B260" s="8"/>
      <c r="C260" s="8"/>
      <c r="D260" s="8"/>
      <c r="E260" s="8"/>
      <c r="F260" s="8"/>
      <c r="G260" s="8"/>
      <c r="H260" s="13"/>
      <c r="I260" s="8"/>
      <c r="J260" s="13"/>
      <c r="K260" s="14" t="str">
        <f t="shared" si="3"/>
        <v/>
      </c>
      <c r="L260" s="10"/>
      <c r="M260" s="10"/>
      <c r="N260" s="10"/>
      <c r="O260" s="10"/>
      <c r="P260" s="8"/>
      <c r="Q260" s="8"/>
      <c r="R260" s="8"/>
      <c r="S260" s="10"/>
      <c r="T260" s="8"/>
    </row>
    <row r="261" spans="1:20">
      <c r="A261" s="8"/>
      <c r="B261" s="8"/>
      <c r="C261" s="8"/>
      <c r="D261" s="8"/>
      <c r="E261" s="8"/>
      <c r="F261" s="8"/>
      <c r="G261" s="8"/>
      <c r="H261" s="13"/>
      <c r="I261" s="8"/>
      <c r="J261" s="13"/>
      <c r="K261" s="14" t="str">
        <f t="shared" ref="K261:K324" si="4">IF(A261="","",H261*J261)</f>
        <v/>
      </c>
      <c r="L261" s="10"/>
      <c r="M261" s="10"/>
      <c r="N261" s="10"/>
      <c r="O261" s="10"/>
      <c r="P261" s="8"/>
      <c r="Q261" s="8"/>
      <c r="R261" s="8"/>
      <c r="S261" s="10"/>
      <c r="T261" s="8"/>
    </row>
    <row r="262" spans="1:20">
      <c r="A262" s="8"/>
      <c r="B262" s="8"/>
      <c r="C262" s="8"/>
      <c r="D262" s="8"/>
      <c r="E262" s="8"/>
      <c r="F262" s="8"/>
      <c r="G262" s="8"/>
      <c r="H262" s="13"/>
      <c r="I262" s="8"/>
      <c r="J262" s="13"/>
      <c r="K262" s="14" t="str">
        <f t="shared" si="4"/>
        <v/>
      </c>
      <c r="L262" s="10"/>
      <c r="M262" s="10"/>
      <c r="N262" s="10"/>
      <c r="O262" s="10"/>
      <c r="P262" s="8"/>
      <c r="Q262" s="8"/>
      <c r="R262" s="8"/>
      <c r="S262" s="10"/>
      <c r="T262" s="8"/>
    </row>
    <row r="263" spans="1:20">
      <c r="A263" s="8"/>
      <c r="B263" s="8"/>
      <c r="C263" s="8"/>
      <c r="D263" s="8"/>
      <c r="E263" s="8"/>
      <c r="F263" s="8"/>
      <c r="G263" s="8"/>
      <c r="H263" s="13"/>
      <c r="I263" s="8"/>
      <c r="J263" s="13"/>
      <c r="K263" s="14" t="str">
        <f t="shared" si="4"/>
        <v/>
      </c>
      <c r="L263" s="10"/>
      <c r="M263" s="10"/>
      <c r="N263" s="10"/>
      <c r="O263" s="10"/>
      <c r="P263" s="8"/>
      <c r="Q263" s="8"/>
      <c r="R263" s="8"/>
      <c r="S263" s="10"/>
      <c r="T263" s="8"/>
    </row>
    <row r="264" spans="1:20">
      <c r="A264" s="8"/>
      <c r="B264" s="8"/>
      <c r="C264" s="8"/>
      <c r="D264" s="8"/>
      <c r="E264" s="8"/>
      <c r="F264" s="8"/>
      <c r="G264" s="8"/>
      <c r="H264" s="13"/>
      <c r="I264" s="8"/>
      <c r="J264" s="13"/>
      <c r="K264" s="14" t="str">
        <f t="shared" si="4"/>
        <v/>
      </c>
      <c r="L264" s="10"/>
      <c r="M264" s="10"/>
      <c r="N264" s="10"/>
      <c r="O264" s="10"/>
      <c r="P264" s="8"/>
      <c r="Q264" s="8"/>
      <c r="R264" s="8"/>
      <c r="S264" s="10"/>
      <c r="T264" s="8"/>
    </row>
    <row r="265" spans="1:20">
      <c r="A265" s="8"/>
      <c r="B265" s="8"/>
      <c r="C265" s="8"/>
      <c r="D265" s="8"/>
      <c r="E265" s="8"/>
      <c r="F265" s="8"/>
      <c r="G265" s="8"/>
      <c r="H265" s="13"/>
      <c r="I265" s="8"/>
      <c r="J265" s="13"/>
      <c r="K265" s="14" t="str">
        <f t="shared" si="4"/>
        <v/>
      </c>
      <c r="L265" s="10"/>
      <c r="M265" s="10"/>
      <c r="N265" s="10"/>
      <c r="O265" s="10"/>
      <c r="P265" s="8"/>
      <c r="Q265" s="8"/>
      <c r="R265" s="8"/>
      <c r="S265" s="10"/>
      <c r="T265" s="8"/>
    </row>
    <row r="266" spans="1:20">
      <c r="A266" s="8"/>
      <c r="B266" s="8"/>
      <c r="C266" s="8"/>
      <c r="D266" s="8"/>
      <c r="E266" s="8"/>
      <c r="F266" s="8"/>
      <c r="G266" s="8"/>
      <c r="H266" s="13"/>
      <c r="I266" s="8"/>
      <c r="J266" s="13"/>
      <c r="K266" s="14" t="str">
        <f t="shared" si="4"/>
        <v/>
      </c>
      <c r="L266" s="10"/>
      <c r="M266" s="10"/>
      <c r="N266" s="10"/>
      <c r="O266" s="10"/>
      <c r="P266" s="8"/>
      <c r="Q266" s="8"/>
      <c r="R266" s="8"/>
      <c r="S266" s="10"/>
      <c r="T266" s="8"/>
    </row>
    <row r="267" spans="1:20">
      <c r="A267" s="8"/>
      <c r="B267" s="8"/>
      <c r="C267" s="8"/>
      <c r="D267" s="8"/>
      <c r="E267" s="8"/>
      <c r="F267" s="8"/>
      <c r="G267" s="8"/>
      <c r="H267" s="13"/>
      <c r="I267" s="8"/>
      <c r="J267" s="13"/>
      <c r="K267" s="14" t="str">
        <f t="shared" si="4"/>
        <v/>
      </c>
      <c r="L267" s="10"/>
      <c r="M267" s="10"/>
      <c r="N267" s="10"/>
      <c r="O267" s="10"/>
      <c r="P267" s="8"/>
      <c r="Q267" s="8"/>
      <c r="R267" s="8"/>
      <c r="S267" s="10"/>
      <c r="T267" s="8"/>
    </row>
    <row r="268" spans="1:20">
      <c r="A268" s="8"/>
      <c r="B268" s="8"/>
      <c r="C268" s="8"/>
      <c r="D268" s="8"/>
      <c r="E268" s="8"/>
      <c r="F268" s="8"/>
      <c r="G268" s="8"/>
      <c r="H268" s="13"/>
      <c r="I268" s="8"/>
      <c r="J268" s="13"/>
      <c r="K268" s="14" t="str">
        <f t="shared" si="4"/>
        <v/>
      </c>
      <c r="L268" s="10"/>
      <c r="M268" s="10"/>
      <c r="N268" s="10"/>
      <c r="O268" s="10"/>
      <c r="P268" s="8"/>
      <c r="Q268" s="8"/>
      <c r="R268" s="8"/>
      <c r="S268" s="10"/>
      <c r="T268" s="8"/>
    </row>
    <row r="269" spans="1:20">
      <c r="A269" s="8"/>
      <c r="B269" s="8"/>
      <c r="C269" s="8"/>
      <c r="D269" s="8"/>
      <c r="E269" s="8"/>
      <c r="F269" s="8"/>
      <c r="G269" s="8"/>
      <c r="H269" s="13"/>
      <c r="I269" s="8"/>
      <c r="J269" s="13"/>
      <c r="K269" s="14" t="str">
        <f t="shared" si="4"/>
        <v/>
      </c>
      <c r="L269" s="10"/>
      <c r="M269" s="10"/>
      <c r="N269" s="10"/>
      <c r="O269" s="10"/>
      <c r="P269" s="8"/>
      <c r="Q269" s="8"/>
      <c r="R269" s="8"/>
      <c r="S269" s="10"/>
      <c r="T269" s="8"/>
    </row>
    <row r="270" spans="1:20">
      <c r="A270" s="8"/>
      <c r="B270" s="8"/>
      <c r="C270" s="8"/>
      <c r="D270" s="8"/>
      <c r="E270" s="8"/>
      <c r="F270" s="8"/>
      <c r="G270" s="8"/>
      <c r="H270" s="13"/>
      <c r="I270" s="8"/>
      <c r="J270" s="13"/>
      <c r="K270" s="14" t="str">
        <f t="shared" si="4"/>
        <v/>
      </c>
      <c r="L270" s="10"/>
      <c r="M270" s="10"/>
      <c r="N270" s="10"/>
      <c r="O270" s="10"/>
      <c r="P270" s="8"/>
      <c r="Q270" s="8"/>
      <c r="R270" s="8"/>
      <c r="S270" s="10"/>
      <c r="T270" s="8"/>
    </row>
    <row r="271" spans="1:20">
      <c r="A271" s="8"/>
      <c r="B271" s="8"/>
      <c r="C271" s="8"/>
      <c r="D271" s="8"/>
      <c r="E271" s="8"/>
      <c r="F271" s="8"/>
      <c r="G271" s="8"/>
      <c r="H271" s="13"/>
      <c r="I271" s="8"/>
      <c r="J271" s="13"/>
      <c r="K271" s="14" t="str">
        <f t="shared" si="4"/>
        <v/>
      </c>
      <c r="L271" s="10"/>
      <c r="M271" s="10"/>
      <c r="N271" s="10"/>
      <c r="O271" s="10"/>
      <c r="P271" s="8"/>
      <c r="Q271" s="8"/>
      <c r="R271" s="8"/>
      <c r="S271" s="10"/>
      <c r="T271" s="8"/>
    </row>
    <row r="272" spans="1:20">
      <c r="A272" s="8"/>
      <c r="B272" s="8"/>
      <c r="C272" s="8"/>
      <c r="D272" s="8"/>
      <c r="E272" s="8"/>
      <c r="F272" s="8"/>
      <c r="G272" s="8"/>
      <c r="H272" s="13"/>
      <c r="I272" s="8"/>
      <c r="J272" s="13"/>
      <c r="K272" s="14" t="str">
        <f t="shared" si="4"/>
        <v/>
      </c>
      <c r="L272" s="10"/>
      <c r="M272" s="10"/>
      <c r="N272" s="10"/>
      <c r="O272" s="10"/>
      <c r="P272" s="8"/>
      <c r="Q272" s="8"/>
      <c r="R272" s="8"/>
      <c r="S272" s="10"/>
      <c r="T272" s="8"/>
    </row>
    <row r="273" spans="1:20">
      <c r="A273" s="8"/>
      <c r="B273" s="8"/>
      <c r="C273" s="8"/>
      <c r="D273" s="8"/>
      <c r="E273" s="8"/>
      <c r="F273" s="8"/>
      <c r="G273" s="8"/>
      <c r="H273" s="13"/>
      <c r="I273" s="8"/>
      <c r="J273" s="13"/>
      <c r="K273" s="14" t="str">
        <f t="shared" si="4"/>
        <v/>
      </c>
      <c r="L273" s="10"/>
      <c r="M273" s="10"/>
      <c r="N273" s="10"/>
      <c r="O273" s="10"/>
      <c r="P273" s="8"/>
      <c r="Q273" s="8"/>
      <c r="R273" s="8"/>
      <c r="S273" s="10"/>
      <c r="T273" s="8"/>
    </row>
    <row r="274" spans="1:20">
      <c r="A274" s="8"/>
      <c r="B274" s="8"/>
      <c r="C274" s="8"/>
      <c r="D274" s="8"/>
      <c r="E274" s="8"/>
      <c r="F274" s="8"/>
      <c r="G274" s="8"/>
      <c r="H274" s="13"/>
      <c r="I274" s="8"/>
      <c r="J274" s="13"/>
      <c r="K274" s="14" t="str">
        <f t="shared" si="4"/>
        <v/>
      </c>
      <c r="L274" s="10"/>
      <c r="M274" s="10"/>
      <c r="N274" s="10"/>
      <c r="O274" s="10"/>
      <c r="P274" s="8"/>
      <c r="Q274" s="8"/>
      <c r="R274" s="8"/>
      <c r="S274" s="10"/>
      <c r="T274" s="8"/>
    </row>
    <row r="275" spans="1:20">
      <c r="A275" s="8"/>
      <c r="B275" s="8"/>
      <c r="C275" s="8"/>
      <c r="D275" s="8"/>
      <c r="E275" s="8"/>
      <c r="F275" s="8"/>
      <c r="G275" s="8"/>
      <c r="H275" s="13"/>
      <c r="I275" s="8"/>
      <c r="J275" s="13"/>
      <c r="K275" s="14" t="str">
        <f t="shared" si="4"/>
        <v/>
      </c>
      <c r="L275" s="10"/>
      <c r="M275" s="10"/>
      <c r="N275" s="10"/>
      <c r="O275" s="10"/>
      <c r="P275" s="8"/>
      <c r="Q275" s="8"/>
      <c r="R275" s="8"/>
      <c r="S275" s="10"/>
      <c r="T275" s="8"/>
    </row>
    <row r="276" spans="1:20">
      <c r="A276" s="8"/>
      <c r="B276" s="8"/>
      <c r="C276" s="8"/>
      <c r="D276" s="8"/>
      <c r="E276" s="8"/>
      <c r="F276" s="8"/>
      <c r="G276" s="8"/>
      <c r="H276" s="13"/>
      <c r="I276" s="8"/>
      <c r="J276" s="13"/>
      <c r="K276" s="14" t="str">
        <f t="shared" si="4"/>
        <v/>
      </c>
      <c r="L276" s="10"/>
      <c r="M276" s="10"/>
      <c r="N276" s="10"/>
      <c r="O276" s="10"/>
      <c r="P276" s="8"/>
      <c r="Q276" s="8"/>
      <c r="R276" s="8"/>
      <c r="S276" s="10"/>
      <c r="T276" s="8"/>
    </row>
    <row r="277" spans="1:20">
      <c r="A277" s="8"/>
      <c r="B277" s="8"/>
      <c r="C277" s="8"/>
      <c r="D277" s="8"/>
      <c r="E277" s="8"/>
      <c r="F277" s="8"/>
      <c r="G277" s="8"/>
      <c r="H277" s="13"/>
      <c r="I277" s="8"/>
      <c r="J277" s="13"/>
      <c r="K277" s="14" t="str">
        <f t="shared" si="4"/>
        <v/>
      </c>
      <c r="L277" s="10"/>
      <c r="M277" s="10"/>
      <c r="N277" s="10"/>
      <c r="O277" s="10"/>
      <c r="P277" s="8"/>
      <c r="Q277" s="8"/>
      <c r="R277" s="8"/>
      <c r="S277" s="10"/>
      <c r="T277" s="8"/>
    </row>
    <row r="278" spans="1:20">
      <c r="A278" s="8"/>
      <c r="B278" s="8"/>
      <c r="C278" s="8"/>
      <c r="D278" s="8"/>
      <c r="E278" s="8"/>
      <c r="F278" s="8"/>
      <c r="G278" s="8"/>
      <c r="H278" s="13"/>
      <c r="I278" s="8"/>
      <c r="J278" s="13"/>
      <c r="K278" s="14" t="str">
        <f t="shared" si="4"/>
        <v/>
      </c>
      <c r="L278" s="10"/>
      <c r="M278" s="10"/>
      <c r="N278" s="10"/>
      <c r="O278" s="10"/>
      <c r="P278" s="8"/>
      <c r="Q278" s="8"/>
      <c r="R278" s="8"/>
      <c r="S278" s="10"/>
      <c r="T278" s="8"/>
    </row>
    <row r="279" spans="1:20">
      <c r="A279" s="8"/>
      <c r="B279" s="8"/>
      <c r="C279" s="8"/>
      <c r="D279" s="8"/>
      <c r="E279" s="8"/>
      <c r="F279" s="8"/>
      <c r="G279" s="8"/>
      <c r="H279" s="13"/>
      <c r="I279" s="8"/>
      <c r="J279" s="13"/>
      <c r="K279" s="14" t="str">
        <f t="shared" si="4"/>
        <v/>
      </c>
      <c r="L279" s="10"/>
      <c r="M279" s="10"/>
      <c r="N279" s="10"/>
      <c r="O279" s="10"/>
      <c r="P279" s="8"/>
      <c r="Q279" s="8"/>
      <c r="R279" s="8"/>
      <c r="S279" s="10"/>
      <c r="T279" s="8"/>
    </row>
    <row r="280" spans="1:20">
      <c r="A280" s="8"/>
      <c r="B280" s="8"/>
      <c r="C280" s="8"/>
      <c r="D280" s="8"/>
      <c r="E280" s="8"/>
      <c r="F280" s="8"/>
      <c r="G280" s="8"/>
      <c r="H280" s="13"/>
      <c r="I280" s="8"/>
      <c r="J280" s="13"/>
      <c r="K280" s="14" t="str">
        <f t="shared" si="4"/>
        <v/>
      </c>
      <c r="L280" s="10"/>
      <c r="M280" s="10"/>
      <c r="N280" s="10"/>
      <c r="O280" s="10"/>
      <c r="P280" s="8"/>
      <c r="Q280" s="8"/>
      <c r="R280" s="8"/>
      <c r="S280" s="10"/>
      <c r="T280" s="8"/>
    </row>
    <row r="281" spans="1:20">
      <c r="A281" s="8"/>
      <c r="B281" s="8"/>
      <c r="C281" s="8"/>
      <c r="D281" s="8"/>
      <c r="E281" s="8"/>
      <c r="F281" s="8"/>
      <c r="G281" s="8"/>
      <c r="H281" s="13"/>
      <c r="I281" s="8"/>
      <c r="J281" s="13"/>
      <c r="K281" s="14" t="str">
        <f t="shared" si="4"/>
        <v/>
      </c>
      <c r="L281" s="10"/>
      <c r="M281" s="10"/>
      <c r="N281" s="10"/>
      <c r="O281" s="10"/>
      <c r="P281" s="8"/>
      <c r="Q281" s="8"/>
      <c r="R281" s="8"/>
      <c r="S281" s="10"/>
      <c r="T281" s="8"/>
    </row>
    <row r="282" spans="1:20">
      <c r="A282" s="8"/>
      <c r="B282" s="8"/>
      <c r="C282" s="8"/>
      <c r="D282" s="8"/>
      <c r="E282" s="8"/>
      <c r="F282" s="8"/>
      <c r="G282" s="8"/>
      <c r="H282" s="13"/>
      <c r="I282" s="8"/>
      <c r="J282" s="13"/>
      <c r="K282" s="14" t="str">
        <f t="shared" si="4"/>
        <v/>
      </c>
      <c r="L282" s="10"/>
      <c r="M282" s="10"/>
      <c r="N282" s="10"/>
      <c r="O282" s="10"/>
      <c r="P282" s="8"/>
      <c r="Q282" s="8"/>
      <c r="R282" s="8"/>
      <c r="S282" s="10"/>
      <c r="T282" s="8"/>
    </row>
    <row r="283" spans="1:20">
      <c r="A283" s="8"/>
      <c r="B283" s="8"/>
      <c r="C283" s="8"/>
      <c r="D283" s="8"/>
      <c r="E283" s="8"/>
      <c r="F283" s="8"/>
      <c r="G283" s="8"/>
      <c r="H283" s="13"/>
      <c r="I283" s="8"/>
      <c r="J283" s="13"/>
      <c r="K283" s="14" t="str">
        <f t="shared" si="4"/>
        <v/>
      </c>
      <c r="L283" s="10"/>
      <c r="M283" s="10"/>
      <c r="N283" s="10"/>
      <c r="O283" s="10"/>
      <c r="P283" s="8"/>
      <c r="Q283" s="8"/>
      <c r="R283" s="8"/>
      <c r="S283" s="10"/>
      <c r="T283" s="8"/>
    </row>
    <row r="284" spans="1:20">
      <c r="A284" s="8"/>
      <c r="B284" s="8"/>
      <c r="C284" s="8"/>
      <c r="D284" s="8"/>
      <c r="E284" s="8"/>
      <c r="F284" s="8"/>
      <c r="G284" s="8"/>
      <c r="H284" s="13"/>
      <c r="I284" s="8"/>
      <c r="J284" s="13"/>
      <c r="K284" s="14" t="str">
        <f t="shared" si="4"/>
        <v/>
      </c>
      <c r="L284" s="10"/>
      <c r="M284" s="10"/>
      <c r="N284" s="10"/>
      <c r="O284" s="10"/>
      <c r="P284" s="8"/>
      <c r="Q284" s="8"/>
      <c r="R284" s="8"/>
      <c r="S284" s="10"/>
      <c r="T284" s="8"/>
    </row>
    <row r="285" spans="1:20">
      <c r="A285" s="8"/>
      <c r="B285" s="8"/>
      <c r="C285" s="8"/>
      <c r="D285" s="8"/>
      <c r="E285" s="8"/>
      <c r="F285" s="8"/>
      <c r="G285" s="8"/>
      <c r="H285" s="13"/>
      <c r="I285" s="8"/>
      <c r="J285" s="13"/>
      <c r="K285" s="14" t="str">
        <f t="shared" si="4"/>
        <v/>
      </c>
      <c r="L285" s="10"/>
      <c r="M285" s="10"/>
      <c r="N285" s="10"/>
      <c r="O285" s="10"/>
      <c r="P285" s="8"/>
      <c r="Q285" s="8"/>
      <c r="R285" s="8"/>
      <c r="S285" s="10"/>
      <c r="T285" s="8"/>
    </row>
    <row r="286" spans="1:20">
      <c r="A286" s="8"/>
      <c r="B286" s="8"/>
      <c r="C286" s="8"/>
      <c r="D286" s="8"/>
      <c r="E286" s="8"/>
      <c r="F286" s="8"/>
      <c r="G286" s="8"/>
      <c r="H286" s="13"/>
      <c r="I286" s="8"/>
      <c r="J286" s="13"/>
      <c r="K286" s="14" t="str">
        <f t="shared" si="4"/>
        <v/>
      </c>
      <c r="L286" s="10"/>
      <c r="M286" s="10"/>
      <c r="N286" s="10"/>
      <c r="O286" s="10"/>
      <c r="P286" s="8"/>
      <c r="Q286" s="8"/>
      <c r="R286" s="8"/>
      <c r="S286" s="10"/>
      <c r="T286" s="8"/>
    </row>
    <row r="287" spans="1:20">
      <c r="A287" s="8"/>
      <c r="B287" s="8"/>
      <c r="C287" s="8"/>
      <c r="D287" s="8"/>
      <c r="E287" s="8"/>
      <c r="F287" s="8"/>
      <c r="G287" s="8"/>
      <c r="H287" s="13"/>
      <c r="I287" s="8"/>
      <c r="J287" s="13"/>
      <c r="K287" s="14" t="str">
        <f t="shared" si="4"/>
        <v/>
      </c>
      <c r="L287" s="10"/>
      <c r="M287" s="10"/>
      <c r="N287" s="10"/>
      <c r="O287" s="10"/>
      <c r="P287" s="8"/>
      <c r="Q287" s="8"/>
      <c r="R287" s="8"/>
      <c r="S287" s="10"/>
      <c r="T287" s="8"/>
    </row>
    <row r="288" spans="1:20">
      <c r="A288" s="8"/>
      <c r="B288" s="8"/>
      <c r="C288" s="8"/>
      <c r="D288" s="8"/>
      <c r="E288" s="8"/>
      <c r="F288" s="8"/>
      <c r="G288" s="8"/>
      <c r="H288" s="13"/>
      <c r="I288" s="8"/>
      <c r="J288" s="13"/>
      <c r="K288" s="14" t="str">
        <f t="shared" si="4"/>
        <v/>
      </c>
      <c r="L288" s="10"/>
      <c r="M288" s="10"/>
      <c r="N288" s="10"/>
      <c r="O288" s="10"/>
      <c r="P288" s="8"/>
      <c r="Q288" s="8"/>
      <c r="R288" s="8"/>
      <c r="S288" s="10"/>
      <c r="T288" s="8"/>
    </row>
    <row r="289" spans="1:20">
      <c r="A289" s="8"/>
      <c r="B289" s="8"/>
      <c r="C289" s="8"/>
      <c r="D289" s="8"/>
      <c r="E289" s="8"/>
      <c r="F289" s="8"/>
      <c r="G289" s="8"/>
      <c r="H289" s="13"/>
      <c r="I289" s="8"/>
      <c r="J289" s="13"/>
      <c r="K289" s="14" t="str">
        <f t="shared" si="4"/>
        <v/>
      </c>
      <c r="L289" s="10"/>
      <c r="M289" s="10"/>
      <c r="N289" s="10"/>
      <c r="O289" s="10"/>
      <c r="P289" s="8"/>
      <c r="Q289" s="8"/>
      <c r="R289" s="8"/>
      <c r="S289" s="10"/>
      <c r="T289" s="8"/>
    </row>
    <row r="290" spans="1:20">
      <c r="A290" s="8"/>
      <c r="B290" s="8"/>
      <c r="C290" s="8"/>
      <c r="D290" s="8"/>
      <c r="E290" s="8"/>
      <c r="F290" s="8"/>
      <c r="G290" s="8"/>
      <c r="H290" s="13"/>
      <c r="I290" s="8"/>
      <c r="J290" s="13"/>
      <c r="K290" s="14" t="str">
        <f t="shared" si="4"/>
        <v/>
      </c>
      <c r="L290" s="10"/>
      <c r="M290" s="10"/>
      <c r="N290" s="10"/>
      <c r="O290" s="10"/>
      <c r="P290" s="8"/>
      <c r="Q290" s="8"/>
      <c r="R290" s="8"/>
      <c r="S290" s="10"/>
      <c r="T290" s="8"/>
    </row>
    <row r="291" spans="1:20">
      <c r="A291" s="8"/>
      <c r="B291" s="8"/>
      <c r="C291" s="8"/>
      <c r="D291" s="8"/>
      <c r="E291" s="8"/>
      <c r="F291" s="8"/>
      <c r="G291" s="8"/>
      <c r="H291" s="13"/>
      <c r="I291" s="8"/>
      <c r="J291" s="13"/>
      <c r="K291" s="14" t="str">
        <f t="shared" si="4"/>
        <v/>
      </c>
      <c r="L291" s="10"/>
      <c r="M291" s="10"/>
      <c r="N291" s="10"/>
      <c r="O291" s="10"/>
      <c r="P291" s="8"/>
      <c r="Q291" s="8"/>
      <c r="R291" s="8"/>
      <c r="S291" s="10"/>
      <c r="T291" s="8"/>
    </row>
    <row r="292" spans="1:20">
      <c r="A292" s="8"/>
      <c r="B292" s="8"/>
      <c r="C292" s="8"/>
      <c r="D292" s="8"/>
      <c r="E292" s="8"/>
      <c r="F292" s="8"/>
      <c r="G292" s="8"/>
      <c r="H292" s="13"/>
      <c r="I292" s="8"/>
      <c r="J292" s="13"/>
      <c r="K292" s="14" t="str">
        <f t="shared" si="4"/>
        <v/>
      </c>
      <c r="L292" s="10"/>
      <c r="M292" s="10"/>
      <c r="N292" s="10"/>
      <c r="O292" s="10"/>
      <c r="P292" s="8"/>
      <c r="Q292" s="8"/>
      <c r="R292" s="8"/>
      <c r="S292" s="10"/>
      <c r="T292" s="8"/>
    </row>
    <row r="293" spans="1:20">
      <c r="A293" s="8"/>
      <c r="B293" s="8"/>
      <c r="C293" s="8"/>
      <c r="D293" s="8"/>
      <c r="E293" s="8"/>
      <c r="F293" s="8"/>
      <c r="G293" s="8"/>
      <c r="H293" s="13"/>
      <c r="I293" s="8"/>
      <c r="J293" s="13"/>
      <c r="K293" s="14" t="str">
        <f t="shared" si="4"/>
        <v/>
      </c>
      <c r="L293" s="10"/>
      <c r="M293" s="10"/>
      <c r="N293" s="10"/>
      <c r="O293" s="10"/>
      <c r="P293" s="8"/>
      <c r="Q293" s="8"/>
      <c r="R293" s="8"/>
      <c r="S293" s="10"/>
      <c r="T293" s="8"/>
    </row>
    <row r="294" spans="1:20">
      <c r="A294" s="8"/>
      <c r="B294" s="8"/>
      <c r="C294" s="8"/>
      <c r="D294" s="8"/>
      <c r="E294" s="8"/>
      <c r="F294" s="8"/>
      <c r="G294" s="8"/>
      <c r="H294" s="13"/>
      <c r="I294" s="8"/>
      <c r="J294" s="13"/>
      <c r="K294" s="14" t="str">
        <f t="shared" si="4"/>
        <v/>
      </c>
      <c r="L294" s="10"/>
      <c r="M294" s="10"/>
      <c r="N294" s="10"/>
      <c r="O294" s="10"/>
      <c r="P294" s="8"/>
      <c r="Q294" s="8"/>
      <c r="R294" s="8"/>
      <c r="S294" s="10"/>
      <c r="T294" s="8"/>
    </row>
    <row r="295" spans="1:20">
      <c r="A295" s="8"/>
      <c r="B295" s="8"/>
      <c r="C295" s="8"/>
      <c r="D295" s="8"/>
      <c r="E295" s="8"/>
      <c r="F295" s="8"/>
      <c r="G295" s="8"/>
      <c r="H295" s="13"/>
      <c r="I295" s="8"/>
      <c r="J295" s="13"/>
      <c r="K295" s="14" t="str">
        <f t="shared" si="4"/>
        <v/>
      </c>
      <c r="L295" s="10"/>
      <c r="M295" s="10"/>
      <c r="N295" s="10"/>
      <c r="O295" s="10"/>
      <c r="P295" s="8"/>
      <c r="Q295" s="8"/>
      <c r="R295" s="8"/>
      <c r="S295" s="10"/>
      <c r="T295" s="8"/>
    </row>
    <row r="296" spans="1:20">
      <c r="A296" s="8"/>
      <c r="B296" s="8"/>
      <c r="C296" s="8"/>
      <c r="D296" s="8"/>
      <c r="E296" s="8"/>
      <c r="F296" s="8"/>
      <c r="G296" s="8"/>
      <c r="H296" s="13"/>
      <c r="I296" s="8"/>
      <c r="J296" s="13"/>
      <c r="K296" s="14" t="str">
        <f t="shared" si="4"/>
        <v/>
      </c>
      <c r="L296" s="10"/>
      <c r="M296" s="10"/>
      <c r="N296" s="10"/>
      <c r="O296" s="10"/>
      <c r="P296" s="8"/>
      <c r="Q296" s="8"/>
      <c r="R296" s="8"/>
      <c r="S296" s="10"/>
      <c r="T296" s="8"/>
    </row>
    <row r="297" spans="1:20">
      <c r="A297" s="8"/>
      <c r="B297" s="8"/>
      <c r="C297" s="8"/>
      <c r="D297" s="8"/>
      <c r="E297" s="8"/>
      <c r="F297" s="8"/>
      <c r="G297" s="8"/>
      <c r="H297" s="13"/>
      <c r="I297" s="8"/>
      <c r="J297" s="13"/>
      <c r="K297" s="14" t="str">
        <f t="shared" si="4"/>
        <v/>
      </c>
      <c r="L297" s="10"/>
      <c r="M297" s="10"/>
      <c r="N297" s="10"/>
      <c r="O297" s="10"/>
      <c r="P297" s="8"/>
      <c r="Q297" s="8"/>
      <c r="R297" s="8"/>
      <c r="S297" s="10"/>
      <c r="T297" s="8"/>
    </row>
    <row r="298" spans="1:20">
      <c r="A298" s="8"/>
      <c r="B298" s="8"/>
      <c r="C298" s="8"/>
      <c r="D298" s="8"/>
      <c r="E298" s="8"/>
      <c r="F298" s="8"/>
      <c r="G298" s="8"/>
      <c r="H298" s="13"/>
      <c r="I298" s="8"/>
      <c r="J298" s="13"/>
      <c r="K298" s="14" t="str">
        <f t="shared" si="4"/>
        <v/>
      </c>
      <c r="L298" s="10"/>
      <c r="M298" s="10"/>
      <c r="N298" s="10"/>
      <c r="O298" s="10"/>
      <c r="P298" s="8"/>
      <c r="Q298" s="8"/>
      <c r="R298" s="8"/>
      <c r="S298" s="10"/>
      <c r="T298" s="8"/>
    </row>
    <row r="299" spans="1:20">
      <c r="A299" s="8"/>
      <c r="B299" s="8"/>
      <c r="C299" s="8"/>
      <c r="D299" s="8"/>
      <c r="E299" s="8"/>
      <c r="F299" s="8"/>
      <c r="G299" s="8"/>
      <c r="H299" s="13"/>
      <c r="I299" s="8"/>
      <c r="J299" s="13"/>
      <c r="K299" s="14" t="str">
        <f t="shared" si="4"/>
        <v/>
      </c>
      <c r="L299" s="10"/>
      <c r="M299" s="10"/>
      <c r="N299" s="10"/>
      <c r="O299" s="10"/>
      <c r="P299" s="8"/>
      <c r="Q299" s="8"/>
      <c r="R299" s="8"/>
      <c r="S299" s="10"/>
      <c r="T299" s="8"/>
    </row>
    <row r="300" spans="1:20">
      <c r="A300" s="8"/>
      <c r="B300" s="8"/>
      <c r="C300" s="8"/>
      <c r="D300" s="8"/>
      <c r="E300" s="8"/>
      <c r="F300" s="8"/>
      <c r="G300" s="8"/>
      <c r="H300" s="13"/>
      <c r="I300" s="8"/>
      <c r="J300" s="13"/>
      <c r="K300" s="14" t="str">
        <f t="shared" si="4"/>
        <v/>
      </c>
      <c r="L300" s="10"/>
      <c r="M300" s="10"/>
      <c r="N300" s="10"/>
      <c r="O300" s="10"/>
      <c r="P300" s="8"/>
      <c r="Q300" s="8"/>
      <c r="R300" s="8"/>
      <c r="S300" s="10"/>
      <c r="T300" s="8"/>
    </row>
    <row r="301" spans="1:20">
      <c r="A301" s="8"/>
      <c r="B301" s="8"/>
      <c r="C301" s="8"/>
      <c r="D301" s="8"/>
      <c r="E301" s="8"/>
      <c r="F301" s="8"/>
      <c r="G301" s="8"/>
      <c r="H301" s="13"/>
      <c r="I301" s="8"/>
      <c r="J301" s="13"/>
      <c r="K301" s="14" t="str">
        <f t="shared" si="4"/>
        <v/>
      </c>
      <c r="L301" s="10"/>
      <c r="M301" s="10"/>
      <c r="N301" s="10"/>
      <c r="O301" s="10"/>
      <c r="P301" s="8"/>
      <c r="Q301" s="8"/>
      <c r="R301" s="8"/>
      <c r="S301" s="10"/>
      <c r="T301" s="8"/>
    </row>
    <row r="302" spans="1:20">
      <c r="A302" s="8"/>
      <c r="B302" s="8"/>
      <c r="C302" s="8"/>
      <c r="D302" s="8"/>
      <c r="E302" s="8"/>
      <c r="F302" s="8"/>
      <c r="G302" s="8"/>
      <c r="H302" s="13"/>
      <c r="I302" s="8"/>
      <c r="J302" s="13"/>
      <c r="K302" s="14" t="str">
        <f t="shared" si="4"/>
        <v/>
      </c>
      <c r="L302" s="10"/>
      <c r="M302" s="10"/>
      <c r="N302" s="10"/>
      <c r="O302" s="10"/>
      <c r="P302" s="8"/>
      <c r="Q302" s="8"/>
      <c r="R302" s="8"/>
      <c r="S302" s="10"/>
      <c r="T302" s="8"/>
    </row>
    <row r="303" spans="1:20">
      <c r="A303" s="8"/>
      <c r="B303" s="8"/>
      <c r="C303" s="8"/>
      <c r="D303" s="8"/>
      <c r="E303" s="8"/>
      <c r="F303" s="8"/>
      <c r="G303" s="8"/>
      <c r="H303" s="13"/>
      <c r="I303" s="8"/>
      <c r="J303" s="13"/>
      <c r="K303" s="14" t="str">
        <f t="shared" si="4"/>
        <v/>
      </c>
      <c r="L303" s="10"/>
      <c r="M303" s="10"/>
      <c r="N303" s="10"/>
      <c r="O303" s="10"/>
      <c r="P303" s="8"/>
      <c r="Q303" s="8"/>
      <c r="R303" s="8"/>
      <c r="S303" s="10"/>
      <c r="T303" s="8"/>
    </row>
    <row r="304" spans="1:20">
      <c r="A304" s="8"/>
      <c r="B304" s="8"/>
      <c r="C304" s="8"/>
      <c r="D304" s="8"/>
      <c r="E304" s="8"/>
      <c r="F304" s="8"/>
      <c r="G304" s="8"/>
      <c r="H304" s="13"/>
      <c r="I304" s="8"/>
      <c r="J304" s="13"/>
      <c r="K304" s="14" t="str">
        <f t="shared" si="4"/>
        <v/>
      </c>
      <c r="L304" s="10"/>
      <c r="M304" s="10"/>
      <c r="N304" s="10"/>
      <c r="O304" s="10"/>
      <c r="P304" s="8"/>
      <c r="Q304" s="8"/>
      <c r="R304" s="8"/>
      <c r="S304" s="10"/>
      <c r="T304" s="8"/>
    </row>
  </sheetData>
  <mergeCells count="2">
    <mergeCell ref="A1:T1"/>
    <mergeCell ref="A2:T2"/>
  </mergeCells>
  <conditionalFormatting sqref="A5:A304">
    <cfRule type="duplicateValues" dxfId="112" priority="9"/>
  </conditionalFormatting>
  <conditionalFormatting sqref="P5:P304">
    <cfRule type="containsText" dxfId="111" priority="1" operator="containsText" text="Approved"/>
    <cfRule type="containsText" dxfId="110" priority="4" operator="containsText" text="Failed"/>
    <cfRule type="containsText" dxfId="109" priority="7" operator="containsText" text="On Hold"/>
  </conditionalFormatting>
  <dataValidations count="3">
    <dataValidation type="list" sqref="E5:E304" xr:uid="{00000000-0002-0000-0500-000000000000}">
      <formula1>"Body Fabric,Rib,Shoulder Tape,Neck Tape,Pocketing,Other"</formula1>
    </dataValidation>
    <dataValidation type="list" sqref="I5:I304" xr:uid="{00000000-0002-0000-0500-000001000000}">
      <formula1>"Yards,Meters,Kilograms,Pounds,Rolls"</formula1>
    </dataValidation>
    <dataValidation type="list" sqref="P5:P304" xr:uid="{00000000-0002-0000-0500-000002000000}">
      <formula1>"Draft,Pending Approval,Approved,Sent to Mill,Confirmed,In Production,Partially Shipped,Fully Shipped,Partially Received,Fully Received,Closed,Cancelled"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04"/>
  <sheetViews>
    <sheetView showGridLines="0" workbookViewId="0">
      <selection sqref="A1:V1"/>
    </sheetView>
  </sheetViews>
  <sheetFormatPr baseColWidth="10" defaultColWidth="8.83203125" defaultRowHeight="14"/>
  <cols>
    <col min="1" max="1" width="14" customWidth="1"/>
    <col min="2" max="2" width="18" customWidth="1"/>
    <col min="3" max="3" width="14" customWidth="1"/>
    <col min="4" max="4" width="16" customWidth="1"/>
    <col min="5" max="5" width="17" customWidth="1"/>
    <col min="6" max="7" width="13" customWidth="1"/>
    <col min="8" max="8" width="16" customWidth="1"/>
    <col min="9" max="9" width="17" customWidth="1"/>
    <col min="10" max="12" width="14" customWidth="1"/>
    <col min="13" max="13" width="16" customWidth="1"/>
    <col min="14" max="16" width="13" customWidth="1"/>
    <col min="17" max="18" width="15" customWidth="1"/>
    <col min="19" max="19" width="16" customWidth="1"/>
    <col min="20" max="21" width="15" customWidth="1"/>
    <col min="22" max="22" width="24" customWidth="1"/>
  </cols>
  <sheetData>
    <row r="1" spans="1:22" ht="30" customHeight="1">
      <c r="A1" s="52" t="s">
        <v>131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132</v>
      </c>
      <c r="B4" s="6" t="s">
        <v>118</v>
      </c>
      <c r="C4" s="6" t="s">
        <v>44</v>
      </c>
      <c r="D4" s="6" t="s">
        <v>119</v>
      </c>
      <c r="E4" s="6" t="s">
        <v>104</v>
      </c>
      <c r="F4" s="6" t="s">
        <v>45</v>
      </c>
      <c r="G4" s="6" t="s">
        <v>46</v>
      </c>
      <c r="H4" s="6" t="s">
        <v>133</v>
      </c>
      <c r="I4" s="6" t="s">
        <v>134</v>
      </c>
      <c r="J4" s="6" t="s">
        <v>135</v>
      </c>
      <c r="K4" s="6" t="s">
        <v>136</v>
      </c>
      <c r="L4" s="6" t="s">
        <v>137</v>
      </c>
      <c r="M4" s="6" t="s">
        <v>138</v>
      </c>
      <c r="N4" s="6" t="s">
        <v>139</v>
      </c>
      <c r="O4" s="6" t="s">
        <v>140</v>
      </c>
      <c r="P4" s="6" t="s">
        <v>141</v>
      </c>
      <c r="Q4" s="6" t="s">
        <v>126</v>
      </c>
      <c r="R4" s="6" t="s">
        <v>142</v>
      </c>
      <c r="S4" s="6" t="s">
        <v>73</v>
      </c>
      <c r="T4" s="6" t="s">
        <v>100</v>
      </c>
      <c r="U4" s="6" t="s">
        <v>63</v>
      </c>
      <c r="V4" s="6" t="s">
        <v>101</v>
      </c>
    </row>
    <row r="5" spans="1:22">
      <c r="A5" s="8"/>
      <c r="B5" s="8"/>
      <c r="C5" s="8"/>
      <c r="D5" s="8"/>
      <c r="E5" s="8"/>
      <c r="F5" s="8"/>
      <c r="G5" s="8"/>
      <c r="H5" s="13"/>
      <c r="I5" s="13"/>
      <c r="J5" s="16" t="str">
        <f t="shared" ref="J5:J68" si="0">IF(OR(A5="",H5=0),"",I5/H5)</f>
        <v/>
      </c>
      <c r="K5" s="8"/>
      <c r="L5" s="13"/>
      <c r="M5" s="13"/>
      <c r="N5" s="13"/>
      <c r="O5" s="10"/>
      <c r="P5" s="10"/>
      <c r="Q5" s="10"/>
      <c r="R5" s="10"/>
      <c r="S5" s="8"/>
      <c r="T5" s="8"/>
      <c r="U5" s="10"/>
      <c r="V5" s="8"/>
    </row>
    <row r="6" spans="1:22">
      <c r="A6" s="8"/>
      <c r="B6" s="8"/>
      <c r="C6" s="8"/>
      <c r="D6" s="8"/>
      <c r="E6" s="8"/>
      <c r="F6" s="8"/>
      <c r="G6" s="8"/>
      <c r="H6" s="13"/>
      <c r="I6" s="13"/>
      <c r="J6" s="16" t="str">
        <f t="shared" si="0"/>
        <v/>
      </c>
      <c r="K6" s="8"/>
      <c r="L6" s="13"/>
      <c r="M6" s="13"/>
      <c r="N6" s="13"/>
      <c r="O6" s="10"/>
      <c r="P6" s="10"/>
      <c r="Q6" s="10"/>
      <c r="R6" s="10"/>
      <c r="S6" s="8"/>
      <c r="T6" s="8"/>
      <c r="U6" s="10"/>
      <c r="V6" s="8"/>
    </row>
    <row r="7" spans="1:22">
      <c r="A7" s="8"/>
      <c r="B7" s="8"/>
      <c r="C7" s="8"/>
      <c r="D7" s="8"/>
      <c r="E7" s="8"/>
      <c r="F7" s="8"/>
      <c r="G7" s="8"/>
      <c r="H7" s="13"/>
      <c r="I7" s="13"/>
      <c r="J7" s="16" t="str">
        <f t="shared" si="0"/>
        <v/>
      </c>
      <c r="K7" s="8"/>
      <c r="L7" s="13"/>
      <c r="M7" s="13"/>
      <c r="N7" s="13"/>
      <c r="O7" s="10"/>
      <c r="P7" s="10"/>
      <c r="Q7" s="10"/>
      <c r="R7" s="10"/>
      <c r="S7" s="8"/>
      <c r="T7" s="8"/>
      <c r="U7" s="10"/>
      <c r="V7" s="8"/>
    </row>
    <row r="8" spans="1:22">
      <c r="A8" s="8"/>
      <c r="B8" s="8"/>
      <c r="C8" s="8"/>
      <c r="D8" s="8"/>
      <c r="E8" s="8"/>
      <c r="F8" s="8"/>
      <c r="G8" s="8"/>
      <c r="H8" s="13"/>
      <c r="I8" s="13"/>
      <c r="J8" s="16" t="str">
        <f t="shared" si="0"/>
        <v/>
      </c>
      <c r="K8" s="8"/>
      <c r="L8" s="13"/>
      <c r="M8" s="13"/>
      <c r="N8" s="13"/>
      <c r="O8" s="10"/>
      <c r="P8" s="10"/>
      <c r="Q8" s="10"/>
      <c r="R8" s="10"/>
      <c r="S8" s="8"/>
      <c r="T8" s="8"/>
      <c r="U8" s="10"/>
      <c r="V8" s="8"/>
    </row>
    <row r="9" spans="1:22">
      <c r="A9" s="8"/>
      <c r="B9" s="8"/>
      <c r="C9" s="8"/>
      <c r="D9" s="8"/>
      <c r="E9" s="8"/>
      <c r="F9" s="8"/>
      <c r="G9" s="8"/>
      <c r="H9" s="13"/>
      <c r="I9" s="13"/>
      <c r="J9" s="16" t="str">
        <f t="shared" si="0"/>
        <v/>
      </c>
      <c r="K9" s="8"/>
      <c r="L9" s="13"/>
      <c r="M9" s="13"/>
      <c r="N9" s="13"/>
      <c r="O9" s="10"/>
      <c r="P9" s="10"/>
      <c r="Q9" s="10"/>
      <c r="R9" s="10"/>
      <c r="S9" s="8"/>
      <c r="T9" s="8"/>
      <c r="U9" s="10"/>
      <c r="V9" s="8"/>
    </row>
    <row r="10" spans="1:22">
      <c r="A10" s="8"/>
      <c r="B10" s="8"/>
      <c r="C10" s="8"/>
      <c r="D10" s="8"/>
      <c r="E10" s="8"/>
      <c r="F10" s="8"/>
      <c r="G10" s="8"/>
      <c r="H10" s="13"/>
      <c r="I10" s="13"/>
      <c r="J10" s="16" t="str">
        <f t="shared" si="0"/>
        <v/>
      </c>
      <c r="K10" s="8"/>
      <c r="L10" s="13"/>
      <c r="M10" s="13"/>
      <c r="N10" s="13"/>
      <c r="O10" s="10"/>
      <c r="P10" s="10"/>
      <c r="Q10" s="10"/>
      <c r="R10" s="10"/>
      <c r="S10" s="8"/>
      <c r="T10" s="8"/>
      <c r="U10" s="10"/>
      <c r="V10" s="8"/>
    </row>
    <row r="11" spans="1:22">
      <c r="A11" s="8"/>
      <c r="B11" s="8"/>
      <c r="C11" s="8"/>
      <c r="D11" s="8"/>
      <c r="E11" s="8"/>
      <c r="F11" s="8"/>
      <c r="G11" s="8"/>
      <c r="H11" s="13"/>
      <c r="I11" s="13"/>
      <c r="J11" s="16" t="str">
        <f t="shared" si="0"/>
        <v/>
      </c>
      <c r="K11" s="8"/>
      <c r="L11" s="13"/>
      <c r="M11" s="13"/>
      <c r="N11" s="13"/>
      <c r="O11" s="10"/>
      <c r="P11" s="10"/>
      <c r="Q11" s="10"/>
      <c r="R11" s="10"/>
      <c r="S11" s="8"/>
      <c r="T11" s="8"/>
      <c r="U11" s="10"/>
      <c r="V11" s="8"/>
    </row>
    <row r="12" spans="1:22">
      <c r="A12" s="8"/>
      <c r="B12" s="8"/>
      <c r="C12" s="8"/>
      <c r="D12" s="8"/>
      <c r="E12" s="8"/>
      <c r="F12" s="8"/>
      <c r="G12" s="8"/>
      <c r="H12" s="13"/>
      <c r="I12" s="13"/>
      <c r="J12" s="16" t="str">
        <f t="shared" si="0"/>
        <v/>
      </c>
      <c r="K12" s="8"/>
      <c r="L12" s="13"/>
      <c r="M12" s="13"/>
      <c r="N12" s="13"/>
      <c r="O12" s="10"/>
      <c r="P12" s="10"/>
      <c r="Q12" s="10"/>
      <c r="R12" s="10"/>
      <c r="S12" s="8"/>
      <c r="T12" s="8"/>
      <c r="U12" s="10"/>
      <c r="V12" s="8"/>
    </row>
    <row r="13" spans="1:22">
      <c r="A13" s="8"/>
      <c r="B13" s="8"/>
      <c r="C13" s="8"/>
      <c r="D13" s="8"/>
      <c r="E13" s="8"/>
      <c r="F13" s="8"/>
      <c r="G13" s="8"/>
      <c r="H13" s="13"/>
      <c r="I13" s="13"/>
      <c r="J13" s="16" t="str">
        <f t="shared" si="0"/>
        <v/>
      </c>
      <c r="K13" s="8"/>
      <c r="L13" s="13"/>
      <c r="M13" s="13"/>
      <c r="N13" s="13"/>
      <c r="O13" s="10"/>
      <c r="P13" s="10"/>
      <c r="Q13" s="10"/>
      <c r="R13" s="10"/>
      <c r="S13" s="8"/>
      <c r="T13" s="8"/>
      <c r="U13" s="10"/>
      <c r="V13" s="8"/>
    </row>
    <row r="14" spans="1:22">
      <c r="A14" s="8"/>
      <c r="B14" s="8"/>
      <c r="C14" s="8"/>
      <c r="D14" s="8"/>
      <c r="E14" s="8"/>
      <c r="F14" s="8"/>
      <c r="G14" s="8"/>
      <c r="H14" s="13"/>
      <c r="I14" s="13"/>
      <c r="J14" s="16" t="str">
        <f t="shared" si="0"/>
        <v/>
      </c>
      <c r="K14" s="8"/>
      <c r="L14" s="13"/>
      <c r="M14" s="13"/>
      <c r="N14" s="13"/>
      <c r="O14" s="10"/>
      <c r="P14" s="10"/>
      <c r="Q14" s="10"/>
      <c r="R14" s="10"/>
      <c r="S14" s="8"/>
      <c r="T14" s="8"/>
      <c r="U14" s="10"/>
      <c r="V14" s="8"/>
    </row>
    <row r="15" spans="1:22">
      <c r="A15" s="8"/>
      <c r="B15" s="8"/>
      <c r="C15" s="8"/>
      <c r="D15" s="8"/>
      <c r="E15" s="8"/>
      <c r="F15" s="8"/>
      <c r="G15" s="8"/>
      <c r="H15" s="13"/>
      <c r="I15" s="13"/>
      <c r="J15" s="16" t="str">
        <f t="shared" si="0"/>
        <v/>
      </c>
      <c r="K15" s="8"/>
      <c r="L15" s="13"/>
      <c r="M15" s="13"/>
      <c r="N15" s="13"/>
      <c r="O15" s="10"/>
      <c r="P15" s="10"/>
      <c r="Q15" s="10"/>
      <c r="R15" s="10"/>
      <c r="S15" s="8"/>
      <c r="T15" s="8"/>
      <c r="U15" s="10"/>
      <c r="V15" s="8"/>
    </row>
    <row r="16" spans="1:22">
      <c r="A16" s="8"/>
      <c r="B16" s="8"/>
      <c r="C16" s="8"/>
      <c r="D16" s="8"/>
      <c r="E16" s="8"/>
      <c r="F16" s="8"/>
      <c r="G16" s="8"/>
      <c r="H16" s="13"/>
      <c r="I16" s="13"/>
      <c r="J16" s="16" t="str">
        <f t="shared" si="0"/>
        <v/>
      </c>
      <c r="K16" s="8"/>
      <c r="L16" s="13"/>
      <c r="M16" s="13"/>
      <c r="N16" s="13"/>
      <c r="O16" s="10"/>
      <c r="P16" s="10"/>
      <c r="Q16" s="10"/>
      <c r="R16" s="10"/>
      <c r="S16" s="8"/>
      <c r="T16" s="8"/>
      <c r="U16" s="10"/>
      <c r="V16" s="8"/>
    </row>
    <row r="17" spans="1:22">
      <c r="A17" s="8"/>
      <c r="B17" s="8"/>
      <c r="C17" s="8"/>
      <c r="D17" s="8"/>
      <c r="E17" s="8"/>
      <c r="F17" s="8"/>
      <c r="G17" s="8"/>
      <c r="H17" s="13"/>
      <c r="I17" s="13"/>
      <c r="J17" s="16" t="str">
        <f t="shared" si="0"/>
        <v/>
      </c>
      <c r="K17" s="8"/>
      <c r="L17" s="13"/>
      <c r="M17" s="13"/>
      <c r="N17" s="13"/>
      <c r="O17" s="10"/>
      <c r="P17" s="10"/>
      <c r="Q17" s="10"/>
      <c r="R17" s="10"/>
      <c r="S17" s="8"/>
      <c r="T17" s="8"/>
      <c r="U17" s="10"/>
      <c r="V17" s="8"/>
    </row>
    <row r="18" spans="1:22">
      <c r="A18" s="8"/>
      <c r="B18" s="8"/>
      <c r="C18" s="8"/>
      <c r="D18" s="8"/>
      <c r="E18" s="8"/>
      <c r="F18" s="8"/>
      <c r="G18" s="8"/>
      <c r="H18" s="13"/>
      <c r="I18" s="13"/>
      <c r="J18" s="16" t="str">
        <f t="shared" si="0"/>
        <v/>
      </c>
      <c r="K18" s="8"/>
      <c r="L18" s="13"/>
      <c r="M18" s="13"/>
      <c r="N18" s="13"/>
      <c r="O18" s="10"/>
      <c r="P18" s="10"/>
      <c r="Q18" s="10"/>
      <c r="R18" s="10"/>
      <c r="S18" s="8"/>
      <c r="T18" s="8"/>
      <c r="U18" s="10"/>
      <c r="V18" s="8"/>
    </row>
    <row r="19" spans="1:22">
      <c r="A19" s="8"/>
      <c r="B19" s="8"/>
      <c r="C19" s="8"/>
      <c r="D19" s="8"/>
      <c r="E19" s="8"/>
      <c r="F19" s="8"/>
      <c r="G19" s="8"/>
      <c r="H19" s="13"/>
      <c r="I19" s="13"/>
      <c r="J19" s="16" t="str">
        <f t="shared" si="0"/>
        <v/>
      </c>
      <c r="K19" s="8"/>
      <c r="L19" s="13"/>
      <c r="M19" s="13"/>
      <c r="N19" s="13"/>
      <c r="O19" s="10"/>
      <c r="P19" s="10"/>
      <c r="Q19" s="10"/>
      <c r="R19" s="10"/>
      <c r="S19" s="8"/>
      <c r="T19" s="8"/>
      <c r="U19" s="10"/>
      <c r="V19" s="8"/>
    </row>
    <row r="20" spans="1:22">
      <c r="A20" s="8"/>
      <c r="B20" s="8"/>
      <c r="C20" s="8"/>
      <c r="D20" s="8"/>
      <c r="E20" s="8"/>
      <c r="F20" s="8"/>
      <c r="G20" s="8"/>
      <c r="H20" s="13"/>
      <c r="I20" s="13"/>
      <c r="J20" s="16" t="str">
        <f t="shared" si="0"/>
        <v/>
      </c>
      <c r="K20" s="8"/>
      <c r="L20" s="13"/>
      <c r="M20" s="13"/>
      <c r="N20" s="13"/>
      <c r="O20" s="10"/>
      <c r="P20" s="10"/>
      <c r="Q20" s="10"/>
      <c r="R20" s="10"/>
      <c r="S20" s="8"/>
      <c r="T20" s="8"/>
      <c r="U20" s="10"/>
      <c r="V20" s="8"/>
    </row>
    <row r="21" spans="1:22">
      <c r="A21" s="8"/>
      <c r="B21" s="8"/>
      <c r="C21" s="8"/>
      <c r="D21" s="8"/>
      <c r="E21" s="8"/>
      <c r="F21" s="8"/>
      <c r="G21" s="8"/>
      <c r="H21" s="13"/>
      <c r="I21" s="13"/>
      <c r="J21" s="16" t="str">
        <f t="shared" si="0"/>
        <v/>
      </c>
      <c r="K21" s="8"/>
      <c r="L21" s="13"/>
      <c r="M21" s="13"/>
      <c r="N21" s="13"/>
      <c r="O21" s="10"/>
      <c r="P21" s="10"/>
      <c r="Q21" s="10"/>
      <c r="R21" s="10"/>
      <c r="S21" s="8"/>
      <c r="T21" s="8"/>
      <c r="U21" s="10"/>
      <c r="V21" s="8"/>
    </row>
    <row r="22" spans="1:22">
      <c r="A22" s="8"/>
      <c r="B22" s="8"/>
      <c r="C22" s="8"/>
      <c r="D22" s="8"/>
      <c r="E22" s="8"/>
      <c r="F22" s="8"/>
      <c r="G22" s="8"/>
      <c r="H22" s="13"/>
      <c r="I22" s="13"/>
      <c r="J22" s="16" t="str">
        <f t="shared" si="0"/>
        <v/>
      </c>
      <c r="K22" s="8"/>
      <c r="L22" s="13"/>
      <c r="M22" s="13"/>
      <c r="N22" s="13"/>
      <c r="O22" s="10"/>
      <c r="P22" s="10"/>
      <c r="Q22" s="10"/>
      <c r="R22" s="10"/>
      <c r="S22" s="8"/>
      <c r="T22" s="8"/>
      <c r="U22" s="10"/>
      <c r="V22" s="8"/>
    </row>
    <row r="23" spans="1:22">
      <c r="A23" s="8"/>
      <c r="B23" s="8"/>
      <c r="C23" s="8"/>
      <c r="D23" s="8"/>
      <c r="E23" s="8"/>
      <c r="F23" s="8"/>
      <c r="G23" s="8"/>
      <c r="H23" s="13"/>
      <c r="I23" s="13"/>
      <c r="J23" s="16" t="str">
        <f t="shared" si="0"/>
        <v/>
      </c>
      <c r="K23" s="8"/>
      <c r="L23" s="13"/>
      <c r="M23" s="13"/>
      <c r="N23" s="13"/>
      <c r="O23" s="10"/>
      <c r="P23" s="10"/>
      <c r="Q23" s="10"/>
      <c r="R23" s="10"/>
      <c r="S23" s="8"/>
      <c r="T23" s="8"/>
      <c r="U23" s="10"/>
      <c r="V23" s="8"/>
    </row>
    <row r="24" spans="1:22">
      <c r="A24" s="8"/>
      <c r="B24" s="8"/>
      <c r="C24" s="8"/>
      <c r="D24" s="8"/>
      <c r="E24" s="8"/>
      <c r="F24" s="8"/>
      <c r="G24" s="8"/>
      <c r="H24" s="13"/>
      <c r="I24" s="13"/>
      <c r="J24" s="16" t="str">
        <f t="shared" si="0"/>
        <v/>
      </c>
      <c r="K24" s="8"/>
      <c r="L24" s="13"/>
      <c r="M24" s="13"/>
      <c r="N24" s="13"/>
      <c r="O24" s="10"/>
      <c r="P24" s="10"/>
      <c r="Q24" s="10"/>
      <c r="R24" s="10"/>
      <c r="S24" s="8"/>
      <c r="T24" s="8"/>
      <c r="U24" s="10"/>
      <c r="V24" s="8"/>
    </row>
    <row r="25" spans="1:22">
      <c r="A25" s="8"/>
      <c r="B25" s="8"/>
      <c r="C25" s="8"/>
      <c r="D25" s="8"/>
      <c r="E25" s="8"/>
      <c r="F25" s="8"/>
      <c r="G25" s="8"/>
      <c r="H25" s="13"/>
      <c r="I25" s="13"/>
      <c r="J25" s="16" t="str">
        <f t="shared" si="0"/>
        <v/>
      </c>
      <c r="K25" s="8"/>
      <c r="L25" s="13"/>
      <c r="M25" s="13"/>
      <c r="N25" s="13"/>
      <c r="O25" s="10"/>
      <c r="P25" s="10"/>
      <c r="Q25" s="10"/>
      <c r="R25" s="10"/>
      <c r="S25" s="8"/>
      <c r="T25" s="8"/>
      <c r="U25" s="10"/>
      <c r="V25" s="8"/>
    </row>
    <row r="26" spans="1:22">
      <c r="A26" s="8"/>
      <c r="B26" s="8"/>
      <c r="C26" s="8"/>
      <c r="D26" s="8"/>
      <c r="E26" s="8"/>
      <c r="F26" s="8"/>
      <c r="G26" s="8"/>
      <c r="H26" s="13"/>
      <c r="I26" s="13"/>
      <c r="J26" s="16" t="str">
        <f t="shared" si="0"/>
        <v/>
      </c>
      <c r="K26" s="8"/>
      <c r="L26" s="13"/>
      <c r="M26" s="13"/>
      <c r="N26" s="13"/>
      <c r="O26" s="10"/>
      <c r="P26" s="10"/>
      <c r="Q26" s="10"/>
      <c r="R26" s="10"/>
      <c r="S26" s="8"/>
      <c r="T26" s="8"/>
      <c r="U26" s="10"/>
      <c r="V26" s="8"/>
    </row>
    <row r="27" spans="1:22">
      <c r="A27" s="8"/>
      <c r="B27" s="8"/>
      <c r="C27" s="8"/>
      <c r="D27" s="8"/>
      <c r="E27" s="8"/>
      <c r="F27" s="8"/>
      <c r="G27" s="8"/>
      <c r="H27" s="13"/>
      <c r="I27" s="13"/>
      <c r="J27" s="16" t="str">
        <f t="shared" si="0"/>
        <v/>
      </c>
      <c r="K27" s="8"/>
      <c r="L27" s="13"/>
      <c r="M27" s="13"/>
      <c r="N27" s="13"/>
      <c r="O27" s="10"/>
      <c r="P27" s="10"/>
      <c r="Q27" s="10"/>
      <c r="R27" s="10"/>
      <c r="S27" s="8"/>
      <c r="T27" s="8"/>
      <c r="U27" s="10"/>
      <c r="V27" s="8"/>
    </row>
    <row r="28" spans="1:22">
      <c r="A28" s="8"/>
      <c r="B28" s="8"/>
      <c r="C28" s="8"/>
      <c r="D28" s="8"/>
      <c r="E28" s="8"/>
      <c r="F28" s="8"/>
      <c r="G28" s="8"/>
      <c r="H28" s="13"/>
      <c r="I28" s="13"/>
      <c r="J28" s="16" t="str">
        <f t="shared" si="0"/>
        <v/>
      </c>
      <c r="K28" s="8"/>
      <c r="L28" s="13"/>
      <c r="M28" s="13"/>
      <c r="N28" s="13"/>
      <c r="O28" s="10"/>
      <c r="P28" s="10"/>
      <c r="Q28" s="10"/>
      <c r="R28" s="10"/>
      <c r="S28" s="8"/>
      <c r="T28" s="8"/>
      <c r="U28" s="10"/>
      <c r="V28" s="8"/>
    </row>
    <row r="29" spans="1:22">
      <c r="A29" s="8"/>
      <c r="B29" s="8"/>
      <c r="C29" s="8"/>
      <c r="D29" s="8"/>
      <c r="E29" s="8"/>
      <c r="F29" s="8"/>
      <c r="G29" s="8"/>
      <c r="H29" s="13"/>
      <c r="I29" s="13"/>
      <c r="J29" s="16" t="str">
        <f t="shared" si="0"/>
        <v/>
      </c>
      <c r="K29" s="8"/>
      <c r="L29" s="13"/>
      <c r="M29" s="13"/>
      <c r="N29" s="13"/>
      <c r="O29" s="10"/>
      <c r="P29" s="10"/>
      <c r="Q29" s="10"/>
      <c r="R29" s="10"/>
      <c r="S29" s="8"/>
      <c r="T29" s="8"/>
      <c r="U29" s="10"/>
      <c r="V29" s="8"/>
    </row>
    <row r="30" spans="1:22">
      <c r="A30" s="8"/>
      <c r="B30" s="8"/>
      <c r="C30" s="8"/>
      <c r="D30" s="8"/>
      <c r="E30" s="8"/>
      <c r="F30" s="8"/>
      <c r="G30" s="8"/>
      <c r="H30" s="13"/>
      <c r="I30" s="13"/>
      <c r="J30" s="16" t="str">
        <f t="shared" si="0"/>
        <v/>
      </c>
      <c r="K30" s="8"/>
      <c r="L30" s="13"/>
      <c r="M30" s="13"/>
      <c r="N30" s="13"/>
      <c r="O30" s="10"/>
      <c r="P30" s="10"/>
      <c r="Q30" s="10"/>
      <c r="R30" s="10"/>
      <c r="S30" s="8"/>
      <c r="T30" s="8"/>
      <c r="U30" s="10"/>
      <c r="V30" s="8"/>
    </row>
    <row r="31" spans="1:22">
      <c r="A31" s="8"/>
      <c r="B31" s="8"/>
      <c r="C31" s="8"/>
      <c r="D31" s="8"/>
      <c r="E31" s="8"/>
      <c r="F31" s="8"/>
      <c r="G31" s="8"/>
      <c r="H31" s="13"/>
      <c r="I31" s="13"/>
      <c r="J31" s="16" t="str">
        <f t="shared" si="0"/>
        <v/>
      </c>
      <c r="K31" s="8"/>
      <c r="L31" s="13"/>
      <c r="M31" s="13"/>
      <c r="N31" s="13"/>
      <c r="O31" s="10"/>
      <c r="P31" s="10"/>
      <c r="Q31" s="10"/>
      <c r="R31" s="10"/>
      <c r="S31" s="8"/>
      <c r="T31" s="8"/>
      <c r="U31" s="10"/>
      <c r="V31" s="8"/>
    </row>
    <row r="32" spans="1:22">
      <c r="A32" s="8"/>
      <c r="B32" s="8"/>
      <c r="C32" s="8"/>
      <c r="D32" s="8"/>
      <c r="E32" s="8"/>
      <c r="F32" s="8"/>
      <c r="G32" s="8"/>
      <c r="H32" s="13"/>
      <c r="I32" s="13"/>
      <c r="J32" s="16" t="str">
        <f t="shared" si="0"/>
        <v/>
      </c>
      <c r="K32" s="8"/>
      <c r="L32" s="13"/>
      <c r="M32" s="13"/>
      <c r="N32" s="13"/>
      <c r="O32" s="10"/>
      <c r="P32" s="10"/>
      <c r="Q32" s="10"/>
      <c r="R32" s="10"/>
      <c r="S32" s="8"/>
      <c r="T32" s="8"/>
      <c r="U32" s="10"/>
      <c r="V32" s="8"/>
    </row>
    <row r="33" spans="1:22">
      <c r="A33" s="8"/>
      <c r="B33" s="8"/>
      <c r="C33" s="8"/>
      <c r="D33" s="8"/>
      <c r="E33" s="8"/>
      <c r="F33" s="8"/>
      <c r="G33" s="8"/>
      <c r="H33" s="13"/>
      <c r="I33" s="13"/>
      <c r="J33" s="16" t="str">
        <f t="shared" si="0"/>
        <v/>
      </c>
      <c r="K33" s="8"/>
      <c r="L33" s="13"/>
      <c r="M33" s="13"/>
      <c r="N33" s="13"/>
      <c r="O33" s="10"/>
      <c r="P33" s="10"/>
      <c r="Q33" s="10"/>
      <c r="R33" s="10"/>
      <c r="S33" s="8"/>
      <c r="T33" s="8"/>
      <c r="U33" s="10"/>
      <c r="V33" s="8"/>
    </row>
    <row r="34" spans="1:22">
      <c r="A34" s="8"/>
      <c r="B34" s="8"/>
      <c r="C34" s="8"/>
      <c r="D34" s="8"/>
      <c r="E34" s="8"/>
      <c r="F34" s="8"/>
      <c r="G34" s="8"/>
      <c r="H34" s="13"/>
      <c r="I34" s="13"/>
      <c r="J34" s="16" t="str">
        <f t="shared" si="0"/>
        <v/>
      </c>
      <c r="K34" s="8"/>
      <c r="L34" s="13"/>
      <c r="M34" s="13"/>
      <c r="N34" s="13"/>
      <c r="O34" s="10"/>
      <c r="P34" s="10"/>
      <c r="Q34" s="10"/>
      <c r="R34" s="10"/>
      <c r="S34" s="8"/>
      <c r="T34" s="8"/>
      <c r="U34" s="10"/>
      <c r="V34" s="8"/>
    </row>
    <row r="35" spans="1:22">
      <c r="A35" s="8"/>
      <c r="B35" s="8"/>
      <c r="C35" s="8"/>
      <c r="D35" s="8"/>
      <c r="E35" s="8"/>
      <c r="F35" s="8"/>
      <c r="G35" s="8"/>
      <c r="H35" s="13"/>
      <c r="I35" s="13"/>
      <c r="J35" s="16" t="str">
        <f t="shared" si="0"/>
        <v/>
      </c>
      <c r="K35" s="8"/>
      <c r="L35" s="13"/>
      <c r="M35" s="13"/>
      <c r="N35" s="13"/>
      <c r="O35" s="10"/>
      <c r="P35" s="10"/>
      <c r="Q35" s="10"/>
      <c r="R35" s="10"/>
      <c r="S35" s="8"/>
      <c r="T35" s="8"/>
      <c r="U35" s="10"/>
      <c r="V35" s="8"/>
    </row>
    <row r="36" spans="1:22">
      <c r="A36" s="8"/>
      <c r="B36" s="8"/>
      <c r="C36" s="8"/>
      <c r="D36" s="8"/>
      <c r="E36" s="8"/>
      <c r="F36" s="8"/>
      <c r="G36" s="8"/>
      <c r="H36" s="13"/>
      <c r="I36" s="13"/>
      <c r="J36" s="16" t="str">
        <f t="shared" si="0"/>
        <v/>
      </c>
      <c r="K36" s="8"/>
      <c r="L36" s="13"/>
      <c r="M36" s="13"/>
      <c r="N36" s="13"/>
      <c r="O36" s="10"/>
      <c r="P36" s="10"/>
      <c r="Q36" s="10"/>
      <c r="R36" s="10"/>
      <c r="S36" s="8"/>
      <c r="T36" s="8"/>
      <c r="U36" s="10"/>
      <c r="V36" s="8"/>
    </row>
    <row r="37" spans="1:22">
      <c r="A37" s="8"/>
      <c r="B37" s="8"/>
      <c r="C37" s="8"/>
      <c r="D37" s="8"/>
      <c r="E37" s="8"/>
      <c r="F37" s="8"/>
      <c r="G37" s="8"/>
      <c r="H37" s="13"/>
      <c r="I37" s="13"/>
      <c r="J37" s="16" t="str">
        <f t="shared" si="0"/>
        <v/>
      </c>
      <c r="K37" s="8"/>
      <c r="L37" s="13"/>
      <c r="M37" s="13"/>
      <c r="N37" s="13"/>
      <c r="O37" s="10"/>
      <c r="P37" s="10"/>
      <c r="Q37" s="10"/>
      <c r="R37" s="10"/>
      <c r="S37" s="8"/>
      <c r="T37" s="8"/>
      <c r="U37" s="10"/>
      <c r="V37" s="8"/>
    </row>
    <row r="38" spans="1:22">
      <c r="A38" s="8"/>
      <c r="B38" s="8"/>
      <c r="C38" s="8"/>
      <c r="D38" s="8"/>
      <c r="E38" s="8"/>
      <c r="F38" s="8"/>
      <c r="G38" s="8"/>
      <c r="H38" s="13"/>
      <c r="I38" s="13"/>
      <c r="J38" s="16" t="str">
        <f t="shared" si="0"/>
        <v/>
      </c>
      <c r="K38" s="8"/>
      <c r="L38" s="13"/>
      <c r="M38" s="13"/>
      <c r="N38" s="13"/>
      <c r="O38" s="10"/>
      <c r="P38" s="10"/>
      <c r="Q38" s="10"/>
      <c r="R38" s="10"/>
      <c r="S38" s="8"/>
      <c r="T38" s="8"/>
      <c r="U38" s="10"/>
      <c r="V38" s="8"/>
    </row>
    <row r="39" spans="1:22">
      <c r="A39" s="8"/>
      <c r="B39" s="8"/>
      <c r="C39" s="8"/>
      <c r="D39" s="8"/>
      <c r="E39" s="8"/>
      <c r="F39" s="8"/>
      <c r="G39" s="8"/>
      <c r="H39" s="13"/>
      <c r="I39" s="13"/>
      <c r="J39" s="16" t="str">
        <f t="shared" si="0"/>
        <v/>
      </c>
      <c r="K39" s="8"/>
      <c r="L39" s="13"/>
      <c r="M39" s="13"/>
      <c r="N39" s="13"/>
      <c r="O39" s="10"/>
      <c r="P39" s="10"/>
      <c r="Q39" s="10"/>
      <c r="R39" s="10"/>
      <c r="S39" s="8"/>
      <c r="T39" s="8"/>
      <c r="U39" s="10"/>
      <c r="V39" s="8"/>
    </row>
    <row r="40" spans="1:22">
      <c r="A40" s="8"/>
      <c r="B40" s="8"/>
      <c r="C40" s="8"/>
      <c r="D40" s="8"/>
      <c r="E40" s="8"/>
      <c r="F40" s="8"/>
      <c r="G40" s="8"/>
      <c r="H40" s="13"/>
      <c r="I40" s="13"/>
      <c r="J40" s="16" t="str">
        <f t="shared" si="0"/>
        <v/>
      </c>
      <c r="K40" s="8"/>
      <c r="L40" s="13"/>
      <c r="M40" s="13"/>
      <c r="N40" s="13"/>
      <c r="O40" s="10"/>
      <c r="P40" s="10"/>
      <c r="Q40" s="10"/>
      <c r="R40" s="10"/>
      <c r="S40" s="8"/>
      <c r="T40" s="8"/>
      <c r="U40" s="10"/>
      <c r="V40" s="8"/>
    </row>
    <row r="41" spans="1:22">
      <c r="A41" s="8"/>
      <c r="B41" s="8"/>
      <c r="C41" s="8"/>
      <c r="D41" s="8"/>
      <c r="E41" s="8"/>
      <c r="F41" s="8"/>
      <c r="G41" s="8"/>
      <c r="H41" s="13"/>
      <c r="I41" s="13"/>
      <c r="J41" s="16" t="str">
        <f t="shared" si="0"/>
        <v/>
      </c>
      <c r="K41" s="8"/>
      <c r="L41" s="13"/>
      <c r="M41" s="13"/>
      <c r="N41" s="13"/>
      <c r="O41" s="10"/>
      <c r="P41" s="10"/>
      <c r="Q41" s="10"/>
      <c r="R41" s="10"/>
      <c r="S41" s="8"/>
      <c r="T41" s="8"/>
      <c r="U41" s="10"/>
      <c r="V41" s="8"/>
    </row>
    <row r="42" spans="1:22">
      <c r="A42" s="8"/>
      <c r="B42" s="8"/>
      <c r="C42" s="8"/>
      <c r="D42" s="8"/>
      <c r="E42" s="8"/>
      <c r="F42" s="8"/>
      <c r="G42" s="8"/>
      <c r="H42" s="13"/>
      <c r="I42" s="13"/>
      <c r="J42" s="16" t="str">
        <f t="shared" si="0"/>
        <v/>
      </c>
      <c r="K42" s="8"/>
      <c r="L42" s="13"/>
      <c r="M42" s="13"/>
      <c r="N42" s="13"/>
      <c r="O42" s="10"/>
      <c r="P42" s="10"/>
      <c r="Q42" s="10"/>
      <c r="R42" s="10"/>
      <c r="S42" s="8"/>
      <c r="T42" s="8"/>
      <c r="U42" s="10"/>
      <c r="V42" s="8"/>
    </row>
    <row r="43" spans="1:22">
      <c r="A43" s="8"/>
      <c r="B43" s="8"/>
      <c r="C43" s="8"/>
      <c r="D43" s="8"/>
      <c r="E43" s="8"/>
      <c r="F43" s="8"/>
      <c r="G43" s="8"/>
      <c r="H43" s="13"/>
      <c r="I43" s="13"/>
      <c r="J43" s="16" t="str">
        <f t="shared" si="0"/>
        <v/>
      </c>
      <c r="K43" s="8"/>
      <c r="L43" s="13"/>
      <c r="M43" s="13"/>
      <c r="N43" s="13"/>
      <c r="O43" s="10"/>
      <c r="P43" s="10"/>
      <c r="Q43" s="10"/>
      <c r="R43" s="10"/>
      <c r="S43" s="8"/>
      <c r="T43" s="8"/>
      <c r="U43" s="10"/>
      <c r="V43" s="8"/>
    </row>
    <row r="44" spans="1:22">
      <c r="A44" s="8"/>
      <c r="B44" s="8"/>
      <c r="C44" s="8"/>
      <c r="D44" s="8"/>
      <c r="E44" s="8"/>
      <c r="F44" s="8"/>
      <c r="G44" s="8"/>
      <c r="H44" s="13"/>
      <c r="I44" s="13"/>
      <c r="J44" s="16" t="str">
        <f t="shared" si="0"/>
        <v/>
      </c>
      <c r="K44" s="8"/>
      <c r="L44" s="13"/>
      <c r="M44" s="13"/>
      <c r="N44" s="13"/>
      <c r="O44" s="10"/>
      <c r="P44" s="10"/>
      <c r="Q44" s="10"/>
      <c r="R44" s="10"/>
      <c r="S44" s="8"/>
      <c r="T44" s="8"/>
      <c r="U44" s="10"/>
      <c r="V44" s="8"/>
    </row>
    <row r="45" spans="1:22">
      <c r="A45" s="8"/>
      <c r="B45" s="8"/>
      <c r="C45" s="8"/>
      <c r="D45" s="8"/>
      <c r="E45" s="8"/>
      <c r="F45" s="8"/>
      <c r="G45" s="8"/>
      <c r="H45" s="13"/>
      <c r="I45" s="13"/>
      <c r="J45" s="16" t="str">
        <f t="shared" si="0"/>
        <v/>
      </c>
      <c r="K45" s="8"/>
      <c r="L45" s="13"/>
      <c r="M45" s="13"/>
      <c r="N45" s="13"/>
      <c r="O45" s="10"/>
      <c r="P45" s="10"/>
      <c r="Q45" s="10"/>
      <c r="R45" s="10"/>
      <c r="S45" s="8"/>
      <c r="T45" s="8"/>
      <c r="U45" s="10"/>
      <c r="V45" s="8"/>
    </row>
    <row r="46" spans="1:22">
      <c r="A46" s="8"/>
      <c r="B46" s="8"/>
      <c r="C46" s="8"/>
      <c r="D46" s="8"/>
      <c r="E46" s="8"/>
      <c r="F46" s="8"/>
      <c r="G46" s="8"/>
      <c r="H46" s="13"/>
      <c r="I46" s="13"/>
      <c r="J46" s="16" t="str">
        <f t="shared" si="0"/>
        <v/>
      </c>
      <c r="K46" s="8"/>
      <c r="L46" s="13"/>
      <c r="M46" s="13"/>
      <c r="N46" s="13"/>
      <c r="O46" s="10"/>
      <c r="P46" s="10"/>
      <c r="Q46" s="10"/>
      <c r="R46" s="10"/>
      <c r="S46" s="8"/>
      <c r="T46" s="8"/>
      <c r="U46" s="10"/>
      <c r="V46" s="8"/>
    </row>
    <row r="47" spans="1:22">
      <c r="A47" s="8"/>
      <c r="B47" s="8"/>
      <c r="C47" s="8"/>
      <c r="D47" s="8"/>
      <c r="E47" s="8"/>
      <c r="F47" s="8"/>
      <c r="G47" s="8"/>
      <c r="H47" s="13"/>
      <c r="I47" s="13"/>
      <c r="J47" s="16" t="str">
        <f t="shared" si="0"/>
        <v/>
      </c>
      <c r="K47" s="8"/>
      <c r="L47" s="13"/>
      <c r="M47" s="13"/>
      <c r="N47" s="13"/>
      <c r="O47" s="10"/>
      <c r="P47" s="10"/>
      <c r="Q47" s="10"/>
      <c r="R47" s="10"/>
      <c r="S47" s="8"/>
      <c r="T47" s="8"/>
      <c r="U47" s="10"/>
      <c r="V47" s="8"/>
    </row>
    <row r="48" spans="1:22">
      <c r="A48" s="8"/>
      <c r="B48" s="8"/>
      <c r="C48" s="8"/>
      <c r="D48" s="8"/>
      <c r="E48" s="8"/>
      <c r="F48" s="8"/>
      <c r="G48" s="8"/>
      <c r="H48" s="13"/>
      <c r="I48" s="13"/>
      <c r="J48" s="16" t="str">
        <f t="shared" si="0"/>
        <v/>
      </c>
      <c r="K48" s="8"/>
      <c r="L48" s="13"/>
      <c r="M48" s="13"/>
      <c r="N48" s="13"/>
      <c r="O48" s="10"/>
      <c r="P48" s="10"/>
      <c r="Q48" s="10"/>
      <c r="R48" s="10"/>
      <c r="S48" s="8"/>
      <c r="T48" s="8"/>
      <c r="U48" s="10"/>
      <c r="V48" s="8"/>
    </row>
    <row r="49" spans="1:22">
      <c r="A49" s="8"/>
      <c r="B49" s="8"/>
      <c r="C49" s="8"/>
      <c r="D49" s="8"/>
      <c r="E49" s="8"/>
      <c r="F49" s="8"/>
      <c r="G49" s="8"/>
      <c r="H49" s="13"/>
      <c r="I49" s="13"/>
      <c r="J49" s="16" t="str">
        <f t="shared" si="0"/>
        <v/>
      </c>
      <c r="K49" s="8"/>
      <c r="L49" s="13"/>
      <c r="M49" s="13"/>
      <c r="N49" s="13"/>
      <c r="O49" s="10"/>
      <c r="P49" s="10"/>
      <c r="Q49" s="10"/>
      <c r="R49" s="10"/>
      <c r="S49" s="8"/>
      <c r="T49" s="8"/>
      <c r="U49" s="10"/>
      <c r="V49" s="8"/>
    </row>
    <row r="50" spans="1:22">
      <c r="A50" s="8"/>
      <c r="B50" s="8"/>
      <c r="C50" s="8"/>
      <c r="D50" s="8"/>
      <c r="E50" s="8"/>
      <c r="F50" s="8"/>
      <c r="G50" s="8"/>
      <c r="H50" s="13"/>
      <c r="I50" s="13"/>
      <c r="J50" s="16" t="str">
        <f t="shared" si="0"/>
        <v/>
      </c>
      <c r="K50" s="8"/>
      <c r="L50" s="13"/>
      <c r="M50" s="13"/>
      <c r="N50" s="13"/>
      <c r="O50" s="10"/>
      <c r="P50" s="10"/>
      <c r="Q50" s="10"/>
      <c r="R50" s="10"/>
      <c r="S50" s="8"/>
      <c r="T50" s="8"/>
      <c r="U50" s="10"/>
      <c r="V50" s="8"/>
    </row>
    <row r="51" spans="1:22">
      <c r="A51" s="8"/>
      <c r="B51" s="8"/>
      <c r="C51" s="8"/>
      <c r="D51" s="8"/>
      <c r="E51" s="8"/>
      <c r="F51" s="8"/>
      <c r="G51" s="8"/>
      <c r="H51" s="13"/>
      <c r="I51" s="13"/>
      <c r="J51" s="16" t="str">
        <f t="shared" si="0"/>
        <v/>
      </c>
      <c r="K51" s="8"/>
      <c r="L51" s="13"/>
      <c r="M51" s="13"/>
      <c r="N51" s="13"/>
      <c r="O51" s="10"/>
      <c r="P51" s="10"/>
      <c r="Q51" s="10"/>
      <c r="R51" s="10"/>
      <c r="S51" s="8"/>
      <c r="T51" s="8"/>
      <c r="U51" s="10"/>
      <c r="V51" s="8"/>
    </row>
    <row r="52" spans="1:22">
      <c r="A52" s="8"/>
      <c r="B52" s="8"/>
      <c r="C52" s="8"/>
      <c r="D52" s="8"/>
      <c r="E52" s="8"/>
      <c r="F52" s="8"/>
      <c r="G52" s="8"/>
      <c r="H52" s="13"/>
      <c r="I52" s="13"/>
      <c r="J52" s="16" t="str">
        <f t="shared" si="0"/>
        <v/>
      </c>
      <c r="K52" s="8"/>
      <c r="L52" s="13"/>
      <c r="M52" s="13"/>
      <c r="N52" s="13"/>
      <c r="O52" s="10"/>
      <c r="P52" s="10"/>
      <c r="Q52" s="10"/>
      <c r="R52" s="10"/>
      <c r="S52" s="8"/>
      <c r="T52" s="8"/>
      <c r="U52" s="10"/>
      <c r="V52" s="8"/>
    </row>
    <row r="53" spans="1:22">
      <c r="A53" s="8"/>
      <c r="B53" s="8"/>
      <c r="C53" s="8"/>
      <c r="D53" s="8"/>
      <c r="E53" s="8"/>
      <c r="F53" s="8"/>
      <c r="G53" s="8"/>
      <c r="H53" s="13"/>
      <c r="I53" s="13"/>
      <c r="J53" s="16" t="str">
        <f t="shared" si="0"/>
        <v/>
      </c>
      <c r="K53" s="8"/>
      <c r="L53" s="13"/>
      <c r="M53" s="13"/>
      <c r="N53" s="13"/>
      <c r="O53" s="10"/>
      <c r="P53" s="10"/>
      <c r="Q53" s="10"/>
      <c r="R53" s="10"/>
      <c r="S53" s="8"/>
      <c r="T53" s="8"/>
      <c r="U53" s="10"/>
      <c r="V53" s="8"/>
    </row>
    <row r="54" spans="1:22">
      <c r="A54" s="8"/>
      <c r="B54" s="8"/>
      <c r="C54" s="8"/>
      <c r="D54" s="8"/>
      <c r="E54" s="8"/>
      <c r="F54" s="8"/>
      <c r="G54" s="8"/>
      <c r="H54" s="13"/>
      <c r="I54" s="13"/>
      <c r="J54" s="16" t="str">
        <f t="shared" si="0"/>
        <v/>
      </c>
      <c r="K54" s="8"/>
      <c r="L54" s="13"/>
      <c r="M54" s="13"/>
      <c r="N54" s="13"/>
      <c r="O54" s="10"/>
      <c r="P54" s="10"/>
      <c r="Q54" s="10"/>
      <c r="R54" s="10"/>
      <c r="S54" s="8"/>
      <c r="T54" s="8"/>
      <c r="U54" s="10"/>
      <c r="V54" s="8"/>
    </row>
    <row r="55" spans="1:22">
      <c r="A55" s="8"/>
      <c r="B55" s="8"/>
      <c r="C55" s="8"/>
      <c r="D55" s="8"/>
      <c r="E55" s="8"/>
      <c r="F55" s="8"/>
      <c r="G55" s="8"/>
      <c r="H55" s="13"/>
      <c r="I55" s="13"/>
      <c r="J55" s="16" t="str">
        <f t="shared" si="0"/>
        <v/>
      </c>
      <c r="K55" s="8"/>
      <c r="L55" s="13"/>
      <c r="M55" s="13"/>
      <c r="N55" s="13"/>
      <c r="O55" s="10"/>
      <c r="P55" s="10"/>
      <c r="Q55" s="10"/>
      <c r="R55" s="10"/>
      <c r="S55" s="8"/>
      <c r="T55" s="8"/>
      <c r="U55" s="10"/>
      <c r="V55" s="8"/>
    </row>
    <row r="56" spans="1:22">
      <c r="A56" s="8"/>
      <c r="B56" s="8"/>
      <c r="C56" s="8"/>
      <c r="D56" s="8"/>
      <c r="E56" s="8"/>
      <c r="F56" s="8"/>
      <c r="G56" s="8"/>
      <c r="H56" s="13"/>
      <c r="I56" s="13"/>
      <c r="J56" s="16" t="str">
        <f t="shared" si="0"/>
        <v/>
      </c>
      <c r="K56" s="8"/>
      <c r="L56" s="13"/>
      <c r="M56" s="13"/>
      <c r="N56" s="13"/>
      <c r="O56" s="10"/>
      <c r="P56" s="10"/>
      <c r="Q56" s="10"/>
      <c r="R56" s="10"/>
      <c r="S56" s="8"/>
      <c r="T56" s="8"/>
      <c r="U56" s="10"/>
      <c r="V56" s="8"/>
    </row>
    <row r="57" spans="1:22">
      <c r="A57" s="8"/>
      <c r="B57" s="8"/>
      <c r="C57" s="8"/>
      <c r="D57" s="8"/>
      <c r="E57" s="8"/>
      <c r="F57" s="8"/>
      <c r="G57" s="8"/>
      <c r="H57" s="13"/>
      <c r="I57" s="13"/>
      <c r="J57" s="16" t="str">
        <f t="shared" si="0"/>
        <v/>
      </c>
      <c r="K57" s="8"/>
      <c r="L57" s="13"/>
      <c r="M57" s="13"/>
      <c r="N57" s="13"/>
      <c r="O57" s="10"/>
      <c r="P57" s="10"/>
      <c r="Q57" s="10"/>
      <c r="R57" s="10"/>
      <c r="S57" s="8"/>
      <c r="T57" s="8"/>
      <c r="U57" s="10"/>
      <c r="V57" s="8"/>
    </row>
    <row r="58" spans="1:22">
      <c r="A58" s="8"/>
      <c r="B58" s="8"/>
      <c r="C58" s="8"/>
      <c r="D58" s="8"/>
      <c r="E58" s="8"/>
      <c r="F58" s="8"/>
      <c r="G58" s="8"/>
      <c r="H58" s="13"/>
      <c r="I58" s="13"/>
      <c r="J58" s="16" t="str">
        <f t="shared" si="0"/>
        <v/>
      </c>
      <c r="K58" s="8"/>
      <c r="L58" s="13"/>
      <c r="M58" s="13"/>
      <c r="N58" s="13"/>
      <c r="O58" s="10"/>
      <c r="P58" s="10"/>
      <c r="Q58" s="10"/>
      <c r="R58" s="10"/>
      <c r="S58" s="8"/>
      <c r="T58" s="8"/>
      <c r="U58" s="10"/>
      <c r="V58" s="8"/>
    </row>
    <row r="59" spans="1:22">
      <c r="A59" s="8"/>
      <c r="B59" s="8"/>
      <c r="C59" s="8"/>
      <c r="D59" s="8"/>
      <c r="E59" s="8"/>
      <c r="F59" s="8"/>
      <c r="G59" s="8"/>
      <c r="H59" s="13"/>
      <c r="I59" s="13"/>
      <c r="J59" s="16" t="str">
        <f t="shared" si="0"/>
        <v/>
      </c>
      <c r="K59" s="8"/>
      <c r="L59" s="13"/>
      <c r="M59" s="13"/>
      <c r="N59" s="13"/>
      <c r="O59" s="10"/>
      <c r="P59" s="10"/>
      <c r="Q59" s="10"/>
      <c r="R59" s="10"/>
      <c r="S59" s="8"/>
      <c r="T59" s="8"/>
      <c r="U59" s="10"/>
      <c r="V59" s="8"/>
    </row>
    <row r="60" spans="1:22">
      <c r="A60" s="8"/>
      <c r="B60" s="8"/>
      <c r="C60" s="8"/>
      <c r="D60" s="8"/>
      <c r="E60" s="8"/>
      <c r="F60" s="8"/>
      <c r="G60" s="8"/>
      <c r="H60" s="13"/>
      <c r="I60" s="13"/>
      <c r="J60" s="16" t="str">
        <f t="shared" si="0"/>
        <v/>
      </c>
      <c r="K60" s="8"/>
      <c r="L60" s="13"/>
      <c r="M60" s="13"/>
      <c r="N60" s="13"/>
      <c r="O60" s="10"/>
      <c r="P60" s="10"/>
      <c r="Q60" s="10"/>
      <c r="R60" s="10"/>
      <c r="S60" s="8"/>
      <c r="T60" s="8"/>
      <c r="U60" s="10"/>
      <c r="V60" s="8"/>
    </row>
    <row r="61" spans="1:22">
      <c r="A61" s="8"/>
      <c r="B61" s="8"/>
      <c r="C61" s="8"/>
      <c r="D61" s="8"/>
      <c r="E61" s="8"/>
      <c r="F61" s="8"/>
      <c r="G61" s="8"/>
      <c r="H61" s="13"/>
      <c r="I61" s="13"/>
      <c r="J61" s="16" t="str">
        <f t="shared" si="0"/>
        <v/>
      </c>
      <c r="K61" s="8"/>
      <c r="L61" s="13"/>
      <c r="M61" s="13"/>
      <c r="N61" s="13"/>
      <c r="O61" s="10"/>
      <c r="P61" s="10"/>
      <c r="Q61" s="10"/>
      <c r="R61" s="10"/>
      <c r="S61" s="8"/>
      <c r="T61" s="8"/>
      <c r="U61" s="10"/>
      <c r="V61" s="8"/>
    </row>
    <row r="62" spans="1:22">
      <c r="A62" s="8"/>
      <c r="B62" s="8"/>
      <c r="C62" s="8"/>
      <c r="D62" s="8"/>
      <c r="E62" s="8"/>
      <c r="F62" s="8"/>
      <c r="G62" s="8"/>
      <c r="H62" s="13"/>
      <c r="I62" s="13"/>
      <c r="J62" s="16" t="str">
        <f t="shared" si="0"/>
        <v/>
      </c>
      <c r="K62" s="8"/>
      <c r="L62" s="13"/>
      <c r="M62" s="13"/>
      <c r="N62" s="13"/>
      <c r="O62" s="10"/>
      <c r="P62" s="10"/>
      <c r="Q62" s="10"/>
      <c r="R62" s="10"/>
      <c r="S62" s="8"/>
      <c r="T62" s="8"/>
      <c r="U62" s="10"/>
      <c r="V62" s="8"/>
    </row>
    <row r="63" spans="1:22">
      <c r="A63" s="8"/>
      <c r="B63" s="8"/>
      <c r="C63" s="8"/>
      <c r="D63" s="8"/>
      <c r="E63" s="8"/>
      <c r="F63" s="8"/>
      <c r="G63" s="8"/>
      <c r="H63" s="13"/>
      <c r="I63" s="13"/>
      <c r="J63" s="16" t="str">
        <f t="shared" si="0"/>
        <v/>
      </c>
      <c r="K63" s="8"/>
      <c r="L63" s="13"/>
      <c r="M63" s="13"/>
      <c r="N63" s="13"/>
      <c r="O63" s="10"/>
      <c r="P63" s="10"/>
      <c r="Q63" s="10"/>
      <c r="R63" s="10"/>
      <c r="S63" s="8"/>
      <c r="T63" s="8"/>
      <c r="U63" s="10"/>
      <c r="V63" s="8"/>
    </row>
    <row r="64" spans="1:22">
      <c r="A64" s="8"/>
      <c r="B64" s="8"/>
      <c r="C64" s="8"/>
      <c r="D64" s="8"/>
      <c r="E64" s="8"/>
      <c r="F64" s="8"/>
      <c r="G64" s="8"/>
      <c r="H64" s="13"/>
      <c r="I64" s="13"/>
      <c r="J64" s="16" t="str">
        <f t="shared" si="0"/>
        <v/>
      </c>
      <c r="K64" s="8"/>
      <c r="L64" s="13"/>
      <c r="M64" s="13"/>
      <c r="N64" s="13"/>
      <c r="O64" s="10"/>
      <c r="P64" s="10"/>
      <c r="Q64" s="10"/>
      <c r="R64" s="10"/>
      <c r="S64" s="8"/>
      <c r="T64" s="8"/>
      <c r="U64" s="10"/>
      <c r="V64" s="8"/>
    </row>
    <row r="65" spans="1:22">
      <c r="A65" s="8"/>
      <c r="B65" s="8"/>
      <c r="C65" s="8"/>
      <c r="D65" s="8"/>
      <c r="E65" s="8"/>
      <c r="F65" s="8"/>
      <c r="G65" s="8"/>
      <c r="H65" s="13"/>
      <c r="I65" s="13"/>
      <c r="J65" s="16" t="str">
        <f t="shared" si="0"/>
        <v/>
      </c>
      <c r="K65" s="8"/>
      <c r="L65" s="13"/>
      <c r="M65" s="13"/>
      <c r="N65" s="13"/>
      <c r="O65" s="10"/>
      <c r="P65" s="10"/>
      <c r="Q65" s="10"/>
      <c r="R65" s="10"/>
      <c r="S65" s="8"/>
      <c r="T65" s="8"/>
      <c r="U65" s="10"/>
      <c r="V65" s="8"/>
    </row>
    <row r="66" spans="1:22">
      <c r="A66" s="8"/>
      <c r="B66" s="8"/>
      <c r="C66" s="8"/>
      <c r="D66" s="8"/>
      <c r="E66" s="8"/>
      <c r="F66" s="8"/>
      <c r="G66" s="8"/>
      <c r="H66" s="13"/>
      <c r="I66" s="13"/>
      <c r="J66" s="16" t="str">
        <f t="shared" si="0"/>
        <v/>
      </c>
      <c r="K66" s="8"/>
      <c r="L66" s="13"/>
      <c r="M66" s="13"/>
      <c r="N66" s="13"/>
      <c r="O66" s="10"/>
      <c r="P66" s="10"/>
      <c r="Q66" s="10"/>
      <c r="R66" s="10"/>
      <c r="S66" s="8"/>
      <c r="T66" s="8"/>
      <c r="U66" s="10"/>
      <c r="V66" s="8"/>
    </row>
    <row r="67" spans="1:22">
      <c r="A67" s="8"/>
      <c r="B67" s="8"/>
      <c r="C67" s="8"/>
      <c r="D67" s="8"/>
      <c r="E67" s="8"/>
      <c r="F67" s="8"/>
      <c r="G67" s="8"/>
      <c r="H67" s="13"/>
      <c r="I67" s="13"/>
      <c r="J67" s="16" t="str">
        <f t="shared" si="0"/>
        <v/>
      </c>
      <c r="K67" s="8"/>
      <c r="L67" s="13"/>
      <c r="M67" s="13"/>
      <c r="N67" s="13"/>
      <c r="O67" s="10"/>
      <c r="P67" s="10"/>
      <c r="Q67" s="10"/>
      <c r="R67" s="10"/>
      <c r="S67" s="8"/>
      <c r="T67" s="8"/>
      <c r="U67" s="10"/>
      <c r="V67" s="8"/>
    </row>
    <row r="68" spans="1:22">
      <c r="A68" s="8"/>
      <c r="B68" s="8"/>
      <c r="C68" s="8"/>
      <c r="D68" s="8"/>
      <c r="E68" s="8"/>
      <c r="F68" s="8"/>
      <c r="G68" s="8"/>
      <c r="H68" s="13"/>
      <c r="I68" s="13"/>
      <c r="J68" s="16" t="str">
        <f t="shared" si="0"/>
        <v/>
      </c>
      <c r="K68" s="8"/>
      <c r="L68" s="13"/>
      <c r="M68" s="13"/>
      <c r="N68" s="13"/>
      <c r="O68" s="10"/>
      <c r="P68" s="10"/>
      <c r="Q68" s="10"/>
      <c r="R68" s="10"/>
      <c r="S68" s="8"/>
      <c r="T68" s="8"/>
      <c r="U68" s="10"/>
      <c r="V68" s="8"/>
    </row>
    <row r="69" spans="1:22">
      <c r="A69" s="8"/>
      <c r="B69" s="8"/>
      <c r="C69" s="8"/>
      <c r="D69" s="8"/>
      <c r="E69" s="8"/>
      <c r="F69" s="8"/>
      <c r="G69" s="8"/>
      <c r="H69" s="13"/>
      <c r="I69" s="13"/>
      <c r="J69" s="16" t="str">
        <f t="shared" ref="J69:J132" si="1">IF(OR(A69="",H69=0),"",I69/H69)</f>
        <v/>
      </c>
      <c r="K69" s="8"/>
      <c r="L69" s="13"/>
      <c r="M69" s="13"/>
      <c r="N69" s="13"/>
      <c r="O69" s="10"/>
      <c r="P69" s="10"/>
      <c r="Q69" s="10"/>
      <c r="R69" s="10"/>
      <c r="S69" s="8"/>
      <c r="T69" s="8"/>
      <c r="U69" s="10"/>
      <c r="V69" s="8"/>
    </row>
    <row r="70" spans="1:22">
      <c r="A70" s="8"/>
      <c r="B70" s="8"/>
      <c r="C70" s="8"/>
      <c r="D70" s="8"/>
      <c r="E70" s="8"/>
      <c r="F70" s="8"/>
      <c r="G70" s="8"/>
      <c r="H70" s="13"/>
      <c r="I70" s="13"/>
      <c r="J70" s="16" t="str">
        <f t="shared" si="1"/>
        <v/>
      </c>
      <c r="K70" s="8"/>
      <c r="L70" s="13"/>
      <c r="M70" s="13"/>
      <c r="N70" s="13"/>
      <c r="O70" s="10"/>
      <c r="P70" s="10"/>
      <c r="Q70" s="10"/>
      <c r="R70" s="10"/>
      <c r="S70" s="8"/>
      <c r="T70" s="8"/>
      <c r="U70" s="10"/>
      <c r="V70" s="8"/>
    </row>
    <row r="71" spans="1:22">
      <c r="A71" s="8"/>
      <c r="B71" s="8"/>
      <c r="C71" s="8"/>
      <c r="D71" s="8"/>
      <c r="E71" s="8"/>
      <c r="F71" s="8"/>
      <c r="G71" s="8"/>
      <c r="H71" s="13"/>
      <c r="I71" s="13"/>
      <c r="J71" s="16" t="str">
        <f t="shared" si="1"/>
        <v/>
      </c>
      <c r="K71" s="8"/>
      <c r="L71" s="13"/>
      <c r="M71" s="13"/>
      <c r="N71" s="13"/>
      <c r="O71" s="10"/>
      <c r="P71" s="10"/>
      <c r="Q71" s="10"/>
      <c r="R71" s="10"/>
      <c r="S71" s="8"/>
      <c r="T71" s="8"/>
      <c r="U71" s="10"/>
      <c r="V71" s="8"/>
    </row>
    <row r="72" spans="1:22">
      <c r="A72" s="8"/>
      <c r="B72" s="8"/>
      <c r="C72" s="8"/>
      <c r="D72" s="8"/>
      <c r="E72" s="8"/>
      <c r="F72" s="8"/>
      <c r="G72" s="8"/>
      <c r="H72" s="13"/>
      <c r="I72" s="13"/>
      <c r="J72" s="16" t="str">
        <f t="shared" si="1"/>
        <v/>
      </c>
      <c r="K72" s="8"/>
      <c r="L72" s="13"/>
      <c r="M72" s="13"/>
      <c r="N72" s="13"/>
      <c r="O72" s="10"/>
      <c r="P72" s="10"/>
      <c r="Q72" s="10"/>
      <c r="R72" s="10"/>
      <c r="S72" s="8"/>
      <c r="T72" s="8"/>
      <c r="U72" s="10"/>
      <c r="V72" s="8"/>
    </row>
    <row r="73" spans="1:22">
      <c r="A73" s="8"/>
      <c r="B73" s="8"/>
      <c r="C73" s="8"/>
      <c r="D73" s="8"/>
      <c r="E73" s="8"/>
      <c r="F73" s="8"/>
      <c r="G73" s="8"/>
      <c r="H73" s="13"/>
      <c r="I73" s="13"/>
      <c r="J73" s="16" t="str">
        <f t="shared" si="1"/>
        <v/>
      </c>
      <c r="K73" s="8"/>
      <c r="L73" s="13"/>
      <c r="M73" s="13"/>
      <c r="N73" s="13"/>
      <c r="O73" s="10"/>
      <c r="P73" s="10"/>
      <c r="Q73" s="10"/>
      <c r="R73" s="10"/>
      <c r="S73" s="8"/>
      <c r="T73" s="8"/>
      <c r="U73" s="10"/>
      <c r="V73" s="8"/>
    </row>
    <row r="74" spans="1:22">
      <c r="A74" s="8"/>
      <c r="B74" s="8"/>
      <c r="C74" s="8"/>
      <c r="D74" s="8"/>
      <c r="E74" s="8"/>
      <c r="F74" s="8"/>
      <c r="G74" s="8"/>
      <c r="H74" s="13"/>
      <c r="I74" s="13"/>
      <c r="J74" s="16" t="str">
        <f t="shared" si="1"/>
        <v/>
      </c>
      <c r="K74" s="8"/>
      <c r="L74" s="13"/>
      <c r="M74" s="13"/>
      <c r="N74" s="13"/>
      <c r="O74" s="10"/>
      <c r="P74" s="10"/>
      <c r="Q74" s="10"/>
      <c r="R74" s="10"/>
      <c r="S74" s="8"/>
      <c r="T74" s="8"/>
      <c r="U74" s="10"/>
      <c r="V74" s="8"/>
    </row>
    <row r="75" spans="1:22">
      <c r="A75" s="8"/>
      <c r="B75" s="8"/>
      <c r="C75" s="8"/>
      <c r="D75" s="8"/>
      <c r="E75" s="8"/>
      <c r="F75" s="8"/>
      <c r="G75" s="8"/>
      <c r="H75" s="13"/>
      <c r="I75" s="13"/>
      <c r="J75" s="16" t="str">
        <f t="shared" si="1"/>
        <v/>
      </c>
      <c r="K75" s="8"/>
      <c r="L75" s="13"/>
      <c r="M75" s="13"/>
      <c r="N75" s="13"/>
      <c r="O75" s="10"/>
      <c r="P75" s="10"/>
      <c r="Q75" s="10"/>
      <c r="R75" s="10"/>
      <c r="S75" s="8"/>
      <c r="T75" s="8"/>
      <c r="U75" s="10"/>
      <c r="V75" s="8"/>
    </row>
    <row r="76" spans="1:22">
      <c r="A76" s="8"/>
      <c r="B76" s="8"/>
      <c r="C76" s="8"/>
      <c r="D76" s="8"/>
      <c r="E76" s="8"/>
      <c r="F76" s="8"/>
      <c r="G76" s="8"/>
      <c r="H76" s="13"/>
      <c r="I76" s="13"/>
      <c r="J76" s="16" t="str">
        <f t="shared" si="1"/>
        <v/>
      </c>
      <c r="K76" s="8"/>
      <c r="L76" s="13"/>
      <c r="M76" s="13"/>
      <c r="N76" s="13"/>
      <c r="O76" s="10"/>
      <c r="P76" s="10"/>
      <c r="Q76" s="10"/>
      <c r="R76" s="10"/>
      <c r="S76" s="8"/>
      <c r="T76" s="8"/>
      <c r="U76" s="10"/>
      <c r="V76" s="8"/>
    </row>
    <row r="77" spans="1:22">
      <c r="A77" s="8"/>
      <c r="B77" s="8"/>
      <c r="C77" s="8"/>
      <c r="D77" s="8"/>
      <c r="E77" s="8"/>
      <c r="F77" s="8"/>
      <c r="G77" s="8"/>
      <c r="H77" s="13"/>
      <c r="I77" s="13"/>
      <c r="J77" s="16" t="str">
        <f t="shared" si="1"/>
        <v/>
      </c>
      <c r="K77" s="8"/>
      <c r="L77" s="13"/>
      <c r="M77" s="13"/>
      <c r="N77" s="13"/>
      <c r="O77" s="10"/>
      <c r="P77" s="10"/>
      <c r="Q77" s="10"/>
      <c r="R77" s="10"/>
      <c r="S77" s="8"/>
      <c r="T77" s="8"/>
      <c r="U77" s="10"/>
      <c r="V77" s="8"/>
    </row>
    <row r="78" spans="1:22">
      <c r="A78" s="8"/>
      <c r="B78" s="8"/>
      <c r="C78" s="8"/>
      <c r="D78" s="8"/>
      <c r="E78" s="8"/>
      <c r="F78" s="8"/>
      <c r="G78" s="8"/>
      <c r="H78" s="13"/>
      <c r="I78" s="13"/>
      <c r="J78" s="16" t="str">
        <f t="shared" si="1"/>
        <v/>
      </c>
      <c r="K78" s="8"/>
      <c r="L78" s="13"/>
      <c r="M78" s="13"/>
      <c r="N78" s="13"/>
      <c r="O78" s="10"/>
      <c r="P78" s="10"/>
      <c r="Q78" s="10"/>
      <c r="R78" s="10"/>
      <c r="S78" s="8"/>
      <c r="T78" s="8"/>
      <c r="U78" s="10"/>
      <c r="V78" s="8"/>
    </row>
    <row r="79" spans="1:22">
      <c r="A79" s="8"/>
      <c r="B79" s="8"/>
      <c r="C79" s="8"/>
      <c r="D79" s="8"/>
      <c r="E79" s="8"/>
      <c r="F79" s="8"/>
      <c r="G79" s="8"/>
      <c r="H79" s="13"/>
      <c r="I79" s="13"/>
      <c r="J79" s="16" t="str">
        <f t="shared" si="1"/>
        <v/>
      </c>
      <c r="K79" s="8"/>
      <c r="L79" s="13"/>
      <c r="M79" s="13"/>
      <c r="N79" s="13"/>
      <c r="O79" s="10"/>
      <c r="P79" s="10"/>
      <c r="Q79" s="10"/>
      <c r="R79" s="10"/>
      <c r="S79" s="8"/>
      <c r="T79" s="8"/>
      <c r="U79" s="10"/>
      <c r="V79" s="8"/>
    </row>
    <row r="80" spans="1:22">
      <c r="A80" s="8"/>
      <c r="B80" s="8"/>
      <c r="C80" s="8"/>
      <c r="D80" s="8"/>
      <c r="E80" s="8"/>
      <c r="F80" s="8"/>
      <c r="G80" s="8"/>
      <c r="H80" s="13"/>
      <c r="I80" s="13"/>
      <c r="J80" s="16" t="str">
        <f t="shared" si="1"/>
        <v/>
      </c>
      <c r="K80" s="8"/>
      <c r="L80" s="13"/>
      <c r="M80" s="13"/>
      <c r="N80" s="13"/>
      <c r="O80" s="10"/>
      <c r="P80" s="10"/>
      <c r="Q80" s="10"/>
      <c r="R80" s="10"/>
      <c r="S80" s="8"/>
      <c r="T80" s="8"/>
      <c r="U80" s="10"/>
      <c r="V80" s="8"/>
    </row>
    <row r="81" spans="1:22">
      <c r="A81" s="8"/>
      <c r="B81" s="8"/>
      <c r="C81" s="8"/>
      <c r="D81" s="8"/>
      <c r="E81" s="8"/>
      <c r="F81" s="8"/>
      <c r="G81" s="8"/>
      <c r="H81" s="13"/>
      <c r="I81" s="13"/>
      <c r="J81" s="16" t="str">
        <f t="shared" si="1"/>
        <v/>
      </c>
      <c r="K81" s="8"/>
      <c r="L81" s="13"/>
      <c r="M81" s="13"/>
      <c r="N81" s="13"/>
      <c r="O81" s="10"/>
      <c r="P81" s="10"/>
      <c r="Q81" s="10"/>
      <c r="R81" s="10"/>
      <c r="S81" s="8"/>
      <c r="T81" s="8"/>
      <c r="U81" s="10"/>
      <c r="V81" s="8"/>
    </row>
    <row r="82" spans="1:22">
      <c r="A82" s="8"/>
      <c r="B82" s="8"/>
      <c r="C82" s="8"/>
      <c r="D82" s="8"/>
      <c r="E82" s="8"/>
      <c r="F82" s="8"/>
      <c r="G82" s="8"/>
      <c r="H82" s="13"/>
      <c r="I82" s="13"/>
      <c r="J82" s="16" t="str">
        <f t="shared" si="1"/>
        <v/>
      </c>
      <c r="K82" s="8"/>
      <c r="L82" s="13"/>
      <c r="M82" s="13"/>
      <c r="N82" s="13"/>
      <c r="O82" s="10"/>
      <c r="P82" s="10"/>
      <c r="Q82" s="10"/>
      <c r="R82" s="10"/>
      <c r="S82" s="8"/>
      <c r="T82" s="8"/>
      <c r="U82" s="10"/>
      <c r="V82" s="8"/>
    </row>
    <row r="83" spans="1:22">
      <c r="A83" s="8"/>
      <c r="B83" s="8"/>
      <c r="C83" s="8"/>
      <c r="D83" s="8"/>
      <c r="E83" s="8"/>
      <c r="F83" s="8"/>
      <c r="G83" s="8"/>
      <c r="H83" s="13"/>
      <c r="I83" s="13"/>
      <c r="J83" s="16" t="str">
        <f t="shared" si="1"/>
        <v/>
      </c>
      <c r="K83" s="8"/>
      <c r="L83" s="13"/>
      <c r="M83" s="13"/>
      <c r="N83" s="13"/>
      <c r="O83" s="10"/>
      <c r="P83" s="10"/>
      <c r="Q83" s="10"/>
      <c r="R83" s="10"/>
      <c r="S83" s="8"/>
      <c r="T83" s="8"/>
      <c r="U83" s="10"/>
      <c r="V83" s="8"/>
    </row>
    <row r="84" spans="1:22">
      <c r="A84" s="8"/>
      <c r="B84" s="8"/>
      <c r="C84" s="8"/>
      <c r="D84" s="8"/>
      <c r="E84" s="8"/>
      <c r="F84" s="8"/>
      <c r="G84" s="8"/>
      <c r="H84" s="13"/>
      <c r="I84" s="13"/>
      <c r="J84" s="16" t="str">
        <f t="shared" si="1"/>
        <v/>
      </c>
      <c r="K84" s="8"/>
      <c r="L84" s="13"/>
      <c r="M84" s="13"/>
      <c r="N84" s="13"/>
      <c r="O84" s="10"/>
      <c r="P84" s="10"/>
      <c r="Q84" s="10"/>
      <c r="R84" s="10"/>
      <c r="S84" s="8"/>
      <c r="T84" s="8"/>
      <c r="U84" s="10"/>
      <c r="V84" s="8"/>
    </row>
    <row r="85" spans="1:22">
      <c r="A85" s="8"/>
      <c r="B85" s="8"/>
      <c r="C85" s="8"/>
      <c r="D85" s="8"/>
      <c r="E85" s="8"/>
      <c r="F85" s="8"/>
      <c r="G85" s="8"/>
      <c r="H85" s="13"/>
      <c r="I85" s="13"/>
      <c r="J85" s="16" t="str">
        <f t="shared" si="1"/>
        <v/>
      </c>
      <c r="K85" s="8"/>
      <c r="L85" s="13"/>
      <c r="M85" s="13"/>
      <c r="N85" s="13"/>
      <c r="O85" s="10"/>
      <c r="P85" s="10"/>
      <c r="Q85" s="10"/>
      <c r="R85" s="10"/>
      <c r="S85" s="8"/>
      <c r="T85" s="8"/>
      <c r="U85" s="10"/>
      <c r="V85" s="8"/>
    </row>
    <row r="86" spans="1:22">
      <c r="A86" s="8"/>
      <c r="B86" s="8"/>
      <c r="C86" s="8"/>
      <c r="D86" s="8"/>
      <c r="E86" s="8"/>
      <c r="F86" s="8"/>
      <c r="G86" s="8"/>
      <c r="H86" s="13"/>
      <c r="I86" s="13"/>
      <c r="J86" s="16" t="str">
        <f t="shared" si="1"/>
        <v/>
      </c>
      <c r="K86" s="8"/>
      <c r="L86" s="13"/>
      <c r="M86" s="13"/>
      <c r="N86" s="13"/>
      <c r="O86" s="10"/>
      <c r="P86" s="10"/>
      <c r="Q86" s="10"/>
      <c r="R86" s="10"/>
      <c r="S86" s="8"/>
      <c r="T86" s="8"/>
      <c r="U86" s="10"/>
      <c r="V86" s="8"/>
    </row>
    <row r="87" spans="1:22">
      <c r="A87" s="8"/>
      <c r="B87" s="8"/>
      <c r="C87" s="8"/>
      <c r="D87" s="8"/>
      <c r="E87" s="8"/>
      <c r="F87" s="8"/>
      <c r="G87" s="8"/>
      <c r="H87" s="13"/>
      <c r="I87" s="13"/>
      <c r="J87" s="16" t="str">
        <f t="shared" si="1"/>
        <v/>
      </c>
      <c r="K87" s="8"/>
      <c r="L87" s="13"/>
      <c r="M87" s="13"/>
      <c r="N87" s="13"/>
      <c r="O87" s="10"/>
      <c r="P87" s="10"/>
      <c r="Q87" s="10"/>
      <c r="R87" s="10"/>
      <c r="S87" s="8"/>
      <c r="T87" s="8"/>
      <c r="U87" s="10"/>
      <c r="V87" s="8"/>
    </row>
    <row r="88" spans="1:22">
      <c r="A88" s="8"/>
      <c r="B88" s="8"/>
      <c r="C88" s="8"/>
      <c r="D88" s="8"/>
      <c r="E88" s="8"/>
      <c r="F88" s="8"/>
      <c r="G88" s="8"/>
      <c r="H88" s="13"/>
      <c r="I88" s="13"/>
      <c r="J88" s="16" t="str">
        <f t="shared" si="1"/>
        <v/>
      </c>
      <c r="K88" s="8"/>
      <c r="L88" s="13"/>
      <c r="M88" s="13"/>
      <c r="N88" s="13"/>
      <c r="O88" s="10"/>
      <c r="P88" s="10"/>
      <c r="Q88" s="10"/>
      <c r="R88" s="10"/>
      <c r="S88" s="8"/>
      <c r="T88" s="8"/>
      <c r="U88" s="10"/>
      <c r="V88" s="8"/>
    </row>
    <row r="89" spans="1:22">
      <c r="A89" s="8"/>
      <c r="B89" s="8"/>
      <c r="C89" s="8"/>
      <c r="D89" s="8"/>
      <c r="E89" s="8"/>
      <c r="F89" s="8"/>
      <c r="G89" s="8"/>
      <c r="H89" s="13"/>
      <c r="I89" s="13"/>
      <c r="J89" s="16" t="str">
        <f t="shared" si="1"/>
        <v/>
      </c>
      <c r="K89" s="8"/>
      <c r="L89" s="13"/>
      <c r="M89" s="13"/>
      <c r="N89" s="13"/>
      <c r="O89" s="10"/>
      <c r="P89" s="10"/>
      <c r="Q89" s="10"/>
      <c r="R89" s="10"/>
      <c r="S89" s="8"/>
      <c r="T89" s="8"/>
      <c r="U89" s="10"/>
      <c r="V89" s="8"/>
    </row>
    <row r="90" spans="1:22">
      <c r="A90" s="8"/>
      <c r="B90" s="8"/>
      <c r="C90" s="8"/>
      <c r="D90" s="8"/>
      <c r="E90" s="8"/>
      <c r="F90" s="8"/>
      <c r="G90" s="8"/>
      <c r="H90" s="13"/>
      <c r="I90" s="13"/>
      <c r="J90" s="16" t="str">
        <f t="shared" si="1"/>
        <v/>
      </c>
      <c r="K90" s="8"/>
      <c r="L90" s="13"/>
      <c r="M90" s="13"/>
      <c r="N90" s="13"/>
      <c r="O90" s="10"/>
      <c r="P90" s="10"/>
      <c r="Q90" s="10"/>
      <c r="R90" s="10"/>
      <c r="S90" s="8"/>
      <c r="T90" s="8"/>
      <c r="U90" s="10"/>
      <c r="V90" s="8"/>
    </row>
    <row r="91" spans="1:22">
      <c r="A91" s="8"/>
      <c r="B91" s="8"/>
      <c r="C91" s="8"/>
      <c r="D91" s="8"/>
      <c r="E91" s="8"/>
      <c r="F91" s="8"/>
      <c r="G91" s="8"/>
      <c r="H91" s="13"/>
      <c r="I91" s="13"/>
      <c r="J91" s="16" t="str">
        <f t="shared" si="1"/>
        <v/>
      </c>
      <c r="K91" s="8"/>
      <c r="L91" s="13"/>
      <c r="M91" s="13"/>
      <c r="N91" s="13"/>
      <c r="O91" s="10"/>
      <c r="P91" s="10"/>
      <c r="Q91" s="10"/>
      <c r="R91" s="10"/>
      <c r="S91" s="8"/>
      <c r="T91" s="8"/>
      <c r="U91" s="10"/>
      <c r="V91" s="8"/>
    </row>
    <row r="92" spans="1:22">
      <c r="A92" s="8"/>
      <c r="B92" s="8"/>
      <c r="C92" s="8"/>
      <c r="D92" s="8"/>
      <c r="E92" s="8"/>
      <c r="F92" s="8"/>
      <c r="G92" s="8"/>
      <c r="H92" s="13"/>
      <c r="I92" s="13"/>
      <c r="J92" s="16" t="str">
        <f t="shared" si="1"/>
        <v/>
      </c>
      <c r="K92" s="8"/>
      <c r="L92" s="13"/>
      <c r="M92" s="13"/>
      <c r="N92" s="13"/>
      <c r="O92" s="10"/>
      <c r="P92" s="10"/>
      <c r="Q92" s="10"/>
      <c r="R92" s="10"/>
      <c r="S92" s="8"/>
      <c r="T92" s="8"/>
      <c r="U92" s="10"/>
      <c r="V92" s="8"/>
    </row>
    <row r="93" spans="1:22">
      <c r="A93" s="8"/>
      <c r="B93" s="8"/>
      <c r="C93" s="8"/>
      <c r="D93" s="8"/>
      <c r="E93" s="8"/>
      <c r="F93" s="8"/>
      <c r="G93" s="8"/>
      <c r="H93" s="13"/>
      <c r="I93" s="13"/>
      <c r="J93" s="16" t="str">
        <f t="shared" si="1"/>
        <v/>
      </c>
      <c r="K93" s="8"/>
      <c r="L93" s="13"/>
      <c r="M93" s="13"/>
      <c r="N93" s="13"/>
      <c r="O93" s="10"/>
      <c r="P93" s="10"/>
      <c r="Q93" s="10"/>
      <c r="R93" s="10"/>
      <c r="S93" s="8"/>
      <c r="T93" s="8"/>
      <c r="U93" s="10"/>
      <c r="V93" s="8"/>
    </row>
    <row r="94" spans="1:22">
      <c r="A94" s="8"/>
      <c r="B94" s="8"/>
      <c r="C94" s="8"/>
      <c r="D94" s="8"/>
      <c r="E94" s="8"/>
      <c r="F94" s="8"/>
      <c r="G94" s="8"/>
      <c r="H94" s="13"/>
      <c r="I94" s="13"/>
      <c r="J94" s="16" t="str">
        <f t="shared" si="1"/>
        <v/>
      </c>
      <c r="K94" s="8"/>
      <c r="L94" s="13"/>
      <c r="M94" s="13"/>
      <c r="N94" s="13"/>
      <c r="O94" s="10"/>
      <c r="P94" s="10"/>
      <c r="Q94" s="10"/>
      <c r="R94" s="10"/>
      <c r="S94" s="8"/>
      <c r="T94" s="8"/>
      <c r="U94" s="10"/>
      <c r="V94" s="8"/>
    </row>
    <row r="95" spans="1:22">
      <c r="A95" s="8"/>
      <c r="B95" s="8"/>
      <c r="C95" s="8"/>
      <c r="D95" s="8"/>
      <c r="E95" s="8"/>
      <c r="F95" s="8"/>
      <c r="G95" s="8"/>
      <c r="H95" s="13"/>
      <c r="I95" s="13"/>
      <c r="J95" s="16" t="str">
        <f t="shared" si="1"/>
        <v/>
      </c>
      <c r="K95" s="8"/>
      <c r="L95" s="13"/>
      <c r="M95" s="13"/>
      <c r="N95" s="13"/>
      <c r="O95" s="10"/>
      <c r="P95" s="10"/>
      <c r="Q95" s="10"/>
      <c r="R95" s="10"/>
      <c r="S95" s="8"/>
      <c r="T95" s="8"/>
      <c r="U95" s="10"/>
      <c r="V95" s="8"/>
    </row>
    <row r="96" spans="1:22">
      <c r="A96" s="8"/>
      <c r="B96" s="8"/>
      <c r="C96" s="8"/>
      <c r="D96" s="8"/>
      <c r="E96" s="8"/>
      <c r="F96" s="8"/>
      <c r="G96" s="8"/>
      <c r="H96" s="13"/>
      <c r="I96" s="13"/>
      <c r="J96" s="16" t="str">
        <f t="shared" si="1"/>
        <v/>
      </c>
      <c r="K96" s="8"/>
      <c r="L96" s="13"/>
      <c r="M96" s="13"/>
      <c r="N96" s="13"/>
      <c r="O96" s="10"/>
      <c r="P96" s="10"/>
      <c r="Q96" s="10"/>
      <c r="R96" s="10"/>
      <c r="S96" s="8"/>
      <c r="T96" s="8"/>
      <c r="U96" s="10"/>
      <c r="V96" s="8"/>
    </row>
    <row r="97" spans="1:22">
      <c r="A97" s="8"/>
      <c r="B97" s="8"/>
      <c r="C97" s="8"/>
      <c r="D97" s="8"/>
      <c r="E97" s="8"/>
      <c r="F97" s="8"/>
      <c r="G97" s="8"/>
      <c r="H97" s="13"/>
      <c r="I97" s="13"/>
      <c r="J97" s="16" t="str">
        <f t="shared" si="1"/>
        <v/>
      </c>
      <c r="K97" s="8"/>
      <c r="L97" s="13"/>
      <c r="M97" s="13"/>
      <c r="N97" s="13"/>
      <c r="O97" s="10"/>
      <c r="P97" s="10"/>
      <c r="Q97" s="10"/>
      <c r="R97" s="10"/>
      <c r="S97" s="8"/>
      <c r="T97" s="8"/>
      <c r="U97" s="10"/>
      <c r="V97" s="8"/>
    </row>
    <row r="98" spans="1:22">
      <c r="A98" s="8"/>
      <c r="B98" s="8"/>
      <c r="C98" s="8"/>
      <c r="D98" s="8"/>
      <c r="E98" s="8"/>
      <c r="F98" s="8"/>
      <c r="G98" s="8"/>
      <c r="H98" s="13"/>
      <c r="I98" s="13"/>
      <c r="J98" s="16" t="str">
        <f t="shared" si="1"/>
        <v/>
      </c>
      <c r="K98" s="8"/>
      <c r="L98" s="13"/>
      <c r="M98" s="13"/>
      <c r="N98" s="13"/>
      <c r="O98" s="10"/>
      <c r="P98" s="10"/>
      <c r="Q98" s="10"/>
      <c r="R98" s="10"/>
      <c r="S98" s="8"/>
      <c r="T98" s="8"/>
      <c r="U98" s="10"/>
      <c r="V98" s="8"/>
    </row>
    <row r="99" spans="1:22">
      <c r="A99" s="8"/>
      <c r="B99" s="8"/>
      <c r="C99" s="8"/>
      <c r="D99" s="8"/>
      <c r="E99" s="8"/>
      <c r="F99" s="8"/>
      <c r="G99" s="8"/>
      <c r="H99" s="13"/>
      <c r="I99" s="13"/>
      <c r="J99" s="16" t="str">
        <f t="shared" si="1"/>
        <v/>
      </c>
      <c r="K99" s="8"/>
      <c r="L99" s="13"/>
      <c r="M99" s="13"/>
      <c r="N99" s="13"/>
      <c r="O99" s="10"/>
      <c r="P99" s="10"/>
      <c r="Q99" s="10"/>
      <c r="R99" s="10"/>
      <c r="S99" s="8"/>
      <c r="T99" s="8"/>
      <c r="U99" s="10"/>
      <c r="V99" s="8"/>
    </row>
    <row r="100" spans="1:22">
      <c r="A100" s="8"/>
      <c r="B100" s="8"/>
      <c r="C100" s="8"/>
      <c r="D100" s="8"/>
      <c r="E100" s="8"/>
      <c r="F100" s="8"/>
      <c r="G100" s="8"/>
      <c r="H100" s="13"/>
      <c r="I100" s="13"/>
      <c r="J100" s="16" t="str">
        <f t="shared" si="1"/>
        <v/>
      </c>
      <c r="K100" s="8"/>
      <c r="L100" s="13"/>
      <c r="M100" s="13"/>
      <c r="N100" s="13"/>
      <c r="O100" s="10"/>
      <c r="P100" s="10"/>
      <c r="Q100" s="10"/>
      <c r="R100" s="10"/>
      <c r="S100" s="8"/>
      <c r="T100" s="8"/>
      <c r="U100" s="10"/>
      <c r="V100" s="8"/>
    </row>
    <row r="101" spans="1:22">
      <c r="A101" s="8"/>
      <c r="B101" s="8"/>
      <c r="C101" s="8"/>
      <c r="D101" s="8"/>
      <c r="E101" s="8"/>
      <c r="F101" s="8"/>
      <c r="G101" s="8"/>
      <c r="H101" s="13"/>
      <c r="I101" s="13"/>
      <c r="J101" s="16" t="str">
        <f t="shared" si="1"/>
        <v/>
      </c>
      <c r="K101" s="8"/>
      <c r="L101" s="13"/>
      <c r="M101" s="13"/>
      <c r="N101" s="13"/>
      <c r="O101" s="10"/>
      <c r="P101" s="10"/>
      <c r="Q101" s="10"/>
      <c r="R101" s="10"/>
      <c r="S101" s="8"/>
      <c r="T101" s="8"/>
      <c r="U101" s="10"/>
      <c r="V101" s="8"/>
    </row>
    <row r="102" spans="1:22">
      <c r="A102" s="8"/>
      <c r="B102" s="8"/>
      <c r="C102" s="8"/>
      <c r="D102" s="8"/>
      <c r="E102" s="8"/>
      <c r="F102" s="8"/>
      <c r="G102" s="8"/>
      <c r="H102" s="13"/>
      <c r="I102" s="13"/>
      <c r="J102" s="16" t="str">
        <f t="shared" si="1"/>
        <v/>
      </c>
      <c r="K102" s="8"/>
      <c r="L102" s="13"/>
      <c r="M102" s="13"/>
      <c r="N102" s="13"/>
      <c r="O102" s="10"/>
      <c r="P102" s="10"/>
      <c r="Q102" s="10"/>
      <c r="R102" s="10"/>
      <c r="S102" s="8"/>
      <c r="T102" s="8"/>
      <c r="U102" s="10"/>
      <c r="V102" s="8"/>
    </row>
    <row r="103" spans="1:22">
      <c r="A103" s="8"/>
      <c r="B103" s="8"/>
      <c r="C103" s="8"/>
      <c r="D103" s="8"/>
      <c r="E103" s="8"/>
      <c r="F103" s="8"/>
      <c r="G103" s="8"/>
      <c r="H103" s="13"/>
      <c r="I103" s="13"/>
      <c r="J103" s="16" t="str">
        <f t="shared" si="1"/>
        <v/>
      </c>
      <c r="K103" s="8"/>
      <c r="L103" s="13"/>
      <c r="M103" s="13"/>
      <c r="N103" s="13"/>
      <c r="O103" s="10"/>
      <c r="P103" s="10"/>
      <c r="Q103" s="10"/>
      <c r="R103" s="10"/>
      <c r="S103" s="8"/>
      <c r="T103" s="8"/>
      <c r="U103" s="10"/>
      <c r="V103" s="8"/>
    </row>
    <row r="104" spans="1:22">
      <c r="A104" s="8"/>
      <c r="B104" s="8"/>
      <c r="C104" s="8"/>
      <c r="D104" s="8"/>
      <c r="E104" s="8"/>
      <c r="F104" s="8"/>
      <c r="G104" s="8"/>
      <c r="H104" s="13"/>
      <c r="I104" s="13"/>
      <c r="J104" s="16" t="str">
        <f t="shared" si="1"/>
        <v/>
      </c>
      <c r="K104" s="8"/>
      <c r="L104" s="13"/>
      <c r="M104" s="13"/>
      <c r="N104" s="13"/>
      <c r="O104" s="10"/>
      <c r="P104" s="10"/>
      <c r="Q104" s="10"/>
      <c r="R104" s="10"/>
      <c r="S104" s="8"/>
      <c r="T104" s="8"/>
      <c r="U104" s="10"/>
      <c r="V104" s="8"/>
    </row>
    <row r="105" spans="1:22">
      <c r="A105" s="8"/>
      <c r="B105" s="8"/>
      <c r="C105" s="8"/>
      <c r="D105" s="8"/>
      <c r="E105" s="8"/>
      <c r="F105" s="8"/>
      <c r="G105" s="8"/>
      <c r="H105" s="13"/>
      <c r="I105" s="13"/>
      <c r="J105" s="16" t="str">
        <f t="shared" si="1"/>
        <v/>
      </c>
      <c r="K105" s="8"/>
      <c r="L105" s="13"/>
      <c r="M105" s="13"/>
      <c r="N105" s="13"/>
      <c r="O105" s="10"/>
      <c r="P105" s="10"/>
      <c r="Q105" s="10"/>
      <c r="R105" s="10"/>
      <c r="S105" s="8"/>
      <c r="T105" s="8"/>
      <c r="U105" s="10"/>
      <c r="V105" s="8"/>
    </row>
    <row r="106" spans="1:22">
      <c r="A106" s="8"/>
      <c r="B106" s="8"/>
      <c r="C106" s="8"/>
      <c r="D106" s="8"/>
      <c r="E106" s="8"/>
      <c r="F106" s="8"/>
      <c r="G106" s="8"/>
      <c r="H106" s="13"/>
      <c r="I106" s="13"/>
      <c r="J106" s="16" t="str">
        <f t="shared" si="1"/>
        <v/>
      </c>
      <c r="K106" s="8"/>
      <c r="L106" s="13"/>
      <c r="M106" s="13"/>
      <c r="N106" s="13"/>
      <c r="O106" s="10"/>
      <c r="P106" s="10"/>
      <c r="Q106" s="10"/>
      <c r="R106" s="10"/>
      <c r="S106" s="8"/>
      <c r="T106" s="8"/>
      <c r="U106" s="10"/>
      <c r="V106" s="8"/>
    </row>
    <row r="107" spans="1:22">
      <c r="A107" s="8"/>
      <c r="B107" s="8"/>
      <c r="C107" s="8"/>
      <c r="D107" s="8"/>
      <c r="E107" s="8"/>
      <c r="F107" s="8"/>
      <c r="G107" s="8"/>
      <c r="H107" s="13"/>
      <c r="I107" s="13"/>
      <c r="J107" s="16" t="str">
        <f t="shared" si="1"/>
        <v/>
      </c>
      <c r="K107" s="8"/>
      <c r="L107" s="13"/>
      <c r="M107" s="13"/>
      <c r="N107" s="13"/>
      <c r="O107" s="10"/>
      <c r="P107" s="10"/>
      <c r="Q107" s="10"/>
      <c r="R107" s="10"/>
      <c r="S107" s="8"/>
      <c r="T107" s="8"/>
      <c r="U107" s="10"/>
      <c r="V107" s="8"/>
    </row>
    <row r="108" spans="1:22">
      <c r="A108" s="8"/>
      <c r="B108" s="8"/>
      <c r="C108" s="8"/>
      <c r="D108" s="8"/>
      <c r="E108" s="8"/>
      <c r="F108" s="8"/>
      <c r="G108" s="8"/>
      <c r="H108" s="13"/>
      <c r="I108" s="13"/>
      <c r="J108" s="16" t="str">
        <f t="shared" si="1"/>
        <v/>
      </c>
      <c r="K108" s="8"/>
      <c r="L108" s="13"/>
      <c r="M108" s="13"/>
      <c r="N108" s="13"/>
      <c r="O108" s="10"/>
      <c r="P108" s="10"/>
      <c r="Q108" s="10"/>
      <c r="R108" s="10"/>
      <c r="S108" s="8"/>
      <c r="T108" s="8"/>
      <c r="U108" s="10"/>
      <c r="V108" s="8"/>
    </row>
    <row r="109" spans="1:22">
      <c r="A109" s="8"/>
      <c r="B109" s="8"/>
      <c r="C109" s="8"/>
      <c r="D109" s="8"/>
      <c r="E109" s="8"/>
      <c r="F109" s="8"/>
      <c r="G109" s="8"/>
      <c r="H109" s="13"/>
      <c r="I109" s="13"/>
      <c r="J109" s="16" t="str">
        <f t="shared" si="1"/>
        <v/>
      </c>
      <c r="K109" s="8"/>
      <c r="L109" s="13"/>
      <c r="M109" s="13"/>
      <c r="N109" s="13"/>
      <c r="O109" s="10"/>
      <c r="P109" s="10"/>
      <c r="Q109" s="10"/>
      <c r="R109" s="10"/>
      <c r="S109" s="8"/>
      <c r="T109" s="8"/>
      <c r="U109" s="10"/>
      <c r="V109" s="8"/>
    </row>
    <row r="110" spans="1:22">
      <c r="A110" s="8"/>
      <c r="B110" s="8"/>
      <c r="C110" s="8"/>
      <c r="D110" s="8"/>
      <c r="E110" s="8"/>
      <c r="F110" s="8"/>
      <c r="G110" s="8"/>
      <c r="H110" s="13"/>
      <c r="I110" s="13"/>
      <c r="J110" s="16" t="str">
        <f t="shared" si="1"/>
        <v/>
      </c>
      <c r="K110" s="8"/>
      <c r="L110" s="13"/>
      <c r="M110" s="13"/>
      <c r="N110" s="13"/>
      <c r="O110" s="10"/>
      <c r="P110" s="10"/>
      <c r="Q110" s="10"/>
      <c r="R110" s="10"/>
      <c r="S110" s="8"/>
      <c r="T110" s="8"/>
      <c r="U110" s="10"/>
      <c r="V110" s="8"/>
    </row>
    <row r="111" spans="1:22">
      <c r="A111" s="8"/>
      <c r="B111" s="8"/>
      <c r="C111" s="8"/>
      <c r="D111" s="8"/>
      <c r="E111" s="8"/>
      <c r="F111" s="8"/>
      <c r="G111" s="8"/>
      <c r="H111" s="13"/>
      <c r="I111" s="13"/>
      <c r="J111" s="16" t="str">
        <f t="shared" si="1"/>
        <v/>
      </c>
      <c r="K111" s="8"/>
      <c r="L111" s="13"/>
      <c r="M111" s="13"/>
      <c r="N111" s="13"/>
      <c r="O111" s="10"/>
      <c r="P111" s="10"/>
      <c r="Q111" s="10"/>
      <c r="R111" s="10"/>
      <c r="S111" s="8"/>
      <c r="T111" s="8"/>
      <c r="U111" s="10"/>
      <c r="V111" s="8"/>
    </row>
    <row r="112" spans="1:22">
      <c r="A112" s="8"/>
      <c r="B112" s="8"/>
      <c r="C112" s="8"/>
      <c r="D112" s="8"/>
      <c r="E112" s="8"/>
      <c r="F112" s="8"/>
      <c r="G112" s="8"/>
      <c r="H112" s="13"/>
      <c r="I112" s="13"/>
      <c r="J112" s="16" t="str">
        <f t="shared" si="1"/>
        <v/>
      </c>
      <c r="K112" s="8"/>
      <c r="L112" s="13"/>
      <c r="M112" s="13"/>
      <c r="N112" s="13"/>
      <c r="O112" s="10"/>
      <c r="P112" s="10"/>
      <c r="Q112" s="10"/>
      <c r="R112" s="10"/>
      <c r="S112" s="8"/>
      <c r="T112" s="8"/>
      <c r="U112" s="10"/>
      <c r="V112" s="8"/>
    </row>
    <row r="113" spans="1:22">
      <c r="A113" s="8"/>
      <c r="B113" s="8"/>
      <c r="C113" s="8"/>
      <c r="D113" s="8"/>
      <c r="E113" s="8"/>
      <c r="F113" s="8"/>
      <c r="G113" s="8"/>
      <c r="H113" s="13"/>
      <c r="I113" s="13"/>
      <c r="J113" s="16" t="str">
        <f t="shared" si="1"/>
        <v/>
      </c>
      <c r="K113" s="8"/>
      <c r="L113" s="13"/>
      <c r="M113" s="13"/>
      <c r="N113" s="13"/>
      <c r="O113" s="10"/>
      <c r="P113" s="10"/>
      <c r="Q113" s="10"/>
      <c r="R113" s="10"/>
      <c r="S113" s="8"/>
      <c r="T113" s="8"/>
      <c r="U113" s="10"/>
      <c r="V113" s="8"/>
    </row>
    <row r="114" spans="1:22">
      <c r="A114" s="8"/>
      <c r="B114" s="8"/>
      <c r="C114" s="8"/>
      <c r="D114" s="8"/>
      <c r="E114" s="8"/>
      <c r="F114" s="8"/>
      <c r="G114" s="8"/>
      <c r="H114" s="13"/>
      <c r="I114" s="13"/>
      <c r="J114" s="16" t="str">
        <f t="shared" si="1"/>
        <v/>
      </c>
      <c r="K114" s="8"/>
      <c r="L114" s="13"/>
      <c r="M114" s="13"/>
      <c r="N114" s="13"/>
      <c r="O114" s="10"/>
      <c r="P114" s="10"/>
      <c r="Q114" s="10"/>
      <c r="R114" s="10"/>
      <c r="S114" s="8"/>
      <c r="T114" s="8"/>
      <c r="U114" s="10"/>
      <c r="V114" s="8"/>
    </row>
    <row r="115" spans="1:22">
      <c r="A115" s="8"/>
      <c r="B115" s="8"/>
      <c r="C115" s="8"/>
      <c r="D115" s="8"/>
      <c r="E115" s="8"/>
      <c r="F115" s="8"/>
      <c r="G115" s="8"/>
      <c r="H115" s="13"/>
      <c r="I115" s="13"/>
      <c r="J115" s="16" t="str">
        <f t="shared" si="1"/>
        <v/>
      </c>
      <c r="K115" s="8"/>
      <c r="L115" s="13"/>
      <c r="M115" s="13"/>
      <c r="N115" s="13"/>
      <c r="O115" s="10"/>
      <c r="P115" s="10"/>
      <c r="Q115" s="10"/>
      <c r="R115" s="10"/>
      <c r="S115" s="8"/>
      <c r="T115" s="8"/>
      <c r="U115" s="10"/>
      <c r="V115" s="8"/>
    </row>
    <row r="116" spans="1:22">
      <c r="A116" s="8"/>
      <c r="B116" s="8"/>
      <c r="C116" s="8"/>
      <c r="D116" s="8"/>
      <c r="E116" s="8"/>
      <c r="F116" s="8"/>
      <c r="G116" s="8"/>
      <c r="H116" s="13"/>
      <c r="I116" s="13"/>
      <c r="J116" s="16" t="str">
        <f t="shared" si="1"/>
        <v/>
      </c>
      <c r="K116" s="8"/>
      <c r="L116" s="13"/>
      <c r="M116" s="13"/>
      <c r="N116" s="13"/>
      <c r="O116" s="10"/>
      <c r="P116" s="10"/>
      <c r="Q116" s="10"/>
      <c r="R116" s="10"/>
      <c r="S116" s="8"/>
      <c r="T116" s="8"/>
      <c r="U116" s="10"/>
      <c r="V116" s="8"/>
    </row>
    <row r="117" spans="1:22">
      <c r="A117" s="8"/>
      <c r="B117" s="8"/>
      <c r="C117" s="8"/>
      <c r="D117" s="8"/>
      <c r="E117" s="8"/>
      <c r="F117" s="8"/>
      <c r="G117" s="8"/>
      <c r="H117" s="13"/>
      <c r="I117" s="13"/>
      <c r="J117" s="16" t="str">
        <f t="shared" si="1"/>
        <v/>
      </c>
      <c r="K117" s="8"/>
      <c r="L117" s="13"/>
      <c r="M117" s="13"/>
      <c r="N117" s="13"/>
      <c r="O117" s="10"/>
      <c r="P117" s="10"/>
      <c r="Q117" s="10"/>
      <c r="R117" s="10"/>
      <c r="S117" s="8"/>
      <c r="T117" s="8"/>
      <c r="U117" s="10"/>
      <c r="V117" s="8"/>
    </row>
    <row r="118" spans="1:22">
      <c r="A118" s="8"/>
      <c r="B118" s="8"/>
      <c r="C118" s="8"/>
      <c r="D118" s="8"/>
      <c r="E118" s="8"/>
      <c r="F118" s="8"/>
      <c r="G118" s="8"/>
      <c r="H118" s="13"/>
      <c r="I118" s="13"/>
      <c r="J118" s="16" t="str">
        <f t="shared" si="1"/>
        <v/>
      </c>
      <c r="K118" s="8"/>
      <c r="L118" s="13"/>
      <c r="M118" s="13"/>
      <c r="N118" s="13"/>
      <c r="O118" s="10"/>
      <c r="P118" s="10"/>
      <c r="Q118" s="10"/>
      <c r="R118" s="10"/>
      <c r="S118" s="8"/>
      <c r="T118" s="8"/>
      <c r="U118" s="10"/>
      <c r="V118" s="8"/>
    </row>
    <row r="119" spans="1:22">
      <c r="A119" s="8"/>
      <c r="B119" s="8"/>
      <c r="C119" s="8"/>
      <c r="D119" s="8"/>
      <c r="E119" s="8"/>
      <c r="F119" s="8"/>
      <c r="G119" s="8"/>
      <c r="H119" s="13"/>
      <c r="I119" s="13"/>
      <c r="J119" s="16" t="str">
        <f t="shared" si="1"/>
        <v/>
      </c>
      <c r="K119" s="8"/>
      <c r="L119" s="13"/>
      <c r="M119" s="13"/>
      <c r="N119" s="13"/>
      <c r="O119" s="10"/>
      <c r="P119" s="10"/>
      <c r="Q119" s="10"/>
      <c r="R119" s="10"/>
      <c r="S119" s="8"/>
      <c r="T119" s="8"/>
      <c r="U119" s="10"/>
      <c r="V119" s="8"/>
    </row>
    <row r="120" spans="1:22">
      <c r="A120" s="8"/>
      <c r="B120" s="8"/>
      <c r="C120" s="8"/>
      <c r="D120" s="8"/>
      <c r="E120" s="8"/>
      <c r="F120" s="8"/>
      <c r="G120" s="8"/>
      <c r="H120" s="13"/>
      <c r="I120" s="13"/>
      <c r="J120" s="16" t="str">
        <f t="shared" si="1"/>
        <v/>
      </c>
      <c r="K120" s="8"/>
      <c r="L120" s="13"/>
      <c r="M120" s="13"/>
      <c r="N120" s="13"/>
      <c r="O120" s="10"/>
      <c r="P120" s="10"/>
      <c r="Q120" s="10"/>
      <c r="R120" s="10"/>
      <c r="S120" s="8"/>
      <c r="T120" s="8"/>
      <c r="U120" s="10"/>
      <c r="V120" s="8"/>
    </row>
    <row r="121" spans="1:22">
      <c r="A121" s="8"/>
      <c r="B121" s="8"/>
      <c r="C121" s="8"/>
      <c r="D121" s="8"/>
      <c r="E121" s="8"/>
      <c r="F121" s="8"/>
      <c r="G121" s="8"/>
      <c r="H121" s="13"/>
      <c r="I121" s="13"/>
      <c r="J121" s="16" t="str">
        <f t="shared" si="1"/>
        <v/>
      </c>
      <c r="K121" s="8"/>
      <c r="L121" s="13"/>
      <c r="M121" s="13"/>
      <c r="N121" s="13"/>
      <c r="O121" s="10"/>
      <c r="P121" s="10"/>
      <c r="Q121" s="10"/>
      <c r="R121" s="10"/>
      <c r="S121" s="8"/>
      <c r="T121" s="8"/>
      <c r="U121" s="10"/>
      <c r="V121" s="8"/>
    </row>
    <row r="122" spans="1:22">
      <c r="A122" s="8"/>
      <c r="B122" s="8"/>
      <c r="C122" s="8"/>
      <c r="D122" s="8"/>
      <c r="E122" s="8"/>
      <c r="F122" s="8"/>
      <c r="G122" s="8"/>
      <c r="H122" s="13"/>
      <c r="I122" s="13"/>
      <c r="J122" s="16" t="str">
        <f t="shared" si="1"/>
        <v/>
      </c>
      <c r="K122" s="8"/>
      <c r="L122" s="13"/>
      <c r="M122" s="13"/>
      <c r="N122" s="13"/>
      <c r="O122" s="10"/>
      <c r="P122" s="10"/>
      <c r="Q122" s="10"/>
      <c r="R122" s="10"/>
      <c r="S122" s="8"/>
      <c r="T122" s="8"/>
      <c r="U122" s="10"/>
      <c r="V122" s="8"/>
    </row>
    <row r="123" spans="1:22">
      <c r="A123" s="8"/>
      <c r="B123" s="8"/>
      <c r="C123" s="8"/>
      <c r="D123" s="8"/>
      <c r="E123" s="8"/>
      <c r="F123" s="8"/>
      <c r="G123" s="8"/>
      <c r="H123" s="13"/>
      <c r="I123" s="13"/>
      <c r="J123" s="16" t="str">
        <f t="shared" si="1"/>
        <v/>
      </c>
      <c r="K123" s="8"/>
      <c r="L123" s="13"/>
      <c r="M123" s="13"/>
      <c r="N123" s="13"/>
      <c r="O123" s="10"/>
      <c r="P123" s="10"/>
      <c r="Q123" s="10"/>
      <c r="R123" s="10"/>
      <c r="S123" s="8"/>
      <c r="T123" s="8"/>
      <c r="U123" s="10"/>
      <c r="V123" s="8"/>
    </row>
    <row r="124" spans="1:22">
      <c r="A124" s="8"/>
      <c r="B124" s="8"/>
      <c r="C124" s="8"/>
      <c r="D124" s="8"/>
      <c r="E124" s="8"/>
      <c r="F124" s="8"/>
      <c r="G124" s="8"/>
      <c r="H124" s="13"/>
      <c r="I124" s="13"/>
      <c r="J124" s="16" t="str">
        <f t="shared" si="1"/>
        <v/>
      </c>
      <c r="K124" s="8"/>
      <c r="L124" s="13"/>
      <c r="M124" s="13"/>
      <c r="N124" s="13"/>
      <c r="O124" s="10"/>
      <c r="P124" s="10"/>
      <c r="Q124" s="10"/>
      <c r="R124" s="10"/>
      <c r="S124" s="8"/>
      <c r="T124" s="8"/>
      <c r="U124" s="10"/>
      <c r="V124" s="8"/>
    </row>
    <row r="125" spans="1:22">
      <c r="A125" s="8"/>
      <c r="B125" s="8"/>
      <c r="C125" s="8"/>
      <c r="D125" s="8"/>
      <c r="E125" s="8"/>
      <c r="F125" s="8"/>
      <c r="G125" s="8"/>
      <c r="H125" s="13"/>
      <c r="I125" s="13"/>
      <c r="J125" s="16" t="str">
        <f t="shared" si="1"/>
        <v/>
      </c>
      <c r="K125" s="8"/>
      <c r="L125" s="13"/>
      <c r="M125" s="13"/>
      <c r="N125" s="13"/>
      <c r="O125" s="10"/>
      <c r="P125" s="10"/>
      <c r="Q125" s="10"/>
      <c r="R125" s="10"/>
      <c r="S125" s="8"/>
      <c r="T125" s="8"/>
      <c r="U125" s="10"/>
      <c r="V125" s="8"/>
    </row>
    <row r="126" spans="1:22">
      <c r="A126" s="8"/>
      <c r="B126" s="8"/>
      <c r="C126" s="8"/>
      <c r="D126" s="8"/>
      <c r="E126" s="8"/>
      <c r="F126" s="8"/>
      <c r="G126" s="8"/>
      <c r="H126" s="13"/>
      <c r="I126" s="13"/>
      <c r="J126" s="16" t="str">
        <f t="shared" si="1"/>
        <v/>
      </c>
      <c r="K126" s="8"/>
      <c r="L126" s="13"/>
      <c r="M126" s="13"/>
      <c r="N126" s="13"/>
      <c r="O126" s="10"/>
      <c r="P126" s="10"/>
      <c r="Q126" s="10"/>
      <c r="R126" s="10"/>
      <c r="S126" s="8"/>
      <c r="T126" s="8"/>
      <c r="U126" s="10"/>
      <c r="V126" s="8"/>
    </row>
    <row r="127" spans="1:22">
      <c r="A127" s="8"/>
      <c r="B127" s="8"/>
      <c r="C127" s="8"/>
      <c r="D127" s="8"/>
      <c r="E127" s="8"/>
      <c r="F127" s="8"/>
      <c r="G127" s="8"/>
      <c r="H127" s="13"/>
      <c r="I127" s="13"/>
      <c r="J127" s="16" t="str">
        <f t="shared" si="1"/>
        <v/>
      </c>
      <c r="K127" s="8"/>
      <c r="L127" s="13"/>
      <c r="M127" s="13"/>
      <c r="N127" s="13"/>
      <c r="O127" s="10"/>
      <c r="P127" s="10"/>
      <c r="Q127" s="10"/>
      <c r="R127" s="10"/>
      <c r="S127" s="8"/>
      <c r="T127" s="8"/>
      <c r="U127" s="10"/>
      <c r="V127" s="8"/>
    </row>
    <row r="128" spans="1:22">
      <c r="A128" s="8"/>
      <c r="B128" s="8"/>
      <c r="C128" s="8"/>
      <c r="D128" s="8"/>
      <c r="E128" s="8"/>
      <c r="F128" s="8"/>
      <c r="G128" s="8"/>
      <c r="H128" s="13"/>
      <c r="I128" s="13"/>
      <c r="J128" s="16" t="str">
        <f t="shared" si="1"/>
        <v/>
      </c>
      <c r="K128" s="8"/>
      <c r="L128" s="13"/>
      <c r="M128" s="13"/>
      <c r="N128" s="13"/>
      <c r="O128" s="10"/>
      <c r="P128" s="10"/>
      <c r="Q128" s="10"/>
      <c r="R128" s="10"/>
      <c r="S128" s="8"/>
      <c r="T128" s="8"/>
      <c r="U128" s="10"/>
      <c r="V128" s="8"/>
    </row>
    <row r="129" spans="1:22">
      <c r="A129" s="8"/>
      <c r="B129" s="8"/>
      <c r="C129" s="8"/>
      <c r="D129" s="8"/>
      <c r="E129" s="8"/>
      <c r="F129" s="8"/>
      <c r="G129" s="8"/>
      <c r="H129" s="13"/>
      <c r="I129" s="13"/>
      <c r="J129" s="16" t="str">
        <f t="shared" si="1"/>
        <v/>
      </c>
      <c r="K129" s="8"/>
      <c r="L129" s="13"/>
      <c r="M129" s="13"/>
      <c r="N129" s="13"/>
      <c r="O129" s="10"/>
      <c r="P129" s="10"/>
      <c r="Q129" s="10"/>
      <c r="R129" s="10"/>
      <c r="S129" s="8"/>
      <c r="T129" s="8"/>
      <c r="U129" s="10"/>
      <c r="V129" s="8"/>
    </row>
    <row r="130" spans="1:22">
      <c r="A130" s="8"/>
      <c r="B130" s="8"/>
      <c r="C130" s="8"/>
      <c r="D130" s="8"/>
      <c r="E130" s="8"/>
      <c r="F130" s="8"/>
      <c r="G130" s="8"/>
      <c r="H130" s="13"/>
      <c r="I130" s="13"/>
      <c r="J130" s="16" t="str">
        <f t="shared" si="1"/>
        <v/>
      </c>
      <c r="K130" s="8"/>
      <c r="L130" s="13"/>
      <c r="M130" s="13"/>
      <c r="N130" s="13"/>
      <c r="O130" s="10"/>
      <c r="P130" s="10"/>
      <c r="Q130" s="10"/>
      <c r="R130" s="10"/>
      <c r="S130" s="8"/>
      <c r="T130" s="8"/>
      <c r="U130" s="10"/>
      <c r="V130" s="8"/>
    </row>
    <row r="131" spans="1:22">
      <c r="A131" s="8"/>
      <c r="B131" s="8"/>
      <c r="C131" s="8"/>
      <c r="D131" s="8"/>
      <c r="E131" s="8"/>
      <c r="F131" s="8"/>
      <c r="G131" s="8"/>
      <c r="H131" s="13"/>
      <c r="I131" s="13"/>
      <c r="J131" s="16" t="str">
        <f t="shared" si="1"/>
        <v/>
      </c>
      <c r="K131" s="8"/>
      <c r="L131" s="13"/>
      <c r="M131" s="13"/>
      <c r="N131" s="13"/>
      <c r="O131" s="10"/>
      <c r="P131" s="10"/>
      <c r="Q131" s="10"/>
      <c r="R131" s="10"/>
      <c r="S131" s="8"/>
      <c r="T131" s="8"/>
      <c r="U131" s="10"/>
      <c r="V131" s="8"/>
    </row>
    <row r="132" spans="1:22">
      <c r="A132" s="8"/>
      <c r="B132" s="8"/>
      <c r="C132" s="8"/>
      <c r="D132" s="8"/>
      <c r="E132" s="8"/>
      <c r="F132" s="8"/>
      <c r="G132" s="8"/>
      <c r="H132" s="13"/>
      <c r="I132" s="13"/>
      <c r="J132" s="16" t="str">
        <f t="shared" si="1"/>
        <v/>
      </c>
      <c r="K132" s="8"/>
      <c r="L132" s="13"/>
      <c r="M132" s="13"/>
      <c r="N132" s="13"/>
      <c r="O132" s="10"/>
      <c r="P132" s="10"/>
      <c r="Q132" s="10"/>
      <c r="R132" s="10"/>
      <c r="S132" s="8"/>
      <c r="T132" s="8"/>
      <c r="U132" s="10"/>
      <c r="V132" s="8"/>
    </row>
    <row r="133" spans="1:22">
      <c r="A133" s="8"/>
      <c r="B133" s="8"/>
      <c r="C133" s="8"/>
      <c r="D133" s="8"/>
      <c r="E133" s="8"/>
      <c r="F133" s="8"/>
      <c r="G133" s="8"/>
      <c r="H133" s="13"/>
      <c r="I133" s="13"/>
      <c r="J133" s="16" t="str">
        <f t="shared" ref="J133:J196" si="2">IF(OR(A133="",H133=0),"",I133/H133)</f>
        <v/>
      </c>
      <c r="K133" s="8"/>
      <c r="L133" s="13"/>
      <c r="M133" s="13"/>
      <c r="N133" s="13"/>
      <c r="O133" s="10"/>
      <c r="P133" s="10"/>
      <c r="Q133" s="10"/>
      <c r="R133" s="10"/>
      <c r="S133" s="8"/>
      <c r="T133" s="8"/>
      <c r="U133" s="10"/>
      <c r="V133" s="8"/>
    </row>
    <row r="134" spans="1:22">
      <c r="A134" s="8"/>
      <c r="B134" s="8"/>
      <c r="C134" s="8"/>
      <c r="D134" s="8"/>
      <c r="E134" s="8"/>
      <c r="F134" s="8"/>
      <c r="G134" s="8"/>
      <c r="H134" s="13"/>
      <c r="I134" s="13"/>
      <c r="J134" s="16" t="str">
        <f t="shared" si="2"/>
        <v/>
      </c>
      <c r="K134" s="8"/>
      <c r="L134" s="13"/>
      <c r="M134" s="13"/>
      <c r="N134" s="13"/>
      <c r="O134" s="10"/>
      <c r="P134" s="10"/>
      <c r="Q134" s="10"/>
      <c r="R134" s="10"/>
      <c r="S134" s="8"/>
      <c r="T134" s="8"/>
      <c r="U134" s="10"/>
      <c r="V134" s="8"/>
    </row>
    <row r="135" spans="1:22">
      <c r="A135" s="8"/>
      <c r="B135" s="8"/>
      <c r="C135" s="8"/>
      <c r="D135" s="8"/>
      <c r="E135" s="8"/>
      <c r="F135" s="8"/>
      <c r="G135" s="8"/>
      <c r="H135" s="13"/>
      <c r="I135" s="13"/>
      <c r="J135" s="16" t="str">
        <f t="shared" si="2"/>
        <v/>
      </c>
      <c r="K135" s="8"/>
      <c r="L135" s="13"/>
      <c r="M135" s="13"/>
      <c r="N135" s="13"/>
      <c r="O135" s="10"/>
      <c r="P135" s="10"/>
      <c r="Q135" s="10"/>
      <c r="R135" s="10"/>
      <c r="S135" s="8"/>
      <c r="T135" s="8"/>
      <c r="U135" s="10"/>
      <c r="V135" s="8"/>
    </row>
    <row r="136" spans="1:22">
      <c r="A136" s="8"/>
      <c r="B136" s="8"/>
      <c r="C136" s="8"/>
      <c r="D136" s="8"/>
      <c r="E136" s="8"/>
      <c r="F136" s="8"/>
      <c r="G136" s="8"/>
      <c r="H136" s="13"/>
      <c r="I136" s="13"/>
      <c r="J136" s="16" t="str">
        <f t="shared" si="2"/>
        <v/>
      </c>
      <c r="K136" s="8"/>
      <c r="L136" s="13"/>
      <c r="M136" s="13"/>
      <c r="N136" s="13"/>
      <c r="O136" s="10"/>
      <c r="P136" s="10"/>
      <c r="Q136" s="10"/>
      <c r="R136" s="10"/>
      <c r="S136" s="8"/>
      <c r="T136" s="8"/>
      <c r="U136" s="10"/>
      <c r="V136" s="8"/>
    </row>
    <row r="137" spans="1:22">
      <c r="A137" s="8"/>
      <c r="B137" s="8"/>
      <c r="C137" s="8"/>
      <c r="D137" s="8"/>
      <c r="E137" s="8"/>
      <c r="F137" s="8"/>
      <c r="G137" s="8"/>
      <c r="H137" s="13"/>
      <c r="I137" s="13"/>
      <c r="J137" s="16" t="str">
        <f t="shared" si="2"/>
        <v/>
      </c>
      <c r="K137" s="8"/>
      <c r="L137" s="13"/>
      <c r="M137" s="13"/>
      <c r="N137" s="13"/>
      <c r="O137" s="10"/>
      <c r="P137" s="10"/>
      <c r="Q137" s="10"/>
      <c r="R137" s="10"/>
      <c r="S137" s="8"/>
      <c r="T137" s="8"/>
      <c r="U137" s="10"/>
      <c r="V137" s="8"/>
    </row>
    <row r="138" spans="1:22">
      <c r="A138" s="8"/>
      <c r="B138" s="8"/>
      <c r="C138" s="8"/>
      <c r="D138" s="8"/>
      <c r="E138" s="8"/>
      <c r="F138" s="8"/>
      <c r="G138" s="8"/>
      <c r="H138" s="13"/>
      <c r="I138" s="13"/>
      <c r="J138" s="16" t="str">
        <f t="shared" si="2"/>
        <v/>
      </c>
      <c r="K138" s="8"/>
      <c r="L138" s="13"/>
      <c r="M138" s="13"/>
      <c r="N138" s="13"/>
      <c r="O138" s="10"/>
      <c r="P138" s="10"/>
      <c r="Q138" s="10"/>
      <c r="R138" s="10"/>
      <c r="S138" s="8"/>
      <c r="T138" s="8"/>
      <c r="U138" s="10"/>
      <c r="V138" s="8"/>
    </row>
    <row r="139" spans="1:22">
      <c r="A139" s="8"/>
      <c r="B139" s="8"/>
      <c r="C139" s="8"/>
      <c r="D139" s="8"/>
      <c r="E139" s="8"/>
      <c r="F139" s="8"/>
      <c r="G139" s="8"/>
      <c r="H139" s="13"/>
      <c r="I139" s="13"/>
      <c r="J139" s="16" t="str">
        <f t="shared" si="2"/>
        <v/>
      </c>
      <c r="K139" s="8"/>
      <c r="L139" s="13"/>
      <c r="M139" s="13"/>
      <c r="N139" s="13"/>
      <c r="O139" s="10"/>
      <c r="P139" s="10"/>
      <c r="Q139" s="10"/>
      <c r="R139" s="10"/>
      <c r="S139" s="8"/>
      <c r="T139" s="8"/>
      <c r="U139" s="10"/>
      <c r="V139" s="8"/>
    </row>
    <row r="140" spans="1:22">
      <c r="A140" s="8"/>
      <c r="B140" s="8"/>
      <c r="C140" s="8"/>
      <c r="D140" s="8"/>
      <c r="E140" s="8"/>
      <c r="F140" s="8"/>
      <c r="G140" s="8"/>
      <c r="H140" s="13"/>
      <c r="I140" s="13"/>
      <c r="J140" s="16" t="str">
        <f t="shared" si="2"/>
        <v/>
      </c>
      <c r="K140" s="8"/>
      <c r="L140" s="13"/>
      <c r="M140" s="13"/>
      <c r="N140" s="13"/>
      <c r="O140" s="10"/>
      <c r="P140" s="10"/>
      <c r="Q140" s="10"/>
      <c r="R140" s="10"/>
      <c r="S140" s="8"/>
      <c r="T140" s="8"/>
      <c r="U140" s="10"/>
      <c r="V140" s="8"/>
    </row>
    <row r="141" spans="1:22">
      <c r="A141" s="8"/>
      <c r="B141" s="8"/>
      <c r="C141" s="8"/>
      <c r="D141" s="8"/>
      <c r="E141" s="8"/>
      <c r="F141" s="8"/>
      <c r="G141" s="8"/>
      <c r="H141" s="13"/>
      <c r="I141" s="13"/>
      <c r="J141" s="16" t="str">
        <f t="shared" si="2"/>
        <v/>
      </c>
      <c r="K141" s="8"/>
      <c r="L141" s="13"/>
      <c r="M141" s="13"/>
      <c r="N141" s="13"/>
      <c r="O141" s="10"/>
      <c r="P141" s="10"/>
      <c r="Q141" s="10"/>
      <c r="R141" s="10"/>
      <c r="S141" s="8"/>
      <c r="T141" s="8"/>
      <c r="U141" s="10"/>
      <c r="V141" s="8"/>
    </row>
    <row r="142" spans="1:22">
      <c r="A142" s="8"/>
      <c r="B142" s="8"/>
      <c r="C142" s="8"/>
      <c r="D142" s="8"/>
      <c r="E142" s="8"/>
      <c r="F142" s="8"/>
      <c r="G142" s="8"/>
      <c r="H142" s="13"/>
      <c r="I142" s="13"/>
      <c r="J142" s="16" t="str">
        <f t="shared" si="2"/>
        <v/>
      </c>
      <c r="K142" s="8"/>
      <c r="L142" s="13"/>
      <c r="M142" s="13"/>
      <c r="N142" s="13"/>
      <c r="O142" s="10"/>
      <c r="P142" s="10"/>
      <c r="Q142" s="10"/>
      <c r="R142" s="10"/>
      <c r="S142" s="8"/>
      <c r="T142" s="8"/>
      <c r="U142" s="10"/>
      <c r="V142" s="8"/>
    </row>
    <row r="143" spans="1:22">
      <c r="A143" s="8"/>
      <c r="B143" s="8"/>
      <c r="C143" s="8"/>
      <c r="D143" s="8"/>
      <c r="E143" s="8"/>
      <c r="F143" s="8"/>
      <c r="G143" s="8"/>
      <c r="H143" s="13"/>
      <c r="I143" s="13"/>
      <c r="J143" s="16" t="str">
        <f t="shared" si="2"/>
        <v/>
      </c>
      <c r="K143" s="8"/>
      <c r="L143" s="13"/>
      <c r="M143" s="13"/>
      <c r="N143" s="13"/>
      <c r="O143" s="10"/>
      <c r="P143" s="10"/>
      <c r="Q143" s="10"/>
      <c r="R143" s="10"/>
      <c r="S143" s="8"/>
      <c r="T143" s="8"/>
      <c r="U143" s="10"/>
      <c r="V143" s="8"/>
    </row>
    <row r="144" spans="1:22">
      <c r="A144" s="8"/>
      <c r="B144" s="8"/>
      <c r="C144" s="8"/>
      <c r="D144" s="8"/>
      <c r="E144" s="8"/>
      <c r="F144" s="8"/>
      <c r="G144" s="8"/>
      <c r="H144" s="13"/>
      <c r="I144" s="13"/>
      <c r="J144" s="16" t="str">
        <f t="shared" si="2"/>
        <v/>
      </c>
      <c r="K144" s="8"/>
      <c r="L144" s="13"/>
      <c r="M144" s="13"/>
      <c r="N144" s="13"/>
      <c r="O144" s="10"/>
      <c r="P144" s="10"/>
      <c r="Q144" s="10"/>
      <c r="R144" s="10"/>
      <c r="S144" s="8"/>
      <c r="T144" s="8"/>
      <c r="U144" s="10"/>
      <c r="V144" s="8"/>
    </row>
    <row r="145" spans="1:22">
      <c r="A145" s="8"/>
      <c r="B145" s="8"/>
      <c r="C145" s="8"/>
      <c r="D145" s="8"/>
      <c r="E145" s="8"/>
      <c r="F145" s="8"/>
      <c r="G145" s="8"/>
      <c r="H145" s="13"/>
      <c r="I145" s="13"/>
      <c r="J145" s="16" t="str">
        <f t="shared" si="2"/>
        <v/>
      </c>
      <c r="K145" s="8"/>
      <c r="L145" s="13"/>
      <c r="M145" s="13"/>
      <c r="N145" s="13"/>
      <c r="O145" s="10"/>
      <c r="P145" s="10"/>
      <c r="Q145" s="10"/>
      <c r="R145" s="10"/>
      <c r="S145" s="8"/>
      <c r="T145" s="8"/>
      <c r="U145" s="10"/>
      <c r="V145" s="8"/>
    </row>
    <row r="146" spans="1:22">
      <c r="A146" s="8"/>
      <c r="B146" s="8"/>
      <c r="C146" s="8"/>
      <c r="D146" s="8"/>
      <c r="E146" s="8"/>
      <c r="F146" s="8"/>
      <c r="G146" s="8"/>
      <c r="H146" s="13"/>
      <c r="I146" s="13"/>
      <c r="J146" s="16" t="str">
        <f t="shared" si="2"/>
        <v/>
      </c>
      <c r="K146" s="8"/>
      <c r="L146" s="13"/>
      <c r="M146" s="13"/>
      <c r="N146" s="13"/>
      <c r="O146" s="10"/>
      <c r="P146" s="10"/>
      <c r="Q146" s="10"/>
      <c r="R146" s="10"/>
      <c r="S146" s="8"/>
      <c r="T146" s="8"/>
      <c r="U146" s="10"/>
      <c r="V146" s="8"/>
    </row>
    <row r="147" spans="1:22">
      <c r="A147" s="8"/>
      <c r="B147" s="8"/>
      <c r="C147" s="8"/>
      <c r="D147" s="8"/>
      <c r="E147" s="8"/>
      <c r="F147" s="8"/>
      <c r="G147" s="8"/>
      <c r="H147" s="13"/>
      <c r="I147" s="13"/>
      <c r="J147" s="16" t="str">
        <f t="shared" si="2"/>
        <v/>
      </c>
      <c r="K147" s="8"/>
      <c r="L147" s="13"/>
      <c r="M147" s="13"/>
      <c r="N147" s="13"/>
      <c r="O147" s="10"/>
      <c r="P147" s="10"/>
      <c r="Q147" s="10"/>
      <c r="R147" s="10"/>
      <c r="S147" s="8"/>
      <c r="T147" s="8"/>
      <c r="U147" s="10"/>
      <c r="V147" s="8"/>
    </row>
    <row r="148" spans="1:22">
      <c r="A148" s="8"/>
      <c r="B148" s="8"/>
      <c r="C148" s="8"/>
      <c r="D148" s="8"/>
      <c r="E148" s="8"/>
      <c r="F148" s="8"/>
      <c r="G148" s="8"/>
      <c r="H148" s="13"/>
      <c r="I148" s="13"/>
      <c r="J148" s="16" t="str">
        <f t="shared" si="2"/>
        <v/>
      </c>
      <c r="K148" s="8"/>
      <c r="L148" s="13"/>
      <c r="M148" s="13"/>
      <c r="N148" s="13"/>
      <c r="O148" s="10"/>
      <c r="P148" s="10"/>
      <c r="Q148" s="10"/>
      <c r="R148" s="10"/>
      <c r="S148" s="8"/>
      <c r="T148" s="8"/>
      <c r="U148" s="10"/>
      <c r="V148" s="8"/>
    </row>
    <row r="149" spans="1:22">
      <c r="A149" s="8"/>
      <c r="B149" s="8"/>
      <c r="C149" s="8"/>
      <c r="D149" s="8"/>
      <c r="E149" s="8"/>
      <c r="F149" s="8"/>
      <c r="G149" s="8"/>
      <c r="H149" s="13"/>
      <c r="I149" s="13"/>
      <c r="J149" s="16" t="str">
        <f t="shared" si="2"/>
        <v/>
      </c>
      <c r="K149" s="8"/>
      <c r="L149" s="13"/>
      <c r="M149" s="13"/>
      <c r="N149" s="13"/>
      <c r="O149" s="10"/>
      <c r="P149" s="10"/>
      <c r="Q149" s="10"/>
      <c r="R149" s="10"/>
      <c r="S149" s="8"/>
      <c r="T149" s="8"/>
      <c r="U149" s="10"/>
      <c r="V149" s="8"/>
    </row>
    <row r="150" spans="1:22">
      <c r="A150" s="8"/>
      <c r="B150" s="8"/>
      <c r="C150" s="8"/>
      <c r="D150" s="8"/>
      <c r="E150" s="8"/>
      <c r="F150" s="8"/>
      <c r="G150" s="8"/>
      <c r="H150" s="13"/>
      <c r="I150" s="13"/>
      <c r="J150" s="16" t="str">
        <f t="shared" si="2"/>
        <v/>
      </c>
      <c r="K150" s="8"/>
      <c r="L150" s="13"/>
      <c r="M150" s="13"/>
      <c r="N150" s="13"/>
      <c r="O150" s="10"/>
      <c r="P150" s="10"/>
      <c r="Q150" s="10"/>
      <c r="R150" s="10"/>
      <c r="S150" s="8"/>
      <c r="T150" s="8"/>
      <c r="U150" s="10"/>
      <c r="V150" s="8"/>
    </row>
    <row r="151" spans="1:22">
      <c r="A151" s="8"/>
      <c r="B151" s="8"/>
      <c r="C151" s="8"/>
      <c r="D151" s="8"/>
      <c r="E151" s="8"/>
      <c r="F151" s="8"/>
      <c r="G151" s="8"/>
      <c r="H151" s="13"/>
      <c r="I151" s="13"/>
      <c r="J151" s="16" t="str">
        <f t="shared" si="2"/>
        <v/>
      </c>
      <c r="K151" s="8"/>
      <c r="L151" s="13"/>
      <c r="M151" s="13"/>
      <c r="N151" s="13"/>
      <c r="O151" s="10"/>
      <c r="P151" s="10"/>
      <c r="Q151" s="10"/>
      <c r="R151" s="10"/>
      <c r="S151" s="8"/>
      <c r="T151" s="8"/>
      <c r="U151" s="10"/>
      <c r="V151" s="8"/>
    </row>
    <row r="152" spans="1:22">
      <c r="A152" s="8"/>
      <c r="B152" s="8"/>
      <c r="C152" s="8"/>
      <c r="D152" s="8"/>
      <c r="E152" s="8"/>
      <c r="F152" s="8"/>
      <c r="G152" s="8"/>
      <c r="H152" s="13"/>
      <c r="I152" s="13"/>
      <c r="J152" s="16" t="str">
        <f t="shared" si="2"/>
        <v/>
      </c>
      <c r="K152" s="8"/>
      <c r="L152" s="13"/>
      <c r="M152" s="13"/>
      <c r="N152" s="13"/>
      <c r="O152" s="10"/>
      <c r="P152" s="10"/>
      <c r="Q152" s="10"/>
      <c r="R152" s="10"/>
      <c r="S152" s="8"/>
      <c r="T152" s="8"/>
      <c r="U152" s="10"/>
      <c r="V152" s="8"/>
    </row>
    <row r="153" spans="1:22">
      <c r="A153" s="8"/>
      <c r="B153" s="8"/>
      <c r="C153" s="8"/>
      <c r="D153" s="8"/>
      <c r="E153" s="8"/>
      <c r="F153" s="8"/>
      <c r="G153" s="8"/>
      <c r="H153" s="13"/>
      <c r="I153" s="13"/>
      <c r="J153" s="16" t="str">
        <f t="shared" si="2"/>
        <v/>
      </c>
      <c r="K153" s="8"/>
      <c r="L153" s="13"/>
      <c r="M153" s="13"/>
      <c r="N153" s="13"/>
      <c r="O153" s="10"/>
      <c r="P153" s="10"/>
      <c r="Q153" s="10"/>
      <c r="R153" s="10"/>
      <c r="S153" s="8"/>
      <c r="T153" s="8"/>
      <c r="U153" s="10"/>
      <c r="V153" s="8"/>
    </row>
    <row r="154" spans="1:22">
      <c r="A154" s="8"/>
      <c r="B154" s="8"/>
      <c r="C154" s="8"/>
      <c r="D154" s="8"/>
      <c r="E154" s="8"/>
      <c r="F154" s="8"/>
      <c r="G154" s="8"/>
      <c r="H154" s="13"/>
      <c r="I154" s="13"/>
      <c r="J154" s="16" t="str">
        <f t="shared" si="2"/>
        <v/>
      </c>
      <c r="K154" s="8"/>
      <c r="L154" s="13"/>
      <c r="M154" s="13"/>
      <c r="N154" s="13"/>
      <c r="O154" s="10"/>
      <c r="P154" s="10"/>
      <c r="Q154" s="10"/>
      <c r="R154" s="10"/>
      <c r="S154" s="8"/>
      <c r="T154" s="8"/>
      <c r="U154" s="10"/>
      <c r="V154" s="8"/>
    </row>
    <row r="155" spans="1:22">
      <c r="A155" s="8"/>
      <c r="B155" s="8"/>
      <c r="C155" s="8"/>
      <c r="D155" s="8"/>
      <c r="E155" s="8"/>
      <c r="F155" s="8"/>
      <c r="G155" s="8"/>
      <c r="H155" s="13"/>
      <c r="I155" s="13"/>
      <c r="J155" s="16" t="str">
        <f t="shared" si="2"/>
        <v/>
      </c>
      <c r="K155" s="8"/>
      <c r="L155" s="13"/>
      <c r="M155" s="13"/>
      <c r="N155" s="13"/>
      <c r="O155" s="10"/>
      <c r="P155" s="10"/>
      <c r="Q155" s="10"/>
      <c r="R155" s="10"/>
      <c r="S155" s="8"/>
      <c r="T155" s="8"/>
      <c r="U155" s="10"/>
      <c r="V155" s="8"/>
    </row>
    <row r="156" spans="1:22">
      <c r="A156" s="8"/>
      <c r="B156" s="8"/>
      <c r="C156" s="8"/>
      <c r="D156" s="8"/>
      <c r="E156" s="8"/>
      <c r="F156" s="8"/>
      <c r="G156" s="8"/>
      <c r="H156" s="13"/>
      <c r="I156" s="13"/>
      <c r="J156" s="16" t="str">
        <f t="shared" si="2"/>
        <v/>
      </c>
      <c r="K156" s="8"/>
      <c r="L156" s="13"/>
      <c r="M156" s="13"/>
      <c r="N156" s="13"/>
      <c r="O156" s="10"/>
      <c r="P156" s="10"/>
      <c r="Q156" s="10"/>
      <c r="R156" s="10"/>
      <c r="S156" s="8"/>
      <c r="T156" s="8"/>
      <c r="U156" s="10"/>
      <c r="V156" s="8"/>
    </row>
    <row r="157" spans="1:22">
      <c r="A157" s="8"/>
      <c r="B157" s="8"/>
      <c r="C157" s="8"/>
      <c r="D157" s="8"/>
      <c r="E157" s="8"/>
      <c r="F157" s="8"/>
      <c r="G157" s="8"/>
      <c r="H157" s="13"/>
      <c r="I157" s="13"/>
      <c r="J157" s="16" t="str">
        <f t="shared" si="2"/>
        <v/>
      </c>
      <c r="K157" s="8"/>
      <c r="L157" s="13"/>
      <c r="M157" s="13"/>
      <c r="N157" s="13"/>
      <c r="O157" s="10"/>
      <c r="P157" s="10"/>
      <c r="Q157" s="10"/>
      <c r="R157" s="10"/>
      <c r="S157" s="8"/>
      <c r="T157" s="8"/>
      <c r="U157" s="10"/>
      <c r="V157" s="8"/>
    </row>
    <row r="158" spans="1:22">
      <c r="A158" s="8"/>
      <c r="B158" s="8"/>
      <c r="C158" s="8"/>
      <c r="D158" s="8"/>
      <c r="E158" s="8"/>
      <c r="F158" s="8"/>
      <c r="G158" s="8"/>
      <c r="H158" s="13"/>
      <c r="I158" s="13"/>
      <c r="J158" s="16" t="str">
        <f t="shared" si="2"/>
        <v/>
      </c>
      <c r="K158" s="8"/>
      <c r="L158" s="13"/>
      <c r="M158" s="13"/>
      <c r="N158" s="13"/>
      <c r="O158" s="10"/>
      <c r="P158" s="10"/>
      <c r="Q158" s="10"/>
      <c r="R158" s="10"/>
      <c r="S158" s="8"/>
      <c r="T158" s="8"/>
      <c r="U158" s="10"/>
      <c r="V158" s="8"/>
    </row>
    <row r="159" spans="1:22">
      <c r="A159" s="8"/>
      <c r="B159" s="8"/>
      <c r="C159" s="8"/>
      <c r="D159" s="8"/>
      <c r="E159" s="8"/>
      <c r="F159" s="8"/>
      <c r="G159" s="8"/>
      <c r="H159" s="13"/>
      <c r="I159" s="13"/>
      <c r="J159" s="16" t="str">
        <f t="shared" si="2"/>
        <v/>
      </c>
      <c r="K159" s="8"/>
      <c r="L159" s="13"/>
      <c r="M159" s="13"/>
      <c r="N159" s="13"/>
      <c r="O159" s="10"/>
      <c r="P159" s="10"/>
      <c r="Q159" s="10"/>
      <c r="R159" s="10"/>
      <c r="S159" s="8"/>
      <c r="T159" s="8"/>
      <c r="U159" s="10"/>
      <c r="V159" s="8"/>
    </row>
    <row r="160" spans="1:22">
      <c r="A160" s="8"/>
      <c r="B160" s="8"/>
      <c r="C160" s="8"/>
      <c r="D160" s="8"/>
      <c r="E160" s="8"/>
      <c r="F160" s="8"/>
      <c r="G160" s="8"/>
      <c r="H160" s="13"/>
      <c r="I160" s="13"/>
      <c r="J160" s="16" t="str">
        <f t="shared" si="2"/>
        <v/>
      </c>
      <c r="K160" s="8"/>
      <c r="L160" s="13"/>
      <c r="M160" s="13"/>
      <c r="N160" s="13"/>
      <c r="O160" s="10"/>
      <c r="P160" s="10"/>
      <c r="Q160" s="10"/>
      <c r="R160" s="10"/>
      <c r="S160" s="8"/>
      <c r="T160" s="8"/>
      <c r="U160" s="10"/>
      <c r="V160" s="8"/>
    </row>
    <row r="161" spans="1:22">
      <c r="A161" s="8"/>
      <c r="B161" s="8"/>
      <c r="C161" s="8"/>
      <c r="D161" s="8"/>
      <c r="E161" s="8"/>
      <c r="F161" s="8"/>
      <c r="G161" s="8"/>
      <c r="H161" s="13"/>
      <c r="I161" s="13"/>
      <c r="J161" s="16" t="str">
        <f t="shared" si="2"/>
        <v/>
      </c>
      <c r="K161" s="8"/>
      <c r="L161" s="13"/>
      <c r="M161" s="13"/>
      <c r="N161" s="13"/>
      <c r="O161" s="10"/>
      <c r="P161" s="10"/>
      <c r="Q161" s="10"/>
      <c r="R161" s="10"/>
      <c r="S161" s="8"/>
      <c r="T161" s="8"/>
      <c r="U161" s="10"/>
      <c r="V161" s="8"/>
    </row>
    <row r="162" spans="1:22">
      <c r="A162" s="8"/>
      <c r="B162" s="8"/>
      <c r="C162" s="8"/>
      <c r="D162" s="8"/>
      <c r="E162" s="8"/>
      <c r="F162" s="8"/>
      <c r="G162" s="8"/>
      <c r="H162" s="13"/>
      <c r="I162" s="13"/>
      <c r="J162" s="16" t="str">
        <f t="shared" si="2"/>
        <v/>
      </c>
      <c r="K162" s="8"/>
      <c r="L162" s="13"/>
      <c r="M162" s="13"/>
      <c r="N162" s="13"/>
      <c r="O162" s="10"/>
      <c r="P162" s="10"/>
      <c r="Q162" s="10"/>
      <c r="R162" s="10"/>
      <c r="S162" s="8"/>
      <c r="T162" s="8"/>
      <c r="U162" s="10"/>
      <c r="V162" s="8"/>
    </row>
    <row r="163" spans="1:22">
      <c r="A163" s="8"/>
      <c r="B163" s="8"/>
      <c r="C163" s="8"/>
      <c r="D163" s="8"/>
      <c r="E163" s="8"/>
      <c r="F163" s="8"/>
      <c r="G163" s="8"/>
      <c r="H163" s="13"/>
      <c r="I163" s="13"/>
      <c r="J163" s="16" t="str">
        <f t="shared" si="2"/>
        <v/>
      </c>
      <c r="K163" s="8"/>
      <c r="L163" s="13"/>
      <c r="M163" s="13"/>
      <c r="N163" s="13"/>
      <c r="O163" s="10"/>
      <c r="P163" s="10"/>
      <c r="Q163" s="10"/>
      <c r="R163" s="10"/>
      <c r="S163" s="8"/>
      <c r="T163" s="8"/>
      <c r="U163" s="10"/>
      <c r="V163" s="8"/>
    </row>
    <row r="164" spans="1:22">
      <c r="A164" s="8"/>
      <c r="B164" s="8"/>
      <c r="C164" s="8"/>
      <c r="D164" s="8"/>
      <c r="E164" s="8"/>
      <c r="F164" s="8"/>
      <c r="G164" s="8"/>
      <c r="H164" s="13"/>
      <c r="I164" s="13"/>
      <c r="J164" s="16" t="str">
        <f t="shared" si="2"/>
        <v/>
      </c>
      <c r="K164" s="8"/>
      <c r="L164" s="13"/>
      <c r="M164" s="13"/>
      <c r="N164" s="13"/>
      <c r="O164" s="10"/>
      <c r="P164" s="10"/>
      <c r="Q164" s="10"/>
      <c r="R164" s="10"/>
      <c r="S164" s="8"/>
      <c r="T164" s="8"/>
      <c r="U164" s="10"/>
      <c r="V164" s="8"/>
    </row>
    <row r="165" spans="1:22">
      <c r="A165" s="8"/>
      <c r="B165" s="8"/>
      <c r="C165" s="8"/>
      <c r="D165" s="8"/>
      <c r="E165" s="8"/>
      <c r="F165" s="8"/>
      <c r="G165" s="8"/>
      <c r="H165" s="13"/>
      <c r="I165" s="13"/>
      <c r="J165" s="16" t="str">
        <f t="shared" si="2"/>
        <v/>
      </c>
      <c r="K165" s="8"/>
      <c r="L165" s="13"/>
      <c r="M165" s="13"/>
      <c r="N165" s="13"/>
      <c r="O165" s="10"/>
      <c r="P165" s="10"/>
      <c r="Q165" s="10"/>
      <c r="R165" s="10"/>
      <c r="S165" s="8"/>
      <c r="T165" s="8"/>
      <c r="U165" s="10"/>
      <c r="V165" s="8"/>
    </row>
    <row r="166" spans="1:22">
      <c r="A166" s="8"/>
      <c r="B166" s="8"/>
      <c r="C166" s="8"/>
      <c r="D166" s="8"/>
      <c r="E166" s="8"/>
      <c r="F166" s="8"/>
      <c r="G166" s="8"/>
      <c r="H166" s="13"/>
      <c r="I166" s="13"/>
      <c r="J166" s="16" t="str">
        <f t="shared" si="2"/>
        <v/>
      </c>
      <c r="K166" s="8"/>
      <c r="L166" s="13"/>
      <c r="M166" s="13"/>
      <c r="N166" s="13"/>
      <c r="O166" s="10"/>
      <c r="P166" s="10"/>
      <c r="Q166" s="10"/>
      <c r="R166" s="10"/>
      <c r="S166" s="8"/>
      <c r="T166" s="8"/>
      <c r="U166" s="10"/>
      <c r="V166" s="8"/>
    </row>
    <row r="167" spans="1:22">
      <c r="A167" s="8"/>
      <c r="B167" s="8"/>
      <c r="C167" s="8"/>
      <c r="D167" s="8"/>
      <c r="E167" s="8"/>
      <c r="F167" s="8"/>
      <c r="G167" s="8"/>
      <c r="H167" s="13"/>
      <c r="I167" s="13"/>
      <c r="J167" s="16" t="str">
        <f t="shared" si="2"/>
        <v/>
      </c>
      <c r="K167" s="8"/>
      <c r="L167" s="13"/>
      <c r="M167" s="13"/>
      <c r="N167" s="13"/>
      <c r="O167" s="10"/>
      <c r="P167" s="10"/>
      <c r="Q167" s="10"/>
      <c r="R167" s="10"/>
      <c r="S167" s="8"/>
      <c r="T167" s="8"/>
      <c r="U167" s="10"/>
      <c r="V167" s="8"/>
    </row>
    <row r="168" spans="1:22">
      <c r="A168" s="8"/>
      <c r="B168" s="8"/>
      <c r="C168" s="8"/>
      <c r="D168" s="8"/>
      <c r="E168" s="8"/>
      <c r="F168" s="8"/>
      <c r="G168" s="8"/>
      <c r="H168" s="13"/>
      <c r="I168" s="13"/>
      <c r="J168" s="16" t="str">
        <f t="shared" si="2"/>
        <v/>
      </c>
      <c r="K168" s="8"/>
      <c r="L168" s="13"/>
      <c r="M168" s="13"/>
      <c r="N168" s="13"/>
      <c r="O168" s="10"/>
      <c r="P168" s="10"/>
      <c r="Q168" s="10"/>
      <c r="R168" s="10"/>
      <c r="S168" s="8"/>
      <c r="T168" s="8"/>
      <c r="U168" s="10"/>
      <c r="V168" s="8"/>
    </row>
    <row r="169" spans="1:22">
      <c r="A169" s="8"/>
      <c r="B169" s="8"/>
      <c r="C169" s="8"/>
      <c r="D169" s="8"/>
      <c r="E169" s="8"/>
      <c r="F169" s="8"/>
      <c r="G169" s="8"/>
      <c r="H169" s="13"/>
      <c r="I169" s="13"/>
      <c r="J169" s="16" t="str">
        <f t="shared" si="2"/>
        <v/>
      </c>
      <c r="K169" s="8"/>
      <c r="L169" s="13"/>
      <c r="M169" s="13"/>
      <c r="N169" s="13"/>
      <c r="O169" s="10"/>
      <c r="P169" s="10"/>
      <c r="Q169" s="10"/>
      <c r="R169" s="10"/>
      <c r="S169" s="8"/>
      <c r="T169" s="8"/>
      <c r="U169" s="10"/>
      <c r="V169" s="8"/>
    </row>
    <row r="170" spans="1:22">
      <c r="A170" s="8"/>
      <c r="B170" s="8"/>
      <c r="C170" s="8"/>
      <c r="D170" s="8"/>
      <c r="E170" s="8"/>
      <c r="F170" s="8"/>
      <c r="G170" s="8"/>
      <c r="H170" s="13"/>
      <c r="I170" s="13"/>
      <c r="J170" s="16" t="str">
        <f t="shared" si="2"/>
        <v/>
      </c>
      <c r="K170" s="8"/>
      <c r="L170" s="13"/>
      <c r="M170" s="13"/>
      <c r="N170" s="13"/>
      <c r="O170" s="10"/>
      <c r="P170" s="10"/>
      <c r="Q170" s="10"/>
      <c r="R170" s="10"/>
      <c r="S170" s="8"/>
      <c r="T170" s="8"/>
      <c r="U170" s="10"/>
      <c r="V170" s="8"/>
    </row>
    <row r="171" spans="1:22">
      <c r="A171" s="8"/>
      <c r="B171" s="8"/>
      <c r="C171" s="8"/>
      <c r="D171" s="8"/>
      <c r="E171" s="8"/>
      <c r="F171" s="8"/>
      <c r="G171" s="8"/>
      <c r="H171" s="13"/>
      <c r="I171" s="13"/>
      <c r="J171" s="16" t="str">
        <f t="shared" si="2"/>
        <v/>
      </c>
      <c r="K171" s="8"/>
      <c r="L171" s="13"/>
      <c r="M171" s="13"/>
      <c r="N171" s="13"/>
      <c r="O171" s="10"/>
      <c r="P171" s="10"/>
      <c r="Q171" s="10"/>
      <c r="R171" s="10"/>
      <c r="S171" s="8"/>
      <c r="T171" s="8"/>
      <c r="U171" s="10"/>
      <c r="V171" s="8"/>
    </row>
    <row r="172" spans="1:22">
      <c r="A172" s="8"/>
      <c r="B172" s="8"/>
      <c r="C172" s="8"/>
      <c r="D172" s="8"/>
      <c r="E172" s="8"/>
      <c r="F172" s="8"/>
      <c r="G172" s="8"/>
      <c r="H172" s="13"/>
      <c r="I172" s="13"/>
      <c r="J172" s="16" t="str">
        <f t="shared" si="2"/>
        <v/>
      </c>
      <c r="K172" s="8"/>
      <c r="L172" s="13"/>
      <c r="M172" s="13"/>
      <c r="N172" s="13"/>
      <c r="O172" s="10"/>
      <c r="P172" s="10"/>
      <c r="Q172" s="10"/>
      <c r="R172" s="10"/>
      <c r="S172" s="8"/>
      <c r="T172" s="8"/>
      <c r="U172" s="10"/>
      <c r="V172" s="8"/>
    </row>
    <row r="173" spans="1:22">
      <c r="A173" s="8"/>
      <c r="B173" s="8"/>
      <c r="C173" s="8"/>
      <c r="D173" s="8"/>
      <c r="E173" s="8"/>
      <c r="F173" s="8"/>
      <c r="G173" s="8"/>
      <c r="H173" s="13"/>
      <c r="I173" s="13"/>
      <c r="J173" s="16" t="str">
        <f t="shared" si="2"/>
        <v/>
      </c>
      <c r="K173" s="8"/>
      <c r="L173" s="13"/>
      <c r="M173" s="13"/>
      <c r="N173" s="13"/>
      <c r="O173" s="10"/>
      <c r="P173" s="10"/>
      <c r="Q173" s="10"/>
      <c r="R173" s="10"/>
      <c r="S173" s="8"/>
      <c r="T173" s="8"/>
      <c r="U173" s="10"/>
      <c r="V173" s="8"/>
    </row>
    <row r="174" spans="1:22">
      <c r="A174" s="8"/>
      <c r="B174" s="8"/>
      <c r="C174" s="8"/>
      <c r="D174" s="8"/>
      <c r="E174" s="8"/>
      <c r="F174" s="8"/>
      <c r="G174" s="8"/>
      <c r="H174" s="13"/>
      <c r="I174" s="13"/>
      <c r="J174" s="16" t="str">
        <f t="shared" si="2"/>
        <v/>
      </c>
      <c r="K174" s="8"/>
      <c r="L174" s="13"/>
      <c r="M174" s="13"/>
      <c r="N174" s="13"/>
      <c r="O174" s="10"/>
      <c r="P174" s="10"/>
      <c r="Q174" s="10"/>
      <c r="R174" s="10"/>
      <c r="S174" s="8"/>
      <c r="T174" s="8"/>
      <c r="U174" s="10"/>
      <c r="V174" s="8"/>
    </row>
    <row r="175" spans="1:22">
      <c r="A175" s="8"/>
      <c r="B175" s="8"/>
      <c r="C175" s="8"/>
      <c r="D175" s="8"/>
      <c r="E175" s="8"/>
      <c r="F175" s="8"/>
      <c r="G175" s="8"/>
      <c r="H175" s="13"/>
      <c r="I175" s="13"/>
      <c r="J175" s="16" t="str">
        <f t="shared" si="2"/>
        <v/>
      </c>
      <c r="K175" s="8"/>
      <c r="L175" s="13"/>
      <c r="M175" s="13"/>
      <c r="N175" s="13"/>
      <c r="O175" s="10"/>
      <c r="P175" s="10"/>
      <c r="Q175" s="10"/>
      <c r="R175" s="10"/>
      <c r="S175" s="8"/>
      <c r="T175" s="8"/>
      <c r="U175" s="10"/>
      <c r="V175" s="8"/>
    </row>
    <row r="176" spans="1:22">
      <c r="A176" s="8"/>
      <c r="B176" s="8"/>
      <c r="C176" s="8"/>
      <c r="D176" s="8"/>
      <c r="E176" s="8"/>
      <c r="F176" s="8"/>
      <c r="G176" s="8"/>
      <c r="H176" s="13"/>
      <c r="I176" s="13"/>
      <c r="J176" s="16" t="str">
        <f t="shared" si="2"/>
        <v/>
      </c>
      <c r="K176" s="8"/>
      <c r="L176" s="13"/>
      <c r="M176" s="13"/>
      <c r="N176" s="13"/>
      <c r="O176" s="10"/>
      <c r="P176" s="10"/>
      <c r="Q176" s="10"/>
      <c r="R176" s="10"/>
      <c r="S176" s="8"/>
      <c r="T176" s="8"/>
      <c r="U176" s="10"/>
      <c r="V176" s="8"/>
    </row>
    <row r="177" spans="1:22">
      <c r="A177" s="8"/>
      <c r="B177" s="8"/>
      <c r="C177" s="8"/>
      <c r="D177" s="8"/>
      <c r="E177" s="8"/>
      <c r="F177" s="8"/>
      <c r="G177" s="8"/>
      <c r="H177" s="13"/>
      <c r="I177" s="13"/>
      <c r="J177" s="16" t="str">
        <f t="shared" si="2"/>
        <v/>
      </c>
      <c r="K177" s="8"/>
      <c r="L177" s="13"/>
      <c r="M177" s="13"/>
      <c r="N177" s="13"/>
      <c r="O177" s="10"/>
      <c r="P177" s="10"/>
      <c r="Q177" s="10"/>
      <c r="R177" s="10"/>
      <c r="S177" s="8"/>
      <c r="T177" s="8"/>
      <c r="U177" s="10"/>
      <c r="V177" s="8"/>
    </row>
    <row r="178" spans="1:22">
      <c r="A178" s="8"/>
      <c r="B178" s="8"/>
      <c r="C178" s="8"/>
      <c r="D178" s="8"/>
      <c r="E178" s="8"/>
      <c r="F178" s="8"/>
      <c r="G178" s="8"/>
      <c r="H178" s="13"/>
      <c r="I178" s="13"/>
      <c r="J178" s="16" t="str">
        <f t="shared" si="2"/>
        <v/>
      </c>
      <c r="K178" s="8"/>
      <c r="L178" s="13"/>
      <c r="M178" s="13"/>
      <c r="N178" s="13"/>
      <c r="O178" s="10"/>
      <c r="P178" s="10"/>
      <c r="Q178" s="10"/>
      <c r="R178" s="10"/>
      <c r="S178" s="8"/>
      <c r="T178" s="8"/>
      <c r="U178" s="10"/>
      <c r="V178" s="8"/>
    </row>
    <row r="179" spans="1:22">
      <c r="A179" s="8"/>
      <c r="B179" s="8"/>
      <c r="C179" s="8"/>
      <c r="D179" s="8"/>
      <c r="E179" s="8"/>
      <c r="F179" s="8"/>
      <c r="G179" s="8"/>
      <c r="H179" s="13"/>
      <c r="I179" s="13"/>
      <c r="J179" s="16" t="str">
        <f t="shared" si="2"/>
        <v/>
      </c>
      <c r="K179" s="8"/>
      <c r="L179" s="13"/>
      <c r="M179" s="13"/>
      <c r="N179" s="13"/>
      <c r="O179" s="10"/>
      <c r="P179" s="10"/>
      <c r="Q179" s="10"/>
      <c r="R179" s="10"/>
      <c r="S179" s="8"/>
      <c r="T179" s="8"/>
      <c r="U179" s="10"/>
      <c r="V179" s="8"/>
    </row>
    <row r="180" spans="1:22">
      <c r="A180" s="8"/>
      <c r="B180" s="8"/>
      <c r="C180" s="8"/>
      <c r="D180" s="8"/>
      <c r="E180" s="8"/>
      <c r="F180" s="8"/>
      <c r="G180" s="8"/>
      <c r="H180" s="13"/>
      <c r="I180" s="13"/>
      <c r="J180" s="16" t="str">
        <f t="shared" si="2"/>
        <v/>
      </c>
      <c r="K180" s="8"/>
      <c r="L180" s="13"/>
      <c r="M180" s="13"/>
      <c r="N180" s="13"/>
      <c r="O180" s="10"/>
      <c r="P180" s="10"/>
      <c r="Q180" s="10"/>
      <c r="R180" s="10"/>
      <c r="S180" s="8"/>
      <c r="T180" s="8"/>
      <c r="U180" s="10"/>
      <c r="V180" s="8"/>
    </row>
    <row r="181" spans="1:22">
      <c r="A181" s="8"/>
      <c r="B181" s="8"/>
      <c r="C181" s="8"/>
      <c r="D181" s="8"/>
      <c r="E181" s="8"/>
      <c r="F181" s="8"/>
      <c r="G181" s="8"/>
      <c r="H181" s="13"/>
      <c r="I181" s="13"/>
      <c r="J181" s="16" t="str">
        <f t="shared" si="2"/>
        <v/>
      </c>
      <c r="K181" s="8"/>
      <c r="L181" s="13"/>
      <c r="M181" s="13"/>
      <c r="N181" s="13"/>
      <c r="O181" s="10"/>
      <c r="P181" s="10"/>
      <c r="Q181" s="10"/>
      <c r="R181" s="10"/>
      <c r="S181" s="8"/>
      <c r="T181" s="8"/>
      <c r="U181" s="10"/>
      <c r="V181" s="8"/>
    </row>
    <row r="182" spans="1:22">
      <c r="A182" s="8"/>
      <c r="B182" s="8"/>
      <c r="C182" s="8"/>
      <c r="D182" s="8"/>
      <c r="E182" s="8"/>
      <c r="F182" s="8"/>
      <c r="G182" s="8"/>
      <c r="H182" s="13"/>
      <c r="I182" s="13"/>
      <c r="J182" s="16" t="str">
        <f t="shared" si="2"/>
        <v/>
      </c>
      <c r="K182" s="8"/>
      <c r="L182" s="13"/>
      <c r="M182" s="13"/>
      <c r="N182" s="13"/>
      <c r="O182" s="10"/>
      <c r="P182" s="10"/>
      <c r="Q182" s="10"/>
      <c r="R182" s="10"/>
      <c r="S182" s="8"/>
      <c r="T182" s="8"/>
      <c r="U182" s="10"/>
      <c r="V182" s="8"/>
    </row>
    <row r="183" spans="1:22">
      <c r="A183" s="8"/>
      <c r="B183" s="8"/>
      <c r="C183" s="8"/>
      <c r="D183" s="8"/>
      <c r="E183" s="8"/>
      <c r="F183" s="8"/>
      <c r="G183" s="8"/>
      <c r="H183" s="13"/>
      <c r="I183" s="13"/>
      <c r="J183" s="16" t="str">
        <f t="shared" si="2"/>
        <v/>
      </c>
      <c r="K183" s="8"/>
      <c r="L183" s="13"/>
      <c r="M183" s="13"/>
      <c r="N183" s="13"/>
      <c r="O183" s="10"/>
      <c r="P183" s="10"/>
      <c r="Q183" s="10"/>
      <c r="R183" s="10"/>
      <c r="S183" s="8"/>
      <c r="T183" s="8"/>
      <c r="U183" s="10"/>
      <c r="V183" s="8"/>
    </row>
    <row r="184" spans="1:22">
      <c r="A184" s="8"/>
      <c r="B184" s="8"/>
      <c r="C184" s="8"/>
      <c r="D184" s="8"/>
      <c r="E184" s="8"/>
      <c r="F184" s="8"/>
      <c r="G184" s="8"/>
      <c r="H184" s="13"/>
      <c r="I184" s="13"/>
      <c r="J184" s="16" t="str">
        <f t="shared" si="2"/>
        <v/>
      </c>
      <c r="K184" s="8"/>
      <c r="L184" s="13"/>
      <c r="M184" s="13"/>
      <c r="N184" s="13"/>
      <c r="O184" s="10"/>
      <c r="P184" s="10"/>
      <c r="Q184" s="10"/>
      <c r="R184" s="10"/>
      <c r="S184" s="8"/>
      <c r="T184" s="8"/>
      <c r="U184" s="10"/>
      <c r="V184" s="8"/>
    </row>
    <row r="185" spans="1:22">
      <c r="A185" s="8"/>
      <c r="B185" s="8"/>
      <c r="C185" s="8"/>
      <c r="D185" s="8"/>
      <c r="E185" s="8"/>
      <c r="F185" s="8"/>
      <c r="G185" s="8"/>
      <c r="H185" s="13"/>
      <c r="I185" s="13"/>
      <c r="J185" s="16" t="str">
        <f t="shared" si="2"/>
        <v/>
      </c>
      <c r="K185" s="8"/>
      <c r="L185" s="13"/>
      <c r="M185" s="13"/>
      <c r="N185" s="13"/>
      <c r="O185" s="10"/>
      <c r="P185" s="10"/>
      <c r="Q185" s="10"/>
      <c r="R185" s="10"/>
      <c r="S185" s="8"/>
      <c r="T185" s="8"/>
      <c r="U185" s="10"/>
      <c r="V185" s="8"/>
    </row>
    <row r="186" spans="1:22">
      <c r="A186" s="8"/>
      <c r="B186" s="8"/>
      <c r="C186" s="8"/>
      <c r="D186" s="8"/>
      <c r="E186" s="8"/>
      <c r="F186" s="8"/>
      <c r="G186" s="8"/>
      <c r="H186" s="13"/>
      <c r="I186" s="13"/>
      <c r="J186" s="16" t="str">
        <f t="shared" si="2"/>
        <v/>
      </c>
      <c r="K186" s="8"/>
      <c r="L186" s="13"/>
      <c r="M186" s="13"/>
      <c r="N186" s="13"/>
      <c r="O186" s="10"/>
      <c r="P186" s="10"/>
      <c r="Q186" s="10"/>
      <c r="R186" s="10"/>
      <c r="S186" s="8"/>
      <c r="T186" s="8"/>
      <c r="U186" s="10"/>
      <c r="V186" s="8"/>
    </row>
    <row r="187" spans="1:22">
      <c r="A187" s="8"/>
      <c r="B187" s="8"/>
      <c r="C187" s="8"/>
      <c r="D187" s="8"/>
      <c r="E187" s="8"/>
      <c r="F187" s="8"/>
      <c r="G187" s="8"/>
      <c r="H187" s="13"/>
      <c r="I187" s="13"/>
      <c r="J187" s="16" t="str">
        <f t="shared" si="2"/>
        <v/>
      </c>
      <c r="K187" s="8"/>
      <c r="L187" s="13"/>
      <c r="M187" s="13"/>
      <c r="N187" s="13"/>
      <c r="O187" s="10"/>
      <c r="P187" s="10"/>
      <c r="Q187" s="10"/>
      <c r="R187" s="10"/>
      <c r="S187" s="8"/>
      <c r="T187" s="8"/>
      <c r="U187" s="10"/>
      <c r="V187" s="8"/>
    </row>
    <row r="188" spans="1:22">
      <c r="A188" s="8"/>
      <c r="B188" s="8"/>
      <c r="C188" s="8"/>
      <c r="D188" s="8"/>
      <c r="E188" s="8"/>
      <c r="F188" s="8"/>
      <c r="G188" s="8"/>
      <c r="H188" s="13"/>
      <c r="I188" s="13"/>
      <c r="J188" s="16" t="str">
        <f t="shared" si="2"/>
        <v/>
      </c>
      <c r="K188" s="8"/>
      <c r="L188" s="13"/>
      <c r="M188" s="13"/>
      <c r="N188" s="13"/>
      <c r="O188" s="10"/>
      <c r="P188" s="10"/>
      <c r="Q188" s="10"/>
      <c r="R188" s="10"/>
      <c r="S188" s="8"/>
      <c r="T188" s="8"/>
      <c r="U188" s="10"/>
      <c r="V188" s="8"/>
    </row>
    <row r="189" spans="1:22">
      <c r="A189" s="8"/>
      <c r="B189" s="8"/>
      <c r="C189" s="8"/>
      <c r="D189" s="8"/>
      <c r="E189" s="8"/>
      <c r="F189" s="8"/>
      <c r="G189" s="8"/>
      <c r="H189" s="13"/>
      <c r="I189" s="13"/>
      <c r="J189" s="16" t="str">
        <f t="shared" si="2"/>
        <v/>
      </c>
      <c r="K189" s="8"/>
      <c r="L189" s="13"/>
      <c r="M189" s="13"/>
      <c r="N189" s="13"/>
      <c r="O189" s="10"/>
      <c r="P189" s="10"/>
      <c r="Q189" s="10"/>
      <c r="R189" s="10"/>
      <c r="S189" s="8"/>
      <c r="T189" s="8"/>
      <c r="U189" s="10"/>
      <c r="V189" s="8"/>
    </row>
    <row r="190" spans="1:22">
      <c r="A190" s="8"/>
      <c r="B190" s="8"/>
      <c r="C190" s="8"/>
      <c r="D190" s="8"/>
      <c r="E190" s="8"/>
      <c r="F190" s="8"/>
      <c r="G190" s="8"/>
      <c r="H190" s="13"/>
      <c r="I190" s="13"/>
      <c r="J190" s="16" t="str">
        <f t="shared" si="2"/>
        <v/>
      </c>
      <c r="K190" s="8"/>
      <c r="L190" s="13"/>
      <c r="M190" s="13"/>
      <c r="N190" s="13"/>
      <c r="O190" s="10"/>
      <c r="P190" s="10"/>
      <c r="Q190" s="10"/>
      <c r="R190" s="10"/>
      <c r="S190" s="8"/>
      <c r="T190" s="8"/>
      <c r="U190" s="10"/>
      <c r="V190" s="8"/>
    </row>
    <row r="191" spans="1:22">
      <c r="A191" s="8"/>
      <c r="B191" s="8"/>
      <c r="C191" s="8"/>
      <c r="D191" s="8"/>
      <c r="E191" s="8"/>
      <c r="F191" s="8"/>
      <c r="G191" s="8"/>
      <c r="H191" s="13"/>
      <c r="I191" s="13"/>
      <c r="J191" s="16" t="str">
        <f t="shared" si="2"/>
        <v/>
      </c>
      <c r="K191" s="8"/>
      <c r="L191" s="13"/>
      <c r="M191" s="13"/>
      <c r="N191" s="13"/>
      <c r="O191" s="10"/>
      <c r="P191" s="10"/>
      <c r="Q191" s="10"/>
      <c r="R191" s="10"/>
      <c r="S191" s="8"/>
      <c r="T191" s="8"/>
      <c r="U191" s="10"/>
      <c r="V191" s="8"/>
    </row>
    <row r="192" spans="1:22">
      <c r="A192" s="8"/>
      <c r="B192" s="8"/>
      <c r="C192" s="8"/>
      <c r="D192" s="8"/>
      <c r="E192" s="8"/>
      <c r="F192" s="8"/>
      <c r="G192" s="8"/>
      <c r="H192" s="13"/>
      <c r="I192" s="13"/>
      <c r="J192" s="16" t="str">
        <f t="shared" si="2"/>
        <v/>
      </c>
      <c r="K192" s="8"/>
      <c r="L192" s="13"/>
      <c r="M192" s="13"/>
      <c r="N192" s="13"/>
      <c r="O192" s="10"/>
      <c r="P192" s="10"/>
      <c r="Q192" s="10"/>
      <c r="R192" s="10"/>
      <c r="S192" s="8"/>
      <c r="T192" s="8"/>
      <c r="U192" s="10"/>
      <c r="V192" s="8"/>
    </row>
    <row r="193" spans="1:22">
      <c r="A193" s="8"/>
      <c r="B193" s="8"/>
      <c r="C193" s="8"/>
      <c r="D193" s="8"/>
      <c r="E193" s="8"/>
      <c r="F193" s="8"/>
      <c r="G193" s="8"/>
      <c r="H193" s="13"/>
      <c r="I193" s="13"/>
      <c r="J193" s="16" t="str">
        <f t="shared" si="2"/>
        <v/>
      </c>
      <c r="K193" s="8"/>
      <c r="L193" s="13"/>
      <c r="M193" s="13"/>
      <c r="N193" s="13"/>
      <c r="O193" s="10"/>
      <c r="P193" s="10"/>
      <c r="Q193" s="10"/>
      <c r="R193" s="10"/>
      <c r="S193" s="8"/>
      <c r="T193" s="8"/>
      <c r="U193" s="10"/>
      <c r="V193" s="8"/>
    </row>
    <row r="194" spans="1:22">
      <c r="A194" s="8"/>
      <c r="B194" s="8"/>
      <c r="C194" s="8"/>
      <c r="D194" s="8"/>
      <c r="E194" s="8"/>
      <c r="F194" s="8"/>
      <c r="G194" s="8"/>
      <c r="H194" s="13"/>
      <c r="I194" s="13"/>
      <c r="J194" s="16" t="str">
        <f t="shared" si="2"/>
        <v/>
      </c>
      <c r="K194" s="8"/>
      <c r="L194" s="13"/>
      <c r="M194" s="13"/>
      <c r="N194" s="13"/>
      <c r="O194" s="10"/>
      <c r="P194" s="10"/>
      <c r="Q194" s="10"/>
      <c r="R194" s="10"/>
      <c r="S194" s="8"/>
      <c r="T194" s="8"/>
      <c r="U194" s="10"/>
      <c r="V194" s="8"/>
    </row>
    <row r="195" spans="1:22">
      <c r="A195" s="8"/>
      <c r="B195" s="8"/>
      <c r="C195" s="8"/>
      <c r="D195" s="8"/>
      <c r="E195" s="8"/>
      <c r="F195" s="8"/>
      <c r="G195" s="8"/>
      <c r="H195" s="13"/>
      <c r="I195" s="13"/>
      <c r="J195" s="16" t="str">
        <f t="shared" si="2"/>
        <v/>
      </c>
      <c r="K195" s="8"/>
      <c r="L195" s="13"/>
      <c r="M195" s="13"/>
      <c r="N195" s="13"/>
      <c r="O195" s="10"/>
      <c r="P195" s="10"/>
      <c r="Q195" s="10"/>
      <c r="R195" s="10"/>
      <c r="S195" s="8"/>
      <c r="T195" s="8"/>
      <c r="U195" s="10"/>
      <c r="V195" s="8"/>
    </row>
    <row r="196" spans="1:22">
      <c r="A196" s="8"/>
      <c r="B196" s="8"/>
      <c r="C196" s="8"/>
      <c r="D196" s="8"/>
      <c r="E196" s="8"/>
      <c r="F196" s="8"/>
      <c r="G196" s="8"/>
      <c r="H196" s="13"/>
      <c r="I196" s="13"/>
      <c r="J196" s="16" t="str">
        <f t="shared" si="2"/>
        <v/>
      </c>
      <c r="K196" s="8"/>
      <c r="L196" s="13"/>
      <c r="M196" s="13"/>
      <c r="N196" s="13"/>
      <c r="O196" s="10"/>
      <c r="P196" s="10"/>
      <c r="Q196" s="10"/>
      <c r="R196" s="10"/>
      <c r="S196" s="8"/>
      <c r="T196" s="8"/>
      <c r="U196" s="10"/>
      <c r="V196" s="8"/>
    </row>
    <row r="197" spans="1:22">
      <c r="A197" s="8"/>
      <c r="B197" s="8"/>
      <c r="C197" s="8"/>
      <c r="D197" s="8"/>
      <c r="E197" s="8"/>
      <c r="F197" s="8"/>
      <c r="G197" s="8"/>
      <c r="H197" s="13"/>
      <c r="I197" s="13"/>
      <c r="J197" s="16" t="str">
        <f t="shared" ref="J197:J260" si="3">IF(OR(A197="",H197=0),"",I197/H197)</f>
        <v/>
      </c>
      <c r="K197" s="8"/>
      <c r="L197" s="13"/>
      <c r="M197" s="13"/>
      <c r="N197" s="13"/>
      <c r="O197" s="10"/>
      <c r="P197" s="10"/>
      <c r="Q197" s="10"/>
      <c r="R197" s="10"/>
      <c r="S197" s="8"/>
      <c r="T197" s="8"/>
      <c r="U197" s="10"/>
      <c r="V197" s="8"/>
    </row>
    <row r="198" spans="1:22">
      <c r="A198" s="8"/>
      <c r="B198" s="8"/>
      <c r="C198" s="8"/>
      <c r="D198" s="8"/>
      <c r="E198" s="8"/>
      <c r="F198" s="8"/>
      <c r="G198" s="8"/>
      <c r="H198" s="13"/>
      <c r="I198" s="13"/>
      <c r="J198" s="16" t="str">
        <f t="shared" si="3"/>
        <v/>
      </c>
      <c r="K198" s="8"/>
      <c r="L198" s="13"/>
      <c r="M198" s="13"/>
      <c r="N198" s="13"/>
      <c r="O198" s="10"/>
      <c r="P198" s="10"/>
      <c r="Q198" s="10"/>
      <c r="R198" s="10"/>
      <c r="S198" s="8"/>
      <c r="T198" s="8"/>
      <c r="U198" s="10"/>
      <c r="V198" s="8"/>
    </row>
    <row r="199" spans="1:22">
      <c r="A199" s="8"/>
      <c r="B199" s="8"/>
      <c r="C199" s="8"/>
      <c r="D199" s="8"/>
      <c r="E199" s="8"/>
      <c r="F199" s="8"/>
      <c r="G199" s="8"/>
      <c r="H199" s="13"/>
      <c r="I199" s="13"/>
      <c r="J199" s="16" t="str">
        <f t="shared" si="3"/>
        <v/>
      </c>
      <c r="K199" s="8"/>
      <c r="L199" s="13"/>
      <c r="M199" s="13"/>
      <c r="N199" s="13"/>
      <c r="O199" s="10"/>
      <c r="P199" s="10"/>
      <c r="Q199" s="10"/>
      <c r="R199" s="10"/>
      <c r="S199" s="8"/>
      <c r="T199" s="8"/>
      <c r="U199" s="10"/>
      <c r="V199" s="8"/>
    </row>
    <row r="200" spans="1:22">
      <c r="A200" s="8"/>
      <c r="B200" s="8"/>
      <c r="C200" s="8"/>
      <c r="D200" s="8"/>
      <c r="E200" s="8"/>
      <c r="F200" s="8"/>
      <c r="G200" s="8"/>
      <c r="H200" s="13"/>
      <c r="I200" s="13"/>
      <c r="J200" s="16" t="str">
        <f t="shared" si="3"/>
        <v/>
      </c>
      <c r="K200" s="8"/>
      <c r="L200" s="13"/>
      <c r="M200" s="13"/>
      <c r="N200" s="13"/>
      <c r="O200" s="10"/>
      <c r="P200" s="10"/>
      <c r="Q200" s="10"/>
      <c r="R200" s="10"/>
      <c r="S200" s="8"/>
      <c r="T200" s="8"/>
      <c r="U200" s="10"/>
      <c r="V200" s="8"/>
    </row>
    <row r="201" spans="1:22">
      <c r="A201" s="8"/>
      <c r="B201" s="8"/>
      <c r="C201" s="8"/>
      <c r="D201" s="8"/>
      <c r="E201" s="8"/>
      <c r="F201" s="8"/>
      <c r="G201" s="8"/>
      <c r="H201" s="13"/>
      <c r="I201" s="13"/>
      <c r="J201" s="16" t="str">
        <f t="shared" si="3"/>
        <v/>
      </c>
      <c r="K201" s="8"/>
      <c r="L201" s="13"/>
      <c r="M201" s="13"/>
      <c r="N201" s="13"/>
      <c r="O201" s="10"/>
      <c r="P201" s="10"/>
      <c r="Q201" s="10"/>
      <c r="R201" s="10"/>
      <c r="S201" s="8"/>
      <c r="T201" s="8"/>
      <c r="U201" s="10"/>
      <c r="V201" s="8"/>
    </row>
    <row r="202" spans="1:22">
      <c r="A202" s="8"/>
      <c r="B202" s="8"/>
      <c r="C202" s="8"/>
      <c r="D202" s="8"/>
      <c r="E202" s="8"/>
      <c r="F202" s="8"/>
      <c r="G202" s="8"/>
      <c r="H202" s="13"/>
      <c r="I202" s="13"/>
      <c r="J202" s="16" t="str">
        <f t="shared" si="3"/>
        <v/>
      </c>
      <c r="K202" s="8"/>
      <c r="L202" s="13"/>
      <c r="M202" s="13"/>
      <c r="N202" s="13"/>
      <c r="O202" s="10"/>
      <c r="P202" s="10"/>
      <c r="Q202" s="10"/>
      <c r="R202" s="10"/>
      <c r="S202" s="8"/>
      <c r="T202" s="8"/>
      <c r="U202" s="10"/>
      <c r="V202" s="8"/>
    </row>
    <row r="203" spans="1:22">
      <c r="A203" s="8"/>
      <c r="B203" s="8"/>
      <c r="C203" s="8"/>
      <c r="D203" s="8"/>
      <c r="E203" s="8"/>
      <c r="F203" s="8"/>
      <c r="G203" s="8"/>
      <c r="H203" s="13"/>
      <c r="I203" s="13"/>
      <c r="J203" s="16" t="str">
        <f t="shared" si="3"/>
        <v/>
      </c>
      <c r="K203" s="8"/>
      <c r="L203" s="13"/>
      <c r="M203" s="13"/>
      <c r="N203" s="13"/>
      <c r="O203" s="10"/>
      <c r="P203" s="10"/>
      <c r="Q203" s="10"/>
      <c r="R203" s="10"/>
      <c r="S203" s="8"/>
      <c r="T203" s="8"/>
      <c r="U203" s="10"/>
      <c r="V203" s="8"/>
    </row>
    <row r="204" spans="1:22">
      <c r="A204" s="8"/>
      <c r="B204" s="8"/>
      <c r="C204" s="8"/>
      <c r="D204" s="8"/>
      <c r="E204" s="8"/>
      <c r="F204" s="8"/>
      <c r="G204" s="8"/>
      <c r="H204" s="13"/>
      <c r="I204" s="13"/>
      <c r="J204" s="16" t="str">
        <f t="shared" si="3"/>
        <v/>
      </c>
      <c r="K204" s="8"/>
      <c r="L204" s="13"/>
      <c r="M204" s="13"/>
      <c r="N204" s="13"/>
      <c r="O204" s="10"/>
      <c r="P204" s="10"/>
      <c r="Q204" s="10"/>
      <c r="R204" s="10"/>
      <c r="S204" s="8"/>
      <c r="T204" s="8"/>
      <c r="U204" s="10"/>
      <c r="V204" s="8"/>
    </row>
    <row r="205" spans="1:22">
      <c r="A205" s="8"/>
      <c r="B205" s="8"/>
      <c r="C205" s="8"/>
      <c r="D205" s="8"/>
      <c r="E205" s="8"/>
      <c r="F205" s="8"/>
      <c r="G205" s="8"/>
      <c r="H205" s="13"/>
      <c r="I205" s="13"/>
      <c r="J205" s="16" t="str">
        <f t="shared" si="3"/>
        <v/>
      </c>
      <c r="K205" s="8"/>
      <c r="L205" s="13"/>
      <c r="M205" s="13"/>
      <c r="N205" s="13"/>
      <c r="O205" s="10"/>
      <c r="P205" s="10"/>
      <c r="Q205" s="10"/>
      <c r="R205" s="10"/>
      <c r="S205" s="8"/>
      <c r="T205" s="8"/>
      <c r="U205" s="10"/>
      <c r="V205" s="8"/>
    </row>
    <row r="206" spans="1:22">
      <c r="A206" s="8"/>
      <c r="B206" s="8"/>
      <c r="C206" s="8"/>
      <c r="D206" s="8"/>
      <c r="E206" s="8"/>
      <c r="F206" s="8"/>
      <c r="G206" s="8"/>
      <c r="H206" s="13"/>
      <c r="I206" s="13"/>
      <c r="J206" s="16" t="str">
        <f t="shared" si="3"/>
        <v/>
      </c>
      <c r="K206" s="8"/>
      <c r="L206" s="13"/>
      <c r="M206" s="13"/>
      <c r="N206" s="13"/>
      <c r="O206" s="10"/>
      <c r="P206" s="10"/>
      <c r="Q206" s="10"/>
      <c r="R206" s="10"/>
      <c r="S206" s="8"/>
      <c r="T206" s="8"/>
      <c r="U206" s="10"/>
      <c r="V206" s="8"/>
    </row>
    <row r="207" spans="1:22">
      <c r="A207" s="8"/>
      <c r="B207" s="8"/>
      <c r="C207" s="8"/>
      <c r="D207" s="8"/>
      <c r="E207" s="8"/>
      <c r="F207" s="8"/>
      <c r="G207" s="8"/>
      <c r="H207" s="13"/>
      <c r="I207" s="13"/>
      <c r="J207" s="16" t="str">
        <f t="shared" si="3"/>
        <v/>
      </c>
      <c r="K207" s="8"/>
      <c r="L207" s="13"/>
      <c r="M207" s="13"/>
      <c r="N207" s="13"/>
      <c r="O207" s="10"/>
      <c r="P207" s="10"/>
      <c r="Q207" s="10"/>
      <c r="R207" s="10"/>
      <c r="S207" s="8"/>
      <c r="T207" s="8"/>
      <c r="U207" s="10"/>
      <c r="V207" s="8"/>
    </row>
    <row r="208" spans="1:22">
      <c r="A208" s="8"/>
      <c r="B208" s="8"/>
      <c r="C208" s="8"/>
      <c r="D208" s="8"/>
      <c r="E208" s="8"/>
      <c r="F208" s="8"/>
      <c r="G208" s="8"/>
      <c r="H208" s="13"/>
      <c r="I208" s="13"/>
      <c r="J208" s="16" t="str">
        <f t="shared" si="3"/>
        <v/>
      </c>
      <c r="K208" s="8"/>
      <c r="L208" s="13"/>
      <c r="M208" s="13"/>
      <c r="N208" s="13"/>
      <c r="O208" s="10"/>
      <c r="P208" s="10"/>
      <c r="Q208" s="10"/>
      <c r="R208" s="10"/>
      <c r="S208" s="8"/>
      <c r="T208" s="8"/>
      <c r="U208" s="10"/>
      <c r="V208" s="8"/>
    </row>
    <row r="209" spans="1:22">
      <c r="A209" s="8"/>
      <c r="B209" s="8"/>
      <c r="C209" s="8"/>
      <c r="D209" s="8"/>
      <c r="E209" s="8"/>
      <c r="F209" s="8"/>
      <c r="G209" s="8"/>
      <c r="H209" s="13"/>
      <c r="I209" s="13"/>
      <c r="J209" s="16" t="str">
        <f t="shared" si="3"/>
        <v/>
      </c>
      <c r="K209" s="8"/>
      <c r="L209" s="13"/>
      <c r="M209" s="13"/>
      <c r="N209" s="13"/>
      <c r="O209" s="10"/>
      <c r="P209" s="10"/>
      <c r="Q209" s="10"/>
      <c r="R209" s="10"/>
      <c r="S209" s="8"/>
      <c r="T209" s="8"/>
      <c r="U209" s="10"/>
      <c r="V209" s="8"/>
    </row>
    <row r="210" spans="1:22">
      <c r="A210" s="8"/>
      <c r="B210" s="8"/>
      <c r="C210" s="8"/>
      <c r="D210" s="8"/>
      <c r="E210" s="8"/>
      <c r="F210" s="8"/>
      <c r="G210" s="8"/>
      <c r="H210" s="13"/>
      <c r="I210" s="13"/>
      <c r="J210" s="16" t="str">
        <f t="shared" si="3"/>
        <v/>
      </c>
      <c r="K210" s="8"/>
      <c r="L210" s="13"/>
      <c r="M210" s="13"/>
      <c r="N210" s="13"/>
      <c r="O210" s="10"/>
      <c r="P210" s="10"/>
      <c r="Q210" s="10"/>
      <c r="R210" s="10"/>
      <c r="S210" s="8"/>
      <c r="T210" s="8"/>
      <c r="U210" s="10"/>
      <c r="V210" s="8"/>
    </row>
    <row r="211" spans="1:22">
      <c r="A211" s="8"/>
      <c r="B211" s="8"/>
      <c r="C211" s="8"/>
      <c r="D211" s="8"/>
      <c r="E211" s="8"/>
      <c r="F211" s="8"/>
      <c r="G211" s="8"/>
      <c r="H211" s="13"/>
      <c r="I211" s="13"/>
      <c r="J211" s="16" t="str">
        <f t="shared" si="3"/>
        <v/>
      </c>
      <c r="K211" s="8"/>
      <c r="L211" s="13"/>
      <c r="M211" s="13"/>
      <c r="N211" s="13"/>
      <c r="O211" s="10"/>
      <c r="P211" s="10"/>
      <c r="Q211" s="10"/>
      <c r="R211" s="10"/>
      <c r="S211" s="8"/>
      <c r="T211" s="8"/>
      <c r="U211" s="10"/>
      <c r="V211" s="8"/>
    </row>
    <row r="212" spans="1:22">
      <c r="A212" s="8"/>
      <c r="B212" s="8"/>
      <c r="C212" s="8"/>
      <c r="D212" s="8"/>
      <c r="E212" s="8"/>
      <c r="F212" s="8"/>
      <c r="G212" s="8"/>
      <c r="H212" s="13"/>
      <c r="I212" s="13"/>
      <c r="J212" s="16" t="str">
        <f t="shared" si="3"/>
        <v/>
      </c>
      <c r="K212" s="8"/>
      <c r="L212" s="13"/>
      <c r="M212" s="13"/>
      <c r="N212" s="13"/>
      <c r="O212" s="10"/>
      <c r="P212" s="10"/>
      <c r="Q212" s="10"/>
      <c r="R212" s="10"/>
      <c r="S212" s="8"/>
      <c r="T212" s="8"/>
      <c r="U212" s="10"/>
      <c r="V212" s="8"/>
    </row>
    <row r="213" spans="1:22">
      <c r="A213" s="8"/>
      <c r="B213" s="8"/>
      <c r="C213" s="8"/>
      <c r="D213" s="8"/>
      <c r="E213" s="8"/>
      <c r="F213" s="8"/>
      <c r="G213" s="8"/>
      <c r="H213" s="13"/>
      <c r="I213" s="13"/>
      <c r="J213" s="16" t="str">
        <f t="shared" si="3"/>
        <v/>
      </c>
      <c r="K213" s="8"/>
      <c r="L213" s="13"/>
      <c r="M213" s="13"/>
      <c r="N213" s="13"/>
      <c r="O213" s="10"/>
      <c r="P213" s="10"/>
      <c r="Q213" s="10"/>
      <c r="R213" s="10"/>
      <c r="S213" s="8"/>
      <c r="T213" s="8"/>
      <c r="U213" s="10"/>
      <c r="V213" s="8"/>
    </row>
    <row r="214" spans="1:22">
      <c r="A214" s="8"/>
      <c r="B214" s="8"/>
      <c r="C214" s="8"/>
      <c r="D214" s="8"/>
      <c r="E214" s="8"/>
      <c r="F214" s="8"/>
      <c r="G214" s="8"/>
      <c r="H214" s="13"/>
      <c r="I214" s="13"/>
      <c r="J214" s="16" t="str">
        <f t="shared" si="3"/>
        <v/>
      </c>
      <c r="K214" s="8"/>
      <c r="L214" s="13"/>
      <c r="M214" s="13"/>
      <c r="N214" s="13"/>
      <c r="O214" s="10"/>
      <c r="P214" s="10"/>
      <c r="Q214" s="10"/>
      <c r="R214" s="10"/>
      <c r="S214" s="8"/>
      <c r="T214" s="8"/>
      <c r="U214" s="10"/>
      <c r="V214" s="8"/>
    </row>
    <row r="215" spans="1:22">
      <c r="A215" s="8"/>
      <c r="B215" s="8"/>
      <c r="C215" s="8"/>
      <c r="D215" s="8"/>
      <c r="E215" s="8"/>
      <c r="F215" s="8"/>
      <c r="G215" s="8"/>
      <c r="H215" s="13"/>
      <c r="I215" s="13"/>
      <c r="J215" s="16" t="str">
        <f t="shared" si="3"/>
        <v/>
      </c>
      <c r="K215" s="8"/>
      <c r="L215" s="13"/>
      <c r="M215" s="13"/>
      <c r="N215" s="13"/>
      <c r="O215" s="10"/>
      <c r="P215" s="10"/>
      <c r="Q215" s="10"/>
      <c r="R215" s="10"/>
      <c r="S215" s="8"/>
      <c r="T215" s="8"/>
      <c r="U215" s="10"/>
      <c r="V215" s="8"/>
    </row>
    <row r="216" spans="1:22">
      <c r="A216" s="8"/>
      <c r="B216" s="8"/>
      <c r="C216" s="8"/>
      <c r="D216" s="8"/>
      <c r="E216" s="8"/>
      <c r="F216" s="8"/>
      <c r="G216" s="8"/>
      <c r="H216" s="13"/>
      <c r="I216" s="13"/>
      <c r="J216" s="16" t="str">
        <f t="shared" si="3"/>
        <v/>
      </c>
      <c r="K216" s="8"/>
      <c r="L216" s="13"/>
      <c r="M216" s="13"/>
      <c r="N216" s="13"/>
      <c r="O216" s="10"/>
      <c r="P216" s="10"/>
      <c r="Q216" s="10"/>
      <c r="R216" s="10"/>
      <c r="S216" s="8"/>
      <c r="T216" s="8"/>
      <c r="U216" s="10"/>
      <c r="V216" s="8"/>
    </row>
    <row r="217" spans="1:22">
      <c r="A217" s="8"/>
      <c r="B217" s="8"/>
      <c r="C217" s="8"/>
      <c r="D217" s="8"/>
      <c r="E217" s="8"/>
      <c r="F217" s="8"/>
      <c r="G217" s="8"/>
      <c r="H217" s="13"/>
      <c r="I217" s="13"/>
      <c r="J217" s="16" t="str">
        <f t="shared" si="3"/>
        <v/>
      </c>
      <c r="K217" s="8"/>
      <c r="L217" s="13"/>
      <c r="M217" s="13"/>
      <c r="N217" s="13"/>
      <c r="O217" s="10"/>
      <c r="P217" s="10"/>
      <c r="Q217" s="10"/>
      <c r="R217" s="10"/>
      <c r="S217" s="8"/>
      <c r="T217" s="8"/>
      <c r="U217" s="10"/>
      <c r="V217" s="8"/>
    </row>
    <row r="218" spans="1:22">
      <c r="A218" s="8"/>
      <c r="B218" s="8"/>
      <c r="C218" s="8"/>
      <c r="D218" s="8"/>
      <c r="E218" s="8"/>
      <c r="F218" s="8"/>
      <c r="G218" s="8"/>
      <c r="H218" s="13"/>
      <c r="I218" s="13"/>
      <c r="J218" s="16" t="str">
        <f t="shared" si="3"/>
        <v/>
      </c>
      <c r="K218" s="8"/>
      <c r="L218" s="13"/>
      <c r="M218" s="13"/>
      <c r="N218" s="13"/>
      <c r="O218" s="10"/>
      <c r="P218" s="10"/>
      <c r="Q218" s="10"/>
      <c r="R218" s="10"/>
      <c r="S218" s="8"/>
      <c r="T218" s="8"/>
      <c r="U218" s="10"/>
      <c r="V218" s="8"/>
    </row>
    <row r="219" spans="1:22">
      <c r="A219" s="8"/>
      <c r="B219" s="8"/>
      <c r="C219" s="8"/>
      <c r="D219" s="8"/>
      <c r="E219" s="8"/>
      <c r="F219" s="8"/>
      <c r="G219" s="8"/>
      <c r="H219" s="13"/>
      <c r="I219" s="13"/>
      <c r="J219" s="16" t="str">
        <f t="shared" si="3"/>
        <v/>
      </c>
      <c r="K219" s="8"/>
      <c r="L219" s="13"/>
      <c r="M219" s="13"/>
      <c r="N219" s="13"/>
      <c r="O219" s="10"/>
      <c r="P219" s="10"/>
      <c r="Q219" s="10"/>
      <c r="R219" s="10"/>
      <c r="S219" s="8"/>
      <c r="T219" s="8"/>
      <c r="U219" s="10"/>
      <c r="V219" s="8"/>
    </row>
    <row r="220" spans="1:22">
      <c r="A220" s="8"/>
      <c r="B220" s="8"/>
      <c r="C220" s="8"/>
      <c r="D220" s="8"/>
      <c r="E220" s="8"/>
      <c r="F220" s="8"/>
      <c r="G220" s="8"/>
      <c r="H220" s="13"/>
      <c r="I220" s="13"/>
      <c r="J220" s="16" t="str">
        <f t="shared" si="3"/>
        <v/>
      </c>
      <c r="K220" s="8"/>
      <c r="L220" s="13"/>
      <c r="M220" s="13"/>
      <c r="N220" s="13"/>
      <c r="O220" s="10"/>
      <c r="P220" s="10"/>
      <c r="Q220" s="10"/>
      <c r="R220" s="10"/>
      <c r="S220" s="8"/>
      <c r="T220" s="8"/>
      <c r="U220" s="10"/>
      <c r="V220" s="8"/>
    </row>
    <row r="221" spans="1:22">
      <c r="A221" s="8"/>
      <c r="B221" s="8"/>
      <c r="C221" s="8"/>
      <c r="D221" s="8"/>
      <c r="E221" s="8"/>
      <c r="F221" s="8"/>
      <c r="G221" s="8"/>
      <c r="H221" s="13"/>
      <c r="I221" s="13"/>
      <c r="J221" s="16" t="str">
        <f t="shared" si="3"/>
        <v/>
      </c>
      <c r="K221" s="8"/>
      <c r="L221" s="13"/>
      <c r="M221" s="13"/>
      <c r="N221" s="13"/>
      <c r="O221" s="10"/>
      <c r="P221" s="10"/>
      <c r="Q221" s="10"/>
      <c r="R221" s="10"/>
      <c r="S221" s="8"/>
      <c r="T221" s="8"/>
      <c r="U221" s="10"/>
      <c r="V221" s="8"/>
    </row>
    <row r="222" spans="1:22">
      <c r="A222" s="8"/>
      <c r="B222" s="8"/>
      <c r="C222" s="8"/>
      <c r="D222" s="8"/>
      <c r="E222" s="8"/>
      <c r="F222" s="8"/>
      <c r="G222" s="8"/>
      <c r="H222" s="13"/>
      <c r="I222" s="13"/>
      <c r="J222" s="16" t="str">
        <f t="shared" si="3"/>
        <v/>
      </c>
      <c r="K222" s="8"/>
      <c r="L222" s="13"/>
      <c r="M222" s="13"/>
      <c r="N222" s="13"/>
      <c r="O222" s="10"/>
      <c r="P222" s="10"/>
      <c r="Q222" s="10"/>
      <c r="R222" s="10"/>
      <c r="S222" s="8"/>
      <c r="T222" s="8"/>
      <c r="U222" s="10"/>
      <c r="V222" s="8"/>
    </row>
    <row r="223" spans="1:22">
      <c r="A223" s="8"/>
      <c r="B223" s="8"/>
      <c r="C223" s="8"/>
      <c r="D223" s="8"/>
      <c r="E223" s="8"/>
      <c r="F223" s="8"/>
      <c r="G223" s="8"/>
      <c r="H223" s="13"/>
      <c r="I223" s="13"/>
      <c r="J223" s="16" t="str">
        <f t="shared" si="3"/>
        <v/>
      </c>
      <c r="K223" s="8"/>
      <c r="L223" s="13"/>
      <c r="M223" s="13"/>
      <c r="N223" s="13"/>
      <c r="O223" s="10"/>
      <c r="P223" s="10"/>
      <c r="Q223" s="10"/>
      <c r="R223" s="10"/>
      <c r="S223" s="8"/>
      <c r="T223" s="8"/>
      <c r="U223" s="10"/>
      <c r="V223" s="8"/>
    </row>
    <row r="224" spans="1:22">
      <c r="A224" s="8"/>
      <c r="B224" s="8"/>
      <c r="C224" s="8"/>
      <c r="D224" s="8"/>
      <c r="E224" s="8"/>
      <c r="F224" s="8"/>
      <c r="G224" s="8"/>
      <c r="H224" s="13"/>
      <c r="I224" s="13"/>
      <c r="J224" s="16" t="str">
        <f t="shared" si="3"/>
        <v/>
      </c>
      <c r="K224" s="8"/>
      <c r="L224" s="13"/>
      <c r="M224" s="13"/>
      <c r="N224" s="13"/>
      <c r="O224" s="10"/>
      <c r="P224" s="10"/>
      <c r="Q224" s="10"/>
      <c r="R224" s="10"/>
      <c r="S224" s="8"/>
      <c r="T224" s="8"/>
      <c r="U224" s="10"/>
      <c r="V224" s="8"/>
    </row>
    <row r="225" spans="1:22">
      <c r="A225" s="8"/>
      <c r="B225" s="8"/>
      <c r="C225" s="8"/>
      <c r="D225" s="8"/>
      <c r="E225" s="8"/>
      <c r="F225" s="8"/>
      <c r="G225" s="8"/>
      <c r="H225" s="13"/>
      <c r="I225" s="13"/>
      <c r="J225" s="16" t="str">
        <f t="shared" si="3"/>
        <v/>
      </c>
      <c r="K225" s="8"/>
      <c r="L225" s="13"/>
      <c r="M225" s="13"/>
      <c r="N225" s="13"/>
      <c r="O225" s="10"/>
      <c r="P225" s="10"/>
      <c r="Q225" s="10"/>
      <c r="R225" s="10"/>
      <c r="S225" s="8"/>
      <c r="T225" s="8"/>
      <c r="U225" s="10"/>
      <c r="V225" s="8"/>
    </row>
    <row r="226" spans="1:22">
      <c r="A226" s="8"/>
      <c r="B226" s="8"/>
      <c r="C226" s="8"/>
      <c r="D226" s="8"/>
      <c r="E226" s="8"/>
      <c r="F226" s="8"/>
      <c r="G226" s="8"/>
      <c r="H226" s="13"/>
      <c r="I226" s="13"/>
      <c r="J226" s="16" t="str">
        <f t="shared" si="3"/>
        <v/>
      </c>
      <c r="K226" s="8"/>
      <c r="L226" s="13"/>
      <c r="M226" s="13"/>
      <c r="N226" s="13"/>
      <c r="O226" s="10"/>
      <c r="P226" s="10"/>
      <c r="Q226" s="10"/>
      <c r="R226" s="10"/>
      <c r="S226" s="8"/>
      <c r="T226" s="8"/>
      <c r="U226" s="10"/>
      <c r="V226" s="8"/>
    </row>
    <row r="227" spans="1:22">
      <c r="A227" s="8"/>
      <c r="B227" s="8"/>
      <c r="C227" s="8"/>
      <c r="D227" s="8"/>
      <c r="E227" s="8"/>
      <c r="F227" s="8"/>
      <c r="G227" s="8"/>
      <c r="H227" s="13"/>
      <c r="I227" s="13"/>
      <c r="J227" s="16" t="str">
        <f t="shared" si="3"/>
        <v/>
      </c>
      <c r="K227" s="8"/>
      <c r="L227" s="13"/>
      <c r="M227" s="13"/>
      <c r="N227" s="13"/>
      <c r="O227" s="10"/>
      <c r="P227" s="10"/>
      <c r="Q227" s="10"/>
      <c r="R227" s="10"/>
      <c r="S227" s="8"/>
      <c r="T227" s="8"/>
      <c r="U227" s="10"/>
      <c r="V227" s="8"/>
    </row>
    <row r="228" spans="1:22">
      <c r="A228" s="8"/>
      <c r="B228" s="8"/>
      <c r="C228" s="8"/>
      <c r="D228" s="8"/>
      <c r="E228" s="8"/>
      <c r="F228" s="8"/>
      <c r="G228" s="8"/>
      <c r="H228" s="13"/>
      <c r="I228" s="13"/>
      <c r="J228" s="16" t="str">
        <f t="shared" si="3"/>
        <v/>
      </c>
      <c r="K228" s="8"/>
      <c r="L228" s="13"/>
      <c r="M228" s="13"/>
      <c r="N228" s="13"/>
      <c r="O228" s="10"/>
      <c r="P228" s="10"/>
      <c r="Q228" s="10"/>
      <c r="R228" s="10"/>
      <c r="S228" s="8"/>
      <c r="T228" s="8"/>
      <c r="U228" s="10"/>
      <c r="V228" s="8"/>
    </row>
    <row r="229" spans="1:22">
      <c r="A229" s="8"/>
      <c r="B229" s="8"/>
      <c r="C229" s="8"/>
      <c r="D229" s="8"/>
      <c r="E229" s="8"/>
      <c r="F229" s="8"/>
      <c r="G229" s="8"/>
      <c r="H229" s="13"/>
      <c r="I229" s="13"/>
      <c r="J229" s="16" t="str">
        <f t="shared" si="3"/>
        <v/>
      </c>
      <c r="K229" s="8"/>
      <c r="L229" s="13"/>
      <c r="M229" s="13"/>
      <c r="N229" s="13"/>
      <c r="O229" s="10"/>
      <c r="P229" s="10"/>
      <c r="Q229" s="10"/>
      <c r="R229" s="10"/>
      <c r="S229" s="8"/>
      <c r="T229" s="8"/>
      <c r="U229" s="10"/>
      <c r="V229" s="8"/>
    </row>
    <row r="230" spans="1:22">
      <c r="A230" s="8"/>
      <c r="B230" s="8"/>
      <c r="C230" s="8"/>
      <c r="D230" s="8"/>
      <c r="E230" s="8"/>
      <c r="F230" s="8"/>
      <c r="G230" s="8"/>
      <c r="H230" s="13"/>
      <c r="I230" s="13"/>
      <c r="J230" s="16" t="str">
        <f t="shared" si="3"/>
        <v/>
      </c>
      <c r="K230" s="8"/>
      <c r="L230" s="13"/>
      <c r="M230" s="13"/>
      <c r="N230" s="13"/>
      <c r="O230" s="10"/>
      <c r="P230" s="10"/>
      <c r="Q230" s="10"/>
      <c r="R230" s="10"/>
      <c r="S230" s="8"/>
      <c r="T230" s="8"/>
      <c r="U230" s="10"/>
      <c r="V230" s="8"/>
    </row>
    <row r="231" spans="1:22">
      <c r="A231" s="8"/>
      <c r="B231" s="8"/>
      <c r="C231" s="8"/>
      <c r="D231" s="8"/>
      <c r="E231" s="8"/>
      <c r="F231" s="8"/>
      <c r="G231" s="8"/>
      <c r="H231" s="13"/>
      <c r="I231" s="13"/>
      <c r="J231" s="16" t="str">
        <f t="shared" si="3"/>
        <v/>
      </c>
      <c r="K231" s="8"/>
      <c r="L231" s="13"/>
      <c r="M231" s="13"/>
      <c r="N231" s="13"/>
      <c r="O231" s="10"/>
      <c r="P231" s="10"/>
      <c r="Q231" s="10"/>
      <c r="R231" s="10"/>
      <c r="S231" s="8"/>
      <c r="T231" s="8"/>
      <c r="U231" s="10"/>
      <c r="V231" s="8"/>
    </row>
    <row r="232" spans="1:22">
      <c r="A232" s="8"/>
      <c r="B232" s="8"/>
      <c r="C232" s="8"/>
      <c r="D232" s="8"/>
      <c r="E232" s="8"/>
      <c r="F232" s="8"/>
      <c r="G232" s="8"/>
      <c r="H232" s="13"/>
      <c r="I232" s="13"/>
      <c r="J232" s="16" t="str">
        <f t="shared" si="3"/>
        <v/>
      </c>
      <c r="K232" s="8"/>
      <c r="L232" s="13"/>
      <c r="M232" s="13"/>
      <c r="N232" s="13"/>
      <c r="O232" s="10"/>
      <c r="P232" s="10"/>
      <c r="Q232" s="10"/>
      <c r="R232" s="10"/>
      <c r="S232" s="8"/>
      <c r="T232" s="8"/>
      <c r="U232" s="10"/>
      <c r="V232" s="8"/>
    </row>
    <row r="233" spans="1:22">
      <c r="A233" s="8"/>
      <c r="B233" s="8"/>
      <c r="C233" s="8"/>
      <c r="D233" s="8"/>
      <c r="E233" s="8"/>
      <c r="F233" s="8"/>
      <c r="G233" s="8"/>
      <c r="H233" s="13"/>
      <c r="I233" s="13"/>
      <c r="J233" s="16" t="str">
        <f t="shared" si="3"/>
        <v/>
      </c>
      <c r="K233" s="8"/>
      <c r="L233" s="13"/>
      <c r="M233" s="13"/>
      <c r="N233" s="13"/>
      <c r="O233" s="10"/>
      <c r="P233" s="10"/>
      <c r="Q233" s="10"/>
      <c r="R233" s="10"/>
      <c r="S233" s="8"/>
      <c r="T233" s="8"/>
      <c r="U233" s="10"/>
      <c r="V233" s="8"/>
    </row>
    <row r="234" spans="1:22">
      <c r="A234" s="8"/>
      <c r="B234" s="8"/>
      <c r="C234" s="8"/>
      <c r="D234" s="8"/>
      <c r="E234" s="8"/>
      <c r="F234" s="8"/>
      <c r="G234" s="8"/>
      <c r="H234" s="13"/>
      <c r="I234" s="13"/>
      <c r="J234" s="16" t="str">
        <f t="shared" si="3"/>
        <v/>
      </c>
      <c r="K234" s="8"/>
      <c r="L234" s="13"/>
      <c r="M234" s="13"/>
      <c r="N234" s="13"/>
      <c r="O234" s="10"/>
      <c r="P234" s="10"/>
      <c r="Q234" s="10"/>
      <c r="R234" s="10"/>
      <c r="S234" s="8"/>
      <c r="T234" s="8"/>
      <c r="U234" s="10"/>
      <c r="V234" s="8"/>
    </row>
    <row r="235" spans="1:22">
      <c r="A235" s="8"/>
      <c r="B235" s="8"/>
      <c r="C235" s="8"/>
      <c r="D235" s="8"/>
      <c r="E235" s="8"/>
      <c r="F235" s="8"/>
      <c r="G235" s="8"/>
      <c r="H235" s="13"/>
      <c r="I235" s="13"/>
      <c r="J235" s="16" t="str">
        <f t="shared" si="3"/>
        <v/>
      </c>
      <c r="K235" s="8"/>
      <c r="L235" s="13"/>
      <c r="M235" s="13"/>
      <c r="N235" s="13"/>
      <c r="O235" s="10"/>
      <c r="P235" s="10"/>
      <c r="Q235" s="10"/>
      <c r="R235" s="10"/>
      <c r="S235" s="8"/>
      <c r="T235" s="8"/>
      <c r="U235" s="10"/>
      <c r="V235" s="8"/>
    </row>
    <row r="236" spans="1:22">
      <c r="A236" s="8"/>
      <c r="B236" s="8"/>
      <c r="C236" s="8"/>
      <c r="D236" s="8"/>
      <c r="E236" s="8"/>
      <c r="F236" s="8"/>
      <c r="G236" s="8"/>
      <c r="H236" s="13"/>
      <c r="I236" s="13"/>
      <c r="J236" s="16" t="str">
        <f t="shared" si="3"/>
        <v/>
      </c>
      <c r="K236" s="8"/>
      <c r="L236" s="13"/>
      <c r="M236" s="13"/>
      <c r="N236" s="13"/>
      <c r="O236" s="10"/>
      <c r="P236" s="10"/>
      <c r="Q236" s="10"/>
      <c r="R236" s="10"/>
      <c r="S236" s="8"/>
      <c r="T236" s="8"/>
      <c r="U236" s="10"/>
      <c r="V236" s="8"/>
    </row>
    <row r="237" spans="1:22">
      <c r="A237" s="8"/>
      <c r="B237" s="8"/>
      <c r="C237" s="8"/>
      <c r="D237" s="8"/>
      <c r="E237" s="8"/>
      <c r="F237" s="8"/>
      <c r="G237" s="8"/>
      <c r="H237" s="13"/>
      <c r="I237" s="13"/>
      <c r="J237" s="16" t="str">
        <f t="shared" si="3"/>
        <v/>
      </c>
      <c r="K237" s="8"/>
      <c r="L237" s="13"/>
      <c r="M237" s="13"/>
      <c r="N237" s="13"/>
      <c r="O237" s="10"/>
      <c r="P237" s="10"/>
      <c r="Q237" s="10"/>
      <c r="R237" s="10"/>
      <c r="S237" s="8"/>
      <c r="T237" s="8"/>
      <c r="U237" s="10"/>
      <c r="V237" s="8"/>
    </row>
    <row r="238" spans="1:22">
      <c r="A238" s="8"/>
      <c r="B238" s="8"/>
      <c r="C238" s="8"/>
      <c r="D238" s="8"/>
      <c r="E238" s="8"/>
      <c r="F238" s="8"/>
      <c r="G238" s="8"/>
      <c r="H238" s="13"/>
      <c r="I238" s="13"/>
      <c r="J238" s="16" t="str">
        <f t="shared" si="3"/>
        <v/>
      </c>
      <c r="K238" s="8"/>
      <c r="L238" s="13"/>
      <c r="M238" s="13"/>
      <c r="N238" s="13"/>
      <c r="O238" s="10"/>
      <c r="P238" s="10"/>
      <c r="Q238" s="10"/>
      <c r="R238" s="10"/>
      <c r="S238" s="8"/>
      <c r="T238" s="8"/>
      <c r="U238" s="10"/>
      <c r="V238" s="8"/>
    </row>
    <row r="239" spans="1:22">
      <c r="A239" s="8"/>
      <c r="B239" s="8"/>
      <c r="C239" s="8"/>
      <c r="D239" s="8"/>
      <c r="E239" s="8"/>
      <c r="F239" s="8"/>
      <c r="G239" s="8"/>
      <c r="H239" s="13"/>
      <c r="I239" s="13"/>
      <c r="J239" s="16" t="str">
        <f t="shared" si="3"/>
        <v/>
      </c>
      <c r="K239" s="8"/>
      <c r="L239" s="13"/>
      <c r="M239" s="13"/>
      <c r="N239" s="13"/>
      <c r="O239" s="10"/>
      <c r="P239" s="10"/>
      <c r="Q239" s="10"/>
      <c r="R239" s="10"/>
      <c r="S239" s="8"/>
      <c r="T239" s="8"/>
      <c r="U239" s="10"/>
      <c r="V239" s="8"/>
    </row>
    <row r="240" spans="1:22">
      <c r="A240" s="8"/>
      <c r="B240" s="8"/>
      <c r="C240" s="8"/>
      <c r="D240" s="8"/>
      <c r="E240" s="8"/>
      <c r="F240" s="8"/>
      <c r="G240" s="8"/>
      <c r="H240" s="13"/>
      <c r="I240" s="13"/>
      <c r="J240" s="16" t="str">
        <f t="shared" si="3"/>
        <v/>
      </c>
      <c r="K240" s="8"/>
      <c r="L240" s="13"/>
      <c r="M240" s="13"/>
      <c r="N240" s="13"/>
      <c r="O240" s="10"/>
      <c r="P240" s="10"/>
      <c r="Q240" s="10"/>
      <c r="R240" s="10"/>
      <c r="S240" s="8"/>
      <c r="T240" s="8"/>
      <c r="U240" s="10"/>
      <c r="V240" s="8"/>
    </row>
    <row r="241" spans="1:22">
      <c r="A241" s="8"/>
      <c r="B241" s="8"/>
      <c r="C241" s="8"/>
      <c r="D241" s="8"/>
      <c r="E241" s="8"/>
      <c r="F241" s="8"/>
      <c r="G241" s="8"/>
      <c r="H241" s="13"/>
      <c r="I241" s="13"/>
      <c r="J241" s="16" t="str">
        <f t="shared" si="3"/>
        <v/>
      </c>
      <c r="K241" s="8"/>
      <c r="L241" s="13"/>
      <c r="M241" s="13"/>
      <c r="N241" s="13"/>
      <c r="O241" s="10"/>
      <c r="P241" s="10"/>
      <c r="Q241" s="10"/>
      <c r="R241" s="10"/>
      <c r="S241" s="8"/>
      <c r="T241" s="8"/>
      <c r="U241" s="10"/>
      <c r="V241" s="8"/>
    </row>
    <row r="242" spans="1:22">
      <c r="A242" s="8"/>
      <c r="B242" s="8"/>
      <c r="C242" s="8"/>
      <c r="D242" s="8"/>
      <c r="E242" s="8"/>
      <c r="F242" s="8"/>
      <c r="G242" s="8"/>
      <c r="H242" s="13"/>
      <c r="I242" s="13"/>
      <c r="J242" s="16" t="str">
        <f t="shared" si="3"/>
        <v/>
      </c>
      <c r="K242" s="8"/>
      <c r="L242" s="13"/>
      <c r="M242" s="13"/>
      <c r="N242" s="13"/>
      <c r="O242" s="10"/>
      <c r="P242" s="10"/>
      <c r="Q242" s="10"/>
      <c r="R242" s="10"/>
      <c r="S242" s="8"/>
      <c r="T242" s="8"/>
      <c r="U242" s="10"/>
      <c r="V242" s="8"/>
    </row>
    <row r="243" spans="1:22">
      <c r="A243" s="8"/>
      <c r="B243" s="8"/>
      <c r="C243" s="8"/>
      <c r="D243" s="8"/>
      <c r="E243" s="8"/>
      <c r="F243" s="8"/>
      <c r="G243" s="8"/>
      <c r="H243" s="13"/>
      <c r="I243" s="13"/>
      <c r="J243" s="16" t="str">
        <f t="shared" si="3"/>
        <v/>
      </c>
      <c r="K243" s="8"/>
      <c r="L243" s="13"/>
      <c r="M243" s="13"/>
      <c r="N243" s="13"/>
      <c r="O243" s="10"/>
      <c r="P243" s="10"/>
      <c r="Q243" s="10"/>
      <c r="R243" s="10"/>
      <c r="S243" s="8"/>
      <c r="T243" s="8"/>
      <c r="U243" s="10"/>
      <c r="V243" s="8"/>
    </row>
    <row r="244" spans="1:22">
      <c r="A244" s="8"/>
      <c r="B244" s="8"/>
      <c r="C244" s="8"/>
      <c r="D244" s="8"/>
      <c r="E244" s="8"/>
      <c r="F244" s="8"/>
      <c r="G244" s="8"/>
      <c r="H244" s="13"/>
      <c r="I244" s="13"/>
      <c r="J244" s="16" t="str">
        <f t="shared" si="3"/>
        <v/>
      </c>
      <c r="K244" s="8"/>
      <c r="L244" s="13"/>
      <c r="M244" s="13"/>
      <c r="N244" s="13"/>
      <c r="O244" s="10"/>
      <c r="P244" s="10"/>
      <c r="Q244" s="10"/>
      <c r="R244" s="10"/>
      <c r="S244" s="8"/>
      <c r="T244" s="8"/>
      <c r="U244" s="10"/>
      <c r="V244" s="8"/>
    </row>
    <row r="245" spans="1:22">
      <c r="A245" s="8"/>
      <c r="B245" s="8"/>
      <c r="C245" s="8"/>
      <c r="D245" s="8"/>
      <c r="E245" s="8"/>
      <c r="F245" s="8"/>
      <c r="G245" s="8"/>
      <c r="H245" s="13"/>
      <c r="I245" s="13"/>
      <c r="J245" s="16" t="str">
        <f t="shared" si="3"/>
        <v/>
      </c>
      <c r="K245" s="8"/>
      <c r="L245" s="13"/>
      <c r="M245" s="13"/>
      <c r="N245" s="13"/>
      <c r="O245" s="10"/>
      <c r="P245" s="10"/>
      <c r="Q245" s="10"/>
      <c r="R245" s="10"/>
      <c r="S245" s="8"/>
      <c r="T245" s="8"/>
      <c r="U245" s="10"/>
      <c r="V245" s="8"/>
    </row>
    <row r="246" spans="1:22">
      <c r="A246" s="8"/>
      <c r="B246" s="8"/>
      <c r="C246" s="8"/>
      <c r="D246" s="8"/>
      <c r="E246" s="8"/>
      <c r="F246" s="8"/>
      <c r="G246" s="8"/>
      <c r="H246" s="13"/>
      <c r="I246" s="13"/>
      <c r="J246" s="16" t="str">
        <f t="shared" si="3"/>
        <v/>
      </c>
      <c r="K246" s="8"/>
      <c r="L246" s="13"/>
      <c r="M246" s="13"/>
      <c r="N246" s="13"/>
      <c r="O246" s="10"/>
      <c r="P246" s="10"/>
      <c r="Q246" s="10"/>
      <c r="R246" s="10"/>
      <c r="S246" s="8"/>
      <c r="T246" s="8"/>
      <c r="U246" s="10"/>
      <c r="V246" s="8"/>
    </row>
    <row r="247" spans="1:22">
      <c r="A247" s="8"/>
      <c r="B247" s="8"/>
      <c r="C247" s="8"/>
      <c r="D247" s="8"/>
      <c r="E247" s="8"/>
      <c r="F247" s="8"/>
      <c r="G247" s="8"/>
      <c r="H247" s="13"/>
      <c r="I247" s="13"/>
      <c r="J247" s="16" t="str">
        <f t="shared" si="3"/>
        <v/>
      </c>
      <c r="K247" s="8"/>
      <c r="L247" s="13"/>
      <c r="M247" s="13"/>
      <c r="N247" s="13"/>
      <c r="O247" s="10"/>
      <c r="P247" s="10"/>
      <c r="Q247" s="10"/>
      <c r="R247" s="10"/>
      <c r="S247" s="8"/>
      <c r="T247" s="8"/>
      <c r="U247" s="10"/>
      <c r="V247" s="8"/>
    </row>
    <row r="248" spans="1:22">
      <c r="A248" s="8"/>
      <c r="B248" s="8"/>
      <c r="C248" s="8"/>
      <c r="D248" s="8"/>
      <c r="E248" s="8"/>
      <c r="F248" s="8"/>
      <c r="G248" s="8"/>
      <c r="H248" s="13"/>
      <c r="I248" s="13"/>
      <c r="J248" s="16" t="str">
        <f t="shared" si="3"/>
        <v/>
      </c>
      <c r="K248" s="8"/>
      <c r="L248" s="13"/>
      <c r="M248" s="13"/>
      <c r="N248" s="13"/>
      <c r="O248" s="10"/>
      <c r="P248" s="10"/>
      <c r="Q248" s="10"/>
      <c r="R248" s="10"/>
      <c r="S248" s="8"/>
      <c r="T248" s="8"/>
      <c r="U248" s="10"/>
      <c r="V248" s="8"/>
    </row>
    <row r="249" spans="1:22">
      <c r="A249" s="8"/>
      <c r="B249" s="8"/>
      <c r="C249" s="8"/>
      <c r="D249" s="8"/>
      <c r="E249" s="8"/>
      <c r="F249" s="8"/>
      <c r="G249" s="8"/>
      <c r="H249" s="13"/>
      <c r="I249" s="13"/>
      <c r="J249" s="16" t="str">
        <f t="shared" si="3"/>
        <v/>
      </c>
      <c r="K249" s="8"/>
      <c r="L249" s="13"/>
      <c r="M249" s="13"/>
      <c r="N249" s="13"/>
      <c r="O249" s="10"/>
      <c r="P249" s="10"/>
      <c r="Q249" s="10"/>
      <c r="R249" s="10"/>
      <c r="S249" s="8"/>
      <c r="T249" s="8"/>
      <c r="U249" s="10"/>
      <c r="V249" s="8"/>
    </row>
    <row r="250" spans="1:22">
      <c r="A250" s="8"/>
      <c r="B250" s="8"/>
      <c r="C250" s="8"/>
      <c r="D250" s="8"/>
      <c r="E250" s="8"/>
      <c r="F250" s="8"/>
      <c r="G250" s="8"/>
      <c r="H250" s="13"/>
      <c r="I250" s="13"/>
      <c r="J250" s="16" t="str">
        <f t="shared" si="3"/>
        <v/>
      </c>
      <c r="K250" s="8"/>
      <c r="L250" s="13"/>
      <c r="M250" s="13"/>
      <c r="N250" s="13"/>
      <c r="O250" s="10"/>
      <c r="P250" s="10"/>
      <c r="Q250" s="10"/>
      <c r="R250" s="10"/>
      <c r="S250" s="8"/>
      <c r="T250" s="8"/>
      <c r="U250" s="10"/>
      <c r="V250" s="8"/>
    </row>
    <row r="251" spans="1:22">
      <c r="A251" s="8"/>
      <c r="B251" s="8"/>
      <c r="C251" s="8"/>
      <c r="D251" s="8"/>
      <c r="E251" s="8"/>
      <c r="F251" s="8"/>
      <c r="G251" s="8"/>
      <c r="H251" s="13"/>
      <c r="I251" s="13"/>
      <c r="J251" s="16" t="str">
        <f t="shared" si="3"/>
        <v/>
      </c>
      <c r="K251" s="8"/>
      <c r="L251" s="13"/>
      <c r="M251" s="13"/>
      <c r="N251" s="13"/>
      <c r="O251" s="10"/>
      <c r="P251" s="10"/>
      <c r="Q251" s="10"/>
      <c r="R251" s="10"/>
      <c r="S251" s="8"/>
      <c r="T251" s="8"/>
      <c r="U251" s="10"/>
      <c r="V251" s="8"/>
    </row>
    <row r="252" spans="1:22">
      <c r="A252" s="8"/>
      <c r="B252" s="8"/>
      <c r="C252" s="8"/>
      <c r="D252" s="8"/>
      <c r="E252" s="8"/>
      <c r="F252" s="8"/>
      <c r="G252" s="8"/>
      <c r="H252" s="13"/>
      <c r="I252" s="13"/>
      <c r="J252" s="16" t="str">
        <f t="shared" si="3"/>
        <v/>
      </c>
      <c r="K252" s="8"/>
      <c r="L252" s="13"/>
      <c r="M252" s="13"/>
      <c r="N252" s="13"/>
      <c r="O252" s="10"/>
      <c r="P252" s="10"/>
      <c r="Q252" s="10"/>
      <c r="R252" s="10"/>
      <c r="S252" s="8"/>
      <c r="T252" s="8"/>
      <c r="U252" s="10"/>
      <c r="V252" s="8"/>
    </row>
    <row r="253" spans="1:22">
      <c r="A253" s="8"/>
      <c r="B253" s="8"/>
      <c r="C253" s="8"/>
      <c r="D253" s="8"/>
      <c r="E253" s="8"/>
      <c r="F253" s="8"/>
      <c r="G253" s="8"/>
      <c r="H253" s="13"/>
      <c r="I253" s="13"/>
      <c r="J253" s="16" t="str">
        <f t="shared" si="3"/>
        <v/>
      </c>
      <c r="K253" s="8"/>
      <c r="L253" s="13"/>
      <c r="M253" s="13"/>
      <c r="N253" s="13"/>
      <c r="O253" s="10"/>
      <c r="P253" s="10"/>
      <c r="Q253" s="10"/>
      <c r="R253" s="10"/>
      <c r="S253" s="8"/>
      <c r="T253" s="8"/>
      <c r="U253" s="10"/>
      <c r="V253" s="8"/>
    </row>
    <row r="254" spans="1:22">
      <c r="A254" s="8"/>
      <c r="B254" s="8"/>
      <c r="C254" s="8"/>
      <c r="D254" s="8"/>
      <c r="E254" s="8"/>
      <c r="F254" s="8"/>
      <c r="G254" s="8"/>
      <c r="H254" s="13"/>
      <c r="I254" s="13"/>
      <c r="J254" s="16" t="str">
        <f t="shared" si="3"/>
        <v/>
      </c>
      <c r="K254" s="8"/>
      <c r="L254" s="13"/>
      <c r="M254" s="13"/>
      <c r="N254" s="13"/>
      <c r="O254" s="10"/>
      <c r="P254" s="10"/>
      <c r="Q254" s="10"/>
      <c r="R254" s="10"/>
      <c r="S254" s="8"/>
      <c r="T254" s="8"/>
      <c r="U254" s="10"/>
      <c r="V254" s="8"/>
    </row>
    <row r="255" spans="1:22">
      <c r="A255" s="8"/>
      <c r="B255" s="8"/>
      <c r="C255" s="8"/>
      <c r="D255" s="8"/>
      <c r="E255" s="8"/>
      <c r="F255" s="8"/>
      <c r="G255" s="8"/>
      <c r="H255" s="13"/>
      <c r="I255" s="13"/>
      <c r="J255" s="16" t="str">
        <f t="shared" si="3"/>
        <v/>
      </c>
      <c r="K255" s="8"/>
      <c r="L255" s="13"/>
      <c r="M255" s="13"/>
      <c r="N255" s="13"/>
      <c r="O255" s="10"/>
      <c r="P255" s="10"/>
      <c r="Q255" s="10"/>
      <c r="R255" s="10"/>
      <c r="S255" s="8"/>
      <c r="T255" s="8"/>
      <c r="U255" s="10"/>
      <c r="V255" s="8"/>
    </row>
    <row r="256" spans="1:22">
      <c r="A256" s="8"/>
      <c r="B256" s="8"/>
      <c r="C256" s="8"/>
      <c r="D256" s="8"/>
      <c r="E256" s="8"/>
      <c r="F256" s="8"/>
      <c r="G256" s="8"/>
      <c r="H256" s="13"/>
      <c r="I256" s="13"/>
      <c r="J256" s="16" t="str">
        <f t="shared" si="3"/>
        <v/>
      </c>
      <c r="K256" s="8"/>
      <c r="L256" s="13"/>
      <c r="M256" s="13"/>
      <c r="N256" s="13"/>
      <c r="O256" s="10"/>
      <c r="P256" s="10"/>
      <c r="Q256" s="10"/>
      <c r="R256" s="10"/>
      <c r="S256" s="8"/>
      <c r="T256" s="8"/>
      <c r="U256" s="10"/>
      <c r="V256" s="8"/>
    </row>
    <row r="257" spans="1:22">
      <c r="A257" s="8"/>
      <c r="B257" s="8"/>
      <c r="C257" s="8"/>
      <c r="D257" s="8"/>
      <c r="E257" s="8"/>
      <c r="F257" s="8"/>
      <c r="G257" s="8"/>
      <c r="H257" s="13"/>
      <c r="I257" s="13"/>
      <c r="J257" s="16" t="str">
        <f t="shared" si="3"/>
        <v/>
      </c>
      <c r="K257" s="8"/>
      <c r="L257" s="13"/>
      <c r="M257" s="13"/>
      <c r="N257" s="13"/>
      <c r="O257" s="10"/>
      <c r="P257" s="10"/>
      <c r="Q257" s="10"/>
      <c r="R257" s="10"/>
      <c r="S257" s="8"/>
      <c r="T257" s="8"/>
      <c r="U257" s="10"/>
      <c r="V257" s="8"/>
    </row>
    <row r="258" spans="1:22">
      <c r="A258" s="8"/>
      <c r="B258" s="8"/>
      <c r="C258" s="8"/>
      <c r="D258" s="8"/>
      <c r="E258" s="8"/>
      <c r="F258" s="8"/>
      <c r="G258" s="8"/>
      <c r="H258" s="13"/>
      <c r="I258" s="13"/>
      <c r="J258" s="16" t="str">
        <f t="shared" si="3"/>
        <v/>
      </c>
      <c r="K258" s="8"/>
      <c r="L258" s="13"/>
      <c r="M258" s="13"/>
      <c r="N258" s="13"/>
      <c r="O258" s="10"/>
      <c r="P258" s="10"/>
      <c r="Q258" s="10"/>
      <c r="R258" s="10"/>
      <c r="S258" s="8"/>
      <c r="T258" s="8"/>
      <c r="U258" s="10"/>
      <c r="V258" s="8"/>
    </row>
    <row r="259" spans="1:22">
      <c r="A259" s="8"/>
      <c r="B259" s="8"/>
      <c r="C259" s="8"/>
      <c r="D259" s="8"/>
      <c r="E259" s="8"/>
      <c r="F259" s="8"/>
      <c r="G259" s="8"/>
      <c r="H259" s="13"/>
      <c r="I259" s="13"/>
      <c r="J259" s="16" t="str">
        <f t="shared" si="3"/>
        <v/>
      </c>
      <c r="K259" s="8"/>
      <c r="L259" s="13"/>
      <c r="M259" s="13"/>
      <c r="N259" s="13"/>
      <c r="O259" s="10"/>
      <c r="P259" s="10"/>
      <c r="Q259" s="10"/>
      <c r="R259" s="10"/>
      <c r="S259" s="8"/>
      <c r="T259" s="8"/>
      <c r="U259" s="10"/>
      <c r="V259" s="8"/>
    </row>
    <row r="260" spans="1:22">
      <c r="A260" s="8"/>
      <c r="B260" s="8"/>
      <c r="C260" s="8"/>
      <c r="D260" s="8"/>
      <c r="E260" s="8"/>
      <c r="F260" s="8"/>
      <c r="G260" s="8"/>
      <c r="H260" s="13"/>
      <c r="I260" s="13"/>
      <c r="J260" s="16" t="str">
        <f t="shared" si="3"/>
        <v/>
      </c>
      <c r="K260" s="8"/>
      <c r="L260" s="13"/>
      <c r="M260" s="13"/>
      <c r="N260" s="13"/>
      <c r="O260" s="10"/>
      <c r="P260" s="10"/>
      <c r="Q260" s="10"/>
      <c r="R260" s="10"/>
      <c r="S260" s="8"/>
      <c r="T260" s="8"/>
      <c r="U260" s="10"/>
      <c r="V260" s="8"/>
    </row>
    <row r="261" spans="1:22">
      <c r="A261" s="8"/>
      <c r="B261" s="8"/>
      <c r="C261" s="8"/>
      <c r="D261" s="8"/>
      <c r="E261" s="8"/>
      <c r="F261" s="8"/>
      <c r="G261" s="8"/>
      <c r="H261" s="13"/>
      <c r="I261" s="13"/>
      <c r="J261" s="16" t="str">
        <f t="shared" ref="J261:J324" si="4">IF(OR(A261="",H261=0),"",I261/H261)</f>
        <v/>
      </c>
      <c r="K261" s="8"/>
      <c r="L261" s="13"/>
      <c r="M261" s="13"/>
      <c r="N261" s="13"/>
      <c r="O261" s="10"/>
      <c r="P261" s="10"/>
      <c r="Q261" s="10"/>
      <c r="R261" s="10"/>
      <c r="S261" s="8"/>
      <c r="T261" s="8"/>
      <c r="U261" s="10"/>
      <c r="V261" s="8"/>
    </row>
    <row r="262" spans="1:22">
      <c r="A262" s="8"/>
      <c r="B262" s="8"/>
      <c r="C262" s="8"/>
      <c r="D262" s="8"/>
      <c r="E262" s="8"/>
      <c r="F262" s="8"/>
      <c r="G262" s="8"/>
      <c r="H262" s="13"/>
      <c r="I262" s="13"/>
      <c r="J262" s="16" t="str">
        <f t="shared" si="4"/>
        <v/>
      </c>
      <c r="K262" s="8"/>
      <c r="L262" s="13"/>
      <c r="M262" s="13"/>
      <c r="N262" s="13"/>
      <c r="O262" s="10"/>
      <c r="P262" s="10"/>
      <c r="Q262" s="10"/>
      <c r="R262" s="10"/>
      <c r="S262" s="8"/>
      <c r="T262" s="8"/>
      <c r="U262" s="10"/>
      <c r="V262" s="8"/>
    </row>
    <row r="263" spans="1:22">
      <c r="A263" s="8"/>
      <c r="B263" s="8"/>
      <c r="C263" s="8"/>
      <c r="D263" s="8"/>
      <c r="E263" s="8"/>
      <c r="F263" s="8"/>
      <c r="G263" s="8"/>
      <c r="H263" s="13"/>
      <c r="I263" s="13"/>
      <c r="J263" s="16" t="str">
        <f t="shared" si="4"/>
        <v/>
      </c>
      <c r="K263" s="8"/>
      <c r="L263" s="13"/>
      <c r="M263" s="13"/>
      <c r="N263" s="13"/>
      <c r="O263" s="10"/>
      <c r="P263" s="10"/>
      <c r="Q263" s="10"/>
      <c r="R263" s="10"/>
      <c r="S263" s="8"/>
      <c r="T263" s="8"/>
      <c r="U263" s="10"/>
      <c r="V263" s="8"/>
    </row>
    <row r="264" spans="1:22">
      <c r="A264" s="8"/>
      <c r="B264" s="8"/>
      <c r="C264" s="8"/>
      <c r="D264" s="8"/>
      <c r="E264" s="8"/>
      <c r="F264" s="8"/>
      <c r="G264" s="8"/>
      <c r="H264" s="13"/>
      <c r="I264" s="13"/>
      <c r="J264" s="16" t="str">
        <f t="shared" si="4"/>
        <v/>
      </c>
      <c r="K264" s="8"/>
      <c r="L264" s="13"/>
      <c r="M264" s="13"/>
      <c r="N264" s="13"/>
      <c r="O264" s="10"/>
      <c r="P264" s="10"/>
      <c r="Q264" s="10"/>
      <c r="R264" s="10"/>
      <c r="S264" s="8"/>
      <c r="T264" s="8"/>
      <c r="U264" s="10"/>
      <c r="V264" s="8"/>
    </row>
    <row r="265" spans="1:22">
      <c r="A265" s="8"/>
      <c r="B265" s="8"/>
      <c r="C265" s="8"/>
      <c r="D265" s="8"/>
      <c r="E265" s="8"/>
      <c r="F265" s="8"/>
      <c r="G265" s="8"/>
      <c r="H265" s="13"/>
      <c r="I265" s="13"/>
      <c r="J265" s="16" t="str">
        <f t="shared" si="4"/>
        <v/>
      </c>
      <c r="K265" s="8"/>
      <c r="L265" s="13"/>
      <c r="M265" s="13"/>
      <c r="N265" s="13"/>
      <c r="O265" s="10"/>
      <c r="P265" s="10"/>
      <c r="Q265" s="10"/>
      <c r="R265" s="10"/>
      <c r="S265" s="8"/>
      <c r="T265" s="8"/>
      <c r="U265" s="10"/>
      <c r="V265" s="8"/>
    </row>
    <row r="266" spans="1:22">
      <c r="A266" s="8"/>
      <c r="B266" s="8"/>
      <c r="C266" s="8"/>
      <c r="D266" s="8"/>
      <c r="E266" s="8"/>
      <c r="F266" s="8"/>
      <c r="G266" s="8"/>
      <c r="H266" s="13"/>
      <c r="I266" s="13"/>
      <c r="J266" s="16" t="str">
        <f t="shared" si="4"/>
        <v/>
      </c>
      <c r="K266" s="8"/>
      <c r="L266" s="13"/>
      <c r="M266" s="13"/>
      <c r="N266" s="13"/>
      <c r="O266" s="10"/>
      <c r="P266" s="10"/>
      <c r="Q266" s="10"/>
      <c r="R266" s="10"/>
      <c r="S266" s="8"/>
      <c r="T266" s="8"/>
      <c r="U266" s="10"/>
      <c r="V266" s="8"/>
    </row>
    <row r="267" spans="1:22">
      <c r="A267" s="8"/>
      <c r="B267" s="8"/>
      <c r="C267" s="8"/>
      <c r="D267" s="8"/>
      <c r="E267" s="8"/>
      <c r="F267" s="8"/>
      <c r="G267" s="8"/>
      <c r="H267" s="13"/>
      <c r="I267" s="13"/>
      <c r="J267" s="16" t="str">
        <f t="shared" si="4"/>
        <v/>
      </c>
      <c r="K267" s="8"/>
      <c r="L267" s="13"/>
      <c r="M267" s="13"/>
      <c r="N267" s="13"/>
      <c r="O267" s="10"/>
      <c r="P267" s="10"/>
      <c r="Q267" s="10"/>
      <c r="R267" s="10"/>
      <c r="S267" s="8"/>
      <c r="T267" s="8"/>
      <c r="U267" s="10"/>
      <c r="V267" s="8"/>
    </row>
    <row r="268" spans="1:22">
      <c r="A268" s="8"/>
      <c r="B268" s="8"/>
      <c r="C268" s="8"/>
      <c r="D268" s="8"/>
      <c r="E268" s="8"/>
      <c r="F268" s="8"/>
      <c r="G268" s="8"/>
      <c r="H268" s="13"/>
      <c r="I268" s="13"/>
      <c r="J268" s="16" t="str">
        <f t="shared" si="4"/>
        <v/>
      </c>
      <c r="K268" s="8"/>
      <c r="L268" s="13"/>
      <c r="M268" s="13"/>
      <c r="N268" s="13"/>
      <c r="O268" s="10"/>
      <c r="P268" s="10"/>
      <c r="Q268" s="10"/>
      <c r="R268" s="10"/>
      <c r="S268" s="8"/>
      <c r="T268" s="8"/>
      <c r="U268" s="10"/>
      <c r="V268" s="8"/>
    </row>
    <row r="269" spans="1:22">
      <c r="A269" s="8"/>
      <c r="B269" s="8"/>
      <c r="C269" s="8"/>
      <c r="D269" s="8"/>
      <c r="E269" s="8"/>
      <c r="F269" s="8"/>
      <c r="G269" s="8"/>
      <c r="H269" s="13"/>
      <c r="I269" s="13"/>
      <c r="J269" s="16" t="str">
        <f t="shared" si="4"/>
        <v/>
      </c>
      <c r="K269" s="8"/>
      <c r="L269" s="13"/>
      <c r="M269" s="13"/>
      <c r="N269" s="13"/>
      <c r="O269" s="10"/>
      <c r="P269" s="10"/>
      <c r="Q269" s="10"/>
      <c r="R269" s="10"/>
      <c r="S269" s="8"/>
      <c r="T269" s="8"/>
      <c r="U269" s="10"/>
      <c r="V269" s="8"/>
    </row>
    <row r="270" spans="1:22">
      <c r="A270" s="8"/>
      <c r="B270" s="8"/>
      <c r="C270" s="8"/>
      <c r="D270" s="8"/>
      <c r="E270" s="8"/>
      <c r="F270" s="8"/>
      <c r="G270" s="8"/>
      <c r="H270" s="13"/>
      <c r="I270" s="13"/>
      <c r="J270" s="16" t="str">
        <f t="shared" si="4"/>
        <v/>
      </c>
      <c r="K270" s="8"/>
      <c r="L270" s="13"/>
      <c r="M270" s="13"/>
      <c r="N270" s="13"/>
      <c r="O270" s="10"/>
      <c r="P270" s="10"/>
      <c r="Q270" s="10"/>
      <c r="R270" s="10"/>
      <c r="S270" s="8"/>
      <c r="T270" s="8"/>
      <c r="U270" s="10"/>
      <c r="V270" s="8"/>
    </row>
    <row r="271" spans="1:22">
      <c r="A271" s="8"/>
      <c r="B271" s="8"/>
      <c r="C271" s="8"/>
      <c r="D271" s="8"/>
      <c r="E271" s="8"/>
      <c r="F271" s="8"/>
      <c r="G271" s="8"/>
      <c r="H271" s="13"/>
      <c r="I271" s="13"/>
      <c r="J271" s="16" t="str">
        <f t="shared" si="4"/>
        <v/>
      </c>
      <c r="K271" s="8"/>
      <c r="L271" s="13"/>
      <c r="M271" s="13"/>
      <c r="N271" s="13"/>
      <c r="O271" s="10"/>
      <c r="P271" s="10"/>
      <c r="Q271" s="10"/>
      <c r="R271" s="10"/>
      <c r="S271" s="8"/>
      <c r="T271" s="8"/>
      <c r="U271" s="10"/>
      <c r="V271" s="8"/>
    </row>
    <row r="272" spans="1:22">
      <c r="A272" s="8"/>
      <c r="B272" s="8"/>
      <c r="C272" s="8"/>
      <c r="D272" s="8"/>
      <c r="E272" s="8"/>
      <c r="F272" s="8"/>
      <c r="G272" s="8"/>
      <c r="H272" s="13"/>
      <c r="I272" s="13"/>
      <c r="J272" s="16" t="str">
        <f t="shared" si="4"/>
        <v/>
      </c>
      <c r="K272" s="8"/>
      <c r="L272" s="13"/>
      <c r="M272" s="13"/>
      <c r="N272" s="13"/>
      <c r="O272" s="10"/>
      <c r="P272" s="10"/>
      <c r="Q272" s="10"/>
      <c r="R272" s="10"/>
      <c r="S272" s="8"/>
      <c r="T272" s="8"/>
      <c r="U272" s="10"/>
      <c r="V272" s="8"/>
    </row>
    <row r="273" spans="1:22">
      <c r="A273" s="8"/>
      <c r="B273" s="8"/>
      <c r="C273" s="8"/>
      <c r="D273" s="8"/>
      <c r="E273" s="8"/>
      <c r="F273" s="8"/>
      <c r="G273" s="8"/>
      <c r="H273" s="13"/>
      <c r="I273" s="13"/>
      <c r="J273" s="16" t="str">
        <f t="shared" si="4"/>
        <v/>
      </c>
      <c r="K273" s="8"/>
      <c r="L273" s="13"/>
      <c r="M273" s="13"/>
      <c r="N273" s="13"/>
      <c r="O273" s="10"/>
      <c r="P273" s="10"/>
      <c r="Q273" s="10"/>
      <c r="R273" s="10"/>
      <c r="S273" s="8"/>
      <c r="T273" s="8"/>
      <c r="U273" s="10"/>
      <c r="V273" s="8"/>
    </row>
    <row r="274" spans="1:22">
      <c r="A274" s="8"/>
      <c r="B274" s="8"/>
      <c r="C274" s="8"/>
      <c r="D274" s="8"/>
      <c r="E274" s="8"/>
      <c r="F274" s="8"/>
      <c r="G274" s="8"/>
      <c r="H274" s="13"/>
      <c r="I274" s="13"/>
      <c r="J274" s="16" t="str">
        <f t="shared" si="4"/>
        <v/>
      </c>
      <c r="K274" s="8"/>
      <c r="L274" s="13"/>
      <c r="M274" s="13"/>
      <c r="N274" s="13"/>
      <c r="O274" s="10"/>
      <c r="P274" s="10"/>
      <c r="Q274" s="10"/>
      <c r="R274" s="10"/>
      <c r="S274" s="8"/>
      <c r="T274" s="8"/>
      <c r="U274" s="10"/>
      <c r="V274" s="8"/>
    </row>
    <row r="275" spans="1:22">
      <c r="A275" s="8"/>
      <c r="B275" s="8"/>
      <c r="C275" s="8"/>
      <c r="D275" s="8"/>
      <c r="E275" s="8"/>
      <c r="F275" s="8"/>
      <c r="G275" s="8"/>
      <c r="H275" s="13"/>
      <c r="I275" s="13"/>
      <c r="J275" s="16" t="str">
        <f t="shared" si="4"/>
        <v/>
      </c>
      <c r="K275" s="8"/>
      <c r="L275" s="13"/>
      <c r="M275" s="13"/>
      <c r="N275" s="13"/>
      <c r="O275" s="10"/>
      <c r="P275" s="10"/>
      <c r="Q275" s="10"/>
      <c r="R275" s="10"/>
      <c r="S275" s="8"/>
      <c r="T275" s="8"/>
      <c r="U275" s="10"/>
      <c r="V275" s="8"/>
    </row>
    <row r="276" spans="1:22">
      <c r="A276" s="8"/>
      <c r="B276" s="8"/>
      <c r="C276" s="8"/>
      <c r="D276" s="8"/>
      <c r="E276" s="8"/>
      <c r="F276" s="8"/>
      <c r="G276" s="8"/>
      <c r="H276" s="13"/>
      <c r="I276" s="13"/>
      <c r="J276" s="16" t="str">
        <f t="shared" si="4"/>
        <v/>
      </c>
      <c r="K276" s="8"/>
      <c r="L276" s="13"/>
      <c r="M276" s="13"/>
      <c r="N276" s="13"/>
      <c r="O276" s="10"/>
      <c r="P276" s="10"/>
      <c r="Q276" s="10"/>
      <c r="R276" s="10"/>
      <c r="S276" s="8"/>
      <c r="T276" s="8"/>
      <c r="U276" s="10"/>
      <c r="V276" s="8"/>
    </row>
    <row r="277" spans="1:22">
      <c r="A277" s="8"/>
      <c r="B277" s="8"/>
      <c r="C277" s="8"/>
      <c r="D277" s="8"/>
      <c r="E277" s="8"/>
      <c r="F277" s="8"/>
      <c r="G277" s="8"/>
      <c r="H277" s="13"/>
      <c r="I277" s="13"/>
      <c r="J277" s="16" t="str">
        <f t="shared" si="4"/>
        <v/>
      </c>
      <c r="K277" s="8"/>
      <c r="L277" s="13"/>
      <c r="M277" s="13"/>
      <c r="N277" s="13"/>
      <c r="O277" s="10"/>
      <c r="P277" s="10"/>
      <c r="Q277" s="10"/>
      <c r="R277" s="10"/>
      <c r="S277" s="8"/>
      <c r="T277" s="8"/>
      <c r="U277" s="10"/>
      <c r="V277" s="8"/>
    </row>
    <row r="278" spans="1:22">
      <c r="A278" s="8"/>
      <c r="B278" s="8"/>
      <c r="C278" s="8"/>
      <c r="D278" s="8"/>
      <c r="E278" s="8"/>
      <c r="F278" s="8"/>
      <c r="G278" s="8"/>
      <c r="H278" s="13"/>
      <c r="I278" s="13"/>
      <c r="J278" s="16" t="str">
        <f t="shared" si="4"/>
        <v/>
      </c>
      <c r="K278" s="8"/>
      <c r="L278" s="13"/>
      <c r="M278" s="13"/>
      <c r="N278" s="13"/>
      <c r="O278" s="10"/>
      <c r="P278" s="10"/>
      <c r="Q278" s="10"/>
      <c r="R278" s="10"/>
      <c r="S278" s="8"/>
      <c r="T278" s="8"/>
      <c r="U278" s="10"/>
      <c r="V278" s="8"/>
    </row>
    <row r="279" spans="1:22">
      <c r="A279" s="8"/>
      <c r="B279" s="8"/>
      <c r="C279" s="8"/>
      <c r="D279" s="8"/>
      <c r="E279" s="8"/>
      <c r="F279" s="8"/>
      <c r="G279" s="8"/>
      <c r="H279" s="13"/>
      <c r="I279" s="13"/>
      <c r="J279" s="16" t="str">
        <f t="shared" si="4"/>
        <v/>
      </c>
      <c r="K279" s="8"/>
      <c r="L279" s="13"/>
      <c r="M279" s="13"/>
      <c r="N279" s="13"/>
      <c r="O279" s="10"/>
      <c r="P279" s="10"/>
      <c r="Q279" s="10"/>
      <c r="R279" s="10"/>
      <c r="S279" s="8"/>
      <c r="T279" s="8"/>
      <c r="U279" s="10"/>
      <c r="V279" s="8"/>
    </row>
    <row r="280" spans="1:22">
      <c r="A280" s="8"/>
      <c r="B280" s="8"/>
      <c r="C280" s="8"/>
      <c r="D280" s="8"/>
      <c r="E280" s="8"/>
      <c r="F280" s="8"/>
      <c r="G280" s="8"/>
      <c r="H280" s="13"/>
      <c r="I280" s="13"/>
      <c r="J280" s="16" t="str">
        <f t="shared" si="4"/>
        <v/>
      </c>
      <c r="K280" s="8"/>
      <c r="L280" s="13"/>
      <c r="M280" s="13"/>
      <c r="N280" s="13"/>
      <c r="O280" s="10"/>
      <c r="P280" s="10"/>
      <c r="Q280" s="10"/>
      <c r="R280" s="10"/>
      <c r="S280" s="8"/>
      <c r="T280" s="8"/>
      <c r="U280" s="10"/>
      <c r="V280" s="8"/>
    </row>
    <row r="281" spans="1:22">
      <c r="A281" s="8"/>
      <c r="B281" s="8"/>
      <c r="C281" s="8"/>
      <c r="D281" s="8"/>
      <c r="E281" s="8"/>
      <c r="F281" s="8"/>
      <c r="G281" s="8"/>
      <c r="H281" s="13"/>
      <c r="I281" s="13"/>
      <c r="J281" s="16" t="str">
        <f t="shared" si="4"/>
        <v/>
      </c>
      <c r="K281" s="8"/>
      <c r="L281" s="13"/>
      <c r="M281" s="13"/>
      <c r="N281" s="13"/>
      <c r="O281" s="10"/>
      <c r="P281" s="10"/>
      <c r="Q281" s="10"/>
      <c r="R281" s="10"/>
      <c r="S281" s="8"/>
      <c r="T281" s="8"/>
      <c r="U281" s="10"/>
      <c r="V281" s="8"/>
    </row>
    <row r="282" spans="1:22">
      <c r="A282" s="8"/>
      <c r="B282" s="8"/>
      <c r="C282" s="8"/>
      <c r="D282" s="8"/>
      <c r="E282" s="8"/>
      <c r="F282" s="8"/>
      <c r="G282" s="8"/>
      <c r="H282" s="13"/>
      <c r="I282" s="13"/>
      <c r="J282" s="16" t="str">
        <f t="shared" si="4"/>
        <v/>
      </c>
      <c r="K282" s="8"/>
      <c r="L282" s="13"/>
      <c r="M282" s="13"/>
      <c r="N282" s="13"/>
      <c r="O282" s="10"/>
      <c r="P282" s="10"/>
      <c r="Q282" s="10"/>
      <c r="R282" s="10"/>
      <c r="S282" s="8"/>
      <c r="T282" s="8"/>
      <c r="U282" s="10"/>
      <c r="V282" s="8"/>
    </row>
    <row r="283" spans="1:22">
      <c r="A283" s="8"/>
      <c r="B283" s="8"/>
      <c r="C283" s="8"/>
      <c r="D283" s="8"/>
      <c r="E283" s="8"/>
      <c r="F283" s="8"/>
      <c r="G283" s="8"/>
      <c r="H283" s="13"/>
      <c r="I283" s="13"/>
      <c r="J283" s="16" t="str">
        <f t="shared" si="4"/>
        <v/>
      </c>
      <c r="K283" s="8"/>
      <c r="L283" s="13"/>
      <c r="M283" s="13"/>
      <c r="N283" s="13"/>
      <c r="O283" s="10"/>
      <c r="P283" s="10"/>
      <c r="Q283" s="10"/>
      <c r="R283" s="10"/>
      <c r="S283" s="8"/>
      <c r="T283" s="8"/>
      <c r="U283" s="10"/>
      <c r="V283" s="8"/>
    </row>
    <row r="284" spans="1:22">
      <c r="A284" s="8"/>
      <c r="B284" s="8"/>
      <c r="C284" s="8"/>
      <c r="D284" s="8"/>
      <c r="E284" s="8"/>
      <c r="F284" s="8"/>
      <c r="G284" s="8"/>
      <c r="H284" s="13"/>
      <c r="I284" s="13"/>
      <c r="J284" s="16" t="str">
        <f t="shared" si="4"/>
        <v/>
      </c>
      <c r="K284" s="8"/>
      <c r="L284" s="13"/>
      <c r="M284" s="13"/>
      <c r="N284" s="13"/>
      <c r="O284" s="10"/>
      <c r="P284" s="10"/>
      <c r="Q284" s="10"/>
      <c r="R284" s="10"/>
      <c r="S284" s="8"/>
      <c r="T284" s="8"/>
      <c r="U284" s="10"/>
      <c r="V284" s="8"/>
    </row>
    <row r="285" spans="1:22">
      <c r="A285" s="8"/>
      <c r="B285" s="8"/>
      <c r="C285" s="8"/>
      <c r="D285" s="8"/>
      <c r="E285" s="8"/>
      <c r="F285" s="8"/>
      <c r="G285" s="8"/>
      <c r="H285" s="13"/>
      <c r="I285" s="13"/>
      <c r="J285" s="16" t="str">
        <f t="shared" si="4"/>
        <v/>
      </c>
      <c r="K285" s="8"/>
      <c r="L285" s="13"/>
      <c r="M285" s="13"/>
      <c r="N285" s="13"/>
      <c r="O285" s="10"/>
      <c r="P285" s="10"/>
      <c r="Q285" s="10"/>
      <c r="R285" s="10"/>
      <c r="S285" s="8"/>
      <c r="T285" s="8"/>
      <c r="U285" s="10"/>
      <c r="V285" s="8"/>
    </row>
    <row r="286" spans="1:22">
      <c r="A286" s="8"/>
      <c r="B286" s="8"/>
      <c r="C286" s="8"/>
      <c r="D286" s="8"/>
      <c r="E286" s="8"/>
      <c r="F286" s="8"/>
      <c r="G286" s="8"/>
      <c r="H286" s="13"/>
      <c r="I286" s="13"/>
      <c r="J286" s="16" t="str">
        <f t="shared" si="4"/>
        <v/>
      </c>
      <c r="K286" s="8"/>
      <c r="L286" s="13"/>
      <c r="M286" s="13"/>
      <c r="N286" s="13"/>
      <c r="O286" s="10"/>
      <c r="P286" s="10"/>
      <c r="Q286" s="10"/>
      <c r="R286" s="10"/>
      <c r="S286" s="8"/>
      <c r="T286" s="8"/>
      <c r="U286" s="10"/>
      <c r="V286" s="8"/>
    </row>
    <row r="287" spans="1:22">
      <c r="A287" s="8"/>
      <c r="B287" s="8"/>
      <c r="C287" s="8"/>
      <c r="D287" s="8"/>
      <c r="E287" s="8"/>
      <c r="F287" s="8"/>
      <c r="G287" s="8"/>
      <c r="H287" s="13"/>
      <c r="I287" s="13"/>
      <c r="J287" s="16" t="str">
        <f t="shared" si="4"/>
        <v/>
      </c>
      <c r="K287" s="8"/>
      <c r="L287" s="13"/>
      <c r="M287" s="13"/>
      <c r="N287" s="13"/>
      <c r="O287" s="10"/>
      <c r="P287" s="10"/>
      <c r="Q287" s="10"/>
      <c r="R287" s="10"/>
      <c r="S287" s="8"/>
      <c r="T287" s="8"/>
      <c r="U287" s="10"/>
      <c r="V287" s="8"/>
    </row>
    <row r="288" spans="1:22">
      <c r="A288" s="8"/>
      <c r="B288" s="8"/>
      <c r="C288" s="8"/>
      <c r="D288" s="8"/>
      <c r="E288" s="8"/>
      <c r="F288" s="8"/>
      <c r="G288" s="8"/>
      <c r="H288" s="13"/>
      <c r="I288" s="13"/>
      <c r="J288" s="16" t="str">
        <f t="shared" si="4"/>
        <v/>
      </c>
      <c r="K288" s="8"/>
      <c r="L288" s="13"/>
      <c r="M288" s="13"/>
      <c r="N288" s="13"/>
      <c r="O288" s="10"/>
      <c r="P288" s="10"/>
      <c r="Q288" s="10"/>
      <c r="R288" s="10"/>
      <c r="S288" s="8"/>
      <c r="T288" s="8"/>
      <c r="U288" s="10"/>
      <c r="V288" s="8"/>
    </row>
    <row r="289" spans="1:22">
      <c r="A289" s="8"/>
      <c r="B289" s="8"/>
      <c r="C289" s="8"/>
      <c r="D289" s="8"/>
      <c r="E289" s="8"/>
      <c r="F289" s="8"/>
      <c r="G289" s="8"/>
      <c r="H289" s="13"/>
      <c r="I289" s="13"/>
      <c r="J289" s="16" t="str">
        <f t="shared" si="4"/>
        <v/>
      </c>
      <c r="K289" s="8"/>
      <c r="L289" s="13"/>
      <c r="M289" s="13"/>
      <c r="N289" s="13"/>
      <c r="O289" s="10"/>
      <c r="P289" s="10"/>
      <c r="Q289" s="10"/>
      <c r="R289" s="10"/>
      <c r="S289" s="8"/>
      <c r="T289" s="8"/>
      <c r="U289" s="10"/>
      <c r="V289" s="8"/>
    </row>
    <row r="290" spans="1:22">
      <c r="A290" s="8"/>
      <c r="B290" s="8"/>
      <c r="C290" s="8"/>
      <c r="D290" s="8"/>
      <c r="E290" s="8"/>
      <c r="F290" s="8"/>
      <c r="G290" s="8"/>
      <c r="H290" s="13"/>
      <c r="I290" s="13"/>
      <c r="J290" s="16" t="str">
        <f t="shared" si="4"/>
        <v/>
      </c>
      <c r="K290" s="8"/>
      <c r="L290" s="13"/>
      <c r="M290" s="13"/>
      <c r="N290" s="13"/>
      <c r="O290" s="10"/>
      <c r="P290" s="10"/>
      <c r="Q290" s="10"/>
      <c r="R290" s="10"/>
      <c r="S290" s="8"/>
      <c r="T290" s="8"/>
      <c r="U290" s="10"/>
      <c r="V290" s="8"/>
    </row>
    <row r="291" spans="1:22">
      <c r="A291" s="8"/>
      <c r="B291" s="8"/>
      <c r="C291" s="8"/>
      <c r="D291" s="8"/>
      <c r="E291" s="8"/>
      <c r="F291" s="8"/>
      <c r="G291" s="8"/>
      <c r="H291" s="13"/>
      <c r="I291" s="13"/>
      <c r="J291" s="16" t="str">
        <f t="shared" si="4"/>
        <v/>
      </c>
      <c r="K291" s="8"/>
      <c r="L291" s="13"/>
      <c r="M291" s="13"/>
      <c r="N291" s="13"/>
      <c r="O291" s="10"/>
      <c r="P291" s="10"/>
      <c r="Q291" s="10"/>
      <c r="R291" s="10"/>
      <c r="S291" s="8"/>
      <c r="T291" s="8"/>
      <c r="U291" s="10"/>
      <c r="V291" s="8"/>
    </row>
    <row r="292" spans="1:22">
      <c r="A292" s="8"/>
      <c r="B292" s="8"/>
      <c r="C292" s="8"/>
      <c r="D292" s="8"/>
      <c r="E292" s="8"/>
      <c r="F292" s="8"/>
      <c r="G292" s="8"/>
      <c r="H292" s="13"/>
      <c r="I292" s="13"/>
      <c r="J292" s="16" t="str">
        <f t="shared" si="4"/>
        <v/>
      </c>
      <c r="K292" s="8"/>
      <c r="L292" s="13"/>
      <c r="M292" s="13"/>
      <c r="N292" s="13"/>
      <c r="O292" s="10"/>
      <c r="P292" s="10"/>
      <c r="Q292" s="10"/>
      <c r="R292" s="10"/>
      <c r="S292" s="8"/>
      <c r="T292" s="8"/>
      <c r="U292" s="10"/>
      <c r="V292" s="8"/>
    </row>
    <row r="293" spans="1:22">
      <c r="A293" s="8"/>
      <c r="B293" s="8"/>
      <c r="C293" s="8"/>
      <c r="D293" s="8"/>
      <c r="E293" s="8"/>
      <c r="F293" s="8"/>
      <c r="G293" s="8"/>
      <c r="H293" s="13"/>
      <c r="I293" s="13"/>
      <c r="J293" s="16" t="str">
        <f t="shared" si="4"/>
        <v/>
      </c>
      <c r="K293" s="8"/>
      <c r="L293" s="13"/>
      <c r="M293" s="13"/>
      <c r="N293" s="13"/>
      <c r="O293" s="10"/>
      <c r="P293" s="10"/>
      <c r="Q293" s="10"/>
      <c r="R293" s="10"/>
      <c r="S293" s="8"/>
      <c r="T293" s="8"/>
      <c r="U293" s="10"/>
      <c r="V293" s="8"/>
    </row>
    <row r="294" spans="1:22">
      <c r="A294" s="8"/>
      <c r="B294" s="8"/>
      <c r="C294" s="8"/>
      <c r="D294" s="8"/>
      <c r="E294" s="8"/>
      <c r="F294" s="8"/>
      <c r="G294" s="8"/>
      <c r="H294" s="13"/>
      <c r="I294" s="13"/>
      <c r="J294" s="16" t="str">
        <f t="shared" si="4"/>
        <v/>
      </c>
      <c r="K294" s="8"/>
      <c r="L294" s="13"/>
      <c r="M294" s="13"/>
      <c r="N294" s="13"/>
      <c r="O294" s="10"/>
      <c r="P294" s="10"/>
      <c r="Q294" s="10"/>
      <c r="R294" s="10"/>
      <c r="S294" s="8"/>
      <c r="T294" s="8"/>
      <c r="U294" s="10"/>
      <c r="V294" s="8"/>
    </row>
    <row r="295" spans="1:22">
      <c r="A295" s="8"/>
      <c r="B295" s="8"/>
      <c r="C295" s="8"/>
      <c r="D295" s="8"/>
      <c r="E295" s="8"/>
      <c r="F295" s="8"/>
      <c r="G295" s="8"/>
      <c r="H295" s="13"/>
      <c r="I295" s="13"/>
      <c r="J295" s="16" t="str">
        <f t="shared" si="4"/>
        <v/>
      </c>
      <c r="K295" s="8"/>
      <c r="L295" s="13"/>
      <c r="M295" s="13"/>
      <c r="N295" s="13"/>
      <c r="O295" s="10"/>
      <c r="P295" s="10"/>
      <c r="Q295" s="10"/>
      <c r="R295" s="10"/>
      <c r="S295" s="8"/>
      <c r="T295" s="8"/>
      <c r="U295" s="10"/>
      <c r="V295" s="8"/>
    </row>
    <row r="296" spans="1:22">
      <c r="A296" s="8"/>
      <c r="B296" s="8"/>
      <c r="C296" s="8"/>
      <c r="D296" s="8"/>
      <c r="E296" s="8"/>
      <c r="F296" s="8"/>
      <c r="G296" s="8"/>
      <c r="H296" s="13"/>
      <c r="I296" s="13"/>
      <c r="J296" s="16" t="str">
        <f t="shared" si="4"/>
        <v/>
      </c>
      <c r="K296" s="8"/>
      <c r="L296" s="13"/>
      <c r="M296" s="13"/>
      <c r="N296" s="13"/>
      <c r="O296" s="10"/>
      <c r="P296" s="10"/>
      <c r="Q296" s="10"/>
      <c r="R296" s="10"/>
      <c r="S296" s="8"/>
      <c r="T296" s="8"/>
      <c r="U296" s="10"/>
      <c r="V296" s="8"/>
    </row>
    <row r="297" spans="1:22">
      <c r="A297" s="8"/>
      <c r="B297" s="8"/>
      <c r="C297" s="8"/>
      <c r="D297" s="8"/>
      <c r="E297" s="8"/>
      <c r="F297" s="8"/>
      <c r="G297" s="8"/>
      <c r="H297" s="13"/>
      <c r="I297" s="13"/>
      <c r="J297" s="16" t="str">
        <f t="shared" si="4"/>
        <v/>
      </c>
      <c r="K297" s="8"/>
      <c r="L297" s="13"/>
      <c r="M297" s="13"/>
      <c r="N297" s="13"/>
      <c r="O297" s="10"/>
      <c r="P297" s="10"/>
      <c r="Q297" s="10"/>
      <c r="R297" s="10"/>
      <c r="S297" s="8"/>
      <c r="T297" s="8"/>
      <c r="U297" s="10"/>
      <c r="V297" s="8"/>
    </row>
    <row r="298" spans="1:22">
      <c r="A298" s="8"/>
      <c r="B298" s="8"/>
      <c r="C298" s="8"/>
      <c r="D298" s="8"/>
      <c r="E298" s="8"/>
      <c r="F298" s="8"/>
      <c r="G298" s="8"/>
      <c r="H298" s="13"/>
      <c r="I298" s="13"/>
      <c r="J298" s="16" t="str">
        <f t="shared" si="4"/>
        <v/>
      </c>
      <c r="K298" s="8"/>
      <c r="L298" s="13"/>
      <c r="M298" s="13"/>
      <c r="N298" s="13"/>
      <c r="O298" s="10"/>
      <c r="P298" s="10"/>
      <c r="Q298" s="10"/>
      <c r="R298" s="10"/>
      <c r="S298" s="8"/>
      <c r="T298" s="8"/>
      <c r="U298" s="10"/>
      <c r="V298" s="8"/>
    </row>
    <row r="299" spans="1:22">
      <c r="A299" s="8"/>
      <c r="B299" s="8"/>
      <c r="C299" s="8"/>
      <c r="D299" s="8"/>
      <c r="E299" s="8"/>
      <c r="F299" s="8"/>
      <c r="G299" s="8"/>
      <c r="H299" s="13"/>
      <c r="I299" s="13"/>
      <c r="J299" s="16" t="str">
        <f t="shared" si="4"/>
        <v/>
      </c>
      <c r="K299" s="8"/>
      <c r="L299" s="13"/>
      <c r="M299" s="13"/>
      <c r="N299" s="13"/>
      <c r="O299" s="10"/>
      <c r="P299" s="10"/>
      <c r="Q299" s="10"/>
      <c r="R299" s="10"/>
      <c r="S299" s="8"/>
      <c r="T299" s="8"/>
      <c r="U299" s="10"/>
      <c r="V299" s="8"/>
    </row>
    <row r="300" spans="1:22">
      <c r="A300" s="8"/>
      <c r="B300" s="8"/>
      <c r="C300" s="8"/>
      <c r="D300" s="8"/>
      <c r="E300" s="8"/>
      <c r="F300" s="8"/>
      <c r="G300" s="8"/>
      <c r="H300" s="13"/>
      <c r="I300" s="13"/>
      <c r="J300" s="16" t="str">
        <f t="shared" si="4"/>
        <v/>
      </c>
      <c r="K300" s="8"/>
      <c r="L300" s="13"/>
      <c r="M300" s="13"/>
      <c r="N300" s="13"/>
      <c r="O300" s="10"/>
      <c r="P300" s="10"/>
      <c r="Q300" s="10"/>
      <c r="R300" s="10"/>
      <c r="S300" s="8"/>
      <c r="T300" s="8"/>
      <c r="U300" s="10"/>
      <c r="V300" s="8"/>
    </row>
    <row r="301" spans="1:22">
      <c r="A301" s="8"/>
      <c r="B301" s="8"/>
      <c r="C301" s="8"/>
      <c r="D301" s="8"/>
      <c r="E301" s="8"/>
      <c r="F301" s="8"/>
      <c r="G301" s="8"/>
      <c r="H301" s="13"/>
      <c r="I301" s="13"/>
      <c r="J301" s="16" t="str">
        <f t="shared" si="4"/>
        <v/>
      </c>
      <c r="K301" s="8"/>
      <c r="L301" s="13"/>
      <c r="M301" s="13"/>
      <c r="N301" s="13"/>
      <c r="O301" s="10"/>
      <c r="P301" s="10"/>
      <c r="Q301" s="10"/>
      <c r="R301" s="10"/>
      <c r="S301" s="8"/>
      <c r="T301" s="8"/>
      <c r="U301" s="10"/>
      <c r="V301" s="8"/>
    </row>
    <row r="302" spans="1:22">
      <c r="A302" s="8"/>
      <c r="B302" s="8"/>
      <c r="C302" s="8"/>
      <c r="D302" s="8"/>
      <c r="E302" s="8"/>
      <c r="F302" s="8"/>
      <c r="G302" s="8"/>
      <c r="H302" s="13"/>
      <c r="I302" s="13"/>
      <c r="J302" s="16" t="str">
        <f t="shared" si="4"/>
        <v/>
      </c>
      <c r="K302" s="8"/>
      <c r="L302" s="13"/>
      <c r="M302" s="13"/>
      <c r="N302" s="13"/>
      <c r="O302" s="10"/>
      <c r="P302" s="10"/>
      <c r="Q302" s="10"/>
      <c r="R302" s="10"/>
      <c r="S302" s="8"/>
      <c r="T302" s="8"/>
      <c r="U302" s="10"/>
      <c r="V302" s="8"/>
    </row>
    <row r="303" spans="1:22">
      <c r="A303" s="8"/>
      <c r="B303" s="8"/>
      <c r="C303" s="8"/>
      <c r="D303" s="8"/>
      <c r="E303" s="8"/>
      <c r="F303" s="8"/>
      <c r="G303" s="8"/>
      <c r="H303" s="13"/>
      <c r="I303" s="13"/>
      <c r="J303" s="16" t="str">
        <f t="shared" si="4"/>
        <v/>
      </c>
      <c r="K303" s="8"/>
      <c r="L303" s="13"/>
      <c r="M303" s="13"/>
      <c r="N303" s="13"/>
      <c r="O303" s="10"/>
      <c r="P303" s="10"/>
      <c r="Q303" s="10"/>
      <c r="R303" s="10"/>
      <c r="S303" s="8"/>
      <c r="T303" s="8"/>
      <c r="U303" s="10"/>
      <c r="V303" s="8"/>
    </row>
    <row r="304" spans="1:22">
      <c r="A304" s="8"/>
      <c r="B304" s="8"/>
      <c r="C304" s="8"/>
      <c r="D304" s="8"/>
      <c r="E304" s="8"/>
      <c r="F304" s="8"/>
      <c r="G304" s="8"/>
      <c r="H304" s="13"/>
      <c r="I304" s="13"/>
      <c r="J304" s="16" t="str">
        <f t="shared" si="4"/>
        <v/>
      </c>
      <c r="K304" s="8"/>
      <c r="L304" s="13"/>
      <c r="M304" s="13"/>
      <c r="N304" s="13"/>
      <c r="O304" s="10"/>
      <c r="P304" s="10"/>
      <c r="Q304" s="10"/>
      <c r="R304" s="10"/>
      <c r="S304" s="8"/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108" priority="9"/>
  </conditionalFormatting>
  <conditionalFormatting sqref="S5:S304">
    <cfRule type="containsText" dxfId="107" priority="1" operator="containsText" text="Approved"/>
    <cfRule type="containsText" dxfId="106" priority="4" operator="containsText" text="Failed"/>
    <cfRule type="containsText" dxfId="105" priority="7" operator="containsText" text="On Hold"/>
  </conditionalFormatting>
  <dataValidations count="1">
    <dataValidation type="list" sqref="S5:S304" xr:uid="{00000000-0002-0000-0600-000000000000}">
      <formula1>"Not Started,In Production,Partially Completed,Completed,On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04"/>
  <sheetViews>
    <sheetView showGridLines="0" workbookViewId="0">
      <selection sqref="A1:X1"/>
    </sheetView>
  </sheetViews>
  <sheetFormatPr baseColWidth="10" defaultColWidth="8.83203125" defaultRowHeight="14"/>
  <cols>
    <col min="1" max="1" width="15" customWidth="1"/>
    <col min="2" max="2" width="18" customWidth="1"/>
    <col min="3" max="3" width="14" customWidth="1"/>
    <col min="4" max="4" width="16" customWidth="1"/>
    <col min="5" max="5" width="14" customWidth="1"/>
    <col min="6" max="6" width="13" customWidth="1"/>
    <col min="7" max="7" width="11" customWidth="1"/>
    <col min="8" max="8" width="14" customWidth="1"/>
    <col min="9" max="9" width="13" customWidth="1"/>
    <col min="10" max="11" width="17" customWidth="1"/>
    <col min="12" max="14" width="12" customWidth="1"/>
    <col min="15" max="15" width="15" customWidth="1"/>
    <col min="16" max="16" width="18" customWidth="1"/>
    <col min="17" max="17" width="14" customWidth="1"/>
    <col min="18" max="18" width="13" customWidth="1"/>
    <col min="19" max="19" width="14" customWidth="1"/>
    <col min="20" max="20" width="17" customWidth="1"/>
    <col min="21" max="21" width="18" customWidth="1"/>
    <col min="22" max="22" width="22" customWidth="1"/>
    <col min="23" max="23" width="15" customWidth="1"/>
    <col min="24" max="24" width="25" customWidth="1"/>
  </cols>
  <sheetData>
    <row r="1" spans="1:24" ht="30" customHeight="1">
      <c r="A1" s="52" t="s">
        <v>143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4" spans="1:24" ht="44" customHeight="1">
      <c r="A4" s="6" t="s">
        <v>144</v>
      </c>
      <c r="B4" s="6" t="s">
        <v>118</v>
      </c>
      <c r="C4" s="6" t="s">
        <v>44</v>
      </c>
      <c r="D4" s="6" t="s">
        <v>119</v>
      </c>
      <c r="E4" s="6" t="s">
        <v>136</v>
      </c>
      <c r="F4" s="6" t="s">
        <v>46</v>
      </c>
      <c r="G4" s="6" t="s">
        <v>145</v>
      </c>
      <c r="H4" s="6" t="s">
        <v>146</v>
      </c>
      <c r="I4" s="6" t="s">
        <v>147</v>
      </c>
      <c r="J4" s="6" t="s">
        <v>148</v>
      </c>
      <c r="K4" s="6" t="s">
        <v>149</v>
      </c>
      <c r="L4" s="6" t="s">
        <v>150</v>
      </c>
      <c r="M4" s="6" t="s">
        <v>151</v>
      </c>
      <c r="N4" s="6" t="s">
        <v>152</v>
      </c>
      <c r="O4" s="6" t="s">
        <v>153</v>
      </c>
      <c r="P4" s="6" t="s">
        <v>154</v>
      </c>
      <c r="Q4" s="6" t="s">
        <v>155</v>
      </c>
      <c r="R4" s="6" t="s">
        <v>156</v>
      </c>
      <c r="S4" s="6" t="s">
        <v>157</v>
      </c>
      <c r="T4" s="6" t="s">
        <v>158</v>
      </c>
      <c r="U4" s="6" t="s">
        <v>159</v>
      </c>
      <c r="V4" s="6" t="s">
        <v>160</v>
      </c>
      <c r="W4" s="6" t="s">
        <v>63</v>
      </c>
      <c r="X4" s="6" t="s">
        <v>161</v>
      </c>
    </row>
    <row r="5" spans="1:24">
      <c r="A5" s="8"/>
      <c r="B5" s="8"/>
      <c r="C5" s="8"/>
      <c r="D5" s="8"/>
      <c r="E5" s="8"/>
      <c r="F5" s="8"/>
      <c r="G5" s="13"/>
      <c r="H5" s="13"/>
      <c r="I5" s="13"/>
      <c r="J5" s="15"/>
      <c r="K5" s="15"/>
      <c r="L5" s="15"/>
      <c r="M5" s="15"/>
      <c r="N5" s="15"/>
      <c r="O5" s="8"/>
      <c r="P5" s="8"/>
      <c r="Q5" s="8"/>
      <c r="R5" s="10"/>
      <c r="S5" s="8"/>
      <c r="T5" s="8"/>
      <c r="U5" s="8"/>
      <c r="V5" s="8"/>
      <c r="W5" s="10"/>
      <c r="X5" s="8"/>
    </row>
    <row r="6" spans="1:24">
      <c r="A6" s="8"/>
      <c r="B6" s="8"/>
      <c r="C6" s="8"/>
      <c r="D6" s="8"/>
      <c r="E6" s="8"/>
      <c r="F6" s="8"/>
      <c r="G6" s="13"/>
      <c r="H6" s="13"/>
      <c r="I6" s="13"/>
      <c r="J6" s="15"/>
      <c r="K6" s="15"/>
      <c r="L6" s="15"/>
      <c r="M6" s="15"/>
      <c r="N6" s="15"/>
      <c r="O6" s="8"/>
      <c r="P6" s="8"/>
      <c r="Q6" s="8"/>
      <c r="R6" s="10"/>
      <c r="S6" s="8"/>
      <c r="T6" s="8"/>
      <c r="U6" s="8"/>
      <c r="V6" s="8"/>
      <c r="W6" s="10"/>
      <c r="X6" s="8"/>
    </row>
    <row r="7" spans="1:24">
      <c r="A7" s="8"/>
      <c r="B7" s="8"/>
      <c r="C7" s="8"/>
      <c r="D7" s="8"/>
      <c r="E7" s="8"/>
      <c r="F7" s="8"/>
      <c r="G7" s="13"/>
      <c r="H7" s="13"/>
      <c r="I7" s="13"/>
      <c r="J7" s="15"/>
      <c r="K7" s="15"/>
      <c r="L7" s="15"/>
      <c r="M7" s="15"/>
      <c r="N7" s="15"/>
      <c r="O7" s="8"/>
      <c r="P7" s="8"/>
      <c r="Q7" s="8"/>
      <c r="R7" s="10"/>
      <c r="S7" s="8"/>
      <c r="T7" s="8"/>
      <c r="U7" s="8"/>
      <c r="V7" s="8"/>
      <c r="W7" s="10"/>
      <c r="X7" s="8"/>
    </row>
    <row r="8" spans="1:24">
      <c r="A8" s="8"/>
      <c r="B8" s="8"/>
      <c r="C8" s="8"/>
      <c r="D8" s="8"/>
      <c r="E8" s="8"/>
      <c r="F8" s="8"/>
      <c r="G8" s="13"/>
      <c r="H8" s="13"/>
      <c r="I8" s="13"/>
      <c r="J8" s="15"/>
      <c r="K8" s="15"/>
      <c r="L8" s="15"/>
      <c r="M8" s="15"/>
      <c r="N8" s="15"/>
      <c r="O8" s="8"/>
      <c r="P8" s="8"/>
      <c r="Q8" s="8"/>
      <c r="R8" s="10"/>
      <c r="S8" s="8"/>
      <c r="T8" s="8"/>
      <c r="U8" s="8"/>
      <c r="V8" s="8"/>
      <c r="W8" s="10"/>
      <c r="X8" s="8"/>
    </row>
    <row r="9" spans="1:24">
      <c r="A9" s="8"/>
      <c r="B9" s="8"/>
      <c r="C9" s="8"/>
      <c r="D9" s="8"/>
      <c r="E9" s="8"/>
      <c r="F9" s="8"/>
      <c r="G9" s="13"/>
      <c r="H9" s="13"/>
      <c r="I9" s="13"/>
      <c r="J9" s="15"/>
      <c r="K9" s="15"/>
      <c r="L9" s="15"/>
      <c r="M9" s="15"/>
      <c r="N9" s="15"/>
      <c r="O9" s="8"/>
      <c r="P9" s="8"/>
      <c r="Q9" s="8"/>
      <c r="R9" s="10"/>
      <c r="S9" s="8"/>
      <c r="T9" s="8"/>
      <c r="U9" s="8"/>
      <c r="V9" s="8"/>
      <c r="W9" s="10"/>
      <c r="X9" s="8"/>
    </row>
    <row r="10" spans="1:24">
      <c r="A10" s="8"/>
      <c r="B10" s="8"/>
      <c r="C10" s="8"/>
      <c r="D10" s="8"/>
      <c r="E10" s="8"/>
      <c r="F10" s="8"/>
      <c r="G10" s="13"/>
      <c r="H10" s="13"/>
      <c r="I10" s="13"/>
      <c r="J10" s="15"/>
      <c r="K10" s="15"/>
      <c r="L10" s="15"/>
      <c r="M10" s="15"/>
      <c r="N10" s="15"/>
      <c r="O10" s="8"/>
      <c r="P10" s="8"/>
      <c r="Q10" s="8"/>
      <c r="R10" s="10"/>
      <c r="S10" s="8"/>
      <c r="T10" s="8"/>
      <c r="U10" s="8"/>
      <c r="V10" s="8"/>
      <c r="W10" s="10"/>
      <c r="X10" s="8"/>
    </row>
    <row r="11" spans="1:24">
      <c r="A11" s="8"/>
      <c r="B11" s="8"/>
      <c r="C11" s="8"/>
      <c r="D11" s="8"/>
      <c r="E11" s="8"/>
      <c r="F11" s="8"/>
      <c r="G11" s="13"/>
      <c r="H11" s="13"/>
      <c r="I11" s="13"/>
      <c r="J11" s="15"/>
      <c r="K11" s="15"/>
      <c r="L11" s="15"/>
      <c r="M11" s="15"/>
      <c r="N11" s="15"/>
      <c r="O11" s="8"/>
      <c r="P11" s="8"/>
      <c r="Q11" s="8"/>
      <c r="R11" s="10"/>
      <c r="S11" s="8"/>
      <c r="T11" s="8"/>
      <c r="U11" s="8"/>
      <c r="V11" s="8"/>
      <c r="W11" s="10"/>
      <c r="X11" s="8"/>
    </row>
    <row r="12" spans="1:24">
      <c r="A12" s="8"/>
      <c r="B12" s="8"/>
      <c r="C12" s="8"/>
      <c r="D12" s="8"/>
      <c r="E12" s="8"/>
      <c r="F12" s="8"/>
      <c r="G12" s="13"/>
      <c r="H12" s="13"/>
      <c r="I12" s="13"/>
      <c r="J12" s="15"/>
      <c r="K12" s="15"/>
      <c r="L12" s="15"/>
      <c r="M12" s="15"/>
      <c r="N12" s="15"/>
      <c r="O12" s="8"/>
      <c r="P12" s="8"/>
      <c r="Q12" s="8"/>
      <c r="R12" s="10"/>
      <c r="S12" s="8"/>
      <c r="T12" s="8"/>
      <c r="U12" s="8"/>
      <c r="V12" s="8"/>
      <c r="W12" s="10"/>
      <c r="X12" s="8"/>
    </row>
    <row r="13" spans="1:24">
      <c r="A13" s="8"/>
      <c r="B13" s="8"/>
      <c r="C13" s="8"/>
      <c r="D13" s="8"/>
      <c r="E13" s="8"/>
      <c r="F13" s="8"/>
      <c r="G13" s="13"/>
      <c r="H13" s="13"/>
      <c r="I13" s="13"/>
      <c r="J13" s="15"/>
      <c r="K13" s="15"/>
      <c r="L13" s="15"/>
      <c r="M13" s="15"/>
      <c r="N13" s="15"/>
      <c r="O13" s="8"/>
      <c r="P13" s="8"/>
      <c r="Q13" s="8"/>
      <c r="R13" s="10"/>
      <c r="S13" s="8"/>
      <c r="T13" s="8"/>
      <c r="U13" s="8"/>
      <c r="V13" s="8"/>
      <c r="W13" s="10"/>
      <c r="X13" s="8"/>
    </row>
    <row r="14" spans="1:24">
      <c r="A14" s="8"/>
      <c r="B14" s="8"/>
      <c r="C14" s="8"/>
      <c r="D14" s="8"/>
      <c r="E14" s="8"/>
      <c r="F14" s="8"/>
      <c r="G14" s="13"/>
      <c r="H14" s="13"/>
      <c r="I14" s="13"/>
      <c r="J14" s="15"/>
      <c r="K14" s="15"/>
      <c r="L14" s="15"/>
      <c r="M14" s="15"/>
      <c r="N14" s="15"/>
      <c r="O14" s="8"/>
      <c r="P14" s="8"/>
      <c r="Q14" s="8"/>
      <c r="R14" s="10"/>
      <c r="S14" s="8"/>
      <c r="T14" s="8"/>
      <c r="U14" s="8"/>
      <c r="V14" s="8"/>
      <c r="W14" s="10"/>
      <c r="X14" s="8"/>
    </row>
    <row r="15" spans="1:24">
      <c r="A15" s="8"/>
      <c r="B15" s="8"/>
      <c r="C15" s="8"/>
      <c r="D15" s="8"/>
      <c r="E15" s="8"/>
      <c r="F15" s="8"/>
      <c r="G15" s="13"/>
      <c r="H15" s="13"/>
      <c r="I15" s="13"/>
      <c r="J15" s="15"/>
      <c r="K15" s="15"/>
      <c r="L15" s="15"/>
      <c r="M15" s="15"/>
      <c r="N15" s="15"/>
      <c r="O15" s="8"/>
      <c r="P15" s="8"/>
      <c r="Q15" s="8"/>
      <c r="R15" s="10"/>
      <c r="S15" s="8"/>
      <c r="T15" s="8"/>
      <c r="U15" s="8"/>
      <c r="V15" s="8"/>
      <c r="W15" s="10"/>
      <c r="X15" s="8"/>
    </row>
    <row r="16" spans="1:24">
      <c r="A16" s="8"/>
      <c r="B16" s="8"/>
      <c r="C16" s="8"/>
      <c r="D16" s="8"/>
      <c r="E16" s="8"/>
      <c r="F16" s="8"/>
      <c r="G16" s="13"/>
      <c r="H16" s="13"/>
      <c r="I16" s="13"/>
      <c r="J16" s="15"/>
      <c r="K16" s="15"/>
      <c r="L16" s="15"/>
      <c r="M16" s="15"/>
      <c r="N16" s="15"/>
      <c r="O16" s="8"/>
      <c r="P16" s="8"/>
      <c r="Q16" s="8"/>
      <c r="R16" s="10"/>
      <c r="S16" s="8"/>
      <c r="T16" s="8"/>
      <c r="U16" s="8"/>
      <c r="V16" s="8"/>
      <c r="W16" s="10"/>
      <c r="X16" s="8"/>
    </row>
    <row r="17" spans="1:24">
      <c r="A17" s="8"/>
      <c r="B17" s="8"/>
      <c r="C17" s="8"/>
      <c r="D17" s="8"/>
      <c r="E17" s="8"/>
      <c r="F17" s="8"/>
      <c r="G17" s="13"/>
      <c r="H17" s="13"/>
      <c r="I17" s="13"/>
      <c r="J17" s="15"/>
      <c r="K17" s="15"/>
      <c r="L17" s="15"/>
      <c r="M17" s="15"/>
      <c r="N17" s="15"/>
      <c r="O17" s="8"/>
      <c r="P17" s="8"/>
      <c r="Q17" s="8"/>
      <c r="R17" s="10"/>
      <c r="S17" s="8"/>
      <c r="T17" s="8"/>
      <c r="U17" s="8"/>
      <c r="V17" s="8"/>
      <c r="W17" s="10"/>
      <c r="X17" s="8"/>
    </row>
    <row r="18" spans="1:24">
      <c r="A18" s="8"/>
      <c r="B18" s="8"/>
      <c r="C18" s="8"/>
      <c r="D18" s="8"/>
      <c r="E18" s="8"/>
      <c r="F18" s="8"/>
      <c r="G18" s="13"/>
      <c r="H18" s="13"/>
      <c r="I18" s="13"/>
      <c r="J18" s="15"/>
      <c r="K18" s="15"/>
      <c r="L18" s="15"/>
      <c r="M18" s="15"/>
      <c r="N18" s="15"/>
      <c r="O18" s="8"/>
      <c r="P18" s="8"/>
      <c r="Q18" s="8"/>
      <c r="R18" s="10"/>
      <c r="S18" s="8"/>
      <c r="T18" s="8"/>
      <c r="U18" s="8"/>
      <c r="V18" s="8"/>
      <c r="W18" s="10"/>
      <c r="X18" s="8"/>
    </row>
    <row r="19" spans="1:24">
      <c r="A19" s="8"/>
      <c r="B19" s="8"/>
      <c r="C19" s="8"/>
      <c r="D19" s="8"/>
      <c r="E19" s="8"/>
      <c r="F19" s="8"/>
      <c r="G19" s="13"/>
      <c r="H19" s="13"/>
      <c r="I19" s="13"/>
      <c r="J19" s="15"/>
      <c r="K19" s="15"/>
      <c r="L19" s="15"/>
      <c r="M19" s="15"/>
      <c r="N19" s="15"/>
      <c r="O19" s="8"/>
      <c r="P19" s="8"/>
      <c r="Q19" s="8"/>
      <c r="R19" s="10"/>
      <c r="S19" s="8"/>
      <c r="T19" s="8"/>
      <c r="U19" s="8"/>
      <c r="V19" s="8"/>
      <c r="W19" s="10"/>
      <c r="X19" s="8"/>
    </row>
    <row r="20" spans="1:24">
      <c r="A20" s="8"/>
      <c r="B20" s="8"/>
      <c r="C20" s="8"/>
      <c r="D20" s="8"/>
      <c r="E20" s="8"/>
      <c r="F20" s="8"/>
      <c r="G20" s="13"/>
      <c r="H20" s="13"/>
      <c r="I20" s="13"/>
      <c r="J20" s="15"/>
      <c r="K20" s="15"/>
      <c r="L20" s="15"/>
      <c r="M20" s="15"/>
      <c r="N20" s="15"/>
      <c r="O20" s="8"/>
      <c r="P20" s="8"/>
      <c r="Q20" s="8"/>
      <c r="R20" s="10"/>
      <c r="S20" s="8"/>
      <c r="T20" s="8"/>
      <c r="U20" s="8"/>
      <c r="V20" s="8"/>
      <c r="W20" s="10"/>
      <c r="X20" s="8"/>
    </row>
    <row r="21" spans="1:24">
      <c r="A21" s="8"/>
      <c r="B21" s="8"/>
      <c r="C21" s="8"/>
      <c r="D21" s="8"/>
      <c r="E21" s="8"/>
      <c r="F21" s="8"/>
      <c r="G21" s="13"/>
      <c r="H21" s="13"/>
      <c r="I21" s="13"/>
      <c r="J21" s="15"/>
      <c r="K21" s="15"/>
      <c r="L21" s="15"/>
      <c r="M21" s="15"/>
      <c r="N21" s="15"/>
      <c r="O21" s="8"/>
      <c r="P21" s="8"/>
      <c r="Q21" s="8"/>
      <c r="R21" s="10"/>
      <c r="S21" s="8"/>
      <c r="T21" s="8"/>
      <c r="U21" s="8"/>
      <c r="V21" s="8"/>
      <c r="W21" s="10"/>
      <c r="X21" s="8"/>
    </row>
    <row r="22" spans="1:24">
      <c r="A22" s="8"/>
      <c r="B22" s="8"/>
      <c r="C22" s="8"/>
      <c r="D22" s="8"/>
      <c r="E22" s="8"/>
      <c r="F22" s="8"/>
      <c r="G22" s="13"/>
      <c r="H22" s="13"/>
      <c r="I22" s="13"/>
      <c r="J22" s="15"/>
      <c r="K22" s="15"/>
      <c r="L22" s="15"/>
      <c r="M22" s="15"/>
      <c r="N22" s="15"/>
      <c r="O22" s="8"/>
      <c r="P22" s="8"/>
      <c r="Q22" s="8"/>
      <c r="R22" s="10"/>
      <c r="S22" s="8"/>
      <c r="T22" s="8"/>
      <c r="U22" s="8"/>
      <c r="V22" s="8"/>
      <c r="W22" s="10"/>
      <c r="X22" s="8"/>
    </row>
    <row r="23" spans="1:24">
      <c r="A23" s="8"/>
      <c r="B23" s="8"/>
      <c r="C23" s="8"/>
      <c r="D23" s="8"/>
      <c r="E23" s="8"/>
      <c r="F23" s="8"/>
      <c r="G23" s="13"/>
      <c r="H23" s="13"/>
      <c r="I23" s="13"/>
      <c r="J23" s="15"/>
      <c r="K23" s="15"/>
      <c r="L23" s="15"/>
      <c r="M23" s="15"/>
      <c r="N23" s="15"/>
      <c r="O23" s="8"/>
      <c r="P23" s="8"/>
      <c r="Q23" s="8"/>
      <c r="R23" s="10"/>
      <c r="S23" s="8"/>
      <c r="T23" s="8"/>
      <c r="U23" s="8"/>
      <c r="V23" s="8"/>
      <c r="W23" s="10"/>
      <c r="X23" s="8"/>
    </row>
    <row r="24" spans="1:24">
      <c r="A24" s="8"/>
      <c r="B24" s="8"/>
      <c r="C24" s="8"/>
      <c r="D24" s="8"/>
      <c r="E24" s="8"/>
      <c r="F24" s="8"/>
      <c r="G24" s="13"/>
      <c r="H24" s="13"/>
      <c r="I24" s="13"/>
      <c r="J24" s="15"/>
      <c r="K24" s="15"/>
      <c r="L24" s="15"/>
      <c r="M24" s="15"/>
      <c r="N24" s="15"/>
      <c r="O24" s="8"/>
      <c r="P24" s="8"/>
      <c r="Q24" s="8"/>
      <c r="R24" s="10"/>
      <c r="S24" s="8"/>
      <c r="T24" s="8"/>
      <c r="U24" s="8"/>
      <c r="V24" s="8"/>
      <c r="W24" s="10"/>
      <c r="X24" s="8"/>
    </row>
    <row r="25" spans="1:24">
      <c r="A25" s="8"/>
      <c r="B25" s="8"/>
      <c r="C25" s="8"/>
      <c r="D25" s="8"/>
      <c r="E25" s="8"/>
      <c r="F25" s="8"/>
      <c r="G25" s="13"/>
      <c r="H25" s="13"/>
      <c r="I25" s="13"/>
      <c r="J25" s="15"/>
      <c r="K25" s="15"/>
      <c r="L25" s="15"/>
      <c r="M25" s="15"/>
      <c r="N25" s="15"/>
      <c r="O25" s="8"/>
      <c r="P25" s="8"/>
      <c r="Q25" s="8"/>
      <c r="R25" s="10"/>
      <c r="S25" s="8"/>
      <c r="T25" s="8"/>
      <c r="U25" s="8"/>
      <c r="V25" s="8"/>
      <c r="W25" s="10"/>
      <c r="X25" s="8"/>
    </row>
    <row r="26" spans="1:24">
      <c r="A26" s="8"/>
      <c r="B26" s="8"/>
      <c r="C26" s="8"/>
      <c r="D26" s="8"/>
      <c r="E26" s="8"/>
      <c r="F26" s="8"/>
      <c r="G26" s="13"/>
      <c r="H26" s="13"/>
      <c r="I26" s="13"/>
      <c r="J26" s="15"/>
      <c r="K26" s="15"/>
      <c r="L26" s="15"/>
      <c r="M26" s="15"/>
      <c r="N26" s="15"/>
      <c r="O26" s="8"/>
      <c r="P26" s="8"/>
      <c r="Q26" s="8"/>
      <c r="R26" s="10"/>
      <c r="S26" s="8"/>
      <c r="T26" s="8"/>
      <c r="U26" s="8"/>
      <c r="V26" s="8"/>
      <c r="W26" s="10"/>
      <c r="X26" s="8"/>
    </row>
    <row r="27" spans="1:24">
      <c r="A27" s="8"/>
      <c r="B27" s="8"/>
      <c r="C27" s="8"/>
      <c r="D27" s="8"/>
      <c r="E27" s="8"/>
      <c r="F27" s="8"/>
      <c r="G27" s="13"/>
      <c r="H27" s="13"/>
      <c r="I27" s="13"/>
      <c r="J27" s="15"/>
      <c r="K27" s="15"/>
      <c r="L27" s="15"/>
      <c r="M27" s="15"/>
      <c r="N27" s="15"/>
      <c r="O27" s="8"/>
      <c r="P27" s="8"/>
      <c r="Q27" s="8"/>
      <c r="R27" s="10"/>
      <c r="S27" s="8"/>
      <c r="T27" s="8"/>
      <c r="U27" s="8"/>
      <c r="V27" s="8"/>
      <c r="W27" s="10"/>
      <c r="X27" s="8"/>
    </row>
    <row r="28" spans="1:24">
      <c r="A28" s="8"/>
      <c r="B28" s="8"/>
      <c r="C28" s="8"/>
      <c r="D28" s="8"/>
      <c r="E28" s="8"/>
      <c r="F28" s="8"/>
      <c r="G28" s="13"/>
      <c r="H28" s="13"/>
      <c r="I28" s="13"/>
      <c r="J28" s="15"/>
      <c r="K28" s="15"/>
      <c r="L28" s="15"/>
      <c r="M28" s="15"/>
      <c r="N28" s="15"/>
      <c r="O28" s="8"/>
      <c r="P28" s="8"/>
      <c r="Q28" s="8"/>
      <c r="R28" s="10"/>
      <c r="S28" s="8"/>
      <c r="T28" s="8"/>
      <c r="U28" s="8"/>
      <c r="V28" s="8"/>
      <c r="W28" s="10"/>
      <c r="X28" s="8"/>
    </row>
    <row r="29" spans="1:24">
      <c r="A29" s="8"/>
      <c r="B29" s="8"/>
      <c r="C29" s="8"/>
      <c r="D29" s="8"/>
      <c r="E29" s="8"/>
      <c r="F29" s="8"/>
      <c r="G29" s="13"/>
      <c r="H29" s="13"/>
      <c r="I29" s="13"/>
      <c r="J29" s="15"/>
      <c r="K29" s="15"/>
      <c r="L29" s="15"/>
      <c r="M29" s="15"/>
      <c r="N29" s="15"/>
      <c r="O29" s="8"/>
      <c r="P29" s="8"/>
      <c r="Q29" s="8"/>
      <c r="R29" s="10"/>
      <c r="S29" s="8"/>
      <c r="T29" s="8"/>
      <c r="U29" s="8"/>
      <c r="V29" s="8"/>
      <c r="W29" s="10"/>
      <c r="X29" s="8"/>
    </row>
    <row r="30" spans="1:24">
      <c r="A30" s="8"/>
      <c r="B30" s="8"/>
      <c r="C30" s="8"/>
      <c r="D30" s="8"/>
      <c r="E30" s="8"/>
      <c r="F30" s="8"/>
      <c r="G30" s="13"/>
      <c r="H30" s="13"/>
      <c r="I30" s="13"/>
      <c r="J30" s="15"/>
      <c r="K30" s="15"/>
      <c r="L30" s="15"/>
      <c r="M30" s="15"/>
      <c r="N30" s="15"/>
      <c r="O30" s="8"/>
      <c r="P30" s="8"/>
      <c r="Q30" s="8"/>
      <c r="R30" s="10"/>
      <c r="S30" s="8"/>
      <c r="T30" s="8"/>
      <c r="U30" s="8"/>
      <c r="V30" s="8"/>
      <c r="W30" s="10"/>
      <c r="X30" s="8"/>
    </row>
    <row r="31" spans="1:24">
      <c r="A31" s="8"/>
      <c r="B31" s="8"/>
      <c r="C31" s="8"/>
      <c r="D31" s="8"/>
      <c r="E31" s="8"/>
      <c r="F31" s="8"/>
      <c r="G31" s="13"/>
      <c r="H31" s="13"/>
      <c r="I31" s="13"/>
      <c r="J31" s="15"/>
      <c r="K31" s="15"/>
      <c r="L31" s="15"/>
      <c r="M31" s="15"/>
      <c r="N31" s="15"/>
      <c r="O31" s="8"/>
      <c r="P31" s="8"/>
      <c r="Q31" s="8"/>
      <c r="R31" s="10"/>
      <c r="S31" s="8"/>
      <c r="T31" s="8"/>
      <c r="U31" s="8"/>
      <c r="V31" s="8"/>
      <c r="W31" s="10"/>
      <c r="X31" s="8"/>
    </row>
    <row r="32" spans="1:24">
      <c r="A32" s="8"/>
      <c r="B32" s="8"/>
      <c r="C32" s="8"/>
      <c r="D32" s="8"/>
      <c r="E32" s="8"/>
      <c r="F32" s="8"/>
      <c r="G32" s="13"/>
      <c r="H32" s="13"/>
      <c r="I32" s="13"/>
      <c r="J32" s="15"/>
      <c r="K32" s="15"/>
      <c r="L32" s="15"/>
      <c r="M32" s="15"/>
      <c r="N32" s="15"/>
      <c r="O32" s="8"/>
      <c r="P32" s="8"/>
      <c r="Q32" s="8"/>
      <c r="R32" s="10"/>
      <c r="S32" s="8"/>
      <c r="T32" s="8"/>
      <c r="U32" s="8"/>
      <c r="V32" s="8"/>
      <c r="W32" s="10"/>
      <c r="X32" s="8"/>
    </row>
    <row r="33" spans="1:24">
      <c r="A33" s="8"/>
      <c r="B33" s="8"/>
      <c r="C33" s="8"/>
      <c r="D33" s="8"/>
      <c r="E33" s="8"/>
      <c r="F33" s="8"/>
      <c r="G33" s="13"/>
      <c r="H33" s="13"/>
      <c r="I33" s="13"/>
      <c r="J33" s="15"/>
      <c r="K33" s="15"/>
      <c r="L33" s="15"/>
      <c r="M33" s="15"/>
      <c r="N33" s="15"/>
      <c r="O33" s="8"/>
      <c r="P33" s="8"/>
      <c r="Q33" s="8"/>
      <c r="R33" s="10"/>
      <c r="S33" s="8"/>
      <c r="T33" s="8"/>
      <c r="U33" s="8"/>
      <c r="V33" s="8"/>
      <c r="W33" s="10"/>
      <c r="X33" s="8"/>
    </row>
    <row r="34" spans="1:24">
      <c r="A34" s="8"/>
      <c r="B34" s="8"/>
      <c r="C34" s="8"/>
      <c r="D34" s="8"/>
      <c r="E34" s="8"/>
      <c r="F34" s="8"/>
      <c r="G34" s="13"/>
      <c r="H34" s="13"/>
      <c r="I34" s="13"/>
      <c r="J34" s="15"/>
      <c r="K34" s="15"/>
      <c r="L34" s="15"/>
      <c r="M34" s="15"/>
      <c r="N34" s="15"/>
      <c r="O34" s="8"/>
      <c r="P34" s="8"/>
      <c r="Q34" s="8"/>
      <c r="R34" s="10"/>
      <c r="S34" s="8"/>
      <c r="T34" s="8"/>
      <c r="U34" s="8"/>
      <c r="V34" s="8"/>
      <c r="W34" s="10"/>
      <c r="X34" s="8"/>
    </row>
    <row r="35" spans="1:24">
      <c r="A35" s="8"/>
      <c r="B35" s="8"/>
      <c r="C35" s="8"/>
      <c r="D35" s="8"/>
      <c r="E35" s="8"/>
      <c r="F35" s="8"/>
      <c r="G35" s="13"/>
      <c r="H35" s="13"/>
      <c r="I35" s="13"/>
      <c r="J35" s="15"/>
      <c r="K35" s="15"/>
      <c r="L35" s="15"/>
      <c r="M35" s="15"/>
      <c r="N35" s="15"/>
      <c r="O35" s="8"/>
      <c r="P35" s="8"/>
      <c r="Q35" s="8"/>
      <c r="R35" s="10"/>
      <c r="S35" s="8"/>
      <c r="T35" s="8"/>
      <c r="U35" s="8"/>
      <c r="V35" s="8"/>
      <c r="W35" s="10"/>
      <c r="X35" s="8"/>
    </row>
    <row r="36" spans="1:24">
      <c r="A36" s="8"/>
      <c r="B36" s="8"/>
      <c r="C36" s="8"/>
      <c r="D36" s="8"/>
      <c r="E36" s="8"/>
      <c r="F36" s="8"/>
      <c r="G36" s="13"/>
      <c r="H36" s="13"/>
      <c r="I36" s="13"/>
      <c r="J36" s="15"/>
      <c r="K36" s="15"/>
      <c r="L36" s="15"/>
      <c r="M36" s="15"/>
      <c r="N36" s="15"/>
      <c r="O36" s="8"/>
      <c r="P36" s="8"/>
      <c r="Q36" s="8"/>
      <c r="R36" s="10"/>
      <c r="S36" s="8"/>
      <c r="T36" s="8"/>
      <c r="U36" s="8"/>
      <c r="V36" s="8"/>
      <c r="W36" s="10"/>
      <c r="X36" s="8"/>
    </row>
    <row r="37" spans="1:24">
      <c r="A37" s="8"/>
      <c r="B37" s="8"/>
      <c r="C37" s="8"/>
      <c r="D37" s="8"/>
      <c r="E37" s="8"/>
      <c r="F37" s="8"/>
      <c r="G37" s="13"/>
      <c r="H37" s="13"/>
      <c r="I37" s="13"/>
      <c r="J37" s="15"/>
      <c r="K37" s="15"/>
      <c r="L37" s="15"/>
      <c r="M37" s="15"/>
      <c r="N37" s="15"/>
      <c r="O37" s="8"/>
      <c r="P37" s="8"/>
      <c r="Q37" s="8"/>
      <c r="R37" s="10"/>
      <c r="S37" s="8"/>
      <c r="T37" s="8"/>
      <c r="U37" s="8"/>
      <c r="V37" s="8"/>
      <c r="W37" s="10"/>
      <c r="X37" s="8"/>
    </row>
    <row r="38" spans="1:24">
      <c r="A38" s="8"/>
      <c r="B38" s="8"/>
      <c r="C38" s="8"/>
      <c r="D38" s="8"/>
      <c r="E38" s="8"/>
      <c r="F38" s="8"/>
      <c r="G38" s="13"/>
      <c r="H38" s="13"/>
      <c r="I38" s="13"/>
      <c r="J38" s="15"/>
      <c r="K38" s="15"/>
      <c r="L38" s="15"/>
      <c r="M38" s="15"/>
      <c r="N38" s="15"/>
      <c r="O38" s="8"/>
      <c r="P38" s="8"/>
      <c r="Q38" s="8"/>
      <c r="R38" s="10"/>
      <c r="S38" s="8"/>
      <c r="T38" s="8"/>
      <c r="U38" s="8"/>
      <c r="V38" s="8"/>
      <c r="W38" s="10"/>
      <c r="X38" s="8"/>
    </row>
    <row r="39" spans="1:24">
      <c r="A39" s="8"/>
      <c r="B39" s="8"/>
      <c r="C39" s="8"/>
      <c r="D39" s="8"/>
      <c r="E39" s="8"/>
      <c r="F39" s="8"/>
      <c r="G39" s="13"/>
      <c r="H39" s="13"/>
      <c r="I39" s="13"/>
      <c r="J39" s="15"/>
      <c r="K39" s="15"/>
      <c r="L39" s="15"/>
      <c r="M39" s="15"/>
      <c r="N39" s="15"/>
      <c r="O39" s="8"/>
      <c r="P39" s="8"/>
      <c r="Q39" s="8"/>
      <c r="R39" s="10"/>
      <c r="S39" s="8"/>
      <c r="T39" s="8"/>
      <c r="U39" s="8"/>
      <c r="V39" s="8"/>
      <c r="W39" s="10"/>
      <c r="X39" s="8"/>
    </row>
    <row r="40" spans="1:24">
      <c r="A40" s="8"/>
      <c r="B40" s="8"/>
      <c r="C40" s="8"/>
      <c r="D40" s="8"/>
      <c r="E40" s="8"/>
      <c r="F40" s="8"/>
      <c r="G40" s="13"/>
      <c r="H40" s="13"/>
      <c r="I40" s="13"/>
      <c r="J40" s="15"/>
      <c r="K40" s="15"/>
      <c r="L40" s="15"/>
      <c r="M40" s="15"/>
      <c r="N40" s="15"/>
      <c r="O40" s="8"/>
      <c r="P40" s="8"/>
      <c r="Q40" s="8"/>
      <c r="R40" s="10"/>
      <c r="S40" s="8"/>
      <c r="T40" s="8"/>
      <c r="U40" s="8"/>
      <c r="V40" s="8"/>
      <c r="W40" s="10"/>
      <c r="X40" s="8"/>
    </row>
    <row r="41" spans="1:24">
      <c r="A41" s="8"/>
      <c r="B41" s="8"/>
      <c r="C41" s="8"/>
      <c r="D41" s="8"/>
      <c r="E41" s="8"/>
      <c r="F41" s="8"/>
      <c r="G41" s="13"/>
      <c r="H41" s="13"/>
      <c r="I41" s="13"/>
      <c r="J41" s="15"/>
      <c r="K41" s="15"/>
      <c r="L41" s="15"/>
      <c r="M41" s="15"/>
      <c r="N41" s="15"/>
      <c r="O41" s="8"/>
      <c r="P41" s="8"/>
      <c r="Q41" s="8"/>
      <c r="R41" s="10"/>
      <c r="S41" s="8"/>
      <c r="T41" s="8"/>
      <c r="U41" s="8"/>
      <c r="V41" s="8"/>
      <c r="W41" s="10"/>
      <c r="X41" s="8"/>
    </row>
    <row r="42" spans="1:24">
      <c r="A42" s="8"/>
      <c r="B42" s="8"/>
      <c r="C42" s="8"/>
      <c r="D42" s="8"/>
      <c r="E42" s="8"/>
      <c r="F42" s="8"/>
      <c r="G42" s="13"/>
      <c r="H42" s="13"/>
      <c r="I42" s="13"/>
      <c r="J42" s="15"/>
      <c r="K42" s="15"/>
      <c r="L42" s="15"/>
      <c r="M42" s="15"/>
      <c r="N42" s="15"/>
      <c r="O42" s="8"/>
      <c r="P42" s="8"/>
      <c r="Q42" s="8"/>
      <c r="R42" s="10"/>
      <c r="S42" s="8"/>
      <c r="T42" s="8"/>
      <c r="U42" s="8"/>
      <c r="V42" s="8"/>
      <c r="W42" s="10"/>
      <c r="X42" s="8"/>
    </row>
    <row r="43" spans="1:24">
      <c r="A43" s="8"/>
      <c r="B43" s="8"/>
      <c r="C43" s="8"/>
      <c r="D43" s="8"/>
      <c r="E43" s="8"/>
      <c r="F43" s="8"/>
      <c r="G43" s="13"/>
      <c r="H43" s="13"/>
      <c r="I43" s="13"/>
      <c r="J43" s="15"/>
      <c r="K43" s="15"/>
      <c r="L43" s="15"/>
      <c r="M43" s="15"/>
      <c r="N43" s="15"/>
      <c r="O43" s="8"/>
      <c r="P43" s="8"/>
      <c r="Q43" s="8"/>
      <c r="R43" s="10"/>
      <c r="S43" s="8"/>
      <c r="T43" s="8"/>
      <c r="U43" s="8"/>
      <c r="V43" s="8"/>
      <c r="W43" s="10"/>
      <c r="X43" s="8"/>
    </row>
    <row r="44" spans="1:24">
      <c r="A44" s="8"/>
      <c r="B44" s="8"/>
      <c r="C44" s="8"/>
      <c r="D44" s="8"/>
      <c r="E44" s="8"/>
      <c r="F44" s="8"/>
      <c r="G44" s="13"/>
      <c r="H44" s="13"/>
      <c r="I44" s="13"/>
      <c r="J44" s="15"/>
      <c r="K44" s="15"/>
      <c r="L44" s="15"/>
      <c r="M44" s="15"/>
      <c r="N44" s="15"/>
      <c r="O44" s="8"/>
      <c r="P44" s="8"/>
      <c r="Q44" s="8"/>
      <c r="R44" s="10"/>
      <c r="S44" s="8"/>
      <c r="T44" s="8"/>
      <c r="U44" s="8"/>
      <c r="V44" s="8"/>
      <c r="W44" s="10"/>
      <c r="X44" s="8"/>
    </row>
    <row r="45" spans="1:24">
      <c r="A45" s="8"/>
      <c r="B45" s="8"/>
      <c r="C45" s="8"/>
      <c r="D45" s="8"/>
      <c r="E45" s="8"/>
      <c r="F45" s="8"/>
      <c r="G45" s="13"/>
      <c r="H45" s="13"/>
      <c r="I45" s="13"/>
      <c r="J45" s="15"/>
      <c r="K45" s="15"/>
      <c r="L45" s="15"/>
      <c r="M45" s="15"/>
      <c r="N45" s="15"/>
      <c r="O45" s="8"/>
      <c r="P45" s="8"/>
      <c r="Q45" s="8"/>
      <c r="R45" s="10"/>
      <c r="S45" s="8"/>
      <c r="T45" s="8"/>
      <c r="U45" s="8"/>
      <c r="V45" s="8"/>
      <c r="W45" s="10"/>
      <c r="X45" s="8"/>
    </row>
    <row r="46" spans="1:24">
      <c r="A46" s="8"/>
      <c r="B46" s="8"/>
      <c r="C46" s="8"/>
      <c r="D46" s="8"/>
      <c r="E46" s="8"/>
      <c r="F46" s="8"/>
      <c r="G46" s="13"/>
      <c r="H46" s="13"/>
      <c r="I46" s="13"/>
      <c r="J46" s="15"/>
      <c r="K46" s="15"/>
      <c r="L46" s="15"/>
      <c r="M46" s="15"/>
      <c r="N46" s="15"/>
      <c r="O46" s="8"/>
      <c r="P46" s="8"/>
      <c r="Q46" s="8"/>
      <c r="R46" s="10"/>
      <c r="S46" s="8"/>
      <c r="T46" s="8"/>
      <c r="U46" s="8"/>
      <c r="V46" s="8"/>
      <c r="W46" s="10"/>
      <c r="X46" s="8"/>
    </row>
    <row r="47" spans="1:24">
      <c r="A47" s="8"/>
      <c r="B47" s="8"/>
      <c r="C47" s="8"/>
      <c r="D47" s="8"/>
      <c r="E47" s="8"/>
      <c r="F47" s="8"/>
      <c r="G47" s="13"/>
      <c r="H47" s="13"/>
      <c r="I47" s="13"/>
      <c r="J47" s="15"/>
      <c r="K47" s="15"/>
      <c r="L47" s="15"/>
      <c r="M47" s="15"/>
      <c r="N47" s="15"/>
      <c r="O47" s="8"/>
      <c r="P47" s="8"/>
      <c r="Q47" s="8"/>
      <c r="R47" s="10"/>
      <c r="S47" s="8"/>
      <c r="T47" s="8"/>
      <c r="U47" s="8"/>
      <c r="V47" s="8"/>
      <c r="W47" s="10"/>
      <c r="X47" s="8"/>
    </row>
    <row r="48" spans="1:24">
      <c r="A48" s="8"/>
      <c r="B48" s="8"/>
      <c r="C48" s="8"/>
      <c r="D48" s="8"/>
      <c r="E48" s="8"/>
      <c r="F48" s="8"/>
      <c r="G48" s="13"/>
      <c r="H48" s="13"/>
      <c r="I48" s="13"/>
      <c r="J48" s="15"/>
      <c r="K48" s="15"/>
      <c r="L48" s="15"/>
      <c r="M48" s="15"/>
      <c r="N48" s="15"/>
      <c r="O48" s="8"/>
      <c r="P48" s="8"/>
      <c r="Q48" s="8"/>
      <c r="R48" s="10"/>
      <c r="S48" s="8"/>
      <c r="T48" s="8"/>
      <c r="U48" s="8"/>
      <c r="V48" s="8"/>
      <c r="W48" s="10"/>
      <c r="X48" s="8"/>
    </row>
    <row r="49" spans="1:24">
      <c r="A49" s="8"/>
      <c r="B49" s="8"/>
      <c r="C49" s="8"/>
      <c r="D49" s="8"/>
      <c r="E49" s="8"/>
      <c r="F49" s="8"/>
      <c r="G49" s="13"/>
      <c r="H49" s="13"/>
      <c r="I49" s="13"/>
      <c r="J49" s="15"/>
      <c r="K49" s="15"/>
      <c r="L49" s="15"/>
      <c r="M49" s="15"/>
      <c r="N49" s="15"/>
      <c r="O49" s="8"/>
      <c r="P49" s="8"/>
      <c r="Q49" s="8"/>
      <c r="R49" s="10"/>
      <c r="S49" s="8"/>
      <c r="T49" s="8"/>
      <c r="U49" s="8"/>
      <c r="V49" s="8"/>
      <c r="W49" s="10"/>
      <c r="X49" s="8"/>
    </row>
    <row r="50" spans="1:24">
      <c r="A50" s="8"/>
      <c r="B50" s="8"/>
      <c r="C50" s="8"/>
      <c r="D50" s="8"/>
      <c r="E50" s="8"/>
      <c r="F50" s="8"/>
      <c r="G50" s="13"/>
      <c r="H50" s="13"/>
      <c r="I50" s="13"/>
      <c r="J50" s="15"/>
      <c r="K50" s="15"/>
      <c r="L50" s="15"/>
      <c r="M50" s="15"/>
      <c r="N50" s="15"/>
      <c r="O50" s="8"/>
      <c r="P50" s="8"/>
      <c r="Q50" s="8"/>
      <c r="R50" s="10"/>
      <c r="S50" s="8"/>
      <c r="T50" s="8"/>
      <c r="U50" s="8"/>
      <c r="V50" s="8"/>
      <c r="W50" s="10"/>
      <c r="X50" s="8"/>
    </row>
    <row r="51" spans="1:24">
      <c r="A51" s="8"/>
      <c r="B51" s="8"/>
      <c r="C51" s="8"/>
      <c r="D51" s="8"/>
      <c r="E51" s="8"/>
      <c r="F51" s="8"/>
      <c r="G51" s="13"/>
      <c r="H51" s="13"/>
      <c r="I51" s="13"/>
      <c r="J51" s="15"/>
      <c r="K51" s="15"/>
      <c r="L51" s="15"/>
      <c r="M51" s="15"/>
      <c r="N51" s="15"/>
      <c r="O51" s="8"/>
      <c r="P51" s="8"/>
      <c r="Q51" s="8"/>
      <c r="R51" s="10"/>
      <c r="S51" s="8"/>
      <c r="T51" s="8"/>
      <c r="U51" s="8"/>
      <c r="V51" s="8"/>
      <c r="W51" s="10"/>
      <c r="X51" s="8"/>
    </row>
    <row r="52" spans="1:24">
      <c r="A52" s="8"/>
      <c r="B52" s="8"/>
      <c r="C52" s="8"/>
      <c r="D52" s="8"/>
      <c r="E52" s="8"/>
      <c r="F52" s="8"/>
      <c r="G52" s="13"/>
      <c r="H52" s="13"/>
      <c r="I52" s="13"/>
      <c r="J52" s="15"/>
      <c r="K52" s="15"/>
      <c r="L52" s="15"/>
      <c r="M52" s="15"/>
      <c r="N52" s="15"/>
      <c r="O52" s="8"/>
      <c r="P52" s="8"/>
      <c r="Q52" s="8"/>
      <c r="R52" s="10"/>
      <c r="S52" s="8"/>
      <c r="T52" s="8"/>
      <c r="U52" s="8"/>
      <c r="V52" s="8"/>
      <c r="W52" s="10"/>
      <c r="X52" s="8"/>
    </row>
    <row r="53" spans="1:24">
      <c r="A53" s="8"/>
      <c r="B53" s="8"/>
      <c r="C53" s="8"/>
      <c r="D53" s="8"/>
      <c r="E53" s="8"/>
      <c r="F53" s="8"/>
      <c r="G53" s="13"/>
      <c r="H53" s="13"/>
      <c r="I53" s="13"/>
      <c r="J53" s="15"/>
      <c r="K53" s="15"/>
      <c r="L53" s="15"/>
      <c r="M53" s="15"/>
      <c r="N53" s="15"/>
      <c r="O53" s="8"/>
      <c r="P53" s="8"/>
      <c r="Q53" s="8"/>
      <c r="R53" s="10"/>
      <c r="S53" s="8"/>
      <c r="T53" s="8"/>
      <c r="U53" s="8"/>
      <c r="V53" s="8"/>
      <c r="W53" s="10"/>
      <c r="X53" s="8"/>
    </row>
    <row r="54" spans="1:24">
      <c r="A54" s="8"/>
      <c r="B54" s="8"/>
      <c r="C54" s="8"/>
      <c r="D54" s="8"/>
      <c r="E54" s="8"/>
      <c r="F54" s="8"/>
      <c r="G54" s="13"/>
      <c r="H54" s="13"/>
      <c r="I54" s="13"/>
      <c r="J54" s="15"/>
      <c r="K54" s="15"/>
      <c r="L54" s="15"/>
      <c r="M54" s="15"/>
      <c r="N54" s="15"/>
      <c r="O54" s="8"/>
      <c r="P54" s="8"/>
      <c r="Q54" s="8"/>
      <c r="R54" s="10"/>
      <c r="S54" s="8"/>
      <c r="T54" s="8"/>
      <c r="U54" s="8"/>
      <c r="V54" s="8"/>
      <c r="W54" s="10"/>
      <c r="X54" s="8"/>
    </row>
    <row r="55" spans="1:24">
      <c r="A55" s="8"/>
      <c r="B55" s="8"/>
      <c r="C55" s="8"/>
      <c r="D55" s="8"/>
      <c r="E55" s="8"/>
      <c r="F55" s="8"/>
      <c r="G55" s="13"/>
      <c r="H55" s="13"/>
      <c r="I55" s="13"/>
      <c r="J55" s="15"/>
      <c r="K55" s="15"/>
      <c r="L55" s="15"/>
      <c r="M55" s="15"/>
      <c r="N55" s="15"/>
      <c r="O55" s="8"/>
      <c r="P55" s="8"/>
      <c r="Q55" s="8"/>
      <c r="R55" s="10"/>
      <c r="S55" s="8"/>
      <c r="T55" s="8"/>
      <c r="U55" s="8"/>
      <c r="V55" s="8"/>
      <c r="W55" s="10"/>
      <c r="X55" s="8"/>
    </row>
    <row r="56" spans="1:24">
      <c r="A56" s="8"/>
      <c r="B56" s="8"/>
      <c r="C56" s="8"/>
      <c r="D56" s="8"/>
      <c r="E56" s="8"/>
      <c r="F56" s="8"/>
      <c r="G56" s="13"/>
      <c r="H56" s="13"/>
      <c r="I56" s="13"/>
      <c r="J56" s="15"/>
      <c r="K56" s="15"/>
      <c r="L56" s="15"/>
      <c r="M56" s="15"/>
      <c r="N56" s="15"/>
      <c r="O56" s="8"/>
      <c r="P56" s="8"/>
      <c r="Q56" s="8"/>
      <c r="R56" s="10"/>
      <c r="S56" s="8"/>
      <c r="T56" s="8"/>
      <c r="U56" s="8"/>
      <c r="V56" s="8"/>
      <c r="W56" s="10"/>
      <c r="X56" s="8"/>
    </row>
    <row r="57" spans="1:24">
      <c r="A57" s="8"/>
      <c r="B57" s="8"/>
      <c r="C57" s="8"/>
      <c r="D57" s="8"/>
      <c r="E57" s="8"/>
      <c r="F57" s="8"/>
      <c r="G57" s="13"/>
      <c r="H57" s="13"/>
      <c r="I57" s="13"/>
      <c r="J57" s="15"/>
      <c r="K57" s="15"/>
      <c r="L57" s="15"/>
      <c r="M57" s="15"/>
      <c r="N57" s="15"/>
      <c r="O57" s="8"/>
      <c r="P57" s="8"/>
      <c r="Q57" s="8"/>
      <c r="R57" s="10"/>
      <c r="S57" s="8"/>
      <c r="T57" s="8"/>
      <c r="U57" s="8"/>
      <c r="V57" s="8"/>
      <c r="W57" s="10"/>
      <c r="X57" s="8"/>
    </row>
    <row r="58" spans="1:24">
      <c r="A58" s="8"/>
      <c r="B58" s="8"/>
      <c r="C58" s="8"/>
      <c r="D58" s="8"/>
      <c r="E58" s="8"/>
      <c r="F58" s="8"/>
      <c r="G58" s="13"/>
      <c r="H58" s="13"/>
      <c r="I58" s="13"/>
      <c r="J58" s="15"/>
      <c r="K58" s="15"/>
      <c r="L58" s="15"/>
      <c r="M58" s="15"/>
      <c r="N58" s="15"/>
      <c r="O58" s="8"/>
      <c r="P58" s="8"/>
      <c r="Q58" s="8"/>
      <c r="R58" s="10"/>
      <c r="S58" s="8"/>
      <c r="T58" s="8"/>
      <c r="U58" s="8"/>
      <c r="V58" s="8"/>
      <c r="W58" s="10"/>
      <c r="X58" s="8"/>
    </row>
    <row r="59" spans="1:24">
      <c r="A59" s="8"/>
      <c r="B59" s="8"/>
      <c r="C59" s="8"/>
      <c r="D59" s="8"/>
      <c r="E59" s="8"/>
      <c r="F59" s="8"/>
      <c r="G59" s="13"/>
      <c r="H59" s="13"/>
      <c r="I59" s="13"/>
      <c r="J59" s="15"/>
      <c r="K59" s="15"/>
      <c r="L59" s="15"/>
      <c r="M59" s="15"/>
      <c r="N59" s="15"/>
      <c r="O59" s="8"/>
      <c r="P59" s="8"/>
      <c r="Q59" s="8"/>
      <c r="R59" s="10"/>
      <c r="S59" s="8"/>
      <c r="T59" s="8"/>
      <c r="U59" s="8"/>
      <c r="V59" s="8"/>
      <c r="W59" s="10"/>
      <c r="X59" s="8"/>
    </row>
    <row r="60" spans="1:24">
      <c r="A60" s="8"/>
      <c r="B60" s="8"/>
      <c r="C60" s="8"/>
      <c r="D60" s="8"/>
      <c r="E60" s="8"/>
      <c r="F60" s="8"/>
      <c r="G60" s="13"/>
      <c r="H60" s="13"/>
      <c r="I60" s="13"/>
      <c r="J60" s="15"/>
      <c r="K60" s="15"/>
      <c r="L60" s="15"/>
      <c r="M60" s="15"/>
      <c r="N60" s="15"/>
      <c r="O60" s="8"/>
      <c r="P60" s="8"/>
      <c r="Q60" s="8"/>
      <c r="R60" s="10"/>
      <c r="S60" s="8"/>
      <c r="T60" s="8"/>
      <c r="U60" s="8"/>
      <c r="V60" s="8"/>
      <c r="W60" s="10"/>
      <c r="X60" s="8"/>
    </row>
    <row r="61" spans="1:24">
      <c r="A61" s="8"/>
      <c r="B61" s="8"/>
      <c r="C61" s="8"/>
      <c r="D61" s="8"/>
      <c r="E61" s="8"/>
      <c r="F61" s="8"/>
      <c r="G61" s="13"/>
      <c r="H61" s="13"/>
      <c r="I61" s="13"/>
      <c r="J61" s="15"/>
      <c r="K61" s="15"/>
      <c r="L61" s="15"/>
      <c r="M61" s="15"/>
      <c r="N61" s="15"/>
      <c r="O61" s="8"/>
      <c r="P61" s="8"/>
      <c r="Q61" s="8"/>
      <c r="R61" s="10"/>
      <c r="S61" s="8"/>
      <c r="T61" s="8"/>
      <c r="U61" s="8"/>
      <c r="V61" s="8"/>
      <c r="W61" s="10"/>
      <c r="X61" s="8"/>
    </row>
    <row r="62" spans="1:24">
      <c r="A62" s="8"/>
      <c r="B62" s="8"/>
      <c r="C62" s="8"/>
      <c r="D62" s="8"/>
      <c r="E62" s="8"/>
      <c r="F62" s="8"/>
      <c r="G62" s="13"/>
      <c r="H62" s="13"/>
      <c r="I62" s="13"/>
      <c r="J62" s="15"/>
      <c r="K62" s="15"/>
      <c r="L62" s="15"/>
      <c r="M62" s="15"/>
      <c r="N62" s="15"/>
      <c r="O62" s="8"/>
      <c r="P62" s="8"/>
      <c r="Q62" s="8"/>
      <c r="R62" s="10"/>
      <c r="S62" s="8"/>
      <c r="T62" s="8"/>
      <c r="U62" s="8"/>
      <c r="V62" s="8"/>
      <c r="W62" s="10"/>
      <c r="X62" s="8"/>
    </row>
    <row r="63" spans="1:24">
      <c r="A63" s="8"/>
      <c r="B63" s="8"/>
      <c r="C63" s="8"/>
      <c r="D63" s="8"/>
      <c r="E63" s="8"/>
      <c r="F63" s="8"/>
      <c r="G63" s="13"/>
      <c r="H63" s="13"/>
      <c r="I63" s="13"/>
      <c r="J63" s="15"/>
      <c r="K63" s="15"/>
      <c r="L63" s="15"/>
      <c r="M63" s="15"/>
      <c r="N63" s="15"/>
      <c r="O63" s="8"/>
      <c r="P63" s="8"/>
      <c r="Q63" s="8"/>
      <c r="R63" s="10"/>
      <c r="S63" s="8"/>
      <c r="T63" s="8"/>
      <c r="U63" s="8"/>
      <c r="V63" s="8"/>
      <c r="W63" s="10"/>
      <c r="X63" s="8"/>
    </row>
    <row r="64" spans="1:24">
      <c r="A64" s="8"/>
      <c r="B64" s="8"/>
      <c r="C64" s="8"/>
      <c r="D64" s="8"/>
      <c r="E64" s="8"/>
      <c r="F64" s="8"/>
      <c r="G64" s="13"/>
      <c r="H64" s="13"/>
      <c r="I64" s="13"/>
      <c r="J64" s="15"/>
      <c r="K64" s="15"/>
      <c r="L64" s="15"/>
      <c r="M64" s="15"/>
      <c r="N64" s="15"/>
      <c r="O64" s="8"/>
      <c r="P64" s="8"/>
      <c r="Q64" s="8"/>
      <c r="R64" s="10"/>
      <c r="S64" s="8"/>
      <c r="T64" s="8"/>
      <c r="U64" s="8"/>
      <c r="V64" s="8"/>
      <c r="W64" s="10"/>
      <c r="X64" s="8"/>
    </row>
    <row r="65" spans="1:24">
      <c r="A65" s="8"/>
      <c r="B65" s="8"/>
      <c r="C65" s="8"/>
      <c r="D65" s="8"/>
      <c r="E65" s="8"/>
      <c r="F65" s="8"/>
      <c r="G65" s="13"/>
      <c r="H65" s="13"/>
      <c r="I65" s="13"/>
      <c r="J65" s="15"/>
      <c r="K65" s="15"/>
      <c r="L65" s="15"/>
      <c r="M65" s="15"/>
      <c r="N65" s="15"/>
      <c r="O65" s="8"/>
      <c r="P65" s="8"/>
      <c r="Q65" s="8"/>
      <c r="R65" s="10"/>
      <c r="S65" s="8"/>
      <c r="T65" s="8"/>
      <c r="U65" s="8"/>
      <c r="V65" s="8"/>
      <c r="W65" s="10"/>
      <c r="X65" s="8"/>
    </row>
    <row r="66" spans="1:24">
      <c r="A66" s="8"/>
      <c r="B66" s="8"/>
      <c r="C66" s="8"/>
      <c r="D66" s="8"/>
      <c r="E66" s="8"/>
      <c r="F66" s="8"/>
      <c r="G66" s="13"/>
      <c r="H66" s="13"/>
      <c r="I66" s="13"/>
      <c r="J66" s="15"/>
      <c r="K66" s="15"/>
      <c r="L66" s="15"/>
      <c r="M66" s="15"/>
      <c r="N66" s="15"/>
      <c r="O66" s="8"/>
      <c r="P66" s="8"/>
      <c r="Q66" s="8"/>
      <c r="R66" s="10"/>
      <c r="S66" s="8"/>
      <c r="T66" s="8"/>
      <c r="U66" s="8"/>
      <c r="V66" s="8"/>
      <c r="W66" s="10"/>
      <c r="X66" s="8"/>
    </row>
    <row r="67" spans="1:24">
      <c r="A67" s="8"/>
      <c r="B67" s="8"/>
      <c r="C67" s="8"/>
      <c r="D67" s="8"/>
      <c r="E67" s="8"/>
      <c r="F67" s="8"/>
      <c r="G67" s="13"/>
      <c r="H67" s="13"/>
      <c r="I67" s="13"/>
      <c r="J67" s="15"/>
      <c r="K67" s="15"/>
      <c r="L67" s="15"/>
      <c r="M67" s="15"/>
      <c r="N67" s="15"/>
      <c r="O67" s="8"/>
      <c r="P67" s="8"/>
      <c r="Q67" s="8"/>
      <c r="R67" s="10"/>
      <c r="S67" s="8"/>
      <c r="T67" s="8"/>
      <c r="U67" s="8"/>
      <c r="V67" s="8"/>
      <c r="W67" s="10"/>
      <c r="X67" s="8"/>
    </row>
    <row r="68" spans="1:24">
      <c r="A68" s="8"/>
      <c r="B68" s="8"/>
      <c r="C68" s="8"/>
      <c r="D68" s="8"/>
      <c r="E68" s="8"/>
      <c r="F68" s="8"/>
      <c r="G68" s="13"/>
      <c r="H68" s="13"/>
      <c r="I68" s="13"/>
      <c r="J68" s="15"/>
      <c r="K68" s="15"/>
      <c r="L68" s="15"/>
      <c r="M68" s="15"/>
      <c r="N68" s="15"/>
      <c r="O68" s="8"/>
      <c r="P68" s="8"/>
      <c r="Q68" s="8"/>
      <c r="R68" s="10"/>
      <c r="S68" s="8"/>
      <c r="T68" s="8"/>
      <c r="U68" s="8"/>
      <c r="V68" s="8"/>
      <c r="W68" s="10"/>
      <c r="X68" s="8"/>
    </row>
    <row r="69" spans="1:24">
      <c r="A69" s="8"/>
      <c r="B69" s="8"/>
      <c r="C69" s="8"/>
      <c r="D69" s="8"/>
      <c r="E69" s="8"/>
      <c r="F69" s="8"/>
      <c r="G69" s="13"/>
      <c r="H69" s="13"/>
      <c r="I69" s="13"/>
      <c r="J69" s="15"/>
      <c r="K69" s="15"/>
      <c r="L69" s="15"/>
      <c r="M69" s="15"/>
      <c r="N69" s="15"/>
      <c r="O69" s="8"/>
      <c r="P69" s="8"/>
      <c r="Q69" s="8"/>
      <c r="R69" s="10"/>
      <c r="S69" s="8"/>
      <c r="T69" s="8"/>
      <c r="U69" s="8"/>
      <c r="V69" s="8"/>
      <c r="W69" s="10"/>
      <c r="X69" s="8"/>
    </row>
    <row r="70" spans="1:24">
      <c r="A70" s="8"/>
      <c r="B70" s="8"/>
      <c r="C70" s="8"/>
      <c r="D70" s="8"/>
      <c r="E70" s="8"/>
      <c r="F70" s="8"/>
      <c r="G70" s="13"/>
      <c r="H70" s="13"/>
      <c r="I70" s="13"/>
      <c r="J70" s="15"/>
      <c r="K70" s="15"/>
      <c r="L70" s="15"/>
      <c r="M70" s="15"/>
      <c r="N70" s="15"/>
      <c r="O70" s="8"/>
      <c r="P70" s="8"/>
      <c r="Q70" s="8"/>
      <c r="R70" s="10"/>
      <c r="S70" s="8"/>
      <c r="T70" s="8"/>
      <c r="U70" s="8"/>
      <c r="V70" s="8"/>
      <c r="W70" s="10"/>
      <c r="X70" s="8"/>
    </row>
    <row r="71" spans="1:24">
      <c r="A71" s="8"/>
      <c r="B71" s="8"/>
      <c r="C71" s="8"/>
      <c r="D71" s="8"/>
      <c r="E71" s="8"/>
      <c r="F71" s="8"/>
      <c r="G71" s="13"/>
      <c r="H71" s="13"/>
      <c r="I71" s="13"/>
      <c r="J71" s="15"/>
      <c r="K71" s="15"/>
      <c r="L71" s="15"/>
      <c r="M71" s="15"/>
      <c r="N71" s="15"/>
      <c r="O71" s="8"/>
      <c r="P71" s="8"/>
      <c r="Q71" s="8"/>
      <c r="R71" s="10"/>
      <c r="S71" s="8"/>
      <c r="T71" s="8"/>
      <c r="U71" s="8"/>
      <c r="V71" s="8"/>
      <c r="W71" s="10"/>
      <c r="X71" s="8"/>
    </row>
    <row r="72" spans="1:24">
      <c r="A72" s="8"/>
      <c r="B72" s="8"/>
      <c r="C72" s="8"/>
      <c r="D72" s="8"/>
      <c r="E72" s="8"/>
      <c r="F72" s="8"/>
      <c r="G72" s="13"/>
      <c r="H72" s="13"/>
      <c r="I72" s="13"/>
      <c r="J72" s="15"/>
      <c r="K72" s="15"/>
      <c r="L72" s="15"/>
      <c r="M72" s="15"/>
      <c r="N72" s="15"/>
      <c r="O72" s="8"/>
      <c r="P72" s="8"/>
      <c r="Q72" s="8"/>
      <c r="R72" s="10"/>
      <c r="S72" s="8"/>
      <c r="T72" s="8"/>
      <c r="U72" s="8"/>
      <c r="V72" s="8"/>
      <c r="W72" s="10"/>
      <c r="X72" s="8"/>
    </row>
    <row r="73" spans="1:24">
      <c r="A73" s="8"/>
      <c r="B73" s="8"/>
      <c r="C73" s="8"/>
      <c r="D73" s="8"/>
      <c r="E73" s="8"/>
      <c r="F73" s="8"/>
      <c r="G73" s="13"/>
      <c r="H73" s="13"/>
      <c r="I73" s="13"/>
      <c r="J73" s="15"/>
      <c r="K73" s="15"/>
      <c r="L73" s="15"/>
      <c r="M73" s="15"/>
      <c r="N73" s="15"/>
      <c r="O73" s="8"/>
      <c r="P73" s="8"/>
      <c r="Q73" s="8"/>
      <c r="R73" s="10"/>
      <c r="S73" s="8"/>
      <c r="T73" s="8"/>
      <c r="U73" s="8"/>
      <c r="V73" s="8"/>
      <c r="W73" s="10"/>
      <c r="X73" s="8"/>
    </row>
    <row r="74" spans="1:24">
      <c r="A74" s="8"/>
      <c r="B74" s="8"/>
      <c r="C74" s="8"/>
      <c r="D74" s="8"/>
      <c r="E74" s="8"/>
      <c r="F74" s="8"/>
      <c r="G74" s="13"/>
      <c r="H74" s="13"/>
      <c r="I74" s="13"/>
      <c r="J74" s="15"/>
      <c r="K74" s="15"/>
      <c r="L74" s="15"/>
      <c r="M74" s="15"/>
      <c r="N74" s="15"/>
      <c r="O74" s="8"/>
      <c r="P74" s="8"/>
      <c r="Q74" s="8"/>
      <c r="R74" s="10"/>
      <c r="S74" s="8"/>
      <c r="T74" s="8"/>
      <c r="U74" s="8"/>
      <c r="V74" s="8"/>
      <c r="W74" s="10"/>
      <c r="X74" s="8"/>
    </row>
    <row r="75" spans="1:24">
      <c r="A75" s="8"/>
      <c r="B75" s="8"/>
      <c r="C75" s="8"/>
      <c r="D75" s="8"/>
      <c r="E75" s="8"/>
      <c r="F75" s="8"/>
      <c r="G75" s="13"/>
      <c r="H75" s="13"/>
      <c r="I75" s="13"/>
      <c r="J75" s="15"/>
      <c r="K75" s="15"/>
      <c r="L75" s="15"/>
      <c r="M75" s="15"/>
      <c r="N75" s="15"/>
      <c r="O75" s="8"/>
      <c r="P75" s="8"/>
      <c r="Q75" s="8"/>
      <c r="R75" s="10"/>
      <c r="S75" s="8"/>
      <c r="T75" s="8"/>
      <c r="U75" s="8"/>
      <c r="V75" s="8"/>
      <c r="W75" s="10"/>
      <c r="X75" s="8"/>
    </row>
    <row r="76" spans="1:24">
      <c r="A76" s="8"/>
      <c r="B76" s="8"/>
      <c r="C76" s="8"/>
      <c r="D76" s="8"/>
      <c r="E76" s="8"/>
      <c r="F76" s="8"/>
      <c r="G76" s="13"/>
      <c r="H76" s="13"/>
      <c r="I76" s="13"/>
      <c r="J76" s="15"/>
      <c r="K76" s="15"/>
      <c r="L76" s="15"/>
      <c r="M76" s="15"/>
      <c r="N76" s="15"/>
      <c r="O76" s="8"/>
      <c r="P76" s="8"/>
      <c r="Q76" s="8"/>
      <c r="R76" s="10"/>
      <c r="S76" s="8"/>
      <c r="T76" s="8"/>
      <c r="U76" s="8"/>
      <c r="V76" s="8"/>
      <c r="W76" s="10"/>
      <c r="X76" s="8"/>
    </row>
    <row r="77" spans="1:24">
      <c r="A77" s="8"/>
      <c r="B77" s="8"/>
      <c r="C77" s="8"/>
      <c r="D77" s="8"/>
      <c r="E77" s="8"/>
      <c r="F77" s="8"/>
      <c r="G77" s="13"/>
      <c r="H77" s="13"/>
      <c r="I77" s="13"/>
      <c r="J77" s="15"/>
      <c r="K77" s="15"/>
      <c r="L77" s="15"/>
      <c r="M77" s="15"/>
      <c r="N77" s="15"/>
      <c r="O77" s="8"/>
      <c r="P77" s="8"/>
      <c r="Q77" s="8"/>
      <c r="R77" s="10"/>
      <c r="S77" s="8"/>
      <c r="T77" s="8"/>
      <c r="U77" s="8"/>
      <c r="V77" s="8"/>
      <c r="W77" s="10"/>
      <c r="X77" s="8"/>
    </row>
    <row r="78" spans="1:24">
      <c r="A78" s="8"/>
      <c r="B78" s="8"/>
      <c r="C78" s="8"/>
      <c r="D78" s="8"/>
      <c r="E78" s="8"/>
      <c r="F78" s="8"/>
      <c r="G78" s="13"/>
      <c r="H78" s="13"/>
      <c r="I78" s="13"/>
      <c r="J78" s="15"/>
      <c r="K78" s="15"/>
      <c r="L78" s="15"/>
      <c r="M78" s="15"/>
      <c r="N78" s="15"/>
      <c r="O78" s="8"/>
      <c r="P78" s="8"/>
      <c r="Q78" s="8"/>
      <c r="R78" s="10"/>
      <c r="S78" s="8"/>
      <c r="T78" s="8"/>
      <c r="U78" s="8"/>
      <c r="V78" s="8"/>
      <c r="W78" s="10"/>
      <c r="X78" s="8"/>
    </row>
    <row r="79" spans="1:24">
      <c r="A79" s="8"/>
      <c r="B79" s="8"/>
      <c r="C79" s="8"/>
      <c r="D79" s="8"/>
      <c r="E79" s="8"/>
      <c r="F79" s="8"/>
      <c r="G79" s="13"/>
      <c r="H79" s="13"/>
      <c r="I79" s="13"/>
      <c r="J79" s="15"/>
      <c r="K79" s="15"/>
      <c r="L79" s="15"/>
      <c r="M79" s="15"/>
      <c r="N79" s="15"/>
      <c r="O79" s="8"/>
      <c r="P79" s="8"/>
      <c r="Q79" s="8"/>
      <c r="R79" s="10"/>
      <c r="S79" s="8"/>
      <c r="T79" s="8"/>
      <c r="U79" s="8"/>
      <c r="V79" s="8"/>
      <c r="W79" s="10"/>
      <c r="X79" s="8"/>
    </row>
    <row r="80" spans="1:24">
      <c r="A80" s="8"/>
      <c r="B80" s="8"/>
      <c r="C80" s="8"/>
      <c r="D80" s="8"/>
      <c r="E80" s="8"/>
      <c r="F80" s="8"/>
      <c r="G80" s="13"/>
      <c r="H80" s="13"/>
      <c r="I80" s="13"/>
      <c r="J80" s="15"/>
      <c r="K80" s="15"/>
      <c r="L80" s="15"/>
      <c r="M80" s="15"/>
      <c r="N80" s="15"/>
      <c r="O80" s="8"/>
      <c r="P80" s="8"/>
      <c r="Q80" s="8"/>
      <c r="R80" s="10"/>
      <c r="S80" s="8"/>
      <c r="T80" s="8"/>
      <c r="U80" s="8"/>
      <c r="V80" s="8"/>
      <c r="W80" s="10"/>
      <c r="X80" s="8"/>
    </row>
    <row r="81" spans="1:24">
      <c r="A81" s="8"/>
      <c r="B81" s="8"/>
      <c r="C81" s="8"/>
      <c r="D81" s="8"/>
      <c r="E81" s="8"/>
      <c r="F81" s="8"/>
      <c r="G81" s="13"/>
      <c r="H81" s="13"/>
      <c r="I81" s="13"/>
      <c r="J81" s="15"/>
      <c r="K81" s="15"/>
      <c r="L81" s="15"/>
      <c r="M81" s="15"/>
      <c r="N81" s="15"/>
      <c r="O81" s="8"/>
      <c r="P81" s="8"/>
      <c r="Q81" s="8"/>
      <c r="R81" s="10"/>
      <c r="S81" s="8"/>
      <c r="T81" s="8"/>
      <c r="U81" s="8"/>
      <c r="V81" s="8"/>
      <c r="W81" s="10"/>
      <c r="X81" s="8"/>
    </row>
    <row r="82" spans="1:24">
      <c r="A82" s="8"/>
      <c r="B82" s="8"/>
      <c r="C82" s="8"/>
      <c r="D82" s="8"/>
      <c r="E82" s="8"/>
      <c r="F82" s="8"/>
      <c r="G82" s="13"/>
      <c r="H82" s="13"/>
      <c r="I82" s="13"/>
      <c r="J82" s="15"/>
      <c r="K82" s="15"/>
      <c r="L82" s="15"/>
      <c r="M82" s="15"/>
      <c r="N82" s="15"/>
      <c r="O82" s="8"/>
      <c r="P82" s="8"/>
      <c r="Q82" s="8"/>
      <c r="R82" s="10"/>
      <c r="S82" s="8"/>
      <c r="T82" s="8"/>
      <c r="U82" s="8"/>
      <c r="V82" s="8"/>
      <c r="W82" s="10"/>
      <c r="X82" s="8"/>
    </row>
    <row r="83" spans="1:24">
      <c r="A83" s="8"/>
      <c r="B83" s="8"/>
      <c r="C83" s="8"/>
      <c r="D83" s="8"/>
      <c r="E83" s="8"/>
      <c r="F83" s="8"/>
      <c r="G83" s="13"/>
      <c r="H83" s="13"/>
      <c r="I83" s="13"/>
      <c r="J83" s="15"/>
      <c r="K83" s="15"/>
      <c r="L83" s="15"/>
      <c r="M83" s="15"/>
      <c r="N83" s="15"/>
      <c r="O83" s="8"/>
      <c r="P83" s="8"/>
      <c r="Q83" s="8"/>
      <c r="R83" s="10"/>
      <c r="S83" s="8"/>
      <c r="T83" s="8"/>
      <c r="U83" s="8"/>
      <c r="V83" s="8"/>
      <c r="W83" s="10"/>
      <c r="X83" s="8"/>
    </row>
    <row r="84" spans="1:24">
      <c r="A84" s="8"/>
      <c r="B84" s="8"/>
      <c r="C84" s="8"/>
      <c r="D84" s="8"/>
      <c r="E84" s="8"/>
      <c r="F84" s="8"/>
      <c r="G84" s="13"/>
      <c r="H84" s="13"/>
      <c r="I84" s="13"/>
      <c r="J84" s="15"/>
      <c r="K84" s="15"/>
      <c r="L84" s="15"/>
      <c r="M84" s="15"/>
      <c r="N84" s="15"/>
      <c r="O84" s="8"/>
      <c r="P84" s="8"/>
      <c r="Q84" s="8"/>
      <c r="R84" s="10"/>
      <c r="S84" s="8"/>
      <c r="T84" s="8"/>
      <c r="U84" s="8"/>
      <c r="V84" s="8"/>
      <c r="W84" s="10"/>
      <c r="X84" s="8"/>
    </row>
    <row r="85" spans="1:24">
      <c r="A85" s="8"/>
      <c r="B85" s="8"/>
      <c r="C85" s="8"/>
      <c r="D85" s="8"/>
      <c r="E85" s="8"/>
      <c r="F85" s="8"/>
      <c r="G85" s="13"/>
      <c r="H85" s="13"/>
      <c r="I85" s="13"/>
      <c r="J85" s="15"/>
      <c r="K85" s="15"/>
      <c r="L85" s="15"/>
      <c r="M85" s="15"/>
      <c r="N85" s="15"/>
      <c r="O85" s="8"/>
      <c r="P85" s="8"/>
      <c r="Q85" s="8"/>
      <c r="R85" s="10"/>
      <c r="S85" s="8"/>
      <c r="T85" s="8"/>
      <c r="U85" s="8"/>
      <c r="V85" s="8"/>
      <c r="W85" s="10"/>
      <c r="X85" s="8"/>
    </row>
    <row r="86" spans="1:24">
      <c r="A86" s="8"/>
      <c r="B86" s="8"/>
      <c r="C86" s="8"/>
      <c r="D86" s="8"/>
      <c r="E86" s="8"/>
      <c r="F86" s="8"/>
      <c r="G86" s="13"/>
      <c r="H86" s="13"/>
      <c r="I86" s="13"/>
      <c r="J86" s="15"/>
      <c r="K86" s="15"/>
      <c r="L86" s="15"/>
      <c r="M86" s="15"/>
      <c r="N86" s="15"/>
      <c r="O86" s="8"/>
      <c r="P86" s="8"/>
      <c r="Q86" s="8"/>
      <c r="R86" s="10"/>
      <c r="S86" s="8"/>
      <c r="T86" s="8"/>
      <c r="U86" s="8"/>
      <c r="V86" s="8"/>
      <c r="W86" s="10"/>
      <c r="X86" s="8"/>
    </row>
    <row r="87" spans="1:24">
      <c r="A87" s="8"/>
      <c r="B87" s="8"/>
      <c r="C87" s="8"/>
      <c r="D87" s="8"/>
      <c r="E87" s="8"/>
      <c r="F87" s="8"/>
      <c r="G87" s="13"/>
      <c r="H87" s="13"/>
      <c r="I87" s="13"/>
      <c r="J87" s="15"/>
      <c r="K87" s="15"/>
      <c r="L87" s="15"/>
      <c r="M87" s="15"/>
      <c r="N87" s="15"/>
      <c r="O87" s="8"/>
      <c r="P87" s="8"/>
      <c r="Q87" s="8"/>
      <c r="R87" s="10"/>
      <c r="S87" s="8"/>
      <c r="T87" s="8"/>
      <c r="U87" s="8"/>
      <c r="V87" s="8"/>
      <c r="W87" s="10"/>
      <c r="X87" s="8"/>
    </row>
    <row r="88" spans="1:24">
      <c r="A88" s="8"/>
      <c r="B88" s="8"/>
      <c r="C88" s="8"/>
      <c r="D88" s="8"/>
      <c r="E88" s="8"/>
      <c r="F88" s="8"/>
      <c r="G88" s="13"/>
      <c r="H88" s="13"/>
      <c r="I88" s="13"/>
      <c r="J88" s="15"/>
      <c r="K88" s="15"/>
      <c r="L88" s="15"/>
      <c r="M88" s="15"/>
      <c r="N88" s="15"/>
      <c r="O88" s="8"/>
      <c r="P88" s="8"/>
      <c r="Q88" s="8"/>
      <c r="R88" s="10"/>
      <c r="S88" s="8"/>
      <c r="T88" s="8"/>
      <c r="U88" s="8"/>
      <c r="V88" s="8"/>
      <c r="W88" s="10"/>
      <c r="X88" s="8"/>
    </row>
    <row r="89" spans="1:24">
      <c r="A89" s="8"/>
      <c r="B89" s="8"/>
      <c r="C89" s="8"/>
      <c r="D89" s="8"/>
      <c r="E89" s="8"/>
      <c r="F89" s="8"/>
      <c r="G89" s="13"/>
      <c r="H89" s="13"/>
      <c r="I89" s="13"/>
      <c r="J89" s="15"/>
      <c r="K89" s="15"/>
      <c r="L89" s="15"/>
      <c r="M89" s="15"/>
      <c r="N89" s="15"/>
      <c r="O89" s="8"/>
      <c r="P89" s="8"/>
      <c r="Q89" s="8"/>
      <c r="R89" s="10"/>
      <c r="S89" s="8"/>
      <c r="T89" s="8"/>
      <c r="U89" s="8"/>
      <c r="V89" s="8"/>
      <c r="W89" s="10"/>
      <c r="X89" s="8"/>
    </row>
    <row r="90" spans="1:24">
      <c r="A90" s="8"/>
      <c r="B90" s="8"/>
      <c r="C90" s="8"/>
      <c r="D90" s="8"/>
      <c r="E90" s="8"/>
      <c r="F90" s="8"/>
      <c r="G90" s="13"/>
      <c r="H90" s="13"/>
      <c r="I90" s="13"/>
      <c r="J90" s="15"/>
      <c r="K90" s="15"/>
      <c r="L90" s="15"/>
      <c r="M90" s="15"/>
      <c r="N90" s="15"/>
      <c r="O90" s="8"/>
      <c r="P90" s="8"/>
      <c r="Q90" s="8"/>
      <c r="R90" s="10"/>
      <c r="S90" s="8"/>
      <c r="T90" s="8"/>
      <c r="U90" s="8"/>
      <c r="V90" s="8"/>
      <c r="W90" s="10"/>
      <c r="X90" s="8"/>
    </row>
    <row r="91" spans="1:24">
      <c r="A91" s="8"/>
      <c r="B91" s="8"/>
      <c r="C91" s="8"/>
      <c r="D91" s="8"/>
      <c r="E91" s="8"/>
      <c r="F91" s="8"/>
      <c r="G91" s="13"/>
      <c r="H91" s="13"/>
      <c r="I91" s="13"/>
      <c r="J91" s="15"/>
      <c r="K91" s="15"/>
      <c r="L91" s="15"/>
      <c r="M91" s="15"/>
      <c r="N91" s="15"/>
      <c r="O91" s="8"/>
      <c r="P91" s="8"/>
      <c r="Q91" s="8"/>
      <c r="R91" s="10"/>
      <c r="S91" s="8"/>
      <c r="T91" s="8"/>
      <c r="U91" s="8"/>
      <c r="V91" s="8"/>
      <c r="W91" s="10"/>
      <c r="X91" s="8"/>
    </row>
    <row r="92" spans="1:24">
      <c r="A92" s="8"/>
      <c r="B92" s="8"/>
      <c r="C92" s="8"/>
      <c r="D92" s="8"/>
      <c r="E92" s="8"/>
      <c r="F92" s="8"/>
      <c r="G92" s="13"/>
      <c r="H92" s="13"/>
      <c r="I92" s="13"/>
      <c r="J92" s="15"/>
      <c r="K92" s="15"/>
      <c r="L92" s="15"/>
      <c r="M92" s="15"/>
      <c r="N92" s="15"/>
      <c r="O92" s="8"/>
      <c r="P92" s="8"/>
      <c r="Q92" s="8"/>
      <c r="R92" s="10"/>
      <c r="S92" s="8"/>
      <c r="T92" s="8"/>
      <c r="U92" s="8"/>
      <c r="V92" s="8"/>
      <c r="W92" s="10"/>
      <c r="X92" s="8"/>
    </row>
    <row r="93" spans="1:24">
      <c r="A93" s="8"/>
      <c r="B93" s="8"/>
      <c r="C93" s="8"/>
      <c r="D93" s="8"/>
      <c r="E93" s="8"/>
      <c r="F93" s="8"/>
      <c r="G93" s="13"/>
      <c r="H93" s="13"/>
      <c r="I93" s="13"/>
      <c r="J93" s="15"/>
      <c r="K93" s="15"/>
      <c r="L93" s="15"/>
      <c r="M93" s="15"/>
      <c r="N93" s="15"/>
      <c r="O93" s="8"/>
      <c r="P93" s="8"/>
      <c r="Q93" s="8"/>
      <c r="R93" s="10"/>
      <c r="S93" s="8"/>
      <c r="T93" s="8"/>
      <c r="U93" s="8"/>
      <c r="V93" s="8"/>
      <c r="W93" s="10"/>
      <c r="X93" s="8"/>
    </row>
    <row r="94" spans="1:24">
      <c r="A94" s="8"/>
      <c r="B94" s="8"/>
      <c r="C94" s="8"/>
      <c r="D94" s="8"/>
      <c r="E94" s="8"/>
      <c r="F94" s="8"/>
      <c r="G94" s="13"/>
      <c r="H94" s="13"/>
      <c r="I94" s="13"/>
      <c r="J94" s="15"/>
      <c r="K94" s="15"/>
      <c r="L94" s="15"/>
      <c r="M94" s="15"/>
      <c r="N94" s="15"/>
      <c r="O94" s="8"/>
      <c r="P94" s="8"/>
      <c r="Q94" s="8"/>
      <c r="R94" s="10"/>
      <c r="S94" s="8"/>
      <c r="T94" s="8"/>
      <c r="U94" s="8"/>
      <c r="V94" s="8"/>
      <c r="W94" s="10"/>
      <c r="X94" s="8"/>
    </row>
    <row r="95" spans="1:24">
      <c r="A95" s="8"/>
      <c r="B95" s="8"/>
      <c r="C95" s="8"/>
      <c r="D95" s="8"/>
      <c r="E95" s="8"/>
      <c r="F95" s="8"/>
      <c r="G95" s="13"/>
      <c r="H95" s="13"/>
      <c r="I95" s="13"/>
      <c r="J95" s="15"/>
      <c r="K95" s="15"/>
      <c r="L95" s="15"/>
      <c r="M95" s="15"/>
      <c r="N95" s="15"/>
      <c r="O95" s="8"/>
      <c r="P95" s="8"/>
      <c r="Q95" s="8"/>
      <c r="R95" s="10"/>
      <c r="S95" s="8"/>
      <c r="T95" s="8"/>
      <c r="U95" s="8"/>
      <c r="V95" s="8"/>
      <c r="W95" s="10"/>
      <c r="X95" s="8"/>
    </row>
    <row r="96" spans="1:24">
      <c r="A96" s="8"/>
      <c r="B96" s="8"/>
      <c r="C96" s="8"/>
      <c r="D96" s="8"/>
      <c r="E96" s="8"/>
      <c r="F96" s="8"/>
      <c r="G96" s="13"/>
      <c r="H96" s="13"/>
      <c r="I96" s="13"/>
      <c r="J96" s="15"/>
      <c r="K96" s="15"/>
      <c r="L96" s="15"/>
      <c r="M96" s="15"/>
      <c r="N96" s="15"/>
      <c r="O96" s="8"/>
      <c r="P96" s="8"/>
      <c r="Q96" s="8"/>
      <c r="R96" s="10"/>
      <c r="S96" s="8"/>
      <c r="T96" s="8"/>
      <c r="U96" s="8"/>
      <c r="V96" s="8"/>
      <c r="W96" s="10"/>
      <c r="X96" s="8"/>
    </row>
    <row r="97" spans="1:24">
      <c r="A97" s="8"/>
      <c r="B97" s="8"/>
      <c r="C97" s="8"/>
      <c r="D97" s="8"/>
      <c r="E97" s="8"/>
      <c r="F97" s="8"/>
      <c r="G97" s="13"/>
      <c r="H97" s="13"/>
      <c r="I97" s="13"/>
      <c r="J97" s="15"/>
      <c r="K97" s="15"/>
      <c r="L97" s="15"/>
      <c r="M97" s="15"/>
      <c r="N97" s="15"/>
      <c r="O97" s="8"/>
      <c r="P97" s="8"/>
      <c r="Q97" s="8"/>
      <c r="R97" s="10"/>
      <c r="S97" s="8"/>
      <c r="T97" s="8"/>
      <c r="U97" s="8"/>
      <c r="V97" s="8"/>
      <c r="W97" s="10"/>
      <c r="X97" s="8"/>
    </row>
    <row r="98" spans="1:24">
      <c r="A98" s="8"/>
      <c r="B98" s="8"/>
      <c r="C98" s="8"/>
      <c r="D98" s="8"/>
      <c r="E98" s="8"/>
      <c r="F98" s="8"/>
      <c r="G98" s="13"/>
      <c r="H98" s="13"/>
      <c r="I98" s="13"/>
      <c r="J98" s="15"/>
      <c r="K98" s="15"/>
      <c r="L98" s="15"/>
      <c r="M98" s="15"/>
      <c r="N98" s="15"/>
      <c r="O98" s="8"/>
      <c r="P98" s="8"/>
      <c r="Q98" s="8"/>
      <c r="R98" s="10"/>
      <c r="S98" s="8"/>
      <c r="T98" s="8"/>
      <c r="U98" s="8"/>
      <c r="V98" s="8"/>
      <c r="W98" s="10"/>
      <c r="X98" s="8"/>
    </row>
    <row r="99" spans="1:24">
      <c r="A99" s="8"/>
      <c r="B99" s="8"/>
      <c r="C99" s="8"/>
      <c r="D99" s="8"/>
      <c r="E99" s="8"/>
      <c r="F99" s="8"/>
      <c r="G99" s="13"/>
      <c r="H99" s="13"/>
      <c r="I99" s="13"/>
      <c r="J99" s="15"/>
      <c r="K99" s="15"/>
      <c r="L99" s="15"/>
      <c r="M99" s="15"/>
      <c r="N99" s="15"/>
      <c r="O99" s="8"/>
      <c r="P99" s="8"/>
      <c r="Q99" s="8"/>
      <c r="R99" s="10"/>
      <c r="S99" s="8"/>
      <c r="T99" s="8"/>
      <c r="U99" s="8"/>
      <c r="V99" s="8"/>
      <c r="W99" s="10"/>
      <c r="X99" s="8"/>
    </row>
    <row r="100" spans="1:24">
      <c r="A100" s="8"/>
      <c r="B100" s="8"/>
      <c r="C100" s="8"/>
      <c r="D100" s="8"/>
      <c r="E100" s="8"/>
      <c r="F100" s="8"/>
      <c r="G100" s="13"/>
      <c r="H100" s="13"/>
      <c r="I100" s="13"/>
      <c r="J100" s="15"/>
      <c r="K100" s="15"/>
      <c r="L100" s="15"/>
      <c r="M100" s="15"/>
      <c r="N100" s="15"/>
      <c r="O100" s="8"/>
      <c r="P100" s="8"/>
      <c r="Q100" s="8"/>
      <c r="R100" s="10"/>
      <c r="S100" s="8"/>
      <c r="T100" s="8"/>
      <c r="U100" s="8"/>
      <c r="V100" s="8"/>
      <c r="W100" s="10"/>
      <c r="X100" s="8"/>
    </row>
    <row r="101" spans="1:24">
      <c r="A101" s="8"/>
      <c r="B101" s="8"/>
      <c r="C101" s="8"/>
      <c r="D101" s="8"/>
      <c r="E101" s="8"/>
      <c r="F101" s="8"/>
      <c r="G101" s="13"/>
      <c r="H101" s="13"/>
      <c r="I101" s="13"/>
      <c r="J101" s="15"/>
      <c r="K101" s="15"/>
      <c r="L101" s="15"/>
      <c r="M101" s="15"/>
      <c r="N101" s="15"/>
      <c r="O101" s="8"/>
      <c r="P101" s="8"/>
      <c r="Q101" s="8"/>
      <c r="R101" s="10"/>
      <c r="S101" s="8"/>
      <c r="T101" s="8"/>
      <c r="U101" s="8"/>
      <c r="V101" s="8"/>
      <c r="W101" s="10"/>
      <c r="X101" s="8"/>
    </row>
    <row r="102" spans="1:24">
      <c r="A102" s="8"/>
      <c r="B102" s="8"/>
      <c r="C102" s="8"/>
      <c r="D102" s="8"/>
      <c r="E102" s="8"/>
      <c r="F102" s="8"/>
      <c r="G102" s="13"/>
      <c r="H102" s="13"/>
      <c r="I102" s="13"/>
      <c r="J102" s="15"/>
      <c r="K102" s="15"/>
      <c r="L102" s="15"/>
      <c r="M102" s="15"/>
      <c r="N102" s="15"/>
      <c r="O102" s="8"/>
      <c r="P102" s="8"/>
      <c r="Q102" s="8"/>
      <c r="R102" s="10"/>
      <c r="S102" s="8"/>
      <c r="T102" s="8"/>
      <c r="U102" s="8"/>
      <c r="V102" s="8"/>
      <c r="W102" s="10"/>
      <c r="X102" s="8"/>
    </row>
    <row r="103" spans="1:24">
      <c r="A103" s="8"/>
      <c r="B103" s="8"/>
      <c r="C103" s="8"/>
      <c r="D103" s="8"/>
      <c r="E103" s="8"/>
      <c r="F103" s="8"/>
      <c r="G103" s="13"/>
      <c r="H103" s="13"/>
      <c r="I103" s="13"/>
      <c r="J103" s="15"/>
      <c r="K103" s="15"/>
      <c r="L103" s="15"/>
      <c r="M103" s="15"/>
      <c r="N103" s="15"/>
      <c r="O103" s="8"/>
      <c r="P103" s="8"/>
      <c r="Q103" s="8"/>
      <c r="R103" s="10"/>
      <c r="S103" s="8"/>
      <c r="T103" s="8"/>
      <c r="U103" s="8"/>
      <c r="V103" s="8"/>
      <c r="W103" s="10"/>
      <c r="X103" s="8"/>
    </row>
    <row r="104" spans="1:24">
      <c r="A104" s="8"/>
      <c r="B104" s="8"/>
      <c r="C104" s="8"/>
      <c r="D104" s="8"/>
      <c r="E104" s="8"/>
      <c r="F104" s="8"/>
      <c r="G104" s="13"/>
      <c r="H104" s="13"/>
      <c r="I104" s="13"/>
      <c r="J104" s="15"/>
      <c r="K104" s="15"/>
      <c r="L104" s="15"/>
      <c r="M104" s="15"/>
      <c r="N104" s="15"/>
      <c r="O104" s="8"/>
      <c r="P104" s="8"/>
      <c r="Q104" s="8"/>
      <c r="R104" s="10"/>
      <c r="S104" s="8"/>
      <c r="T104" s="8"/>
      <c r="U104" s="8"/>
      <c r="V104" s="8"/>
      <c r="W104" s="10"/>
      <c r="X104" s="8"/>
    </row>
    <row r="105" spans="1:24">
      <c r="A105" s="8"/>
      <c r="B105" s="8"/>
      <c r="C105" s="8"/>
      <c r="D105" s="8"/>
      <c r="E105" s="8"/>
      <c r="F105" s="8"/>
      <c r="G105" s="13"/>
      <c r="H105" s="13"/>
      <c r="I105" s="13"/>
      <c r="J105" s="15"/>
      <c r="K105" s="15"/>
      <c r="L105" s="15"/>
      <c r="M105" s="15"/>
      <c r="N105" s="15"/>
      <c r="O105" s="8"/>
      <c r="P105" s="8"/>
      <c r="Q105" s="8"/>
      <c r="R105" s="10"/>
      <c r="S105" s="8"/>
      <c r="T105" s="8"/>
      <c r="U105" s="8"/>
      <c r="V105" s="8"/>
      <c r="W105" s="10"/>
      <c r="X105" s="8"/>
    </row>
    <row r="106" spans="1:24">
      <c r="A106" s="8"/>
      <c r="B106" s="8"/>
      <c r="C106" s="8"/>
      <c r="D106" s="8"/>
      <c r="E106" s="8"/>
      <c r="F106" s="8"/>
      <c r="G106" s="13"/>
      <c r="H106" s="13"/>
      <c r="I106" s="13"/>
      <c r="J106" s="15"/>
      <c r="K106" s="15"/>
      <c r="L106" s="15"/>
      <c r="M106" s="15"/>
      <c r="N106" s="15"/>
      <c r="O106" s="8"/>
      <c r="P106" s="8"/>
      <c r="Q106" s="8"/>
      <c r="R106" s="10"/>
      <c r="S106" s="8"/>
      <c r="T106" s="8"/>
      <c r="U106" s="8"/>
      <c r="V106" s="8"/>
      <c r="W106" s="10"/>
      <c r="X106" s="8"/>
    </row>
    <row r="107" spans="1:24">
      <c r="A107" s="8"/>
      <c r="B107" s="8"/>
      <c r="C107" s="8"/>
      <c r="D107" s="8"/>
      <c r="E107" s="8"/>
      <c r="F107" s="8"/>
      <c r="G107" s="13"/>
      <c r="H107" s="13"/>
      <c r="I107" s="13"/>
      <c r="J107" s="15"/>
      <c r="K107" s="15"/>
      <c r="L107" s="15"/>
      <c r="M107" s="15"/>
      <c r="N107" s="15"/>
      <c r="O107" s="8"/>
      <c r="P107" s="8"/>
      <c r="Q107" s="8"/>
      <c r="R107" s="10"/>
      <c r="S107" s="8"/>
      <c r="T107" s="8"/>
      <c r="U107" s="8"/>
      <c r="V107" s="8"/>
      <c r="W107" s="10"/>
      <c r="X107" s="8"/>
    </row>
    <row r="108" spans="1:24">
      <c r="A108" s="8"/>
      <c r="B108" s="8"/>
      <c r="C108" s="8"/>
      <c r="D108" s="8"/>
      <c r="E108" s="8"/>
      <c r="F108" s="8"/>
      <c r="G108" s="13"/>
      <c r="H108" s="13"/>
      <c r="I108" s="13"/>
      <c r="J108" s="15"/>
      <c r="K108" s="15"/>
      <c r="L108" s="15"/>
      <c r="M108" s="15"/>
      <c r="N108" s="15"/>
      <c r="O108" s="8"/>
      <c r="P108" s="8"/>
      <c r="Q108" s="8"/>
      <c r="R108" s="10"/>
      <c r="S108" s="8"/>
      <c r="T108" s="8"/>
      <c r="U108" s="8"/>
      <c r="V108" s="8"/>
      <c r="W108" s="10"/>
      <c r="X108" s="8"/>
    </row>
    <row r="109" spans="1:24">
      <c r="A109" s="8"/>
      <c r="B109" s="8"/>
      <c r="C109" s="8"/>
      <c r="D109" s="8"/>
      <c r="E109" s="8"/>
      <c r="F109" s="8"/>
      <c r="G109" s="13"/>
      <c r="H109" s="13"/>
      <c r="I109" s="13"/>
      <c r="J109" s="15"/>
      <c r="K109" s="15"/>
      <c r="L109" s="15"/>
      <c r="M109" s="15"/>
      <c r="N109" s="15"/>
      <c r="O109" s="8"/>
      <c r="P109" s="8"/>
      <c r="Q109" s="8"/>
      <c r="R109" s="10"/>
      <c r="S109" s="8"/>
      <c r="T109" s="8"/>
      <c r="U109" s="8"/>
      <c r="V109" s="8"/>
      <c r="W109" s="10"/>
      <c r="X109" s="8"/>
    </row>
    <row r="110" spans="1:24">
      <c r="A110" s="8"/>
      <c r="B110" s="8"/>
      <c r="C110" s="8"/>
      <c r="D110" s="8"/>
      <c r="E110" s="8"/>
      <c r="F110" s="8"/>
      <c r="G110" s="13"/>
      <c r="H110" s="13"/>
      <c r="I110" s="13"/>
      <c r="J110" s="15"/>
      <c r="K110" s="15"/>
      <c r="L110" s="15"/>
      <c r="M110" s="15"/>
      <c r="N110" s="15"/>
      <c r="O110" s="8"/>
      <c r="P110" s="8"/>
      <c r="Q110" s="8"/>
      <c r="R110" s="10"/>
      <c r="S110" s="8"/>
      <c r="T110" s="8"/>
      <c r="U110" s="8"/>
      <c r="V110" s="8"/>
      <c r="W110" s="10"/>
      <c r="X110" s="8"/>
    </row>
    <row r="111" spans="1:24">
      <c r="A111" s="8"/>
      <c r="B111" s="8"/>
      <c r="C111" s="8"/>
      <c r="D111" s="8"/>
      <c r="E111" s="8"/>
      <c r="F111" s="8"/>
      <c r="G111" s="13"/>
      <c r="H111" s="13"/>
      <c r="I111" s="13"/>
      <c r="J111" s="15"/>
      <c r="K111" s="15"/>
      <c r="L111" s="15"/>
      <c r="M111" s="15"/>
      <c r="N111" s="15"/>
      <c r="O111" s="8"/>
      <c r="P111" s="8"/>
      <c r="Q111" s="8"/>
      <c r="R111" s="10"/>
      <c r="S111" s="8"/>
      <c r="T111" s="8"/>
      <c r="U111" s="8"/>
      <c r="V111" s="8"/>
      <c r="W111" s="10"/>
      <c r="X111" s="8"/>
    </row>
    <row r="112" spans="1:24">
      <c r="A112" s="8"/>
      <c r="B112" s="8"/>
      <c r="C112" s="8"/>
      <c r="D112" s="8"/>
      <c r="E112" s="8"/>
      <c r="F112" s="8"/>
      <c r="G112" s="13"/>
      <c r="H112" s="13"/>
      <c r="I112" s="13"/>
      <c r="J112" s="15"/>
      <c r="K112" s="15"/>
      <c r="L112" s="15"/>
      <c r="M112" s="15"/>
      <c r="N112" s="15"/>
      <c r="O112" s="8"/>
      <c r="P112" s="8"/>
      <c r="Q112" s="8"/>
      <c r="R112" s="10"/>
      <c r="S112" s="8"/>
      <c r="T112" s="8"/>
      <c r="U112" s="8"/>
      <c r="V112" s="8"/>
      <c r="W112" s="10"/>
      <c r="X112" s="8"/>
    </row>
    <row r="113" spans="1:24">
      <c r="A113" s="8"/>
      <c r="B113" s="8"/>
      <c r="C113" s="8"/>
      <c r="D113" s="8"/>
      <c r="E113" s="8"/>
      <c r="F113" s="8"/>
      <c r="G113" s="13"/>
      <c r="H113" s="13"/>
      <c r="I113" s="13"/>
      <c r="J113" s="15"/>
      <c r="K113" s="15"/>
      <c r="L113" s="15"/>
      <c r="M113" s="15"/>
      <c r="N113" s="15"/>
      <c r="O113" s="8"/>
      <c r="P113" s="8"/>
      <c r="Q113" s="8"/>
      <c r="R113" s="10"/>
      <c r="S113" s="8"/>
      <c r="T113" s="8"/>
      <c r="U113" s="8"/>
      <c r="V113" s="8"/>
      <c r="W113" s="10"/>
      <c r="X113" s="8"/>
    </row>
    <row r="114" spans="1:24">
      <c r="A114" s="8"/>
      <c r="B114" s="8"/>
      <c r="C114" s="8"/>
      <c r="D114" s="8"/>
      <c r="E114" s="8"/>
      <c r="F114" s="8"/>
      <c r="G114" s="13"/>
      <c r="H114" s="13"/>
      <c r="I114" s="13"/>
      <c r="J114" s="15"/>
      <c r="K114" s="15"/>
      <c r="L114" s="15"/>
      <c r="M114" s="15"/>
      <c r="N114" s="15"/>
      <c r="O114" s="8"/>
      <c r="P114" s="8"/>
      <c r="Q114" s="8"/>
      <c r="R114" s="10"/>
      <c r="S114" s="8"/>
      <c r="T114" s="8"/>
      <c r="U114" s="8"/>
      <c r="V114" s="8"/>
      <c r="W114" s="10"/>
      <c r="X114" s="8"/>
    </row>
    <row r="115" spans="1:24">
      <c r="A115" s="8"/>
      <c r="B115" s="8"/>
      <c r="C115" s="8"/>
      <c r="D115" s="8"/>
      <c r="E115" s="8"/>
      <c r="F115" s="8"/>
      <c r="G115" s="13"/>
      <c r="H115" s="13"/>
      <c r="I115" s="13"/>
      <c r="J115" s="15"/>
      <c r="K115" s="15"/>
      <c r="L115" s="15"/>
      <c r="M115" s="15"/>
      <c r="N115" s="15"/>
      <c r="O115" s="8"/>
      <c r="P115" s="8"/>
      <c r="Q115" s="8"/>
      <c r="R115" s="10"/>
      <c r="S115" s="8"/>
      <c r="T115" s="8"/>
      <c r="U115" s="8"/>
      <c r="V115" s="8"/>
      <c r="W115" s="10"/>
      <c r="X115" s="8"/>
    </row>
    <row r="116" spans="1:24">
      <c r="A116" s="8"/>
      <c r="B116" s="8"/>
      <c r="C116" s="8"/>
      <c r="D116" s="8"/>
      <c r="E116" s="8"/>
      <c r="F116" s="8"/>
      <c r="G116" s="13"/>
      <c r="H116" s="13"/>
      <c r="I116" s="13"/>
      <c r="J116" s="15"/>
      <c r="K116" s="15"/>
      <c r="L116" s="15"/>
      <c r="M116" s="15"/>
      <c r="N116" s="15"/>
      <c r="O116" s="8"/>
      <c r="P116" s="8"/>
      <c r="Q116" s="8"/>
      <c r="R116" s="10"/>
      <c r="S116" s="8"/>
      <c r="T116" s="8"/>
      <c r="U116" s="8"/>
      <c r="V116" s="8"/>
      <c r="W116" s="10"/>
      <c r="X116" s="8"/>
    </row>
    <row r="117" spans="1:24">
      <c r="A117" s="8"/>
      <c r="B117" s="8"/>
      <c r="C117" s="8"/>
      <c r="D117" s="8"/>
      <c r="E117" s="8"/>
      <c r="F117" s="8"/>
      <c r="G117" s="13"/>
      <c r="H117" s="13"/>
      <c r="I117" s="13"/>
      <c r="J117" s="15"/>
      <c r="K117" s="15"/>
      <c r="L117" s="15"/>
      <c r="M117" s="15"/>
      <c r="N117" s="15"/>
      <c r="O117" s="8"/>
      <c r="P117" s="8"/>
      <c r="Q117" s="8"/>
      <c r="R117" s="10"/>
      <c r="S117" s="8"/>
      <c r="T117" s="8"/>
      <c r="U117" s="8"/>
      <c r="V117" s="8"/>
      <c r="W117" s="10"/>
      <c r="X117" s="8"/>
    </row>
    <row r="118" spans="1:24">
      <c r="A118" s="8"/>
      <c r="B118" s="8"/>
      <c r="C118" s="8"/>
      <c r="D118" s="8"/>
      <c r="E118" s="8"/>
      <c r="F118" s="8"/>
      <c r="G118" s="13"/>
      <c r="H118" s="13"/>
      <c r="I118" s="13"/>
      <c r="J118" s="15"/>
      <c r="K118" s="15"/>
      <c r="L118" s="15"/>
      <c r="M118" s="15"/>
      <c r="N118" s="15"/>
      <c r="O118" s="8"/>
      <c r="P118" s="8"/>
      <c r="Q118" s="8"/>
      <c r="R118" s="10"/>
      <c r="S118" s="8"/>
      <c r="T118" s="8"/>
      <c r="U118" s="8"/>
      <c r="V118" s="8"/>
      <c r="W118" s="10"/>
      <c r="X118" s="8"/>
    </row>
    <row r="119" spans="1:24">
      <c r="A119" s="8"/>
      <c r="B119" s="8"/>
      <c r="C119" s="8"/>
      <c r="D119" s="8"/>
      <c r="E119" s="8"/>
      <c r="F119" s="8"/>
      <c r="G119" s="13"/>
      <c r="H119" s="13"/>
      <c r="I119" s="13"/>
      <c r="J119" s="15"/>
      <c r="K119" s="15"/>
      <c r="L119" s="15"/>
      <c r="M119" s="15"/>
      <c r="N119" s="15"/>
      <c r="O119" s="8"/>
      <c r="P119" s="8"/>
      <c r="Q119" s="8"/>
      <c r="R119" s="10"/>
      <c r="S119" s="8"/>
      <c r="T119" s="8"/>
      <c r="U119" s="8"/>
      <c r="V119" s="8"/>
      <c r="W119" s="10"/>
      <c r="X119" s="8"/>
    </row>
    <row r="120" spans="1:24">
      <c r="A120" s="8"/>
      <c r="B120" s="8"/>
      <c r="C120" s="8"/>
      <c r="D120" s="8"/>
      <c r="E120" s="8"/>
      <c r="F120" s="8"/>
      <c r="G120" s="13"/>
      <c r="H120" s="13"/>
      <c r="I120" s="13"/>
      <c r="J120" s="15"/>
      <c r="K120" s="15"/>
      <c r="L120" s="15"/>
      <c r="M120" s="15"/>
      <c r="N120" s="15"/>
      <c r="O120" s="8"/>
      <c r="P120" s="8"/>
      <c r="Q120" s="8"/>
      <c r="R120" s="10"/>
      <c r="S120" s="8"/>
      <c r="T120" s="8"/>
      <c r="U120" s="8"/>
      <c r="V120" s="8"/>
      <c r="W120" s="10"/>
      <c r="X120" s="8"/>
    </row>
    <row r="121" spans="1:24">
      <c r="A121" s="8"/>
      <c r="B121" s="8"/>
      <c r="C121" s="8"/>
      <c r="D121" s="8"/>
      <c r="E121" s="8"/>
      <c r="F121" s="8"/>
      <c r="G121" s="13"/>
      <c r="H121" s="13"/>
      <c r="I121" s="13"/>
      <c r="J121" s="15"/>
      <c r="K121" s="15"/>
      <c r="L121" s="15"/>
      <c r="M121" s="15"/>
      <c r="N121" s="15"/>
      <c r="O121" s="8"/>
      <c r="P121" s="8"/>
      <c r="Q121" s="8"/>
      <c r="R121" s="10"/>
      <c r="S121" s="8"/>
      <c r="T121" s="8"/>
      <c r="U121" s="8"/>
      <c r="V121" s="8"/>
      <c r="W121" s="10"/>
      <c r="X121" s="8"/>
    </row>
    <row r="122" spans="1:24">
      <c r="A122" s="8"/>
      <c r="B122" s="8"/>
      <c r="C122" s="8"/>
      <c r="D122" s="8"/>
      <c r="E122" s="8"/>
      <c r="F122" s="8"/>
      <c r="G122" s="13"/>
      <c r="H122" s="13"/>
      <c r="I122" s="13"/>
      <c r="J122" s="15"/>
      <c r="K122" s="15"/>
      <c r="L122" s="15"/>
      <c r="M122" s="15"/>
      <c r="N122" s="15"/>
      <c r="O122" s="8"/>
      <c r="P122" s="8"/>
      <c r="Q122" s="8"/>
      <c r="R122" s="10"/>
      <c r="S122" s="8"/>
      <c r="T122" s="8"/>
      <c r="U122" s="8"/>
      <c r="V122" s="8"/>
      <c r="W122" s="10"/>
      <c r="X122" s="8"/>
    </row>
    <row r="123" spans="1:24">
      <c r="A123" s="8"/>
      <c r="B123" s="8"/>
      <c r="C123" s="8"/>
      <c r="D123" s="8"/>
      <c r="E123" s="8"/>
      <c r="F123" s="8"/>
      <c r="G123" s="13"/>
      <c r="H123" s="13"/>
      <c r="I123" s="13"/>
      <c r="J123" s="15"/>
      <c r="K123" s="15"/>
      <c r="L123" s="15"/>
      <c r="M123" s="15"/>
      <c r="N123" s="15"/>
      <c r="O123" s="8"/>
      <c r="P123" s="8"/>
      <c r="Q123" s="8"/>
      <c r="R123" s="10"/>
      <c r="S123" s="8"/>
      <c r="T123" s="8"/>
      <c r="U123" s="8"/>
      <c r="V123" s="8"/>
      <c r="W123" s="10"/>
      <c r="X123" s="8"/>
    </row>
    <row r="124" spans="1:24">
      <c r="A124" s="8"/>
      <c r="B124" s="8"/>
      <c r="C124" s="8"/>
      <c r="D124" s="8"/>
      <c r="E124" s="8"/>
      <c r="F124" s="8"/>
      <c r="G124" s="13"/>
      <c r="H124" s="13"/>
      <c r="I124" s="13"/>
      <c r="J124" s="15"/>
      <c r="K124" s="15"/>
      <c r="L124" s="15"/>
      <c r="M124" s="15"/>
      <c r="N124" s="15"/>
      <c r="O124" s="8"/>
      <c r="P124" s="8"/>
      <c r="Q124" s="8"/>
      <c r="R124" s="10"/>
      <c r="S124" s="8"/>
      <c r="T124" s="8"/>
      <c r="U124" s="8"/>
      <c r="V124" s="8"/>
      <c r="W124" s="10"/>
      <c r="X124" s="8"/>
    </row>
    <row r="125" spans="1:24">
      <c r="A125" s="8"/>
      <c r="B125" s="8"/>
      <c r="C125" s="8"/>
      <c r="D125" s="8"/>
      <c r="E125" s="8"/>
      <c r="F125" s="8"/>
      <c r="G125" s="13"/>
      <c r="H125" s="13"/>
      <c r="I125" s="13"/>
      <c r="J125" s="15"/>
      <c r="K125" s="15"/>
      <c r="L125" s="15"/>
      <c r="M125" s="15"/>
      <c r="N125" s="15"/>
      <c r="O125" s="8"/>
      <c r="P125" s="8"/>
      <c r="Q125" s="8"/>
      <c r="R125" s="10"/>
      <c r="S125" s="8"/>
      <c r="T125" s="8"/>
      <c r="U125" s="8"/>
      <c r="V125" s="8"/>
      <c r="W125" s="10"/>
      <c r="X125" s="8"/>
    </row>
    <row r="126" spans="1:24">
      <c r="A126" s="8"/>
      <c r="B126" s="8"/>
      <c r="C126" s="8"/>
      <c r="D126" s="8"/>
      <c r="E126" s="8"/>
      <c r="F126" s="8"/>
      <c r="G126" s="13"/>
      <c r="H126" s="13"/>
      <c r="I126" s="13"/>
      <c r="J126" s="15"/>
      <c r="K126" s="15"/>
      <c r="L126" s="15"/>
      <c r="M126" s="15"/>
      <c r="N126" s="15"/>
      <c r="O126" s="8"/>
      <c r="P126" s="8"/>
      <c r="Q126" s="8"/>
      <c r="R126" s="10"/>
      <c r="S126" s="8"/>
      <c r="T126" s="8"/>
      <c r="U126" s="8"/>
      <c r="V126" s="8"/>
      <c r="W126" s="10"/>
      <c r="X126" s="8"/>
    </row>
    <row r="127" spans="1:24">
      <c r="A127" s="8"/>
      <c r="B127" s="8"/>
      <c r="C127" s="8"/>
      <c r="D127" s="8"/>
      <c r="E127" s="8"/>
      <c r="F127" s="8"/>
      <c r="G127" s="13"/>
      <c r="H127" s="13"/>
      <c r="I127" s="13"/>
      <c r="J127" s="15"/>
      <c r="K127" s="15"/>
      <c r="L127" s="15"/>
      <c r="M127" s="15"/>
      <c r="N127" s="15"/>
      <c r="O127" s="8"/>
      <c r="P127" s="8"/>
      <c r="Q127" s="8"/>
      <c r="R127" s="10"/>
      <c r="S127" s="8"/>
      <c r="T127" s="8"/>
      <c r="U127" s="8"/>
      <c r="V127" s="8"/>
      <c r="W127" s="10"/>
      <c r="X127" s="8"/>
    </row>
    <row r="128" spans="1:24">
      <c r="A128" s="8"/>
      <c r="B128" s="8"/>
      <c r="C128" s="8"/>
      <c r="D128" s="8"/>
      <c r="E128" s="8"/>
      <c r="F128" s="8"/>
      <c r="G128" s="13"/>
      <c r="H128" s="13"/>
      <c r="I128" s="13"/>
      <c r="J128" s="15"/>
      <c r="K128" s="15"/>
      <c r="L128" s="15"/>
      <c r="M128" s="15"/>
      <c r="N128" s="15"/>
      <c r="O128" s="8"/>
      <c r="P128" s="8"/>
      <c r="Q128" s="8"/>
      <c r="R128" s="10"/>
      <c r="S128" s="8"/>
      <c r="T128" s="8"/>
      <c r="U128" s="8"/>
      <c r="V128" s="8"/>
      <c r="W128" s="10"/>
      <c r="X128" s="8"/>
    </row>
    <row r="129" spans="1:24">
      <c r="A129" s="8"/>
      <c r="B129" s="8"/>
      <c r="C129" s="8"/>
      <c r="D129" s="8"/>
      <c r="E129" s="8"/>
      <c r="F129" s="8"/>
      <c r="G129" s="13"/>
      <c r="H129" s="13"/>
      <c r="I129" s="13"/>
      <c r="J129" s="15"/>
      <c r="K129" s="15"/>
      <c r="L129" s="15"/>
      <c r="M129" s="15"/>
      <c r="N129" s="15"/>
      <c r="O129" s="8"/>
      <c r="P129" s="8"/>
      <c r="Q129" s="8"/>
      <c r="R129" s="10"/>
      <c r="S129" s="8"/>
      <c r="T129" s="8"/>
      <c r="U129" s="8"/>
      <c r="V129" s="8"/>
      <c r="W129" s="10"/>
      <c r="X129" s="8"/>
    </row>
    <row r="130" spans="1:24">
      <c r="A130" s="8"/>
      <c r="B130" s="8"/>
      <c r="C130" s="8"/>
      <c r="D130" s="8"/>
      <c r="E130" s="8"/>
      <c r="F130" s="8"/>
      <c r="G130" s="13"/>
      <c r="H130" s="13"/>
      <c r="I130" s="13"/>
      <c r="J130" s="15"/>
      <c r="K130" s="15"/>
      <c r="L130" s="15"/>
      <c r="M130" s="15"/>
      <c r="N130" s="15"/>
      <c r="O130" s="8"/>
      <c r="P130" s="8"/>
      <c r="Q130" s="8"/>
      <c r="R130" s="10"/>
      <c r="S130" s="8"/>
      <c r="T130" s="8"/>
      <c r="U130" s="8"/>
      <c r="V130" s="8"/>
      <c r="W130" s="10"/>
      <c r="X130" s="8"/>
    </row>
    <row r="131" spans="1:24">
      <c r="A131" s="8"/>
      <c r="B131" s="8"/>
      <c r="C131" s="8"/>
      <c r="D131" s="8"/>
      <c r="E131" s="8"/>
      <c r="F131" s="8"/>
      <c r="G131" s="13"/>
      <c r="H131" s="13"/>
      <c r="I131" s="13"/>
      <c r="J131" s="15"/>
      <c r="K131" s="15"/>
      <c r="L131" s="15"/>
      <c r="M131" s="15"/>
      <c r="N131" s="15"/>
      <c r="O131" s="8"/>
      <c r="P131" s="8"/>
      <c r="Q131" s="8"/>
      <c r="R131" s="10"/>
      <c r="S131" s="8"/>
      <c r="T131" s="8"/>
      <c r="U131" s="8"/>
      <c r="V131" s="8"/>
      <c r="W131" s="10"/>
      <c r="X131" s="8"/>
    </row>
    <row r="132" spans="1:24">
      <c r="A132" s="8"/>
      <c r="B132" s="8"/>
      <c r="C132" s="8"/>
      <c r="D132" s="8"/>
      <c r="E132" s="8"/>
      <c r="F132" s="8"/>
      <c r="G132" s="13"/>
      <c r="H132" s="13"/>
      <c r="I132" s="13"/>
      <c r="J132" s="15"/>
      <c r="K132" s="15"/>
      <c r="L132" s="15"/>
      <c r="M132" s="15"/>
      <c r="N132" s="15"/>
      <c r="O132" s="8"/>
      <c r="P132" s="8"/>
      <c r="Q132" s="8"/>
      <c r="R132" s="10"/>
      <c r="S132" s="8"/>
      <c r="T132" s="8"/>
      <c r="U132" s="8"/>
      <c r="V132" s="8"/>
      <c r="W132" s="10"/>
      <c r="X132" s="8"/>
    </row>
    <row r="133" spans="1:24">
      <c r="A133" s="8"/>
      <c r="B133" s="8"/>
      <c r="C133" s="8"/>
      <c r="D133" s="8"/>
      <c r="E133" s="8"/>
      <c r="F133" s="8"/>
      <c r="G133" s="13"/>
      <c r="H133" s="13"/>
      <c r="I133" s="13"/>
      <c r="J133" s="15"/>
      <c r="K133" s="15"/>
      <c r="L133" s="15"/>
      <c r="M133" s="15"/>
      <c r="N133" s="15"/>
      <c r="O133" s="8"/>
      <c r="P133" s="8"/>
      <c r="Q133" s="8"/>
      <c r="R133" s="10"/>
      <c r="S133" s="8"/>
      <c r="T133" s="8"/>
      <c r="U133" s="8"/>
      <c r="V133" s="8"/>
      <c r="W133" s="10"/>
      <c r="X133" s="8"/>
    </row>
    <row r="134" spans="1:24">
      <c r="A134" s="8"/>
      <c r="B134" s="8"/>
      <c r="C134" s="8"/>
      <c r="D134" s="8"/>
      <c r="E134" s="8"/>
      <c r="F134" s="8"/>
      <c r="G134" s="13"/>
      <c r="H134" s="13"/>
      <c r="I134" s="13"/>
      <c r="J134" s="15"/>
      <c r="K134" s="15"/>
      <c r="L134" s="15"/>
      <c r="M134" s="15"/>
      <c r="N134" s="15"/>
      <c r="O134" s="8"/>
      <c r="P134" s="8"/>
      <c r="Q134" s="8"/>
      <c r="R134" s="10"/>
      <c r="S134" s="8"/>
      <c r="T134" s="8"/>
      <c r="U134" s="8"/>
      <c r="V134" s="8"/>
      <c r="W134" s="10"/>
      <c r="X134" s="8"/>
    </row>
    <row r="135" spans="1:24">
      <c r="A135" s="8"/>
      <c r="B135" s="8"/>
      <c r="C135" s="8"/>
      <c r="D135" s="8"/>
      <c r="E135" s="8"/>
      <c r="F135" s="8"/>
      <c r="G135" s="13"/>
      <c r="H135" s="13"/>
      <c r="I135" s="13"/>
      <c r="J135" s="15"/>
      <c r="K135" s="15"/>
      <c r="L135" s="15"/>
      <c r="M135" s="15"/>
      <c r="N135" s="15"/>
      <c r="O135" s="8"/>
      <c r="P135" s="8"/>
      <c r="Q135" s="8"/>
      <c r="R135" s="10"/>
      <c r="S135" s="8"/>
      <c r="T135" s="8"/>
      <c r="U135" s="8"/>
      <c r="V135" s="8"/>
      <c r="W135" s="10"/>
      <c r="X135" s="8"/>
    </row>
    <row r="136" spans="1:24">
      <c r="A136" s="8"/>
      <c r="B136" s="8"/>
      <c r="C136" s="8"/>
      <c r="D136" s="8"/>
      <c r="E136" s="8"/>
      <c r="F136" s="8"/>
      <c r="G136" s="13"/>
      <c r="H136" s="13"/>
      <c r="I136" s="13"/>
      <c r="J136" s="15"/>
      <c r="K136" s="15"/>
      <c r="L136" s="15"/>
      <c r="M136" s="15"/>
      <c r="N136" s="15"/>
      <c r="O136" s="8"/>
      <c r="P136" s="8"/>
      <c r="Q136" s="8"/>
      <c r="R136" s="10"/>
      <c r="S136" s="8"/>
      <c r="T136" s="8"/>
      <c r="U136" s="8"/>
      <c r="V136" s="8"/>
      <c r="W136" s="10"/>
      <c r="X136" s="8"/>
    </row>
    <row r="137" spans="1:24">
      <c r="A137" s="8"/>
      <c r="B137" s="8"/>
      <c r="C137" s="8"/>
      <c r="D137" s="8"/>
      <c r="E137" s="8"/>
      <c r="F137" s="8"/>
      <c r="G137" s="13"/>
      <c r="H137" s="13"/>
      <c r="I137" s="13"/>
      <c r="J137" s="15"/>
      <c r="K137" s="15"/>
      <c r="L137" s="15"/>
      <c r="M137" s="15"/>
      <c r="N137" s="15"/>
      <c r="O137" s="8"/>
      <c r="P137" s="8"/>
      <c r="Q137" s="8"/>
      <c r="R137" s="10"/>
      <c r="S137" s="8"/>
      <c r="T137" s="8"/>
      <c r="U137" s="8"/>
      <c r="V137" s="8"/>
      <c r="W137" s="10"/>
      <c r="X137" s="8"/>
    </row>
    <row r="138" spans="1:24">
      <c r="A138" s="8"/>
      <c r="B138" s="8"/>
      <c r="C138" s="8"/>
      <c r="D138" s="8"/>
      <c r="E138" s="8"/>
      <c r="F138" s="8"/>
      <c r="G138" s="13"/>
      <c r="H138" s="13"/>
      <c r="I138" s="13"/>
      <c r="J138" s="15"/>
      <c r="K138" s="15"/>
      <c r="L138" s="15"/>
      <c r="M138" s="15"/>
      <c r="N138" s="15"/>
      <c r="O138" s="8"/>
      <c r="P138" s="8"/>
      <c r="Q138" s="8"/>
      <c r="R138" s="10"/>
      <c r="S138" s="8"/>
      <c r="T138" s="8"/>
      <c r="U138" s="8"/>
      <c r="V138" s="8"/>
      <c r="W138" s="10"/>
      <c r="X138" s="8"/>
    </row>
    <row r="139" spans="1:24">
      <c r="A139" s="8"/>
      <c r="B139" s="8"/>
      <c r="C139" s="8"/>
      <c r="D139" s="8"/>
      <c r="E139" s="8"/>
      <c r="F139" s="8"/>
      <c r="G139" s="13"/>
      <c r="H139" s="13"/>
      <c r="I139" s="13"/>
      <c r="J139" s="15"/>
      <c r="K139" s="15"/>
      <c r="L139" s="15"/>
      <c r="M139" s="15"/>
      <c r="N139" s="15"/>
      <c r="O139" s="8"/>
      <c r="P139" s="8"/>
      <c r="Q139" s="8"/>
      <c r="R139" s="10"/>
      <c r="S139" s="8"/>
      <c r="T139" s="8"/>
      <c r="U139" s="8"/>
      <c r="V139" s="8"/>
      <c r="W139" s="10"/>
      <c r="X139" s="8"/>
    </row>
    <row r="140" spans="1:24">
      <c r="A140" s="8"/>
      <c r="B140" s="8"/>
      <c r="C140" s="8"/>
      <c r="D140" s="8"/>
      <c r="E140" s="8"/>
      <c r="F140" s="8"/>
      <c r="G140" s="13"/>
      <c r="H140" s="13"/>
      <c r="I140" s="13"/>
      <c r="J140" s="15"/>
      <c r="K140" s="15"/>
      <c r="L140" s="15"/>
      <c r="M140" s="15"/>
      <c r="N140" s="15"/>
      <c r="O140" s="8"/>
      <c r="P140" s="8"/>
      <c r="Q140" s="8"/>
      <c r="R140" s="10"/>
      <c r="S140" s="8"/>
      <c r="T140" s="8"/>
      <c r="U140" s="8"/>
      <c r="V140" s="8"/>
      <c r="W140" s="10"/>
      <c r="X140" s="8"/>
    </row>
    <row r="141" spans="1:24">
      <c r="A141" s="8"/>
      <c r="B141" s="8"/>
      <c r="C141" s="8"/>
      <c r="D141" s="8"/>
      <c r="E141" s="8"/>
      <c r="F141" s="8"/>
      <c r="G141" s="13"/>
      <c r="H141" s="13"/>
      <c r="I141" s="13"/>
      <c r="J141" s="15"/>
      <c r="K141" s="15"/>
      <c r="L141" s="15"/>
      <c r="M141" s="15"/>
      <c r="N141" s="15"/>
      <c r="O141" s="8"/>
      <c r="P141" s="8"/>
      <c r="Q141" s="8"/>
      <c r="R141" s="10"/>
      <c r="S141" s="8"/>
      <c r="T141" s="8"/>
      <c r="U141" s="8"/>
      <c r="V141" s="8"/>
      <c r="W141" s="10"/>
      <c r="X141" s="8"/>
    </row>
    <row r="142" spans="1:24">
      <c r="A142" s="8"/>
      <c r="B142" s="8"/>
      <c r="C142" s="8"/>
      <c r="D142" s="8"/>
      <c r="E142" s="8"/>
      <c r="F142" s="8"/>
      <c r="G142" s="13"/>
      <c r="H142" s="13"/>
      <c r="I142" s="13"/>
      <c r="J142" s="15"/>
      <c r="K142" s="15"/>
      <c r="L142" s="15"/>
      <c r="M142" s="15"/>
      <c r="N142" s="15"/>
      <c r="O142" s="8"/>
      <c r="P142" s="8"/>
      <c r="Q142" s="8"/>
      <c r="R142" s="10"/>
      <c r="S142" s="8"/>
      <c r="T142" s="8"/>
      <c r="U142" s="8"/>
      <c r="V142" s="8"/>
      <c r="W142" s="10"/>
      <c r="X142" s="8"/>
    </row>
    <row r="143" spans="1:24">
      <c r="A143" s="8"/>
      <c r="B143" s="8"/>
      <c r="C143" s="8"/>
      <c r="D143" s="8"/>
      <c r="E143" s="8"/>
      <c r="F143" s="8"/>
      <c r="G143" s="13"/>
      <c r="H143" s="13"/>
      <c r="I143" s="13"/>
      <c r="J143" s="15"/>
      <c r="K143" s="15"/>
      <c r="L143" s="15"/>
      <c r="M143" s="15"/>
      <c r="N143" s="15"/>
      <c r="O143" s="8"/>
      <c r="P143" s="8"/>
      <c r="Q143" s="8"/>
      <c r="R143" s="10"/>
      <c r="S143" s="8"/>
      <c r="T143" s="8"/>
      <c r="U143" s="8"/>
      <c r="V143" s="8"/>
      <c r="W143" s="10"/>
      <c r="X143" s="8"/>
    </row>
    <row r="144" spans="1:24">
      <c r="A144" s="8"/>
      <c r="B144" s="8"/>
      <c r="C144" s="8"/>
      <c r="D144" s="8"/>
      <c r="E144" s="8"/>
      <c r="F144" s="8"/>
      <c r="G144" s="13"/>
      <c r="H144" s="13"/>
      <c r="I144" s="13"/>
      <c r="J144" s="15"/>
      <c r="K144" s="15"/>
      <c r="L144" s="15"/>
      <c r="M144" s="15"/>
      <c r="N144" s="15"/>
      <c r="O144" s="8"/>
      <c r="P144" s="8"/>
      <c r="Q144" s="8"/>
      <c r="R144" s="10"/>
      <c r="S144" s="8"/>
      <c r="T144" s="8"/>
      <c r="U144" s="8"/>
      <c r="V144" s="8"/>
      <c r="W144" s="10"/>
      <c r="X144" s="8"/>
    </row>
    <row r="145" spans="1:24">
      <c r="A145" s="8"/>
      <c r="B145" s="8"/>
      <c r="C145" s="8"/>
      <c r="D145" s="8"/>
      <c r="E145" s="8"/>
      <c r="F145" s="8"/>
      <c r="G145" s="13"/>
      <c r="H145" s="13"/>
      <c r="I145" s="13"/>
      <c r="J145" s="15"/>
      <c r="K145" s="15"/>
      <c r="L145" s="15"/>
      <c r="M145" s="15"/>
      <c r="N145" s="15"/>
      <c r="O145" s="8"/>
      <c r="P145" s="8"/>
      <c r="Q145" s="8"/>
      <c r="R145" s="10"/>
      <c r="S145" s="8"/>
      <c r="T145" s="8"/>
      <c r="U145" s="8"/>
      <c r="V145" s="8"/>
      <c r="W145" s="10"/>
      <c r="X145" s="8"/>
    </row>
    <row r="146" spans="1:24">
      <c r="A146" s="8"/>
      <c r="B146" s="8"/>
      <c r="C146" s="8"/>
      <c r="D146" s="8"/>
      <c r="E146" s="8"/>
      <c r="F146" s="8"/>
      <c r="G146" s="13"/>
      <c r="H146" s="13"/>
      <c r="I146" s="13"/>
      <c r="J146" s="15"/>
      <c r="K146" s="15"/>
      <c r="L146" s="15"/>
      <c r="M146" s="15"/>
      <c r="N146" s="15"/>
      <c r="O146" s="8"/>
      <c r="P146" s="8"/>
      <c r="Q146" s="8"/>
      <c r="R146" s="10"/>
      <c r="S146" s="8"/>
      <c r="T146" s="8"/>
      <c r="U146" s="8"/>
      <c r="V146" s="8"/>
      <c r="W146" s="10"/>
      <c r="X146" s="8"/>
    </row>
    <row r="147" spans="1:24">
      <c r="A147" s="8"/>
      <c r="B147" s="8"/>
      <c r="C147" s="8"/>
      <c r="D147" s="8"/>
      <c r="E147" s="8"/>
      <c r="F147" s="8"/>
      <c r="G147" s="13"/>
      <c r="H147" s="13"/>
      <c r="I147" s="13"/>
      <c r="J147" s="15"/>
      <c r="K147" s="15"/>
      <c r="L147" s="15"/>
      <c r="M147" s="15"/>
      <c r="N147" s="15"/>
      <c r="O147" s="8"/>
      <c r="P147" s="8"/>
      <c r="Q147" s="8"/>
      <c r="R147" s="10"/>
      <c r="S147" s="8"/>
      <c r="T147" s="8"/>
      <c r="U147" s="8"/>
      <c r="V147" s="8"/>
      <c r="W147" s="10"/>
      <c r="X147" s="8"/>
    </row>
    <row r="148" spans="1:24">
      <c r="A148" s="8"/>
      <c r="B148" s="8"/>
      <c r="C148" s="8"/>
      <c r="D148" s="8"/>
      <c r="E148" s="8"/>
      <c r="F148" s="8"/>
      <c r="G148" s="13"/>
      <c r="H148" s="13"/>
      <c r="I148" s="13"/>
      <c r="J148" s="15"/>
      <c r="K148" s="15"/>
      <c r="L148" s="15"/>
      <c r="M148" s="15"/>
      <c r="N148" s="15"/>
      <c r="O148" s="8"/>
      <c r="P148" s="8"/>
      <c r="Q148" s="8"/>
      <c r="R148" s="10"/>
      <c r="S148" s="8"/>
      <c r="T148" s="8"/>
      <c r="U148" s="8"/>
      <c r="V148" s="8"/>
      <c r="W148" s="10"/>
      <c r="X148" s="8"/>
    </row>
    <row r="149" spans="1:24">
      <c r="A149" s="8"/>
      <c r="B149" s="8"/>
      <c r="C149" s="8"/>
      <c r="D149" s="8"/>
      <c r="E149" s="8"/>
      <c r="F149" s="8"/>
      <c r="G149" s="13"/>
      <c r="H149" s="13"/>
      <c r="I149" s="13"/>
      <c r="J149" s="15"/>
      <c r="K149" s="15"/>
      <c r="L149" s="15"/>
      <c r="M149" s="15"/>
      <c r="N149" s="15"/>
      <c r="O149" s="8"/>
      <c r="P149" s="8"/>
      <c r="Q149" s="8"/>
      <c r="R149" s="10"/>
      <c r="S149" s="8"/>
      <c r="T149" s="8"/>
      <c r="U149" s="8"/>
      <c r="V149" s="8"/>
      <c r="W149" s="10"/>
      <c r="X149" s="8"/>
    </row>
    <row r="150" spans="1:24">
      <c r="A150" s="8"/>
      <c r="B150" s="8"/>
      <c r="C150" s="8"/>
      <c r="D150" s="8"/>
      <c r="E150" s="8"/>
      <c r="F150" s="8"/>
      <c r="G150" s="13"/>
      <c r="H150" s="13"/>
      <c r="I150" s="13"/>
      <c r="J150" s="15"/>
      <c r="K150" s="15"/>
      <c r="L150" s="15"/>
      <c r="M150" s="15"/>
      <c r="N150" s="15"/>
      <c r="O150" s="8"/>
      <c r="P150" s="8"/>
      <c r="Q150" s="8"/>
      <c r="R150" s="10"/>
      <c r="S150" s="8"/>
      <c r="T150" s="8"/>
      <c r="U150" s="8"/>
      <c r="V150" s="8"/>
      <c r="W150" s="10"/>
      <c r="X150" s="8"/>
    </row>
    <row r="151" spans="1:24">
      <c r="A151" s="8"/>
      <c r="B151" s="8"/>
      <c r="C151" s="8"/>
      <c r="D151" s="8"/>
      <c r="E151" s="8"/>
      <c r="F151" s="8"/>
      <c r="G151" s="13"/>
      <c r="H151" s="13"/>
      <c r="I151" s="13"/>
      <c r="J151" s="15"/>
      <c r="K151" s="15"/>
      <c r="L151" s="15"/>
      <c r="M151" s="15"/>
      <c r="N151" s="15"/>
      <c r="O151" s="8"/>
      <c r="P151" s="8"/>
      <c r="Q151" s="8"/>
      <c r="R151" s="10"/>
      <c r="S151" s="8"/>
      <c r="T151" s="8"/>
      <c r="U151" s="8"/>
      <c r="V151" s="8"/>
      <c r="W151" s="10"/>
      <c r="X151" s="8"/>
    </row>
    <row r="152" spans="1:24">
      <c r="A152" s="8"/>
      <c r="B152" s="8"/>
      <c r="C152" s="8"/>
      <c r="D152" s="8"/>
      <c r="E152" s="8"/>
      <c r="F152" s="8"/>
      <c r="G152" s="13"/>
      <c r="H152" s="13"/>
      <c r="I152" s="13"/>
      <c r="J152" s="15"/>
      <c r="K152" s="15"/>
      <c r="L152" s="15"/>
      <c r="M152" s="15"/>
      <c r="N152" s="15"/>
      <c r="O152" s="8"/>
      <c r="P152" s="8"/>
      <c r="Q152" s="8"/>
      <c r="R152" s="10"/>
      <c r="S152" s="8"/>
      <c r="T152" s="8"/>
      <c r="U152" s="8"/>
      <c r="V152" s="8"/>
      <c r="W152" s="10"/>
      <c r="X152" s="8"/>
    </row>
    <row r="153" spans="1:24">
      <c r="A153" s="8"/>
      <c r="B153" s="8"/>
      <c r="C153" s="8"/>
      <c r="D153" s="8"/>
      <c r="E153" s="8"/>
      <c r="F153" s="8"/>
      <c r="G153" s="13"/>
      <c r="H153" s="13"/>
      <c r="I153" s="13"/>
      <c r="J153" s="15"/>
      <c r="K153" s="15"/>
      <c r="L153" s="15"/>
      <c r="M153" s="15"/>
      <c r="N153" s="15"/>
      <c r="O153" s="8"/>
      <c r="P153" s="8"/>
      <c r="Q153" s="8"/>
      <c r="R153" s="10"/>
      <c r="S153" s="8"/>
      <c r="T153" s="8"/>
      <c r="U153" s="8"/>
      <c r="V153" s="8"/>
      <c r="W153" s="10"/>
      <c r="X153" s="8"/>
    </row>
    <row r="154" spans="1:24">
      <c r="A154" s="8"/>
      <c r="B154" s="8"/>
      <c r="C154" s="8"/>
      <c r="D154" s="8"/>
      <c r="E154" s="8"/>
      <c r="F154" s="8"/>
      <c r="G154" s="13"/>
      <c r="H154" s="13"/>
      <c r="I154" s="13"/>
      <c r="J154" s="15"/>
      <c r="K154" s="15"/>
      <c r="L154" s="15"/>
      <c r="M154" s="15"/>
      <c r="N154" s="15"/>
      <c r="O154" s="8"/>
      <c r="P154" s="8"/>
      <c r="Q154" s="8"/>
      <c r="R154" s="10"/>
      <c r="S154" s="8"/>
      <c r="T154" s="8"/>
      <c r="U154" s="8"/>
      <c r="V154" s="8"/>
      <c r="W154" s="10"/>
      <c r="X154" s="8"/>
    </row>
    <row r="155" spans="1:24">
      <c r="A155" s="8"/>
      <c r="B155" s="8"/>
      <c r="C155" s="8"/>
      <c r="D155" s="8"/>
      <c r="E155" s="8"/>
      <c r="F155" s="8"/>
      <c r="G155" s="13"/>
      <c r="H155" s="13"/>
      <c r="I155" s="13"/>
      <c r="J155" s="15"/>
      <c r="K155" s="15"/>
      <c r="L155" s="15"/>
      <c r="M155" s="15"/>
      <c r="N155" s="15"/>
      <c r="O155" s="8"/>
      <c r="P155" s="8"/>
      <c r="Q155" s="8"/>
      <c r="R155" s="10"/>
      <c r="S155" s="8"/>
      <c r="T155" s="8"/>
      <c r="U155" s="8"/>
      <c r="V155" s="8"/>
      <c r="W155" s="10"/>
      <c r="X155" s="8"/>
    </row>
    <row r="156" spans="1:24">
      <c r="A156" s="8"/>
      <c r="B156" s="8"/>
      <c r="C156" s="8"/>
      <c r="D156" s="8"/>
      <c r="E156" s="8"/>
      <c r="F156" s="8"/>
      <c r="G156" s="13"/>
      <c r="H156" s="13"/>
      <c r="I156" s="13"/>
      <c r="J156" s="15"/>
      <c r="K156" s="15"/>
      <c r="L156" s="15"/>
      <c r="M156" s="15"/>
      <c r="N156" s="15"/>
      <c r="O156" s="8"/>
      <c r="P156" s="8"/>
      <c r="Q156" s="8"/>
      <c r="R156" s="10"/>
      <c r="S156" s="8"/>
      <c r="T156" s="8"/>
      <c r="U156" s="8"/>
      <c r="V156" s="8"/>
      <c r="W156" s="10"/>
      <c r="X156" s="8"/>
    </row>
    <row r="157" spans="1:24">
      <c r="A157" s="8"/>
      <c r="B157" s="8"/>
      <c r="C157" s="8"/>
      <c r="D157" s="8"/>
      <c r="E157" s="8"/>
      <c r="F157" s="8"/>
      <c r="G157" s="13"/>
      <c r="H157" s="13"/>
      <c r="I157" s="13"/>
      <c r="J157" s="15"/>
      <c r="K157" s="15"/>
      <c r="L157" s="15"/>
      <c r="M157" s="15"/>
      <c r="N157" s="15"/>
      <c r="O157" s="8"/>
      <c r="P157" s="8"/>
      <c r="Q157" s="8"/>
      <c r="R157" s="10"/>
      <c r="S157" s="8"/>
      <c r="T157" s="8"/>
      <c r="U157" s="8"/>
      <c r="V157" s="8"/>
      <c r="W157" s="10"/>
      <c r="X157" s="8"/>
    </row>
    <row r="158" spans="1:24">
      <c r="A158" s="8"/>
      <c r="B158" s="8"/>
      <c r="C158" s="8"/>
      <c r="D158" s="8"/>
      <c r="E158" s="8"/>
      <c r="F158" s="8"/>
      <c r="G158" s="13"/>
      <c r="H158" s="13"/>
      <c r="I158" s="13"/>
      <c r="J158" s="15"/>
      <c r="K158" s="15"/>
      <c r="L158" s="15"/>
      <c r="M158" s="15"/>
      <c r="N158" s="15"/>
      <c r="O158" s="8"/>
      <c r="P158" s="8"/>
      <c r="Q158" s="8"/>
      <c r="R158" s="10"/>
      <c r="S158" s="8"/>
      <c r="T158" s="8"/>
      <c r="U158" s="8"/>
      <c r="V158" s="8"/>
      <c r="W158" s="10"/>
      <c r="X158" s="8"/>
    </row>
    <row r="159" spans="1:24">
      <c r="A159" s="8"/>
      <c r="B159" s="8"/>
      <c r="C159" s="8"/>
      <c r="D159" s="8"/>
      <c r="E159" s="8"/>
      <c r="F159" s="8"/>
      <c r="G159" s="13"/>
      <c r="H159" s="13"/>
      <c r="I159" s="13"/>
      <c r="J159" s="15"/>
      <c r="K159" s="15"/>
      <c r="L159" s="15"/>
      <c r="M159" s="15"/>
      <c r="N159" s="15"/>
      <c r="O159" s="8"/>
      <c r="P159" s="8"/>
      <c r="Q159" s="8"/>
      <c r="R159" s="10"/>
      <c r="S159" s="8"/>
      <c r="T159" s="8"/>
      <c r="U159" s="8"/>
      <c r="V159" s="8"/>
      <c r="W159" s="10"/>
      <c r="X159" s="8"/>
    </row>
    <row r="160" spans="1:24">
      <c r="A160" s="8"/>
      <c r="B160" s="8"/>
      <c r="C160" s="8"/>
      <c r="D160" s="8"/>
      <c r="E160" s="8"/>
      <c r="F160" s="8"/>
      <c r="G160" s="13"/>
      <c r="H160" s="13"/>
      <c r="I160" s="13"/>
      <c r="J160" s="15"/>
      <c r="K160" s="15"/>
      <c r="L160" s="15"/>
      <c r="M160" s="15"/>
      <c r="N160" s="15"/>
      <c r="O160" s="8"/>
      <c r="P160" s="8"/>
      <c r="Q160" s="8"/>
      <c r="R160" s="10"/>
      <c r="S160" s="8"/>
      <c r="T160" s="8"/>
      <c r="U160" s="8"/>
      <c r="V160" s="8"/>
      <c r="W160" s="10"/>
      <c r="X160" s="8"/>
    </row>
    <row r="161" spans="1:24">
      <c r="A161" s="8"/>
      <c r="B161" s="8"/>
      <c r="C161" s="8"/>
      <c r="D161" s="8"/>
      <c r="E161" s="8"/>
      <c r="F161" s="8"/>
      <c r="G161" s="13"/>
      <c r="H161" s="13"/>
      <c r="I161" s="13"/>
      <c r="J161" s="15"/>
      <c r="K161" s="15"/>
      <c r="L161" s="15"/>
      <c r="M161" s="15"/>
      <c r="N161" s="15"/>
      <c r="O161" s="8"/>
      <c r="P161" s="8"/>
      <c r="Q161" s="8"/>
      <c r="R161" s="10"/>
      <c r="S161" s="8"/>
      <c r="T161" s="8"/>
      <c r="U161" s="8"/>
      <c r="V161" s="8"/>
      <c r="W161" s="10"/>
      <c r="X161" s="8"/>
    </row>
    <row r="162" spans="1:24">
      <c r="A162" s="8"/>
      <c r="B162" s="8"/>
      <c r="C162" s="8"/>
      <c r="D162" s="8"/>
      <c r="E162" s="8"/>
      <c r="F162" s="8"/>
      <c r="G162" s="13"/>
      <c r="H162" s="13"/>
      <c r="I162" s="13"/>
      <c r="J162" s="15"/>
      <c r="K162" s="15"/>
      <c r="L162" s="15"/>
      <c r="M162" s="15"/>
      <c r="N162" s="15"/>
      <c r="O162" s="8"/>
      <c r="P162" s="8"/>
      <c r="Q162" s="8"/>
      <c r="R162" s="10"/>
      <c r="S162" s="8"/>
      <c r="T162" s="8"/>
      <c r="U162" s="8"/>
      <c r="V162" s="8"/>
      <c r="W162" s="10"/>
      <c r="X162" s="8"/>
    </row>
    <row r="163" spans="1:24">
      <c r="A163" s="8"/>
      <c r="B163" s="8"/>
      <c r="C163" s="8"/>
      <c r="D163" s="8"/>
      <c r="E163" s="8"/>
      <c r="F163" s="8"/>
      <c r="G163" s="13"/>
      <c r="H163" s="13"/>
      <c r="I163" s="13"/>
      <c r="J163" s="15"/>
      <c r="K163" s="15"/>
      <c r="L163" s="15"/>
      <c r="M163" s="15"/>
      <c r="N163" s="15"/>
      <c r="O163" s="8"/>
      <c r="P163" s="8"/>
      <c r="Q163" s="8"/>
      <c r="R163" s="10"/>
      <c r="S163" s="8"/>
      <c r="T163" s="8"/>
      <c r="U163" s="8"/>
      <c r="V163" s="8"/>
      <c r="W163" s="10"/>
      <c r="X163" s="8"/>
    </row>
    <row r="164" spans="1:24">
      <c r="A164" s="8"/>
      <c r="B164" s="8"/>
      <c r="C164" s="8"/>
      <c r="D164" s="8"/>
      <c r="E164" s="8"/>
      <c r="F164" s="8"/>
      <c r="G164" s="13"/>
      <c r="H164" s="13"/>
      <c r="I164" s="13"/>
      <c r="J164" s="15"/>
      <c r="K164" s="15"/>
      <c r="L164" s="15"/>
      <c r="M164" s="15"/>
      <c r="N164" s="15"/>
      <c r="O164" s="8"/>
      <c r="P164" s="8"/>
      <c r="Q164" s="8"/>
      <c r="R164" s="10"/>
      <c r="S164" s="8"/>
      <c r="T164" s="8"/>
      <c r="U164" s="8"/>
      <c r="V164" s="8"/>
      <c r="W164" s="10"/>
      <c r="X164" s="8"/>
    </row>
    <row r="165" spans="1:24">
      <c r="A165" s="8"/>
      <c r="B165" s="8"/>
      <c r="C165" s="8"/>
      <c r="D165" s="8"/>
      <c r="E165" s="8"/>
      <c r="F165" s="8"/>
      <c r="G165" s="13"/>
      <c r="H165" s="13"/>
      <c r="I165" s="13"/>
      <c r="J165" s="15"/>
      <c r="K165" s="15"/>
      <c r="L165" s="15"/>
      <c r="M165" s="15"/>
      <c r="N165" s="15"/>
      <c r="O165" s="8"/>
      <c r="P165" s="8"/>
      <c r="Q165" s="8"/>
      <c r="R165" s="10"/>
      <c r="S165" s="8"/>
      <c r="T165" s="8"/>
      <c r="U165" s="8"/>
      <c r="V165" s="8"/>
      <c r="W165" s="10"/>
      <c r="X165" s="8"/>
    </row>
    <row r="166" spans="1:24">
      <c r="A166" s="8"/>
      <c r="B166" s="8"/>
      <c r="C166" s="8"/>
      <c r="D166" s="8"/>
      <c r="E166" s="8"/>
      <c r="F166" s="8"/>
      <c r="G166" s="13"/>
      <c r="H166" s="13"/>
      <c r="I166" s="13"/>
      <c r="J166" s="15"/>
      <c r="K166" s="15"/>
      <c r="L166" s="15"/>
      <c r="M166" s="15"/>
      <c r="N166" s="15"/>
      <c r="O166" s="8"/>
      <c r="P166" s="8"/>
      <c r="Q166" s="8"/>
      <c r="R166" s="10"/>
      <c r="S166" s="8"/>
      <c r="T166" s="8"/>
      <c r="U166" s="8"/>
      <c r="V166" s="8"/>
      <c r="W166" s="10"/>
      <c r="X166" s="8"/>
    </row>
    <row r="167" spans="1:24">
      <c r="A167" s="8"/>
      <c r="B167" s="8"/>
      <c r="C167" s="8"/>
      <c r="D167" s="8"/>
      <c r="E167" s="8"/>
      <c r="F167" s="8"/>
      <c r="G167" s="13"/>
      <c r="H167" s="13"/>
      <c r="I167" s="13"/>
      <c r="J167" s="15"/>
      <c r="K167" s="15"/>
      <c r="L167" s="15"/>
      <c r="M167" s="15"/>
      <c r="N167" s="15"/>
      <c r="O167" s="8"/>
      <c r="P167" s="8"/>
      <c r="Q167" s="8"/>
      <c r="R167" s="10"/>
      <c r="S167" s="8"/>
      <c r="T167" s="8"/>
      <c r="U167" s="8"/>
      <c r="V167" s="8"/>
      <c r="W167" s="10"/>
      <c r="X167" s="8"/>
    </row>
    <row r="168" spans="1:24">
      <c r="A168" s="8"/>
      <c r="B168" s="8"/>
      <c r="C168" s="8"/>
      <c r="D168" s="8"/>
      <c r="E168" s="8"/>
      <c r="F168" s="8"/>
      <c r="G168" s="13"/>
      <c r="H168" s="13"/>
      <c r="I168" s="13"/>
      <c r="J168" s="15"/>
      <c r="K168" s="15"/>
      <c r="L168" s="15"/>
      <c r="M168" s="15"/>
      <c r="N168" s="15"/>
      <c r="O168" s="8"/>
      <c r="P168" s="8"/>
      <c r="Q168" s="8"/>
      <c r="R168" s="10"/>
      <c r="S168" s="8"/>
      <c r="T168" s="8"/>
      <c r="U168" s="8"/>
      <c r="V168" s="8"/>
      <c r="W168" s="10"/>
      <c r="X168" s="8"/>
    </row>
    <row r="169" spans="1:24">
      <c r="A169" s="8"/>
      <c r="B169" s="8"/>
      <c r="C169" s="8"/>
      <c r="D169" s="8"/>
      <c r="E169" s="8"/>
      <c r="F169" s="8"/>
      <c r="G169" s="13"/>
      <c r="H169" s="13"/>
      <c r="I169" s="13"/>
      <c r="J169" s="15"/>
      <c r="K169" s="15"/>
      <c r="L169" s="15"/>
      <c r="M169" s="15"/>
      <c r="N169" s="15"/>
      <c r="O169" s="8"/>
      <c r="P169" s="8"/>
      <c r="Q169" s="8"/>
      <c r="R169" s="10"/>
      <c r="S169" s="8"/>
      <c r="T169" s="8"/>
      <c r="U169" s="8"/>
      <c r="V169" s="8"/>
      <c r="W169" s="10"/>
      <c r="X169" s="8"/>
    </row>
    <row r="170" spans="1:24">
      <c r="A170" s="8"/>
      <c r="B170" s="8"/>
      <c r="C170" s="8"/>
      <c r="D170" s="8"/>
      <c r="E170" s="8"/>
      <c r="F170" s="8"/>
      <c r="G170" s="13"/>
      <c r="H170" s="13"/>
      <c r="I170" s="13"/>
      <c r="J170" s="15"/>
      <c r="K170" s="15"/>
      <c r="L170" s="15"/>
      <c r="M170" s="15"/>
      <c r="N170" s="15"/>
      <c r="O170" s="8"/>
      <c r="P170" s="8"/>
      <c r="Q170" s="8"/>
      <c r="R170" s="10"/>
      <c r="S170" s="8"/>
      <c r="T170" s="8"/>
      <c r="U170" s="8"/>
      <c r="V170" s="8"/>
      <c r="W170" s="10"/>
      <c r="X170" s="8"/>
    </row>
    <row r="171" spans="1:24">
      <c r="A171" s="8"/>
      <c r="B171" s="8"/>
      <c r="C171" s="8"/>
      <c r="D171" s="8"/>
      <c r="E171" s="8"/>
      <c r="F171" s="8"/>
      <c r="G171" s="13"/>
      <c r="H171" s="13"/>
      <c r="I171" s="13"/>
      <c r="J171" s="15"/>
      <c r="K171" s="15"/>
      <c r="L171" s="15"/>
      <c r="M171" s="15"/>
      <c r="N171" s="15"/>
      <c r="O171" s="8"/>
      <c r="P171" s="8"/>
      <c r="Q171" s="8"/>
      <c r="R171" s="10"/>
      <c r="S171" s="8"/>
      <c r="T171" s="8"/>
      <c r="U171" s="8"/>
      <c r="V171" s="8"/>
      <c r="W171" s="10"/>
      <c r="X171" s="8"/>
    </row>
    <row r="172" spans="1:24">
      <c r="A172" s="8"/>
      <c r="B172" s="8"/>
      <c r="C172" s="8"/>
      <c r="D172" s="8"/>
      <c r="E172" s="8"/>
      <c r="F172" s="8"/>
      <c r="G172" s="13"/>
      <c r="H172" s="13"/>
      <c r="I172" s="13"/>
      <c r="J172" s="15"/>
      <c r="K172" s="15"/>
      <c r="L172" s="15"/>
      <c r="M172" s="15"/>
      <c r="N172" s="15"/>
      <c r="O172" s="8"/>
      <c r="P172" s="8"/>
      <c r="Q172" s="8"/>
      <c r="R172" s="10"/>
      <c r="S172" s="8"/>
      <c r="T172" s="8"/>
      <c r="U172" s="8"/>
      <c r="V172" s="8"/>
      <c r="W172" s="10"/>
      <c r="X172" s="8"/>
    </row>
    <row r="173" spans="1:24">
      <c r="A173" s="8"/>
      <c r="B173" s="8"/>
      <c r="C173" s="8"/>
      <c r="D173" s="8"/>
      <c r="E173" s="8"/>
      <c r="F173" s="8"/>
      <c r="G173" s="13"/>
      <c r="H173" s="13"/>
      <c r="I173" s="13"/>
      <c r="J173" s="15"/>
      <c r="K173" s="15"/>
      <c r="L173" s="15"/>
      <c r="M173" s="15"/>
      <c r="N173" s="15"/>
      <c r="O173" s="8"/>
      <c r="P173" s="8"/>
      <c r="Q173" s="8"/>
      <c r="R173" s="10"/>
      <c r="S173" s="8"/>
      <c r="T173" s="8"/>
      <c r="U173" s="8"/>
      <c r="V173" s="8"/>
      <c r="W173" s="10"/>
      <c r="X173" s="8"/>
    </row>
    <row r="174" spans="1:24">
      <c r="A174" s="8"/>
      <c r="B174" s="8"/>
      <c r="C174" s="8"/>
      <c r="D174" s="8"/>
      <c r="E174" s="8"/>
      <c r="F174" s="8"/>
      <c r="G174" s="13"/>
      <c r="H174" s="13"/>
      <c r="I174" s="13"/>
      <c r="J174" s="15"/>
      <c r="K174" s="15"/>
      <c r="L174" s="15"/>
      <c r="M174" s="15"/>
      <c r="N174" s="15"/>
      <c r="O174" s="8"/>
      <c r="P174" s="8"/>
      <c r="Q174" s="8"/>
      <c r="R174" s="10"/>
      <c r="S174" s="8"/>
      <c r="T174" s="8"/>
      <c r="U174" s="8"/>
      <c r="V174" s="8"/>
      <c r="W174" s="10"/>
      <c r="X174" s="8"/>
    </row>
    <row r="175" spans="1:24">
      <c r="A175" s="8"/>
      <c r="B175" s="8"/>
      <c r="C175" s="8"/>
      <c r="D175" s="8"/>
      <c r="E175" s="8"/>
      <c r="F175" s="8"/>
      <c r="G175" s="13"/>
      <c r="H175" s="13"/>
      <c r="I175" s="13"/>
      <c r="J175" s="15"/>
      <c r="K175" s="15"/>
      <c r="L175" s="15"/>
      <c r="M175" s="15"/>
      <c r="N175" s="15"/>
      <c r="O175" s="8"/>
      <c r="P175" s="8"/>
      <c r="Q175" s="8"/>
      <c r="R175" s="10"/>
      <c r="S175" s="8"/>
      <c r="T175" s="8"/>
      <c r="U175" s="8"/>
      <c r="V175" s="8"/>
      <c r="W175" s="10"/>
      <c r="X175" s="8"/>
    </row>
    <row r="176" spans="1:24">
      <c r="A176" s="8"/>
      <c r="B176" s="8"/>
      <c r="C176" s="8"/>
      <c r="D176" s="8"/>
      <c r="E176" s="8"/>
      <c r="F176" s="8"/>
      <c r="G176" s="13"/>
      <c r="H176" s="13"/>
      <c r="I176" s="13"/>
      <c r="J176" s="15"/>
      <c r="K176" s="15"/>
      <c r="L176" s="15"/>
      <c r="M176" s="15"/>
      <c r="N176" s="15"/>
      <c r="O176" s="8"/>
      <c r="P176" s="8"/>
      <c r="Q176" s="8"/>
      <c r="R176" s="10"/>
      <c r="S176" s="8"/>
      <c r="T176" s="8"/>
      <c r="U176" s="8"/>
      <c r="V176" s="8"/>
      <c r="W176" s="10"/>
      <c r="X176" s="8"/>
    </row>
    <row r="177" spans="1:24">
      <c r="A177" s="8"/>
      <c r="B177" s="8"/>
      <c r="C177" s="8"/>
      <c r="D177" s="8"/>
      <c r="E177" s="8"/>
      <c r="F177" s="8"/>
      <c r="G177" s="13"/>
      <c r="H177" s="13"/>
      <c r="I177" s="13"/>
      <c r="J177" s="15"/>
      <c r="K177" s="15"/>
      <c r="L177" s="15"/>
      <c r="M177" s="15"/>
      <c r="N177" s="15"/>
      <c r="O177" s="8"/>
      <c r="P177" s="8"/>
      <c r="Q177" s="8"/>
      <c r="R177" s="10"/>
      <c r="S177" s="8"/>
      <c r="T177" s="8"/>
      <c r="U177" s="8"/>
      <c r="V177" s="8"/>
      <c r="W177" s="10"/>
      <c r="X177" s="8"/>
    </row>
    <row r="178" spans="1:24">
      <c r="A178" s="8"/>
      <c r="B178" s="8"/>
      <c r="C178" s="8"/>
      <c r="D178" s="8"/>
      <c r="E178" s="8"/>
      <c r="F178" s="8"/>
      <c r="G178" s="13"/>
      <c r="H178" s="13"/>
      <c r="I178" s="13"/>
      <c r="J178" s="15"/>
      <c r="K178" s="15"/>
      <c r="L178" s="15"/>
      <c r="M178" s="15"/>
      <c r="N178" s="15"/>
      <c r="O178" s="8"/>
      <c r="P178" s="8"/>
      <c r="Q178" s="8"/>
      <c r="R178" s="10"/>
      <c r="S178" s="8"/>
      <c r="T178" s="8"/>
      <c r="U178" s="8"/>
      <c r="V178" s="8"/>
      <c r="W178" s="10"/>
      <c r="X178" s="8"/>
    </row>
    <row r="179" spans="1:24">
      <c r="A179" s="8"/>
      <c r="B179" s="8"/>
      <c r="C179" s="8"/>
      <c r="D179" s="8"/>
      <c r="E179" s="8"/>
      <c r="F179" s="8"/>
      <c r="G179" s="13"/>
      <c r="H179" s="13"/>
      <c r="I179" s="13"/>
      <c r="J179" s="15"/>
      <c r="K179" s="15"/>
      <c r="L179" s="15"/>
      <c r="M179" s="15"/>
      <c r="N179" s="15"/>
      <c r="O179" s="8"/>
      <c r="P179" s="8"/>
      <c r="Q179" s="8"/>
      <c r="R179" s="10"/>
      <c r="S179" s="8"/>
      <c r="T179" s="8"/>
      <c r="U179" s="8"/>
      <c r="V179" s="8"/>
      <c r="W179" s="10"/>
      <c r="X179" s="8"/>
    </row>
    <row r="180" spans="1:24">
      <c r="A180" s="8"/>
      <c r="B180" s="8"/>
      <c r="C180" s="8"/>
      <c r="D180" s="8"/>
      <c r="E180" s="8"/>
      <c r="F180" s="8"/>
      <c r="G180" s="13"/>
      <c r="H180" s="13"/>
      <c r="I180" s="13"/>
      <c r="J180" s="15"/>
      <c r="K180" s="15"/>
      <c r="L180" s="15"/>
      <c r="M180" s="15"/>
      <c r="N180" s="15"/>
      <c r="O180" s="8"/>
      <c r="P180" s="8"/>
      <c r="Q180" s="8"/>
      <c r="R180" s="10"/>
      <c r="S180" s="8"/>
      <c r="T180" s="8"/>
      <c r="U180" s="8"/>
      <c r="V180" s="8"/>
      <c r="W180" s="10"/>
      <c r="X180" s="8"/>
    </row>
    <row r="181" spans="1:24">
      <c r="A181" s="8"/>
      <c r="B181" s="8"/>
      <c r="C181" s="8"/>
      <c r="D181" s="8"/>
      <c r="E181" s="8"/>
      <c r="F181" s="8"/>
      <c r="G181" s="13"/>
      <c r="H181" s="13"/>
      <c r="I181" s="13"/>
      <c r="J181" s="15"/>
      <c r="K181" s="15"/>
      <c r="L181" s="15"/>
      <c r="M181" s="15"/>
      <c r="N181" s="15"/>
      <c r="O181" s="8"/>
      <c r="P181" s="8"/>
      <c r="Q181" s="8"/>
      <c r="R181" s="10"/>
      <c r="S181" s="8"/>
      <c r="T181" s="8"/>
      <c r="U181" s="8"/>
      <c r="V181" s="8"/>
      <c r="W181" s="10"/>
      <c r="X181" s="8"/>
    </row>
    <row r="182" spans="1:24">
      <c r="A182" s="8"/>
      <c r="B182" s="8"/>
      <c r="C182" s="8"/>
      <c r="D182" s="8"/>
      <c r="E182" s="8"/>
      <c r="F182" s="8"/>
      <c r="G182" s="13"/>
      <c r="H182" s="13"/>
      <c r="I182" s="13"/>
      <c r="J182" s="15"/>
      <c r="K182" s="15"/>
      <c r="L182" s="15"/>
      <c r="M182" s="15"/>
      <c r="N182" s="15"/>
      <c r="O182" s="8"/>
      <c r="P182" s="8"/>
      <c r="Q182" s="8"/>
      <c r="R182" s="10"/>
      <c r="S182" s="8"/>
      <c r="T182" s="8"/>
      <c r="U182" s="8"/>
      <c r="V182" s="8"/>
      <c r="W182" s="10"/>
      <c r="X182" s="8"/>
    </row>
    <row r="183" spans="1:24">
      <c r="A183" s="8"/>
      <c r="B183" s="8"/>
      <c r="C183" s="8"/>
      <c r="D183" s="8"/>
      <c r="E183" s="8"/>
      <c r="F183" s="8"/>
      <c r="G183" s="13"/>
      <c r="H183" s="13"/>
      <c r="I183" s="13"/>
      <c r="J183" s="15"/>
      <c r="K183" s="15"/>
      <c r="L183" s="15"/>
      <c r="M183" s="15"/>
      <c r="N183" s="15"/>
      <c r="O183" s="8"/>
      <c r="P183" s="8"/>
      <c r="Q183" s="8"/>
      <c r="R183" s="10"/>
      <c r="S183" s="8"/>
      <c r="T183" s="8"/>
      <c r="U183" s="8"/>
      <c r="V183" s="8"/>
      <c r="W183" s="10"/>
      <c r="X183" s="8"/>
    </row>
    <row r="184" spans="1:24">
      <c r="A184" s="8"/>
      <c r="B184" s="8"/>
      <c r="C184" s="8"/>
      <c r="D184" s="8"/>
      <c r="E184" s="8"/>
      <c r="F184" s="8"/>
      <c r="G184" s="13"/>
      <c r="H184" s="13"/>
      <c r="I184" s="13"/>
      <c r="J184" s="15"/>
      <c r="K184" s="15"/>
      <c r="L184" s="15"/>
      <c r="M184" s="15"/>
      <c r="N184" s="15"/>
      <c r="O184" s="8"/>
      <c r="P184" s="8"/>
      <c r="Q184" s="8"/>
      <c r="R184" s="10"/>
      <c r="S184" s="8"/>
      <c r="T184" s="8"/>
      <c r="U184" s="8"/>
      <c r="V184" s="8"/>
      <c r="W184" s="10"/>
      <c r="X184" s="8"/>
    </row>
    <row r="185" spans="1:24">
      <c r="A185" s="8"/>
      <c r="B185" s="8"/>
      <c r="C185" s="8"/>
      <c r="D185" s="8"/>
      <c r="E185" s="8"/>
      <c r="F185" s="8"/>
      <c r="G185" s="13"/>
      <c r="H185" s="13"/>
      <c r="I185" s="13"/>
      <c r="J185" s="15"/>
      <c r="K185" s="15"/>
      <c r="L185" s="15"/>
      <c r="M185" s="15"/>
      <c r="N185" s="15"/>
      <c r="O185" s="8"/>
      <c r="P185" s="8"/>
      <c r="Q185" s="8"/>
      <c r="R185" s="10"/>
      <c r="S185" s="8"/>
      <c r="T185" s="8"/>
      <c r="U185" s="8"/>
      <c r="V185" s="8"/>
      <c r="W185" s="10"/>
      <c r="X185" s="8"/>
    </row>
    <row r="186" spans="1:24">
      <c r="A186" s="8"/>
      <c r="B186" s="8"/>
      <c r="C186" s="8"/>
      <c r="D186" s="8"/>
      <c r="E186" s="8"/>
      <c r="F186" s="8"/>
      <c r="G186" s="13"/>
      <c r="H186" s="13"/>
      <c r="I186" s="13"/>
      <c r="J186" s="15"/>
      <c r="K186" s="15"/>
      <c r="L186" s="15"/>
      <c r="M186" s="15"/>
      <c r="N186" s="15"/>
      <c r="O186" s="8"/>
      <c r="P186" s="8"/>
      <c r="Q186" s="8"/>
      <c r="R186" s="10"/>
      <c r="S186" s="8"/>
      <c r="T186" s="8"/>
      <c r="U186" s="8"/>
      <c r="V186" s="8"/>
      <c r="W186" s="10"/>
      <c r="X186" s="8"/>
    </row>
    <row r="187" spans="1:24">
      <c r="A187" s="8"/>
      <c r="B187" s="8"/>
      <c r="C187" s="8"/>
      <c r="D187" s="8"/>
      <c r="E187" s="8"/>
      <c r="F187" s="8"/>
      <c r="G187" s="13"/>
      <c r="H187" s="13"/>
      <c r="I187" s="13"/>
      <c r="J187" s="15"/>
      <c r="K187" s="15"/>
      <c r="L187" s="15"/>
      <c r="M187" s="15"/>
      <c r="N187" s="15"/>
      <c r="O187" s="8"/>
      <c r="P187" s="8"/>
      <c r="Q187" s="8"/>
      <c r="R187" s="10"/>
      <c r="S187" s="8"/>
      <c r="T187" s="8"/>
      <c r="U187" s="8"/>
      <c r="V187" s="8"/>
      <c r="W187" s="10"/>
      <c r="X187" s="8"/>
    </row>
    <row r="188" spans="1:24">
      <c r="A188" s="8"/>
      <c r="B188" s="8"/>
      <c r="C188" s="8"/>
      <c r="D188" s="8"/>
      <c r="E188" s="8"/>
      <c r="F188" s="8"/>
      <c r="G188" s="13"/>
      <c r="H188" s="13"/>
      <c r="I188" s="13"/>
      <c r="J188" s="15"/>
      <c r="K188" s="15"/>
      <c r="L188" s="15"/>
      <c r="M188" s="15"/>
      <c r="N188" s="15"/>
      <c r="O188" s="8"/>
      <c r="P188" s="8"/>
      <c r="Q188" s="8"/>
      <c r="R188" s="10"/>
      <c r="S188" s="8"/>
      <c r="T188" s="8"/>
      <c r="U188" s="8"/>
      <c r="V188" s="8"/>
      <c r="W188" s="10"/>
      <c r="X188" s="8"/>
    </row>
    <row r="189" spans="1:24">
      <c r="A189" s="8"/>
      <c r="B189" s="8"/>
      <c r="C189" s="8"/>
      <c r="D189" s="8"/>
      <c r="E189" s="8"/>
      <c r="F189" s="8"/>
      <c r="G189" s="13"/>
      <c r="H189" s="13"/>
      <c r="I189" s="13"/>
      <c r="J189" s="15"/>
      <c r="K189" s="15"/>
      <c r="L189" s="15"/>
      <c r="M189" s="15"/>
      <c r="N189" s="15"/>
      <c r="O189" s="8"/>
      <c r="P189" s="8"/>
      <c r="Q189" s="8"/>
      <c r="R189" s="10"/>
      <c r="S189" s="8"/>
      <c r="T189" s="8"/>
      <c r="U189" s="8"/>
      <c r="V189" s="8"/>
      <c r="W189" s="10"/>
      <c r="X189" s="8"/>
    </row>
    <row r="190" spans="1:24">
      <c r="A190" s="8"/>
      <c r="B190" s="8"/>
      <c r="C190" s="8"/>
      <c r="D190" s="8"/>
      <c r="E190" s="8"/>
      <c r="F190" s="8"/>
      <c r="G190" s="13"/>
      <c r="H190" s="13"/>
      <c r="I190" s="13"/>
      <c r="J190" s="15"/>
      <c r="K190" s="15"/>
      <c r="L190" s="15"/>
      <c r="M190" s="15"/>
      <c r="N190" s="15"/>
      <c r="O190" s="8"/>
      <c r="P190" s="8"/>
      <c r="Q190" s="8"/>
      <c r="R190" s="10"/>
      <c r="S190" s="8"/>
      <c r="T190" s="8"/>
      <c r="U190" s="8"/>
      <c r="V190" s="8"/>
      <c r="W190" s="10"/>
      <c r="X190" s="8"/>
    </row>
    <row r="191" spans="1:24">
      <c r="A191" s="8"/>
      <c r="B191" s="8"/>
      <c r="C191" s="8"/>
      <c r="D191" s="8"/>
      <c r="E191" s="8"/>
      <c r="F191" s="8"/>
      <c r="G191" s="13"/>
      <c r="H191" s="13"/>
      <c r="I191" s="13"/>
      <c r="J191" s="15"/>
      <c r="K191" s="15"/>
      <c r="L191" s="15"/>
      <c r="M191" s="15"/>
      <c r="N191" s="15"/>
      <c r="O191" s="8"/>
      <c r="P191" s="8"/>
      <c r="Q191" s="8"/>
      <c r="R191" s="10"/>
      <c r="S191" s="8"/>
      <c r="T191" s="8"/>
      <c r="U191" s="8"/>
      <c r="V191" s="8"/>
      <c r="W191" s="10"/>
      <c r="X191" s="8"/>
    </row>
    <row r="192" spans="1:24">
      <c r="A192" s="8"/>
      <c r="B192" s="8"/>
      <c r="C192" s="8"/>
      <c r="D192" s="8"/>
      <c r="E192" s="8"/>
      <c r="F192" s="8"/>
      <c r="G192" s="13"/>
      <c r="H192" s="13"/>
      <c r="I192" s="13"/>
      <c r="J192" s="15"/>
      <c r="K192" s="15"/>
      <c r="L192" s="15"/>
      <c r="M192" s="15"/>
      <c r="N192" s="15"/>
      <c r="O192" s="8"/>
      <c r="P192" s="8"/>
      <c r="Q192" s="8"/>
      <c r="R192" s="10"/>
      <c r="S192" s="8"/>
      <c r="T192" s="8"/>
      <c r="U192" s="8"/>
      <c r="V192" s="8"/>
      <c r="W192" s="10"/>
      <c r="X192" s="8"/>
    </row>
    <row r="193" spans="1:24">
      <c r="A193" s="8"/>
      <c r="B193" s="8"/>
      <c r="C193" s="8"/>
      <c r="D193" s="8"/>
      <c r="E193" s="8"/>
      <c r="F193" s="8"/>
      <c r="G193" s="13"/>
      <c r="H193" s="13"/>
      <c r="I193" s="13"/>
      <c r="J193" s="15"/>
      <c r="K193" s="15"/>
      <c r="L193" s="15"/>
      <c r="M193" s="15"/>
      <c r="N193" s="15"/>
      <c r="O193" s="8"/>
      <c r="P193" s="8"/>
      <c r="Q193" s="8"/>
      <c r="R193" s="10"/>
      <c r="S193" s="8"/>
      <c r="T193" s="8"/>
      <c r="U193" s="8"/>
      <c r="V193" s="8"/>
      <c r="W193" s="10"/>
      <c r="X193" s="8"/>
    </row>
    <row r="194" spans="1:24">
      <c r="A194" s="8"/>
      <c r="B194" s="8"/>
      <c r="C194" s="8"/>
      <c r="D194" s="8"/>
      <c r="E194" s="8"/>
      <c r="F194" s="8"/>
      <c r="G194" s="13"/>
      <c r="H194" s="13"/>
      <c r="I194" s="13"/>
      <c r="J194" s="15"/>
      <c r="K194" s="15"/>
      <c r="L194" s="15"/>
      <c r="M194" s="15"/>
      <c r="N194" s="15"/>
      <c r="O194" s="8"/>
      <c r="P194" s="8"/>
      <c r="Q194" s="8"/>
      <c r="R194" s="10"/>
      <c r="S194" s="8"/>
      <c r="T194" s="8"/>
      <c r="U194" s="8"/>
      <c r="V194" s="8"/>
      <c r="W194" s="10"/>
      <c r="X194" s="8"/>
    </row>
    <row r="195" spans="1:24">
      <c r="A195" s="8"/>
      <c r="B195" s="8"/>
      <c r="C195" s="8"/>
      <c r="D195" s="8"/>
      <c r="E195" s="8"/>
      <c r="F195" s="8"/>
      <c r="G195" s="13"/>
      <c r="H195" s="13"/>
      <c r="I195" s="13"/>
      <c r="J195" s="15"/>
      <c r="K195" s="15"/>
      <c r="L195" s="15"/>
      <c r="M195" s="15"/>
      <c r="N195" s="15"/>
      <c r="O195" s="8"/>
      <c r="P195" s="8"/>
      <c r="Q195" s="8"/>
      <c r="R195" s="10"/>
      <c r="S195" s="8"/>
      <c r="T195" s="8"/>
      <c r="U195" s="8"/>
      <c r="V195" s="8"/>
      <c r="W195" s="10"/>
      <c r="X195" s="8"/>
    </row>
    <row r="196" spans="1:24">
      <c r="A196" s="8"/>
      <c r="B196" s="8"/>
      <c r="C196" s="8"/>
      <c r="D196" s="8"/>
      <c r="E196" s="8"/>
      <c r="F196" s="8"/>
      <c r="G196" s="13"/>
      <c r="H196" s="13"/>
      <c r="I196" s="13"/>
      <c r="J196" s="15"/>
      <c r="K196" s="15"/>
      <c r="L196" s="15"/>
      <c r="M196" s="15"/>
      <c r="N196" s="15"/>
      <c r="O196" s="8"/>
      <c r="P196" s="8"/>
      <c r="Q196" s="8"/>
      <c r="R196" s="10"/>
      <c r="S196" s="8"/>
      <c r="T196" s="8"/>
      <c r="U196" s="8"/>
      <c r="V196" s="8"/>
      <c r="W196" s="10"/>
      <c r="X196" s="8"/>
    </row>
    <row r="197" spans="1:24">
      <c r="A197" s="8"/>
      <c r="B197" s="8"/>
      <c r="C197" s="8"/>
      <c r="D197" s="8"/>
      <c r="E197" s="8"/>
      <c r="F197" s="8"/>
      <c r="G197" s="13"/>
      <c r="H197" s="13"/>
      <c r="I197" s="13"/>
      <c r="J197" s="15"/>
      <c r="K197" s="15"/>
      <c r="L197" s="15"/>
      <c r="M197" s="15"/>
      <c r="N197" s="15"/>
      <c r="O197" s="8"/>
      <c r="P197" s="8"/>
      <c r="Q197" s="8"/>
      <c r="R197" s="10"/>
      <c r="S197" s="8"/>
      <c r="T197" s="8"/>
      <c r="U197" s="8"/>
      <c r="V197" s="8"/>
      <c r="W197" s="10"/>
      <c r="X197" s="8"/>
    </row>
    <row r="198" spans="1:24">
      <c r="A198" s="8"/>
      <c r="B198" s="8"/>
      <c r="C198" s="8"/>
      <c r="D198" s="8"/>
      <c r="E198" s="8"/>
      <c r="F198" s="8"/>
      <c r="G198" s="13"/>
      <c r="H198" s="13"/>
      <c r="I198" s="13"/>
      <c r="J198" s="15"/>
      <c r="K198" s="15"/>
      <c r="L198" s="15"/>
      <c r="M198" s="15"/>
      <c r="N198" s="15"/>
      <c r="O198" s="8"/>
      <c r="P198" s="8"/>
      <c r="Q198" s="8"/>
      <c r="R198" s="10"/>
      <c r="S198" s="8"/>
      <c r="T198" s="8"/>
      <c r="U198" s="8"/>
      <c r="V198" s="8"/>
      <c r="W198" s="10"/>
      <c r="X198" s="8"/>
    </row>
    <row r="199" spans="1:24">
      <c r="A199" s="8"/>
      <c r="B199" s="8"/>
      <c r="C199" s="8"/>
      <c r="D199" s="8"/>
      <c r="E199" s="8"/>
      <c r="F199" s="8"/>
      <c r="G199" s="13"/>
      <c r="H199" s="13"/>
      <c r="I199" s="13"/>
      <c r="J199" s="15"/>
      <c r="K199" s="15"/>
      <c r="L199" s="15"/>
      <c r="M199" s="15"/>
      <c r="N199" s="15"/>
      <c r="O199" s="8"/>
      <c r="P199" s="8"/>
      <c r="Q199" s="8"/>
      <c r="R199" s="10"/>
      <c r="S199" s="8"/>
      <c r="T199" s="8"/>
      <c r="U199" s="8"/>
      <c r="V199" s="8"/>
      <c r="W199" s="10"/>
      <c r="X199" s="8"/>
    </row>
    <row r="200" spans="1:24">
      <c r="A200" s="8"/>
      <c r="B200" s="8"/>
      <c r="C200" s="8"/>
      <c r="D200" s="8"/>
      <c r="E200" s="8"/>
      <c r="F200" s="8"/>
      <c r="G200" s="13"/>
      <c r="H200" s="13"/>
      <c r="I200" s="13"/>
      <c r="J200" s="15"/>
      <c r="K200" s="15"/>
      <c r="L200" s="15"/>
      <c r="M200" s="15"/>
      <c r="N200" s="15"/>
      <c r="O200" s="8"/>
      <c r="P200" s="8"/>
      <c r="Q200" s="8"/>
      <c r="R200" s="10"/>
      <c r="S200" s="8"/>
      <c r="T200" s="8"/>
      <c r="U200" s="8"/>
      <c r="V200" s="8"/>
      <c r="W200" s="10"/>
      <c r="X200" s="8"/>
    </row>
    <row r="201" spans="1:24">
      <c r="A201" s="8"/>
      <c r="B201" s="8"/>
      <c r="C201" s="8"/>
      <c r="D201" s="8"/>
      <c r="E201" s="8"/>
      <c r="F201" s="8"/>
      <c r="G201" s="13"/>
      <c r="H201" s="13"/>
      <c r="I201" s="13"/>
      <c r="J201" s="15"/>
      <c r="K201" s="15"/>
      <c r="L201" s="15"/>
      <c r="M201" s="15"/>
      <c r="N201" s="15"/>
      <c r="O201" s="8"/>
      <c r="P201" s="8"/>
      <c r="Q201" s="8"/>
      <c r="R201" s="10"/>
      <c r="S201" s="8"/>
      <c r="T201" s="8"/>
      <c r="U201" s="8"/>
      <c r="V201" s="8"/>
      <c r="W201" s="10"/>
      <c r="X201" s="8"/>
    </row>
    <row r="202" spans="1:24">
      <c r="A202" s="8"/>
      <c r="B202" s="8"/>
      <c r="C202" s="8"/>
      <c r="D202" s="8"/>
      <c r="E202" s="8"/>
      <c r="F202" s="8"/>
      <c r="G202" s="13"/>
      <c r="H202" s="13"/>
      <c r="I202" s="13"/>
      <c r="J202" s="15"/>
      <c r="K202" s="15"/>
      <c r="L202" s="15"/>
      <c r="M202" s="15"/>
      <c r="N202" s="15"/>
      <c r="O202" s="8"/>
      <c r="P202" s="8"/>
      <c r="Q202" s="8"/>
      <c r="R202" s="10"/>
      <c r="S202" s="8"/>
      <c r="T202" s="8"/>
      <c r="U202" s="8"/>
      <c r="V202" s="8"/>
      <c r="W202" s="10"/>
      <c r="X202" s="8"/>
    </row>
    <row r="203" spans="1:24">
      <c r="A203" s="8"/>
      <c r="B203" s="8"/>
      <c r="C203" s="8"/>
      <c r="D203" s="8"/>
      <c r="E203" s="8"/>
      <c r="F203" s="8"/>
      <c r="G203" s="13"/>
      <c r="H203" s="13"/>
      <c r="I203" s="13"/>
      <c r="J203" s="15"/>
      <c r="K203" s="15"/>
      <c r="L203" s="15"/>
      <c r="M203" s="15"/>
      <c r="N203" s="15"/>
      <c r="O203" s="8"/>
      <c r="P203" s="8"/>
      <c r="Q203" s="8"/>
      <c r="R203" s="10"/>
      <c r="S203" s="8"/>
      <c r="T203" s="8"/>
      <c r="U203" s="8"/>
      <c r="V203" s="8"/>
      <c r="W203" s="10"/>
      <c r="X203" s="8"/>
    </row>
    <row r="204" spans="1:24">
      <c r="A204" s="8"/>
      <c r="B204" s="8"/>
      <c r="C204" s="8"/>
      <c r="D204" s="8"/>
      <c r="E204" s="8"/>
      <c r="F204" s="8"/>
      <c r="G204" s="13"/>
      <c r="H204" s="13"/>
      <c r="I204" s="13"/>
      <c r="J204" s="15"/>
      <c r="K204" s="15"/>
      <c r="L204" s="15"/>
      <c r="M204" s="15"/>
      <c r="N204" s="15"/>
      <c r="O204" s="8"/>
      <c r="P204" s="8"/>
      <c r="Q204" s="8"/>
      <c r="R204" s="10"/>
      <c r="S204" s="8"/>
      <c r="T204" s="8"/>
      <c r="U204" s="8"/>
      <c r="V204" s="8"/>
      <c r="W204" s="10"/>
      <c r="X204" s="8"/>
    </row>
    <row r="205" spans="1:24">
      <c r="A205" s="8"/>
      <c r="B205" s="8"/>
      <c r="C205" s="8"/>
      <c r="D205" s="8"/>
      <c r="E205" s="8"/>
      <c r="F205" s="8"/>
      <c r="G205" s="13"/>
      <c r="H205" s="13"/>
      <c r="I205" s="13"/>
      <c r="J205" s="15"/>
      <c r="K205" s="15"/>
      <c r="L205" s="15"/>
      <c r="M205" s="15"/>
      <c r="N205" s="15"/>
      <c r="O205" s="8"/>
      <c r="P205" s="8"/>
      <c r="Q205" s="8"/>
      <c r="R205" s="10"/>
      <c r="S205" s="8"/>
      <c r="T205" s="8"/>
      <c r="U205" s="8"/>
      <c r="V205" s="8"/>
      <c r="W205" s="10"/>
      <c r="X205" s="8"/>
    </row>
    <row r="206" spans="1:24">
      <c r="A206" s="8"/>
      <c r="B206" s="8"/>
      <c r="C206" s="8"/>
      <c r="D206" s="8"/>
      <c r="E206" s="8"/>
      <c r="F206" s="8"/>
      <c r="G206" s="13"/>
      <c r="H206" s="13"/>
      <c r="I206" s="13"/>
      <c r="J206" s="15"/>
      <c r="K206" s="15"/>
      <c r="L206" s="15"/>
      <c r="M206" s="15"/>
      <c r="N206" s="15"/>
      <c r="O206" s="8"/>
      <c r="P206" s="8"/>
      <c r="Q206" s="8"/>
      <c r="R206" s="10"/>
      <c r="S206" s="8"/>
      <c r="T206" s="8"/>
      <c r="U206" s="8"/>
      <c r="V206" s="8"/>
      <c r="W206" s="10"/>
      <c r="X206" s="8"/>
    </row>
    <row r="207" spans="1:24">
      <c r="A207" s="8"/>
      <c r="B207" s="8"/>
      <c r="C207" s="8"/>
      <c r="D207" s="8"/>
      <c r="E207" s="8"/>
      <c r="F207" s="8"/>
      <c r="G207" s="13"/>
      <c r="H207" s="13"/>
      <c r="I207" s="13"/>
      <c r="J207" s="15"/>
      <c r="K207" s="15"/>
      <c r="L207" s="15"/>
      <c r="M207" s="15"/>
      <c r="N207" s="15"/>
      <c r="O207" s="8"/>
      <c r="P207" s="8"/>
      <c r="Q207" s="8"/>
      <c r="R207" s="10"/>
      <c r="S207" s="8"/>
      <c r="T207" s="8"/>
      <c r="U207" s="8"/>
      <c r="V207" s="8"/>
      <c r="W207" s="10"/>
      <c r="X207" s="8"/>
    </row>
    <row r="208" spans="1:24">
      <c r="A208" s="8"/>
      <c r="B208" s="8"/>
      <c r="C208" s="8"/>
      <c r="D208" s="8"/>
      <c r="E208" s="8"/>
      <c r="F208" s="8"/>
      <c r="G208" s="13"/>
      <c r="H208" s="13"/>
      <c r="I208" s="13"/>
      <c r="J208" s="15"/>
      <c r="K208" s="15"/>
      <c r="L208" s="15"/>
      <c r="M208" s="15"/>
      <c r="N208" s="15"/>
      <c r="O208" s="8"/>
      <c r="P208" s="8"/>
      <c r="Q208" s="8"/>
      <c r="R208" s="10"/>
      <c r="S208" s="8"/>
      <c r="T208" s="8"/>
      <c r="U208" s="8"/>
      <c r="V208" s="8"/>
      <c r="W208" s="10"/>
      <c r="X208" s="8"/>
    </row>
    <row r="209" spans="1:24">
      <c r="A209" s="8"/>
      <c r="B209" s="8"/>
      <c r="C209" s="8"/>
      <c r="D209" s="8"/>
      <c r="E209" s="8"/>
      <c r="F209" s="8"/>
      <c r="G209" s="13"/>
      <c r="H209" s="13"/>
      <c r="I209" s="13"/>
      <c r="J209" s="15"/>
      <c r="K209" s="15"/>
      <c r="L209" s="15"/>
      <c r="M209" s="15"/>
      <c r="N209" s="15"/>
      <c r="O209" s="8"/>
      <c r="P209" s="8"/>
      <c r="Q209" s="8"/>
      <c r="R209" s="10"/>
      <c r="S209" s="8"/>
      <c r="T209" s="8"/>
      <c r="U209" s="8"/>
      <c r="V209" s="8"/>
      <c r="W209" s="10"/>
      <c r="X209" s="8"/>
    </row>
    <row r="210" spans="1:24">
      <c r="A210" s="8"/>
      <c r="B210" s="8"/>
      <c r="C210" s="8"/>
      <c r="D210" s="8"/>
      <c r="E210" s="8"/>
      <c r="F210" s="8"/>
      <c r="G210" s="13"/>
      <c r="H210" s="13"/>
      <c r="I210" s="13"/>
      <c r="J210" s="15"/>
      <c r="K210" s="15"/>
      <c r="L210" s="15"/>
      <c r="M210" s="15"/>
      <c r="N210" s="15"/>
      <c r="O210" s="8"/>
      <c r="P210" s="8"/>
      <c r="Q210" s="8"/>
      <c r="R210" s="10"/>
      <c r="S210" s="8"/>
      <c r="T210" s="8"/>
      <c r="U210" s="8"/>
      <c r="V210" s="8"/>
      <c r="W210" s="10"/>
      <c r="X210" s="8"/>
    </row>
    <row r="211" spans="1:24">
      <c r="A211" s="8"/>
      <c r="B211" s="8"/>
      <c r="C211" s="8"/>
      <c r="D211" s="8"/>
      <c r="E211" s="8"/>
      <c r="F211" s="8"/>
      <c r="G211" s="13"/>
      <c r="H211" s="13"/>
      <c r="I211" s="13"/>
      <c r="J211" s="15"/>
      <c r="K211" s="15"/>
      <c r="L211" s="15"/>
      <c r="M211" s="15"/>
      <c r="N211" s="15"/>
      <c r="O211" s="8"/>
      <c r="P211" s="8"/>
      <c r="Q211" s="8"/>
      <c r="R211" s="10"/>
      <c r="S211" s="8"/>
      <c r="T211" s="8"/>
      <c r="U211" s="8"/>
      <c r="V211" s="8"/>
      <c r="W211" s="10"/>
      <c r="X211" s="8"/>
    </row>
    <row r="212" spans="1:24">
      <c r="A212" s="8"/>
      <c r="B212" s="8"/>
      <c r="C212" s="8"/>
      <c r="D212" s="8"/>
      <c r="E212" s="8"/>
      <c r="F212" s="8"/>
      <c r="G212" s="13"/>
      <c r="H212" s="13"/>
      <c r="I212" s="13"/>
      <c r="J212" s="15"/>
      <c r="K212" s="15"/>
      <c r="L212" s="15"/>
      <c r="M212" s="15"/>
      <c r="N212" s="15"/>
      <c r="O212" s="8"/>
      <c r="P212" s="8"/>
      <c r="Q212" s="8"/>
      <c r="R212" s="10"/>
      <c r="S212" s="8"/>
      <c r="T212" s="8"/>
      <c r="U212" s="8"/>
      <c r="V212" s="8"/>
      <c r="W212" s="10"/>
      <c r="X212" s="8"/>
    </row>
    <row r="213" spans="1:24">
      <c r="A213" s="8"/>
      <c r="B213" s="8"/>
      <c r="C213" s="8"/>
      <c r="D213" s="8"/>
      <c r="E213" s="8"/>
      <c r="F213" s="8"/>
      <c r="G213" s="13"/>
      <c r="H213" s="13"/>
      <c r="I213" s="13"/>
      <c r="J213" s="15"/>
      <c r="K213" s="15"/>
      <c r="L213" s="15"/>
      <c r="M213" s="15"/>
      <c r="N213" s="15"/>
      <c r="O213" s="8"/>
      <c r="P213" s="8"/>
      <c r="Q213" s="8"/>
      <c r="R213" s="10"/>
      <c r="S213" s="8"/>
      <c r="T213" s="8"/>
      <c r="U213" s="8"/>
      <c r="V213" s="8"/>
      <c r="W213" s="10"/>
      <c r="X213" s="8"/>
    </row>
    <row r="214" spans="1:24">
      <c r="A214" s="8"/>
      <c r="B214" s="8"/>
      <c r="C214" s="8"/>
      <c r="D214" s="8"/>
      <c r="E214" s="8"/>
      <c r="F214" s="8"/>
      <c r="G214" s="13"/>
      <c r="H214" s="13"/>
      <c r="I214" s="13"/>
      <c r="J214" s="15"/>
      <c r="K214" s="15"/>
      <c r="L214" s="15"/>
      <c r="M214" s="15"/>
      <c r="N214" s="15"/>
      <c r="O214" s="8"/>
      <c r="P214" s="8"/>
      <c r="Q214" s="8"/>
      <c r="R214" s="10"/>
      <c r="S214" s="8"/>
      <c r="T214" s="8"/>
      <c r="U214" s="8"/>
      <c r="V214" s="8"/>
      <c r="W214" s="10"/>
      <c r="X214" s="8"/>
    </row>
    <row r="215" spans="1:24">
      <c r="A215" s="8"/>
      <c r="B215" s="8"/>
      <c r="C215" s="8"/>
      <c r="D215" s="8"/>
      <c r="E215" s="8"/>
      <c r="F215" s="8"/>
      <c r="G215" s="13"/>
      <c r="H215" s="13"/>
      <c r="I215" s="13"/>
      <c r="J215" s="15"/>
      <c r="K215" s="15"/>
      <c r="L215" s="15"/>
      <c r="M215" s="15"/>
      <c r="N215" s="15"/>
      <c r="O215" s="8"/>
      <c r="P215" s="8"/>
      <c r="Q215" s="8"/>
      <c r="R215" s="10"/>
      <c r="S215" s="8"/>
      <c r="T215" s="8"/>
      <c r="U215" s="8"/>
      <c r="V215" s="8"/>
      <c r="W215" s="10"/>
      <c r="X215" s="8"/>
    </row>
    <row r="216" spans="1:24">
      <c r="A216" s="8"/>
      <c r="B216" s="8"/>
      <c r="C216" s="8"/>
      <c r="D216" s="8"/>
      <c r="E216" s="8"/>
      <c r="F216" s="8"/>
      <c r="G216" s="13"/>
      <c r="H216" s="13"/>
      <c r="I216" s="13"/>
      <c r="J216" s="15"/>
      <c r="K216" s="15"/>
      <c r="L216" s="15"/>
      <c r="M216" s="15"/>
      <c r="N216" s="15"/>
      <c r="O216" s="8"/>
      <c r="P216" s="8"/>
      <c r="Q216" s="8"/>
      <c r="R216" s="10"/>
      <c r="S216" s="8"/>
      <c r="T216" s="8"/>
      <c r="U216" s="8"/>
      <c r="V216" s="8"/>
      <c r="W216" s="10"/>
      <c r="X216" s="8"/>
    </row>
    <row r="217" spans="1:24">
      <c r="A217" s="8"/>
      <c r="B217" s="8"/>
      <c r="C217" s="8"/>
      <c r="D217" s="8"/>
      <c r="E217" s="8"/>
      <c r="F217" s="8"/>
      <c r="G217" s="13"/>
      <c r="H217" s="13"/>
      <c r="I217" s="13"/>
      <c r="J217" s="15"/>
      <c r="K217" s="15"/>
      <c r="L217" s="15"/>
      <c r="M217" s="15"/>
      <c r="N217" s="15"/>
      <c r="O217" s="8"/>
      <c r="P217" s="8"/>
      <c r="Q217" s="8"/>
      <c r="R217" s="10"/>
      <c r="S217" s="8"/>
      <c r="T217" s="8"/>
      <c r="U217" s="8"/>
      <c r="V217" s="8"/>
      <c r="W217" s="10"/>
      <c r="X217" s="8"/>
    </row>
    <row r="218" spans="1:24">
      <c r="A218" s="8"/>
      <c r="B218" s="8"/>
      <c r="C218" s="8"/>
      <c r="D218" s="8"/>
      <c r="E218" s="8"/>
      <c r="F218" s="8"/>
      <c r="G218" s="13"/>
      <c r="H218" s="13"/>
      <c r="I218" s="13"/>
      <c r="J218" s="15"/>
      <c r="K218" s="15"/>
      <c r="L218" s="15"/>
      <c r="M218" s="15"/>
      <c r="N218" s="15"/>
      <c r="O218" s="8"/>
      <c r="P218" s="8"/>
      <c r="Q218" s="8"/>
      <c r="R218" s="10"/>
      <c r="S218" s="8"/>
      <c r="T218" s="8"/>
      <c r="U218" s="8"/>
      <c r="V218" s="8"/>
      <c r="W218" s="10"/>
      <c r="X218" s="8"/>
    </row>
    <row r="219" spans="1:24">
      <c r="A219" s="8"/>
      <c r="B219" s="8"/>
      <c r="C219" s="8"/>
      <c r="D219" s="8"/>
      <c r="E219" s="8"/>
      <c r="F219" s="8"/>
      <c r="G219" s="13"/>
      <c r="H219" s="13"/>
      <c r="I219" s="13"/>
      <c r="J219" s="15"/>
      <c r="K219" s="15"/>
      <c r="L219" s="15"/>
      <c r="M219" s="15"/>
      <c r="N219" s="15"/>
      <c r="O219" s="8"/>
      <c r="P219" s="8"/>
      <c r="Q219" s="8"/>
      <c r="R219" s="10"/>
      <c r="S219" s="8"/>
      <c r="T219" s="8"/>
      <c r="U219" s="8"/>
      <c r="V219" s="8"/>
      <c r="W219" s="10"/>
      <c r="X219" s="8"/>
    </row>
    <row r="220" spans="1:24">
      <c r="A220" s="8"/>
      <c r="B220" s="8"/>
      <c r="C220" s="8"/>
      <c r="D220" s="8"/>
      <c r="E220" s="8"/>
      <c r="F220" s="8"/>
      <c r="G220" s="13"/>
      <c r="H220" s="13"/>
      <c r="I220" s="13"/>
      <c r="J220" s="15"/>
      <c r="K220" s="15"/>
      <c r="L220" s="15"/>
      <c r="M220" s="15"/>
      <c r="N220" s="15"/>
      <c r="O220" s="8"/>
      <c r="P220" s="8"/>
      <c r="Q220" s="8"/>
      <c r="R220" s="10"/>
      <c r="S220" s="8"/>
      <c r="T220" s="8"/>
      <c r="U220" s="8"/>
      <c r="V220" s="8"/>
      <c r="W220" s="10"/>
      <c r="X220" s="8"/>
    </row>
    <row r="221" spans="1:24">
      <c r="A221" s="8"/>
      <c r="B221" s="8"/>
      <c r="C221" s="8"/>
      <c r="D221" s="8"/>
      <c r="E221" s="8"/>
      <c r="F221" s="8"/>
      <c r="G221" s="13"/>
      <c r="H221" s="13"/>
      <c r="I221" s="13"/>
      <c r="J221" s="15"/>
      <c r="K221" s="15"/>
      <c r="L221" s="15"/>
      <c r="M221" s="15"/>
      <c r="N221" s="15"/>
      <c r="O221" s="8"/>
      <c r="P221" s="8"/>
      <c r="Q221" s="8"/>
      <c r="R221" s="10"/>
      <c r="S221" s="8"/>
      <c r="T221" s="8"/>
      <c r="U221" s="8"/>
      <c r="V221" s="8"/>
      <c r="W221" s="10"/>
      <c r="X221" s="8"/>
    </row>
    <row r="222" spans="1:24">
      <c r="A222" s="8"/>
      <c r="B222" s="8"/>
      <c r="C222" s="8"/>
      <c r="D222" s="8"/>
      <c r="E222" s="8"/>
      <c r="F222" s="8"/>
      <c r="G222" s="13"/>
      <c r="H222" s="13"/>
      <c r="I222" s="13"/>
      <c r="J222" s="15"/>
      <c r="K222" s="15"/>
      <c r="L222" s="15"/>
      <c r="M222" s="15"/>
      <c r="N222" s="15"/>
      <c r="O222" s="8"/>
      <c r="P222" s="8"/>
      <c r="Q222" s="8"/>
      <c r="R222" s="10"/>
      <c r="S222" s="8"/>
      <c r="T222" s="8"/>
      <c r="U222" s="8"/>
      <c r="V222" s="8"/>
      <c r="W222" s="10"/>
      <c r="X222" s="8"/>
    </row>
    <row r="223" spans="1:24">
      <c r="A223" s="8"/>
      <c r="B223" s="8"/>
      <c r="C223" s="8"/>
      <c r="D223" s="8"/>
      <c r="E223" s="8"/>
      <c r="F223" s="8"/>
      <c r="G223" s="13"/>
      <c r="H223" s="13"/>
      <c r="I223" s="13"/>
      <c r="J223" s="15"/>
      <c r="K223" s="15"/>
      <c r="L223" s="15"/>
      <c r="M223" s="15"/>
      <c r="N223" s="15"/>
      <c r="O223" s="8"/>
      <c r="P223" s="8"/>
      <c r="Q223" s="8"/>
      <c r="R223" s="10"/>
      <c r="S223" s="8"/>
      <c r="T223" s="8"/>
      <c r="U223" s="8"/>
      <c r="V223" s="8"/>
      <c r="W223" s="10"/>
      <c r="X223" s="8"/>
    </row>
    <row r="224" spans="1:24">
      <c r="A224" s="8"/>
      <c r="B224" s="8"/>
      <c r="C224" s="8"/>
      <c r="D224" s="8"/>
      <c r="E224" s="8"/>
      <c r="F224" s="8"/>
      <c r="G224" s="13"/>
      <c r="H224" s="13"/>
      <c r="I224" s="13"/>
      <c r="J224" s="15"/>
      <c r="K224" s="15"/>
      <c r="L224" s="15"/>
      <c r="M224" s="15"/>
      <c r="N224" s="15"/>
      <c r="O224" s="8"/>
      <c r="P224" s="8"/>
      <c r="Q224" s="8"/>
      <c r="R224" s="10"/>
      <c r="S224" s="8"/>
      <c r="T224" s="8"/>
      <c r="U224" s="8"/>
      <c r="V224" s="8"/>
      <c r="W224" s="10"/>
      <c r="X224" s="8"/>
    </row>
    <row r="225" spans="1:24">
      <c r="A225" s="8"/>
      <c r="B225" s="8"/>
      <c r="C225" s="8"/>
      <c r="D225" s="8"/>
      <c r="E225" s="8"/>
      <c r="F225" s="8"/>
      <c r="G225" s="13"/>
      <c r="H225" s="13"/>
      <c r="I225" s="13"/>
      <c r="J225" s="15"/>
      <c r="K225" s="15"/>
      <c r="L225" s="15"/>
      <c r="M225" s="15"/>
      <c r="N225" s="15"/>
      <c r="O225" s="8"/>
      <c r="P225" s="8"/>
      <c r="Q225" s="8"/>
      <c r="R225" s="10"/>
      <c r="S225" s="8"/>
      <c r="T225" s="8"/>
      <c r="U225" s="8"/>
      <c r="V225" s="8"/>
      <c r="W225" s="10"/>
      <c r="X225" s="8"/>
    </row>
    <row r="226" spans="1:24">
      <c r="A226" s="8"/>
      <c r="B226" s="8"/>
      <c r="C226" s="8"/>
      <c r="D226" s="8"/>
      <c r="E226" s="8"/>
      <c r="F226" s="8"/>
      <c r="G226" s="13"/>
      <c r="H226" s="13"/>
      <c r="I226" s="13"/>
      <c r="J226" s="15"/>
      <c r="K226" s="15"/>
      <c r="L226" s="15"/>
      <c r="M226" s="15"/>
      <c r="N226" s="15"/>
      <c r="O226" s="8"/>
      <c r="P226" s="8"/>
      <c r="Q226" s="8"/>
      <c r="R226" s="10"/>
      <c r="S226" s="8"/>
      <c r="T226" s="8"/>
      <c r="U226" s="8"/>
      <c r="V226" s="8"/>
      <c r="W226" s="10"/>
      <c r="X226" s="8"/>
    </row>
    <row r="227" spans="1:24">
      <c r="A227" s="8"/>
      <c r="B227" s="8"/>
      <c r="C227" s="8"/>
      <c r="D227" s="8"/>
      <c r="E227" s="8"/>
      <c r="F227" s="8"/>
      <c r="G227" s="13"/>
      <c r="H227" s="13"/>
      <c r="I227" s="13"/>
      <c r="J227" s="15"/>
      <c r="K227" s="15"/>
      <c r="L227" s="15"/>
      <c r="M227" s="15"/>
      <c r="N227" s="15"/>
      <c r="O227" s="8"/>
      <c r="P227" s="8"/>
      <c r="Q227" s="8"/>
      <c r="R227" s="10"/>
      <c r="S227" s="8"/>
      <c r="T227" s="8"/>
      <c r="U227" s="8"/>
      <c r="V227" s="8"/>
      <c r="W227" s="10"/>
      <c r="X227" s="8"/>
    </row>
    <row r="228" spans="1:24">
      <c r="A228" s="8"/>
      <c r="B228" s="8"/>
      <c r="C228" s="8"/>
      <c r="D228" s="8"/>
      <c r="E228" s="8"/>
      <c r="F228" s="8"/>
      <c r="G228" s="13"/>
      <c r="H228" s="13"/>
      <c r="I228" s="13"/>
      <c r="J228" s="15"/>
      <c r="K228" s="15"/>
      <c r="L228" s="15"/>
      <c r="M228" s="15"/>
      <c r="N228" s="15"/>
      <c r="O228" s="8"/>
      <c r="P228" s="8"/>
      <c r="Q228" s="8"/>
      <c r="R228" s="10"/>
      <c r="S228" s="8"/>
      <c r="T228" s="8"/>
      <c r="U228" s="8"/>
      <c r="V228" s="8"/>
      <c r="W228" s="10"/>
      <c r="X228" s="8"/>
    </row>
    <row r="229" spans="1:24">
      <c r="A229" s="8"/>
      <c r="B229" s="8"/>
      <c r="C229" s="8"/>
      <c r="D229" s="8"/>
      <c r="E229" s="8"/>
      <c r="F229" s="8"/>
      <c r="G229" s="13"/>
      <c r="H229" s="13"/>
      <c r="I229" s="13"/>
      <c r="J229" s="15"/>
      <c r="K229" s="15"/>
      <c r="L229" s="15"/>
      <c r="M229" s="15"/>
      <c r="N229" s="15"/>
      <c r="O229" s="8"/>
      <c r="P229" s="8"/>
      <c r="Q229" s="8"/>
      <c r="R229" s="10"/>
      <c r="S229" s="8"/>
      <c r="T229" s="8"/>
      <c r="U229" s="8"/>
      <c r="V229" s="8"/>
      <c r="W229" s="10"/>
      <c r="X229" s="8"/>
    </row>
    <row r="230" spans="1:24">
      <c r="A230" s="8"/>
      <c r="B230" s="8"/>
      <c r="C230" s="8"/>
      <c r="D230" s="8"/>
      <c r="E230" s="8"/>
      <c r="F230" s="8"/>
      <c r="G230" s="13"/>
      <c r="H230" s="13"/>
      <c r="I230" s="13"/>
      <c r="J230" s="15"/>
      <c r="K230" s="15"/>
      <c r="L230" s="15"/>
      <c r="M230" s="15"/>
      <c r="N230" s="15"/>
      <c r="O230" s="8"/>
      <c r="P230" s="8"/>
      <c r="Q230" s="8"/>
      <c r="R230" s="10"/>
      <c r="S230" s="8"/>
      <c r="T230" s="8"/>
      <c r="U230" s="8"/>
      <c r="V230" s="8"/>
      <c r="W230" s="10"/>
      <c r="X230" s="8"/>
    </row>
    <row r="231" spans="1:24">
      <c r="A231" s="8"/>
      <c r="B231" s="8"/>
      <c r="C231" s="8"/>
      <c r="D231" s="8"/>
      <c r="E231" s="8"/>
      <c r="F231" s="8"/>
      <c r="G231" s="13"/>
      <c r="H231" s="13"/>
      <c r="I231" s="13"/>
      <c r="J231" s="15"/>
      <c r="K231" s="15"/>
      <c r="L231" s="15"/>
      <c r="M231" s="15"/>
      <c r="N231" s="15"/>
      <c r="O231" s="8"/>
      <c r="P231" s="8"/>
      <c r="Q231" s="8"/>
      <c r="R231" s="10"/>
      <c r="S231" s="8"/>
      <c r="T231" s="8"/>
      <c r="U231" s="8"/>
      <c r="V231" s="8"/>
      <c r="W231" s="10"/>
      <c r="X231" s="8"/>
    </row>
    <row r="232" spans="1:24">
      <c r="A232" s="8"/>
      <c r="B232" s="8"/>
      <c r="C232" s="8"/>
      <c r="D232" s="8"/>
      <c r="E232" s="8"/>
      <c r="F232" s="8"/>
      <c r="G232" s="13"/>
      <c r="H232" s="13"/>
      <c r="I232" s="13"/>
      <c r="J232" s="15"/>
      <c r="K232" s="15"/>
      <c r="L232" s="15"/>
      <c r="M232" s="15"/>
      <c r="N232" s="15"/>
      <c r="O232" s="8"/>
      <c r="P232" s="8"/>
      <c r="Q232" s="8"/>
      <c r="R232" s="10"/>
      <c r="S232" s="8"/>
      <c r="T232" s="8"/>
      <c r="U232" s="8"/>
      <c r="V232" s="8"/>
      <c r="W232" s="10"/>
      <c r="X232" s="8"/>
    </row>
    <row r="233" spans="1:24">
      <c r="A233" s="8"/>
      <c r="B233" s="8"/>
      <c r="C233" s="8"/>
      <c r="D233" s="8"/>
      <c r="E233" s="8"/>
      <c r="F233" s="8"/>
      <c r="G233" s="13"/>
      <c r="H233" s="13"/>
      <c r="I233" s="13"/>
      <c r="J233" s="15"/>
      <c r="K233" s="15"/>
      <c r="L233" s="15"/>
      <c r="M233" s="15"/>
      <c r="N233" s="15"/>
      <c r="O233" s="8"/>
      <c r="P233" s="8"/>
      <c r="Q233" s="8"/>
      <c r="R233" s="10"/>
      <c r="S233" s="8"/>
      <c r="T233" s="8"/>
      <c r="U233" s="8"/>
      <c r="V233" s="8"/>
      <c r="W233" s="10"/>
      <c r="X233" s="8"/>
    </row>
    <row r="234" spans="1:24">
      <c r="A234" s="8"/>
      <c r="B234" s="8"/>
      <c r="C234" s="8"/>
      <c r="D234" s="8"/>
      <c r="E234" s="8"/>
      <c r="F234" s="8"/>
      <c r="G234" s="13"/>
      <c r="H234" s="13"/>
      <c r="I234" s="13"/>
      <c r="J234" s="15"/>
      <c r="K234" s="15"/>
      <c r="L234" s="15"/>
      <c r="M234" s="15"/>
      <c r="N234" s="15"/>
      <c r="O234" s="8"/>
      <c r="P234" s="8"/>
      <c r="Q234" s="8"/>
      <c r="R234" s="10"/>
      <c r="S234" s="8"/>
      <c r="T234" s="8"/>
      <c r="U234" s="8"/>
      <c r="V234" s="8"/>
      <c r="W234" s="10"/>
      <c r="X234" s="8"/>
    </row>
    <row r="235" spans="1:24">
      <c r="A235" s="8"/>
      <c r="B235" s="8"/>
      <c r="C235" s="8"/>
      <c r="D235" s="8"/>
      <c r="E235" s="8"/>
      <c r="F235" s="8"/>
      <c r="G235" s="13"/>
      <c r="H235" s="13"/>
      <c r="I235" s="13"/>
      <c r="J235" s="15"/>
      <c r="K235" s="15"/>
      <c r="L235" s="15"/>
      <c r="M235" s="15"/>
      <c r="N235" s="15"/>
      <c r="O235" s="8"/>
      <c r="P235" s="8"/>
      <c r="Q235" s="8"/>
      <c r="R235" s="10"/>
      <c r="S235" s="8"/>
      <c r="T235" s="8"/>
      <c r="U235" s="8"/>
      <c r="V235" s="8"/>
      <c r="W235" s="10"/>
      <c r="X235" s="8"/>
    </row>
    <row r="236" spans="1:24">
      <c r="A236" s="8"/>
      <c r="B236" s="8"/>
      <c r="C236" s="8"/>
      <c r="D236" s="8"/>
      <c r="E236" s="8"/>
      <c r="F236" s="8"/>
      <c r="G236" s="13"/>
      <c r="H236" s="13"/>
      <c r="I236" s="13"/>
      <c r="J236" s="15"/>
      <c r="K236" s="15"/>
      <c r="L236" s="15"/>
      <c r="M236" s="15"/>
      <c r="N236" s="15"/>
      <c r="O236" s="8"/>
      <c r="P236" s="8"/>
      <c r="Q236" s="8"/>
      <c r="R236" s="10"/>
      <c r="S236" s="8"/>
      <c r="T236" s="8"/>
      <c r="U236" s="8"/>
      <c r="V236" s="8"/>
      <c r="W236" s="10"/>
      <c r="X236" s="8"/>
    </row>
    <row r="237" spans="1:24">
      <c r="A237" s="8"/>
      <c r="B237" s="8"/>
      <c r="C237" s="8"/>
      <c r="D237" s="8"/>
      <c r="E237" s="8"/>
      <c r="F237" s="8"/>
      <c r="G237" s="13"/>
      <c r="H237" s="13"/>
      <c r="I237" s="13"/>
      <c r="J237" s="15"/>
      <c r="K237" s="15"/>
      <c r="L237" s="15"/>
      <c r="M237" s="15"/>
      <c r="N237" s="15"/>
      <c r="O237" s="8"/>
      <c r="P237" s="8"/>
      <c r="Q237" s="8"/>
      <c r="R237" s="10"/>
      <c r="S237" s="8"/>
      <c r="T237" s="8"/>
      <c r="U237" s="8"/>
      <c r="V237" s="8"/>
      <c r="W237" s="10"/>
      <c r="X237" s="8"/>
    </row>
    <row r="238" spans="1:24">
      <c r="A238" s="8"/>
      <c r="B238" s="8"/>
      <c r="C238" s="8"/>
      <c r="D238" s="8"/>
      <c r="E238" s="8"/>
      <c r="F238" s="8"/>
      <c r="G238" s="13"/>
      <c r="H238" s="13"/>
      <c r="I238" s="13"/>
      <c r="J238" s="15"/>
      <c r="K238" s="15"/>
      <c r="L238" s="15"/>
      <c r="M238" s="15"/>
      <c r="N238" s="15"/>
      <c r="O238" s="8"/>
      <c r="P238" s="8"/>
      <c r="Q238" s="8"/>
      <c r="R238" s="10"/>
      <c r="S238" s="8"/>
      <c r="T238" s="8"/>
      <c r="U238" s="8"/>
      <c r="V238" s="8"/>
      <c r="W238" s="10"/>
      <c r="X238" s="8"/>
    </row>
    <row r="239" spans="1:24">
      <c r="A239" s="8"/>
      <c r="B239" s="8"/>
      <c r="C239" s="8"/>
      <c r="D239" s="8"/>
      <c r="E239" s="8"/>
      <c r="F239" s="8"/>
      <c r="G239" s="13"/>
      <c r="H239" s="13"/>
      <c r="I239" s="13"/>
      <c r="J239" s="15"/>
      <c r="K239" s="15"/>
      <c r="L239" s="15"/>
      <c r="M239" s="15"/>
      <c r="N239" s="15"/>
      <c r="O239" s="8"/>
      <c r="P239" s="8"/>
      <c r="Q239" s="8"/>
      <c r="R239" s="10"/>
      <c r="S239" s="8"/>
      <c r="T239" s="8"/>
      <c r="U239" s="8"/>
      <c r="V239" s="8"/>
      <c r="W239" s="10"/>
      <c r="X239" s="8"/>
    </row>
    <row r="240" spans="1:24">
      <c r="A240" s="8"/>
      <c r="B240" s="8"/>
      <c r="C240" s="8"/>
      <c r="D240" s="8"/>
      <c r="E240" s="8"/>
      <c r="F240" s="8"/>
      <c r="G240" s="13"/>
      <c r="H240" s="13"/>
      <c r="I240" s="13"/>
      <c r="J240" s="15"/>
      <c r="K240" s="15"/>
      <c r="L240" s="15"/>
      <c r="M240" s="15"/>
      <c r="N240" s="15"/>
      <c r="O240" s="8"/>
      <c r="P240" s="8"/>
      <c r="Q240" s="8"/>
      <c r="R240" s="10"/>
      <c r="S240" s="8"/>
      <c r="T240" s="8"/>
      <c r="U240" s="8"/>
      <c r="V240" s="8"/>
      <c r="W240" s="10"/>
      <c r="X240" s="8"/>
    </row>
    <row r="241" spans="1:24">
      <c r="A241" s="8"/>
      <c r="B241" s="8"/>
      <c r="C241" s="8"/>
      <c r="D241" s="8"/>
      <c r="E241" s="8"/>
      <c r="F241" s="8"/>
      <c r="G241" s="13"/>
      <c r="H241" s="13"/>
      <c r="I241" s="13"/>
      <c r="J241" s="15"/>
      <c r="K241" s="15"/>
      <c r="L241" s="15"/>
      <c r="M241" s="15"/>
      <c r="N241" s="15"/>
      <c r="O241" s="8"/>
      <c r="P241" s="8"/>
      <c r="Q241" s="8"/>
      <c r="R241" s="10"/>
      <c r="S241" s="8"/>
      <c r="T241" s="8"/>
      <c r="U241" s="8"/>
      <c r="V241" s="8"/>
      <c r="W241" s="10"/>
      <c r="X241" s="8"/>
    </row>
    <row r="242" spans="1:24">
      <c r="A242" s="8"/>
      <c r="B242" s="8"/>
      <c r="C242" s="8"/>
      <c r="D242" s="8"/>
      <c r="E242" s="8"/>
      <c r="F242" s="8"/>
      <c r="G242" s="13"/>
      <c r="H242" s="13"/>
      <c r="I242" s="13"/>
      <c r="J242" s="15"/>
      <c r="K242" s="15"/>
      <c r="L242" s="15"/>
      <c r="M242" s="15"/>
      <c r="N242" s="15"/>
      <c r="O242" s="8"/>
      <c r="P242" s="8"/>
      <c r="Q242" s="8"/>
      <c r="R242" s="10"/>
      <c r="S242" s="8"/>
      <c r="T242" s="8"/>
      <c r="U242" s="8"/>
      <c r="V242" s="8"/>
      <c r="W242" s="10"/>
      <c r="X242" s="8"/>
    </row>
    <row r="243" spans="1:24">
      <c r="A243" s="8"/>
      <c r="B243" s="8"/>
      <c r="C243" s="8"/>
      <c r="D243" s="8"/>
      <c r="E243" s="8"/>
      <c r="F243" s="8"/>
      <c r="G243" s="13"/>
      <c r="H243" s="13"/>
      <c r="I243" s="13"/>
      <c r="J243" s="15"/>
      <c r="K243" s="15"/>
      <c r="L243" s="15"/>
      <c r="M243" s="15"/>
      <c r="N243" s="15"/>
      <c r="O243" s="8"/>
      <c r="P243" s="8"/>
      <c r="Q243" s="8"/>
      <c r="R243" s="10"/>
      <c r="S243" s="8"/>
      <c r="T243" s="8"/>
      <c r="U243" s="8"/>
      <c r="V243" s="8"/>
      <c r="W243" s="10"/>
      <c r="X243" s="8"/>
    </row>
    <row r="244" spans="1:24">
      <c r="A244" s="8"/>
      <c r="B244" s="8"/>
      <c r="C244" s="8"/>
      <c r="D244" s="8"/>
      <c r="E244" s="8"/>
      <c r="F244" s="8"/>
      <c r="G244" s="13"/>
      <c r="H244" s="13"/>
      <c r="I244" s="13"/>
      <c r="J244" s="15"/>
      <c r="K244" s="15"/>
      <c r="L244" s="15"/>
      <c r="M244" s="15"/>
      <c r="N244" s="15"/>
      <c r="O244" s="8"/>
      <c r="P244" s="8"/>
      <c r="Q244" s="8"/>
      <c r="R244" s="10"/>
      <c r="S244" s="8"/>
      <c r="T244" s="8"/>
      <c r="U244" s="8"/>
      <c r="V244" s="8"/>
      <c r="W244" s="10"/>
      <c r="X244" s="8"/>
    </row>
    <row r="245" spans="1:24">
      <c r="A245" s="8"/>
      <c r="B245" s="8"/>
      <c r="C245" s="8"/>
      <c r="D245" s="8"/>
      <c r="E245" s="8"/>
      <c r="F245" s="8"/>
      <c r="G245" s="13"/>
      <c r="H245" s="13"/>
      <c r="I245" s="13"/>
      <c r="J245" s="15"/>
      <c r="K245" s="15"/>
      <c r="L245" s="15"/>
      <c r="M245" s="15"/>
      <c r="N245" s="15"/>
      <c r="O245" s="8"/>
      <c r="P245" s="8"/>
      <c r="Q245" s="8"/>
      <c r="R245" s="10"/>
      <c r="S245" s="8"/>
      <c r="T245" s="8"/>
      <c r="U245" s="8"/>
      <c r="V245" s="8"/>
      <c r="W245" s="10"/>
      <c r="X245" s="8"/>
    </row>
    <row r="246" spans="1:24">
      <c r="A246" s="8"/>
      <c r="B246" s="8"/>
      <c r="C246" s="8"/>
      <c r="D246" s="8"/>
      <c r="E246" s="8"/>
      <c r="F246" s="8"/>
      <c r="G246" s="13"/>
      <c r="H246" s="13"/>
      <c r="I246" s="13"/>
      <c r="J246" s="15"/>
      <c r="K246" s="15"/>
      <c r="L246" s="15"/>
      <c r="M246" s="15"/>
      <c r="N246" s="15"/>
      <c r="O246" s="8"/>
      <c r="P246" s="8"/>
      <c r="Q246" s="8"/>
      <c r="R246" s="10"/>
      <c r="S246" s="8"/>
      <c r="T246" s="8"/>
      <c r="U246" s="8"/>
      <c r="V246" s="8"/>
      <c r="W246" s="10"/>
      <c r="X246" s="8"/>
    </row>
    <row r="247" spans="1:24">
      <c r="A247" s="8"/>
      <c r="B247" s="8"/>
      <c r="C247" s="8"/>
      <c r="D247" s="8"/>
      <c r="E247" s="8"/>
      <c r="F247" s="8"/>
      <c r="G247" s="13"/>
      <c r="H247" s="13"/>
      <c r="I247" s="13"/>
      <c r="J247" s="15"/>
      <c r="K247" s="15"/>
      <c r="L247" s="15"/>
      <c r="M247" s="15"/>
      <c r="N247" s="15"/>
      <c r="O247" s="8"/>
      <c r="P247" s="8"/>
      <c r="Q247" s="8"/>
      <c r="R247" s="10"/>
      <c r="S247" s="8"/>
      <c r="T247" s="8"/>
      <c r="U247" s="8"/>
      <c r="V247" s="8"/>
      <c r="W247" s="10"/>
      <c r="X247" s="8"/>
    </row>
    <row r="248" spans="1:24">
      <c r="A248" s="8"/>
      <c r="B248" s="8"/>
      <c r="C248" s="8"/>
      <c r="D248" s="8"/>
      <c r="E248" s="8"/>
      <c r="F248" s="8"/>
      <c r="G248" s="13"/>
      <c r="H248" s="13"/>
      <c r="I248" s="13"/>
      <c r="J248" s="15"/>
      <c r="K248" s="15"/>
      <c r="L248" s="15"/>
      <c r="M248" s="15"/>
      <c r="N248" s="15"/>
      <c r="O248" s="8"/>
      <c r="P248" s="8"/>
      <c r="Q248" s="8"/>
      <c r="R248" s="10"/>
      <c r="S248" s="8"/>
      <c r="T248" s="8"/>
      <c r="U248" s="8"/>
      <c r="V248" s="8"/>
      <c r="W248" s="10"/>
      <c r="X248" s="8"/>
    </row>
    <row r="249" spans="1:24">
      <c r="A249" s="8"/>
      <c r="B249" s="8"/>
      <c r="C249" s="8"/>
      <c r="D249" s="8"/>
      <c r="E249" s="8"/>
      <c r="F249" s="8"/>
      <c r="G249" s="13"/>
      <c r="H249" s="13"/>
      <c r="I249" s="13"/>
      <c r="J249" s="15"/>
      <c r="K249" s="15"/>
      <c r="L249" s="15"/>
      <c r="M249" s="15"/>
      <c r="N249" s="15"/>
      <c r="O249" s="8"/>
      <c r="P249" s="8"/>
      <c r="Q249" s="8"/>
      <c r="R249" s="10"/>
      <c r="S249" s="8"/>
      <c r="T249" s="8"/>
      <c r="U249" s="8"/>
      <c r="V249" s="8"/>
      <c r="W249" s="10"/>
      <c r="X249" s="8"/>
    </row>
    <row r="250" spans="1:24">
      <c r="A250" s="8"/>
      <c r="B250" s="8"/>
      <c r="C250" s="8"/>
      <c r="D250" s="8"/>
      <c r="E250" s="8"/>
      <c r="F250" s="8"/>
      <c r="G250" s="13"/>
      <c r="H250" s="13"/>
      <c r="I250" s="13"/>
      <c r="J250" s="15"/>
      <c r="K250" s="15"/>
      <c r="L250" s="15"/>
      <c r="M250" s="15"/>
      <c r="N250" s="15"/>
      <c r="O250" s="8"/>
      <c r="P250" s="8"/>
      <c r="Q250" s="8"/>
      <c r="R250" s="10"/>
      <c r="S250" s="8"/>
      <c r="T250" s="8"/>
      <c r="U250" s="8"/>
      <c r="V250" s="8"/>
      <c r="W250" s="10"/>
      <c r="X250" s="8"/>
    </row>
    <row r="251" spans="1:24">
      <c r="A251" s="8"/>
      <c r="B251" s="8"/>
      <c r="C251" s="8"/>
      <c r="D251" s="8"/>
      <c r="E251" s="8"/>
      <c r="F251" s="8"/>
      <c r="G251" s="13"/>
      <c r="H251" s="13"/>
      <c r="I251" s="13"/>
      <c r="J251" s="15"/>
      <c r="K251" s="15"/>
      <c r="L251" s="15"/>
      <c r="M251" s="15"/>
      <c r="N251" s="15"/>
      <c r="O251" s="8"/>
      <c r="P251" s="8"/>
      <c r="Q251" s="8"/>
      <c r="R251" s="10"/>
      <c r="S251" s="8"/>
      <c r="T251" s="8"/>
      <c r="U251" s="8"/>
      <c r="V251" s="8"/>
      <c r="W251" s="10"/>
      <c r="X251" s="8"/>
    </row>
    <row r="252" spans="1:24">
      <c r="A252" s="8"/>
      <c r="B252" s="8"/>
      <c r="C252" s="8"/>
      <c r="D252" s="8"/>
      <c r="E252" s="8"/>
      <c r="F252" s="8"/>
      <c r="G252" s="13"/>
      <c r="H252" s="13"/>
      <c r="I252" s="13"/>
      <c r="J252" s="15"/>
      <c r="K252" s="15"/>
      <c r="L252" s="15"/>
      <c r="M252" s="15"/>
      <c r="N252" s="15"/>
      <c r="O252" s="8"/>
      <c r="P252" s="8"/>
      <c r="Q252" s="8"/>
      <c r="R252" s="10"/>
      <c r="S252" s="8"/>
      <c r="T252" s="8"/>
      <c r="U252" s="8"/>
      <c r="V252" s="8"/>
      <c r="W252" s="10"/>
      <c r="X252" s="8"/>
    </row>
    <row r="253" spans="1:24">
      <c r="A253" s="8"/>
      <c r="B253" s="8"/>
      <c r="C253" s="8"/>
      <c r="D253" s="8"/>
      <c r="E253" s="8"/>
      <c r="F253" s="8"/>
      <c r="G253" s="13"/>
      <c r="H253" s="13"/>
      <c r="I253" s="13"/>
      <c r="J253" s="15"/>
      <c r="K253" s="15"/>
      <c r="L253" s="15"/>
      <c r="M253" s="15"/>
      <c r="N253" s="15"/>
      <c r="O253" s="8"/>
      <c r="P253" s="8"/>
      <c r="Q253" s="8"/>
      <c r="R253" s="10"/>
      <c r="S253" s="8"/>
      <c r="T253" s="8"/>
      <c r="U253" s="8"/>
      <c r="V253" s="8"/>
      <c r="W253" s="10"/>
      <c r="X253" s="8"/>
    </row>
    <row r="254" spans="1:24">
      <c r="A254" s="8"/>
      <c r="B254" s="8"/>
      <c r="C254" s="8"/>
      <c r="D254" s="8"/>
      <c r="E254" s="8"/>
      <c r="F254" s="8"/>
      <c r="G254" s="13"/>
      <c r="H254" s="13"/>
      <c r="I254" s="13"/>
      <c r="J254" s="15"/>
      <c r="K254" s="15"/>
      <c r="L254" s="15"/>
      <c r="M254" s="15"/>
      <c r="N254" s="15"/>
      <c r="O254" s="8"/>
      <c r="P254" s="8"/>
      <c r="Q254" s="8"/>
      <c r="R254" s="10"/>
      <c r="S254" s="8"/>
      <c r="T254" s="8"/>
      <c r="U254" s="8"/>
      <c r="V254" s="8"/>
      <c r="W254" s="10"/>
      <c r="X254" s="8"/>
    </row>
    <row r="255" spans="1:24">
      <c r="A255" s="8"/>
      <c r="B255" s="8"/>
      <c r="C255" s="8"/>
      <c r="D255" s="8"/>
      <c r="E255" s="8"/>
      <c r="F255" s="8"/>
      <c r="G255" s="13"/>
      <c r="H255" s="13"/>
      <c r="I255" s="13"/>
      <c r="J255" s="15"/>
      <c r="K255" s="15"/>
      <c r="L255" s="15"/>
      <c r="M255" s="15"/>
      <c r="N255" s="15"/>
      <c r="O255" s="8"/>
      <c r="P255" s="8"/>
      <c r="Q255" s="8"/>
      <c r="R255" s="10"/>
      <c r="S255" s="8"/>
      <c r="T255" s="8"/>
      <c r="U255" s="8"/>
      <c r="V255" s="8"/>
      <c r="W255" s="10"/>
      <c r="X255" s="8"/>
    </row>
    <row r="256" spans="1:24">
      <c r="A256" s="8"/>
      <c r="B256" s="8"/>
      <c r="C256" s="8"/>
      <c r="D256" s="8"/>
      <c r="E256" s="8"/>
      <c r="F256" s="8"/>
      <c r="G256" s="13"/>
      <c r="H256" s="13"/>
      <c r="I256" s="13"/>
      <c r="J256" s="15"/>
      <c r="K256" s="15"/>
      <c r="L256" s="15"/>
      <c r="M256" s="15"/>
      <c r="N256" s="15"/>
      <c r="O256" s="8"/>
      <c r="P256" s="8"/>
      <c r="Q256" s="8"/>
      <c r="R256" s="10"/>
      <c r="S256" s="8"/>
      <c r="T256" s="8"/>
      <c r="U256" s="8"/>
      <c r="V256" s="8"/>
      <c r="W256" s="10"/>
      <c r="X256" s="8"/>
    </row>
    <row r="257" spans="1:24">
      <c r="A257" s="8"/>
      <c r="B257" s="8"/>
      <c r="C257" s="8"/>
      <c r="D257" s="8"/>
      <c r="E257" s="8"/>
      <c r="F257" s="8"/>
      <c r="G257" s="13"/>
      <c r="H257" s="13"/>
      <c r="I257" s="13"/>
      <c r="J257" s="15"/>
      <c r="K257" s="15"/>
      <c r="L257" s="15"/>
      <c r="M257" s="15"/>
      <c r="N257" s="15"/>
      <c r="O257" s="8"/>
      <c r="P257" s="8"/>
      <c r="Q257" s="8"/>
      <c r="R257" s="10"/>
      <c r="S257" s="8"/>
      <c r="T257" s="8"/>
      <c r="U257" s="8"/>
      <c r="V257" s="8"/>
      <c r="W257" s="10"/>
      <c r="X257" s="8"/>
    </row>
    <row r="258" spans="1:24">
      <c r="A258" s="8"/>
      <c r="B258" s="8"/>
      <c r="C258" s="8"/>
      <c r="D258" s="8"/>
      <c r="E258" s="8"/>
      <c r="F258" s="8"/>
      <c r="G258" s="13"/>
      <c r="H258" s="13"/>
      <c r="I258" s="13"/>
      <c r="J258" s="15"/>
      <c r="K258" s="15"/>
      <c r="L258" s="15"/>
      <c r="M258" s="15"/>
      <c r="N258" s="15"/>
      <c r="O258" s="8"/>
      <c r="P258" s="8"/>
      <c r="Q258" s="8"/>
      <c r="R258" s="10"/>
      <c r="S258" s="8"/>
      <c r="T258" s="8"/>
      <c r="U258" s="8"/>
      <c r="V258" s="8"/>
      <c r="W258" s="10"/>
      <c r="X258" s="8"/>
    </row>
    <row r="259" spans="1:24">
      <c r="A259" s="8"/>
      <c r="B259" s="8"/>
      <c r="C259" s="8"/>
      <c r="D259" s="8"/>
      <c r="E259" s="8"/>
      <c r="F259" s="8"/>
      <c r="G259" s="13"/>
      <c r="H259" s="13"/>
      <c r="I259" s="13"/>
      <c r="J259" s="15"/>
      <c r="K259" s="15"/>
      <c r="L259" s="15"/>
      <c r="M259" s="15"/>
      <c r="N259" s="15"/>
      <c r="O259" s="8"/>
      <c r="P259" s="8"/>
      <c r="Q259" s="8"/>
      <c r="R259" s="10"/>
      <c r="S259" s="8"/>
      <c r="T259" s="8"/>
      <c r="U259" s="8"/>
      <c r="V259" s="8"/>
      <c r="W259" s="10"/>
      <c r="X259" s="8"/>
    </row>
    <row r="260" spans="1:24">
      <c r="A260" s="8"/>
      <c r="B260" s="8"/>
      <c r="C260" s="8"/>
      <c r="D260" s="8"/>
      <c r="E260" s="8"/>
      <c r="F260" s="8"/>
      <c r="G260" s="13"/>
      <c r="H260" s="13"/>
      <c r="I260" s="13"/>
      <c r="J260" s="15"/>
      <c r="K260" s="15"/>
      <c r="L260" s="15"/>
      <c r="M260" s="15"/>
      <c r="N260" s="15"/>
      <c r="O260" s="8"/>
      <c r="P260" s="8"/>
      <c r="Q260" s="8"/>
      <c r="R260" s="10"/>
      <c r="S260" s="8"/>
      <c r="T260" s="8"/>
      <c r="U260" s="8"/>
      <c r="V260" s="8"/>
      <c r="W260" s="10"/>
      <c r="X260" s="8"/>
    </row>
    <row r="261" spans="1:24">
      <c r="A261" s="8"/>
      <c r="B261" s="8"/>
      <c r="C261" s="8"/>
      <c r="D261" s="8"/>
      <c r="E261" s="8"/>
      <c r="F261" s="8"/>
      <c r="G261" s="13"/>
      <c r="H261" s="13"/>
      <c r="I261" s="13"/>
      <c r="J261" s="15"/>
      <c r="K261" s="15"/>
      <c r="L261" s="15"/>
      <c r="M261" s="15"/>
      <c r="N261" s="15"/>
      <c r="O261" s="8"/>
      <c r="P261" s="8"/>
      <c r="Q261" s="8"/>
      <c r="R261" s="10"/>
      <c r="S261" s="8"/>
      <c r="T261" s="8"/>
      <c r="U261" s="8"/>
      <c r="V261" s="8"/>
      <c r="W261" s="10"/>
      <c r="X261" s="8"/>
    </row>
    <row r="262" spans="1:24">
      <c r="A262" s="8"/>
      <c r="B262" s="8"/>
      <c r="C262" s="8"/>
      <c r="D262" s="8"/>
      <c r="E262" s="8"/>
      <c r="F262" s="8"/>
      <c r="G262" s="13"/>
      <c r="H262" s="13"/>
      <c r="I262" s="13"/>
      <c r="J262" s="15"/>
      <c r="K262" s="15"/>
      <c r="L262" s="15"/>
      <c r="M262" s="15"/>
      <c r="N262" s="15"/>
      <c r="O262" s="8"/>
      <c r="P262" s="8"/>
      <c r="Q262" s="8"/>
      <c r="R262" s="10"/>
      <c r="S262" s="8"/>
      <c r="T262" s="8"/>
      <c r="U262" s="8"/>
      <c r="V262" s="8"/>
      <c r="W262" s="10"/>
      <c r="X262" s="8"/>
    </row>
    <row r="263" spans="1:24">
      <c r="A263" s="8"/>
      <c r="B263" s="8"/>
      <c r="C263" s="8"/>
      <c r="D263" s="8"/>
      <c r="E263" s="8"/>
      <c r="F263" s="8"/>
      <c r="G263" s="13"/>
      <c r="H263" s="13"/>
      <c r="I263" s="13"/>
      <c r="J263" s="15"/>
      <c r="K263" s="15"/>
      <c r="L263" s="15"/>
      <c r="M263" s="15"/>
      <c r="N263" s="15"/>
      <c r="O263" s="8"/>
      <c r="P263" s="8"/>
      <c r="Q263" s="8"/>
      <c r="R263" s="10"/>
      <c r="S263" s="8"/>
      <c r="T263" s="8"/>
      <c r="U263" s="8"/>
      <c r="V263" s="8"/>
      <c r="W263" s="10"/>
      <c r="X263" s="8"/>
    </row>
    <row r="264" spans="1:24">
      <c r="A264" s="8"/>
      <c r="B264" s="8"/>
      <c r="C264" s="8"/>
      <c r="D264" s="8"/>
      <c r="E264" s="8"/>
      <c r="F264" s="8"/>
      <c r="G264" s="13"/>
      <c r="H264" s="13"/>
      <c r="I264" s="13"/>
      <c r="J264" s="15"/>
      <c r="K264" s="15"/>
      <c r="L264" s="15"/>
      <c r="M264" s="15"/>
      <c r="N264" s="15"/>
      <c r="O264" s="8"/>
      <c r="P264" s="8"/>
      <c r="Q264" s="8"/>
      <c r="R264" s="10"/>
      <c r="S264" s="8"/>
      <c r="T264" s="8"/>
      <c r="U264" s="8"/>
      <c r="V264" s="8"/>
      <c r="W264" s="10"/>
      <c r="X264" s="8"/>
    </row>
    <row r="265" spans="1:24">
      <c r="A265" s="8"/>
      <c r="B265" s="8"/>
      <c r="C265" s="8"/>
      <c r="D265" s="8"/>
      <c r="E265" s="8"/>
      <c r="F265" s="8"/>
      <c r="G265" s="13"/>
      <c r="H265" s="13"/>
      <c r="I265" s="13"/>
      <c r="J265" s="15"/>
      <c r="K265" s="15"/>
      <c r="L265" s="15"/>
      <c r="M265" s="15"/>
      <c r="N265" s="15"/>
      <c r="O265" s="8"/>
      <c r="P265" s="8"/>
      <c r="Q265" s="8"/>
      <c r="R265" s="10"/>
      <c r="S265" s="8"/>
      <c r="T265" s="8"/>
      <c r="U265" s="8"/>
      <c r="V265" s="8"/>
      <c r="W265" s="10"/>
      <c r="X265" s="8"/>
    </row>
    <row r="266" spans="1:24">
      <c r="A266" s="8"/>
      <c r="B266" s="8"/>
      <c r="C266" s="8"/>
      <c r="D266" s="8"/>
      <c r="E266" s="8"/>
      <c r="F266" s="8"/>
      <c r="G266" s="13"/>
      <c r="H266" s="13"/>
      <c r="I266" s="13"/>
      <c r="J266" s="15"/>
      <c r="K266" s="15"/>
      <c r="L266" s="15"/>
      <c r="M266" s="15"/>
      <c r="N266" s="15"/>
      <c r="O266" s="8"/>
      <c r="P266" s="8"/>
      <c r="Q266" s="8"/>
      <c r="R266" s="10"/>
      <c r="S266" s="8"/>
      <c r="T266" s="8"/>
      <c r="U266" s="8"/>
      <c r="V266" s="8"/>
      <c r="W266" s="10"/>
      <c r="X266" s="8"/>
    </row>
    <row r="267" spans="1:24">
      <c r="A267" s="8"/>
      <c r="B267" s="8"/>
      <c r="C267" s="8"/>
      <c r="D267" s="8"/>
      <c r="E267" s="8"/>
      <c r="F267" s="8"/>
      <c r="G267" s="13"/>
      <c r="H267" s="13"/>
      <c r="I267" s="13"/>
      <c r="J267" s="15"/>
      <c r="K267" s="15"/>
      <c r="L267" s="15"/>
      <c r="M267" s="15"/>
      <c r="N267" s="15"/>
      <c r="O267" s="8"/>
      <c r="P267" s="8"/>
      <c r="Q267" s="8"/>
      <c r="R267" s="10"/>
      <c r="S267" s="8"/>
      <c r="T267" s="8"/>
      <c r="U267" s="8"/>
      <c r="V267" s="8"/>
      <c r="W267" s="10"/>
      <c r="X267" s="8"/>
    </row>
    <row r="268" spans="1:24">
      <c r="A268" s="8"/>
      <c r="B268" s="8"/>
      <c r="C268" s="8"/>
      <c r="D268" s="8"/>
      <c r="E268" s="8"/>
      <c r="F268" s="8"/>
      <c r="G268" s="13"/>
      <c r="H268" s="13"/>
      <c r="I268" s="13"/>
      <c r="J268" s="15"/>
      <c r="K268" s="15"/>
      <c r="L268" s="15"/>
      <c r="M268" s="15"/>
      <c r="N268" s="15"/>
      <c r="O268" s="8"/>
      <c r="P268" s="8"/>
      <c r="Q268" s="8"/>
      <c r="R268" s="10"/>
      <c r="S268" s="8"/>
      <c r="T268" s="8"/>
      <c r="U268" s="8"/>
      <c r="V268" s="8"/>
      <c r="W268" s="10"/>
      <c r="X268" s="8"/>
    </row>
    <row r="269" spans="1:24">
      <c r="A269" s="8"/>
      <c r="B269" s="8"/>
      <c r="C269" s="8"/>
      <c r="D269" s="8"/>
      <c r="E269" s="8"/>
      <c r="F269" s="8"/>
      <c r="G269" s="13"/>
      <c r="H269" s="13"/>
      <c r="I269" s="13"/>
      <c r="J269" s="15"/>
      <c r="K269" s="15"/>
      <c r="L269" s="15"/>
      <c r="M269" s="15"/>
      <c r="N269" s="15"/>
      <c r="O269" s="8"/>
      <c r="P269" s="8"/>
      <c r="Q269" s="8"/>
      <c r="R269" s="10"/>
      <c r="S269" s="8"/>
      <c r="T269" s="8"/>
      <c r="U269" s="8"/>
      <c r="V269" s="8"/>
      <c r="W269" s="10"/>
      <c r="X269" s="8"/>
    </row>
    <row r="270" spans="1:24">
      <c r="A270" s="8"/>
      <c r="B270" s="8"/>
      <c r="C270" s="8"/>
      <c r="D270" s="8"/>
      <c r="E270" s="8"/>
      <c r="F270" s="8"/>
      <c r="G270" s="13"/>
      <c r="H270" s="13"/>
      <c r="I270" s="13"/>
      <c r="J270" s="15"/>
      <c r="K270" s="15"/>
      <c r="L270" s="15"/>
      <c r="M270" s="15"/>
      <c r="N270" s="15"/>
      <c r="O270" s="8"/>
      <c r="P270" s="8"/>
      <c r="Q270" s="8"/>
      <c r="R270" s="10"/>
      <c r="S270" s="8"/>
      <c r="T270" s="8"/>
      <c r="U270" s="8"/>
      <c r="V270" s="8"/>
      <c r="W270" s="10"/>
      <c r="X270" s="8"/>
    </row>
    <row r="271" spans="1:24">
      <c r="A271" s="8"/>
      <c r="B271" s="8"/>
      <c r="C271" s="8"/>
      <c r="D271" s="8"/>
      <c r="E271" s="8"/>
      <c r="F271" s="8"/>
      <c r="G271" s="13"/>
      <c r="H271" s="13"/>
      <c r="I271" s="13"/>
      <c r="J271" s="15"/>
      <c r="K271" s="15"/>
      <c r="L271" s="15"/>
      <c r="M271" s="15"/>
      <c r="N271" s="15"/>
      <c r="O271" s="8"/>
      <c r="P271" s="8"/>
      <c r="Q271" s="8"/>
      <c r="R271" s="10"/>
      <c r="S271" s="8"/>
      <c r="T271" s="8"/>
      <c r="U271" s="8"/>
      <c r="V271" s="8"/>
      <c r="W271" s="10"/>
      <c r="X271" s="8"/>
    </row>
    <row r="272" spans="1:24">
      <c r="A272" s="8"/>
      <c r="B272" s="8"/>
      <c r="C272" s="8"/>
      <c r="D272" s="8"/>
      <c r="E272" s="8"/>
      <c r="F272" s="8"/>
      <c r="G272" s="13"/>
      <c r="H272" s="13"/>
      <c r="I272" s="13"/>
      <c r="J272" s="15"/>
      <c r="K272" s="15"/>
      <c r="L272" s="15"/>
      <c r="M272" s="15"/>
      <c r="N272" s="15"/>
      <c r="O272" s="8"/>
      <c r="P272" s="8"/>
      <c r="Q272" s="8"/>
      <c r="R272" s="10"/>
      <c r="S272" s="8"/>
      <c r="T272" s="8"/>
      <c r="U272" s="8"/>
      <c r="V272" s="8"/>
      <c r="W272" s="10"/>
      <c r="X272" s="8"/>
    </row>
    <row r="273" spans="1:24">
      <c r="A273" s="8"/>
      <c r="B273" s="8"/>
      <c r="C273" s="8"/>
      <c r="D273" s="8"/>
      <c r="E273" s="8"/>
      <c r="F273" s="8"/>
      <c r="G273" s="13"/>
      <c r="H273" s="13"/>
      <c r="I273" s="13"/>
      <c r="J273" s="15"/>
      <c r="K273" s="15"/>
      <c r="L273" s="15"/>
      <c r="M273" s="15"/>
      <c r="N273" s="15"/>
      <c r="O273" s="8"/>
      <c r="P273" s="8"/>
      <c r="Q273" s="8"/>
      <c r="R273" s="10"/>
      <c r="S273" s="8"/>
      <c r="T273" s="8"/>
      <c r="U273" s="8"/>
      <c r="V273" s="8"/>
      <c r="W273" s="10"/>
      <c r="X273" s="8"/>
    </row>
    <row r="274" spans="1:24">
      <c r="A274" s="8"/>
      <c r="B274" s="8"/>
      <c r="C274" s="8"/>
      <c r="D274" s="8"/>
      <c r="E274" s="8"/>
      <c r="F274" s="8"/>
      <c r="G274" s="13"/>
      <c r="H274" s="13"/>
      <c r="I274" s="13"/>
      <c r="J274" s="15"/>
      <c r="K274" s="15"/>
      <c r="L274" s="15"/>
      <c r="M274" s="15"/>
      <c r="N274" s="15"/>
      <c r="O274" s="8"/>
      <c r="P274" s="8"/>
      <c r="Q274" s="8"/>
      <c r="R274" s="10"/>
      <c r="S274" s="8"/>
      <c r="T274" s="8"/>
      <c r="U274" s="8"/>
      <c r="V274" s="8"/>
      <c r="W274" s="10"/>
      <c r="X274" s="8"/>
    </row>
    <row r="275" spans="1:24">
      <c r="A275" s="8"/>
      <c r="B275" s="8"/>
      <c r="C275" s="8"/>
      <c r="D275" s="8"/>
      <c r="E275" s="8"/>
      <c r="F275" s="8"/>
      <c r="G275" s="13"/>
      <c r="H275" s="13"/>
      <c r="I275" s="13"/>
      <c r="J275" s="15"/>
      <c r="K275" s="15"/>
      <c r="L275" s="15"/>
      <c r="M275" s="15"/>
      <c r="N275" s="15"/>
      <c r="O275" s="8"/>
      <c r="P275" s="8"/>
      <c r="Q275" s="8"/>
      <c r="R275" s="10"/>
      <c r="S275" s="8"/>
      <c r="T275" s="8"/>
      <c r="U275" s="8"/>
      <c r="V275" s="8"/>
      <c r="W275" s="10"/>
      <c r="X275" s="8"/>
    </row>
    <row r="276" spans="1:24">
      <c r="A276" s="8"/>
      <c r="B276" s="8"/>
      <c r="C276" s="8"/>
      <c r="D276" s="8"/>
      <c r="E276" s="8"/>
      <c r="F276" s="8"/>
      <c r="G276" s="13"/>
      <c r="H276" s="13"/>
      <c r="I276" s="13"/>
      <c r="J276" s="15"/>
      <c r="K276" s="15"/>
      <c r="L276" s="15"/>
      <c r="M276" s="15"/>
      <c r="N276" s="15"/>
      <c r="O276" s="8"/>
      <c r="P276" s="8"/>
      <c r="Q276" s="8"/>
      <c r="R276" s="10"/>
      <c r="S276" s="8"/>
      <c r="T276" s="8"/>
      <c r="U276" s="8"/>
      <c r="V276" s="8"/>
      <c r="W276" s="10"/>
      <c r="X276" s="8"/>
    </row>
    <row r="277" spans="1:24">
      <c r="A277" s="8"/>
      <c r="B277" s="8"/>
      <c r="C277" s="8"/>
      <c r="D277" s="8"/>
      <c r="E277" s="8"/>
      <c r="F277" s="8"/>
      <c r="G277" s="13"/>
      <c r="H277" s="13"/>
      <c r="I277" s="13"/>
      <c r="J277" s="15"/>
      <c r="K277" s="15"/>
      <c r="L277" s="15"/>
      <c r="M277" s="15"/>
      <c r="N277" s="15"/>
      <c r="O277" s="8"/>
      <c r="P277" s="8"/>
      <c r="Q277" s="8"/>
      <c r="R277" s="10"/>
      <c r="S277" s="8"/>
      <c r="T277" s="8"/>
      <c r="U277" s="8"/>
      <c r="V277" s="8"/>
      <c r="W277" s="10"/>
      <c r="X277" s="8"/>
    </row>
    <row r="278" spans="1:24">
      <c r="A278" s="8"/>
      <c r="B278" s="8"/>
      <c r="C278" s="8"/>
      <c r="D278" s="8"/>
      <c r="E278" s="8"/>
      <c r="F278" s="8"/>
      <c r="G278" s="13"/>
      <c r="H278" s="13"/>
      <c r="I278" s="13"/>
      <c r="J278" s="15"/>
      <c r="K278" s="15"/>
      <c r="L278" s="15"/>
      <c r="M278" s="15"/>
      <c r="N278" s="15"/>
      <c r="O278" s="8"/>
      <c r="P278" s="8"/>
      <c r="Q278" s="8"/>
      <c r="R278" s="10"/>
      <c r="S278" s="8"/>
      <c r="T278" s="8"/>
      <c r="U278" s="8"/>
      <c r="V278" s="8"/>
      <c r="W278" s="10"/>
      <c r="X278" s="8"/>
    </row>
    <row r="279" spans="1:24">
      <c r="A279" s="8"/>
      <c r="B279" s="8"/>
      <c r="C279" s="8"/>
      <c r="D279" s="8"/>
      <c r="E279" s="8"/>
      <c r="F279" s="8"/>
      <c r="G279" s="13"/>
      <c r="H279" s="13"/>
      <c r="I279" s="13"/>
      <c r="J279" s="15"/>
      <c r="K279" s="15"/>
      <c r="L279" s="15"/>
      <c r="M279" s="15"/>
      <c r="N279" s="15"/>
      <c r="O279" s="8"/>
      <c r="P279" s="8"/>
      <c r="Q279" s="8"/>
      <c r="R279" s="10"/>
      <c r="S279" s="8"/>
      <c r="T279" s="8"/>
      <c r="U279" s="8"/>
      <c r="V279" s="8"/>
      <c r="W279" s="10"/>
      <c r="X279" s="8"/>
    </row>
    <row r="280" spans="1:24">
      <c r="A280" s="8"/>
      <c r="B280" s="8"/>
      <c r="C280" s="8"/>
      <c r="D280" s="8"/>
      <c r="E280" s="8"/>
      <c r="F280" s="8"/>
      <c r="G280" s="13"/>
      <c r="H280" s="13"/>
      <c r="I280" s="13"/>
      <c r="J280" s="15"/>
      <c r="K280" s="15"/>
      <c r="L280" s="15"/>
      <c r="M280" s="15"/>
      <c r="N280" s="15"/>
      <c r="O280" s="8"/>
      <c r="P280" s="8"/>
      <c r="Q280" s="8"/>
      <c r="R280" s="10"/>
      <c r="S280" s="8"/>
      <c r="T280" s="8"/>
      <c r="U280" s="8"/>
      <c r="V280" s="8"/>
      <c r="W280" s="10"/>
      <c r="X280" s="8"/>
    </row>
    <row r="281" spans="1:24">
      <c r="A281" s="8"/>
      <c r="B281" s="8"/>
      <c r="C281" s="8"/>
      <c r="D281" s="8"/>
      <c r="E281" s="8"/>
      <c r="F281" s="8"/>
      <c r="G281" s="13"/>
      <c r="H281" s="13"/>
      <c r="I281" s="13"/>
      <c r="J281" s="15"/>
      <c r="K281" s="15"/>
      <c r="L281" s="15"/>
      <c r="M281" s="15"/>
      <c r="N281" s="15"/>
      <c r="O281" s="8"/>
      <c r="P281" s="8"/>
      <c r="Q281" s="8"/>
      <c r="R281" s="10"/>
      <c r="S281" s="8"/>
      <c r="T281" s="8"/>
      <c r="U281" s="8"/>
      <c r="V281" s="8"/>
      <c r="W281" s="10"/>
      <c r="X281" s="8"/>
    </row>
    <row r="282" spans="1:24">
      <c r="A282" s="8"/>
      <c r="B282" s="8"/>
      <c r="C282" s="8"/>
      <c r="D282" s="8"/>
      <c r="E282" s="8"/>
      <c r="F282" s="8"/>
      <c r="G282" s="13"/>
      <c r="H282" s="13"/>
      <c r="I282" s="13"/>
      <c r="J282" s="15"/>
      <c r="K282" s="15"/>
      <c r="L282" s="15"/>
      <c r="M282" s="15"/>
      <c r="N282" s="15"/>
      <c r="O282" s="8"/>
      <c r="P282" s="8"/>
      <c r="Q282" s="8"/>
      <c r="R282" s="10"/>
      <c r="S282" s="8"/>
      <c r="T282" s="8"/>
      <c r="U282" s="8"/>
      <c r="V282" s="8"/>
      <c r="W282" s="10"/>
      <c r="X282" s="8"/>
    </row>
    <row r="283" spans="1:24">
      <c r="A283" s="8"/>
      <c r="B283" s="8"/>
      <c r="C283" s="8"/>
      <c r="D283" s="8"/>
      <c r="E283" s="8"/>
      <c r="F283" s="8"/>
      <c r="G283" s="13"/>
      <c r="H283" s="13"/>
      <c r="I283" s="13"/>
      <c r="J283" s="15"/>
      <c r="K283" s="15"/>
      <c r="L283" s="15"/>
      <c r="M283" s="15"/>
      <c r="N283" s="15"/>
      <c r="O283" s="8"/>
      <c r="P283" s="8"/>
      <c r="Q283" s="8"/>
      <c r="R283" s="10"/>
      <c r="S283" s="8"/>
      <c r="T283" s="8"/>
      <c r="U283" s="8"/>
      <c r="V283" s="8"/>
      <c r="W283" s="10"/>
      <c r="X283" s="8"/>
    </row>
    <row r="284" spans="1:24">
      <c r="A284" s="8"/>
      <c r="B284" s="8"/>
      <c r="C284" s="8"/>
      <c r="D284" s="8"/>
      <c r="E284" s="8"/>
      <c r="F284" s="8"/>
      <c r="G284" s="13"/>
      <c r="H284" s="13"/>
      <c r="I284" s="13"/>
      <c r="J284" s="15"/>
      <c r="K284" s="15"/>
      <c r="L284" s="15"/>
      <c r="M284" s="15"/>
      <c r="N284" s="15"/>
      <c r="O284" s="8"/>
      <c r="P284" s="8"/>
      <c r="Q284" s="8"/>
      <c r="R284" s="10"/>
      <c r="S284" s="8"/>
      <c r="T284" s="8"/>
      <c r="U284" s="8"/>
      <c r="V284" s="8"/>
      <c r="W284" s="10"/>
      <c r="X284" s="8"/>
    </row>
    <row r="285" spans="1:24">
      <c r="A285" s="8"/>
      <c r="B285" s="8"/>
      <c r="C285" s="8"/>
      <c r="D285" s="8"/>
      <c r="E285" s="8"/>
      <c r="F285" s="8"/>
      <c r="G285" s="13"/>
      <c r="H285" s="13"/>
      <c r="I285" s="13"/>
      <c r="J285" s="15"/>
      <c r="K285" s="15"/>
      <c r="L285" s="15"/>
      <c r="M285" s="15"/>
      <c r="N285" s="15"/>
      <c r="O285" s="8"/>
      <c r="P285" s="8"/>
      <c r="Q285" s="8"/>
      <c r="R285" s="10"/>
      <c r="S285" s="8"/>
      <c r="T285" s="8"/>
      <c r="U285" s="8"/>
      <c r="V285" s="8"/>
      <c r="W285" s="10"/>
      <c r="X285" s="8"/>
    </row>
    <row r="286" spans="1:24">
      <c r="A286" s="8"/>
      <c r="B286" s="8"/>
      <c r="C286" s="8"/>
      <c r="D286" s="8"/>
      <c r="E286" s="8"/>
      <c r="F286" s="8"/>
      <c r="G286" s="13"/>
      <c r="H286" s="13"/>
      <c r="I286" s="13"/>
      <c r="J286" s="15"/>
      <c r="K286" s="15"/>
      <c r="L286" s="15"/>
      <c r="M286" s="15"/>
      <c r="N286" s="15"/>
      <c r="O286" s="8"/>
      <c r="P286" s="8"/>
      <c r="Q286" s="8"/>
      <c r="R286" s="10"/>
      <c r="S286" s="8"/>
      <c r="T286" s="8"/>
      <c r="U286" s="8"/>
      <c r="V286" s="8"/>
      <c r="W286" s="10"/>
      <c r="X286" s="8"/>
    </row>
    <row r="287" spans="1:24">
      <c r="A287" s="8"/>
      <c r="B287" s="8"/>
      <c r="C287" s="8"/>
      <c r="D287" s="8"/>
      <c r="E287" s="8"/>
      <c r="F287" s="8"/>
      <c r="G287" s="13"/>
      <c r="H287" s="13"/>
      <c r="I287" s="13"/>
      <c r="J287" s="15"/>
      <c r="K287" s="15"/>
      <c r="L287" s="15"/>
      <c r="M287" s="15"/>
      <c r="N287" s="15"/>
      <c r="O287" s="8"/>
      <c r="P287" s="8"/>
      <c r="Q287" s="8"/>
      <c r="R287" s="10"/>
      <c r="S287" s="8"/>
      <c r="T287" s="8"/>
      <c r="U287" s="8"/>
      <c r="V287" s="8"/>
      <c r="W287" s="10"/>
      <c r="X287" s="8"/>
    </row>
    <row r="288" spans="1:24">
      <c r="A288" s="8"/>
      <c r="B288" s="8"/>
      <c r="C288" s="8"/>
      <c r="D288" s="8"/>
      <c r="E288" s="8"/>
      <c r="F288" s="8"/>
      <c r="G288" s="13"/>
      <c r="H288" s="13"/>
      <c r="I288" s="13"/>
      <c r="J288" s="15"/>
      <c r="K288" s="15"/>
      <c r="L288" s="15"/>
      <c r="M288" s="15"/>
      <c r="N288" s="15"/>
      <c r="O288" s="8"/>
      <c r="P288" s="8"/>
      <c r="Q288" s="8"/>
      <c r="R288" s="10"/>
      <c r="S288" s="8"/>
      <c r="T288" s="8"/>
      <c r="U288" s="8"/>
      <c r="V288" s="8"/>
      <c r="W288" s="10"/>
      <c r="X288" s="8"/>
    </row>
    <row r="289" spans="1:24">
      <c r="A289" s="8"/>
      <c r="B289" s="8"/>
      <c r="C289" s="8"/>
      <c r="D289" s="8"/>
      <c r="E289" s="8"/>
      <c r="F289" s="8"/>
      <c r="G289" s="13"/>
      <c r="H289" s="13"/>
      <c r="I289" s="13"/>
      <c r="J289" s="15"/>
      <c r="K289" s="15"/>
      <c r="L289" s="15"/>
      <c r="M289" s="15"/>
      <c r="N289" s="15"/>
      <c r="O289" s="8"/>
      <c r="P289" s="8"/>
      <c r="Q289" s="8"/>
      <c r="R289" s="10"/>
      <c r="S289" s="8"/>
      <c r="T289" s="8"/>
      <c r="U289" s="8"/>
      <c r="V289" s="8"/>
      <c r="W289" s="10"/>
      <c r="X289" s="8"/>
    </row>
    <row r="290" spans="1:24">
      <c r="A290" s="8"/>
      <c r="B290" s="8"/>
      <c r="C290" s="8"/>
      <c r="D290" s="8"/>
      <c r="E290" s="8"/>
      <c r="F290" s="8"/>
      <c r="G290" s="13"/>
      <c r="H290" s="13"/>
      <c r="I290" s="13"/>
      <c r="J290" s="15"/>
      <c r="K290" s="15"/>
      <c r="L290" s="15"/>
      <c r="M290" s="15"/>
      <c r="N290" s="15"/>
      <c r="O290" s="8"/>
      <c r="P290" s="8"/>
      <c r="Q290" s="8"/>
      <c r="R290" s="10"/>
      <c r="S290" s="8"/>
      <c r="T290" s="8"/>
      <c r="U290" s="8"/>
      <c r="V290" s="8"/>
      <c r="W290" s="10"/>
      <c r="X290" s="8"/>
    </row>
    <row r="291" spans="1:24">
      <c r="A291" s="8"/>
      <c r="B291" s="8"/>
      <c r="C291" s="8"/>
      <c r="D291" s="8"/>
      <c r="E291" s="8"/>
      <c r="F291" s="8"/>
      <c r="G291" s="13"/>
      <c r="H291" s="13"/>
      <c r="I291" s="13"/>
      <c r="J291" s="15"/>
      <c r="K291" s="15"/>
      <c r="L291" s="15"/>
      <c r="M291" s="15"/>
      <c r="N291" s="15"/>
      <c r="O291" s="8"/>
      <c r="P291" s="8"/>
      <c r="Q291" s="8"/>
      <c r="R291" s="10"/>
      <c r="S291" s="8"/>
      <c r="T291" s="8"/>
      <c r="U291" s="8"/>
      <c r="V291" s="8"/>
      <c r="W291" s="10"/>
      <c r="X291" s="8"/>
    </row>
    <row r="292" spans="1:24">
      <c r="A292" s="8"/>
      <c r="B292" s="8"/>
      <c r="C292" s="8"/>
      <c r="D292" s="8"/>
      <c r="E292" s="8"/>
      <c r="F292" s="8"/>
      <c r="G292" s="13"/>
      <c r="H292" s="13"/>
      <c r="I292" s="13"/>
      <c r="J292" s="15"/>
      <c r="K292" s="15"/>
      <c r="L292" s="15"/>
      <c r="M292" s="15"/>
      <c r="N292" s="15"/>
      <c r="O292" s="8"/>
      <c r="P292" s="8"/>
      <c r="Q292" s="8"/>
      <c r="R292" s="10"/>
      <c r="S292" s="8"/>
      <c r="T292" s="8"/>
      <c r="U292" s="8"/>
      <c r="V292" s="8"/>
      <c r="W292" s="10"/>
      <c r="X292" s="8"/>
    </row>
    <row r="293" spans="1:24">
      <c r="A293" s="8"/>
      <c r="B293" s="8"/>
      <c r="C293" s="8"/>
      <c r="D293" s="8"/>
      <c r="E293" s="8"/>
      <c r="F293" s="8"/>
      <c r="G293" s="13"/>
      <c r="H293" s="13"/>
      <c r="I293" s="13"/>
      <c r="J293" s="15"/>
      <c r="K293" s="15"/>
      <c r="L293" s="15"/>
      <c r="M293" s="15"/>
      <c r="N293" s="15"/>
      <c r="O293" s="8"/>
      <c r="P293" s="8"/>
      <c r="Q293" s="8"/>
      <c r="R293" s="10"/>
      <c r="S293" s="8"/>
      <c r="T293" s="8"/>
      <c r="U293" s="8"/>
      <c r="V293" s="8"/>
      <c r="W293" s="10"/>
      <c r="X293" s="8"/>
    </row>
    <row r="294" spans="1:24">
      <c r="A294" s="8"/>
      <c r="B294" s="8"/>
      <c r="C294" s="8"/>
      <c r="D294" s="8"/>
      <c r="E294" s="8"/>
      <c r="F294" s="8"/>
      <c r="G294" s="13"/>
      <c r="H294" s="13"/>
      <c r="I294" s="13"/>
      <c r="J294" s="15"/>
      <c r="K294" s="15"/>
      <c r="L294" s="15"/>
      <c r="M294" s="15"/>
      <c r="N294" s="15"/>
      <c r="O294" s="8"/>
      <c r="P294" s="8"/>
      <c r="Q294" s="8"/>
      <c r="R294" s="10"/>
      <c r="S294" s="8"/>
      <c r="T294" s="8"/>
      <c r="U294" s="8"/>
      <c r="V294" s="8"/>
      <c r="W294" s="10"/>
      <c r="X294" s="8"/>
    </row>
    <row r="295" spans="1:24">
      <c r="A295" s="8"/>
      <c r="B295" s="8"/>
      <c r="C295" s="8"/>
      <c r="D295" s="8"/>
      <c r="E295" s="8"/>
      <c r="F295" s="8"/>
      <c r="G295" s="13"/>
      <c r="H295" s="13"/>
      <c r="I295" s="13"/>
      <c r="J295" s="15"/>
      <c r="K295" s="15"/>
      <c r="L295" s="15"/>
      <c r="M295" s="15"/>
      <c r="N295" s="15"/>
      <c r="O295" s="8"/>
      <c r="P295" s="8"/>
      <c r="Q295" s="8"/>
      <c r="R295" s="10"/>
      <c r="S295" s="8"/>
      <c r="T295" s="8"/>
      <c r="U295" s="8"/>
      <c r="V295" s="8"/>
      <c r="W295" s="10"/>
      <c r="X295" s="8"/>
    </row>
    <row r="296" spans="1:24">
      <c r="A296" s="8"/>
      <c r="B296" s="8"/>
      <c r="C296" s="8"/>
      <c r="D296" s="8"/>
      <c r="E296" s="8"/>
      <c r="F296" s="8"/>
      <c r="G296" s="13"/>
      <c r="H296" s="13"/>
      <c r="I296" s="13"/>
      <c r="J296" s="15"/>
      <c r="K296" s="15"/>
      <c r="L296" s="15"/>
      <c r="M296" s="15"/>
      <c r="N296" s="15"/>
      <c r="O296" s="8"/>
      <c r="P296" s="8"/>
      <c r="Q296" s="8"/>
      <c r="R296" s="10"/>
      <c r="S296" s="8"/>
      <c r="T296" s="8"/>
      <c r="U296" s="8"/>
      <c r="V296" s="8"/>
      <c r="W296" s="10"/>
      <c r="X296" s="8"/>
    </row>
    <row r="297" spans="1:24">
      <c r="A297" s="8"/>
      <c r="B297" s="8"/>
      <c r="C297" s="8"/>
      <c r="D297" s="8"/>
      <c r="E297" s="8"/>
      <c r="F297" s="8"/>
      <c r="G297" s="13"/>
      <c r="H297" s="13"/>
      <c r="I297" s="13"/>
      <c r="J297" s="15"/>
      <c r="K297" s="15"/>
      <c r="L297" s="15"/>
      <c r="M297" s="15"/>
      <c r="N297" s="15"/>
      <c r="O297" s="8"/>
      <c r="P297" s="8"/>
      <c r="Q297" s="8"/>
      <c r="R297" s="10"/>
      <c r="S297" s="8"/>
      <c r="T297" s="8"/>
      <c r="U297" s="8"/>
      <c r="V297" s="8"/>
      <c r="W297" s="10"/>
      <c r="X297" s="8"/>
    </row>
    <row r="298" spans="1:24">
      <c r="A298" s="8"/>
      <c r="B298" s="8"/>
      <c r="C298" s="8"/>
      <c r="D298" s="8"/>
      <c r="E298" s="8"/>
      <c r="F298" s="8"/>
      <c r="G298" s="13"/>
      <c r="H298" s="13"/>
      <c r="I298" s="13"/>
      <c r="J298" s="15"/>
      <c r="K298" s="15"/>
      <c r="L298" s="15"/>
      <c r="M298" s="15"/>
      <c r="N298" s="15"/>
      <c r="O298" s="8"/>
      <c r="P298" s="8"/>
      <c r="Q298" s="8"/>
      <c r="R298" s="10"/>
      <c r="S298" s="8"/>
      <c r="T298" s="8"/>
      <c r="U298" s="8"/>
      <c r="V298" s="8"/>
      <c r="W298" s="10"/>
      <c r="X298" s="8"/>
    </row>
    <row r="299" spans="1:24">
      <c r="A299" s="8"/>
      <c r="B299" s="8"/>
      <c r="C299" s="8"/>
      <c r="D299" s="8"/>
      <c r="E299" s="8"/>
      <c r="F299" s="8"/>
      <c r="G299" s="13"/>
      <c r="H299" s="13"/>
      <c r="I299" s="13"/>
      <c r="J299" s="15"/>
      <c r="K299" s="15"/>
      <c r="L299" s="15"/>
      <c r="M299" s="15"/>
      <c r="N299" s="15"/>
      <c r="O299" s="8"/>
      <c r="P299" s="8"/>
      <c r="Q299" s="8"/>
      <c r="R299" s="10"/>
      <c r="S299" s="8"/>
      <c r="T299" s="8"/>
      <c r="U299" s="8"/>
      <c r="V299" s="8"/>
      <c r="W299" s="10"/>
      <c r="X299" s="8"/>
    </row>
    <row r="300" spans="1:24">
      <c r="A300" s="8"/>
      <c r="B300" s="8"/>
      <c r="C300" s="8"/>
      <c r="D300" s="8"/>
      <c r="E300" s="8"/>
      <c r="F300" s="8"/>
      <c r="G300" s="13"/>
      <c r="H300" s="13"/>
      <c r="I300" s="13"/>
      <c r="J300" s="15"/>
      <c r="K300" s="15"/>
      <c r="L300" s="15"/>
      <c r="M300" s="15"/>
      <c r="N300" s="15"/>
      <c r="O300" s="8"/>
      <c r="P300" s="8"/>
      <c r="Q300" s="8"/>
      <c r="R300" s="10"/>
      <c r="S300" s="8"/>
      <c r="T300" s="8"/>
      <c r="U300" s="8"/>
      <c r="V300" s="8"/>
      <c r="W300" s="10"/>
      <c r="X300" s="8"/>
    </row>
    <row r="301" spans="1:24">
      <c r="A301" s="8"/>
      <c r="B301" s="8"/>
      <c r="C301" s="8"/>
      <c r="D301" s="8"/>
      <c r="E301" s="8"/>
      <c r="F301" s="8"/>
      <c r="G301" s="13"/>
      <c r="H301" s="13"/>
      <c r="I301" s="13"/>
      <c r="J301" s="15"/>
      <c r="K301" s="15"/>
      <c r="L301" s="15"/>
      <c r="M301" s="15"/>
      <c r="N301" s="15"/>
      <c r="O301" s="8"/>
      <c r="P301" s="8"/>
      <c r="Q301" s="8"/>
      <c r="R301" s="10"/>
      <c r="S301" s="8"/>
      <c r="T301" s="8"/>
      <c r="U301" s="8"/>
      <c r="V301" s="8"/>
      <c r="W301" s="10"/>
      <c r="X301" s="8"/>
    </row>
    <row r="302" spans="1:24">
      <c r="A302" s="8"/>
      <c r="B302" s="8"/>
      <c r="C302" s="8"/>
      <c r="D302" s="8"/>
      <c r="E302" s="8"/>
      <c r="F302" s="8"/>
      <c r="G302" s="13"/>
      <c r="H302" s="13"/>
      <c r="I302" s="13"/>
      <c r="J302" s="15"/>
      <c r="K302" s="15"/>
      <c r="L302" s="15"/>
      <c r="M302" s="15"/>
      <c r="N302" s="15"/>
      <c r="O302" s="8"/>
      <c r="P302" s="8"/>
      <c r="Q302" s="8"/>
      <c r="R302" s="10"/>
      <c r="S302" s="8"/>
      <c r="T302" s="8"/>
      <c r="U302" s="8"/>
      <c r="V302" s="8"/>
      <c r="W302" s="10"/>
      <c r="X302" s="8"/>
    </row>
    <row r="303" spans="1:24">
      <c r="A303" s="8"/>
      <c r="B303" s="8"/>
      <c r="C303" s="8"/>
      <c r="D303" s="8"/>
      <c r="E303" s="8"/>
      <c r="F303" s="8"/>
      <c r="G303" s="13"/>
      <c r="H303" s="13"/>
      <c r="I303" s="13"/>
      <c r="J303" s="15"/>
      <c r="K303" s="15"/>
      <c r="L303" s="15"/>
      <c r="M303" s="15"/>
      <c r="N303" s="15"/>
      <c r="O303" s="8"/>
      <c r="P303" s="8"/>
      <c r="Q303" s="8"/>
      <c r="R303" s="10"/>
      <c r="S303" s="8"/>
      <c r="T303" s="8"/>
      <c r="U303" s="8"/>
      <c r="V303" s="8"/>
      <c r="W303" s="10"/>
      <c r="X303" s="8"/>
    </row>
    <row r="304" spans="1:24">
      <c r="A304" s="8"/>
      <c r="B304" s="8"/>
      <c r="C304" s="8"/>
      <c r="D304" s="8"/>
      <c r="E304" s="8"/>
      <c r="F304" s="8"/>
      <c r="G304" s="13"/>
      <c r="H304" s="13"/>
      <c r="I304" s="13"/>
      <c r="J304" s="15"/>
      <c r="K304" s="15"/>
      <c r="L304" s="15"/>
      <c r="M304" s="15"/>
      <c r="N304" s="15"/>
      <c r="O304" s="8"/>
      <c r="P304" s="8"/>
      <c r="Q304" s="8"/>
      <c r="R304" s="10"/>
      <c r="S304" s="8"/>
      <c r="T304" s="8"/>
      <c r="U304" s="8"/>
      <c r="V304" s="8"/>
      <c r="W304" s="10"/>
      <c r="X304" s="8"/>
    </row>
  </sheetData>
  <mergeCells count="2">
    <mergeCell ref="A1:X1"/>
    <mergeCell ref="A2:X2"/>
  </mergeCells>
  <conditionalFormatting sqref="A5:A304">
    <cfRule type="duplicateValues" dxfId="104" priority="9"/>
  </conditionalFormatting>
  <conditionalFormatting sqref="T5:U304">
    <cfRule type="containsText" dxfId="103" priority="1" operator="containsText" text="Approved"/>
    <cfRule type="containsText" dxfId="102" priority="4" operator="containsText" text="Failed"/>
    <cfRule type="containsText" dxfId="101" priority="7" operator="containsText" text="On Hold"/>
  </conditionalFormatting>
  <dataValidations count="2">
    <dataValidation type="list" sqref="T5:T304" xr:uid="{00000000-0002-0000-0700-000000000000}">
      <formula1>"Pending,Testing,Passed,Conditionally Passed,Failed,Retest Required,On Hold"</formula1>
    </dataValidation>
    <dataValidation type="list" sqref="U5:U304" xr:uid="{00000000-0002-0000-0700-000001000000}">
      <formula1>"Pending,Approved,Conditional,Rejected"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04"/>
  <sheetViews>
    <sheetView showGridLines="0" workbookViewId="0">
      <selection sqref="A1:V1"/>
    </sheetView>
  </sheetViews>
  <sheetFormatPr baseColWidth="10" defaultColWidth="8.83203125" defaultRowHeight="14"/>
  <cols>
    <col min="1" max="1" width="17" customWidth="1"/>
    <col min="2" max="2" width="18" customWidth="1"/>
    <col min="3" max="3" width="14" customWidth="1"/>
    <col min="4" max="4" width="16" customWidth="1"/>
    <col min="5" max="5" width="14" customWidth="1"/>
    <col min="6" max="6" width="12" customWidth="1"/>
    <col min="7" max="7" width="17" customWidth="1"/>
    <col min="8" max="8" width="11" customWidth="1"/>
    <col min="9" max="9" width="15" customWidth="1"/>
    <col min="10" max="11" width="16" customWidth="1"/>
    <col min="12" max="12" width="17" customWidth="1"/>
    <col min="13" max="13" width="15" customWidth="1"/>
    <col min="14" max="15" width="13" customWidth="1"/>
    <col min="16" max="16" width="17" customWidth="1"/>
    <col min="17" max="17" width="19" customWidth="1"/>
    <col min="18" max="18" width="17" customWidth="1"/>
    <col min="19" max="19" width="18" customWidth="1"/>
    <col min="20" max="21" width="15" customWidth="1"/>
    <col min="22" max="22" width="24" customWidth="1"/>
  </cols>
  <sheetData>
    <row r="1" spans="1:22" ht="30" customHeight="1">
      <c r="A1" s="52" t="s">
        <v>162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163</v>
      </c>
      <c r="B4" s="6" t="s">
        <v>118</v>
      </c>
      <c r="C4" s="6" t="s">
        <v>44</v>
      </c>
      <c r="D4" s="6" t="s">
        <v>119</v>
      </c>
      <c r="E4" s="6" t="s">
        <v>136</v>
      </c>
      <c r="F4" s="6" t="s">
        <v>145</v>
      </c>
      <c r="G4" s="6" t="s">
        <v>164</v>
      </c>
      <c r="H4" s="6" t="s">
        <v>109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100</v>
      </c>
      <c r="U4" s="6" t="s">
        <v>63</v>
      </c>
      <c r="V4" s="6" t="s">
        <v>101</v>
      </c>
    </row>
    <row r="5" spans="1:22">
      <c r="A5" s="8"/>
      <c r="B5" s="8"/>
      <c r="C5" s="8"/>
      <c r="D5" s="8"/>
      <c r="E5" s="8"/>
      <c r="F5" s="13"/>
      <c r="G5" s="13"/>
      <c r="H5" s="8"/>
      <c r="I5" s="13"/>
      <c r="J5" s="8"/>
      <c r="K5" s="8"/>
      <c r="L5" s="8"/>
      <c r="M5" s="8"/>
      <c r="N5" s="10"/>
      <c r="O5" s="10"/>
      <c r="P5" s="8"/>
      <c r="Q5" s="10"/>
      <c r="R5" s="14" t="str">
        <f t="shared" ref="R5:R68" si="0">IF(A5="","",IF(OR(P5="Delivered",P5="Closed"),0,G5))</f>
        <v/>
      </c>
      <c r="S5" s="14" t="str">
        <f>IF(A5="","",MAX(0,G5-SUMIFS('Fabric Receiving'!$H$5:$H$304,'Fabric Receiving'!$C$5:$C$304,A5)))</f>
        <v/>
      </c>
      <c r="T5" s="8"/>
      <c r="U5" s="10"/>
      <c r="V5" s="8"/>
    </row>
    <row r="6" spans="1:22">
      <c r="A6" s="8"/>
      <c r="B6" s="8"/>
      <c r="C6" s="8"/>
      <c r="D6" s="8"/>
      <c r="E6" s="8"/>
      <c r="F6" s="13"/>
      <c r="G6" s="13"/>
      <c r="H6" s="8"/>
      <c r="I6" s="13"/>
      <c r="J6" s="8"/>
      <c r="K6" s="8"/>
      <c r="L6" s="8"/>
      <c r="M6" s="8"/>
      <c r="N6" s="10"/>
      <c r="O6" s="10"/>
      <c r="P6" s="8"/>
      <c r="Q6" s="10"/>
      <c r="R6" s="14" t="str">
        <f t="shared" si="0"/>
        <v/>
      </c>
      <c r="S6" s="14" t="str">
        <f>IF(A6="","",MAX(0,G6-SUMIFS('Fabric Receiving'!$H$5:$H$304,'Fabric Receiving'!$C$5:$C$304,A6)))</f>
        <v/>
      </c>
      <c r="T6" s="8"/>
      <c r="U6" s="10"/>
      <c r="V6" s="8"/>
    </row>
    <row r="7" spans="1:22">
      <c r="A7" s="8"/>
      <c r="B7" s="8"/>
      <c r="C7" s="8"/>
      <c r="D7" s="8"/>
      <c r="E7" s="8"/>
      <c r="F7" s="13"/>
      <c r="G7" s="13"/>
      <c r="H7" s="8"/>
      <c r="I7" s="13"/>
      <c r="J7" s="8"/>
      <c r="K7" s="8"/>
      <c r="L7" s="8"/>
      <c r="M7" s="8"/>
      <c r="N7" s="10"/>
      <c r="O7" s="10"/>
      <c r="P7" s="8"/>
      <c r="Q7" s="10"/>
      <c r="R7" s="14" t="str">
        <f t="shared" si="0"/>
        <v/>
      </c>
      <c r="S7" s="14" t="str">
        <f>IF(A7="","",MAX(0,G7-SUMIFS('Fabric Receiving'!$H$5:$H$304,'Fabric Receiving'!$C$5:$C$304,A7)))</f>
        <v/>
      </c>
      <c r="T7" s="8"/>
      <c r="U7" s="10"/>
      <c r="V7" s="8"/>
    </row>
    <row r="8" spans="1:22">
      <c r="A8" s="8"/>
      <c r="B8" s="8"/>
      <c r="C8" s="8"/>
      <c r="D8" s="8"/>
      <c r="E8" s="8"/>
      <c r="F8" s="13"/>
      <c r="G8" s="13"/>
      <c r="H8" s="8"/>
      <c r="I8" s="13"/>
      <c r="J8" s="8"/>
      <c r="K8" s="8"/>
      <c r="L8" s="8"/>
      <c r="M8" s="8"/>
      <c r="N8" s="10"/>
      <c r="O8" s="10"/>
      <c r="P8" s="8"/>
      <c r="Q8" s="10"/>
      <c r="R8" s="14" t="str">
        <f t="shared" si="0"/>
        <v/>
      </c>
      <c r="S8" s="14" t="str">
        <f>IF(A8="","",MAX(0,G8-SUMIFS('Fabric Receiving'!$H$5:$H$304,'Fabric Receiving'!$C$5:$C$304,A8)))</f>
        <v/>
      </c>
      <c r="T8" s="8"/>
      <c r="U8" s="10"/>
      <c r="V8" s="8"/>
    </row>
    <row r="9" spans="1:22">
      <c r="A9" s="8"/>
      <c r="B9" s="8"/>
      <c r="C9" s="8"/>
      <c r="D9" s="8"/>
      <c r="E9" s="8"/>
      <c r="F9" s="13"/>
      <c r="G9" s="13"/>
      <c r="H9" s="8"/>
      <c r="I9" s="13"/>
      <c r="J9" s="8"/>
      <c r="K9" s="8"/>
      <c r="L9" s="8"/>
      <c r="M9" s="8"/>
      <c r="N9" s="10"/>
      <c r="O9" s="10"/>
      <c r="P9" s="8"/>
      <c r="Q9" s="10"/>
      <c r="R9" s="14" t="str">
        <f t="shared" si="0"/>
        <v/>
      </c>
      <c r="S9" s="14" t="str">
        <f>IF(A9="","",MAX(0,G9-SUMIFS('Fabric Receiving'!$H$5:$H$304,'Fabric Receiving'!$C$5:$C$304,A9)))</f>
        <v/>
      </c>
      <c r="T9" s="8"/>
      <c r="U9" s="10"/>
      <c r="V9" s="8"/>
    </row>
    <row r="10" spans="1:22">
      <c r="A10" s="8"/>
      <c r="B10" s="8"/>
      <c r="C10" s="8"/>
      <c r="D10" s="8"/>
      <c r="E10" s="8"/>
      <c r="F10" s="13"/>
      <c r="G10" s="13"/>
      <c r="H10" s="8"/>
      <c r="I10" s="13"/>
      <c r="J10" s="8"/>
      <c r="K10" s="8"/>
      <c r="L10" s="8"/>
      <c r="M10" s="8"/>
      <c r="N10" s="10"/>
      <c r="O10" s="10"/>
      <c r="P10" s="8"/>
      <c r="Q10" s="10"/>
      <c r="R10" s="14" t="str">
        <f t="shared" si="0"/>
        <v/>
      </c>
      <c r="S10" s="14" t="str">
        <f>IF(A10="","",MAX(0,G10-SUMIFS('Fabric Receiving'!$H$5:$H$304,'Fabric Receiving'!$C$5:$C$304,A10)))</f>
        <v/>
      </c>
      <c r="T10" s="8"/>
      <c r="U10" s="10"/>
      <c r="V10" s="8"/>
    </row>
    <row r="11" spans="1:22">
      <c r="A11" s="8"/>
      <c r="B11" s="8"/>
      <c r="C11" s="8"/>
      <c r="D11" s="8"/>
      <c r="E11" s="8"/>
      <c r="F11" s="13"/>
      <c r="G11" s="13"/>
      <c r="H11" s="8"/>
      <c r="I11" s="13"/>
      <c r="J11" s="8"/>
      <c r="K11" s="8"/>
      <c r="L11" s="8"/>
      <c r="M11" s="8"/>
      <c r="N11" s="10"/>
      <c r="O11" s="10"/>
      <c r="P11" s="8"/>
      <c r="Q11" s="10"/>
      <c r="R11" s="14" t="str">
        <f t="shared" si="0"/>
        <v/>
      </c>
      <c r="S11" s="14" t="str">
        <f>IF(A11="","",MAX(0,G11-SUMIFS('Fabric Receiving'!$H$5:$H$304,'Fabric Receiving'!$C$5:$C$304,A11)))</f>
        <v/>
      </c>
      <c r="T11" s="8"/>
      <c r="U11" s="10"/>
      <c r="V11" s="8"/>
    </row>
    <row r="12" spans="1:22">
      <c r="A12" s="8"/>
      <c r="B12" s="8"/>
      <c r="C12" s="8"/>
      <c r="D12" s="8"/>
      <c r="E12" s="8"/>
      <c r="F12" s="13"/>
      <c r="G12" s="13"/>
      <c r="H12" s="8"/>
      <c r="I12" s="13"/>
      <c r="J12" s="8"/>
      <c r="K12" s="8"/>
      <c r="L12" s="8"/>
      <c r="M12" s="8"/>
      <c r="N12" s="10"/>
      <c r="O12" s="10"/>
      <c r="P12" s="8"/>
      <c r="Q12" s="10"/>
      <c r="R12" s="14" t="str">
        <f t="shared" si="0"/>
        <v/>
      </c>
      <c r="S12" s="14" t="str">
        <f>IF(A12="","",MAX(0,G12-SUMIFS('Fabric Receiving'!$H$5:$H$304,'Fabric Receiving'!$C$5:$C$304,A12)))</f>
        <v/>
      </c>
      <c r="T12" s="8"/>
      <c r="U12" s="10"/>
      <c r="V12" s="8"/>
    </row>
    <row r="13" spans="1:22">
      <c r="A13" s="8"/>
      <c r="B13" s="8"/>
      <c r="C13" s="8"/>
      <c r="D13" s="8"/>
      <c r="E13" s="8"/>
      <c r="F13" s="13"/>
      <c r="G13" s="13"/>
      <c r="H13" s="8"/>
      <c r="I13" s="13"/>
      <c r="J13" s="8"/>
      <c r="K13" s="8"/>
      <c r="L13" s="8"/>
      <c r="M13" s="8"/>
      <c r="N13" s="10"/>
      <c r="O13" s="10"/>
      <c r="P13" s="8"/>
      <c r="Q13" s="10"/>
      <c r="R13" s="14" t="str">
        <f t="shared" si="0"/>
        <v/>
      </c>
      <c r="S13" s="14" t="str">
        <f>IF(A13="","",MAX(0,G13-SUMIFS('Fabric Receiving'!$H$5:$H$304,'Fabric Receiving'!$C$5:$C$304,A13)))</f>
        <v/>
      </c>
      <c r="T13" s="8"/>
      <c r="U13" s="10"/>
      <c r="V13" s="8"/>
    </row>
    <row r="14" spans="1:22">
      <c r="A14" s="8"/>
      <c r="B14" s="8"/>
      <c r="C14" s="8"/>
      <c r="D14" s="8"/>
      <c r="E14" s="8"/>
      <c r="F14" s="13"/>
      <c r="G14" s="13"/>
      <c r="H14" s="8"/>
      <c r="I14" s="13"/>
      <c r="J14" s="8"/>
      <c r="K14" s="8"/>
      <c r="L14" s="8"/>
      <c r="M14" s="8"/>
      <c r="N14" s="10"/>
      <c r="O14" s="10"/>
      <c r="P14" s="8"/>
      <c r="Q14" s="10"/>
      <c r="R14" s="14" t="str">
        <f t="shared" si="0"/>
        <v/>
      </c>
      <c r="S14" s="14" t="str">
        <f>IF(A14="","",MAX(0,G14-SUMIFS('Fabric Receiving'!$H$5:$H$304,'Fabric Receiving'!$C$5:$C$304,A14)))</f>
        <v/>
      </c>
      <c r="T14" s="8"/>
      <c r="U14" s="10"/>
      <c r="V14" s="8"/>
    </row>
    <row r="15" spans="1:22">
      <c r="A15" s="8"/>
      <c r="B15" s="8"/>
      <c r="C15" s="8"/>
      <c r="D15" s="8"/>
      <c r="E15" s="8"/>
      <c r="F15" s="13"/>
      <c r="G15" s="13"/>
      <c r="H15" s="8"/>
      <c r="I15" s="13"/>
      <c r="J15" s="8"/>
      <c r="K15" s="8"/>
      <c r="L15" s="8"/>
      <c r="M15" s="8"/>
      <c r="N15" s="10"/>
      <c r="O15" s="10"/>
      <c r="P15" s="8"/>
      <c r="Q15" s="10"/>
      <c r="R15" s="14" t="str">
        <f t="shared" si="0"/>
        <v/>
      </c>
      <c r="S15" s="14" t="str">
        <f>IF(A15="","",MAX(0,G15-SUMIFS('Fabric Receiving'!$H$5:$H$304,'Fabric Receiving'!$C$5:$C$304,A15)))</f>
        <v/>
      </c>
      <c r="T15" s="8"/>
      <c r="U15" s="10"/>
      <c r="V15" s="8"/>
    </row>
    <row r="16" spans="1:22">
      <c r="A16" s="8"/>
      <c r="B16" s="8"/>
      <c r="C16" s="8"/>
      <c r="D16" s="8"/>
      <c r="E16" s="8"/>
      <c r="F16" s="13"/>
      <c r="G16" s="13"/>
      <c r="H16" s="8"/>
      <c r="I16" s="13"/>
      <c r="J16" s="8"/>
      <c r="K16" s="8"/>
      <c r="L16" s="8"/>
      <c r="M16" s="8"/>
      <c r="N16" s="10"/>
      <c r="O16" s="10"/>
      <c r="P16" s="8"/>
      <c r="Q16" s="10"/>
      <c r="R16" s="14" t="str">
        <f t="shared" si="0"/>
        <v/>
      </c>
      <c r="S16" s="14" t="str">
        <f>IF(A16="","",MAX(0,G16-SUMIFS('Fabric Receiving'!$H$5:$H$304,'Fabric Receiving'!$C$5:$C$304,A16)))</f>
        <v/>
      </c>
      <c r="T16" s="8"/>
      <c r="U16" s="10"/>
      <c r="V16" s="8"/>
    </row>
    <row r="17" spans="1:22">
      <c r="A17" s="8"/>
      <c r="B17" s="8"/>
      <c r="C17" s="8"/>
      <c r="D17" s="8"/>
      <c r="E17" s="8"/>
      <c r="F17" s="13"/>
      <c r="G17" s="13"/>
      <c r="H17" s="8"/>
      <c r="I17" s="13"/>
      <c r="J17" s="8"/>
      <c r="K17" s="8"/>
      <c r="L17" s="8"/>
      <c r="M17" s="8"/>
      <c r="N17" s="10"/>
      <c r="O17" s="10"/>
      <c r="P17" s="8"/>
      <c r="Q17" s="10"/>
      <c r="R17" s="14" t="str">
        <f t="shared" si="0"/>
        <v/>
      </c>
      <c r="S17" s="14" t="str">
        <f>IF(A17="","",MAX(0,G17-SUMIFS('Fabric Receiving'!$H$5:$H$304,'Fabric Receiving'!$C$5:$C$304,A17)))</f>
        <v/>
      </c>
      <c r="T17" s="8"/>
      <c r="U17" s="10"/>
      <c r="V17" s="8"/>
    </row>
    <row r="18" spans="1:22">
      <c r="A18" s="8"/>
      <c r="B18" s="8"/>
      <c r="C18" s="8"/>
      <c r="D18" s="8"/>
      <c r="E18" s="8"/>
      <c r="F18" s="13"/>
      <c r="G18" s="13"/>
      <c r="H18" s="8"/>
      <c r="I18" s="13"/>
      <c r="J18" s="8"/>
      <c r="K18" s="8"/>
      <c r="L18" s="8"/>
      <c r="M18" s="8"/>
      <c r="N18" s="10"/>
      <c r="O18" s="10"/>
      <c r="P18" s="8"/>
      <c r="Q18" s="10"/>
      <c r="R18" s="14" t="str">
        <f t="shared" si="0"/>
        <v/>
      </c>
      <c r="S18" s="14" t="str">
        <f>IF(A18="","",MAX(0,G18-SUMIFS('Fabric Receiving'!$H$5:$H$304,'Fabric Receiving'!$C$5:$C$304,A18)))</f>
        <v/>
      </c>
      <c r="T18" s="8"/>
      <c r="U18" s="10"/>
      <c r="V18" s="8"/>
    </row>
    <row r="19" spans="1:22">
      <c r="A19" s="8"/>
      <c r="B19" s="8"/>
      <c r="C19" s="8"/>
      <c r="D19" s="8"/>
      <c r="E19" s="8"/>
      <c r="F19" s="13"/>
      <c r="G19" s="13"/>
      <c r="H19" s="8"/>
      <c r="I19" s="13"/>
      <c r="J19" s="8"/>
      <c r="K19" s="8"/>
      <c r="L19" s="8"/>
      <c r="M19" s="8"/>
      <c r="N19" s="10"/>
      <c r="O19" s="10"/>
      <c r="P19" s="8"/>
      <c r="Q19" s="10"/>
      <c r="R19" s="14" t="str">
        <f t="shared" si="0"/>
        <v/>
      </c>
      <c r="S19" s="14" t="str">
        <f>IF(A19="","",MAX(0,G19-SUMIFS('Fabric Receiving'!$H$5:$H$304,'Fabric Receiving'!$C$5:$C$304,A19)))</f>
        <v/>
      </c>
      <c r="T19" s="8"/>
      <c r="U19" s="10"/>
      <c r="V19" s="8"/>
    </row>
    <row r="20" spans="1:22">
      <c r="A20" s="8"/>
      <c r="B20" s="8"/>
      <c r="C20" s="8"/>
      <c r="D20" s="8"/>
      <c r="E20" s="8"/>
      <c r="F20" s="13"/>
      <c r="G20" s="13"/>
      <c r="H20" s="8"/>
      <c r="I20" s="13"/>
      <c r="J20" s="8"/>
      <c r="K20" s="8"/>
      <c r="L20" s="8"/>
      <c r="M20" s="8"/>
      <c r="N20" s="10"/>
      <c r="O20" s="10"/>
      <c r="P20" s="8"/>
      <c r="Q20" s="10"/>
      <c r="R20" s="14" t="str">
        <f t="shared" si="0"/>
        <v/>
      </c>
      <c r="S20" s="14" t="str">
        <f>IF(A20="","",MAX(0,G20-SUMIFS('Fabric Receiving'!$H$5:$H$304,'Fabric Receiving'!$C$5:$C$304,A20)))</f>
        <v/>
      </c>
      <c r="T20" s="8"/>
      <c r="U20" s="10"/>
      <c r="V20" s="8"/>
    </row>
    <row r="21" spans="1:22">
      <c r="A21" s="8"/>
      <c r="B21" s="8"/>
      <c r="C21" s="8"/>
      <c r="D21" s="8"/>
      <c r="E21" s="8"/>
      <c r="F21" s="13"/>
      <c r="G21" s="13"/>
      <c r="H21" s="8"/>
      <c r="I21" s="13"/>
      <c r="J21" s="8"/>
      <c r="K21" s="8"/>
      <c r="L21" s="8"/>
      <c r="M21" s="8"/>
      <c r="N21" s="10"/>
      <c r="O21" s="10"/>
      <c r="P21" s="8"/>
      <c r="Q21" s="10"/>
      <c r="R21" s="14" t="str">
        <f t="shared" si="0"/>
        <v/>
      </c>
      <c r="S21" s="14" t="str">
        <f>IF(A21="","",MAX(0,G21-SUMIFS('Fabric Receiving'!$H$5:$H$304,'Fabric Receiving'!$C$5:$C$304,A21)))</f>
        <v/>
      </c>
      <c r="T21" s="8"/>
      <c r="U21" s="10"/>
      <c r="V21" s="8"/>
    </row>
    <row r="22" spans="1:22">
      <c r="A22" s="8"/>
      <c r="B22" s="8"/>
      <c r="C22" s="8"/>
      <c r="D22" s="8"/>
      <c r="E22" s="8"/>
      <c r="F22" s="13"/>
      <c r="G22" s="13"/>
      <c r="H22" s="8"/>
      <c r="I22" s="13"/>
      <c r="J22" s="8"/>
      <c r="K22" s="8"/>
      <c r="L22" s="8"/>
      <c r="M22" s="8"/>
      <c r="N22" s="10"/>
      <c r="O22" s="10"/>
      <c r="P22" s="8"/>
      <c r="Q22" s="10"/>
      <c r="R22" s="14" t="str">
        <f t="shared" si="0"/>
        <v/>
      </c>
      <c r="S22" s="14" t="str">
        <f>IF(A22="","",MAX(0,G22-SUMIFS('Fabric Receiving'!$H$5:$H$304,'Fabric Receiving'!$C$5:$C$304,A22)))</f>
        <v/>
      </c>
      <c r="T22" s="8"/>
      <c r="U22" s="10"/>
      <c r="V22" s="8"/>
    </row>
    <row r="23" spans="1:22">
      <c r="A23" s="8"/>
      <c r="B23" s="8"/>
      <c r="C23" s="8"/>
      <c r="D23" s="8"/>
      <c r="E23" s="8"/>
      <c r="F23" s="13"/>
      <c r="G23" s="13"/>
      <c r="H23" s="8"/>
      <c r="I23" s="13"/>
      <c r="J23" s="8"/>
      <c r="K23" s="8"/>
      <c r="L23" s="8"/>
      <c r="M23" s="8"/>
      <c r="N23" s="10"/>
      <c r="O23" s="10"/>
      <c r="P23" s="8"/>
      <c r="Q23" s="10"/>
      <c r="R23" s="14" t="str">
        <f t="shared" si="0"/>
        <v/>
      </c>
      <c r="S23" s="14" t="str">
        <f>IF(A23="","",MAX(0,G23-SUMIFS('Fabric Receiving'!$H$5:$H$304,'Fabric Receiving'!$C$5:$C$304,A23)))</f>
        <v/>
      </c>
      <c r="T23" s="8"/>
      <c r="U23" s="10"/>
      <c r="V23" s="8"/>
    </row>
    <row r="24" spans="1:22">
      <c r="A24" s="8"/>
      <c r="B24" s="8"/>
      <c r="C24" s="8"/>
      <c r="D24" s="8"/>
      <c r="E24" s="8"/>
      <c r="F24" s="13"/>
      <c r="G24" s="13"/>
      <c r="H24" s="8"/>
      <c r="I24" s="13"/>
      <c r="J24" s="8"/>
      <c r="K24" s="8"/>
      <c r="L24" s="8"/>
      <c r="M24" s="8"/>
      <c r="N24" s="10"/>
      <c r="O24" s="10"/>
      <c r="P24" s="8"/>
      <c r="Q24" s="10"/>
      <c r="R24" s="14" t="str">
        <f t="shared" si="0"/>
        <v/>
      </c>
      <c r="S24" s="14" t="str">
        <f>IF(A24="","",MAX(0,G24-SUMIFS('Fabric Receiving'!$H$5:$H$304,'Fabric Receiving'!$C$5:$C$304,A24)))</f>
        <v/>
      </c>
      <c r="T24" s="8"/>
      <c r="U24" s="10"/>
      <c r="V24" s="8"/>
    </row>
    <row r="25" spans="1:22">
      <c r="A25" s="8"/>
      <c r="B25" s="8"/>
      <c r="C25" s="8"/>
      <c r="D25" s="8"/>
      <c r="E25" s="8"/>
      <c r="F25" s="13"/>
      <c r="G25" s="13"/>
      <c r="H25" s="8"/>
      <c r="I25" s="13"/>
      <c r="J25" s="8"/>
      <c r="K25" s="8"/>
      <c r="L25" s="8"/>
      <c r="M25" s="8"/>
      <c r="N25" s="10"/>
      <c r="O25" s="10"/>
      <c r="P25" s="8"/>
      <c r="Q25" s="10"/>
      <c r="R25" s="14" t="str">
        <f t="shared" si="0"/>
        <v/>
      </c>
      <c r="S25" s="14" t="str">
        <f>IF(A25="","",MAX(0,G25-SUMIFS('Fabric Receiving'!$H$5:$H$304,'Fabric Receiving'!$C$5:$C$304,A25)))</f>
        <v/>
      </c>
      <c r="T25" s="8"/>
      <c r="U25" s="10"/>
      <c r="V25" s="8"/>
    </row>
    <row r="26" spans="1:22">
      <c r="A26" s="8"/>
      <c r="B26" s="8"/>
      <c r="C26" s="8"/>
      <c r="D26" s="8"/>
      <c r="E26" s="8"/>
      <c r="F26" s="13"/>
      <c r="G26" s="13"/>
      <c r="H26" s="8"/>
      <c r="I26" s="13"/>
      <c r="J26" s="8"/>
      <c r="K26" s="8"/>
      <c r="L26" s="8"/>
      <c r="M26" s="8"/>
      <c r="N26" s="10"/>
      <c r="O26" s="10"/>
      <c r="P26" s="8"/>
      <c r="Q26" s="10"/>
      <c r="R26" s="14" t="str">
        <f t="shared" si="0"/>
        <v/>
      </c>
      <c r="S26" s="14" t="str">
        <f>IF(A26="","",MAX(0,G26-SUMIFS('Fabric Receiving'!$H$5:$H$304,'Fabric Receiving'!$C$5:$C$304,A26)))</f>
        <v/>
      </c>
      <c r="T26" s="8"/>
      <c r="U26" s="10"/>
      <c r="V26" s="8"/>
    </row>
    <row r="27" spans="1:22">
      <c r="A27" s="8"/>
      <c r="B27" s="8"/>
      <c r="C27" s="8"/>
      <c r="D27" s="8"/>
      <c r="E27" s="8"/>
      <c r="F27" s="13"/>
      <c r="G27" s="13"/>
      <c r="H27" s="8"/>
      <c r="I27" s="13"/>
      <c r="J27" s="8"/>
      <c r="K27" s="8"/>
      <c r="L27" s="8"/>
      <c r="M27" s="8"/>
      <c r="N27" s="10"/>
      <c r="O27" s="10"/>
      <c r="P27" s="8"/>
      <c r="Q27" s="10"/>
      <c r="R27" s="14" t="str">
        <f t="shared" si="0"/>
        <v/>
      </c>
      <c r="S27" s="14" t="str">
        <f>IF(A27="","",MAX(0,G27-SUMIFS('Fabric Receiving'!$H$5:$H$304,'Fabric Receiving'!$C$5:$C$304,A27)))</f>
        <v/>
      </c>
      <c r="T27" s="8"/>
      <c r="U27" s="10"/>
      <c r="V27" s="8"/>
    </row>
    <row r="28" spans="1:22">
      <c r="A28" s="8"/>
      <c r="B28" s="8"/>
      <c r="C28" s="8"/>
      <c r="D28" s="8"/>
      <c r="E28" s="8"/>
      <c r="F28" s="13"/>
      <c r="G28" s="13"/>
      <c r="H28" s="8"/>
      <c r="I28" s="13"/>
      <c r="J28" s="8"/>
      <c r="K28" s="8"/>
      <c r="L28" s="8"/>
      <c r="M28" s="8"/>
      <c r="N28" s="10"/>
      <c r="O28" s="10"/>
      <c r="P28" s="8"/>
      <c r="Q28" s="10"/>
      <c r="R28" s="14" t="str">
        <f t="shared" si="0"/>
        <v/>
      </c>
      <c r="S28" s="14" t="str">
        <f>IF(A28="","",MAX(0,G28-SUMIFS('Fabric Receiving'!$H$5:$H$304,'Fabric Receiving'!$C$5:$C$304,A28)))</f>
        <v/>
      </c>
      <c r="T28" s="8"/>
      <c r="U28" s="10"/>
      <c r="V28" s="8"/>
    </row>
    <row r="29" spans="1:22">
      <c r="A29" s="8"/>
      <c r="B29" s="8"/>
      <c r="C29" s="8"/>
      <c r="D29" s="8"/>
      <c r="E29" s="8"/>
      <c r="F29" s="13"/>
      <c r="G29" s="13"/>
      <c r="H29" s="8"/>
      <c r="I29" s="13"/>
      <c r="J29" s="8"/>
      <c r="K29" s="8"/>
      <c r="L29" s="8"/>
      <c r="M29" s="8"/>
      <c r="N29" s="10"/>
      <c r="O29" s="10"/>
      <c r="P29" s="8"/>
      <c r="Q29" s="10"/>
      <c r="R29" s="14" t="str">
        <f t="shared" si="0"/>
        <v/>
      </c>
      <c r="S29" s="14" t="str">
        <f>IF(A29="","",MAX(0,G29-SUMIFS('Fabric Receiving'!$H$5:$H$304,'Fabric Receiving'!$C$5:$C$304,A29)))</f>
        <v/>
      </c>
      <c r="T29" s="8"/>
      <c r="U29" s="10"/>
      <c r="V29" s="8"/>
    </row>
    <row r="30" spans="1:22">
      <c r="A30" s="8"/>
      <c r="B30" s="8"/>
      <c r="C30" s="8"/>
      <c r="D30" s="8"/>
      <c r="E30" s="8"/>
      <c r="F30" s="13"/>
      <c r="G30" s="13"/>
      <c r="H30" s="8"/>
      <c r="I30" s="13"/>
      <c r="J30" s="8"/>
      <c r="K30" s="8"/>
      <c r="L30" s="8"/>
      <c r="M30" s="8"/>
      <c r="N30" s="10"/>
      <c r="O30" s="10"/>
      <c r="P30" s="8"/>
      <c r="Q30" s="10"/>
      <c r="R30" s="14" t="str">
        <f t="shared" si="0"/>
        <v/>
      </c>
      <c r="S30" s="14" t="str">
        <f>IF(A30="","",MAX(0,G30-SUMIFS('Fabric Receiving'!$H$5:$H$304,'Fabric Receiving'!$C$5:$C$304,A30)))</f>
        <v/>
      </c>
      <c r="T30" s="8"/>
      <c r="U30" s="10"/>
      <c r="V30" s="8"/>
    </row>
    <row r="31" spans="1:22">
      <c r="A31" s="8"/>
      <c r="B31" s="8"/>
      <c r="C31" s="8"/>
      <c r="D31" s="8"/>
      <c r="E31" s="8"/>
      <c r="F31" s="13"/>
      <c r="G31" s="13"/>
      <c r="H31" s="8"/>
      <c r="I31" s="13"/>
      <c r="J31" s="8"/>
      <c r="K31" s="8"/>
      <c r="L31" s="8"/>
      <c r="M31" s="8"/>
      <c r="N31" s="10"/>
      <c r="O31" s="10"/>
      <c r="P31" s="8"/>
      <c r="Q31" s="10"/>
      <c r="R31" s="14" t="str">
        <f t="shared" si="0"/>
        <v/>
      </c>
      <c r="S31" s="14" t="str">
        <f>IF(A31="","",MAX(0,G31-SUMIFS('Fabric Receiving'!$H$5:$H$304,'Fabric Receiving'!$C$5:$C$304,A31)))</f>
        <v/>
      </c>
      <c r="T31" s="8"/>
      <c r="U31" s="10"/>
      <c r="V31" s="8"/>
    </row>
    <row r="32" spans="1:22">
      <c r="A32" s="8"/>
      <c r="B32" s="8"/>
      <c r="C32" s="8"/>
      <c r="D32" s="8"/>
      <c r="E32" s="8"/>
      <c r="F32" s="13"/>
      <c r="G32" s="13"/>
      <c r="H32" s="8"/>
      <c r="I32" s="13"/>
      <c r="J32" s="8"/>
      <c r="K32" s="8"/>
      <c r="L32" s="8"/>
      <c r="M32" s="8"/>
      <c r="N32" s="10"/>
      <c r="O32" s="10"/>
      <c r="P32" s="8"/>
      <c r="Q32" s="10"/>
      <c r="R32" s="14" t="str">
        <f t="shared" si="0"/>
        <v/>
      </c>
      <c r="S32" s="14" t="str">
        <f>IF(A32="","",MAX(0,G32-SUMIFS('Fabric Receiving'!$H$5:$H$304,'Fabric Receiving'!$C$5:$C$304,A32)))</f>
        <v/>
      </c>
      <c r="T32" s="8"/>
      <c r="U32" s="10"/>
      <c r="V32" s="8"/>
    </row>
    <row r="33" spans="1:22">
      <c r="A33" s="8"/>
      <c r="B33" s="8"/>
      <c r="C33" s="8"/>
      <c r="D33" s="8"/>
      <c r="E33" s="8"/>
      <c r="F33" s="13"/>
      <c r="G33" s="13"/>
      <c r="H33" s="8"/>
      <c r="I33" s="13"/>
      <c r="J33" s="8"/>
      <c r="K33" s="8"/>
      <c r="L33" s="8"/>
      <c r="M33" s="8"/>
      <c r="N33" s="10"/>
      <c r="O33" s="10"/>
      <c r="P33" s="8"/>
      <c r="Q33" s="10"/>
      <c r="R33" s="14" t="str">
        <f t="shared" si="0"/>
        <v/>
      </c>
      <c r="S33" s="14" t="str">
        <f>IF(A33="","",MAX(0,G33-SUMIFS('Fabric Receiving'!$H$5:$H$304,'Fabric Receiving'!$C$5:$C$304,A33)))</f>
        <v/>
      </c>
      <c r="T33" s="8"/>
      <c r="U33" s="10"/>
      <c r="V33" s="8"/>
    </row>
    <row r="34" spans="1:22">
      <c r="A34" s="8"/>
      <c r="B34" s="8"/>
      <c r="C34" s="8"/>
      <c r="D34" s="8"/>
      <c r="E34" s="8"/>
      <c r="F34" s="13"/>
      <c r="G34" s="13"/>
      <c r="H34" s="8"/>
      <c r="I34" s="13"/>
      <c r="J34" s="8"/>
      <c r="K34" s="8"/>
      <c r="L34" s="8"/>
      <c r="M34" s="8"/>
      <c r="N34" s="10"/>
      <c r="O34" s="10"/>
      <c r="P34" s="8"/>
      <c r="Q34" s="10"/>
      <c r="R34" s="14" t="str">
        <f t="shared" si="0"/>
        <v/>
      </c>
      <c r="S34" s="14" t="str">
        <f>IF(A34="","",MAX(0,G34-SUMIFS('Fabric Receiving'!$H$5:$H$304,'Fabric Receiving'!$C$5:$C$304,A34)))</f>
        <v/>
      </c>
      <c r="T34" s="8"/>
      <c r="U34" s="10"/>
      <c r="V34" s="8"/>
    </row>
    <row r="35" spans="1:22">
      <c r="A35" s="8"/>
      <c r="B35" s="8"/>
      <c r="C35" s="8"/>
      <c r="D35" s="8"/>
      <c r="E35" s="8"/>
      <c r="F35" s="13"/>
      <c r="G35" s="13"/>
      <c r="H35" s="8"/>
      <c r="I35" s="13"/>
      <c r="J35" s="8"/>
      <c r="K35" s="8"/>
      <c r="L35" s="8"/>
      <c r="M35" s="8"/>
      <c r="N35" s="10"/>
      <c r="O35" s="10"/>
      <c r="P35" s="8"/>
      <c r="Q35" s="10"/>
      <c r="R35" s="14" t="str">
        <f t="shared" si="0"/>
        <v/>
      </c>
      <c r="S35" s="14" t="str">
        <f>IF(A35="","",MAX(0,G35-SUMIFS('Fabric Receiving'!$H$5:$H$304,'Fabric Receiving'!$C$5:$C$304,A35)))</f>
        <v/>
      </c>
      <c r="T35" s="8"/>
      <c r="U35" s="10"/>
      <c r="V35" s="8"/>
    </row>
    <row r="36" spans="1:22">
      <c r="A36" s="8"/>
      <c r="B36" s="8"/>
      <c r="C36" s="8"/>
      <c r="D36" s="8"/>
      <c r="E36" s="8"/>
      <c r="F36" s="13"/>
      <c r="G36" s="13"/>
      <c r="H36" s="8"/>
      <c r="I36" s="13"/>
      <c r="J36" s="8"/>
      <c r="K36" s="8"/>
      <c r="L36" s="8"/>
      <c r="M36" s="8"/>
      <c r="N36" s="10"/>
      <c r="O36" s="10"/>
      <c r="P36" s="8"/>
      <c r="Q36" s="10"/>
      <c r="R36" s="14" t="str">
        <f t="shared" si="0"/>
        <v/>
      </c>
      <c r="S36" s="14" t="str">
        <f>IF(A36="","",MAX(0,G36-SUMIFS('Fabric Receiving'!$H$5:$H$304,'Fabric Receiving'!$C$5:$C$304,A36)))</f>
        <v/>
      </c>
      <c r="T36" s="8"/>
      <c r="U36" s="10"/>
      <c r="V36" s="8"/>
    </row>
    <row r="37" spans="1:22">
      <c r="A37" s="8"/>
      <c r="B37" s="8"/>
      <c r="C37" s="8"/>
      <c r="D37" s="8"/>
      <c r="E37" s="8"/>
      <c r="F37" s="13"/>
      <c r="G37" s="13"/>
      <c r="H37" s="8"/>
      <c r="I37" s="13"/>
      <c r="J37" s="8"/>
      <c r="K37" s="8"/>
      <c r="L37" s="8"/>
      <c r="M37" s="8"/>
      <c r="N37" s="10"/>
      <c r="O37" s="10"/>
      <c r="P37" s="8"/>
      <c r="Q37" s="10"/>
      <c r="R37" s="14" t="str">
        <f t="shared" si="0"/>
        <v/>
      </c>
      <c r="S37" s="14" t="str">
        <f>IF(A37="","",MAX(0,G37-SUMIFS('Fabric Receiving'!$H$5:$H$304,'Fabric Receiving'!$C$5:$C$304,A37)))</f>
        <v/>
      </c>
      <c r="T37" s="8"/>
      <c r="U37" s="10"/>
      <c r="V37" s="8"/>
    </row>
    <row r="38" spans="1:22">
      <c r="A38" s="8"/>
      <c r="B38" s="8"/>
      <c r="C38" s="8"/>
      <c r="D38" s="8"/>
      <c r="E38" s="8"/>
      <c r="F38" s="13"/>
      <c r="G38" s="13"/>
      <c r="H38" s="8"/>
      <c r="I38" s="13"/>
      <c r="J38" s="8"/>
      <c r="K38" s="8"/>
      <c r="L38" s="8"/>
      <c r="M38" s="8"/>
      <c r="N38" s="10"/>
      <c r="O38" s="10"/>
      <c r="P38" s="8"/>
      <c r="Q38" s="10"/>
      <c r="R38" s="14" t="str">
        <f t="shared" si="0"/>
        <v/>
      </c>
      <c r="S38" s="14" t="str">
        <f>IF(A38="","",MAX(0,G38-SUMIFS('Fabric Receiving'!$H$5:$H$304,'Fabric Receiving'!$C$5:$C$304,A38)))</f>
        <v/>
      </c>
      <c r="T38" s="8"/>
      <c r="U38" s="10"/>
      <c r="V38" s="8"/>
    </row>
    <row r="39" spans="1:22">
      <c r="A39" s="8"/>
      <c r="B39" s="8"/>
      <c r="C39" s="8"/>
      <c r="D39" s="8"/>
      <c r="E39" s="8"/>
      <c r="F39" s="13"/>
      <c r="G39" s="13"/>
      <c r="H39" s="8"/>
      <c r="I39" s="13"/>
      <c r="J39" s="8"/>
      <c r="K39" s="8"/>
      <c r="L39" s="8"/>
      <c r="M39" s="8"/>
      <c r="N39" s="10"/>
      <c r="O39" s="10"/>
      <c r="P39" s="8"/>
      <c r="Q39" s="10"/>
      <c r="R39" s="14" t="str">
        <f t="shared" si="0"/>
        <v/>
      </c>
      <c r="S39" s="14" t="str">
        <f>IF(A39="","",MAX(0,G39-SUMIFS('Fabric Receiving'!$H$5:$H$304,'Fabric Receiving'!$C$5:$C$304,A39)))</f>
        <v/>
      </c>
      <c r="T39" s="8"/>
      <c r="U39" s="10"/>
      <c r="V39" s="8"/>
    </row>
    <row r="40" spans="1:22">
      <c r="A40" s="8"/>
      <c r="B40" s="8"/>
      <c r="C40" s="8"/>
      <c r="D40" s="8"/>
      <c r="E40" s="8"/>
      <c r="F40" s="13"/>
      <c r="G40" s="13"/>
      <c r="H40" s="8"/>
      <c r="I40" s="13"/>
      <c r="J40" s="8"/>
      <c r="K40" s="8"/>
      <c r="L40" s="8"/>
      <c r="M40" s="8"/>
      <c r="N40" s="10"/>
      <c r="O40" s="10"/>
      <c r="P40" s="8"/>
      <c r="Q40" s="10"/>
      <c r="R40" s="14" t="str">
        <f t="shared" si="0"/>
        <v/>
      </c>
      <c r="S40" s="14" t="str">
        <f>IF(A40="","",MAX(0,G40-SUMIFS('Fabric Receiving'!$H$5:$H$304,'Fabric Receiving'!$C$5:$C$304,A40)))</f>
        <v/>
      </c>
      <c r="T40" s="8"/>
      <c r="U40" s="10"/>
      <c r="V40" s="8"/>
    </row>
    <row r="41" spans="1:22">
      <c r="A41" s="8"/>
      <c r="B41" s="8"/>
      <c r="C41" s="8"/>
      <c r="D41" s="8"/>
      <c r="E41" s="8"/>
      <c r="F41" s="13"/>
      <c r="G41" s="13"/>
      <c r="H41" s="8"/>
      <c r="I41" s="13"/>
      <c r="J41" s="8"/>
      <c r="K41" s="8"/>
      <c r="L41" s="8"/>
      <c r="M41" s="8"/>
      <c r="N41" s="10"/>
      <c r="O41" s="10"/>
      <c r="P41" s="8"/>
      <c r="Q41" s="10"/>
      <c r="R41" s="14" t="str">
        <f t="shared" si="0"/>
        <v/>
      </c>
      <c r="S41" s="14" t="str">
        <f>IF(A41="","",MAX(0,G41-SUMIFS('Fabric Receiving'!$H$5:$H$304,'Fabric Receiving'!$C$5:$C$304,A41)))</f>
        <v/>
      </c>
      <c r="T41" s="8"/>
      <c r="U41" s="10"/>
      <c r="V41" s="8"/>
    </row>
    <row r="42" spans="1:22">
      <c r="A42" s="8"/>
      <c r="B42" s="8"/>
      <c r="C42" s="8"/>
      <c r="D42" s="8"/>
      <c r="E42" s="8"/>
      <c r="F42" s="13"/>
      <c r="G42" s="13"/>
      <c r="H42" s="8"/>
      <c r="I42" s="13"/>
      <c r="J42" s="8"/>
      <c r="K42" s="8"/>
      <c r="L42" s="8"/>
      <c r="M42" s="8"/>
      <c r="N42" s="10"/>
      <c r="O42" s="10"/>
      <c r="P42" s="8"/>
      <c r="Q42" s="10"/>
      <c r="R42" s="14" t="str">
        <f t="shared" si="0"/>
        <v/>
      </c>
      <c r="S42" s="14" t="str">
        <f>IF(A42="","",MAX(0,G42-SUMIFS('Fabric Receiving'!$H$5:$H$304,'Fabric Receiving'!$C$5:$C$304,A42)))</f>
        <v/>
      </c>
      <c r="T42" s="8"/>
      <c r="U42" s="10"/>
      <c r="V42" s="8"/>
    </row>
    <row r="43" spans="1:22">
      <c r="A43" s="8"/>
      <c r="B43" s="8"/>
      <c r="C43" s="8"/>
      <c r="D43" s="8"/>
      <c r="E43" s="8"/>
      <c r="F43" s="13"/>
      <c r="G43" s="13"/>
      <c r="H43" s="8"/>
      <c r="I43" s="13"/>
      <c r="J43" s="8"/>
      <c r="K43" s="8"/>
      <c r="L43" s="8"/>
      <c r="M43" s="8"/>
      <c r="N43" s="10"/>
      <c r="O43" s="10"/>
      <c r="P43" s="8"/>
      <c r="Q43" s="10"/>
      <c r="R43" s="14" t="str">
        <f t="shared" si="0"/>
        <v/>
      </c>
      <c r="S43" s="14" t="str">
        <f>IF(A43="","",MAX(0,G43-SUMIFS('Fabric Receiving'!$H$5:$H$304,'Fabric Receiving'!$C$5:$C$304,A43)))</f>
        <v/>
      </c>
      <c r="T43" s="8"/>
      <c r="U43" s="10"/>
      <c r="V43" s="8"/>
    </row>
    <row r="44" spans="1:22">
      <c r="A44" s="8"/>
      <c r="B44" s="8"/>
      <c r="C44" s="8"/>
      <c r="D44" s="8"/>
      <c r="E44" s="8"/>
      <c r="F44" s="13"/>
      <c r="G44" s="13"/>
      <c r="H44" s="8"/>
      <c r="I44" s="13"/>
      <c r="J44" s="8"/>
      <c r="K44" s="8"/>
      <c r="L44" s="8"/>
      <c r="M44" s="8"/>
      <c r="N44" s="10"/>
      <c r="O44" s="10"/>
      <c r="P44" s="8"/>
      <c r="Q44" s="10"/>
      <c r="R44" s="14" t="str">
        <f t="shared" si="0"/>
        <v/>
      </c>
      <c r="S44" s="14" t="str">
        <f>IF(A44="","",MAX(0,G44-SUMIFS('Fabric Receiving'!$H$5:$H$304,'Fabric Receiving'!$C$5:$C$304,A44)))</f>
        <v/>
      </c>
      <c r="T44" s="8"/>
      <c r="U44" s="10"/>
      <c r="V44" s="8"/>
    </row>
    <row r="45" spans="1:22">
      <c r="A45" s="8"/>
      <c r="B45" s="8"/>
      <c r="C45" s="8"/>
      <c r="D45" s="8"/>
      <c r="E45" s="8"/>
      <c r="F45" s="13"/>
      <c r="G45" s="13"/>
      <c r="H45" s="8"/>
      <c r="I45" s="13"/>
      <c r="J45" s="8"/>
      <c r="K45" s="8"/>
      <c r="L45" s="8"/>
      <c r="M45" s="8"/>
      <c r="N45" s="10"/>
      <c r="O45" s="10"/>
      <c r="P45" s="8"/>
      <c r="Q45" s="10"/>
      <c r="R45" s="14" t="str">
        <f t="shared" si="0"/>
        <v/>
      </c>
      <c r="S45" s="14" t="str">
        <f>IF(A45="","",MAX(0,G45-SUMIFS('Fabric Receiving'!$H$5:$H$304,'Fabric Receiving'!$C$5:$C$304,A45)))</f>
        <v/>
      </c>
      <c r="T45" s="8"/>
      <c r="U45" s="10"/>
      <c r="V45" s="8"/>
    </row>
    <row r="46" spans="1:22">
      <c r="A46" s="8"/>
      <c r="B46" s="8"/>
      <c r="C46" s="8"/>
      <c r="D46" s="8"/>
      <c r="E46" s="8"/>
      <c r="F46" s="13"/>
      <c r="G46" s="13"/>
      <c r="H46" s="8"/>
      <c r="I46" s="13"/>
      <c r="J46" s="8"/>
      <c r="K46" s="8"/>
      <c r="L46" s="8"/>
      <c r="M46" s="8"/>
      <c r="N46" s="10"/>
      <c r="O46" s="10"/>
      <c r="P46" s="8"/>
      <c r="Q46" s="10"/>
      <c r="R46" s="14" t="str">
        <f t="shared" si="0"/>
        <v/>
      </c>
      <c r="S46" s="14" t="str">
        <f>IF(A46="","",MAX(0,G46-SUMIFS('Fabric Receiving'!$H$5:$H$304,'Fabric Receiving'!$C$5:$C$304,A46)))</f>
        <v/>
      </c>
      <c r="T46" s="8"/>
      <c r="U46" s="10"/>
      <c r="V46" s="8"/>
    </row>
    <row r="47" spans="1:22">
      <c r="A47" s="8"/>
      <c r="B47" s="8"/>
      <c r="C47" s="8"/>
      <c r="D47" s="8"/>
      <c r="E47" s="8"/>
      <c r="F47" s="13"/>
      <c r="G47" s="13"/>
      <c r="H47" s="8"/>
      <c r="I47" s="13"/>
      <c r="J47" s="8"/>
      <c r="K47" s="8"/>
      <c r="L47" s="8"/>
      <c r="M47" s="8"/>
      <c r="N47" s="10"/>
      <c r="O47" s="10"/>
      <c r="P47" s="8"/>
      <c r="Q47" s="10"/>
      <c r="R47" s="14" t="str">
        <f t="shared" si="0"/>
        <v/>
      </c>
      <c r="S47" s="14" t="str">
        <f>IF(A47="","",MAX(0,G47-SUMIFS('Fabric Receiving'!$H$5:$H$304,'Fabric Receiving'!$C$5:$C$304,A47)))</f>
        <v/>
      </c>
      <c r="T47" s="8"/>
      <c r="U47" s="10"/>
      <c r="V47" s="8"/>
    </row>
    <row r="48" spans="1:22">
      <c r="A48" s="8"/>
      <c r="B48" s="8"/>
      <c r="C48" s="8"/>
      <c r="D48" s="8"/>
      <c r="E48" s="8"/>
      <c r="F48" s="13"/>
      <c r="G48" s="13"/>
      <c r="H48" s="8"/>
      <c r="I48" s="13"/>
      <c r="J48" s="8"/>
      <c r="K48" s="8"/>
      <c r="L48" s="8"/>
      <c r="M48" s="8"/>
      <c r="N48" s="10"/>
      <c r="O48" s="10"/>
      <c r="P48" s="8"/>
      <c r="Q48" s="10"/>
      <c r="R48" s="14" t="str">
        <f t="shared" si="0"/>
        <v/>
      </c>
      <c r="S48" s="14" t="str">
        <f>IF(A48="","",MAX(0,G48-SUMIFS('Fabric Receiving'!$H$5:$H$304,'Fabric Receiving'!$C$5:$C$304,A48)))</f>
        <v/>
      </c>
      <c r="T48" s="8"/>
      <c r="U48" s="10"/>
      <c r="V48" s="8"/>
    </row>
    <row r="49" spans="1:22">
      <c r="A49" s="8"/>
      <c r="B49" s="8"/>
      <c r="C49" s="8"/>
      <c r="D49" s="8"/>
      <c r="E49" s="8"/>
      <c r="F49" s="13"/>
      <c r="G49" s="13"/>
      <c r="H49" s="8"/>
      <c r="I49" s="13"/>
      <c r="J49" s="8"/>
      <c r="K49" s="8"/>
      <c r="L49" s="8"/>
      <c r="M49" s="8"/>
      <c r="N49" s="10"/>
      <c r="O49" s="10"/>
      <c r="P49" s="8"/>
      <c r="Q49" s="10"/>
      <c r="R49" s="14" t="str">
        <f t="shared" si="0"/>
        <v/>
      </c>
      <c r="S49" s="14" t="str">
        <f>IF(A49="","",MAX(0,G49-SUMIFS('Fabric Receiving'!$H$5:$H$304,'Fabric Receiving'!$C$5:$C$304,A49)))</f>
        <v/>
      </c>
      <c r="T49" s="8"/>
      <c r="U49" s="10"/>
      <c r="V49" s="8"/>
    </row>
    <row r="50" spans="1:22">
      <c r="A50" s="8"/>
      <c r="B50" s="8"/>
      <c r="C50" s="8"/>
      <c r="D50" s="8"/>
      <c r="E50" s="8"/>
      <c r="F50" s="13"/>
      <c r="G50" s="13"/>
      <c r="H50" s="8"/>
      <c r="I50" s="13"/>
      <c r="J50" s="8"/>
      <c r="K50" s="8"/>
      <c r="L50" s="8"/>
      <c r="M50" s="8"/>
      <c r="N50" s="10"/>
      <c r="O50" s="10"/>
      <c r="P50" s="8"/>
      <c r="Q50" s="10"/>
      <c r="R50" s="14" t="str">
        <f t="shared" si="0"/>
        <v/>
      </c>
      <c r="S50" s="14" t="str">
        <f>IF(A50="","",MAX(0,G50-SUMIFS('Fabric Receiving'!$H$5:$H$304,'Fabric Receiving'!$C$5:$C$304,A50)))</f>
        <v/>
      </c>
      <c r="T50" s="8"/>
      <c r="U50" s="10"/>
      <c r="V50" s="8"/>
    </row>
    <row r="51" spans="1:22">
      <c r="A51" s="8"/>
      <c r="B51" s="8"/>
      <c r="C51" s="8"/>
      <c r="D51" s="8"/>
      <c r="E51" s="8"/>
      <c r="F51" s="13"/>
      <c r="G51" s="13"/>
      <c r="H51" s="8"/>
      <c r="I51" s="13"/>
      <c r="J51" s="8"/>
      <c r="K51" s="8"/>
      <c r="L51" s="8"/>
      <c r="M51" s="8"/>
      <c r="N51" s="10"/>
      <c r="O51" s="10"/>
      <c r="P51" s="8"/>
      <c r="Q51" s="10"/>
      <c r="R51" s="14" t="str">
        <f t="shared" si="0"/>
        <v/>
      </c>
      <c r="S51" s="14" t="str">
        <f>IF(A51="","",MAX(0,G51-SUMIFS('Fabric Receiving'!$H$5:$H$304,'Fabric Receiving'!$C$5:$C$304,A51)))</f>
        <v/>
      </c>
      <c r="T51" s="8"/>
      <c r="U51" s="10"/>
      <c r="V51" s="8"/>
    </row>
    <row r="52" spans="1:22">
      <c r="A52" s="8"/>
      <c r="B52" s="8"/>
      <c r="C52" s="8"/>
      <c r="D52" s="8"/>
      <c r="E52" s="8"/>
      <c r="F52" s="13"/>
      <c r="G52" s="13"/>
      <c r="H52" s="8"/>
      <c r="I52" s="13"/>
      <c r="J52" s="8"/>
      <c r="K52" s="8"/>
      <c r="L52" s="8"/>
      <c r="M52" s="8"/>
      <c r="N52" s="10"/>
      <c r="O52" s="10"/>
      <c r="P52" s="8"/>
      <c r="Q52" s="10"/>
      <c r="R52" s="14" t="str">
        <f t="shared" si="0"/>
        <v/>
      </c>
      <c r="S52" s="14" t="str">
        <f>IF(A52="","",MAX(0,G52-SUMIFS('Fabric Receiving'!$H$5:$H$304,'Fabric Receiving'!$C$5:$C$304,A52)))</f>
        <v/>
      </c>
      <c r="T52" s="8"/>
      <c r="U52" s="10"/>
      <c r="V52" s="8"/>
    </row>
    <row r="53" spans="1:22">
      <c r="A53" s="8"/>
      <c r="B53" s="8"/>
      <c r="C53" s="8"/>
      <c r="D53" s="8"/>
      <c r="E53" s="8"/>
      <c r="F53" s="13"/>
      <c r="G53" s="13"/>
      <c r="H53" s="8"/>
      <c r="I53" s="13"/>
      <c r="J53" s="8"/>
      <c r="K53" s="8"/>
      <c r="L53" s="8"/>
      <c r="M53" s="8"/>
      <c r="N53" s="10"/>
      <c r="O53" s="10"/>
      <c r="P53" s="8"/>
      <c r="Q53" s="10"/>
      <c r="R53" s="14" t="str">
        <f t="shared" si="0"/>
        <v/>
      </c>
      <c r="S53" s="14" t="str">
        <f>IF(A53="","",MAX(0,G53-SUMIFS('Fabric Receiving'!$H$5:$H$304,'Fabric Receiving'!$C$5:$C$304,A53)))</f>
        <v/>
      </c>
      <c r="T53" s="8"/>
      <c r="U53" s="10"/>
      <c r="V53" s="8"/>
    </row>
    <row r="54" spans="1:22">
      <c r="A54" s="8"/>
      <c r="B54" s="8"/>
      <c r="C54" s="8"/>
      <c r="D54" s="8"/>
      <c r="E54" s="8"/>
      <c r="F54" s="13"/>
      <c r="G54" s="13"/>
      <c r="H54" s="8"/>
      <c r="I54" s="13"/>
      <c r="J54" s="8"/>
      <c r="K54" s="8"/>
      <c r="L54" s="8"/>
      <c r="M54" s="8"/>
      <c r="N54" s="10"/>
      <c r="O54" s="10"/>
      <c r="P54" s="8"/>
      <c r="Q54" s="10"/>
      <c r="R54" s="14" t="str">
        <f t="shared" si="0"/>
        <v/>
      </c>
      <c r="S54" s="14" t="str">
        <f>IF(A54="","",MAX(0,G54-SUMIFS('Fabric Receiving'!$H$5:$H$304,'Fabric Receiving'!$C$5:$C$304,A54)))</f>
        <v/>
      </c>
      <c r="T54" s="8"/>
      <c r="U54" s="10"/>
      <c r="V54" s="8"/>
    </row>
    <row r="55" spans="1:22">
      <c r="A55" s="8"/>
      <c r="B55" s="8"/>
      <c r="C55" s="8"/>
      <c r="D55" s="8"/>
      <c r="E55" s="8"/>
      <c r="F55" s="13"/>
      <c r="G55" s="13"/>
      <c r="H55" s="8"/>
      <c r="I55" s="13"/>
      <c r="J55" s="8"/>
      <c r="K55" s="8"/>
      <c r="L55" s="8"/>
      <c r="M55" s="8"/>
      <c r="N55" s="10"/>
      <c r="O55" s="10"/>
      <c r="P55" s="8"/>
      <c r="Q55" s="10"/>
      <c r="R55" s="14" t="str">
        <f t="shared" si="0"/>
        <v/>
      </c>
      <c r="S55" s="14" t="str">
        <f>IF(A55="","",MAX(0,G55-SUMIFS('Fabric Receiving'!$H$5:$H$304,'Fabric Receiving'!$C$5:$C$304,A55)))</f>
        <v/>
      </c>
      <c r="T55" s="8"/>
      <c r="U55" s="10"/>
      <c r="V55" s="8"/>
    </row>
    <row r="56" spans="1:22">
      <c r="A56" s="8"/>
      <c r="B56" s="8"/>
      <c r="C56" s="8"/>
      <c r="D56" s="8"/>
      <c r="E56" s="8"/>
      <c r="F56" s="13"/>
      <c r="G56" s="13"/>
      <c r="H56" s="8"/>
      <c r="I56" s="13"/>
      <c r="J56" s="8"/>
      <c r="K56" s="8"/>
      <c r="L56" s="8"/>
      <c r="M56" s="8"/>
      <c r="N56" s="10"/>
      <c r="O56" s="10"/>
      <c r="P56" s="8"/>
      <c r="Q56" s="10"/>
      <c r="R56" s="14" t="str">
        <f t="shared" si="0"/>
        <v/>
      </c>
      <c r="S56" s="14" t="str">
        <f>IF(A56="","",MAX(0,G56-SUMIFS('Fabric Receiving'!$H$5:$H$304,'Fabric Receiving'!$C$5:$C$304,A56)))</f>
        <v/>
      </c>
      <c r="T56" s="8"/>
      <c r="U56" s="10"/>
      <c r="V56" s="8"/>
    </row>
    <row r="57" spans="1:22">
      <c r="A57" s="8"/>
      <c r="B57" s="8"/>
      <c r="C57" s="8"/>
      <c r="D57" s="8"/>
      <c r="E57" s="8"/>
      <c r="F57" s="13"/>
      <c r="G57" s="13"/>
      <c r="H57" s="8"/>
      <c r="I57" s="13"/>
      <c r="J57" s="8"/>
      <c r="K57" s="8"/>
      <c r="L57" s="8"/>
      <c r="M57" s="8"/>
      <c r="N57" s="10"/>
      <c r="O57" s="10"/>
      <c r="P57" s="8"/>
      <c r="Q57" s="10"/>
      <c r="R57" s="14" t="str">
        <f t="shared" si="0"/>
        <v/>
      </c>
      <c r="S57" s="14" t="str">
        <f>IF(A57="","",MAX(0,G57-SUMIFS('Fabric Receiving'!$H$5:$H$304,'Fabric Receiving'!$C$5:$C$304,A57)))</f>
        <v/>
      </c>
      <c r="T57" s="8"/>
      <c r="U57" s="10"/>
      <c r="V57" s="8"/>
    </row>
    <row r="58" spans="1:22">
      <c r="A58" s="8"/>
      <c r="B58" s="8"/>
      <c r="C58" s="8"/>
      <c r="D58" s="8"/>
      <c r="E58" s="8"/>
      <c r="F58" s="13"/>
      <c r="G58" s="13"/>
      <c r="H58" s="8"/>
      <c r="I58" s="13"/>
      <c r="J58" s="8"/>
      <c r="K58" s="8"/>
      <c r="L58" s="8"/>
      <c r="M58" s="8"/>
      <c r="N58" s="10"/>
      <c r="O58" s="10"/>
      <c r="P58" s="8"/>
      <c r="Q58" s="10"/>
      <c r="R58" s="14" t="str">
        <f t="shared" si="0"/>
        <v/>
      </c>
      <c r="S58" s="14" t="str">
        <f>IF(A58="","",MAX(0,G58-SUMIFS('Fabric Receiving'!$H$5:$H$304,'Fabric Receiving'!$C$5:$C$304,A58)))</f>
        <v/>
      </c>
      <c r="T58" s="8"/>
      <c r="U58" s="10"/>
      <c r="V58" s="8"/>
    </row>
    <row r="59" spans="1:22">
      <c r="A59" s="8"/>
      <c r="B59" s="8"/>
      <c r="C59" s="8"/>
      <c r="D59" s="8"/>
      <c r="E59" s="8"/>
      <c r="F59" s="13"/>
      <c r="G59" s="13"/>
      <c r="H59" s="8"/>
      <c r="I59" s="13"/>
      <c r="J59" s="8"/>
      <c r="K59" s="8"/>
      <c r="L59" s="8"/>
      <c r="M59" s="8"/>
      <c r="N59" s="10"/>
      <c r="O59" s="10"/>
      <c r="P59" s="8"/>
      <c r="Q59" s="10"/>
      <c r="R59" s="14" t="str">
        <f t="shared" si="0"/>
        <v/>
      </c>
      <c r="S59" s="14" t="str">
        <f>IF(A59="","",MAX(0,G59-SUMIFS('Fabric Receiving'!$H$5:$H$304,'Fabric Receiving'!$C$5:$C$304,A59)))</f>
        <v/>
      </c>
      <c r="T59" s="8"/>
      <c r="U59" s="10"/>
      <c r="V59" s="8"/>
    </row>
    <row r="60" spans="1:22">
      <c r="A60" s="8"/>
      <c r="B60" s="8"/>
      <c r="C60" s="8"/>
      <c r="D60" s="8"/>
      <c r="E60" s="8"/>
      <c r="F60" s="13"/>
      <c r="G60" s="13"/>
      <c r="H60" s="8"/>
      <c r="I60" s="13"/>
      <c r="J60" s="8"/>
      <c r="K60" s="8"/>
      <c r="L60" s="8"/>
      <c r="M60" s="8"/>
      <c r="N60" s="10"/>
      <c r="O60" s="10"/>
      <c r="P60" s="8"/>
      <c r="Q60" s="10"/>
      <c r="R60" s="14" t="str">
        <f t="shared" si="0"/>
        <v/>
      </c>
      <c r="S60" s="14" t="str">
        <f>IF(A60="","",MAX(0,G60-SUMIFS('Fabric Receiving'!$H$5:$H$304,'Fabric Receiving'!$C$5:$C$304,A60)))</f>
        <v/>
      </c>
      <c r="T60" s="8"/>
      <c r="U60" s="10"/>
      <c r="V60" s="8"/>
    </row>
    <row r="61" spans="1:22">
      <c r="A61" s="8"/>
      <c r="B61" s="8"/>
      <c r="C61" s="8"/>
      <c r="D61" s="8"/>
      <c r="E61" s="8"/>
      <c r="F61" s="13"/>
      <c r="G61" s="13"/>
      <c r="H61" s="8"/>
      <c r="I61" s="13"/>
      <c r="J61" s="8"/>
      <c r="K61" s="8"/>
      <c r="L61" s="8"/>
      <c r="M61" s="8"/>
      <c r="N61" s="10"/>
      <c r="O61" s="10"/>
      <c r="P61" s="8"/>
      <c r="Q61" s="10"/>
      <c r="R61" s="14" t="str">
        <f t="shared" si="0"/>
        <v/>
      </c>
      <c r="S61" s="14" t="str">
        <f>IF(A61="","",MAX(0,G61-SUMIFS('Fabric Receiving'!$H$5:$H$304,'Fabric Receiving'!$C$5:$C$304,A61)))</f>
        <v/>
      </c>
      <c r="T61" s="8"/>
      <c r="U61" s="10"/>
      <c r="V61" s="8"/>
    </row>
    <row r="62" spans="1:22">
      <c r="A62" s="8"/>
      <c r="B62" s="8"/>
      <c r="C62" s="8"/>
      <c r="D62" s="8"/>
      <c r="E62" s="8"/>
      <c r="F62" s="13"/>
      <c r="G62" s="13"/>
      <c r="H62" s="8"/>
      <c r="I62" s="13"/>
      <c r="J62" s="8"/>
      <c r="K62" s="8"/>
      <c r="L62" s="8"/>
      <c r="M62" s="8"/>
      <c r="N62" s="10"/>
      <c r="O62" s="10"/>
      <c r="P62" s="8"/>
      <c r="Q62" s="10"/>
      <c r="R62" s="14" t="str">
        <f t="shared" si="0"/>
        <v/>
      </c>
      <c r="S62" s="14" t="str">
        <f>IF(A62="","",MAX(0,G62-SUMIFS('Fabric Receiving'!$H$5:$H$304,'Fabric Receiving'!$C$5:$C$304,A62)))</f>
        <v/>
      </c>
      <c r="T62" s="8"/>
      <c r="U62" s="10"/>
      <c r="V62" s="8"/>
    </row>
    <row r="63" spans="1:22">
      <c r="A63" s="8"/>
      <c r="B63" s="8"/>
      <c r="C63" s="8"/>
      <c r="D63" s="8"/>
      <c r="E63" s="8"/>
      <c r="F63" s="13"/>
      <c r="G63" s="13"/>
      <c r="H63" s="8"/>
      <c r="I63" s="13"/>
      <c r="J63" s="8"/>
      <c r="K63" s="8"/>
      <c r="L63" s="8"/>
      <c r="M63" s="8"/>
      <c r="N63" s="10"/>
      <c r="O63" s="10"/>
      <c r="P63" s="8"/>
      <c r="Q63" s="10"/>
      <c r="R63" s="14" t="str">
        <f t="shared" si="0"/>
        <v/>
      </c>
      <c r="S63" s="14" t="str">
        <f>IF(A63="","",MAX(0,G63-SUMIFS('Fabric Receiving'!$H$5:$H$304,'Fabric Receiving'!$C$5:$C$304,A63)))</f>
        <v/>
      </c>
      <c r="T63" s="8"/>
      <c r="U63" s="10"/>
      <c r="V63" s="8"/>
    </row>
    <row r="64" spans="1:22">
      <c r="A64" s="8"/>
      <c r="B64" s="8"/>
      <c r="C64" s="8"/>
      <c r="D64" s="8"/>
      <c r="E64" s="8"/>
      <c r="F64" s="13"/>
      <c r="G64" s="13"/>
      <c r="H64" s="8"/>
      <c r="I64" s="13"/>
      <c r="J64" s="8"/>
      <c r="K64" s="8"/>
      <c r="L64" s="8"/>
      <c r="M64" s="8"/>
      <c r="N64" s="10"/>
      <c r="O64" s="10"/>
      <c r="P64" s="8"/>
      <c r="Q64" s="10"/>
      <c r="R64" s="14" t="str">
        <f t="shared" si="0"/>
        <v/>
      </c>
      <c r="S64" s="14" t="str">
        <f>IF(A64="","",MAX(0,G64-SUMIFS('Fabric Receiving'!$H$5:$H$304,'Fabric Receiving'!$C$5:$C$304,A64)))</f>
        <v/>
      </c>
      <c r="T64" s="8"/>
      <c r="U64" s="10"/>
      <c r="V64" s="8"/>
    </row>
    <row r="65" spans="1:22">
      <c r="A65" s="8"/>
      <c r="B65" s="8"/>
      <c r="C65" s="8"/>
      <c r="D65" s="8"/>
      <c r="E65" s="8"/>
      <c r="F65" s="13"/>
      <c r="G65" s="13"/>
      <c r="H65" s="8"/>
      <c r="I65" s="13"/>
      <c r="J65" s="8"/>
      <c r="K65" s="8"/>
      <c r="L65" s="8"/>
      <c r="M65" s="8"/>
      <c r="N65" s="10"/>
      <c r="O65" s="10"/>
      <c r="P65" s="8"/>
      <c r="Q65" s="10"/>
      <c r="R65" s="14" t="str">
        <f t="shared" si="0"/>
        <v/>
      </c>
      <c r="S65" s="14" t="str">
        <f>IF(A65="","",MAX(0,G65-SUMIFS('Fabric Receiving'!$H$5:$H$304,'Fabric Receiving'!$C$5:$C$304,A65)))</f>
        <v/>
      </c>
      <c r="T65" s="8"/>
      <c r="U65" s="10"/>
      <c r="V65" s="8"/>
    </row>
    <row r="66" spans="1:22">
      <c r="A66" s="8"/>
      <c r="B66" s="8"/>
      <c r="C66" s="8"/>
      <c r="D66" s="8"/>
      <c r="E66" s="8"/>
      <c r="F66" s="13"/>
      <c r="G66" s="13"/>
      <c r="H66" s="8"/>
      <c r="I66" s="13"/>
      <c r="J66" s="8"/>
      <c r="K66" s="8"/>
      <c r="L66" s="8"/>
      <c r="M66" s="8"/>
      <c r="N66" s="10"/>
      <c r="O66" s="10"/>
      <c r="P66" s="8"/>
      <c r="Q66" s="10"/>
      <c r="R66" s="14" t="str">
        <f t="shared" si="0"/>
        <v/>
      </c>
      <c r="S66" s="14" t="str">
        <f>IF(A66="","",MAX(0,G66-SUMIFS('Fabric Receiving'!$H$5:$H$304,'Fabric Receiving'!$C$5:$C$304,A66)))</f>
        <v/>
      </c>
      <c r="T66" s="8"/>
      <c r="U66" s="10"/>
      <c r="V66" s="8"/>
    </row>
    <row r="67" spans="1:22">
      <c r="A67" s="8"/>
      <c r="B67" s="8"/>
      <c r="C67" s="8"/>
      <c r="D67" s="8"/>
      <c r="E67" s="8"/>
      <c r="F67" s="13"/>
      <c r="G67" s="13"/>
      <c r="H67" s="8"/>
      <c r="I67" s="13"/>
      <c r="J67" s="8"/>
      <c r="K67" s="8"/>
      <c r="L67" s="8"/>
      <c r="M67" s="8"/>
      <c r="N67" s="10"/>
      <c r="O67" s="10"/>
      <c r="P67" s="8"/>
      <c r="Q67" s="10"/>
      <c r="R67" s="14" t="str">
        <f t="shared" si="0"/>
        <v/>
      </c>
      <c r="S67" s="14" t="str">
        <f>IF(A67="","",MAX(0,G67-SUMIFS('Fabric Receiving'!$H$5:$H$304,'Fabric Receiving'!$C$5:$C$304,A67)))</f>
        <v/>
      </c>
      <c r="T67" s="8"/>
      <c r="U67" s="10"/>
      <c r="V67" s="8"/>
    </row>
    <row r="68" spans="1:22">
      <c r="A68" s="8"/>
      <c r="B68" s="8"/>
      <c r="C68" s="8"/>
      <c r="D68" s="8"/>
      <c r="E68" s="8"/>
      <c r="F68" s="13"/>
      <c r="G68" s="13"/>
      <c r="H68" s="8"/>
      <c r="I68" s="13"/>
      <c r="J68" s="8"/>
      <c r="K68" s="8"/>
      <c r="L68" s="8"/>
      <c r="M68" s="8"/>
      <c r="N68" s="10"/>
      <c r="O68" s="10"/>
      <c r="P68" s="8"/>
      <c r="Q68" s="10"/>
      <c r="R68" s="14" t="str">
        <f t="shared" si="0"/>
        <v/>
      </c>
      <c r="S68" s="14" t="str">
        <f>IF(A68="","",MAX(0,G68-SUMIFS('Fabric Receiving'!$H$5:$H$304,'Fabric Receiving'!$C$5:$C$304,A68)))</f>
        <v/>
      </c>
      <c r="T68" s="8"/>
      <c r="U68" s="10"/>
      <c r="V68" s="8"/>
    </row>
    <row r="69" spans="1:22">
      <c r="A69" s="8"/>
      <c r="B69" s="8"/>
      <c r="C69" s="8"/>
      <c r="D69" s="8"/>
      <c r="E69" s="8"/>
      <c r="F69" s="13"/>
      <c r="G69" s="13"/>
      <c r="H69" s="8"/>
      <c r="I69" s="13"/>
      <c r="J69" s="8"/>
      <c r="K69" s="8"/>
      <c r="L69" s="8"/>
      <c r="M69" s="8"/>
      <c r="N69" s="10"/>
      <c r="O69" s="10"/>
      <c r="P69" s="8"/>
      <c r="Q69" s="10"/>
      <c r="R69" s="14" t="str">
        <f t="shared" ref="R69:R132" si="1">IF(A69="","",IF(OR(P69="Delivered",P69="Closed"),0,G69))</f>
        <v/>
      </c>
      <c r="S69" s="14" t="str">
        <f>IF(A69="","",MAX(0,G69-SUMIFS('Fabric Receiving'!$H$5:$H$304,'Fabric Receiving'!$C$5:$C$304,A69)))</f>
        <v/>
      </c>
      <c r="T69" s="8"/>
      <c r="U69" s="10"/>
      <c r="V69" s="8"/>
    </row>
    <row r="70" spans="1:22">
      <c r="A70" s="8"/>
      <c r="B70" s="8"/>
      <c r="C70" s="8"/>
      <c r="D70" s="8"/>
      <c r="E70" s="8"/>
      <c r="F70" s="13"/>
      <c r="G70" s="13"/>
      <c r="H70" s="8"/>
      <c r="I70" s="13"/>
      <c r="J70" s="8"/>
      <c r="K70" s="8"/>
      <c r="L70" s="8"/>
      <c r="M70" s="8"/>
      <c r="N70" s="10"/>
      <c r="O70" s="10"/>
      <c r="P70" s="8"/>
      <c r="Q70" s="10"/>
      <c r="R70" s="14" t="str">
        <f t="shared" si="1"/>
        <v/>
      </c>
      <c r="S70" s="14" t="str">
        <f>IF(A70="","",MAX(0,G70-SUMIFS('Fabric Receiving'!$H$5:$H$304,'Fabric Receiving'!$C$5:$C$304,A70)))</f>
        <v/>
      </c>
      <c r="T70" s="8"/>
      <c r="U70" s="10"/>
      <c r="V70" s="8"/>
    </row>
    <row r="71" spans="1:22">
      <c r="A71" s="8"/>
      <c r="B71" s="8"/>
      <c r="C71" s="8"/>
      <c r="D71" s="8"/>
      <c r="E71" s="8"/>
      <c r="F71" s="13"/>
      <c r="G71" s="13"/>
      <c r="H71" s="8"/>
      <c r="I71" s="13"/>
      <c r="J71" s="8"/>
      <c r="K71" s="8"/>
      <c r="L71" s="8"/>
      <c r="M71" s="8"/>
      <c r="N71" s="10"/>
      <c r="O71" s="10"/>
      <c r="P71" s="8"/>
      <c r="Q71" s="10"/>
      <c r="R71" s="14" t="str">
        <f t="shared" si="1"/>
        <v/>
      </c>
      <c r="S71" s="14" t="str">
        <f>IF(A71="","",MAX(0,G71-SUMIFS('Fabric Receiving'!$H$5:$H$304,'Fabric Receiving'!$C$5:$C$304,A71)))</f>
        <v/>
      </c>
      <c r="T71" s="8"/>
      <c r="U71" s="10"/>
      <c r="V71" s="8"/>
    </row>
    <row r="72" spans="1:22">
      <c r="A72" s="8"/>
      <c r="B72" s="8"/>
      <c r="C72" s="8"/>
      <c r="D72" s="8"/>
      <c r="E72" s="8"/>
      <c r="F72" s="13"/>
      <c r="G72" s="13"/>
      <c r="H72" s="8"/>
      <c r="I72" s="13"/>
      <c r="J72" s="8"/>
      <c r="K72" s="8"/>
      <c r="L72" s="8"/>
      <c r="M72" s="8"/>
      <c r="N72" s="10"/>
      <c r="O72" s="10"/>
      <c r="P72" s="8"/>
      <c r="Q72" s="10"/>
      <c r="R72" s="14" t="str">
        <f t="shared" si="1"/>
        <v/>
      </c>
      <c r="S72" s="14" t="str">
        <f>IF(A72="","",MAX(0,G72-SUMIFS('Fabric Receiving'!$H$5:$H$304,'Fabric Receiving'!$C$5:$C$304,A72)))</f>
        <v/>
      </c>
      <c r="T72" s="8"/>
      <c r="U72" s="10"/>
      <c r="V72" s="8"/>
    </row>
    <row r="73" spans="1:22">
      <c r="A73" s="8"/>
      <c r="B73" s="8"/>
      <c r="C73" s="8"/>
      <c r="D73" s="8"/>
      <c r="E73" s="8"/>
      <c r="F73" s="13"/>
      <c r="G73" s="13"/>
      <c r="H73" s="8"/>
      <c r="I73" s="13"/>
      <c r="J73" s="8"/>
      <c r="K73" s="8"/>
      <c r="L73" s="8"/>
      <c r="M73" s="8"/>
      <c r="N73" s="10"/>
      <c r="O73" s="10"/>
      <c r="P73" s="8"/>
      <c r="Q73" s="10"/>
      <c r="R73" s="14" t="str">
        <f t="shared" si="1"/>
        <v/>
      </c>
      <c r="S73" s="14" t="str">
        <f>IF(A73="","",MAX(0,G73-SUMIFS('Fabric Receiving'!$H$5:$H$304,'Fabric Receiving'!$C$5:$C$304,A73)))</f>
        <v/>
      </c>
      <c r="T73" s="8"/>
      <c r="U73" s="10"/>
      <c r="V73" s="8"/>
    </row>
    <row r="74" spans="1:22">
      <c r="A74" s="8"/>
      <c r="B74" s="8"/>
      <c r="C74" s="8"/>
      <c r="D74" s="8"/>
      <c r="E74" s="8"/>
      <c r="F74" s="13"/>
      <c r="G74" s="13"/>
      <c r="H74" s="8"/>
      <c r="I74" s="13"/>
      <c r="J74" s="8"/>
      <c r="K74" s="8"/>
      <c r="L74" s="8"/>
      <c r="M74" s="8"/>
      <c r="N74" s="10"/>
      <c r="O74" s="10"/>
      <c r="P74" s="8"/>
      <c r="Q74" s="10"/>
      <c r="R74" s="14" t="str">
        <f t="shared" si="1"/>
        <v/>
      </c>
      <c r="S74" s="14" t="str">
        <f>IF(A74="","",MAX(0,G74-SUMIFS('Fabric Receiving'!$H$5:$H$304,'Fabric Receiving'!$C$5:$C$304,A74)))</f>
        <v/>
      </c>
      <c r="T74" s="8"/>
      <c r="U74" s="10"/>
      <c r="V74" s="8"/>
    </row>
    <row r="75" spans="1:22">
      <c r="A75" s="8"/>
      <c r="B75" s="8"/>
      <c r="C75" s="8"/>
      <c r="D75" s="8"/>
      <c r="E75" s="8"/>
      <c r="F75" s="13"/>
      <c r="G75" s="13"/>
      <c r="H75" s="8"/>
      <c r="I75" s="13"/>
      <c r="J75" s="8"/>
      <c r="K75" s="8"/>
      <c r="L75" s="8"/>
      <c r="M75" s="8"/>
      <c r="N75" s="10"/>
      <c r="O75" s="10"/>
      <c r="P75" s="8"/>
      <c r="Q75" s="10"/>
      <c r="R75" s="14" t="str">
        <f t="shared" si="1"/>
        <v/>
      </c>
      <c r="S75" s="14" t="str">
        <f>IF(A75="","",MAX(0,G75-SUMIFS('Fabric Receiving'!$H$5:$H$304,'Fabric Receiving'!$C$5:$C$304,A75)))</f>
        <v/>
      </c>
      <c r="T75" s="8"/>
      <c r="U75" s="10"/>
      <c r="V75" s="8"/>
    </row>
    <row r="76" spans="1:22">
      <c r="A76" s="8"/>
      <c r="B76" s="8"/>
      <c r="C76" s="8"/>
      <c r="D76" s="8"/>
      <c r="E76" s="8"/>
      <c r="F76" s="13"/>
      <c r="G76" s="13"/>
      <c r="H76" s="8"/>
      <c r="I76" s="13"/>
      <c r="J76" s="8"/>
      <c r="K76" s="8"/>
      <c r="L76" s="8"/>
      <c r="M76" s="8"/>
      <c r="N76" s="10"/>
      <c r="O76" s="10"/>
      <c r="P76" s="8"/>
      <c r="Q76" s="10"/>
      <c r="R76" s="14" t="str">
        <f t="shared" si="1"/>
        <v/>
      </c>
      <c r="S76" s="14" t="str">
        <f>IF(A76="","",MAX(0,G76-SUMIFS('Fabric Receiving'!$H$5:$H$304,'Fabric Receiving'!$C$5:$C$304,A76)))</f>
        <v/>
      </c>
      <c r="T76" s="8"/>
      <c r="U76" s="10"/>
      <c r="V76" s="8"/>
    </row>
    <row r="77" spans="1:22">
      <c r="A77" s="8"/>
      <c r="B77" s="8"/>
      <c r="C77" s="8"/>
      <c r="D77" s="8"/>
      <c r="E77" s="8"/>
      <c r="F77" s="13"/>
      <c r="G77" s="13"/>
      <c r="H77" s="8"/>
      <c r="I77" s="13"/>
      <c r="J77" s="8"/>
      <c r="K77" s="8"/>
      <c r="L77" s="8"/>
      <c r="M77" s="8"/>
      <c r="N77" s="10"/>
      <c r="O77" s="10"/>
      <c r="P77" s="8"/>
      <c r="Q77" s="10"/>
      <c r="R77" s="14" t="str">
        <f t="shared" si="1"/>
        <v/>
      </c>
      <c r="S77" s="14" t="str">
        <f>IF(A77="","",MAX(0,G77-SUMIFS('Fabric Receiving'!$H$5:$H$304,'Fabric Receiving'!$C$5:$C$304,A77)))</f>
        <v/>
      </c>
      <c r="T77" s="8"/>
      <c r="U77" s="10"/>
      <c r="V77" s="8"/>
    </row>
    <row r="78" spans="1:22">
      <c r="A78" s="8"/>
      <c r="B78" s="8"/>
      <c r="C78" s="8"/>
      <c r="D78" s="8"/>
      <c r="E78" s="8"/>
      <c r="F78" s="13"/>
      <c r="G78" s="13"/>
      <c r="H78" s="8"/>
      <c r="I78" s="13"/>
      <c r="J78" s="8"/>
      <c r="K78" s="8"/>
      <c r="L78" s="8"/>
      <c r="M78" s="8"/>
      <c r="N78" s="10"/>
      <c r="O78" s="10"/>
      <c r="P78" s="8"/>
      <c r="Q78" s="10"/>
      <c r="R78" s="14" t="str">
        <f t="shared" si="1"/>
        <v/>
      </c>
      <c r="S78" s="14" t="str">
        <f>IF(A78="","",MAX(0,G78-SUMIFS('Fabric Receiving'!$H$5:$H$304,'Fabric Receiving'!$C$5:$C$304,A78)))</f>
        <v/>
      </c>
      <c r="T78" s="8"/>
      <c r="U78" s="10"/>
      <c r="V78" s="8"/>
    </row>
    <row r="79" spans="1:22">
      <c r="A79" s="8"/>
      <c r="B79" s="8"/>
      <c r="C79" s="8"/>
      <c r="D79" s="8"/>
      <c r="E79" s="8"/>
      <c r="F79" s="13"/>
      <c r="G79" s="13"/>
      <c r="H79" s="8"/>
      <c r="I79" s="13"/>
      <c r="J79" s="8"/>
      <c r="K79" s="8"/>
      <c r="L79" s="8"/>
      <c r="M79" s="8"/>
      <c r="N79" s="10"/>
      <c r="O79" s="10"/>
      <c r="P79" s="8"/>
      <c r="Q79" s="10"/>
      <c r="R79" s="14" t="str">
        <f t="shared" si="1"/>
        <v/>
      </c>
      <c r="S79" s="14" t="str">
        <f>IF(A79="","",MAX(0,G79-SUMIFS('Fabric Receiving'!$H$5:$H$304,'Fabric Receiving'!$C$5:$C$304,A79)))</f>
        <v/>
      </c>
      <c r="T79" s="8"/>
      <c r="U79" s="10"/>
      <c r="V79" s="8"/>
    </row>
    <row r="80" spans="1:22">
      <c r="A80" s="8"/>
      <c r="B80" s="8"/>
      <c r="C80" s="8"/>
      <c r="D80" s="8"/>
      <c r="E80" s="8"/>
      <c r="F80" s="13"/>
      <c r="G80" s="13"/>
      <c r="H80" s="8"/>
      <c r="I80" s="13"/>
      <c r="J80" s="8"/>
      <c r="K80" s="8"/>
      <c r="L80" s="8"/>
      <c r="M80" s="8"/>
      <c r="N80" s="10"/>
      <c r="O80" s="10"/>
      <c r="P80" s="8"/>
      <c r="Q80" s="10"/>
      <c r="R80" s="14" t="str">
        <f t="shared" si="1"/>
        <v/>
      </c>
      <c r="S80" s="14" t="str">
        <f>IF(A80="","",MAX(0,G80-SUMIFS('Fabric Receiving'!$H$5:$H$304,'Fabric Receiving'!$C$5:$C$304,A80)))</f>
        <v/>
      </c>
      <c r="T80" s="8"/>
      <c r="U80" s="10"/>
      <c r="V80" s="8"/>
    </row>
    <row r="81" spans="1:22">
      <c r="A81" s="8"/>
      <c r="B81" s="8"/>
      <c r="C81" s="8"/>
      <c r="D81" s="8"/>
      <c r="E81" s="8"/>
      <c r="F81" s="13"/>
      <c r="G81" s="13"/>
      <c r="H81" s="8"/>
      <c r="I81" s="13"/>
      <c r="J81" s="8"/>
      <c r="K81" s="8"/>
      <c r="L81" s="8"/>
      <c r="M81" s="8"/>
      <c r="N81" s="10"/>
      <c r="O81" s="10"/>
      <c r="P81" s="8"/>
      <c r="Q81" s="10"/>
      <c r="R81" s="14" t="str">
        <f t="shared" si="1"/>
        <v/>
      </c>
      <c r="S81" s="14" t="str">
        <f>IF(A81="","",MAX(0,G81-SUMIFS('Fabric Receiving'!$H$5:$H$304,'Fabric Receiving'!$C$5:$C$304,A81)))</f>
        <v/>
      </c>
      <c r="T81" s="8"/>
      <c r="U81" s="10"/>
      <c r="V81" s="8"/>
    </row>
    <row r="82" spans="1:22">
      <c r="A82" s="8"/>
      <c r="B82" s="8"/>
      <c r="C82" s="8"/>
      <c r="D82" s="8"/>
      <c r="E82" s="8"/>
      <c r="F82" s="13"/>
      <c r="G82" s="13"/>
      <c r="H82" s="8"/>
      <c r="I82" s="13"/>
      <c r="J82" s="8"/>
      <c r="K82" s="8"/>
      <c r="L82" s="8"/>
      <c r="M82" s="8"/>
      <c r="N82" s="10"/>
      <c r="O82" s="10"/>
      <c r="P82" s="8"/>
      <c r="Q82" s="10"/>
      <c r="R82" s="14" t="str">
        <f t="shared" si="1"/>
        <v/>
      </c>
      <c r="S82" s="14" t="str">
        <f>IF(A82="","",MAX(0,G82-SUMIFS('Fabric Receiving'!$H$5:$H$304,'Fabric Receiving'!$C$5:$C$304,A82)))</f>
        <v/>
      </c>
      <c r="T82" s="8"/>
      <c r="U82" s="10"/>
      <c r="V82" s="8"/>
    </row>
    <row r="83" spans="1:22">
      <c r="A83" s="8"/>
      <c r="B83" s="8"/>
      <c r="C83" s="8"/>
      <c r="D83" s="8"/>
      <c r="E83" s="8"/>
      <c r="F83" s="13"/>
      <c r="G83" s="13"/>
      <c r="H83" s="8"/>
      <c r="I83" s="13"/>
      <c r="J83" s="8"/>
      <c r="K83" s="8"/>
      <c r="L83" s="8"/>
      <c r="M83" s="8"/>
      <c r="N83" s="10"/>
      <c r="O83" s="10"/>
      <c r="P83" s="8"/>
      <c r="Q83" s="10"/>
      <c r="R83" s="14" t="str">
        <f t="shared" si="1"/>
        <v/>
      </c>
      <c r="S83" s="14" t="str">
        <f>IF(A83="","",MAX(0,G83-SUMIFS('Fabric Receiving'!$H$5:$H$304,'Fabric Receiving'!$C$5:$C$304,A83)))</f>
        <v/>
      </c>
      <c r="T83" s="8"/>
      <c r="U83" s="10"/>
      <c r="V83" s="8"/>
    </row>
    <row r="84" spans="1:22">
      <c r="A84" s="8"/>
      <c r="B84" s="8"/>
      <c r="C84" s="8"/>
      <c r="D84" s="8"/>
      <c r="E84" s="8"/>
      <c r="F84" s="13"/>
      <c r="G84" s="13"/>
      <c r="H84" s="8"/>
      <c r="I84" s="13"/>
      <c r="J84" s="8"/>
      <c r="K84" s="8"/>
      <c r="L84" s="8"/>
      <c r="M84" s="8"/>
      <c r="N84" s="10"/>
      <c r="O84" s="10"/>
      <c r="P84" s="8"/>
      <c r="Q84" s="10"/>
      <c r="R84" s="14" t="str">
        <f t="shared" si="1"/>
        <v/>
      </c>
      <c r="S84" s="14" t="str">
        <f>IF(A84="","",MAX(0,G84-SUMIFS('Fabric Receiving'!$H$5:$H$304,'Fabric Receiving'!$C$5:$C$304,A84)))</f>
        <v/>
      </c>
      <c r="T84" s="8"/>
      <c r="U84" s="10"/>
      <c r="V84" s="8"/>
    </row>
    <row r="85" spans="1:22">
      <c r="A85" s="8"/>
      <c r="B85" s="8"/>
      <c r="C85" s="8"/>
      <c r="D85" s="8"/>
      <c r="E85" s="8"/>
      <c r="F85" s="13"/>
      <c r="G85" s="13"/>
      <c r="H85" s="8"/>
      <c r="I85" s="13"/>
      <c r="J85" s="8"/>
      <c r="K85" s="8"/>
      <c r="L85" s="8"/>
      <c r="M85" s="8"/>
      <c r="N85" s="10"/>
      <c r="O85" s="10"/>
      <c r="P85" s="8"/>
      <c r="Q85" s="10"/>
      <c r="R85" s="14" t="str">
        <f t="shared" si="1"/>
        <v/>
      </c>
      <c r="S85" s="14" t="str">
        <f>IF(A85="","",MAX(0,G85-SUMIFS('Fabric Receiving'!$H$5:$H$304,'Fabric Receiving'!$C$5:$C$304,A85)))</f>
        <v/>
      </c>
      <c r="T85" s="8"/>
      <c r="U85" s="10"/>
      <c r="V85" s="8"/>
    </row>
    <row r="86" spans="1:22">
      <c r="A86" s="8"/>
      <c r="B86" s="8"/>
      <c r="C86" s="8"/>
      <c r="D86" s="8"/>
      <c r="E86" s="8"/>
      <c r="F86" s="13"/>
      <c r="G86" s="13"/>
      <c r="H86" s="8"/>
      <c r="I86" s="13"/>
      <c r="J86" s="8"/>
      <c r="K86" s="8"/>
      <c r="L86" s="8"/>
      <c r="M86" s="8"/>
      <c r="N86" s="10"/>
      <c r="O86" s="10"/>
      <c r="P86" s="8"/>
      <c r="Q86" s="10"/>
      <c r="R86" s="14" t="str">
        <f t="shared" si="1"/>
        <v/>
      </c>
      <c r="S86" s="14" t="str">
        <f>IF(A86="","",MAX(0,G86-SUMIFS('Fabric Receiving'!$H$5:$H$304,'Fabric Receiving'!$C$5:$C$304,A86)))</f>
        <v/>
      </c>
      <c r="T86" s="8"/>
      <c r="U86" s="10"/>
      <c r="V86" s="8"/>
    </row>
    <row r="87" spans="1:22">
      <c r="A87" s="8"/>
      <c r="B87" s="8"/>
      <c r="C87" s="8"/>
      <c r="D87" s="8"/>
      <c r="E87" s="8"/>
      <c r="F87" s="13"/>
      <c r="G87" s="13"/>
      <c r="H87" s="8"/>
      <c r="I87" s="13"/>
      <c r="J87" s="8"/>
      <c r="K87" s="8"/>
      <c r="L87" s="8"/>
      <c r="M87" s="8"/>
      <c r="N87" s="10"/>
      <c r="O87" s="10"/>
      <c r="P87" s="8"/>
      <c r="Q87" s="10"/>
      <c r="R87" s="14" t="str">
        <f t="shared" si="1"/>
        <v/>
      </c>
      <c r="S87" s="14" t="str">
        <f>IF(A87="","",MAX(0,G87-SUMIFS('Fabric Receiving'!$H$5:$H$304,'Fabric Receiving'!$C$5:$C$304,A87)))</f>
        <v/>
      </c>
      <c r="T87" s="8"/>
      <c r="U87" s="10"/>
      <c r="V87" s="8"/>
    </row>
    <row r="88" spans="1:22">
      <c r="A88" s="8"/>
      <c r="B88" s="8"/>
      <c r="C88" s="8"/>
      <c r="D88" s="8"/>
      <c r="E88" s="8"/>
      <c r="F88" s="13"/>
      <c r="G88" s="13"/>
      <c r="H88" s="8"/>
      <c r="I88" s="13"/>
      <c r="J88" s="8"/>
      <c r="K88" s="8"/>
      <c r="L88" s="8"/>
      <c r="M88" s="8"/>
      <c r="N88" s="10"/>
      <c r="O88" s="10"/>
      <c r="P88" s="8"/>
      <c r="Q88" s="10"/>
      <c r="R88" s="14" t="str">
        <f t="shared" si="1"/>
        <v/>
      </c>
      <c r="S88" s="14" t="str">
        <f>IF(A88="","",MAX(0,G88-SUMIFS('Fabric Receiving'!$H$5:$H$304,'Fabric Receiving'!$C$5:$C$304,A88)))</f>
        <v/>
      </c>
      <c r="T88" s="8"/>
      <c r="U88" s="10"/>
      <c r="V88" s="8"/>
    </row>
    <row r="89" spans="1:22">
      <c r="A89" s="8"/>
      <c r="B89" s="8"/>
      <c r="C89" s="8"/>
      <c r="D89" s="8"/>
      <c r="E89" s="8"/>
      <c r="F89" s="13"/>
      <c r="G89" s="13"/>
      <c r="H89" s="8"/>
      <c r="I89" s="13"/>
      <c r="J89" s="8"/>
      <c r="K89" s="8"/>
      <c r="L89" s="8"/>
      <c r="M89" s="8"/>
      <c r="N89" s="10"/>
      <c r="O89" s="10"/>
      <c r="P89" s="8"/>
      <c r="Q89" s="10"/>
      <c r="R89" s="14" t="str">
        <f t="shared" si="1"/>
        <v/>
      </c>
      <c r="S89" s="14" t="str">
        <f>IF(A89="","",MAX(0,G89-SUMIFS('Fabric Receiving'!$H$5:$H$304,'Fabric Receiving'!$C$5:$C$304,A89)))</f>
        <v/>
      </c>
      <c r="T89" s="8"/>
      <c r="U89" s="10"/>
      <c r="V89" s="8"/>
    </row>
    <row r="90" spans="1:22">
      <c r="A90" s="8"/>
      <c r="B90" s="8"/>
      <c r="C90" s="8"/>
      <c r="D90" s="8"/>
      <c r="E90" s="8"/>
      <c r="F90" s="13"/>
      <c r="G90" s="13"/>
      <c r="H90" s="8"/>
      <c r="I90" s="13"/>
      <c r="J90" s="8"/>
      <c r="K90" s="8"/>
      <c r="L90" s="8"/>
      <c r="M90" s="8"/>
      <c r="N90" s="10"/>
      <c r="O90" s="10"/>
      <c r="P90" s="8"/>
      <c r="Q90" s="10"/>
      <c r="R90" s="14" t="str">
        <f t="shared" si="1"/>
        <v/>
      </c>
      <c r="S90" s="14" t="str">
        <f>IF(A90="","",MAX(0,G90-SUMIFS('Fabric Receiving'!$H$5:$H$304,'Fabric Receiving'!$C$5:$C$304,A90)))</f>
        <v/>
      </c>
      <c r="T90" s="8"/>
      <c r="U90" s="10"/>
      <c r="V90" s="8"/>
    </row>
    <row r="91" spans="1:22">
      <c r="A91" s="8"/>
      <c r="B91" s="8"/>
      <c r="C91" s="8"/>
      <c r="D91" s="8"/>
      <c r="E91" s="8"/>
      <c r="F91" s="13"/>
      <c r="G91" s="13"/>
      <c r="H91" s="8"/>
      <c r="I91" s="13"/>
      <c r="J91" s="8"/>
      <c r="K91" s="8"/>
      <c r="L91" s="8"/>
      <c r="M91" s="8"/>
      <c r="N91" s="10"/>
      <c r="O91" s="10"/>
      <c r="P91" s="8"/>
      <c r="Q91" s="10"/>
      <c r="R91" s="14" t="str">
        <f t="shared" si="1"/>
        <v/>
      </c>
      <c r="S91" s="14" t="str">
        <f>IF(A91="","",MAX(0,G91-SUMIFS('Fabric Receiving'!$H$5:$H$304,'Fabric Receiving'!$C$5:$C$304,A91)))</f>
        <v/>
      </c>
      <c r="T91" s="8"/>
      <c r="U91" s="10"/>
      <c r="V91" s="8"/>
    </row>
    <row r="92" spans="1:22">
      <c r="A92" s="8"/>
      <c r="B92" s="8"/>
      <c r="C92" s="8"/>
      <c r="D92" s="8"/>
      <c r="E92" s="8"/>
      <c r="F92" s="13"/>
      <c r="G92" s="13"/>
      <c r="H92" s="8"/>
      <c r="I92" s="13"/>
      <c r="J92" s="8"/>
      <c r="K92" s="8"/>
      <c r="L92" s="8"/>
      <c r="M92" s="8"/>
      <c r="N92" s="10"/>
      <c r="O92" s="10"/>
      <c r="P92" s="8"/>
      <c r="Q92" s="10"/>
      <c r="R92" s="14" t="str">
        <f t="shared" si="1"/>
        <v/>
      </c>
      <c r="S92" s="14" t="str">
        <f>IF(A92="","",MAX(0,G92-SUMIFS('Fabric Receiving'!$H$5:$H$304,'Fabric Receiving'!$C$5:$C$304,A92)))</f>
        <v/>
      </c>
      <c r="T92" s="8"/>
      <c r="U92" s="10"/>
      <c r="V92" s="8"/>
    </row>
    <row r="93" spans="1:22">
      <c r="A93" s="8"/>
      <c r="B93" s="8"/>
      <c r="C93" s="8"/>
      <c r="D93" s="8"/>
      <c r="E93" s="8"/>
      <c r="F93" s="13"/>
      <c r="G93" s="13"/>
      <c r="H93" s="8"/>
      <c r="I93" s="13"/>
      <c r="J93" s="8"/>
      <c r="K93" s="8"/>
      <c r="L93" s="8"/>
      <c r="M93" s="8"/>
      <c r="N93" s="10"/>
      <c r="O93" s="10"/>
      <c r="P93" s="8"/>
      <c r="Q93" s="10"/>
      <c r="R93" s="14" t="str">
        <f t="shared" si="1"/>
        <v/>
      </c>
      <c r="S93" s="14" t="str">
        <f>IF(A93="","",MAX(0,G93-SUMIFS('Fabric Receiving'!$H$5:$H$304,'Fabric Receiving'!$C$5:$C$304,A93)))</f>
        <v/>
      </c>
      <c r="T93" s="8"/>
      <c r="U93" s="10"/>
      <c r="V93" s="8"/>
    </row>
    <row r="94" spans="1:22">
      <c r="A94" s="8"/>
      <c r="B94" s="8"/>
      <c r="C94" s="8"/>
      <c r="D94" s="8"/>
      <c r="E94" s="8"/>
      <c r="F94" s="13"/>
      <c r="G94" s="13"/>
      <c r="H94" s="8"/>
      <c r="I94" s="13"/>
      <c r="J94" s="8"/>
      <c r="K94" s="8"/>
      <c r="L94" s="8"/>
      <c r="M94" s="8"/>
      <c r="N94" s="10"/>
      <c r="O94" s="10"/>
      <c r="P94" s="8"/>
      <c r="Q94" s="10"/>
      <c r="R94" s="14" t="str">
        <f t="shared" si="1"/>
        <v/>
      </c>
      <c r="S94" s="14" t="str">
        <f>IF(A94="","",MAX(0,G94-SUMIFS('Fabric Receiving'!$H$5:$H$304,'Fabric Receiving'!$C$5:$C$304,A94)))</f>
        <v/>
      </c>
      <c r="T94" s="8"/>
      <c r="U94" s="10"/>
      <c r="V94" s="8"/>
    </row>
    <row r="95" spans="1:22">
      <c r="A95" s="8"/>
      <c r="B95" s="8"/>
      <c r="C95" s="8"/>
      <c r="D95" s="8"/>
      <c r="E95" s="8"/>
      <c r="F95" s="13"/>
      <c r="G95" s="13"/>
      <c r="H95" s="8"/>
      <c r="I95" s="13"/>
      <c r="J95" s="8"/>
      <c r="K95" s="8"/>
      <c r="L95" s="8"/>
      <c r="M95" s="8"/>
      <c r="N95" s="10"/>
      <c r="O95" s="10"/>
      <c r="P95" s="8"/>
      <c r="Q95" s="10"/>
      <c r="R95" s="14" t="str">
        <f t="shared" si="1"/>
        <v/>
      </c>
      <c r="S95" s="14" t="str">
        <f>IF(A95="","",MAX(0,G95-SUMIFS('Fabric Receiving'!$H$5:$H$304,'Fabric Receiving'!$C$5:$C$304,A95)))</f>
        <v/>
      </c>
      <c r="T95" s="8"/>
      <c r="U95" s="10"/>
      <c r="V95" s="8"/>
    </row>
    <row r="96" spans="1:22">
      <c r="A96" s="8"/>
      <c r="B96" s="8"/>
      <c r="C96" s="8"/>
      <c r="D96" s="8"/>
      <c r="E96" s="8"/>
      <c r="F96" s="13"/>
      <c r="G96" s="13"/>
      <c r="H96" s="8"/>
      <c r="I96" s="13"/>
      <c r="J96" s="8"/>
      <c r="K96" s="8"/>
      <c r="L96" s="8"/>
      <c r="M96" s="8"/>
      <c r="N96" s="10"/>
      <c r="O96" s="10"/>
      <c r="P96" s="8"/>
      <c r="Q96" s="10"/>
      <c r="R96" s="14" t="str">
        <f t="shared" si="1"/>
        <v/>
      </c>
      <c r="S96" s="14" t="str">
        <f>IF(A96="","",MAX(0,G96-SUMIFS('Fabric Receiving'!$H$5:$H$304,'Fabric Receiving'!$C$5:$C$304,A96)))</f>
        <v/>
      </c>
      <c r="T96" s="8"/>
      <c r="U96" s="10"/>
      <c r="V96" s="8"/>
    </row>
    <row r="97" spans="1:22">
      <c r="A97" s="8"/>
      <c r="B97" s="8"/>
      <c r="C97" s="8"/>
      <c r="D97" s="8"/>
      <c r="E97" s="8"/>
      <c r="F97" s="13"/>
      <c r="G97" s="13"/>
      <c r="H97" s="8"/>
      <c r="I97" s="13"/>
      <c r="J97" s="8"/>
      <c r="K97" s="8"/>
      <c r="L97" s="8"/>
      <c r="M97" s="8"/>
      <c r="N97" s="10"/>
      <c r="O97" s="10"/>
      <c r="P97" s="8"/>
      <c r="Q97" s="10"/>
      <c r="R97" s="14" t="str">
        <f t="shared" si="1"/>
        <v/>
      </c>
      <c r="S97" s="14" t="str">
        <f>IF(A97="","",MAX(0,G97-SUMIFS('Fabric Receiving'!$H$5:$H$304,'Fabric Receiving'!$C$5:$C$304,A97)))</f>
        <v/>
      </c>
      <c r="T97" s="8"/>
      <c r="U97" s="10"/>
      <c r="V97" s="8"/>
    </row>
    <row r="98" spans="1:22">
      <c r="A98" s="8"/>
      <c r="B98" s="8"/>
      <c r="C98" s="8"/>
      <c r="D98" s="8"/>
      <c r="E98" s="8"/>
      <c r="F98" s="13"/>
      <c r="G98" s="13"/>
      <c r="H98" s="8"/>
      <c r="I98" s="13"/>
      <c r="J98" s="8"/>
      <c r="K98" s="8"/>
      <c r="L98" s="8"/>
      <c r="M98" s="8"/>
      <c r="N98" s="10"/>
      <c r="O98" s="10"/>
      <c r="P98" s="8"/>
      <c r="Q98" s="10"/>
      <c r="R98" s="14" t="str">
        <f t="shared" si="1"/>
        <v/>
      </c>
      <c r="S98" s="14" t="str">
        <f>IF(A98="","",MAX(0,G98-SUMIFS('Fabric Receiving'!$H$5:$H$304,'Fabric Receiving'!$C$5:$C$304,A98)))</f>
        <v/>
      </c>
      <c r="T98" s="8"/>
      <c r="U98" s="10"/>
      <c r="V98" s="8"/>
    </row>
    <row r="99" spans="1:22">
      <c r="A99" s="8"/>
      <c r="B99" s="8"/>
      <c r="C99" s="8"/>
      <c r="D99" s="8"/>
      <c r="E99" s="8"/>
      <c r="F99" s="13"/>
      <c r="G99" s="13"/>
      <c r="H99" s="8"/>
      <c r="I99" s="13"/>
      <c r="J99" s="8"/>
      <c r="K99" s="8"/>
      <c r="L99" s="8"/>
      <c r="M99" s="8"/>
      <c r="N99" s="10"/>
      <c r="O99" s="10"/>
      <c r="P99" s="8"/>
      <c r="Q99" s="10"/>
      <c r="R99" s="14" t="str">
        <f t="shared" si="1"/>
        <v/>
      </c>
      <c r="S99" s="14" t="str">
        <f>IF(A99="","",MAX(0,G99-SUMIFS('Fabric Receiving'!$H$5:$H$304,'Fabric Receiving'!$C$5:$C$304,A99)))</f>
        <v/>
      </c>
      <c r="T99" s="8"/>
      <c r="U99" s="10"/>
      <c r="V99" s="8"/>
    </row>
    <row r="100" spans="1:22">
      <c r="A100" s="8"/>
      <c r="B100" s="8"/>
      <c r="C100" s="8"/>
      <c r="D100" s="8"/>
      <c r="E100" s="8"/>
      <c r="F100" s="13"/>
      <c r="G100" s="13"/>
      <c r="H100" s="8"/>
      <c r="I100" s="13"/>
      <c r="J100" s="8"/>
      <c r="K100" s="8"/>
      <c r="L100" s="8"/>
      <c r="M100" s="8"/>
      <c r="N100" s="10"/>
      <c r="O100" s="10"/>
      <c r="P100" s="8"/>
      <c r="Q100" s="10"/>
      <c r="R100" s="14" t="str">
        <f t="shared" si="1"/>
        <v/>
      </c>
      <c r="S100" s="14" t="str">
        <f>IF(A100="","",MAX(0,G100-SUMIFS('Fabric Receiving'!$H$5:$H$304,'Fabric Receiving'!$C$5:$C$304,A100)))</f>
        <v/>
      </c>
      <c r="T100" s="8"/>
      <c r="U100" s="10"/>
      <c r="V100" s="8"/>
    </row>
    <row r="101" spans="1:22">
      <c r="A101" s="8"/>
      <c r="B101" s="8"/>
      <c r="C101" s="8"/>
      <c r="D101" s="8"/>
      <c r="E101" s="8"/>
      <c r="F101" s="13"/>
      <c r="G101" s="13"/>
      <c r="H101" s="8"/>
      <c r="I101" s="13"/>
      <c r="J101" s="8"/>
      <c r="K101" s="8"/>
      <c r="L101" s="8"/>
      <c r="M101" s="8"/>
      <c r="N101" s="10"/>
      <c r="O101" s="10"/>
      <c r="P101" s="8"/>
      <c r="Q101" s="10"/>
      <c r="R101" s="14" t="str">
        <f t="shared" si="1"/>
        <v/>
      </c>
      <c r="S101" s="14" t="str">
        <f>IF(A101="","",MAX(0,G101-SUMIFS('Fabric Receiving'!$H$5:$H$304,'Fabric Receiving'!$C$5:$C$304,A101)))</f>
        <v/>
      </c>
      <c r="T101" s="8"/>
      <c r="U101" s="10"/>
      <c r="V101" s="8"/>
    </row>
    <row r="102" spans="1:22">
      <c r="A102" s="8"/>
      <c r="B102" s="8"/>
      <c r="C102" s="8"/>
      <c r="D102" s="8"/>
      <c r="E102" s="8"/>
      <c r="F102" s="13"/>
      <c r="G102" s="13"/>
      <c r="H102" s="8"/>
      <c r="I102" s="13"/>
      <c r="J102" s="8"/>
      <c r="K102" s="8"/>
      <c r="L102" s="8"/>
      <c r="M102" s="8"/>
      <c r="N102" s="10"/>
      <c r="O102" s="10"/>
      <c r="P102" s="8"/>
      <c r="Q102" s="10"/>
      <c r="R102" s="14" t="str">
        <f t="shared" si="1"/>
        <v/>
      </c>
      <c r="S102" s="14" t="str">
        <f>IF(A102="","",MAX(0,G102-SUMIFS('Fabric Receiving'!$H$5:$H$304,'Fabric Receiving'!$C$5:$C$304,A102)))</f>
        <v/>
      </c>
      <c r="T102" s="8"/>
      <c r="U102" s="10"/>
      <c r="V102" s="8"/>
    </row>
    <row r="103" spans="1:22">
      <c r="A103" s="8"/>
      <c r="B103" s="8"/>
      <c r="C103" s="8"/>
      <c r="D103" s="8"/>
      <c r="E103" s="8"/>
      <c r="F103" s="13"/>
      <c r="G103" s="13"/>
      <c r="H103" s="8"/>
      <c r="I103" s="13"/>
      <c r="J103" s="8"/>
      <c r="K103" s="8"/>
      <c r="L103" s="8"/>
      <c r="M103" s="8"/>
      <c r="N103" s="10"/>
      <c r="O103" s="10"/>
      <c r="P103" s="8"/>
      <c r="Q103" s="10"/>
      <c r="R103" s="14" t="str">
        <f t="shared" si="1"/>
        <v/>
      </c>
      <c r="S103" s="14" t="str">
        <f>IF(A103="","",MAX(0,G103-SUMIFS('Fabric Receiving'!$H$5:$H$304,'Fabric Receiving'!$C$5:$C$304,A103)))</f>
        <v/>
      </c>
      <c r="T103" s="8"/>
      <c r="U103" s="10"/>
      <c r="V103" s="8"/>
    </row>
    <row r="104" spans="1:22">
      <c r="A104" s="8"/>
      <c r="B104" s="8"/>
      <c r="C104" s="8"/>
      <c r="D104" s="8"/>
      <c r="E104" s="8"/>
      <c r="F104" s="13"/>
      <c r="G104" s="13"/>
      <c r="H104" s="8"/>
      <c r="I104" s="13"/>
      <c r="J104" s="8"/>
      <c r="K104" s="8"/>
      <c r="L104" s="8"/>
      <c r="M104" s="8"/>
      <c r="N104" s="10"/>
      <c r="O104" s="10"/>
      <c r="P104" s="8"/>
      <c r="Q104" s="10"/>
      <c r="R104" s="14" t="str">
        <f t="shared" si="1"/>
        <v/>
      </c>
      <c r="S104" s="14" t="str">
        <f>IF(A104="","",MAX(0,G104-SUMIFS('Fabric Receiving'!$H$5:$H$304,'Fabric Receiving'!$C$5:$C$304,A104)))</f>
        <v/>
      </c>
      <c r="T104" s="8"/>
      <c r="U104" s="10"/>
      <c r="V104" s="8"/>
    </row>
    <row r="105" spans="1:22">
      <c r="A105" s="8"/>
      <c r="B105" s="8"/>
      <c r="C105" s="8"/>
      <c r="D105" s="8"/>
      <c r="E105" s="8"/>
      <c r="F105" s="13"/>
      <c r="G105" s="13"/>
      <c r="H105" s="8"/>
      <c r="I105" s="13"/>
      <c r="J105" s="8"/>
      <c r="K105" s="8"/>
      <c r="L105" s="8"/>
      <c r="M105" s="8"/>
      <c r="N105" s="10"/>
      <c r="O105" s="10"/>
      <c r="P105" s="8"/>
      <c r="Q105" s="10"/>
      <c r="R105" s="14" t="str">
        <f t="shared" si="1"/>
        <v/>
      </c>
      <c r="S105" s="14" t="str">
        <f>IF(A105="","",MAX(0,G105-SUMIFS('Fabric Receiving'!$H$5:$H$304,'Fabric Receiving'!$C$5:$C$304,A105)))</f>
        <v/>
      </c>
      <c r="T105" s="8"/>
      <c r="U105" s="10"/>
      <c r="V105" s="8"/>
    </row>
    <row r="106" spans="1:22">
      <c r="A106" s="8"/>
      <c r="B106" s="8"/>
      <c r="C106" s="8"/>
      <c r="D106" s="8"/>
      <c r="E106" s="8"/>
      <c r="F106" s="13"/>
      <c r="G106" s="13"/>
      <c r="H106" s="8"/>
      <c r="I106" s="13"/>
      <c r="J106" s="8"/>
      <c r="K106" s="8"/>
      <c r="L106" s="8"/>
      <c r="M106" s="8"/>
      <c r="N106" s="10"/>
      <c r="O106" s="10"/>
      <c r="P106" s="8"/>
      <c r="Q106" s="10"/>
      <c r="R106" s="14" t="str">
        <f t="shared" si="1"/>
        <v/>
      </c>
      <c r="S106" s="14" t="str">
        <f>IF(A106="","",MAX(0,G106-SUMIFS('Fabric Receiving'!$H$5:$H$304,'Fabric Receiving'!$C$5:$C$304,A106)))</f>
        <v/>
      </c>
      <c r="T106" s="8"/>
      <c r="U106" s="10"/>
      <c r="V106" s="8"/>
    </row>
    <row r="107" spans="1:22">
      <c r="A107" s="8"/>
      <c r="B107" s="8"/>
      <c r="C107" s="8"/>
      <c r="D107" s="8"/>
      <c r="E107" s="8"/>
      <c r="F107" s="13"/>
      <c r="G107" s="13"/>
      <c r="H107" s="8"/>
      <c r="I107" s="13"/>
      <c r="J107" s="8"/>
      <c r="K107" s="8"/>
      <c r="L107" s="8"/>
      <c r="M107" s="8"/>
      <c r="N107" s="10"/>
      <c r="O107" s="10"/>
      <c r="P107" s="8"/>
      <c r="Q107" s="10"/>
      <c r="R107" s="14" t="str">
        <f t="shared" si="1"/>
        <v/>
      </c>
      <c r="S107" s="14" t="str">
        <f>IF(A107="","",MAX(0,G107-SUMIFS('Fabric Receiving'!$H$5:$H$304,'Fabric Receiving'!$C$5:$C$304,A107)))</f>
        <v/>
      </c>
      <c r="T107" s="8"/>
      <c r="U107" s="10"/>
      <c r="V107" s="8"/>
    </row>
    <row r="108" spans="1:22">
      <c r="A108" s="8"/>
      <c r="B108" s="8"/>
      <c r="C108" s="8"/>
      <c r="D108" s="8"/>
      <c r="E108" s="8"/>
      <c r="F108" s="13"/>
      <c r="G108" s="13"/>
      <c r="H108" s="8"/>
      <c r="I108" s="13"/>
      <c r="J108" s="8"/>
      <c r="K108" s="8"/>
      <c r="L108" s="8"/>
      <c r="M108" s="8"/>
      <c r="N108" s="10"/>
      <c r="O108" s="10"/>
      <c r="P108" s="8"/>
      <c r="Q108" s="10"/>
      <c r="R108" s="14" t="str">
        <f t="shared" si="1"/>
        <v/>
      </c>
      <c r="S108" s="14" t="str">
        <f>IF(A108="","",MAX(0,G108-SUMIFS('Fabric Receiving'!$H$5:$H$304,'Fabric Receiving'!$C$5:$C$304,A108)))</f>
        <v/>
      </c>
      <c r="T108" s="8"/>
      <c r="U108" s="10"/>
      <c r="V108" s="8"/>
    </row>
    <row r="109" spans="1:22">
      <c r="A109" s="8"/>
      <c r="B109" s="8"/>
      <c r="C109" s="8"/>
      <c r="D109" s="8"/>
      <c r="E109" s="8"/>
      <c r="F109" s="13"/>
      <c r="G109" s="13"/>
      <c r="H109" s="8"/>
      <c r="I109" s="13"/>
      <c r="J109" s="8"/>
      <c r="K109" s="8"/>
      <c r="L109" s="8"/>
      <c r="M109" s="8"/>
      <c r="N109" s="10"/>
      <c r="O109" s="10"/>
      <c r="P109" s="8"/>
      <c r="Q109" s="10"/>
      <c r="R109" s="14" t="str">
        <f t="shared" si="1"/>
        <v/>
      </c>
      <c r="S109" s="14" t="str">
        <f>IF(A109="","",MAX(0,G109-SUMIFS('Fabric Receiving'!$H$5:$H$304,'Fabric Receiving'!$C$5:$C$304,A109)))</f>
        <v/>
      </c>
      <c r="T109" s="8"/>
      <c r="U109" s="10"/>
      <c r="V109" s="8"/>
    </row>
    <row r="110" spans="1:22">
      <c r="A110" s="8"/>
      <c r="B110" s="8"/>
      <c r="C110" s="8"/>
      <c r="D110" s="8"/>
      <c r="E110" s="8"/>
      <c r="F110" s="13"/>
      <c r="G110" s="13"/>
      <c r="H110" s="8"/>
      <c r="I110" s="13"/>
      <c r="J110" s="8"/>
      <c r="K110" s="8"/>
      <c r="L110" s="8"/>
      <c r="M110" s="8"/>
      <c r="N110" s="10"/>
      <c r="O110" s="10"/>
      <c r="P110" s="8"/>
      <c r="Q110" s="10"/>
      <c r="R110" s="14" t="str">
        <f t="shared" si="1"/>
        <v/>
      </c>
      <c r="S110" s="14" t="str">
        <f>IF(A110="","",MAX(0,G110-SUMIFS('Fabric Receiving'!$H$5:$H$304,'Fabric Receiving'!$C$5:$C$304,A110)))</f>
        <v/>
      </c>
      <c r="T110" s="8"/>
      <c r="U110" s="10"/>
      <c r="V110" s="8"/>
    </row>
    <row r="111" spans="1:22">
      <c r="A111" s="8"/>
      <c r="B111" s="8"/>
      <c r="C111" s="8"/>
      <c r="D111" s="8"/>
      <c r="E111" s="8"/>
      <c r="F111" s="13"/>
      <c r="G111" s="13"/>
      <c r="H111" s="8"/>
      <c r="I111" s="13"/>
      <c r="J111" s="8"/>
      <c r="K111" s="8"/>
      <c r="L111" s="8"/>
      <c r="M111" s="8"/>
      <c r="N111" s="10"/>
      <c r="O111" s="10"/>
      <c r="P111" s="8"/>
      <c r="Q111" s="10"/>
      <c r="R111" s="14" t="str">
        <f t="shared" si="1"/>
        <v/>
      </c>
      <c r="S111" s="14" t="str">
        <f>IF(A111="","",MAX(0,G111-SUMIFS('Fabric Receiving'!$H$5:$H$304,'Fabric Receiving'!$C$5:$C$304,A111)))</f>
        <v/>
      </c>
      <c r="T111" s="8"/>
      <c r="U111" s="10"/>
      <c r="V111" s="8"/>
    </row>
    <row r="112" spans="1:22">
      <c r="A112" s="8"/>
      <c r="B112" s="8"/>
      <c r="C112" s="8"/>
      <c r="D112" s="8"/>
      <c r="E112" s="8"/>
      <c r="F112" s="13"/>
      <c r="G112" s="13"/>
      <c r="H112" s="8"/>
      <c r="I112" s="13"/>
      <c r="J112" s="8"/>
      <c r="K112" s="8"/>
      <c r="L112" s="8"/>
      <c r="M112" s="8"/>
      <c r="N112" s="10"/>
      <c r="O112" s="10"/>
      <c r="P112" s="8"/>
      <c r="Q112" s="10"/>
      <c r="R112" s="14" t="str">
        <f t="shared" si="1"/>
        <v/>
      </c>
      <c r="S112" s="14" t="str">
        <f>IF(A112="","",MAX(0,G112-SUMIFS('Fabric Receiving'!$H$5:$H$304,'Fabric Receiving'!$C$5:$C$304,A112)))</f>
        <v/>
      </c>
      <c r="T112" s="8"/>
      <c r="U112" s="10"/>
      <c r="V112" s="8"/>
    </row>
    <row r="113" spans="1:22">
      <c r="A113" s="8"/>
      <c r="B113" s="8"/>
      <c r="C113" s="8"/>
      <c r="D113" s="8"/>
      <c r="E113" s="8"/>
      <c r="F113" s="13"/>
      <c r="G113" s="13"/>
      <c r="H113" s="8"/>
      <c r="I113" s="13"/>
      <c r="J113" s="8"/>
      <c r="K113" s="8"/>
      <c r="L113" s="8"/>
      <c r="M113" s="8"/>
      <c r="N113" s="10"/>
      <c r="O113" s="10"/>
      <c r="P113" s="8"/>
      <c r="Q113" s="10"/>
      <c r="R113" s="14" t="str">
        <f t="shared" si="1"/>
        <v/>
      </c>
      <c r="S113" s="14" t="str">
        <f>IF(A113="","",MAX(0,G113-SUMIFS('Fabric Receiving'!$H$5:$H$304,'Fabric Receiving'!$C$5:$C$304,A113)))</f>
        <v/>
      </c>
      <c r="T113" s="8"/>
      <c r="U113" s="10"/>
      <c r="V113" s="8"/>
    </row>
    <row r="114" spans="1:22">
      <c r="A114" s="8"/>
      <c r="B114" s="8"/>
      <c r="C114" s="8"/>
      <c r="D114" s="8"/>
      <c r="E114" s="8"/>
      <c r="F114" s="13"/>
      <c r="G114" s="13"/>
      <c r="H114" s="8"/>
      <c r="I114" s="13"/>
      <c r="J114" s="8"/>
      <c r="K114" s="8"/>
      <c r="L114" s="8"/>
      <c r="M114" s="8"/>
      <c r="N114" s="10"/>
      <c r="O114" s="10"/>
      <c r="P114" s="8"/>
      <c r="Q114" s="10"/>
      <c r="R114" s="14" t="str">
        <f t="shared" si="1"/>
        <v/>
      </c>
      <c r="S114" s="14" t="str">
        <f>IF(A114="","",MAX(0,G114-SUMIFS('Fabric Receiving'!$H$5:$H$304,'Fabric Receiving'!$C$5:$C$304,A114)))</f>
        <v/>
      </c>
      <c r="T114" s="8"/>
      <c r="U114" s="10"/>
      <c r="V114" s="8"/>
    </row>
    <row r="115" spans="1:22">
      <c r="A115" s="8"/>
      <c r="B115" s="8"/>
      <c r="C115" s="8"/>
      <c r="D115" s="8"/>
      <c r="E115" s="8"/>
      <c r="F115" s="13"/>
      <c r="G115" s="13"/>
      <c r="H115" s="8"/>
      <c r="I115" s="13"/>
      <c r="J115" s="8"/>
      <c r="K115" s="8"/>
      <c r="L115" s="8"/>
      <c r="M115" s="8"/>
      <c r="N115" s="10"/>
      <c r="O115" s="10"/>
      <c r="P115" s="8"/>
      <c r="Q115" s="10"/>
      <c r="R115" s="14" t="str">
        <f t="shared" si="1"/>
        <v/>
      </c>
      <c r="S115" s="14" t="str">
        <f>IF(A115="","",MAX(0,G115-SUMIFS('Fabric Receiving'!$H$5:$H$304,'Fabric Receiving'!$C$5:$C$304,A115)))</f>
        <v/>
      </c>
      <c r="T115" s="8"/>
      <c r="U115" s="10"/>
      <c r="V115" s="8"/>
    </row>
    <row r="116" spans="1:22">
      <c r="A116" s="8"/>
      <c r="B116" s="8"/>
      <c r="C116" s="8"/>
      <c r="D116" s="8"/>
      <c r="E116" s="8"/>
      <c r="F116" s="13"/>
      <c r="G116" s="13"/>
      <c r="H116" s="8"/>
      <c r="I116" s="13"/>
      <c r="J116" s="8"/>
      <c r="K116" s="8"/>
      <c r="L116" s="8"/>
      <c r="M116" s="8"/>
      <c r="N116" s="10"/>
      <c r="O116" s="10"/>
      <c r="P116" s="8"/>
      <c r="Q116" s="10"/>
      <c r="R116" s="14" t="str">
        <f t="shared" si="1"/>
        <v/>
      </c>
      <c r="S116" s="14" t="str">
        <f>IF(A116="","",MAX(0,G116-SUMIFS('Fabric Receiving'!$H$5:$H$304,'Fabric Receiving'!$C$5:$C$304,A116)))</f>
        <v/>
      </c>
      <c r="T116" s="8"/>
      <c r="U116" s="10"/>
      <c r="V116" s="8"/>
    </row>
    <row r="117" spans="1:22">
      <c r="A117" s="8"/>
      <c r="B117" s="8"/>
      <c r="C117" s="8"/>
      <c r="D117" s="8"/>
      <c r="E117" s="8"/>
      <c r="F117" s="13"/>
      <c r="G117" s="13"/>
      <c r="H117" s="8"/>
      <c r="I117" s="13"/>
      <c r="J117" s="8"/>
      <c r="K117" s="8"/>
      <c r="L117" s="8"/>
      <c r="M117" s="8"/>
      <c r="N117" s="10"/>
      <c r="O117" s="10"/>
      <c r="P117" s="8"/>
      <c r="Q117" s="10"/>
      <c r="R117" s="14" t="str">
        <f t="shared" si="1"/>
        <v/>
      </c>
      <c r="S117" s="14" t="str">
        <f>IF(A117="","",MAX(0,G117-SUMIFS('Fabric Receiving'!$H$5:$H$304,'Fabric Receiving'!$C$5:$C$304,A117)))</f>
        <v/>
      </c>
      <c r="T117" s="8"/>
      <c r="U117" s="10"/>
      <c r="V117" s="8"/>
    </row>
    <row r="118" spans="1:22">
      <c r="A118" s="8"/>
      <c r="B118" s="8"/>
      <c r="C118" s="8"/>
      <c r="D118" s="8"/>
      <c r="E118" s="8"/>
      <c r="F118" s="13"/>
      <c r="G118" s="13"/>
      <c r="H118" s="8"/>
      <c r="I118" s="13"/>
      <c r="J118" s="8"/>
      <c r="K118" s="8"/>
      <c r="L118" s="8"/>
      <c r="M118" s="8"/>
      <c r="N118" s="10"/>
      <c r="O118" s="10"/>
      <c r="P118" s="8"/>
      <c r="Q118" s="10"/>
      <c r="R118" s="14" t="str">
        <f t="shared" si="1"/>
        <v/>
      </c>
      <c r="S118" s="14" t="str">
        <f>IF(A118="","",MAX(0,G118-SUMIFS('Fabric Receiving'!$H$5:$H$304,'Fabric Receiving'!$C$5:$C$304,A118)))</f>
        <v/>
      </c>
      <c r="T118" s="8"/>
      <c r="U118" s="10"/>
      <c r="V118" s="8"/>
    </row>
    <row r="119" spans="1:22">
      <c r="A119" s="8"/>
      <c r="B119" s="8"/>
      <c r="C119" s="8"/>
      <c r="D119" s="8"/>
      <c r="E119" s="8"/>
      <c r="F119" s="13"/>
      <c r="G119" s="13"/>
      <c r="H119" s="8"/>
      <c r="I119" s="13"/>
      <c r="J119" s="8"/>
      <c r="K119" s="8"/>
      <c r="L119" s="8"/>
      <c r="M119" s="8"/>
      <c r="N119" s="10"/>
      <c r="O119" s="10"/>
      <c r="P119" s="8"/>
      <c r="Q119" s="10"/>
      <c r="R119" s="14" t="str">
        <f t="shared" si="1"/>
        <v/>
      </c>
      <c r="S119" s="14" t="str">
        <f>IF(A119="","",MAX(0,G119-SUMIFS('Fabric Receiving'!$H$5:$H$304,'Fabric Receiving'!$C$5:$C$304,A119)))</f>
        <v/>
      </c>
      <c r="T119" s="8"/>
      <c r="U119" s="10"/>
      <c r="V119" s="8"/>
    </row>
    <row r="120" spans="1:22">
      <c r="A120" s="8"/>
      <c r="B120" s="8"/>
      <c r="C120" s="8"/>
      <c r="D120" s="8"/>
      <c r="E120" s="8"/>
      <c r="F120" s="13"/>
      <c r="G120" s="13"/>
      <c r="H120" s="8"/>
      <c r="I120" s="13"/>
      <c r="J120" s="8"/>
      <c r="K120" s="8"/>
      <c r="L120" s="8"/>
      <c r="M120" s="8"/>
      <c r="N120" s="10"/>
      <c r="O120" s="10"/>
      <c r="P120" s="8"/>
      <c r="Q120" s="10"/>
      <c r="R120" s="14" t="str">
        <f t="shared" si="1"/>
        <v/>
      </c>
      <c r="S120" s="14" t="str">
        <f>IF(A120="","",MAX(0,G120-SUMIFS('Fabric Receiving'!$H$5:$H$304,'Fabric Receiving'!$C$5:$C$304,A120)))</f>
        <v/>
      </c>
      <c r="T120" s="8"/>
      <c r="U120" s="10"/>
      <c r="V120" s="8"/>
    </row>
    <row r="121" spans="1:22">
      <c r="A121" s="8"/>
      <c r="B121" s="8"/>
      <c r="C121" s="8"/>
      <c r="D121" s="8"/>
      <c r="E121" s="8"/>
      <c r="F121" s="13"/>
      <c r="G121" s="13"/>
      <c r="H121" s="8"/>
      <c r="I121" s="13"/>
      <c r="J121" s="8"/>
      <c r="K121" s="8"/>
      <c r="L121" s="8"/>
      <c r="M121" s="8"/>
      <c r="N121" s="10"/>
      <c r="O121" s="10"/>
      <c r="P121" s="8"/>
      <c r="Q121" s="10"/>
      <c r="R121" s="14" t="str">
        <f t="shared" si="1"/>
        <v/>
      </c>
      <c r="S121" s="14" t="str">
        <f>IF(A121="","",MAX(0,G121-SUMIFS('Fabric Receiving'!$H$5:$H$304,'Fabric Receiving'!$C$5:$C$304,A121)))</f>
        <v/>
      </c>
      <c r="T121" s="8"/>
      <c r="U121" s="10"/>
      <c r="V121" s="8"/>
    </row>
    <row r="122" spans="1:22">
      <c r="A122" s="8"/>
      <c r="B122" s="8"/>
      <c r="C122" s="8"/>
      <c r="D122" s="8"/>
      <c r="E122" s="8"/>
      <c r="F122" s="13"/>
      <c r="G122" s="13"/>
      <c r="H122" s="8"/>
      <c r="I122" s="13"/>
      <c r="J122" s="8"/>
      <c r="K122" s="8"/>
      <c r="L122" s="8"/>
      <c r="M122" s="8"/>
      <c r="N122" s="10"/>
      <c r="O122" s="10"/>
      <c r="P122" s="8"/>
      <c r="Q122" s="10"/>
      <c r="R122" s="14" t="str">
        <f t="shared" si="1"/>
        <v/>
      </c>
      <c r="S122" s="14" t="str">
        <f>IF(A122="","",MAX(0,G122-SUMIFS('Fabric Receiving'!$H$5:$H$304,'Fabric Receiving'!$C$5:$C$304,A122)))</f>
        <v/>
      </c>
      <c r="T122" s="8"/>
      <c r="U122" s="10"/>
      <c r="V122" s="8"/>
    </row>
    <row r="123" spans="1:22">
      <c r="A123" s="8"/>
      <c r="B123" s="8"/>
      <c r="C123" s="8"/>
      <c r="D123" s="8"/>
      <c r="E123" s="8"/>
      <c r="F123" s="13"/>
      <c r="G123" s="13"/>
      <c r="H123" s="8"/>
      <c r="I123" s="13"/>
      <c r="J123" s="8"/>
      <c r="K123" s="8"/>
      <c r="L123" s="8"/>
      <c r="M123" s="8"/>
      <c r="N123" s="10"/>
      <c r="O123" s="10"/>
      <c r="P123" s="8"/>
      <c r="Q123" s="10"/>
      <c r="R123" s="14" t="str">
        <f t="shared" si="1"/>
        <v/>
      </c>
      <c r="S123" s="14" t="str">
        <f>IF(A123="","",MAX(0,G123-SUMIFS('Fabric Receiving'!$H$5:$H$304,'Fabric Receiving'!$C$5:$C$304,A123)))</f>
        <v/>
      </c>
      <c r="T123" s="8"/>
      <c r="U123" s="10"/>
      <c r="V123" s="8"/>
    </row>
    <row r="124" spans="1:22">
      <c r="A124" s="8"/>
      <c r="B124" s="8"/>
      <c r="C124" s="8"/>
      <c r="D124" s="8"/>
      <c r="E124" s="8"/>
      <c r="F124" s="13"/>
      <c r="G124" s="13"/>
      <c r="H124" s="8"/>
      <c r="I124" s="13"/>
      <c r="J124" s="8"/>
      <c r="K124" s="8"/>
      <c r="L124" s="8"/>
      <c r="M124" s="8"/>
      <c r="N124" s="10"/>
      <c r="O124" s="10"/>
      <c r="P124" s="8"/>
      <c r="Q124" s="10"/>
      <c r="R124" s="14" t="str">
        <f t="shared" si="1"/>
        <v/>
      </c>
      <c r="S124" s="14" t="str">
        <f>IF(A124="","",MAX(0,G124-SUMIFS('Fabric Receiving'!$H$5:$H$304,'Fabric Receiving'!$C$5:$C$304,A124)))</f>
        <v/>
      </c>
      <c r="T124" s="8"/>
      <c r="U124" s="10"/>
      <c r="V124" s="8"/>
    </row>
    <row r="125" spans="1:22">
      <c r="A125" s="8"/>
      <c r="B125" s="8"/>
      <c r="C125" s="8"/>
      <c r="D125" s="8"/>
      <c r="E125" s="8"/>
      <c r="F125" s="13"/>
      <c r="G125" s="13"/>
      <c r="H125" s="8"/>
      <c r="I125" s="13"/>
      <c r="J125" s="8"/>
      <c r="K125" s="8"/>
      <c r="L125" s="8"/>
      <c r="M125" s="8"/>
      <c r="N125" s="10"/>
      <c r="O125" s="10"/>
      <c r="P125" s="8"/>
      <c r="Q125" s="10"/>
      <c r="R125" s="14" t="str">
        <f t="shared" si="1"/>
        <v/>
      </c>
      <c r="S125" s="14" t="str">
        <f>IF(A125="","",MAX(0,G125-SUMIFS('Fabric Receiving'!$H$5:$H$304,'Fabric Receiving'!$C$5:$C$304,A125)))</f>
        <v/>
      </c>
      <c r="T125" s="8"/>
      <c r="U125" s="10"/>
      <c r="V125" s="8"/>
    </row>
    <row r="126" spans="1:22">
      <c r="A126" s="8"/>
      <c r="B126" s="8"/>
      <c r="C126" s="8"/>
      <c r="D126" s="8"/>
      <c r="E126" s="8"/>
      <c r="F126" s="13"/>
      <c r="G126" s="13"/>
      <c r="H126" s="8"/>
      <c r="I126" s="13"/>
      <c r="J126" s="8"/>
      <c r="K126" s="8"/>
      <c r="L126" s="8"/>
      <c r="M126" s="8"/>
      <c r="N126" s="10"/>
      <c r="O126" s="10"/>
      <c r="P126" s="8"/>
      <c r="Q126" s="10"/>
      <c r="R126" s="14" t="str">
        <f t="shared" si="1"/>
        <v/>
      </c>
      <c r="S126" s="14" t="str">
        <f>IF(A126="","",MAX(0,G126-SUMIFS('Fabric Receiving'!$H$5:$H$304,'Fabric Receiving'!$C$5:$C$304,A126)))</f>
        <v/>
      </c>
      <c r="T126" s="8"/>
      <c r="U126" s="10"/>
      <c r="V126" s="8"/>
    </row>
    <row r="127" spans="1:22">
      <c r="A127" s="8"/>
      <c r="B127" s="8"/>
      <c r="C127" s="8"/>
      <c r="D127" s="8"/>
      <c r="E127" s="8"/>
      <c r="F127" s="13"/>
      <c r="G127" s="13"/>
      <c r="H127" s="8"/>
      <c r="I127" s="13"/>
      <c r="J127" s="8"/>
      <c r="K127" s="8"/>
      <c r="L127" s="8"/>
      <c r="M127" s="8"/>
      <c r="N127" s="10"/>
      <c r="O127" s="10"/>
      <c r="P127" s="8"/>
      <c r="Q127" s="10"/>
      <c r="R127" s="14" t="str">
        <f t="shared" si="1"/>
        <v/>
      </c>
      <c r="S127" s="14" t="str">
        <f>IF(A127="","",MAX(0,G127-SUMIFS('Fabric Receiving'!$H$5:$H$304,'Fabric Receiving'!$C$5:$C$304,A127)))</f>
        <v/>
      </c>
      <c r="T127" s="8"/>
      <c r="U127" s="10"/>
      <c r="V127" s="8"/>
    </row>
    <row r="128" spans="1:22">
      <c r="A128" s="8"/>
      <c r="B128" s="8"/>
      <c r="C128" s="8"/>
      <c r="D128" s="8"/>
      <c r="E128" s="8"/>
      <c r="F128" s="13"/>
      <c r="G128" s="13"/>
      <c r="H128" s="8"/>
      <c r="I128" s="13"/>
      <c r="J128" s="8"/>
      <c r="K128" s="8"/>
      <c r="L128" s="8"/>
      <c r="M128" s="8"/>
      <c r="N128" s="10"/>
      <c r="O128" s="10"/>
      <c r="P128" s="8"/>
      <c r="Q128" s="10"/>
      <c r="R128" s="14" t="str">
        <f t="shared" si="1"/>
        <v/>
      </c>
      <c r="S128" s="14" t="str">
        <f>IF(A128="","",MAX(0,G128-SUMIFS('Fabric Receiving'!$H$5:$H$304,'Fabric Receiving'!$C$5:$C$304,A128)))</f>
        <v/>
      </c>
      <c r="T128" s="8"/>
      <c r="U128" s="10"/>
      <c r="V128" s="8"/>
    </row>
    <row r="129" spans="1:22">
      <c r="A129" s="8"/>
      <c r="B129" s="8"/>
      <c r="C129" s="8"/>
      <c r="D129" s="8"/>
      <c r="E129" s="8"/>
      <c r="F129" s="13"/>
      <c r="G129" s="13"/>
      <c r="H129" s="8"/>
      <c r="I129" s="13"/>
      <c r="J129" s="8"/>
      <c r="K129" s="8"/>
      <c r="L129" s="8"/>
      <c r="M129" s="8"/>
      <c r="N129" s="10"/>
      <c r="O129" s="10"/>
      <c r="P129" s="8"/>
      <c r="Q129" s="10"/>
      <c r="R129" s="14" t="str">
        <f t="shared" si="1"/>
        <v/>
      </c>
      <c r="S129" s="14" t="str">
        <f>IF(A129="","",MAX(0,G129-SUMIFS('Fabric Receiving'!$H$5:$H$304,'Fabric Receiving'!$C$5:$C$304,A129)))</f>
        <v/>
      </c>
      <c r="T129" s="8"/>
      <c r="U129" s="10"/>
      <c r="V129" s="8"/>
    </row>
    <row r="130" spans="1:22">
      <c r="A130" s="8"/>
      <c r="B130" s="8"/>
      <c r="C130" s="8"/>
      <c r="D130" s="8"/>
      <c r="E130" s="8"/>
      <c r="F130" s="13"/>
      <c r="G130" s="13"/>
      <c r="H130" s="8"/>
      <c r="I130" s="13"/>
      <c r="J130" s="8"/>
      <c r="K130" s="8"/>
      <c r="L130" s="8"/>
      <c r="M130" s="8"/>
      <c r="N130" s="10"/>
      <c r="O130" s="10"/>
      <c r="P130" s="8"/>
      <c r="Q130" s="10"/>
      <c r="R130" s="14" t="str">
        <f t="shared" si="1"/>
        <v/>
      </c>
      <c r="S130" s="14" t="str">
        <f>IF(A130="","",MAX(0,G130-SUMIFS('Fabric Receiving'!$H$5:$H$304,'Fabric Receiving'!$C$5:$C$304,A130)))</f>
        <v/>
      </c>
      <c r="T130" s="8"/>
      <c r="U130" s="10"/>
      <c r="V130" s="8"/>
    </row>
    <row r="131" spans="1:22">
      <c r="A131" s="8"/>
      <c r="B131" s="8"/>
      <c r="C131" s="8"/>
      <c r="D131" s="8"/>
      <c r="E131" s="8"/>
      <c r="F131" s="13"/>
      <c r="G131" s="13"/>
      <c r="H131" s="8"/>
      <c r="I131" s="13"/>
      <c r="J131" s="8"/>
      <c r="K131" s="8"/>
      <c r="L131" s="8"/>
      <c r="M131" s="8"/>
      <c r="N131" s="10"/>
      <c r="O131" s="10"/>
      <c r="P131" s="8"/>
      <c r="Q131" s="10"/>
      <c r="R131" s="14" t="str">
        <f t="shared" si="1"/>
        <v/>
      </c>
      <c r="S131" s="14" t="str">
        <f>IF(A131="","",MAX(0,G131-SUMIFS('Fabric Receiving'!$H$5:$H$304,'Fabric Receiving'!$C$5:$C$304,A131)))</f>
        <v/>
      </c>
      <c r="T131" s="8"/>
      <c r="U131" s="10"/>
      <c r="V131" s="8"/>
    </row>
    <row r="132" spans="1:22">
      <c r="A132" s="8"/>
      <c r="B132" s="8"/>
      <c r="C132" s="8"/>
      <c r="D132" s="8"/>
      <c r="E132" s="8"/>
      <c r="F132" s="13"/>
      <c r="G132" s="13"/>
      <c r="H132" s="8"/>
      <c r="I132" s="13"/>
      <c r="J132" s="8"/>
      <c r="K132" s="8"/>
      <c r="L132" s="8"/>
      <c r="M132" s="8"/>
      <c r="N132" s="10"/>
      <c r="O132" s="10"/>
      <c r="P132" s="8"/>
      <c r="Q132" s="10"/>
      <c r="R132" s="14" t="str">
        <f t="shared" si="1"/>
        <v/>
      </c>
      <c r="S132" s="14" t="str">
        <f>IF(A132="","",MAX(0,G132-SUMIFS('Fabric Receiving'!$H$5:$H$304,'Fabric Receiving'!$C$5:$C$304,A132)))</f>
        <v/>
      </c>
      <c r="T132" s="8"/>
      <c r="U132" s="10"/>
      <c r="V132" s="8"/>
    </row>
    <row r="133" spans="1:22">
      <c r="A133" s="8"/>
      <c r="B133" s="8"/>
      <c r="C133" s="8"/>
      <c r="D133" s="8"/>
      <c r="E133" s="8"/>
      <c r="F133" s="13"/>
      <c r="G133" s="13"/>
      <c r="H133" s="8"/>
      <c r="I133" s="13"/>
      <c r="J133" s="8"/>
      <c r="K133" s="8"/>
      <c r="L133" s="8"/>
      <c r="M133" s="8"/>
      <c r="N133" s="10"/>
      <c r="O133" s="10"/>
      <c r="P133" s="8"/>
      <c r="Q133" s="10"/>
      <c r="R133" s="14" t="str">
        <f t="shared" ref="R133:R196" si="2">IF(A133="","",IF(OR(P133="Delivered",P133="Closed"),0,G133))</f>
        <v/>
      </c>
      <c r="S133" s="14" t="str">
        <f>IF(A133="","",MAX(0,G133-SUMIFS('Fabric Receiving'!$H$5:$H$304,'Fabric Receiving'!$C$5:$C$304,A133)))</f>
        <v/>
      </c>
      <c r="T133" s="8"/>
      <c r="U133" s="10"/>
      <c r="V133" s="8"/>
    </row>
    <row r="134" spans="1:22">
      <c r="A134" s="8"/>
      <c r="B134" s="8"/>
      <c r="C134" s="8"/>
      <c r="D134" s="8"/>
      <c r="E134" s="8"/>
      <c r="F134" s="13"/>
      <c r="G134" s="13"/>
      <c r="H134" s="8"/>
      <c r="I134" s="13"/>
      <c r="J134" s="8"/>
      <c r="K134" s="8"/>
      <c r="L134" s="8"/>
      <c r="M134" s="8"/>
      <c r="N134" s="10"/>
      <c r="O134" s="10"/>
      <c r="P134" s="8"/>
      <c r="Q134" s="10"/>
      <c r="R134" s="14" t="str">
        <f t="shared" si="2"/>
        <v/>
      </c>
      <c r="S134" s="14" t="str">
        <f>IF(A134="","",MAX(0,G134-SUMIFS('Fabric Receiving'!$H$5:$H$304,'Fabric Receiving'!$C$5:$C$304,A134)))</f>
        <v/>
      </c>
      <c r="T134" s="8"/>
      <c r="U134" s="10"/>
      <c r="V134" s="8"/>
    </row>
    <row r="135" spans="1:22">
      <c r="A135" s="8"/>
      <c r="B135" s="8"/>
      <c r="C135" s="8"/>
      <c r="D135" s="8"/>
      <c r="E135" s="8"/>
      <c r="F135" s="13"/>
      <c r="G135" s="13"/>
      <c r="H135" s="8"/>
      <c r="I135" s="13"/>
      <c r="J135" s="8"/>
      <c r="K135" s="8"/>
      <c r="L135" s="8"/>
      <c r="M135" s="8"/>
      <c r="N135" s="10"/>
      <c r="O135" s="10"/>
      <c r="P135" s="8"/>
      <c r="Q135" s="10"/>
      <c r="R135" s="14" t="str">
        <f t="shared" si="2"/>
        <v/>
      </c>
      <c r="S135" s="14" t="str">
        <f>IF(A135="","",MAX(0,G135-SUMIFS('Fabric Receiving'!$H$5:$H$304,'Fabric Receiving'!$C$5:$C$304,A135)))</f>
        <v/>
      </c>
      <c r="T135" s="8"/>
      <c r="U135" s="10"/>
      <c r="V135" s="8"/>
    </row>
    <row r="136" spans="1:22">
      <c r="A136" s="8"/>
      <c r="B136" s="8"/>
      <c r="C136" s="8"/>
      <c r="D136" s="8"/>
      <c r="E136" s="8"/>
      <c r="F136" s="13"/>
      <c r="G136" s="13"/>
      <c r="H136" s="8"/>
      <c r="I136" s="13"/>
      <c r="J136" s="8"/>
      <c r="K136" s="8"/>
      <c r="L136" s="8"/>
      <c r="M136" s="8"/>
      <c r="N136" s="10"/>
      <c r="O136" s="10"/>
      <c r="P136" s="8"/>
      <c r="Q136" s="10"/>
      <c r="R136" s="14" t="str">
        <f t="shared" si="2"/>
        <v/>
      </c>
      <c r="S136" s="14" t="str">
        <f>IF(A136="","",MAX(0,G136-SUMIFS('Fabric Receiving'!$H$5:$H$304,'Fabric Receiving'!$C$5:$C$304,A136)))</f>
        <v/>
      </c>
      <c r="T136" s="8"/>
      <c r="U136" s="10"/>
      <c r="V136" s="8"/>
    </row>
    <row r="137" spans="1:22">
      <c r="A137" s="8"/>
      <c r="B137" s="8"/>
      <c r="C137" s="8"/>
      <c r="D137" s="8"/>
      <c r="E137" s="8"/>
      <c r="F137" s="13"/>
      <c r="G137" s="13"/>
      <c r="H137" s="8"/>
      <c r="I137" s="13"/>
      <c r="J137" s="8"/>
      <c r="K137" s="8"/>
      <c r="L137" s="8"/>
      <c r="M137" s="8"/>
      <c r="N137" s="10"/>
      <c r="O137" s="10"/>
      <c r="P137" s="8"/>
      <c r="Q137" s="10"/>
      <c r="R137" s="14" t="str">
        <f t="shared" si="2"/>
        <v/>
      </c>
      <c r="S137" s="14" t="str">
        <f>IF(A137="","",MAX(0,G137-SUMIFS('Fabric Receiving'!$H$5:$H$304,'Fabric Receiving'!$C$5:$C$304,A137)))</f>
        <v/>
      </c>
      <c r="T137" s="8"/>
      <c r="U137" s="10"/>
      <c r="V137" s="8"/>
    </row>
    <row r="138" spans="1:22">
      <c r="A138" s="8"/>
      <c r="B138" s="8"/>
      <c r="C138" s="8"/>
      <c r="D138" s="8"/>
      <c r="E138" s="8"/>
      <c r="F138" s="13"/>
      <c r="G138" s="13"/>
      <c r="H138" s="8"/>
      <c r="I138" s="13"/>
      <c r="J138" s="8"/>
      <c r="K138" s="8"/>
      <c r="L138" s="8"/>
      <c r="M138" s="8"/>
      <c r="N138" s="10"/>
      <c r="O138" s="10"/>
      <c r="P138" s="8"/>
      <c r="Q138" s="10"/>
      <c r="R138" s="14" t="str">
        <f t="shared" si="2"/>
        <v/>
      </c>
      <c r="S138" s="14" t="str">
        <f>IF(A138="","",MAX(0,G138-SUMIFS('Fabric Receiving'!$H$5:$H$304,'Fabric Receiving'!$C$5:$C$304,A138)))</f>
        <v/>
      </c>
      <c r="T138" s="8"/>
      <c r="U138" s="10"/>
      <c r="V138" s="8"/>
    </row>
    <row r="139" spans="1:22">
      <c r="A139" s="8"/>
      <c r="B139" s="8"/>
      <c r="C139" s="8"/>
      <c r="D139" s="8"/>
      <c r="E139" s="8"/>
      <c r="F139" s="13"/>
      <c r="G139" s="13"/>
      <c r="H139" s="8"/>
      <c r="I139" s="13"/>
      <c r="J139" s="8"/>
      <c r="K139" s="8"/>
      <c r="L139" s="8"/>
      <c r="M139" s="8"/>
      <c r="N139" s="10"/>
      <c r="O139" s="10"/>
      <c r="P139" s="8"/>
      <c r="Q139" s="10"/>
      <c r="R139" s="14" t="str">
        <f t="shared" si="2"/>
        <v/>
      </c>
      <c r="S139" s="14" t="str">
        <f>IF(A139="","",MAX(0,G139-SUMIFS('Fabric Receiving'!$H$5:$H$304,'Fabric Receiving'!$C$5:$C$304,A139)))</f>
        <v/>
      </c>
      <c r="T139" s="8"/>
      <c r="U139" s="10"/>
      <c r="V139" s="8"/>
    </row>
    <row r="140" spans="1:22">
      <c r="A140" s="8"/>
      <c r="B140" s="8"/>
      <c r="C140" s="8"/>
      <c r="D140" s="8"/>
      <c r="E140" s="8"/>
      <c r="F140" s="13"/>
      <c r="G140" s="13"/>
      <c r="H140" s="8"/>
      <c r="I140" s="13"/>
      <c r="J140" s="8"/>
      <c r="K140" s="8"/>
      <c r="L140" s="8"/>
      <c r="M140" s="8"/>
      <c r="N140" s="10"/>
      <c r="O140" s="10"/>
      <c r="P140" s="8"/>
      <c r="Q140" s="10"/>
      <c r="R140" s="14" t="str">
        <f t="shared" si="2"/>
        <v/>
      </c>
      <c r="S140" s="14" t="str">
        <f>IF(A140="","",MAX(0,G140-SUMIFS('Fabric Receiving'!$H$5:$H$304,'Fabric Receiving'!$C$5:$C$304,A140)))</f>
        <v/>
      </c>
      <c r="T140" s="8"/>
      <c r="U140" s="10"/>
      <c r="V140" s="8"/>
    </row>
    <row r="141" spans="1:22">
      <c r="A141" s="8"/>
      <c r="B141" s="8"/>
      <c r="C141" s="8"/>
      <c r="D141" s="8"/>
      <c r="E141" s="8"/>
      <c r="F141" s="13"/>
      <c r="G141" s="13"/>
      <c r="H141" s="8"/>
      <c r="I141" s="13"/>
      <c r="J141" s="8"/>
      <c r="K141" s="8"/>
      <c r="L141" s="8"/>
      <c r="M141" s="8"/>
      <c r="N141" s="10"/>
      <c r="O141" s="10"/>
      <c r="P141" s="8"/>
      <c r="Q141" s="10"/>
      <c r="R141" s="14" t="str">
        <f t="shared" si="2"/>
        <v/>
      </c>
      <c r="S141" s="14" t="str">
        <f>IF(A141="","",MAX(0,G141-SUMIFS('Fabric Receiving'!$H$5:$H$304,'Fabric Receiving'!$C$5:$C$304,A141)))</f>
        <v/>
      </c>
      <c r="T141" s="8"/>
      <c r="U141" s="10"/>
      <c r="V141" s="8"/>
    </row>
    <row r="142" spans="1:22">
      <c r="A142" s="8"/>
      <c r="B142" s="8"/>
      <c r="C142" s="8"/>
      <c r="D142" s="8"/>
      <c r="E142" s="8"/>
      <c r="F142" s="13"/>
      <c r="G142" s="13"/>
      <c r="H142" s="8"/>
      <c r="I142" s="13"/>
      <c r="J142" s="8"/>
      <c r="K142" s="8"/>
      <c r="L142" s="8"/>
      <c r="M142" s="8"/>
      <c r="N142" s="10"/>
      <c r="O142" s="10"/>
      <c r="P142" s="8"/>
      <c r="Q142" s="10"/>
      <c r="R142" s="14" t="str">
        <f t="shared" si="2"/>
        <v/>
      </c>
      <c r="S142" s="14" t="str">
        <f>IF(A142="","",MAX(0,G142-SUMIFS('Fabric Receiving'!$H$5:$H$304,'Fabric Receiving'!$C$5:$C$304,A142)))</f>
        <v/>
      </c>
      <c r="T142" s="8"/>
      <c r="U142" s="10"/>
      <c r="V142" s="8"/>
    </row>
    <row r="143" spans="1:22">
      <c r="A143" s="8"/>
      <c r="B143" s="8"/>
      <c r="C143" s="8"/>
      <c r="D143" s="8"/>
      <c r="E143" s="8"/>
      <c r="F143" s="13"/>
      <c r="G143" s="13"/>
      <c r="H143" s="8"/>
      <c r="I143" s="13"/>
      <c r="J143" s="8"/>
      <c r="K143" s="8"/>
      <c r="L143" s="8"/>
      <c r="M143" s="8"/>
      <c r="N143" s="10"/>
      <c r="O143" s="10"/>
      <c r="P143" s="8"/>
      <c r="Q143" s="10"/>
      <c r="R143" s="14" t="str">
        <f t="shared" si="2"/>
        <v/>
      </c>
      <c r="S143" s="14" t="str">
        <f>IF(A143="","",MAX(0,G143-SUMIFS('Fabric Receiving'!$H$5:$H$304,'Fabric Receiving'!$C$5:$C$304,A143)))</f>
        <v/>
      </c>
      <c r="T143" s="8"/>
      <c r="U143" s="10"/>
      <c r="V143" s="8"/>
    </row>
    <row r="144" spans="1:22">
      <c r="A144" s="8"/>
      <c r="B144" s="8"/>
      <c r="C144" s="8"/>
      <c r="D144" s="8"/>
      <c r="E144" s="8"/>
      <c r="F144" s="13"/>
      <c r="G144" s="13"/>
      <c r="H144" s="8"/>
      <c r="I144" s="13"/>
      <c r="J144" s="8"/>
      <c r="K144" s="8"/>
      <c r="L144" s="8"/>
      <c r="M144" s="8"/>
      <c r="N144" s="10"/>
      <c r="O144" s="10"/>
      <c r="P144" s="8"/>
      <c r="Q144" s="10"/>
      <c r="R144" s="14" t="str">
        <f t="shared" si="2"/>
        <v/>
      </c>
      <c r="S144" s="14" t="str">
        <f>IF(A144="","",MAX(0,G144-SUMIFS('Fabric Receiving'!$H$5:$H$304,'Fabric Receiving'!$C$5:$C$304,A144)))</f>
        <v/>
      </c>
      <c r="T144" s="8"/>
      <c r="U144" s="10"/>
      <c r="V144" s="8"/>
    </row>
    <row r="145" spans="1:22">
      <c r="A145" s="8"/>
      <c r="B145" s="8"/>
      <c r="C145" s="8"/>
      <c r="D145" s="8"/>
      <c r="E145" s="8"/>
      <c r="F145" s="13"/>
      <c r="G145" s="13"/>
      <c r="H145" s="8"/>
      <c r="I145" s="13"/>
      <c r="J145" s="8"/>
      <c r="K145" s="8"/>
      <c r="L145" s="8"/>
      <c r="M145" s="8"/>
      <c r="N145" s="10"/>
      <c r="O145" s="10"/>
      <c r="P145" s="8"/>
      <c r="Q145" s="10"/>
      <c r="R145" s="14" t="str">
        <f t="shared" si="2"/>
        <v/>
      </c>
      <c r="S145" s="14" t="str">
        <f>IF(A145="","",MAX(0,G145-SUMIFS('Fabric Receiving'!$H$5:$H$304,'Fabric Receiving'!$C$5:$C$304,A145)))</f>
        <v/>
      </c>
      <c r="T145" s="8"/>
      <c r="U145" s="10"/>
      <c r="V145" s="8"/>
    </row>
    <row r="146" spans="1:22">
      <c r="A146" s="8"/>
      <c r="B146" s="8"/>
      <c r="C146" s="8"/>
      <c r="D146" s="8"/>
      <c r="E146" s="8"/>
      <c r="F146" s="13"/>
      <c r="G146" s="13"/>
      <c r="H146" s="8"/>
      <c r="I146" s="13"/>
      <c r="J146" s="8"/>
      <c r="K146" s="8"/>
      <c r="L146" s="8"/>
      <c r="M146" s="8"/>
      <c r="N146" s="10"/>
      <c r="O146" s="10"/>
      <c r="P146" s="8"/>
      <c r="Q146" s="10"/>
      <c r="R146" s="14" t="str">
        <f t="shared" si="2"/>
        <v/>
      </c>
      <c r="S146" s="14" t="str">
        <f>IF(A146="","",MAX(0,G146-SUMIFS('Fabric Receiving'!$H$5:$H$304,'Fabric Receiving'!$C$5:$C$304,A146)))</f>
        <v/>
      </c>
      <c r="T146" s="8"/>
      <c r="U146" s="10"/>
      <c r="V146" s="8"/>
    </row>
    <row r="147" spans="1:22">
      <c r="A147" s="8"/>
      <c r="B147" s="8"/>
      <c r="C147" s="8"/>
      <c r="D147" s="8"/>
      <c r="E147" s="8"/>
      <c r="F147" s="13"/>
      <c r="G147" s="13"/>
      <c r="H147" s="8"/>
      <c r="I147" s="13"/>
      <c r="J147" s="8"/>
      <c r="K147" s="8"/>
      <c r="L147" s="8"/>
      <c r="M147" s="8"/>
      <c r="N147" s="10"/>
      <c r="O147" s="10"/>
      <c r="P147" s="8"/>
      <c r="Q147" s="10"/>
      <c r="R147" s="14" t="str">
        <f t="shared" si="2"/>
        <v/>
      </c>
      <c r="S147" s="14" t="str">
        <f>IF(A147="","",MAX(0,G147-SUMIFS('Fabric Receiving'!$H$5:$H$304,'Fabric Receiving'!$C$5:$C$304,A147)))</f>
        <v/>
      </c>
      <c r="T147" s="8"/>
      <c r="U147" s="10"/>
      <c r="V147" s="8"/>
    </row>
    <row r="148" spans="1:22">
      <c r="A148" s="8"/>
      <c r="B148" s="8"/>
      <c r="C148" s="8"/>
      <c r="D148" s="8"/>
      <c r="E148" s="8"/>
      <c r="F148" s="13"/>
      <c r="G148" s="13"/>
      <c r="H148" s="8"/>
      <c r="I148" s="13"/>
      <c r="J148" s="8"/>
      <c r="K148" s="8"/>
      <c r="L148" s="8"/>
      <c r="M148" s="8"/>
      <c r="N148" s="10"/>
      <c r="O148" s="10"/>
      <c r="P148" s="8"/>
      <c r="Q148" s="10"/>
      <c r="R148" s="14" t="str">
        <f t="shared" si="2"/>
        <v/>
      </c>
      <c r="S148" s="14" t="str">
        <f>IF(A148="","",MAX(0,G148-SUMIFS('Fabric Receiving'!$H$5:$H$304,'Fabric Receiving'!$C$5:$C$304,A148)))</f>
        <v/>
      </c>
      <c r="T148" s="8"/>
      <c r="U148" s="10"/>
      <c r="V148" s="8"/>
    </row>
    <row r="149" spans="1:22">
      <c r="A149" s="8"/>
      <c r="B149" s="8"/>
      <c r="C149" s="8"/>
      <c r="D149" s="8"/>
      <c r="E149" s="8"/>
      <c r="F149" s="13"/>
      <c r="G149" s="13"/>
      <c r="H149" s="8"/>
      <c r="I149" s="13"/>
      <c r="J149" s="8"/>
      <c r="K149" s="8"/>
      <c r="L149" s="8"/>
      <c r="M149" s="8"/>
      <c r="N149" s="10"/>
      <c r="O149" s="10"/>
      <c r="P149" s="8"/>
      <c r="Q149" s="10"/>
      <c r="R149" s="14" t="str">
        <f t="shared" si="2"/>
        <v/>
      </c>
      <c r="S149" s="14" t="str">
        <f>IF(A149="","",MAX(0,G149-SUMIFS('Fabric Receiving'!$H$5:$H$304,'Fabric Receiving'!$C$5:$C$304,A149)))</f>
        <v/>
      </c>
      <c r="T149" s="8"/>
      <c r="U149" s="10"/>
      <c r="V149" s="8"/>
    </row>
    <row r="150" spans="1:22">
      <c r="A150" s="8"/>
      <c r="B150" s="8"/>
      <c r="C150" s="8"/>
      <c r="D150" s="8"/>
      <c r="E150" s="8"/>
      <c r="F150" s="13"/>
      <c r="G150" s="13"/>
      <c r="H150" s="8"/>
      <c r="I150" s="13"/>
      <c r="J150" s="8"/>
      <c r="K150" s="8"/>
      <c r="L150" s="8"/>
      <c r="M150" s="8"/>
      <c r="N150" s="10"/>
      <c r="O150" s="10"/>
      <c r="P150" s="8"/>
      <c r="Q150" s="10"/>
      <c r="R150" s="14" t="str">
        <f t="shared" si="2"/>
        <v/>
      </c>
      <c r="S150" s="14" t="str">
        <f>IF(A150="","",MAX(0,G150-SUMIFS('Fabric Receiving'!$H$5:$H$304,'Fabric Receiving'!$C$5:$C$304,A150)))</f>
        <v/>
      </c>
      <c r="T150" s="8"/>
      <c r="U150" s="10"/>
      <c r="V150" s="8"/>
    </row>
    <row r="151" spans="1:22">
      <c r="A151" s="8"/>
      <c r="B151" s="8"/>
      <c r="C151" s="8"/>
      <c r="D151" s="8"/>
      <c r="E151" s="8"/>
      <c r="F151" s="13"/>
      <c r="G151" s="13"/>
      <c r="H151" s="8"/>
      <c r="I151" s="13"/>
      <c r="J151" s="8"/>
      <c r="K151" s="8"/>
      <c r="L151" s="8"/>
      <c r="M151" s="8"/>
      <c r="N151" s="10"/>
      <c r="O151" s="10"/>
      <c r="P151" s="8"/>
      <c r="Q151" s="10"/>
      <c r="R151" s="14" t="str">
        <f t="shared" si="2"/>
        <v/>
      </c>
      <c r="S151" s="14" t="str">
        <f>IF(A151="","",MAX(0,G151-SUMIFS('Fabric Receiving'!$H$5:$H$304,'Fabric Receiving'!$C$5:$C$304,A151)))</f>
        <v/>
      </c>
      <c r="T151" s="8"/>
      <c r="U151" s="10"/>
      <c r="V151" s="8"/>
    </row>
    <row r="152" spans="1:22">
      <c r="A152" s="8"/>
      <c r="B152" s="8"/>
      <c r="C152" s="8"/>
      <c r="D152" s="8"/>
      <c r="E152" s="8"/>
      <c r="F152" s="13"/>
      <c r="G152" s="13"/>
      <c r="H152" s="8"/>
      <c r="I152" s="13"/>
      <c r="J152" s="8"/>
      <c r="K152" s="8"/>
      <c r="L152" s="8"/>
      <c r="M152" s="8"/>
      <c r="N152" s="10"/>
      <c r="O152" s="10"/>
      <c r="P152" s="8"/>
      <c r="Q152" s="10"/>
      <c r="R152" s="14" t="str">
        <f t="shared" si="2"/>
        <v/>
      </c>
      <c r="S152" s="14" t="str">
        <f>IF(A152="","",MAX(0,G152-SUMIFS('Fabric Receiving'!$H$5:$H$304,'Fabric Receiving'!$C$5:$C$304,A152)))</f>
        <v/>
      </c>
      <c r="T152" s="8"/>
      <c r="U152" s="10"/>
      <c r="V152" s="8"/>
    </row>
    <row r="153" spans="1:22">
      <c r="A153" s="8"/>
      <c r="B153" s="8"/>
      <c r="C153" s="8"/>
      <c r="D153" s="8"/>
      <c r="E153" s="8"/>
      <c r="F153" s="13"/>
      <c r="G153" s="13"/>
      <c r="H153" s="8"/>
      <c r="I153" s="13"/>
      <c r="J153" s="8"/>
      <c r="K153" s="8"/>
      <c r="L153" s="8"/>
      <c r="M153" s="8"/>
      <c r="N153" s="10"/>
      <c r="O153" s="10"/>
      <c r="P153" s="8"/>
      <c r="Q153" s="10"/>
      <c r="R153" s="14" t="str">
        <f t="shared" si="2"/>
        <v/>
      </c>
      <c r="S153" s="14" t="str">
        <f>IF(A153="","",MAX(0,G153-SUMIFS('Fabric Receiving'!$H$5:$H$304,'Fabric Receiving'!$C$5:$C$304,A153)))</f>
        <v/>
      </c>
      <c r="T153" s="8"/>
      <c r="U153" s="10"/>
      <c r="V153" s="8"/>
    </row>
    <row r="154" spans="1:22">
      <c r="A154" s="8"/>
      <c r="B154" s="8"/>
      <c r="C154" s="8"/>
      <c r="D154" s="8"/>
      <c r="E154" s="8"/>
      <c r="F154" s="13"/>
      <c r="G154" s="13"/>
      <c r="H154" s="8"/>
      <c r="I154" s="13"/>
      <c r="J154" s="8"/>
      <c r="K154" s="8"/>
      <c r="L154" s="8"/>
      <c r="M154" s="8"/>
      <c r="N154" s="10"/>
      <c r="O154" s="10"/>
      <c r="P154" s="8"/>
      <c r="Q154" s="10"/>
      <c r="R154" s="14" t="str">
        <f t="shared" si="2"/>
        <v/>
      </c>
      <c r="S154" s="14" t="str">
        <f>IF(A154="","",MAX(0,G154-SUMIFS('Fabric Receiving'!$H$5:$H$304,'Fabric Receiving'!$C$5:$C$304,A154)))</f>
        <v/>
      </c>
      <c r="T154" s="8"/>
      <c r="U154" s="10"/>
      <c r="V154" s="8"/>
    </row>
    <row r="155" spans="1:22">
      <c r="A155" s="8"/>
      <c r="B155" s="8"/>
      <c r="C155" s="8"/>
      <c r="D155" s="8"/>
      <c r="E155" s="8"/>
      <c r="F155" s="13"/>
      <c r="G155" s="13"/>
      <c r="H155" s="8"/>
      <c r="I155" s="13"/>
      <c r="J155" s="8"/>
      <c r="K155" s="8"/>
      <c r="L155" s="8"/>
      <c r="M155" s="8"/>
      <c r="N155" s="10"/>
      <c r="O155" s="10"/>
      <c r="P155" s="8"/>
      <c r="Q155" s="10"/>
      <c r="R155" s="14" t="str">
        <f t="shared" si="2"/>
        <v/>
      </c>
      <c r="S155" s="14" t="str">
        <f>IF(A155="","",MAX(0,G155-SUMIFS('Fabric Receiving'!$H$5:$H$304,'Fabric Receiving'!$C$5:$C$304,A155)))</f>
        <v/>
      </c>
      <c r="T155" s="8"/>
      <c r="U155" s="10"/>
      <c r="V155" s="8"/>
    </row>
    <row r="156" spans="1:22">
      <c r="A156" s="8"/>
      <c r="B156" s="8"/>
      <c r="C156" s="8"/>
      <c r="D156" s="8"/>
      <c r="E156" s="8"/>
      <c r="F156" s="13"/>
      <c r="G156" s="13"/>
      <c r="H156" s="8"/>
      <c r="I156" s="13"/>
      <c r="J156" s="8"/>
      <c r="K156" s="8"/>
      <c r="L156" s="8"/>
      <c r="M156" s="8"/>
      <c r="N156" s="10"/>
      <c r="O156" s="10"/>
      <c r="P156" s="8"/>
      <c r="Q156" s="10"/>
      <c r="R156" s="14" t="str">
        <f t="shared" si="2"/>
        <v/>
      </c>
      <c r="S156" s="14" t="str">
        <f>IF(A156="","",MAX(0,G156-SUMIFS('Fabric Receiving'!$H$5:$H$304,'Fabric Receiving'!$C$5:$C$304,A156)))</f>
        <v/>
      </c>
      <c r="T156" s="8"/>
      <c r="U156" s="10"/>
      <c r="V156" s="8"/>
    </row>
    <row r="157" spans="1:22">
      <c r="A157" s="8"/>
      <c r="B157" s="8"/>
      <c r="C157" s="8"/>
      <c r="D157" s="8"/>
      <c r="E157" s="8"/>
      <c r="F157" s="13"/>
      <c r="G157" s="13"/>
      <c r="H157" s="8"/>
      <c r="I157" s="13"/>
      <c r="J157" s="8"/>
      <c r="K157" s="8"/>
      <c r="L157" s="8"/>
      <c r="M157" s="8"/>
      <c r="N157" s="10"/>
      <c r="O157" s="10"/>
      <c r="P157" s="8"/>
      <c r="Q157" s="10"/>
      <c r="R157" s="14" t="str">
        <f t="shared" si="2"/>
        <v/>
      </c>
      <c r="S157" s="14" t="str">
        <f>IF(A157="","",MAX(0,G157-SUMIFS('Fabric Receiving'!$H$5:$H$304,'Fabric Receiving'!$C$5:$C$304,A157)))</f>
        <v/>
      </c>
      <c r="T157" s="8"/>
      <c r="U157" s="10"/>
      <c r="V157" s="8"/>
    </row>
    <row r="158" spans="1:22">
      <c r="A158" s="8"/>
      <c r="B158" s="8"/>
      <c r="C158" s="8"/>
      <c r="D158" s="8"/>
      <c r="E158" s="8"/>
      <c r="F158" s="13"/>
      <c r="G158" s="13"/>
      <c r="H158" s="8"/>
      <c r="I158" s="13"/>
      <c r="J158" s="8"/>
      <c r="K158" s="8"/>
      <c r="L158" s="8"/>
      <c r="M158" s="8"/>
      <c r="N158" s="10"/>
      <c r="O158" s="10"/>
      <c r="P158" s="8"/>
      <c r="Q158" s="10"/>
      <c r="R158" s="14" t="str">
        <f t="shared" si="2"/>
        <v/>
      </c>
      <c r="S158" s="14" t="str">
        <f>IF(A158="","",MAX(0,G158-SUMIFS('Fabric Receiving'!$H$5:$H$304,'Fabric Receiving'!$C$5:$C$304,A158)))</f>
        <v/>
      </c>
      <c r="T158" s="8"/>
      <c r="U158" s="10"/>
      <c r="V158" s="8"/>
    </row>
    <row r="159" spans="1:22">
      <c r="A159" s="8"/>
      <c r="B159" s="8"/>
      <c r="C159" s="8"/>
      <c r="D159" s="8"/>
      <c r="E159" s="8"/>
      <c r="F159" s="13"/>
      <c r="G159" s="13"/>
      <c r="H159" s="8"/>
      <c r="I159" s="13"/>
      <c r="J159" s="8"/>
      <c r="K159" s="8"/>
      <c r="L159" s="8"/>
      <c r="M159" s="8"/>
      <c r="N159" s="10"/>
      <c r="O159" s="10"/>
      <c r="P159" s="8"/>
      <c r="Q159" s="10"/>
      <c r="R159" s="14" t="str">
        <f t="shared" si="2"/>
        <v/>
      </c>
      <c r="S159" s="14" t="str">
        <f>IF(A159="","",MAX(0,G159-SUMIFS('Fabric Receiving'!$H$5:$H$304,'Fabric Receiving'!$C$5:$C$304,A159)))</f>
        <v/>
      </c>
      <c r="T159" s="8"/>
      <c r="U159" s="10"/>
      <c r="V159" s="8"/>
    </row>
    <row r="160" spans="1:22">
      <c r="A160" s="8"/>
      <c r="B160" s="8"/>
      <c r="C160" s="8"/>
      <c r="D160" s="8"/>
      <c r="E160" s="8"/>
      <c r="F160" s="13"/>
      <c r="G160" s="13"/>
      <c r="H160" s="8"/>
      <c r="I160" s="13"/>
      <c r="J160" s="8"/>
      <c r="K160" s="8"/>
      <c r="L160" s="8"/>
      <c r="M160" s="8"/>
      <c r="N160" s="10"/>
      <c r="O160" s="10"/>
      <c r="P160" s="8"/>
      <c r="Q160" s="10"/>
      <c r="R160" s="14" t="str">
        <f t="shared" si="2"/>
        <v/>
      </c>
      <c r="S160" s="14" t="str">
        <f>IF(A160="","",MAX(0,G160-SUMIFS('Fabric Receiving'!$H$5:$H$304,'Fabric Receiving'!$C$5:$C$304,A160)))</f>
        <v/>
      </c>
      <c r="T160" s="8"/>
      <c r="U160" s="10"/>
      <c r="V160" s="8"/>
    </row>
    <row r="161" spans="1:22">
      <c r="A161" s="8"/>
      <c r="B161" s="8"/>
      <c r="C161" s="8"/>
      <c r="D161" s="8"/>
      <c r="E161" s="8"/>
      <c r="F161" s="13"/>
      <c r="G161" s="13"/>
      <c r="H161" s="8"/>
      <c r="I161" s="13"/>
      <c r="J161" s="8"/>
      <c r="K161" s="8"/>
      <c r="L161" s="8"/>
      <c r="M161" s="8"/>
      <c r="N161" s="10"/>
      <c r="O161" s="10"/>
      <c r="P161" s="8"/>
      <c r="Q161" s="10"/>
      <c r="R161" s="14" t="str">
        <f t="shared" si="2"/>
        <v/>
      </c>
      <c r="S161" s="14" t="str">
        <f>IF(A161="","",MAX(0,G161-SUMIFS('Fabric Receiving'!$H$5:$H$304,'Fabric Receiving'!$C$5:$C$304,A161)))</f>
        <v/>
      </c>
      <c r="T161" s="8"/>
      <c r="U161" s="10"/>
      <c r="V161" s="8"/>
    </row>
    <row r="162" spans="1:22">
      <c r="A162" s="8"/>
      <c r="B162" s="8"/>
      <c r="C162" s="8"/>
      <c r="D162" s="8"/>
      <c r="E162" s="8"/>
      <c r="F162" s="13"/>
      <c r="G162" s="13"/>
      <c r="H162" s="8"/>
      <c r="I162" s="13"/>
      <c r="J162" s="8"/>
      <c r="K162" s="8"/>
      <c r="L162" s="8"/>
      <c r="M162" s="8"/>
      <c r="N162" s="10"/>
      <c r="O162" s="10"/>
      <c r="P162" s="8"/>
      <c r="Q162" s="10"/>
      <c r="R162" s="14" t="str">
        <f t="shared" si="2"/>
        <v/>
      </c>
      <c r="S162" s="14" t="str">
        <f>IF(A162="","",MAX(0,G162-SUMIFS('Fabric Receiving'!$H$5:$H$304,'Fabric Receiving'!$C$5:$C$304,A162)))</f>
        <v/>
      </c>
      <c r="T162" s="8"/>
      <c r="U162" s="10"/>
      <c r="V162" s="8"/>
    </row>
    <row r="163" spans="1:22">
      <c r="A163" s="8"/>
      <c r="B163" s="8"/>
      <c r="C163" s="8"/>
      <c r="D163" s="8"/>
      <c r="E163" s="8"/>
      <c r="F163" s="13"/>
      <c r="G163" s="13"/>
      <c r="H163" s="8"/>
      <c r="I163" s="13"/>
      <c r="J163" s="8"/>
      <c r="K163" s="8"/>
      <c r="L163" s="8"/>
      <c r="M163" s="8"/>
      <c r="N163" s="10"/>
      <c r="O163" s="10"/>
      <c r="P163" s="8"/>
      <c r="Q163" s="10"/>
      <c r="R163" s="14" t="str">
        <f t="shared" si="2"/>
        <v/>
      </c>
      <c r="S163" s="14" t="str">
        <f>IF(A163="","",MAX(0,G163-SUMIFS('Fabric Receiving'!$H$5:$H$304,'Fabric Receiving'!$C$5:$C$304,A163)))</f>
        <v/>
      </c>
      <c r="T163" s="8"/>
      <c r="U163" s="10"/>
      <c r="V163" s="8"/>
    </row>
    <row r="164" spans="1:22">
      <c r="A164" s="8"/>
      <c r="B164" s="8"/>
      <c r="C164" s="8"/>
      <c r="D164" s="8"/>
      <c r="E164" s="8"/>
      <c r="F164" s="13"/>
      <c r="G164" s="13"/>
      <c r="H164" s="8"/>
      <c r="I164" s="13"/>
      <c r="J164" s="8"/>
      <c r="K164" s="8"/>
      <c r="L164" s="8"/>
      <c r="M164" s="8"/>
      <c r="N164" s="10"/>
      <c r="O164" s="10"/>
      <c r="P164" s="8"/>
      <c r="Q164" s="10"/>
      <c r="R164" s="14" t="str">
        <f t="shared" si="2"/>
        <v/>
      </c>
      <c r="S164" s="14" t="str">
        <f>IF(A164="","",MAX(0,G164-SUMIFS('Fabric Receiving'!$H$5:$H$304,'Fabric Receiving'!$C$5:$C$304,A164)))</f>
        <v/>
      </c>
      <c r="T164" s="8"/>
      <c r="U164" s="10"/>
      <c r="V164" s="8"/>
    </row>
    <row r="165" spans="1:22">
      <c r="A165" s="8"/>
      <c r="B165" s="8"/>
      <c r="C165" s="8"/>
      <c r="D165" s="8"/>
      <c r="E165" s="8"/>
      <c r="F165" s="13"/>
      <c r="G165" s="13"/>
      <c r="H165" s="8"/>
      <c r="I165" s="13"/>
      <c r="J165" s="8"/>
      <c r="K165" s="8"/>
      <c r="L165" s="8"/>
      <c r="M165" s="8"/>
      <c r="N165" s="10"/>
      <c r="O165" s="10"/>
      <c r="P165" s="8"/>
      <c r="Q165" s="10"/>
      <c r="R165" s="14" t="str">
        <f t="shared" si="2"/>
        <v/>
      </c>
      <c r="S165" s="14" t="str">
        <f>IF(A165="","",MAX(0,G165-SUMIFS('Fabric Receiving'!$H$5:$H$304,'Fabric Receiving'!$C$5:$C$304,A165)))</f>
        <v/>
      </c>
      <c r="T165" s="8"/>
      <c r="U165" s="10"/>
      <c r="V165" s="8"/>
    </row>
    <row r="166" spans="1:22">
      <c r="A166" s="8"/>
      <c r="B166" s="8"/>
      <c r="C166" s="8"/>
      <c r="D166" s="8"/>
      <c r="E166" s="8"/>
      <c r="F166" s="13"/>
      <c r="G166" s="13"/>
      <c r="H166" s="8"/>
      <c r="I166" s="13"/>
      <c r="J166" s="8"/>
      <c r="K166" s="8"/>
      <c r="L166" s="8"/>
      <c r="M166" s="8"/>
      <c r="N166" s="10"/>
      <c r="O166" s="10"/>
      <c r="P166" s="8"/>
      <c r="Q166" s="10"/>
      <c r="R166" s="14" t="str">
        <f t="shared" si="2"/>
        <v/>
      </c>
      <c r="S166" s="14" t="str">
        <f>IF(A166="","",MAX(0,G166-SUMIFS('Fabric Receiving'!$H$5:$H$304,'Fabric Receiving'!$C$5:$C$304,A166)))</f>
        <v/>
      </c>
      <c r="T166" s="8"/>
      <c r="U166" s="10"/>
      <c r="V166" s="8"/>
    </row>
    <row r="167" spans="1:22">
      <c r="A167" s="8"/>
      <c r="B167" s="8"/>
      <c r="C167" s="8"/>
      <c r="D167" s="8"/>
      <c r="E167" s="8"/>
      <c r="F167" s="13"/>
      <c r="G167" s="13"/>
      <c r="H167" s="8"/>
      <c r="I167" s="13"/>
      <c r="J167" s="8"/>
      <c r="K167" s="8"/>
      <c r="L167" s="8"/>
      <c r="M167" s="8"/>
      <c r="N167" s="10"/>
      <c r="O167" s="10"/>
      <c r="P167" s="8"/>
      <c r="Q167" s="10"/>
      <c r="R167" s="14" t="str">
        <f t="shared" si="2"/>
        <v/>
      </c>
      <c r="S167" s="14" t="str">
        <f>IF(A167="","",MAX(0,G167-SUMIFS('Fabric Receiving'!$H$5:$H$304,'Fabric Receiving'!$C$5:$C$304,A167)))</f>
        <v/>
      </c>
      <c r="T167" s="8"/>
      <c r="U167" s="10"/>
      <c r="V167" s="8"/>
    </row>
    <row r="168" spans="1:22">
      <c r="A168" s="8"/>
      <c r="B168" s="8"/>
      <c r="C168" s="8"/>
      <c r="D168" s="8"/>
      <c r="E168" s="8"/>
      <c r="F168" s="13"/>
      <c r="G168" s="13"/>
      <c r="H168" s="8"/>
      <c r="I168" s="13"/>
      <c r="J168" s="8"/>
      <c r="K168" s="8"/>
      <c r="L168" s="8"/>
      <c r="M168" s="8"/>
      <c r="N168" s="10"/>
      <c r="O168" s="10"/>
      <c r="P168" s="8"/>
      <c r="Q168" s="10"/>
      <c r="R168" s="14" t="str">
        <f t="shared" si="2"/>
        <v/>
      </c>
      <c r="S168" s="14" t="str">
        <f>IF(A168="","",MAX(0,G168-SUMIFS('Fabric Receiving'!$H$5:$H$304,'Fabric Receiving'!$C$5:$C$304,A168)))</f>
        <v/>
      </c>
      <c r="T168" s="8"/>
      <c r="U168" s="10"/>
      <c r="V168" s="8"/>
    </row>
    <row r="169" spans="1:22">
      <c r="A169" s="8"/>
      <c r="B169" s="8"/>
      <c r="C169" s="8"/>
      <c r="D169" s="8"/>
      <c r="E169" s="8"/>
      <c r="F169" s="13"/>
      <c r="G169" s="13"/>
      <c r="H169" s="8"/>
      <c r="I169" s="13"/>
      <c r="J169" s="8"/>
      <c r="K169" s="8"/>
      <c r="L169" s="8"/>
      <c r="M169" s="8"/>
      <c r="N169" s="10"/>
      <c r="O169" s="10"/>
      <c r="P169" s="8"/>
      <c r="Q169" s="10"/>
      <c r="R169" s="14" t="str">
        <f t="shared" si="2"/>
        <v/>
      </c>
      <c r="S169" s="14" t="str">
        <f>IF(A169="","",MAX(0,G169-SUMIFS('Fabric Receiving'!$H$5:$H$304,'Fabric Receiving'!$C$5:$C$304,A169)))</f>
        <v/>
      </c>
      <c r="T169" s="8"/>
      <c r="U169" s="10"/>
      <c r="V169" s="8"/>
    </row>
    <row r="170" spans="1:22">
      <c r="A170" s="8"/>
      <c r="B170" s="8"/>
      <c r="C170" s="8"/>
      <c r="D170" s="8"/>
      <c r="E170" s="8"/>
      <c r="F170" s="13"/>
      <c r="G170" s="13"/>
      <c r="H170" s="8"/>
      <c r="I170" s="13"/>
      <c r="J170" s="8"/>
      <c r="K170" s="8"/>
      <c r="L170" s="8"/>
      <c r="M170" s="8"/>
      <c r="N170" s="10"/>
      <c r="O170" s="10"/>
      <c r="P170" s="8"/>
      <c r="Q170" s="10"/>
      <c r="R170" s="14" t="str">
        <f t="shared" si="2"/>
        <v/>
      </c>
      <c r="S170" s="14" t="str">
        <f>IF(A170="","",MAX(0,G170-SUMIFS('Fabric Receiving'!$H$5:$H$304,'Fabric Receiving'!$C$5:$C$304,A170)))</f>
        <v/>
      </c>
      <c r="T170" s="8"/>
      <c r="U170" s="10"/>
      <c r="V170" s="8"/>
    </row>
    <row r="171" spans="1:22">
      <c r="A171" s="8"/>
      <c r="B171" s="8"/>
      <c r="C171" s="8"/>
      <c r="D171" s="8"/>
      <c r="E171" s="8"/>
      <c r="F171" s="13"/>
      <c r="G171" s="13"/>
      <c r="H171" s="8"/>
      <c r="I171" s="13"/>
      <c r="J171" s="8"/>
      <c r="K171" s="8"/>
      <c r="L171" s="8"/>
      <c r="M171" s="8"/>
      <c r="N171" s="10"/>
      <c r="O171" s="10"/>
      <c r="P171" s="8"/>
      <c r="Q171" s="10"/>
      <c r="R171" s="14" t="str">
        <f t="shared" si="2"/>
        <v/>
      </c>
      <c r="S171" s="14" t="str">
        <f>IF(A171="","",MAX(0,G171-SUMIFS('Fabric Receiving'!$H$5:$H$304,'Fabric Receiving'!$C$5:$C$304,A171)))</f>
        <v/>
      </c>
      <c r="T171" s="8"/>
      <c r="U171" s="10"/>
      <c r="V171" s="8"/>
    </row>
    <row r="172" spans="1:22">
      <c r="A172" s="8"/>
      <c r="B172" s="8"/>
      <c r="C172" s="8"/>
      <c r="D172" s="8"/>
      <c r="E172" s="8"/>
      <c r="F172" s="13"/>
      <c r="G172" s="13"/>
      <c r="H172" s="8"/>
      <c r="I172" s="13"/>
      <c r="J172" s="8"/>
      <c r="K172" s="8"/>
      <c r="L172" s="8"/>
      <c r="M172" s="8"/>
      <c r="N172" s="10"/>
      <c r="O172" s="10"/>
      <c r="P172" s="8"/>
      <c r="Q172" s="10"/>
      <c r="R172" s="14" t="str">
        <f t="shared" si="2"/>
        <v/>
      </c>
      <c r="S172" s="14" t="str">
        <f>IF(A172="","",MAX(0,G172-SUMIFS('Fabric Receiving'!$H$5:$H$304,'Fabric Receiving'!$C$5:$C$304,A172)))</f>
        <v/>
      </c>
      <c r="T172" s="8"/>
      <c r="U172" s="10"/>
      <c r="V172" s="8"/>
    </row>
    <row r="173" spans="1:22">
      <c r="A173" s="8"/>
      <c r="B173" s="8"/>
      <c r="C173" s="8"/>
      <c r="D173" s="8"/>
      <c r="E173" s="8"/>
      <c r="F173" s="13"/>
      <c r="G173" s="13"/>
      <c r="H173" s="8"/>
      <c r="I173" s="13"/>
      <c r="J173" s="8"/>
      <c r="K173" s="8"/>
      <c r="L173" s="8"/>
      <c r="M173" s="8"/>
      <c r="N173" s="10"/>
      <c r="O173" s="10"/>
      <c r="P173" s="8"/>
      <c r="Q173" s="10"/>
      <c r="R173" s="14" t="str">
        <f t="shared" si="2"/>
        <v/>
      </c>
      <c r="S173" s="14" t="str">
        <f>IF(A173="","",MAX(0,G173-SUMIFS('Fabric Receiving'!$H$5:$H$304,'Fabric Receiving'!$C$5:$C$304,A173)))</f>
        <v/>
      </c>
      <c r="T173" s="8"/>
      <c r="U173" s="10"/>
      <c r="V173" s="8"/>
    </row>
    <row r="174" spans="1:22">
      <c r="A174" s="8"/>
      <c r="B174" s="8"/>
      <c r="C174" s="8"/>
      <c r="D174" s="8"/>
      <c r="E174" s="8"/>
      <c r="F174" s="13"/>
      <c r="G174" s="13"/>
      <c r="H174" s="8"/>
      <c r="I174" s="13"/>
      <c r="J174" s="8"/>
      <c r="K174" s="8"/>
      <c r="L174" s="8"/>
      <c r="M174" s="8"/>
      <c r="N174" s="10"/>
      <c r="O174" s="10"/>
      <c r="P174" s="8"/>
      <c r="Q174" s="10"/>
      <c r="R174" s="14" t="str">
        <f t="shared" si="2"/>
        <v/>
      </c>
      <c r="S174" s="14" t="str">
        <f>IF(A174="","",MAX(0,G174-SUMIFS('Fabric Receiving'!$H$5:$H$304,'Fabric Receiving'!$C$5:$C$304,A174)))</f>
        <v/>
      </c>
      <c r="T174" s="8"/>
      <c r="U174" s="10"/>
      <c r="V174" s="8"/>
    </row>
    <row r="175" spans="1:22">
      <c r="A175" s="8"/>
      <c r="B175" s="8"/>
      <c r="C175" s="8"/>
      <c r="D175" s="8"/>
      <c r="E175" s="8"/>
      <c r="F175" s="13"/>
      <c r="G175" s="13"/>
      <c r="H175" s="8"/>
      <c r="I175" s="13"/>
      <c r="J175" s="8"/>
      <c r="K175" s="8"/>
      <c r="L175" s="8"/>
      <c r="M175" s="8"/>
      <c r="N175" s="10"/>
      <c r="O175" s="10"/>
      <c r="P175" s="8"/>
      <c r="Q175" s="10"/>
      <c r="R175" s="14" t="str">
        <f t="shared" si="2"/>
        <v/>
      </c>
      <c r="S175" s="14" t="str">
        <f>IF(A175="","",MAX(0,G175-SUMIFS('Fabric Receiving'!$H$5:$H$304,'Fabric Receiving'!$C$5:$C$304,A175)))</f>
        <v/>
      </c>
      <c r="T175" s="8"/>
      <c r="U175" s="10"/>
      <c r="V175" s="8"/>
    </row>
    <row r="176" spans="1:22">
      <c r="A176" s="8"/>
      <c r="B176" s="8"/>
      <c r="C176" s="8"/>
      <c r="D176" s="8"/>
      <c r="E176" s="8"/>
      <c r="F176" s="13"/>
      <c r="G176" s="13"/>
      <c r="H176" s="8"/>
      <c r="I176" s="13"/>
      <c r="J176" s="8"/>
      <c r="K176" s="8"/>
      <c r="L176" s="8"/>
      <c r="M176" s="8"/>
      <c r="N176" s="10"/>
      <c r="O176" s="10"/>
      <c r="P176" s="8"/>
      <c r="Q176" s="10"/>
      <c r="R176" s="14" t="str">
        <f t="shared" si="2"/>
        <v/>
      </c>
      <c r="S176" s="14" t="str">
        <f>IF(A176="","",MAX(0,G176-SUMIFS('Fabric Receiving'!$H$5:$H$304,'Fabric Receiving'!$C$5:$C$304,A176)))</f>
        <v/>
      </c>
      <c r="T176" s="8"/>
      <c r="U176" s="10"/>
      <c r="V176" s="8"/>
    </row>
    <row r="177" spans="1:22">
      <c r="A177" s="8"/>
      <c r="B177" s="8"/>
      <c r="C177" s="8"/>
      <c r="D177" s="8"/>
      <c r="E177" s="8"/>
      <c r="F177" s="13"/>
      <c r="G177" s="13"/>
      <c r="H177" s="8"/>
      <c r="I177" s="13"/>
      <c r="J177" s="8"/>
      <c r="K177" s="8"/>
      <c r="L177" s="8"/>
      <c r="M177" s="8"/>
      <c r="N177" s="10"/>
      <c r="O177" s="10"/>
      <c r="P177" s="8"/>
      <c r="Q177" s="10"/>
      <c r="R177" s="14" t="str">
        <f t="shared" si="2"/>
        <v/>
      </c>
      <c r="S177" s="14" t="str">
        <f>IF(A177="","",MAX(0,G177-SUMIFS('Fabric Receiving'!$H$5:$H$304,'Fabric Receiving'!$C$5:$C$304,A177)))</f>
        <v/>
      </c>
      <c r="T177" s="8"/>
      <c r="U177" s="10"/>
      <c r="V177" s="8"/>
    </row>
    <row r="178" spans="1:22">
      <c r="A178" s="8"/>
      <c r="B178" s="8"/>
      <c r="C178" s="8"/>
      <c r="D178" s="8"/>
      <c r="E178" s="8"/>
      <c r="F178" s="13"/>
      <c r="G178" s="13"/>
      <c r="H178" s="8"/>
      <c r="I178" s="13"/>
      <c r="J178" s="8"/>
      <c r="K178" s="8"/>
      <c r="L178" s="8"/>
      <c r="M178" s="8"/>
      <c r="N178" s="10"/>
      <c r="O178" s="10"/>
      <c r="P178" s="8"/>
      <c r="Q178" s="10"/>
      <c r="R178" s="14" t="str">
        <f t="shared" si="2"/>
        <v/>
      </c>
      <c r="S178" s="14" t="str">
        <f>IF(A178="","",MAX(0,G178-SUMIFS('Fabric Receiving'!$H$5:$H$304,'Fabric Receiving'!$C$5:$C$304,A178)))</f>
        <v/>
      </c>
      <c r="T178" s="8"/>
      <c r="U178" s="10"/>
      <c r="V178" s="8"/>
    </row>
    <row r="179" spans="1:22">
      <c r="A179" s="8"/>
      <c r="B179" s="8"/>
      <c r="C179" s="8"/>
      <c r="D179" s="8"/>
      <c r="E179" s="8"/>
      <c r="F179" s="13"/>
      <c r="G179" s="13"/>
      <c r="H179" s="8"/>
      <c r="I179" s="13"/>
      <c r="J179" s="8"/>
      <c r="K179" s="8"/>
      <c r="L179" s="8"/>
      <c r="M179" s="8"/>
      <c r="N179" s="10"/>
      <c r="O179" s="10"/>
      <c r="P179" s="8"/>
      <c r="Q179" s="10"/>
      <c r="R179" s="14" t="str">
        <f t="shared" si="2"/>
        <v/>
      </c>
      <c r="S179" s="14" t="str">
        <f>IF(A179="","",MAX(0,G179-SUMIFS('Fabric Receiving'!$H$5:$H$304,'Fabric Receiving'!$C$5:$C$304,A179)))</f>
        <v/>
      </c>
      <c r="T179" s="8"/>
      <c r="U179" s="10"/>
      <c r="V179" s="8"/>
    </row>
    <row r="180" spans="1:22">
      <c r="A180" s="8"/>
      <c r="B180" s="8"/>
      <c r="C180" s="8"/>
      <c r="D180" s="8"/>
      <c r="E180" s="8"/>
      <c r="F180" s="13"/>
      <c r="G180" s="13"/>
      <c r="H180" s="8"/>
      <c r="I180" s="13"/>
      <c r="J180" s="8"/>
      <c r="K180" s="8"/>
      <c r="L180" s="8"/>
      <c r="M180" s="8"/>
      <c r="N180" s="10"/>
      <c r="O180" s="10"/>
      <c r="P180" s="8"/>
      <c r="Q180" s="10"/>
      <c r="R180" s="14" t="str">
        <f t="shared" si="2"/>
        <v/>
      </c>
      <c r="S180" s="14" t="str">
        <f>IF(A180="","",MAX(0,G180-SUMIFS('Fabric Receiving'!$H$5:$H$304,'Fabric Receiving'!$C$5:$C$304,A180)))</f>
        <v/>
      </c>
      <c r="T180" s="8"/>
      <c r="U180" s="10"/>
      <c r="V180" s="8"/>
    </row>
    <row r="181" spans="1:22">
      <c r="A181" s="8"/>
      <c r="B181" s="8"/>
      <c r="C181" s="8"/>
      <c r="D181" s="8"/>
      <c r="E181" s="8"/>
      <c r="F181" s="13"/>
      <c r="G181" s="13"/>
      <c r="H181" s="8"/>
      <c r="I181" s="13"/>
      <c r="J181" s="8"/>
      <c r="K181" s="8"/>
      <c r="L181" s="8"/>
      <c r="M181" s="8"/>
      <c r="N181" s="10"/>
      <c r="O181" s="10"/>
      <c r="P181" s="8"/>
      <c r="Q181" s="10"/>
      <c r="R181" s="14" t="str">
        <f t="shared" si="2"/>
        <v/>
      </c>
      <c r="S181" s="14" t="str">
        <f>IF(A181="","",MAX(0,G181-SUMIFS('Fabric Receiving'!$H$5:$H$304,'Fabric Receiving'!$C$5:$C$304,A181)))</f>
        <v/>
      </c>
      <c r="T181" s="8"/>
      <c r="U181" s="10"/>
      <c r="V181" s="8"/>
    </row>
    <row r="182" spans="1:22">
      <c r="A182" s="8"/>
      <c r="B182" s="8"/>
      <c r="C182" s="8"/>
      <c r="D182" s="8"/>
      <c r="E182" s="8"/>
      <c r="F182" s="13"/>
      <c r="G182" s="13"/>
      <c r="H182" s="8"/>
      <c r="I182" s="13"/>
      <c r="J182" s="8"/>
      <c r="K182" s="8"/>
      <c r="L182" s="8"/>
      <c r="M182" s="8"/>
      <c r="N182" s="10"/>
      <c r="O182" s="10"/>
      <c r="P182" s="8"/>
      <c r="Q182" s="10"/>
      <c r="R182" s="14" t="str">
        <f t="shared" si="2"/>
        <v/>
      </c>
      <c r="S182" s="14" t="str">
        <f>IF(A182="","",MAX(0,G182-SUMIFS('Fabric Receiving'!$H$5:$H$304,'Fabric Receiving'!$C$5:$C$304,A182)))</f>
        <v/>
      </c>
      <c r="T182" s="8"/>
      <c r="U182" s="10"/>
      <c r="V182" s="8"/>
    </row>
    <row r="183" spans="1:22">
      <c r="A183" s="8"/>
      <c r="B183" s="8"/>
      <c r="C183" s="8"/>
      <c r="D183" s="8"/>
      <c r="E183" s="8"/>
      <c r="F183" s="13"/>
      <c r="G183" s="13"/>
      <c r="H183" s="8"/>
      <c r="I183" s="13"/>
      <c r="J183" s="8"/>
      <c r="K183" s="8"/>
      <c r="L183" s="8"/>
      <c r="M183" s="8"/>
      <c r="N183" s="10"/>
      <c r="O183" s="10"/>
      <c r="P183" s="8"/>
      <c r="Q183" s="10"/>
      <c r="R183" s="14" t="str">
        <f t="shared" si="2"/>
        <v/>
      </c>
      <c r="S183" s="14" t="str">
        <f>IF(A183="","",MAX(0,G183-SUMIFS('Fabric Receiving'!$H$5:$H$304,'Fabric Receiving'!$C$5:$C$304,A183)))</f>
        <v/>
      </c>
      <c r="T183" s="8"/>
      <c r="U183" s="10"/>
      <c r="V183" s="8"/>
    </row>
    <row r="184" spans="1:22">
      <c r="A184" s="8"/>
      <c r="B184" s="8"/>
      <c r="C184" s="8"/>
      <c r="D184" s="8"/>
      <c r="E184" s="8"/>
      <c r="F184" s="13"/>
      <c r="G184" s="13"/>
      <c r="H184" s="8"/>
      <c r="I184" s="13"/>
      <c r="J184" s="8"/>
      <c r="K184" s="8"/>
      <c r="L184" s="8"/>
      <c r="M184" s="8"/>
      <c r="N184" s="10"/>
      <c r="O184" s="10"/>
      <c r="P184" s="8"/>
      <c r="Q184" s="10"/>
      <c r="R184" s="14" t="str">
        <f t="shared" si="2"/>
        <v/>
      </c>
      <c r="S184" s="14" t="str">
        <f>IF(A184="","",MAX(0,G184-SUMIFS('Fabric Receiving'!$H$5:$H$304,'Fabric Receiving'!$C$5:$C$304,A184)))</f>
        <v/>
      </c>
      <c r="T184" s="8"/>
      <c r="U184" s="10"/>
      <c r="V184" s="8"/>
    </row>
    <row r="185" spans="1:22">
      <c r="A185" s="8"/>
      <c r="B185" s="8"/>
      <c r="C185" s="8"/>
      <c r="D185" s="8"/>
      <c r="E185" s="8"/>
      <c r="F185" s="13"/>
      <c r="G185" s="13"/>
      <c r="H185" s="8"/>
      <c r="I185" s="13"/>
      <c r="J185" s="8"/>
      <c r="K185" s="8"/>
      <c r="L185" s="8"/>
      <c r="M185" s="8"/>
      <c r="N185" s="10"/>
      <c r="O185" s="10"/>
      <c r="P185" s="8"/>
      <c r="Q185" s="10"/>
      <c r="R185" s="14" t="str">
        <f t="shared" si="2"/>
        <v/>
      </c>
      <c r="S185" s="14" t="str">
        <f>IF(A185="","",MAX(0,G185-SUMIFS('Fabric Receiving'!$H$5:$H$304,'Fabric Receiving'!$C$5:$C$304,A185)))</f>
        <v/>
      </c>
      <c r="T185" s="8"/>
      <c r="U185" s="10"/>
      <c r="V185" s="8"/>
    </row>
    <row r="186" spans="1:22">
      <c r="A186" s="8"/>
      <c r="B186" s="8"/>
      <c r="C186" s="8"/>
      <c r="D186" s="8"/>
      <c r="E186" s="8"/>
      <c r="F186" s="13"/>
      <c r="G186" s="13"/>
      <c r="H186" s="8"/>
      <c r="I186" s="13"/>
      <c r="J186" s="8"/>
      <c r="K186" s="8"/>
      <c r="L186" s="8"/>
      <c r="M186" s="8"/>
      <c r="N186" s="10"/>
      <c r="O186" s="10"/>
      <c r="P186" s="8"/>
      <c r="Q186" s="10"/>
      <c r="R186" s="14" t="str">
        <f t="shared" si="2"/>
        <v/>
      </c>
      <c r="S186" s="14" t="str">
        <f>IF(A186="","",MAX(0,G186-SUMIFS('Fabric Receiving'!$H$5:$H$304,'Fabric Receiving'!$C$5:$C$304,A186)))</f>
        <v/>
      </c>
      <c r="T186" s="8"/>
      <c r="U186" s="10"/>
      <c r="V186" s="8"/>
    </row>
    <row r="187" spans="1:22">
      <c r="A187" s="8"/>
      <c r="B187" s="8"/>
      <c r="C187" s="8"/>
      <c r="D187" s="8"/>
      <c r="E187" s="8"/>
      <c r="F187" s="13"/>
      <c r="G187" s="13"/>
      <c r="H187" s="8"/>
      <c r="I187" s="13"/>
      <c r="J187" s="8"/>
      <c r="K187" s="8"/>
      <c r="L187" s="8"/>
      <c r="M187" s="8"/>
      <c r="N187" s="10"/>
      <c r="O187" s="10"/>
      <c r="P187" s="8"/>
      <c r="Q187" s="10"/>
      <c r="R187" s="14" t="str">
        <f t="shared" si="2"/>
        <v/>
      </c>
      <c r="S187" s="14" t="str">
        <f>IF(A187="","",MAX(0,G187-SUMIFS('Fabric Receiving'!$H$5:$H$304,'Fabric Receiving'!$C$5:$C$304,A187)))</f>
        <v/>
      </c>
      <c r="T187" s="8"/>
      <c r="U187" s="10"/>
      <c r="V187" s="8"/>
    </row>
    <row r="188" spans="1:22">
      <c r="A188" s="8"/>
      <c r="B188" s="8"/>
      <c r="C188" s="8"/>
      <c r="D188" s="8"/>
      <c r="E188" s="8"/>
      <c r="F188" s="13"/>
      <c r="G188" s="13"/>
      <c r="H188" s="8"/>
      <c r="I188" s="13"/>
      <c r="J188" s="8"/>
      <c r="K188" s="8"/>
      <c r="L188" s="8"/>
      <c r="M188" s="8"/>
      <c r="N188" s="10"/>
      <c r="O188" s="10"/>
      <c r="P188" s="8"/>
      <c r="Q188" s="10"/>
      <c r="R188" s="14" t="str">
        <f t="shared" si="2"/>
        <v/>
      </c>
      <c r="S188" s="14" t="str">
        <f>IF(A188="","",MAX(0,G188-SUMIFS('Fabric Receiving'!$H$5:$H$304,'Fabric Receiving'!$C$5:$C$304,A188)))</f>
        <v/>
      </c>
      <c r="T188" s="8"/>
      <c r="U188" s="10"/>
      <c r="V188" s="8"/>
    </row>
    <row r="189" spans="1:22">
      <c r="A189" s="8"/>
      <c r="B189" s="8"/>
      <c r="C189" s="8"/>
      <c r="D189" s="8"/>
      <c r="E189" s="8"/>
      <c r="F189" s="13"/>
      <c r="G189" s="13"/>
      <c r="H189" s="8"/>
      <c r="I189" s="13"/>
      <c r="J189" s="8"/>
      <c r="K189" s="8"/>
      <c r="L189" s="8"/>
      <c r="M189" s="8"/>
      <c r="N189" s="10"/>
      <c r="O189" s="10"/>
      <c r="P189" s="8"/>
      <c r="Q189" s="10"/>
      <c r="R189" s="14" t="str">
        <f t="shared" si="2"/>
        <v/>
      </c>
      <c r="S189" s="14" t="str">
        <f>IF(A189="","",MAX(0,G189-SUMIFS('Fabric Receiving'!$H$5:$H$304,'Fabric Receiving'!$C$5:$C$304,A189)))</f>
        <v/>
      </c>
      <c r="T189" s="8"/>
      <c r="U189" s="10"/>
      <c r="V189" s="8"/>
    </row>
    <row r="190" spans="1:22">
      <c r="A190" s="8"/>
      <c r="B190" s="8"/>
      <c r="C190" s="8"/>
      <c r="D190" s="8"/>
      <c r="E190" s="8"/>
      <c r="F190" s="13"/>
      <c r="G190" s="13"/>
      <c r="H190" s="8"/>
      <c r="I190" s="13"/>
      <c r="J190" s="8"/>
      <c r="K190" s="8"/>
      <c r="L190" s="8"/>
      <c r="M190" s="8"/>
      <c r="N190" s="10"/>
      <c r="O190" s="10"/>
      <c r="P190" s="8"/>
      <c r="Q190" s="10"/>
      <c r="R190" s="14" t="str">
        <f t="shared" si="2"/>
        <v/>
      </c>
      <c r="S190" s="14" t="str">
        <f>IF(A190="","",MAX(0,G190-SUMIFS('Fabric Receiving'!$H$5:$H$304,'Fabric Receiving'!$C$5:$C$304,A190)))</f>
        <v/>
      </c>
      <c r="T190" s="8"/>
      <c r="U190" s="10"/>
      <c r="V190" s="8"/>
    </row>
    <row r="191" spans="1:22">
      <c r="A191" s="8"/>
      <c r="B191" s="8"/>
      <c r="C191" s="8"/>
      <c r="D191" s="8"/>
      <c r="E191" s="8"/>
      <c r="F191" s="13"/>
      <c r="G191" s="13"/>
      <c r="H191" s="8"/>
      <c r="I191" s="13"/>
      <c r="J191" s="8"/>
      <c r="K191" s="8"/>
      <c r="L191" s="8"/>
      <c r="M191" s="8"/>
      <c r="N191" s="10"/>
      <c r="O191" s="10"/>
      <c r="P191" s="8"/>
      <c r="Q191" s="10"/>
      <c r="R191" s="14" t="str">
        <f t="shared" si="2"/>
        <v/>
      </c>
      <c r="S191" s="14" t="str">
        <f>IF(A191="","",MAX(0,G191-SUMIFS('Fabric Receiving'!$H$5:$H$304,'Fabric Receiving'!$C$5:$C$304,A191)))</f>
        <v/>
      </c>
      <c r="T191" s="8"/>
      <c r="U191" s="10"/>
      <c r="V191" s="8"/>
    </row>
    <row r="192" spans="1:22">
      <c r="A192" s="8"/>
      <c r="B192" s="8"/>
      <c r="C192" s="8"/>
      <c r="D192" s="8"/>
      <c r="E192" s="8"/>
      <c r="F192" s="13"/>
      <c r="G192" s="13"/>
      <c r="H192" s="8"/>
      <c r="I192" s="13"/>
      <c r="J192" s="8"/>
      <c r="K192" s="8"/>
      <c r="L192" s="8"/>
      <c r="M192" s="8"/>
      <c r="N192" s="10"/>
      <c r="O192" s="10"/>
      <c r="P192" s="8"/>
      <c r="Q192" s="10"/>
      <c r="R192" s="14" t="str">
        <f t="shared" si="2"/>
        <v/>
      </c>
      <c r="S192" s="14" t="str">
        <f>IF(A192="","",MAX(0,G192-SUMIFS('Fabric Receiving'!$H$5:$H$304,'Fabric Receiving'!$C$5:$C$304,A192)))</f>
        <v/>
      </c>
      <c r="T192" s="8"/>
      <c r="U192" s="10"/>
      <c r="V192" s="8"/>
    </row>
    <row r="193" spans="1:22">
      <c r="A193" s="8"/>
      <c r="B193" s="8"/>
      <c r="C193" s="8"/>
      <c r="D193" s="8"/>
      <c r="E193" s="8"/>
      <c r="F193" s="13"/>
      <c r="G193" s="13"/>
      <c r="H193" s="8"/>
      <c r="I193" s="13"/>
      <c r="J193" s="8"/>
      <c r="K193" s="8"/>
      <c r="L193" s="8"/>
      <c r="M193" s="8"/>
      <c r="N193" s="10"/>
      <c r="O193" s="10"/>
      <c r="P193" s="8"/>
      <c r="Q193" s="10"/>
      <c r="R193" s="14" t="str">
        <f t="shared" si="2"/>
        <v/>
      </c>
      <c r="S193" s="14" t="str">
        <f>IF(A193="","",MAX(0,G193-SUMIFS('Fabric Receiving'!$H$5:$H$304,'Fabric Receiving'!$C$5:$C$304,A193)))</f>
        <v/>
      </c>
      <c r="T193" s="8"/>
      <c r="U193" s="10"/>
      <c r="V193" s="8"/>
    </row>
    <row r="194" spans="1:22">
      <c r="A194" s="8"/>
      <c r="B194" s="8"/>
      <c r="C194" s="8"/>
      <c r="D194" s="8"/>
      <c r="E194" s="8"/>
      <c r="F194" s="13"/>
      <c r="G194" s="13"/>
      <c r="H194" s="8"/>
      <c r="I194" s="13"/>
      <c r="J194" s="8"/>
      <c r="K194" s="8"/>
      <c r="L194" s="8"/>
      <c r="M194" s="8"/>
      <c r="N194" s="10"/>
      <c r="O194" s="10"/>
      <c r="P194" s="8"/>
      <c r="Q194" s="10"/>
      <c r="R194" s="14" t="str">
        <f t="shared" si="2"/>
        <v/>
      </c>
      <c r="S194" s="14" t="str">
        <f>IF(A194="","",MAX(0,G194-SUMIFS('Fabric Receiving'!$H$5:$H$304,'Fabric Receiving'!$C$5:$C$304,A194)))</f>
        <v/>
      </c>
      <c r="T194" s="8"/>
      <c r="U194" s="10"/>
      <c r="V194" s="8"/>
    </row>
    <row r="195" spans="1:22">
      <c r="A195" s="8"/>
      <c r="B195" s="8"/>
      <c r="C195" s="8"/>
      <c r="D195" s="8"/>
      <c r="E195" s="8"/>
      <c r="F195" s="13"/>
      <c r="G195" s="13"/>
      <c r="H195" s="8"/>
      <c r="I195" s="13"/>
      <c r="J195" s="8"/>
      <c r="K195" s="8"/>
      <c r="L195" s="8"/>
      <c r="M195" s="8"/>
      <c r="N195" s="10"/>
      <c r="O195" s="10"/>
      <c r="P195" s="8"/>
      <c r="Q195" s="10"/>
      <c r="R195" s="14" t="str">
        <f t="shared" si="2"/>
        <v/>
      </c>
      <c r="S195" s="14" t="str">
        <f>IF(A195="","",MAX(0,G195-SUMIFS('Fabric Receiving'!$H$5:$H$304,'Fabric Receiving'!$C$5:$C$304,A195)))</f>
        <v/>
      </c>
      <c r="T195" s="8"/>
      <c r="U195" s="10"/>
      <c r="V195" s="8"/>
    </row>
    <row r="196" spans="1:22">
      <c r="A196" s="8"/>
      <c r="B196" s="8"/>
      <c r="C196" s="8"/>
      <c r="D196" s="8"/>
      <c r="E196" s="8"/>
      <c r="F196" s="13"/>
      <c r="G196" s="13"/>
      <c r="H196" s="8"/>
      <c r="I196" s="13"/>
      <c r="J196" s="8"/>
      <c r="K196" s="8"/>
      <c r="L196" s="8"/>
      <c r="M196" s="8"/>
      <c r="N196" s="10"/>
      <c r="O196" s="10"/>
      <c r="P196" s="8"/>
      <c r="Q196" s="10"/>
      <c r="R196" s="14" t="str">
        <f t="shared" si="2"/>
        <v/>
      </c>
      <c r="S196" s="14" t="str">
        <f>IF(A196="","",MAX(0,G196-SUMIFS('Fabric Receiving'!$H$5:$H$304,'Fabric Receiving'!$C$5:$C$304,A196)))</f>
        <v/>
      </c>
      <c r="T196" s="8"/>
      <c r="U196" s="10"/>
      <c r="V196" s="8"/>
    </row>
    <row r="197" spans="1:22">
      <c r="A197" s="8"/>
      <c r="B197" s="8"/>
      <c r="C197" s="8"/>
      <c r="D197" s="8"/>
      <c r="E197" s="8"/>
      <c r="F197" s="13"/>
      <c r="G197" s="13"/>
      <c r="H197" s="8"/>
      <c r="I197" s="13"/>
      <c r="J197" s="8"/>
      <c r="K197" s="8"/>
      <c r="L197" s="8"/>
      <c r="M197" s="8"/>
      <c r="N197" s="10"/>
      <c r="O197" s="10"/>
      <c r="P197" s="8"/>
      <c r="Q197" s="10"/>
      <c r="R197" s="14" t="str">
        <f t="shared" ref="R197:R260" si="3">IF(A197="","",IF(OR(P197="Delivered",P197="Closed"),0,G197))</f>
        <v/>
      </c>
      <c r="S197" s="14" t="str">
        <f>IF(A197="","",MAX(0,G197-SUMIFS('Fabric Receiving'!$H$5:$H$304,'Fabric Receiving'!$C$5:$C$304,A197)))</f>
        <v/>
      </c>
      <c r="T197" s="8"/>
      <c r="U197" s="10"/>
      <c r="V197" s="8"/>
    </row>
    <row r="198" spans="1:22">
      <c r="A198" s="8"/>
      <c r="B198" s="8"/>
      <c r="C198" s="8"/>
      <c r="D198" s="8"/>
      <c r="E198" s="8"/>
      <c r="F198" s="13"/>
      <c r="G198" s="13"/>
      <c r="H198" s="8"/>
      <c r="I198" s="13"/>
      <c r="J198" s="8"/>
      <c r="K198" s="8"/>
      <c r="L198" s="8"/>
      <c r="M198" s="8"/>
      <c r="N198" s="10"/>
      <c r="O198" s="10"/>
      <c r="P198" s="8"/>
      <c r="Q198" s="10"/>
      <c r="R198" s="14" t="str">
        <f t="shared" si="3"/>
        <v/>
      </c>
      <c r="S198" s="14" t="str">
        <f>IF(A198="","",MAX(0,G198-SUMIFS('Fabric Receiving'!$H$5:$H$304,'Fabric Receiving'!$C$5:$C$304,A198)))</f>
        <v/>
      </c>
      <c r="T198" s="8"/>
      <c r="U198" s="10"/>
      <c r="V198" s="8"/>
    </row>
    <row r="199" spans="1:22">
      <c r="A199" s="8"/>
      <c r="B199" s="8"/>
      <c r="C199" s="8"/>
      <c r="D199" s="8"/>
      <c r="E199" s="8"/>
      <c r="F199" s="13"/>
      <c r="G199" s="13"/>
      <c r="H199" s="8"/>
      <c r="I199" s="13"/>
      <c r="J199" s="8"/>
      <c r="K199" s="8"/>
      <c r="L199" s="8"/>
      <c r="M199" s="8"/>
      <c r="N199" s="10"/>
      <c r="O199" s="10"/>
      <c r="P199" s="8"/>
      <c r="Q199" s="10"/>
      <c r="R199" s="14" t="str">
        <f t="shared" si="3"/>
        <v/>
      </c>
      <c r="S199" s="14" t="str">
        <f>IF(A199="","",MAX(0,G199-SUMIFS('Fabric Receiving'!$H$5:$H$304,'Fabric Receiving'!$C$5:$C$304,A199)))</f>
        <v/>
      </c>
      <c r="T199" s="8"/>
      <c r="U199" s="10"/>
      <c r="V199" s="8"/>
    </row>
    <row r="200" spans="1:22">
      <c r="A200" s="8"/>
      <c r="B200" s="8"/>
      <c r="C200" s="8"/>
      <c r="D200" s="8"/>
      <c r="E200" s="8"/>
      <c r="F200" s="13"/>
      <c r="G200" s="13"/>
      <c r="H200" s="8"/>
      <c r="I200" s="13"/>
      <c r="J200" s="8"/>
      <c r="K200" s="8"/>
      <c r="L200" s="8"/>
      <c r="M200" s="8"/>
      <c r="N200" s="10"/>
      <c r="O200" s="10"/>
      <c r="P200" s="8"/>
      <c r="Q200" s="10"/>
      <c r="R200" s="14" t="str">
        <f t="shared" si="3"/>
        <v/>
      </c>
      <c r="S200" s="14" t="str">
        <f>IF(A200="","",MAX(0,G200-SUMIFS('Fabric Receiving'!$H$5:$H$304,'Fabric Receiving'!$C$5:$C$304,A200)))</f>
        <v/>
      </c>
      <c r="T200" s="8"/>
      <c r="U200" s="10"/>
      <c r="V200" s="8"/>
    </row>
    <row r="201" spans="1:22">
      <c r="A201" s="8"/>
      <c r="B201" s="8"/>
      <c r="C201" s="8"/>
      <c r="D201" s="8"/>
      <c r="E201" s="8"/>
      <c r="F201" s="13"/>
      <c r="G201" s="13"/>
      <c r="H201" s="8"/>
      <c r="I201" s="13"/>
      <c r="J201" s="8"/>
      <c r="K201" s="8"/>
      <c r="L201" s="8"/>
      <c r="M201" s="8"/>
      <c r="N201" s="10"/>
      <c r="O201" s="10"/>
      <c r="P201" s="8"/>
      <c r="Q201" s="10"/>
      <c r="R201" s="14" t="str">
        <f t="shared" si="3"/>
        <v/>
      </c>
      <c r="S201" s="14" t="str">
        <f>IF(A201="","",MAX(0,G201-SUMIFS('Fabric Receiving'!$H$5:$H$304,'Fabric Receiving'!$C$5:$C$304,A201)))</f>
        <v/>
      </c>
      <c r="T201" s="8"/>
      <c r="U201" s="10"/>
      <c r="V201" s="8"/>
    </row>
    <row r="202" spans="1:22">
      <c r="A202" s="8"/>
      <c r="B202" s="8"/>
      <c r="C202" s="8"/>
      <c r="D202" s="8"/>
      <c r="E202" s="8"/>
      <c r="F202" s="13"/>
      <c r="G202" s="13"/>
      <c r="H202" s="8"/>
      <c r="I202" s="13"/>
      <c r="J202" s="8"/>
      <c r="K202" s="8"/>
      <c r="L202" s="8"/>
      <c r="M202" s="8"/>
      <c r="N202" s="10"/>
      <c r="O202" s="10"/>
      <c r="P202" s="8"/>
      <c r="Q202" s="10"/>
      <c r="R202" s="14" t="str">
        <f t="shared" si="3"/>
        <v/>
      </c>
      <c r="S202" s="14" t="str">
        <f>IF(A202="","",MAX(0,G202-SUMIFS('Fabric Receiving'!$H$5:$H$304,'Fabric Receiving'!$C$5:$C$304,A202)))</f>
        <v/>
      </c>
      <c r="T202" s="8"/>
      <c r="U202" s="10"/>
      <c r="V202" s="8"/>
    </row>
    <row r="203" spans="1:22">
      <c r="A203" s="8"/>
      <c r="B203" s="8"/>
      <c r="C203" s="8"/>
      <c r="D203" s="8"/>
      <c r="E203" s="8"/>
      <c r="F203" s="13"/>
      <c r="G203" s="13"/>
      <c r="H203" s="8"/>
      <c r="I203" s="13"/>
      <c r="J203" s="8"/>
      <c r="K203" s="8"/>
      <c r="L203" s="8"/>
      <c r="M203" s="8"/>
      <c r="N203" s="10"/>
      <c r="O203" s="10"/>
      <c r="P203" s="8"/>
      <c r="Q203" s="10"/>
      <c r="R203" s="14" t="str">
        <f t="shared" si="3"/>
        <v/>
      </c>
      <c r="S203" s="14" t="str">
        <f>IF(A203="","",MAX(0,G203-SUMIFS('Fabric Receiving'!$H$5:$H$304,'Fabric Receiving'!$C$5:$C$304,A203)))</f>
        <v/>
      </c>
      <c r="T203" s="8"/>
      <c r="U203" s="10"/>
      <c r="V203" s="8"/>
    </row>
    <row r="204" spans="1:22">
      <c r="A204" s="8"/>
      <c r="B204" s="8"/>
      <c r="C204" s="8"/>
      <c r="D204" s="8"/>
      <c r="E204" s="8"/>
      <c r="F204" s="13"/>
      <c r="G204" s="13"/>
      <c r="H204" s="8"/>
      <c r="I204" s="13"/>
      <c r="J204" s="8"/>
      <c r="K204" s="8"/>
      <c r="L204" s="8"/>
      <c r="M204" s="8"/>
      <c r="N204" s="10"/>
      <c r="O204" s="10"/>
      <c r="P204" s="8"/>
      <c r="Q204" s="10"/>
      <c r="R204" s="14" t="str">
        <f t="shared" si="3"/>
        <v/>
      </c>
      <c r="S204" s="14" t="str">
        <f>IF(A204="","",MAX(0,G204-SUMIFS('Fabric Receiving'!$H$5:$H$304,'Fabric Receiving'!$C$5:$C$304,A204)))</f>
        <v/>
      </c>
      <c r="T204" s="8"/>
      <c r="U204" s="10"/>
      <c r="V204" s="8"/>
    </row>
    <row r="205" spans="1:22">
      <c r="A205" s="8"/>
      <c r="B205" s="8"/>
      <c r="C205" s="8"/>
      <c r="D205" s="8"/>
      <c r="E205" s="8"/>
      <c r="F205" s="13"/>
      <c r="G205" s="13"/>
      <c r="H205" s="8"/>
      <c r="I205" s="13"/>
      <c r="J205" s="8"/>
      <c r="K205" s="8"/>
      <c r="L205" s="8"/>
      <c r="M205" s="8"/>
      <c r="N205" s="10"/>
      <c r="O205" s="10"/>
      <c r="P205" s="8"/>
      <c r="Q205" s="10"/>
      <c r="R205" s="14" t="str">
        <f t="shared" si="3"/>
        <v/>
      </c>
      <c r="S205" s="14" t="str">
        <f>IF(A205="","",MAX(0,G205-SUMIFS('Fabric Receiving'!$H$5:$H$304,'Fabric Receiving'!$C$5:$C$304,A205)))</f>
        <v/>
      </c>
      <c r="T205" s="8"/>
      <c r="U205" s="10"/>
      <c r="V205" s="8"/>
    </row>
    <row r="206" spans="1:22">
      <c r="A206" s="8"/>
      <c r="B206" s="8"/>
      <c r="C206" s="8"/>
      <c r="D206" s="8"/>
      <c r="E206" s="8"/>
      <c r="F206" s="13"/>
      <c r="G206" s="13"/>
      <c r="H206" s="8"/>
      <c r="I206" s="13"/>
      <c r="J206" s="8"/>
      <c r="K206" s="8"/>
      <c r="L206" s="8"/>
      <c r="M206" s="8"/>
      <c r="N206" s="10"/>
      <c r="O206" s="10"/>
      <c r="P206" s="8"/>
      <c r="Q206" s="10"/>
      <c r="R206" s="14" t="str">
        <f t="shared" si="3"/>
        <v/>
      </c>
      <c r="S206" s="14" t="str">
        <f>IF(A206="","",MAX(0,G206-SUMIFS('Fabric Receiving'!$H$5:$H$304,'Fabric Receiving'!$C$5:$C$304,A206)))</f>
        <v/>
      </c>
      <c r="T206" s="8"/>
      <c r="U206" s="10"/>
      <c r="V206" s="8"/>
    </row>
    <row r="207" spans="1:22">
      <c r="A207" s="8"/>
      <c r="B207" s="8"/>
      <c r="C207" s="8"/>
      <c r="D207" s="8"/>
      <c r="E207" s="8"/>
      <c r="F207" s="13"/>
      <c r="G207" s="13"/>
      <c r="H207" s="8"/>
      <c r="I207" s="13"/>
      <c r="J207" s="8"/>
      <c r="K207" s="8"/>
      <c r="L207" s="8"/>
      <c r="M207" s="8"/>
      <c r="N207" s="10"/>
      <c r="O207" s="10"/>
      <c r="P207" s="8"/>
      <c r="Q207" s="10"/>
      <c r="R207" s="14" t="str">
        <f t="shared" si="3"/>
        <v/>
      </c>
      <c r="S207" s="14" t="str">
        <f>IF(A207="","",MAX(0,G207-SUMIFS('Fabric Receiving'!$H$5:$H$304,'Fabric Receiving'!$C$5:$C$304,A207)))</f>
        <v/>
      </c>
      <c r="T207" s="8"/>
      <c r="U207" s="10"/>
      <c r="V207" s="8"/>
    </row>
    <row r="208" spans="1:22">
      <c r="A208" s="8"/>
      <c r="B208" s="8"/>
      <c r="C208" s="8"/>
      <c r="D208" s="8"/>
      <c r="E208" s="8"/>
      <c r="F208" s="13"/>
      <c r="G208" s="13"/>
      <c r="H208" s="8"/>
      <c r="I208" s="13"/>
      <c r="J208" s="8"/>
      <c r="K208" s="8"/>
      <c r="L208" s="8"/>
      <c r="M208" s="8"/>
      <c r="N208" s="10"/>
      <c r="O208" s="10"/>
      <c r="P208" s="8"/>
      <c r="Q208" s="10"/>
      <c r="R208" s="14" t="str">
        <f t="shared" si="3"/>
        <v/>
      </c>
      <c r="S208" s="14" t="str">
        <f>IF(A208="","",MAX(0,G208-SUMIFS('Fabric Receiving'!$H$5:$H$304,'Fabric Receiving'!$C$5:$C$304,A208)))</f>
        <v/>
      </c>
      <c r="T208" s="8"/>
      <c r="U208" s="10"/>
      <c r="V208" s="8"/>
    </row>
    <row r="209" spans="1:22">
      <c r="A209" s="8"/>
      <c r="B209" s="8"/>
      <c r="C209" s="8"/>
      <c r="D209" s="8"/>
      <c r="E209" s="8"/>
      <c r="F209" s="13"/>
      <c r="G209" s="13"/>
      <c r="H209" s="8"/>
      <c r="I209" s="13"/>
      <c r="J209" s="8"/>
      <c r="K209" s="8"/>
      <c r="L209" s="8"/>
      <c r="M209" s="8"/>
      <c r="N209" s="10"/>
      <c r="O209" s="10"/>
      <c r="P209" s="8"/>
      <c r="Q209" s="10"/>
      <c r="R209" s="14" t="str">
        <f t="shared" si="3"/>
        <v/>
      </c>
      <c r="S209" s="14" t="str">
        <f>IF(A209="","",MAX(0,G209-SUMIFS('Fabric Receiving'!$H$5:$H$304,'Fabric Receiving'!$C$5:$C$304,A209)))</f>
        <v/>
      </c>
      <c r="T209" s="8"/>
      <c r="U209" s="10"/>
      <c r="V209" s="8"/>
    </row>
    <row r="210" spans="1:22">
      <c r="A210" s="8"/>
      <c r="B210" s="8"/>
      <c r="C210" s="8"/>
      <c r="D210" s="8"/>
      <c r="E210" s="8"/>
      <c r="F210" s="13"/>
      <c r="G210" s="13"/>
      <c r="H210" s="8"/>
      <c r="I210" s="13"/>
      <c r="J210" s="8"/>
      <c r="K210" s="8"/>
      <c r="L210" s="8"/>
      <c r="M210" s="8"/>
      <c r="N210" s="10"/>
      <c r="O210" s="10"/>
      <c r="P210" s="8"/>
      <c r="Q210" s="10"/>
      <c r="R210" s="14" t="str">
        <f t="shared" si="3"/>
        <v/>
      </c>
      <c r="S210" s="14" t="str">
        <f>IF(A210="","",MAX(0,G210-SUMIFS('Fabric Receiving'!$H$5:$H$304,'Fabric Receiving'!$C$5:$C$304,A210)))</f>
        <v/>
      </c>
      <c r="T210" s="8"/>
      <c r="U210" s="10"/>
      <c r="V210" s="8"/>
    </row>
    <row r="211" spans="1:22">
      <c r="A211" s="8"/>
      <c r="B211" s="8"/>
      <c r="C211" s="8"/>
      <c r="D211" s="8"/>
      <c r="E211" s="8"/>
      <c r="F211" s="13"/>
      <c r="G211" s="13"/>
      <c r="H211" s="8"/>
      <c r="I211" s="13"/>
      <c r="J211" s="8"/>
      <c r="K211" s="8"/>
      <c r="L211" s="8"/>
      <c r="M211" s="8"/>
      <c r="N211" s="10"/>
      <c r="O211" s="10"/>
      <c r="P211" s="8"/>
      <c r="Q211" s="10"/>
      <c r="R211" s="14" t="str">
        <f t="shared" si="3"/>
        <v/>
      </c>
      <c r="S211" s="14" t="str">
        <f>IF(A211="","",MAX(0,G211-SUMIFS('Fabric Receiving'!$H$5:$H$304,'Fabric Receiving'!$C$5:$C$304,A211)))</f>
        <v/>
      </c>
      <c r="T211" s="8"/>
      <c r="U211" s="10"/>
      <c r="V211" s="8"/>
    </row>
    <row r="212" spans="1:22">
      <c r="A212" s="8"/>
      <c r="B212" s="8"/>
      <c r="C212" s="8"/>
      <c r="D212" s="8"/>
      <c r="E212" s="8"/>
      <c r="F212" s="13"/>
      <c r="G212" s="13"/>
      <c r="H212" s="8"/>
      <c r="I212" s="13"/>
      <c r="J212" s="8"/>
      <c r="K212" s="8"/>
      <c r="L212" s="8"/>
      <c r="M212" s="8"/>
      <c r="N212" s="10"/>
      <c r="O212" s="10"/>
      <c r="P212" s="8"/>
      <c r="Q212" s="10"/>
      <c r="R212" s="14" t="str">
        <f t="shared" si="3"/>
        <v/>
      </c>
      <c r="S212" s="14" t="str">
        <f>IF(A212="","",MAX(0,G212-SUMIFS('Fabric Receiving'!$H$5:$H$304,'Fabric Receiving'!$C$5:$C$304,A212)))</f>
        <v/>
      </c>
      <c r="T212" s="8"/>
      <c r="U212" s="10"/>
      <c r="V212" s="8"/>
    </row>
    <row r="213" spans="1:22">
      <c r="A213" s="8"/>
      <c r="B213" s="8"/>
      <c r="C213" s="8"/>
      <c r="D213" s="8"/>
      <c r="E213" s="8"/>
      <c r="F213" s="13"/>
      <c r="G213" s="13"/>
      <c r="H213" s="8"/>
      <c r="I213" s="13"/>
      <c r="J213" s="8"/>
      <c r="K213" s="8"/>
      <c r="L213" s="8"/>
      <c r="M213" s="8"/>
      <c r="N213" s="10"/>
      <c r="O213" s="10"/>
      <c r="P213" s="8"/>
      <c r="Q213" s="10"/>
      <c r="R213" s="14" t="str">
        <f t="shared" si="3"/>
        <v/>
      </c>
      <c r="S213" s="14" t="str">
        <f>IF(A213="","",MAX(0,G213-SUMIFS('Fabric Receiving'!$H$5:$H$304,'Fabric Receiving'!$C$5:$C$304,A213)))</f>
        <v/>
      </c>
      <c r="T213" s="8"/>
      <c r="U213" s="10"/>
      <c r="V213" s="8"/>
    </row>
    <row r="214" spans="1:22">
      <c r="A214" s="8"/>
      <c r="B214" s="8"/>
      <c r="C214" s="8"/>
      <c r="D214" s="8"/>
      <c r="E214" s="8"/>
      <c r="F214" s="13"/>
      <c r="G214" s="13"/>
      <c r="H214" s="8"/>
      <c r="I214" s="13"/>
      <c r="J214" s="8"/>
      <c r="K214" s="8"/>
      <c r="L214" s="8"/>
      <c r="M214" s="8"/>
      <c r="N214" s="10"/>
      <c r="O214" s="10"/>
      <c r="P214" s="8"/>
      <c r="Q214" s="10"/>
      <c r="R214" s="14" t="str">
        <f t="shared" si="3"/>
        <v/>
      </c>
      <c r="S214" s="14" t="str">
        <f>IF(A214="","",MAX(0,G214-SUMIFS('Fabric Receiving'!$H$5:$H$304,'Fabric Receiving'!$C$5:$C$304,A214)))</f>
        <v/>
      </c>
      <c r="T214" s="8"/>
      <c r="U214" s="10"/>
      <c r="V214" s="8"/>
    </row>
    <row r="215" spans="1:22">
      <c r="A215" s="8"/>
      <c r="B215" s="8"/>
      <c r="C215" s="8"/>
      <c r="D215" s="8"/>
      <c r="E215" s="8"/>
      <c r="F215" s="13"/>
      <c r="G215" s="13"/>
      <c r="H215" s="8"/>
      <c r="I215" s="13"/>
      <c r="J215" s="8"/>
      <c r="K215" s="8"/>
      <c r="L215" s="8"/>
      <c r="M215" s="8"/>
      <c r="N215" s="10"/>
      <c r="O215" s="10"/>
      <c r="P215" s="8"/>
      <c r="Q215" s="10"/>
      <c r="R215" s="14" t="str">
        <f t="shared" si="3"/>
        <v/>
      </c>
      <c r="S215" s="14" t="str">
        <f>IF(A215="","",MAX(0,G215-SUMIFS('Fabric Receiving'!$H$5:$H$304,'Fabric Receiving'!$C$5:$C$304,A215)))</f>
        <v/>
      </c>
      <c r="T215" s="8"/>
      <c r="U215" s="10"/>
      <c r="V215" s="8"/>
    </row>
    <row r="216" spans="1:22">
      <c r="A216" s="8"/>
      <c r="B216" s="8"/>
      <c r="C216" s="8"/>
      <c r="D216" s="8"/>
      <c r="E216" s="8"/>
      <c r="F216" s="13"/>
      <c r="G216" s="13"/>
      <c r="H216" s="8"/>
      <c r="I216" s="13"/>
      <c r="J216" s="8"/>
      <c r="K216" s="8"/>
      <c r="L216" s="8"/>
      <c r="M216" s="8"/>
      <c r="N216" s="10"/>
      <c r="O216" s="10"/>
      <c r="P216" s="8"/>
      <c r="Q216" s="10"/>
      <c r="R216" s="14" t="str">
        <f t="shared" si="3"/>
        <v/>
      </c>
      <c r="S216" s="14" t="str">
        <f>IF(A216="","",MAX(0,G216-SUMIFS('Fabric Receiving'!$H$5:$H$304,'Fabric Receiving'!$C$5:$C$304,A216)))</f>
        <v/>
      </c>
      <c r="T216" s="8"/>
      <c r="U216" s="10"/>
      <c r="V216" s="8"/>
    </row>
    <row r="217" spans="1:22">
      <c r="A217" s="8"/>
      <c r="B217" s="8"/>
      <c r="C217" s="8"/>
      <c r="D217" s="8"/>
      <c r="E217" s="8"/>
      <c r="F217" s="13"/>
      <c r="G217" s="13"/>
      <c r="H217" s="8"/>
      <c r="I217" s="13"/>
      <c r="J217" s="8"/>
      <c r="K217" s="8"/>
      <c r="L217" s="8"/>
      <c r="M217" s="8"/>
      <c r="N217" s="10"/>
      <c r="O217" s="10"/>
      <c r="P217" s="8"/>
      <c r="Q217" s="10"/>
      <c r="R217" s="14" t="str">
        <f t="shared" si="3"/>
        <v/>
      </c>
      <c r="S217" s="14" t="str">
        <f>IF(A217="","",MAX(0,G217-SUMIFS('Fabric Receiving'!$H$5:$H$304,'Fabric Receiving'!$C$5:$C$304,A217)))</f>
        <v/>
      </c>
      <c r="T217" s="8"/>
      <c r="U217" s="10"/>
      <c r="V217" s="8"/>
    </row>
    <row r="218" spans="1:22">
      <c r="A218" s="8"/>
      <c r="B218" s="8"/>
      <c r="C218" s="8"/>
      <c r="D218" s="8"/>
      <c r="E218" s="8"/>
      <c r="F218" s="13"/>
      <c r="G218" s="13"/>
      <c r="H218" s="8"/>
      <c r="I218" s="13"/>
      <c r="J218" s="8"/>
      <c r="K218" s="8"/>
      <c r="L218" s="8"/>
      <c r="M218" s="8"/>
      <c r="N218" s="10"/>
      <c r="O218" s="10"/>
      <c r="P218" s="8"/>
      <c r="Q218" s="10"/>
      <c r="R218" s="14" t="str">
        <f t="shared" si="3"/>
        <v/>
      </c>
      <c r="S218" s="14" t="str">
        <f>IF(A218="","",MAX(0,G218-SUMIFS('Fabric Receiving'!$H$5:$H$304,'Fabric Receiving'!$C$5:$C$304,A218)))</f>
        <v/>
      </c>
      <c r="T218" s="8"/>
      <c r="U218" s="10"/>
      <c r="V218" s="8"/>
    </row>
    <row r="219" spans="1:22">
      <c r="A219" s="8"/>
      <c r="B219" s="8"/>
      <c r="C219" s="8"/>
      <c r="D219" s="8"/>
      <c r="E219" s="8"/>
      <c r="F219" s="13"/>
      <c r="G219" s="13"/>
      <c r="H219" s="8"/>
      <c r="I219" s="13"/>
      <c r="J219" s="8"/>
      <c r="K219" s="8"/>
      <c r="L219" s="8"/>
      <c r="M219" s="8"/>
      <c r="N219" s="10"/>
      <c r="O219" s="10"/>
      <c r="P219" s="8"/>
      <c r="Q219" s="10"/>
      <c r="R219" s="14" t="str">
        <f t="shared" si="3"/>
        <v/>
      </c>
      <c r="S219" s="14" t="str">
        <f>IF(A219="","",MAX(0,G219-SUMIFS('Fabric Receiving'!$H$5:$H$304,'Fabric Receiving'!$C$5:$C$304,A219)))</f>
        <v/>
      </c>
      <c r="T219" s="8"/>
      <c r="U219" s="10"/>
      <c r="V219" s="8"/>
    </row>
    <row r="220" spans="1:22">
      <c r="A220" s="8"/>
      <c r="B220" s="8"/>
      <c r="C220" s="8"/>
      <c r="D220" s="8"/>
      <c r="E220" s="8"/>
      <c r="F220" s="13"/>
      <c r="G220" s="13"/>
      <c r="H220" s="8"/>
      <c r="I220" s="13"/>
      <c r="J220" s="8"/>
      <c r="K220" s="8"/>
      <c r="L220" s="8"/>
      <c r="M220" s="8"/>
      <c r="N220" s="10"/>
      <c r="O220" s="10"/>
      <c r="P220" s="8"/>
      <c r="Q220" s="10"/>
      <c r="R220" s="14" t="str">
        <f t="shared" si="3"/>
        <v/>
      </c>
      <c r="S220" s="14" t="str">
        <f>IF(A220="","",MAX(0,G220-SUMIFS('Fabric Receiving'!$H$5:$H$304,'Fabric Receiving'!$C$5:$C$304,A220)))</f>
        <v/>
      </c>
      <c r="T220" s="8"/>
      <c r="U220" s="10"/>
      <c r="V220" s="8"/>
    </row>
    <row r="221" spans="1:22">
      <c r="A221" s="8"/>
      <c r="B221" s="8"/>
      <c r="C221" s="8"/>
      <c r="D221" s="8"/>
      <c r="E221" s="8"/>
      <c r="F221" s="13"/>
      <c r="G221" s="13"/>
      <c r="H221" s="8"/>
      <c r="I221" s="13"/>
      <c r="J221" s="8"/>
      <c r="K221" s="8"/>
      <c r="L221" s="8"/>
      <c r="M221" s="8"/>
      <c r="N221" s="10"/>
      <c r="O221" s="10"/>
      <c r="P221" s="8"/>
      <c r="Q221" s="10"/>
      <c r="R221" s="14" t="str">
        <f t="shared" si="3"/>
        <v/>
      </c>
      <c r="S221" s="14" t="str">
        <f>IF(A221="","",MAX(0,G221-SUMIFS('Fabric Receiving'!$H$5:$H$304,'Fabric Receiving'!$C$5:$C$304,A221)))</f>
        <v/>
      </c>
      <c r="T221" s="8"/>
      <c r="U221" s="10"/>
      <c r="V221" s="8"/>
    </row>
    <row r="222" spans="1:22">
      <c r="A222" s="8"/>
      <c r="B222" s="8"/>
      <c r="C222" s="8"/>
      <c r="D222" s="8"/>
      <c r="E222" s="8"/>
      <c r="F222" s="13"/>
      <c r="G222" s="13"/>
      <c r="H222" s="8"/>
      <c r="I222" s="13"/>
      <c r="J222" s="8"/>
      <c r="K222" s="8"/>
      <c r="L222" s="8"/>
      <c r="M222" s="8"/>
      <c r="N222" s="10"/>
      <c r="O222" s="10"/>
      <c r="P222" s="8"/>
      <c r="Q222" s="10"/>
      <c r="R222" s="14" t="str">
        <f t="shared" si="3"/>
        <v/>
      </c>
      <c r="S222" s="14" t="str">
        <f>IF(A222="","",MAX(0,G222-SUMIFS('Fabric Receiving'!$H$5:$H$304,'Fabric Receiving'!$C$5:$C$304,A222)))</f>
        <v/>
      </c>
      <c r="T222" s="8"/>
      <c r="U222" s="10"/>
      <c r="V222" s="8"/>
    </row>
    <row r="223" spans="1:22">
      <c r="A223" s="8"/>
      <c r="B223" s="8"/>
      <c r="C223" s="8"/>
      <c r="D223" s="8"/>
      <c r="E223" s="8"/>
      <c r="F223" s="13"/>
      <c r="G223" s="13"/>
      <c r="H223" s="8"/>
      <c r="I223" s="13"/>
      <c r="J223" s="8"/>
      <c r="K223" s="8"/>
      <c r="L223" s="8"/>
      <c r="M223" s="8"/>
      <c r="N223" s="10"/>
      <c r="O223" s="10"/>
      <c r="P223" s="8"/>
      <c r="Q223" s="10"/>
      <c r="R223" s="14" t="str">
        <f t="shared" si="3"/>
        <v/>
      </c>
      <c r="S223" s="14" t="str">
        <f>IF(A223="","",MAX(0,G223-SUMIFS('Fabric Receiving'!$H$5:$H$304,'Fabric Receiving'!$C$5:$C$304,A223)))</f>
        <v/>
      </c>
      <c r="T223" s="8"/>
      <c r="U223" s="10"/>
      <c r="V223" s="8"/>
    </row>
    <row r="224" spans="1:22">
      <c r="A224" s="8"/>
      <c r="B224" s="8"/>
      <c r="C224" s="8"/>
      <c r="D224" s="8"/>
      <c r="E224" s="8"/>
      <c r="F224" s="13"/>
      <c r="G224" s="13"/>
      <c r="H224" s="8"/>
      <c r="I224" s="13"/>
      <c r="J224" s="8"/>
      <c r="K224" s="8"/>
      <c r="L224" s="8"/>
      <c r="M224" s="8"/>
      <c r="N224" s="10"/>
      <c r="O224" s="10"/>
      <c r="P224" s="8"/>
      <c r="Q224" s="10"/>
      <c r="R224" s="14" t="str">
        <f t="shared" si="3"/>
        <v/>
      </c>
      <c r="S224" s="14" t="str">
        <f>IF(A224="","",MAX(0,G224-SUMIFS('Fabric Receiving'!$H$5:$H$304,'Fabric Receiving'!$C$5:$C$304,A224)))</f>
        <v/>
      </c>
      <c r="T224" s="8"/>
      <c r="U224" s="10"/>
      <c r="V224" s="8"/>
    </row>
    <row r="225" spans="1:22">
      <c r="A225" s="8"/>
      <c r="B225" s="8"/>
      <c r="C225" s="8"/>
      <c r="D225" s="8"/>
      <c r="E225" s="8"/>
      <c r="F225" s="13"/>
      <c r="G225" s="13"/>
      <c r="H225" s="8"/>
      <c r="I225" s="13"/>
      <c r="J225" s="8"/>
      <c r="K225" s="8"/>
      <c r="L225" s="8"/>
      <c r="M225" s="8"/>
      <c r="N225" s="10"/>
      <c r="O225" s="10"/>
      <c r="P225" s="8"/>
      <c r="Q225" s="10"/>
      <c r="R225" s="14" t="str">
        <f t="shared" si="3"/>
        <v/>
      </c>
      <c r="S225" s="14" t="str">
        <f>IF(A225="","",MAX(0,G225-SUMIFS('Fabric Receiving'!$H$5:$H$304,'Fabric Receiving'!$C$5:$C$304,A225)))</f>
        <v/>
      </c>
      <c r="T225" s="8"/>
      <c r="U225" s="10"/>
      <c r="V225" s="8"/>
    </row>
    <row r="226" spans="1:22">
      <c r="A226" s="8"/>
      <c r="B226" s="8"/>
      <c r="C226" s="8"/>
      <c r="D226" s="8"/>
      <c r="E226" s="8"/>
      <c r="F226" s="13"/>
      <c r="G226" s="13"/>
      <c r="H226" s="8"/>
      <c r="I226" s="13"/>
      <c r="J226" s="8"/>
      <c r="K226" s="8"/>
      <c r="L226" s="8"/>
      <c r="M226" s="8"/>
      <c r="N226" s="10"/>
      <c r="O226" s="10"/>
      <c r="P226" s="8"/>
      <c r="Q226" s="10"/>
      <c r="R226" s="14" t="str">
        <f t="shared" si="3"/>
        <v/>
      </c>
      <c r="S226" s="14" t="str">
        <f>IF(A226="","",MAX(0,G226-SUMIFS('Fabric Receiving'!$H$5:$H$304,'Fabric Receiving'!$C$5:$C$304,A226)))</f>
        <v/>
      </c>
      <c r="T226" s="8"/>
      <c r="U226" s="10"/>
      <c r="V226" s="8"/>
    </row>
    <row r="227" spans="1:22">
      <c r="A227" s="8"/>
      <c r="B227" s="8"/>
      <c r="C227" s="8"/>
      <c r="D227" s="8"/>
      <c r="E227" s="8"/>
      <c r="F227" s="13"/>
      <c r="G227" s="13"/>
      <c r="H227" s="8"/>
      <c r="I227" s="13"/>
      <c r="J227" s="8"/>
      <c r="K227" s="8"/>
      <c r="L227" s="8"/>
      <c r="M227" s="8"/>
      <c r="N227" s="10"/>
      <c r="O227" s="10"/>
      <c r="P227" s="8"/>
      <c r="Q227" s="10"/>
      <c r="R227" s="14" t="str">
        <f t="shared" si="3"/>
        <v/>
      </c>
      <c r="S227" s="14" t="str">
        <f>IF(A227="","",MAX(0,G227-SUMIFS('Fabric Receiving'!$H$5:$H$304,'Fabric Receiving'!$C$5:$C$304,A227)))</f>
        <v/>
      </c>
      <c r="T227" s="8"/>
      <c r="U227" s="10"/>
      <c r="V227" s="8"/>
    </row>
    <row r="228" spans="1:22">
      <c r="A228" s="8"/>
      <c r="B228" s="8"/>
      <c r="C228" s="8"/>
      <c r="D228" s="8"/>
      <c r="E228" s="8"/>
      <c r="F228" s="13"/>
      <c r="G228" s="13"/>
      <c r="H228" s="8"/>
      <c r="I228" s="13"/>
      <c r="J228" s="8"/>
      <c r="K228" s="8"/>
      <c r="L228" s="8"/>
      <c r="M228" s="8"/>
      <c r="N228" s="10"/>
      <c r="O228" s="10"/>
      <c r="P228" s="8"/>
      <c r="Q228" s="10"/>
      <c r="R228" s="14" t="str">
        <f t="shared" si="3"/>
        <v/>
      </c>
      <c r="S228" s="14" t="str">
        <f>IF(A228="","",MAX(0,G228-SUMIFS('Fabric Receiving'!$H$5:$H$304,'Fabric Receiving'!$C$5:$C$304,A228)))</f>
        <v/>
      </c>
      <c r="T228" s="8"/>
      <c r="U228" s="10"/>
      <c r="V228" s="8"/>
    </row>
    <row r="229" spans="1:22">
      <c r="A229" s="8"/>
      <c r="B229" s="8"/>
      <c r="C229" s="8"/>
      <c r="D229" s="8"/>
      <c r="E229" s="8"/>
      <c r="F229" s="13"/>
      <c r="G229" s="13"/>
      <c r="H229" s="8"/>
      <c r="I229" s="13"/>
      <c r="J229" s="8"/>
      <c r="K229" s="8"/>
      <c r="L229" s="8"/>
      <c r="M229" s="8"/>
      <c r="N229" s="10"/>
      <c r="O229" s="10"/>
      <c r="P229" s="8"/>
      <c r="Q229" s="10"/>
      <c r="R229" s="14" t="str">
        <f t="shared" si="3"/>
        <v/>
      </c>
      <c r="S229" s="14" t="str">
        <f>IF(A229="","",MAX(0,G229-SUMIFS('Fabric Receiving'!$H$5:$H$304,'Fabric Receiving'!$C$5:$C$304,A229)))</f>
        <v/>
      </c>
      <c r="T229" s="8"/>
      <c r="U229" s="10"/>
      <c r="V229" s="8"/>
    </row>
    <row r="230" spans="1:22">
      <c r="A230" s="8"/>
      <c r="B230" s="8"/>
      <c r="C230" s="8"/>
      <c r="D230" s="8"/>
      <c r="E230" s="8"/>
      <c r="F230" s="13"/>
      <c r="G230" s="13"/>
      <c r="H230" s="8"/>
      <c r="I230" s="13"/>
      <c r="J230" s="8"/>
      <c r="K230" s="8"/>
      <c r="L230" s="8"/>
      <c r="M230" s="8"/>
      <c r="N230" s="10"/>
      <c r="O230" s="10"/>
      <c r="P230" s="8"/>
      <c r="Q230" s="10"/>
      <c r="R230" s="14" t="str">
        <f t="shared" si="3"/>
        <v/>
      </c>
      <c r="S230" s="14" t="str">
        <f>IF(A230="","",MAX(0,G230-SUMIFS('Fabric Receiving'!$H$5:$H$304,'Fabric Receiving'!$C$5:$C$304,A230)))</f>
        <v/>
      </c>
      <c r="T230" s="8"/>
      <c r="U230" s="10"/>
      <c r="V230" s="8"/>
    </row>
    <row r="231" spans="1:22">
      <c r="A231" s="8"/>
      <c r="B231" s="8"/>
      <c r="C231" s="8"/>
      <c r="D231" s="8"/>
      <c r="E231" s="8"/>
      <c r="F231" s="13"/>
      <c r="G231" s="13"/>
      <c r="H231" s="8"/>
      <c r="I231" s="13"/>
      <c r="J231" s="8"/>
      <c r="K231" s="8"/>
      <c r="L231" s="8"/>
      <c r="M231" s="8"/>
      <c r="N231" s="10"/>
      <c r="O231" s="10"/>
      <c r="P231" s="8"/>
      <c r="Q231" s="10"/>
      <c r="R231" s="14" t="str">
        <f t="shared" si="3"/>
        <v/>
      </c>
      <c r="S231" s="14" t="str">
        <f>IF(A231="","",MAX(0,G231-SUMIFS('Fabric Receiving'!$H$5:$H$304,'Fabric Receiving'!$C$5:$C$304,A231)))</f>
        <v/>
      </c>
      <c r="T231" s="8"/>
      <c r="U231" s="10"/>
      <c r="V231" s="8"/>
    </row>
    <row r="232" spans="1:22">
      <c r="A232" s="8"/>
      <c r="B232" s="8"/>
      <c r="C232" s="8"/>
      <c r="D232" s="8"/>
      <c r="E232" s="8"/>
      <c r="F232" s="13"/>
      <c r="G232" s="13"/>
      <c r="H232" s="8"/>
      <c r="I232" s="13"/>
      <c r="J232" s="8"/>
      <c r="K232" s="8"/>
      <c r="L232" s="8"/>
      <c r="M232" s="8"/>
      <c r="N232" s="10"/>
      <c r="O232" s="10"/>
      <c r="P232" s="8"/>
      <c r="Q232" s="10"/>
      <c r="R232" s="14" t="str">
        <f t="shared" si="3"/>
        <v/>
      </c>
      <c r="S232" s="14" t="str">
        <f>IF(A232="","",MAX(0,G232-SUMIFS('Fabric Receiving'!$H$5:$H$304,'Fabric Receiving'!$C$5:$C$304,A232)))</f>
        <v/>
      </c>
      <c r="T232" s="8"/>
      <c r="U232" s="10"/>
      <c r="V232" s="8"/>
    </row>
    <row r="233" spans="1:22">
      <c r="A233" s="8"/>
      <c r="B233" s="8"/>
      <c r="C233" s="8"/>
      <c r="D233" s="8"/>
      <c r="E233" s="8"/>
      <c r="F233" s="13"/>
      <c r="G233" s="13"/>
      <c r="H233" s="8"/>
      <c r="I233" s="13"/>
      <c r="J233" s="8"/>
      <c r="K233" s="8"/>
      <c r="L233" s="8"/>
      <c r="M233" s="8"/>
      <c r="N233" s="10"/>
      <c r="O233" s="10"/>
      <c r="P233" s="8"/>
      <c r="Q233" s="10"/>
      <c r="R233" s="14" t="str">
        <f t="shared" si="3"/>
        <v/>
      </c>
      <c r="S233" s="14" t="str">
        <f>IF(A233="","",MAX(0,G233-SUMIFS('Fabric Receiving'!$H$5:$H$304,'Fabric Receiving'!$C$5:$C$304,A233)))</f>
        <v/>
      </c>
      <c r="T233" s="8"/>
      <c r="U233" s="10"/>
      <c r="V233" s="8"/>
    </row>
    <row r="234" spans="1:22">
      <c r="A234" s="8"/>
      <c r="B234" s="8"/>
      <c r="C234" s="8"/>
      <c r="D234" s="8"/>
      <c r="E234" s="8"/>
      <c r="F234" s="13"/>
      <c r="G234" s="13"/>
      <c r="H234" s="8"/>
      <c r="I234" s="13"/>
      <c r="J234" s="8"/>
      <c r="K234" s="8"/>
      <c r="L234" s="8"/>
      <c r="M234" s="8"/>
      <c r="N234" s="10"/>
      <c r="O234" s="10"/>
      <c r="P234" s="8"/>
      <c r="Q234" s="10"/>
      <c r="R234" s="14" t="str">
        <f t="shared" si="3"/>
        <v/>
      </c>
      <c r="S234" s="14" t="str">
        <f>IF(A234="","",MAX(0,G234-SUMIFS('Fabric Receiving'!$H$5:$H$304,'Fabric Receiving'!$C$5:$C$304,A234)))</f>
        <v/>
      </c>
      <c r="T234" s="8"/>
      <c r="U234" s="10"/>
      <c r="V234" s="8"/>
    </row>
    <row r="235" spans="1:22">
      <c r="A235" s="8"/>
      <c r="B235" s="8"/>
      <c r="C235" s="8"/>
      <c r="D235" s="8"/>
      <c r="E235" s="8"/>
      <c r="F235" s="13"/>
      <c r="G235" s="13"/>
      <c r="H235" s="8"/>
      <c r="I235" s="13"/>
      <c r="J235" s="8"/>
      <c r="K235" s="8"/>
      <c r="L235" s="8"/>
      <c r="M235" s="8"/>
      <c r="N235" s="10"/>
      <c r="O235" s="10"/>
      <c r="P235" s="8"/>
      <c r="Q235" s="10"/>
      <c r="R235" s="14" t="str">
        <f t="shared" si="3"/>
        <v/>
      </c>
      <c r="S235" s="14" t="str">
        <f>IF(A235="","",MAX(0,G235-SUMIFS('Fabric Receiving'!$H$5:$H$304,'Fabric Receiving'!$C$5:$C$304,A235)))</f>
        <v/>
      </c>
      <c r="T235" s="8"/>
      <c r="U235" s="10"/>
      <c r="V235" s="8"/>
    </row>
    <row r="236" spans="1:22">
      <c r="A236" s="8"/>
      <c r="B236" s="8"/>
      <c r="C236" s="8"/>
      <c r="D236" s="8"/>
      <c r="E236" s="8"/>
      <c r="F236" s="13"/>
      <c r="G236" s="13"/>
      <c r="H236" s="8"/>
      <c r="I236" s="13"/>
      <c r="J236" s="8"/>
      <c r="K236" s="8"/>
      <c r="L236" s="8"/>
      <c r="M236" s="8"/>
      <c r="N236" s="10"/>
      <c r="O236" s="10"/>
      <c r="P236" s="8"/>
      <c r="Q236" s="10"/>
      <c r="R236" s="14" t="str">
        <f t="shared" si="3"/>
        <v/>
      </c>
      <c r="S236" s="14" t="str">
        <f>IF(A236="","",MAX(0,G236-SUMIFS('Fabric Receiving'!$H$5:$H$304,'Fabric Receiving'!$C$5:$C$304,A236)))</f>
        <v/>
      </c>
      <c r="T236" s="8"/>
      <c r="U236" s="10"/>
      <c r="V236" s="8"/>
    </row>
    <row r="237" spans="1:22">
      <c r="A237" s="8"/>
      <c r="B237" s="8"/>
      <c r="C237" s="8"/>
      <c r="D237" s="8"/>
      <c r="E237" s="8"/>
      <c r="F237" s="13"/>
      <c r="G237" s="13"/>
      <c r="H237" s="8"/>
      <c r="I237" s="13"/>
      <c r="J237" s="8"/>
      <c r="K237" s="8"/>
      <c r="L237" s="8"/>
      <c r="M237" s="8"/>
      <c r="N237" s="10"/>
      <c r="O237" s="10"/>
      <c r="P237" s="8"/>
      <c r="Q237" s="10"/>
      <c r="R237" s="14" t="str">
        <f t="shared" si="3"/>
        <v/>
      </c>
      <c r="S237" s="14" t="str">
        <f>IF(A237="","",MAX(0,G237-SUMIFS('Fabric Receiving'!$H$5:$H$304,'Fabric Receiving'!$C$5:$C$304,A237)))</f>
        <v/>
      </c>
      <c r="T237" s="8"/>
      <c r="U237" s="10"/>
      <c r="V237" s="8"/>
    </row>
    <row r="238" spans="1:22">
      <c r="A238" s="8"/>
      <c r="B238" s="8"/>
      <c r="C238" s="8"/>
      <c r="D238" s="8"/>
      <c r="E238" s="8"/>
      <c r="F238" s="13"/>
      <c r="G238" s="13"/>
      <c r="H238" s="8"/>
      <c r="I238" s="13"/>
      <c r="J238" s="8"/>
      <c r="K238" s="8"/>
      <c r="L238" s="8"/>
      <c r="M238" s="8"/>
      <c r="N238" s="10"/>
      <c r="O238" s="10"/>
      <c r="P238" s="8"/>
      <c r="Q238" s="10"/>
      <c r="R238" s="14" t="str">
        <f t="shared" si="3"/>
        <v/>
      </c>
      <c r="S238" s="14" t="str">
        <f>IF(A238="","",MAX(0,G238-SUMIFS('Fabric Receiving'!$H$5:$H$304,'Fabric Receiving'!$C$5:$C$304,A238)))</f>
        <v/>
      </c>
      <c r="T238" s="8"/>
      <c r="U238" s="10"/>
      <c r="V238" s="8"/>
    </row>
    <row r="239" spans="1:22">
      <c r="A239" s="8"/>
      <c r="B239" s="8"/>
      <c r="C239" s="8"/>
      <c r="D239" s="8"/>
      <c r="E239" s="8"/>
      <c r="F239" s="13"/>
      <c r="G239" s="13"/>
      <c r="H239" s="8"/>
      <c r="I239" s="13"/>
      <c r="J239" s="8"/>
      <c r="K239" s="8"/>
      <c r="L239" s="8"/>
      <c r="M239" s="8"/>
      <c r="N239" s="10"/>
      <c r="O239" s="10"/>
      <c r="P239" s="8"/>
      <c r="Q239" s="10"/>
      <c r="R239" s="14" t="str">
        <f t="shared" si="3"/>
        <v/>
      </c>
      <c r="S239" s="14" t="str">
        <f>IF(A239="","",MAX(0,G239-SUMIFS('Fabric Receiving'!$H$5:$H$304,'Fabric Receiving'!$C$5:$C$304,A239)))</f>
        <v/>
      </c>
      <c r="T239" s="8"/>
      <c r="U239" s="10"/>
      <c r="V239" s="8"/>
    </row>
    <row r="240" spans="1:22">
      <c r="A240" s="8"/>
      <c r="B240" s="8"/>
      <c r="C240" s="8"/>
      <c r="D240" s="8"/>
      <c r="E240" s="8"/>
      <c r="F240" s="13"/>
      <c r="G240" s="13"/>
      <c r="H240" s="8"/>
      <c r="I240" s="13"/>
      <c r="J240" s="8"/>
      <c r="K240" s="8"/>
      <c r="L240" s="8"/>
      <c r="M240" s="8"/>
      <c r="N240" s="10"/>
      <c r="O240" s="10"/>
      <c r="P240" s="8"/>
      <c r="Q240" s="10"/>
      <c r="R240" s="14" t="str">
        <f t="shared" si="3"/>
        <v/>
      </c>
      <c r="S240" s="14" t="str">
        <f>IF(A240="","",MAX(0,G240-SUMIFS('Fabric Receiving'!$H$5:$H$304,'Fabric Receiving'!$C$5:$C$304,A240)))</f>
        <v/>
      </c>
      <c r="T240" s="8"/>
      <c r="U240" s="10"/>
      <c r="V240" s="8"/>
    </row>
    <row r="241" spans="1:22">
      <c r="A241" s="8"/>
      <c r="B241" s="8"/>
      <c r="C241" s="8"/>
      <c r="D241" s="8"/>
      <c r="E241" s="8"/>
      <c r="F241" s="13"/>
      <c r="G241" s="13"/>
      <c r="H241" s="8"/>
      <c r="I241" s="13"/>
      <c r="J241" s="8"/>
      <c r="K241" s="8"/>
      <c r="L241" s="8"/>
      <c r="M241" s="8"/>
      <c r="N241" s="10"/>
      <c r="O241" s="10"/>
      <c r="P241" s="8"/>
      <c r="Q241" s="10"/>
      <c r="R241" s="14" t="str">
        <f t="shared" si="3"/>
        <v/>
      </c>
      <c r="S241" s="14" t="str">
        <f>IF(A241="","",MAX(0,G241-SUMIFS('Fabric Receiving'!$H$5:$H$304,'Fabric Receiving'!$C$5:$C$304,A241)))</f>
        <v/>
      </c>
      <c r="T241" s="8"/>
      <c r="U241" s="10"/>
      <c r="V241" s="8"/>
    </row>
    <row r="242" spans="1:22">
      <c r="A242" s="8"/>
      <c r="B242" s="8"/>
      <c r="C242" s="8"/>
      <c r="D242" s="8"/>
      <c r="E242" s="8"/>
      <c r="F242" s="13"/>
      <c r="G242" s="13"/>
      <c r="H242" s="8"/>
      <c r="I242" s="13"/>
      <c r="J242" s="8"/>
      <c r="K242" s="8"/>
      <c r="L242" s="8"/>
      <c r="M242" s="8"/>
      <c r="N242" s="10"/>
      <c r="O242" s="10"/>
      <c r="P242" s="8"/>
      <c r="Q242" s="10"/>
      <c r="R242" s="14" t="str">
        <f t="shared" si="3"/>
        <v/>
      </c>
      <c r="S242" s="14" t="str">
        <f>IF(A242="","",MAX(0,G242-SUMIFS('Fabric Receiving'!$H$5:$H$304,'Fabric Receiving'!$C$5:$C$304,A242)))</f>
        <v/>
      </c>
      <c r="T242" s="8"/>
      <c r="U242" s="10"/>
      <c r="V242" s="8"/>
    </row>
    <row r="243" spans="1:22">
      <c r="A243" s="8"/>
      <c r="B243" s="8"/>
      <c r="C243" s="8"/>
      <c r="D243" s="8"/>
      <c r="E243" s="8"/>
      <c r="F243" s="13"/>
      <c r="G243" s="13"/>
      <c r="H243" s="8"/>
      <c r="I243" s="13"/>
      <c r="J243" s="8"/>
      <c r="K243" s="8"/>
      <c r="L243" s="8"/>
      <c r="M243" s="8"/>
      <c r="N243" s="10"/>
      <c r="O243" s="10"/>
      <c r="P243" s="8"/>
      <c r="Q243" s="10"/>
      <c r="R243" s="14" t="str">
        <f t="shared" si="3"/>
        <v/>
      </c>
      <c r="S243" s="14" t="str">
        <f>IF(A243="","",MAX(0,G243-SUMIFS('Fabric Receiving'!$H$5:$H$304,'Fabric Receiving'!$C$5:$C$304,A243)))</f>
        <v/>
      </c>
      <c r="T243" s="8"/>
      <c r="U243" s="10"/>
      <c r="V243" s="8"/>
    </row>
    <row r="244" spans="1:22">
      <c r="A244" s="8"/>
      <c r="B244" s="8"/>
      <c r="C244" s="8"/>
      <c r="D244" s="8"/>
      <c r="E244" s="8"/>
      <c r="F244" s="13"/>
      <c r="G244" s="13"/>
      <c r="H244" s="8"/>
      <c r="I244" s="13"/>
      <c r="J244" s="8"/>
      <c r="K244" s="8"/>
      <c r="L244" s="8"/>
      <c r="M244" s="8"/>
      <c r="N244" s="10"/>
      <c r="O244" s="10"/>
      <c r="P244" s="8"/>
      <c r="Q244" s="10"/>
      <c r="R244" s="14" t="str">
        <f t="shared" si="3"/>
        <v/>
      </c>
      <c r="S244" s="14" t="str">
        <f>IF(A244="","",MAX(0,G244-SUMIFS('Fabric Receiving'!$H$5:$H$304,'Fabric Receiving'!$C$5:$C$304,A244)))</f>
        <v/>
      </c>
      <c r="T244" s="8"/>
      <c r="U244" s="10"/>
      <c r="V244" s="8"/>
    </row>
    <row r="245" spans="1:22">
      <c r="A245" s="8"/>
      <c r="B245" s="8"/>
      <c r="C245" s="8"/>
      <c r="D245" s="8"/>
      <c r="E245" s="8"/>
      <c r="F245" s="13"/>
      <c r="G245" s="13"/>
      <c r="H245" s="8"/>
      <c r="I245" s="13"/>
      <c r="J245" s="8"/>
      <c r="K245" s="8"/>
      <c r="L245" s="8"/>
      <c r="M245" s="8"/>
      <c r="N245" s="10"/>
      <c r="O245" s="10"/>
      <c r="P245" s="8"/>
      <c r="Q245" s="10"/>
      <c r="R245" s="14" t="str">
        <f t="shared" si="3"/>
        <v/>
      </c>
      <c r="S245" s="14" t="str">
        <f>IF(A245="","",MAX(0,G245-SUMIFS('Fabric Receiving'!$H$5:$H$304,'Fabric Receiving'!$C$5:$C$304,A245)))</f>
        <v/>
      </c>
      <c r="T245" s="8"/>
      <c r="U245" s="10"/>
      <c r="V245" s="8"/>
    </row>
    <row r="246" spans="1:22">
      <c r="A246" s="8"/>
      <c r="B246" s="8"/>
      <c r="C246" s="8"/>
      <c r="D246" s="8"/>
      <c r="E246" s="8"/>
      <c r="F246" s="13"/>
      <c r="G246" s="13"/>
      <c r="H246" s="8"/>
      <c r="I246" s="13"/>
      <c r="J246" s="8"/>
      <c r="K246" s="8"/>
      <c r="L246" s="8"/>
      <c r="M246" s="8"/>
      <c r="N246" s="10"/>
      <c r="O246" s="10"/>
      <c r="P246" s="8"/>
      <c r="Q246" s="10"/>
      <c r="R246" s="14" t="str">
        <f t="shared" si="3"/>
        <v/>
      </c>
      <c r="S246" s="14" t="str">
        <f>IF(A246="","",MAX(0,G246-SUMIFS('Fabric Receiving'!$H$5:$H$304,'Fabric Receiving'!$C$5:$C$304,A246)))</f>
        <v/>
      </c>
      <c r="T246" s="8"/>
      <c r="U246" s="10"/>
      <c r="V246" s="8"/>
    </row>
    <row r="247" spans="1:22">
      <c r="A247" s="8"/>
      <c r="B247" s="8"/>
      <c r="C247" s="8"/>
      <c r="D247" s="8"/>
      <c r="E247" s="8"/>
      <c r="F247" s="13"/>
      <c r="G247" s="13"/>
      <c r="H247" s="8"/>
      <c r="I247" s="13"/>
      <c r="J247" s="8"/>
      <c r="K247" s="8"/>
      <c r="L247" s="8"/>
      <c r="M247" s="8"/>
      <c r="N247" s="10"/>
      <c r="O247" s="10"/>
      <c r="P247" s="8"/>
      <c r="Q247" s="10"/>
      <c r="R247" s="14" t="str">
        <f t="shared" si="3"/>
        <v/>
      </c>
      <c r="S247" s="14" t="str">
        <f>IF(A247="","",MAX(0,G247-SUMIFS('Fabric Receiving'!$H$5:$H$304,'Fabric Receiving'!$C$5:$C$304,A247)))</f>
        <v/>
      </c>
      <c r="T247" s="8"/>
      <c r="U247" s="10"/>
      <c r="V247" s="8"/>
    </row>
    <row r="248" spans="1:22">
      <c r="A248" s="8"/>
      <c r="B248" s="8"/>
      <c r="C248" s="8"/>
      <c r="D248" s="8"/>
      <c r="E248" s="8"/>
      <c r="F248" s="13"/>
      <c r="G248" s="13"/>
      <c r="H248" s="8"/>
      <c r="I248" s="13"/>
      <c r="J248" s="8"/>
      <c r="K248" s="8"/>
      <c r="L248" s="8"/>
      <c r="M248" s="8"/>
      <c r="N248" s="10"/>
      <c r="O248" s="10"/>
      <c r="P248" s="8"/>
      <c r="Q248" s="10"/>
      <c r="R248" s="14" t="str">
        <f t="shared" si="3"/>
        <v/>
      </c>
      <c r="S248" s="14" t="str">
        <f>IF(A248="","",MAX(0,G248-SUMIFS('Fabric Receiving'!$H$5:$H$304,'Fabric Receiving'!$C$5:$C$304,A248)))</f>
        <v/>
      </c>
      <c r="T248" s="8"/>
      <c r="U248" s="10"/>
      <c r="V248" s="8"/>
    </row>
    <row r="249" spans="1:22">
      <c r="A249" s="8"/>
      <c r="B249" s="8"/>
      <c r="C249" s="8"/>
      <c r="D249" s="8"/>
      <c r="E249" s="8"/>
      <c r="F249" s="13"/>
      <c r="G249" s="13"/>
      <c r="H249" s="8"/>
      <c r="I249" s="13"/>
      <c r="J249" s="8"/>
      <c r="K249" s="8"/>
      <c r="L249" s="8"/>
      <c r="M249" s="8"/>
      <c r="N249" s="10"/>
      <c r="O249" s="10"/>
      <c r="P249" s="8"/>
      <c r="Q249" s="10"/>
      <c r="R249" s="14" t="str">
        <f t="shared" si="3"/>
        <v/>
      </c>
      <c r="S249" s="14" t="str">
        <f>IF(A249="","",MAX(0,G249-SUMIFS('Fabric Receiving'!$H$5:$H$304,'Fabric Receiving'!$C$5:$C$304,A249)))</f>
        <v/>
      </c>
      <c r="T249" s="8"/>
      <c r="U249" s="10"/>
      <c r="V249" s="8"/>
    </row>
    <row r="250" spans="1:22">
      <c r="A250" s="8"/>
      <c r="B250" s="8"/>
      <c r="C250" s="8"/>
      <c r="D250" s="8"/>
      <c r="E250" s="8"/>
      <c r="F250" s="13"/>
      <c r="G250" s="13"/>
      <c r="H250" s="8"/>
      <c r="I250" s="13"/>
      <c r="J250" s="8"/>
      <c r="K250" s="8"/>
      <c r="L250" s="8"/>
      <c r="M250" s="8"/>
      <c r="N250" s="10"/>
      <c r="O250" s="10"/>
      <c r="P250" s="8"/>
      <c r="Q250" s="10"/>
      <c r="R250" s="14" t="str">
        <f t="shared" si="3"/>
        <v/>
      </c>
      <c r="S250" s="14" t="str">
        <f>IF(A250="","",MAX(0,G250-SUMIFS('Fabric Receiving'!$H$5:$H$304,'Fabric Receiving'!$C$5:$C$304,A250)))</f>
        <v/>
      </c>
      <c r="T250" s="8"/>
      <c r="U250" s="10"/>
      <c r="V250" s="8"/>
    </row>
    <row r="251" spans="1:22">
      <c r="A251" s="8"/>
      <c r="B251" s="8"/>
      <c r="C251" s="8"/>
      <c r="D251" s="8"/>
      <c r="E251" s="8"/>
      <c r="F251" s="13"/>
      <c r="G251" s="13"/>
      <c r="H251" s="8"/>
      <c r="I251" s="13"/>
      <c r="J251" s="8"/>
      <c r="K251" s="8"/>
      <c r="L251" s="8"/>
      <c r="M251" s="8"/>
      <c r="N251" s="10"/>
      <c r="O251" s="10"/>
      <c r="P251" s="8"/>
      <c r="Q251" s="10"/>
      <c r="R251" s="14" t="str">
        <f t="shared" si="3"/>
        <v/>
      </c>
      <c r="S251" s="14" t="str">
        <f>IF(A251="","",MAX(0,G251-SUMIFS('Fabric Receiving'!$H$5:$H$304,'Fabric Receiving'!$C$5:$C$304,A251)))</f>
        <v/>
      </c>
      <c r="T251" s="8"/>
      <c r="U251" s="10"/>
      <c r="V251" s="8"/>
    </row>
    <row r="252" spans="1:22">
      <c r="A252" s="8"/>
      <c r="B252" s="8"/>
      <c r="C252" s="8"/>
      <c r="D252" s="8"/>
      <c r="E252" s="8"/>
      <c r="F252" s="13"/>
      <c r="G252" s="13"/>
      <c r="H252" s="8"/>
      <c r="I252" s="13"/>
      <c r="J252" s="8"/>
      <c r="K252" s="8"/>
      <c r="L252" s="8"/>
      <c r="M252" s="8"/>
      <c r="N252" s="10"/>
      <c r="O252" s="10"/>
      <c r="P252" s="8"/>
      <c r="Q252" s="10"/>
      <c r="R252" s="14" t="str">
        <f t="shared" si="3"/>
        <v/>
      </c>
      <c r="S252" s="14" t="str">
        <f>IF(A252="","",MAX(0,G252-SUMIFS('Fabric Receiving'!$H$5:$H$304,'Fabric Receiving'!$C$5:$C$304,A252)))</f>
        <v/>
      </c>
      <c r="T252" s="8"/>
      <c r="U252" s="10"/>
      <c r="V252" s="8"/>
    </row>
    <row r="253" spans="1:22">
      <c r="A253" s="8"/>
      <c r="B253" s="8"/>
      <c r="C253" s="8"/>
      <c r="D253" s="8"/>
      <c r="E253" s="8"/>
      <c r="F253" s="13"/>
      <c r="G253" s="13"/>
      <c r="H253" s="8"/>
      <c r="I253" s="13"/>
      <c r="J253" s="8"/>
      <c r="K253" s="8"/>
      <c r="L253" s="8"/>
      <c r="M253" s="8"/>
      <c r="N253" s="10"/>
      <c r="O253" s="10"/>
      <c r="P253" s="8"/>
      <c r="Q253" s="10"/>
      <c r="R253" s="14" t="str">
        <f t="shared" si="3"/>
        <v/>
      </c>
      <c r="S253" s="14" t="str">
        <f>IF(A253="","",MAX(0,G253-SUMIFS('Fabric Receiving'!$H$5:$H$304,'Fabric Receiving'!$C$5:$C$304,A253)))</f>
        <v/>
      </c>
      <c r="T253" s="8"/>
      <c r="U253" s="10"/>
      <c r="V253" s="8"/>
    </row>
    <row r="254" spans="1:22">
      <c r="A254" s="8"/>
      <c r="B254" s="8"/>
      <c r="C254" s="8"/>
      <c r="D254" s="8"/>
      <c r="E254" s="8"/>
      <c r="F254" s="13"/>
      <c r="G254" s="13"/>
      <c r="H254" s="8"/>
      <c r="I254" s="13"/>
      <c r="J254" s="8"/>
      <c r="K254" s="8"/>
      <c r="L254" s="8"/>
      <c r="M254" s="8"/>
      <c r="N254" s="10"/>
      <c r="O254" s="10"/>
      <c r="P254" s="8"/>
      <c r="Q254" s="10"/>
      <c r="R254" s="14" t="str">
        <f t="shared" si="3"/>
        <v/>
      </c>
      <c r="S254" s="14" t="str">
        <f>IF(A254="","",MAX(0,G254-SUMIFS('Fabric Receiving'!$H$5:$H$304,'Fabric Receiving'!$C$5:$C$304,A254)))</f>
        <v/>
      </c>
      <c r="T254" s="8"/>
      <c r="U254" s="10"/>
      <c r="V254" s="8"/>
    </row>
    <row r="255" spans="1:22">
      <c r="A255" s="8"/>
      <c r="B255" s="8"/>
      <c r="C255" s="8"/>
      <c r="D255" s="8"/>
      <c r="E255" s="8"/>
      <c r="F255" s="13"/>
      <c r="G255" s="13"/>
      <c r="H255" s="8"/>
      <c r="I255" s="13"/>
      <c r="J255" s="8"/>
      <c r="K255" s="8"/>
      <c r="L255" s="8"/>
      <c r="M255" s="8"/>
      <c r="N255" s="10"/>
      <c r="O255" s="10"/>
      <c r="P255" s="8"/>
      <c r="Q255" s="10"/>
      <c r="R255" s="14" t="str">
        <f t="shared" si="3"/>
        <v/>
      </c>
      <c r="S255" s="14" t="str">
        <f>IF(A255="","",MAX(0,G255-SUMIFS('Fabric Receiving'!$H$5:$H$304,'Fabric Receiving'!$C$5:$C$304,A255)))</f>
        <v/>
      </c>
      <c r="T255" s="8"/>
      <c r="U255" s="10"/>
      <c r="V255" s="8"/>
    </row>
    <row r="256" spans="1:22">
      <c r="A256" s="8"/>
      <c r="B256" s="8"/>
      <c r="C256" s="8"/>
      <c r="D256" s="8"/>
      <c r="E256" s="8"/>
      <c r="F256" s="13"/>
      <c r="G256" s="13"/>
      <c r="H256" s="8"/>
      <c r="I256" s="13"/>
      <c r="J256" s="8"/>
      <c r="K256" s="8"/>
      <c r="L256" s="8"/>
      <c r="M256" s="8"/>
      <c r="N256" s="10"/>
      <c r="O256" s="10"/>
      <c r="P256" s="8"/>
      <c r="Q256" s="10"/>
      <c r="R256" s="14" t="str">
        <f t="shared" si="3"/>
        <v/>
      </c>
      <c r="S256" s="14" t="str">
        <f>IF(A256="","",MAX(0,G256-SUMIFS('Fabric Receiving'!$H$5:$H$304,'Fabric Receiving'!$C$5:$C$304,A256)))</f>
        <v/>
      </c>
      <c r="T256" s="8"/>
      <c r="U256" s="10"/>
      <c r="V256" s="8"/>
    </row>
    <row r="257" spans="1:22">
      <c r="A257" s="8"/>
      <c r="B257" s="8"/>
      <c r="C257" s="8"/>
      <c r="D257" s="8"/>
      <c r="E257" s="8"/>
      <c r="F257" s="13"/>
      <c r="G257" s="13"/>
      <c r="H257" s="8"/>
      <c r="I257" s="13"/>
      <c r="J257" s="8"/>
      <c r="K257" s="8"/>
      <c r="L257" s="8"/>
      <c r="M257" s="8"/>
      <c r="N257" s="10"/>
      <c r="O257" s="10"/>
      <c r="P257" s="8"/>
      <c r="Q257" s="10"/>
      <c r="R257" s="14" t="str">
        <f t="shared" si="3"/>
        <v/>
      </c>
      <c r="S257" s="14" t="str">
        <f>IF(A257="","",MAX(0,G257-SUMIFS('Fabric Receiving'!$H$5:$H$304,'Fabric Receiving'!$C$5:$C$304,A257)))</f>
        <v/>
      </c>
      <c r="T257" s="8"/>
      <c r="U257" s="10"/>
      <c r="V257" s="8"/>
    </row>
    <row r="258" spans="1:22">
      <c r="A258" s="8"/>
      <c r="B258" s="8"/>
      <c r="C258" s="8"/>
      <c r="D258" s="8"/>
      <c r="E258" s="8"/>
      <c r="F258" s="13"/>
      <c r="G258" s="13"/>
      <c r="H258" s="8"/>
      <c r="I258" s="13"/>
      <c r="J258" s="8"/>
      <c r="K258" s="8"/>
      <c r="L258" s="8"/>
      <c r="M258" s="8"/>
      <c r="N258" s="10"/>
      <c r="O258" s="10"/>
      <c r="P258" s="8"/>
      <c r="Q258" s="10"/>
      <c r="R258" s="14" t="str">
        <f t="shared" si="3"/>
        <v/>
      </c>
      <c r="S258" s="14" t="str">
        <f>IF(A258="","",MAX(0,G258-SUMIFS('Fabric Receiving'!$H$5:$H$304,'Fabric Receiving'!$C$5:$C$304,A258)))</f>
        <v/>
      </c>
      <c r="T258" s="8"/>
      <c r="U258" s="10"/>
      <c r="V258" s="8"/>
    </row>
    <row r="259" spans="1:22">
      <c r="A259" s="8"/>
      <c r="B259" s="8"/>
      <c r="C259" s="8"/>
      <c r="D259" s="8"/>
      <c r="E259" s="8"/>
      <c r="F259" s="13"/>
      <c r="G259" s="13"/>
      <c r="H259" s="8"/>
      <c r="I259" s="13"/>
      <c r="J259" s="8"/>
      <c r="K259" s="8"/>
      <c r="L259" s="8"/>
      <c r="M259" s="8"/>
      <c r="N259" s="10"/>
      <c r="O259" s="10"/>
      <c r="P259" s="8"/>
      <c r="Q259" s="10"/>
      <c r="R259" s="14" t="str">
        <f t="shared" si="3"/>
        <v/>
      </c>
      <c r="S259" s="14" t="str">
        <f>IF(A259="","",MAX(0,G259-SUMIFS('Fabric Receiving'!$H$5:$H$304,'Fabric Receiving'!$C$5:$C$304,A259)))</f>
        <v/>
      </c>
      <c r="T259" s="8"/>
      <c r="U259" s="10"/>
      <c r="V259" s="8"/>
    </row>
    <row r="260" spans="1:22">
      <c r="A260" s="8"/>
      <c r="B260" s="8"/>
      <c r="C260" s="8"/>
      <c r="D260" s="8"/>
      <c r="E260" s="8"/>
      <c r="F260" s="13"/>
      <c r="G260" s="13"/>
      <c r="H260" s="8"/>
      <c r="I260" s="13"/>
      <c r="J260" s="8"/>
      <c r="K260" s="8"/>
      <c r="L260" s="8"/>
      <c r="M260" s="8"/>
      <c r="N260" s="10"/>
      <c r="O260" s="10"/>
      <c r="P260" s="8"/>
      <c r="Q260" s="10"/>
      <c r="R260" s="14" t="str">
        <f t="shared" si="3"/>
        <v/>
      </c>
      <c r="S260" s="14" t="str">
        <f>IF(A260="","",MAX(0,G260-SUMIFS('Fabric Receiving'!$H$5:$H$304,'Fabric Receiving'!$C$5:$C$304,A260)))</f>
        <v/>
      </c>
      <c r="T260" s="8"/>
      <c r="U260" s="10"/>
      <c r="V260" s="8"/>
    </row>
    <row r="261" spans="1:22">
      <c r="A261" s="8"/>
      <c r="B261" s="8"/>
      <c r="C261" s="8"/>
      <c r="D261" s="8"/>
      <c r="E261" s="8"/>
      <c r="F261" s="13"/>
      <c r="G261" s="13"/>
      <c r="H261" s="8"/>
      <c r="I261" s="13"/>
      <c r="J261" s="8"/>
      <c r="K261" s="8"/>
      <c r="L261" s="8"/>
      <c r="M261" s="8"/>
      <c r="N261" s="10"/>
      <c r="O261" s="10"/>
      <c r="P261" s="8"/>
      <c r="Q261" s="10"/>
      <c r="R261" s="14" t="str">
        <f t="shared" ref="R261:R304" si="4">IF(A261="","",IF(OR(P261="Delivered",P261="Closed"),0,G261))</f>
        <v/>
      </c>
      <c r="S261" s="14" t="str">
        <f>IF(A261="","",MAX(0,G261-SUMIFS('Fabric Receiving'!$H$5:$H$304,'Fabric Receiving'!$C$5:$C$304,A261)))</f>
        <v/>
      </c>
      <c r="T261" s="8"/>
      <c r="U261" s="10"/>
      <c r="V261" s="8"/>
    </row>
    <row r="262" spans="1:22">
      <c r="A262" s="8"/>
      <c r="B262" s="8"/>
      <c r="C262" s="8"/>
      <c r="D262" s="8"/>
      <c r="E262" s="8"/>
      <c r="F262" s="13"/>
      <c r="G262" s="13"/>
      <c r="H262" s="8"/>
      <c r="I262" s="13"/>
      <c r="J262" s="8"/>
      <c r="K262" s="8"/>
      <c r="L262" s="8"/>
      <c r="M262" s="8"/>
      <c r="N262" s="10"/>
      <c r="O262" s="10"/>
      <c r="P262" s="8"/>
      <c r="Q262" s="10"/>
      <c r="R262" s="14" t="str">
        <f t="shared" si="4"/>
        <v/>
      </c>
      <c r="S262" s="14" t="str">
        <f>IF(A262="","",MAX(0,G262-SUMIFS('Fabric Receiving'!$H$5:$H$304,'Fabric Receiving'!$C$5:$C$304,A262)))</f>
        <v/>
      </c>
      <c r="T262" s="8"/>
      <c r="U262" s="10"/>
      <c r="V262" s="8"/>
    </row>
    <row r="263" spans="1:22">
      <c r="A263" s="8"/>
      <c r="B263" s="8"/>
      <c r="C263" s="8"/>
      <c r="D263" s="8"/>
      <c r="E263" s="8"/>
      <c r="F263" s="13"/>
      <c r="G263" s="13"/>
      <c r="H263" s="8"/>
      <c r="I263" s="13"/>
      <c r="J263" s="8"/>
      <c r="K263" s="8"/>
      <c r="L263" s="8"/>
      <c r="M263" s="8"/>
      <c r="N263" s="10"/>
      <c r="O263" s="10"/>
      <c r="P263" s="8"/>
      <c r="Q263" s="10"/>
      <c r="R263" s="14" t="str">
        <f t="shared" si="4"/>
        <v/>
      </c>
      <c r="S263" s="14" t="str">
        <f>IF(A263="","",MAX(0,G263-SUMIFS('Fabric Receiving'!$H$5:$H$304,'Fabric Receiving'!$C$5:$C$304,A263)))</f>
        <v/>
      </c>
      <c r="T263" s="8"/>
      <c r="U263" s="10"/>
      <c r="V263" s="8"/>
    </row>
    <row r="264" spans="1:22">
      <c r="A264" s="8"/>
      <c r="B264" s="8"/>
      <c r="C264" s="8"/>
      <c r="D264" s="8"/>
      <c r="E264" s="8"/>
      <c r="F264" s="13"/>
      <c r="G264" s="13"/>
      <c r="H264" s="8"/>
      <c r="I264" s="13"/>
      <c r="J264" s="8"/>
      <c r="K264" s="8"/>
      <c r="L264" s="8"/>
      <c r="M264" s="8"/>
      <c r="N264" s="10"/>
      <c r="O264" s="10"/>
      <c r="P264" s="8"/>
      <c r="Q264" s="10"/>
      <c r="R264" s="14" t="str">
        <f t="shared" si="4"/>
        <v/>
      </c>
      <c r="S264" s="14" t="str">
        <f>IF(A264="","",MAX(0,G264-SUMIFS('Fabric Receiving'!$H$5:$H$304,'Fabric Receiving'!$C$5:$C$304,A264)))</f>
        <v/>
      </c>
      <c r="T264" s="8"/>
      <c r="U264" s="10"/>
      <c r="V264" s="8"/>
    </row>
    <row r="265" spans="1:22">
      <c r="A265" s="8"/>
      <c r="B265" s="8"/>
      <c r="C265" s="8"/>
      <c r="D265" s="8"/>
      <c r="E265" s="8"/>
      <c r="F265" s="13"/>
      <c r="G265" s="13"/>
      <c r="H265" s="8"/>
      <c r="I265" s="13"/>
      <c r="J265" s="8"/>
      <c r="K265" s="8"/>
      <c r="L265" s="8"/>
      <c r="M265" s="8"/>
      <c r="N265" s="10"/>
      <c r="O265" s="10"/>
      <c r="P265" s="8"/>
      <c r="Q265" s="10"/>
      <c r="R265" s="14" t="str">
        <f t="shared" si="4"/>
        <v/>
      </c>
      <c r="S265" s="14" t="str">
        <f>IF(A265="","",MAX(0,G265-SUMIFS('Fabric Receiving'!$H$5:$H$304,'Fabric Receiving'!$C$5:$C$304,A265)))</f>
        <v/>
      </c>
      <c r="T265" s="8"/>
      <c r="U265" s="10"/>
      <c r="V265" s="8"/>
    </row>
    <row r="266" spans="1:22">
      <c r="A266" s="8"/>
      <c r="B266" s="8"/>
      <c r="C266" s="8"/>
      <c r="D266" s="8"/>
      <c r="E266" s="8"/>
      <c r="F266" s="13"/>
      <c r="G266" s="13"/>
      <c r="H266" s="8"/>
      <c r="I266" s="13"/>
      <c r="J266" s="8"/>
      <c r="K266" s="8"/>
      <c r="L266" s="8"/>
      <c r="M266" s="8"/>
      <c r="N266" s="10"/>
      <c r="O266" s="10"/>
      <c r="P266" s="8"/>
      <c r="Q266" s="10"/>
      <c r="R266" s="14" t="str">
        <f t="shared" si="4"/>
        <v/>
      </c>
      <c r="S266" s="14" t="str">
        <f>IF(A266="","",MAX(0,G266-SUMIFS('Fabric Receiving'!$H$5:$H$304,'Fabric Receiving'!$C$5:$C$304,A266)))</f>
        <v/>
      </c>
      <c r="T266" s="8"/>
      <c r="U266" s="10"/>
      <c r="V266" s="8"/>
    </row>
    <row r="267" spans="1:22">
      <c r="A267" s="8"/>
      <c r="B267" s="8"/>
      <c r="C267" s="8"/>
      <c r="D267" s="8"/>
      <c r="E267" s="8"/>
      <c r="F267" s="13"/>
      <c r="G267" s="13"/>
      <c r="H267" s="8"/>
      <c r="I267" s="13"/>
      <c r="J267" s="8"/>
      <c r="K267" s="8"/>
      <c r="L267" s="8"/>
      <c r="M267" s="8"/>
      <c r="N267" s="10"/>
      <c r="O267" s="10"/>
      <c r="P267" s="8"/>
      <c r="Q267" s="10"/>
      <c r="R267" s="14" t="str">
        <f t="shared" si="4"/>
        <v/>
      </c>
      <c r="S267" s="14" t="str">
        <f>IF(A267="","",MAX(0,G267-SUMIFS('Fabric Receiving'!$H$5:$H$304,'Fabric Receiving'!$C$5:$C$304,A267)))</f>
        <v/>
      </c>
      <c r="T267" s="8"/>
      <c r="U267" s="10"/>
      <c r="V267" s="8"/>
    </row>
    <row r="268" spans="1:22">
      <c r="A268" s="8"/>
      <c r="B268" s="8"/>
      <c r="C268" s="8"/>
      <c r="D268" s="8"/>
      <c r="E268" s="8"/>
      <c r="F268" s="13"/>
      <c r="G268" s="13"/>
      <c r="H268" s="8"/>
      <c r="I268" s="13"/>
      <c r="J268" s="8"/>
      <c r="K268" s="8"/>
      <c r="L268" s="8"/>
      <c r="M268" s="8"/>
      <c r="N268" s="10"/>
      <c r="O268" s="10"/>
      <c r="P268" s="8"/>
      <c r="Q268" s="10"/>
      <c r="R268" s="14" t="str">
        <f t="shared" si="4"/>
        <v/>
      </c>
      <c r="S268" s="14" t="str">
        <f>IF(A268="","",MAX(0,G268-SUMIFS('Fabric Receiving'!$H$5:$H$304,'Fabric Receiving'!$C$5:$C$304,A268)))</f>
        <v/>
      </c>
      <c r="T268" s="8"/>
      <c r="U268" s="10"/>
      <c r="V268" s="8"/>
    </row>
    <row r="269" spans="1:22">
      <c r="A269" s="8"/>
      <c r="B269" s="8"/>
      <c r="C269" s="8"/>
      <c r="D269" s="8"/>
      <c r="E269" s="8"/>
      <c r="F269" s="13"/>
      <c r="G269" s="13"/>
      <c r="H269" s="8"/>
      <c r="I269" s="13"/>
      <c r="J269" s="8"/>
      <c r="K269" s="8"/>
      <c r="L269" s="8"/>
      <c r="M269" s="8"/>
      <c r="N269" s="10"/>
      <c r="O269" s="10"/>
      <c r="P269" s="8"/>
      <c r="Q269" s="10"/>
      <c r="R269" s="14" t="str">
        <f t="shared" si="4"/>
        <v/>
      </c>
      <c r="S269" s="14" t="str">
        <f>IF(A269="","",MAX(0,G269-SUMIFS('Fabric Receiving'!$H$5:$H$304,'Fabric Receiving'!$C$5:$C$304,A269)))</f>
        <v/>
      </c>
      <c r="T269" s="8"/>
      <c r="U269" s="10"/>
      <c r="V269" s="8"/>
    </row>
    <row r="270" spans="1:22">
      <c r="A270" s="8"/>
      <c r="B270" s="8"/>
      <c r="C270" s="8"/>
      <c r="D270" s="8"/>
      <c r="E270" s="8"/>
      <c r="F270" s="13"/>
      <c r="G270" s="13"/>
      <c r="H270" s="8"/>
      <c r="I270" s="13"/>
      <c r="J270" s="8"/>
      <c r="K270" s="8"/>
      <c r="L270" s="8"/>
      <c r="M270" s="8"/>
      <c r="N270" s="10"/>
      <c r="O270" s="10"/>
      <c r="P270" s="8"/>
      <c r="Q270" s="10"/>
      <c r="R270" s="14" t="str">
        <f t="shared" si="4"/>
        <v/>
      </c>
      <c r="S270" s="14" t="str">
        <f>IF(A270="","",MAX(0,G270-SUMIFS('Fabric Receiving'!$H$5:$H$304,'Fabric Receiving'!$C$5:$C$304,A270)))</f>
        <v/>
      </c>
      <c r="T270" s="8"/>
      <c r="U270" s="10"/>
      <c r="V270" s="8"/>
    </row>
    <row r="271" spans="1:22">
      <c r="A271" s="8"/>
      <c r="B271" s="8"/>
      <c r="C271" s="8"/>
      <c r="D271" s="8"/>
      <c r="E271" s="8"/>
      <c r="F271" s="13"/>
      <c r="G271" s="13"/>
      <c r="H271" s="8"/>
      <c r="I271" s="13"/>
      <c r="J271" s="8"/>
      <c r="K271" s="8"/>
      <c r="L271" s="8"/>
      <c r="M271" s="8"/>
      <c r="N271" s="10"/>
      <c r="O271" s="10"/>
      <c r="P271" s="8"/>
      <c r="Q271" s="10"/>
      <c r="R271" s="14" t="str">
        <f t="shared" si="4"/>
        <v/>
      </c>
      <c r="S271" s="14" t="str">
        <f>IF(A271="","",MAX(0,G271-SUMIFS('Fabric Receiving'!$H$5:$H$304,'Fabric Receiving'!$C$5:$C$304,A271)))</f>
        <v/>
      </c>
      <c r="T271" s="8"/>
      <c r="U271" s="10"/>
      <c r="V271" s="8"/>
    </row>
    <row r="272" spans="1:22">
      <c r="A272" s="8"/>
      <c r="B272" s="8"/>
      <c r="C272" s="8"/>
      <c r="D272" s="8"/>
      <c r="E272" s="8"/>
      <c r="F272" s="13"/>
      <c r="G272" s="13"/>
      <c r="H272" s="8"/>
      <c r="I272" s="13"/>
      <c r="J272" s="8"/>
      <c r="K272" s="8"/>
      <c r="L272" s="8"/>
      <c r="M272" s="8"/>
      <c r="N272" s="10"/>
      <c r="O272" s="10"/>
      <c r="P272" s="8"/>
      <c r="Q272" s="10"/>
      <c r="R272" s="14" t="str">
        <f t="shared" si="4"/>
        <v/>
      </c>
      <c r="S272" s="14" t="str">
        <f>IF(A272="","",MAX(0,G272-SUMIFS('Fabric Receiving'!$H$5:$H$304,'Fabric Receiving'!$C$5:$C$304,A272)))</f>
        <v/>
      </c>
      <c r="T272" s="8"/>
      <c r="U272" s="10"/>
      <c r="V272" s="8"/>
    </row>
    <row r="273" spans="1:22">
      <c r="A273" s="8"/>
      <c r="B273" s="8"/>
      <c r="C273" s="8"/>
      <c r="D273" s="8"/>
      <c r="E273" s="8"/>
      <c r="F273" s="13"/>
      <c r="G273" s="13"/>
      <c r="H273" s="8"/>
      <c r="I273" s="13"/>
      <c r="J273" s="8"/>
      <c r="K273" s="8"/>
      <c r="L273" s="8"/>
      <c r="M273" s="8"/>
      <c r="N273" s="10"/>
      <c r="O273" s="10"/>
      <c r="P273" s="8"/>
      <c r="Q273" s="10"/>
      <c r="R273" s="14" t="str">
        <f t="shared" si="4"/>
        <v/>
      </c>
      <c r="S273" s="14" t="str">
        <f>IF(A273="","",MAX(0,G273-SUMIFS('Fabric Receiving'!$H$5:$H$304,'Fabric Receiving'!$C$5:$C$304,A273)))</f>
        <v/>
      </c>
      <c r="T273" s="8"/>
      <c r="U273" s="10"/>
      <c r="V273" s="8"/>
    </row>
    <row r="274" spans="1:22">
      <c r="A274" s="8"/>
      <c r="B274" s="8"/>
      <c r="C274" s="8"/>
      <c r="D274" s="8"/>
      <c r="E274" s="8"/>
      <c r="F274" s="13"/>
      <c r="G274" s="13"/>
      <c r="H274" s="8"/>
      <c r="I274" s="13"/>
      <c r="J274" s="8"/>
      <c r="K274" s="8"/>
      <c r="L274" s="8"/>
      <c r="M274" s="8"/>
      <c r="N274" s="10"/>
      <c r="O274" s="10"/>
      <c r="P274" s="8"/>
      <c r="Q274" s="10"/>
      <c r="R274" s="14" t="str">
        <f t="shared" si="4"/>
        <v/>
      </c>
      <c r="S274" s="14" t="str">
        <f>IF(A274="","",MAX(0,G274-SUMIFS('Fabric Receiving'!$H$5:$H$304,'Fabric Receiving'!$C$5:$C$304,A274)))</f>
        <v/>
      </c>
      <c r="T274" s="8"/>
      <c r="U274" s="10"/>
      <c r="V274" s="8"/>
    </row>
    <row r="275" spans="1:22">
      <c r="A275" s="8"/>
      <c r="B275" s="8"/>
      <c r="C275" s="8"/>
      <c r="D275" s="8"/>
      <c r="E275" s="8"/>
      <c r="F275" s="13"/>
      <c r="G275" s="13"/>
      <c r="H275" s="8"/>
      <c r="I275" s="13"/>
      <c r="J275" s="8"/>
      <c r="K275" s="8"/>
      <c r="L275" s="8"/>
      <c r="M275" s="8"/>
      <c r="N275" s="10"/>
      <c r="O275" s="10"/>
      <c r="P275" s="8"/>
      <c r="Q275" s="10"/>
      <c r="R275" s="14" t="str">
        <f t="shared" si="4"/>
        <v/>
      </c>
      <c r="S275" s="14" t="str">
        <f>IF(A275="","",MAX(0,G275-SUMIFS('Fabric Receiving'!$H$5:$H$304,'Fabric Receiving'!$C$5:$C$304,A275)))</f>
        <v/>
      </c>
      <c r="T275" s="8"/>
      <c r="U275" s="10"/>
      <c r="V275" s="8"/>
    </row>
    <row r="276" spans="1:22">
      <c r="A276" s="8"/>
      <c r="B276" s="8"/>
      <c r="C276" s="8"/>
      <c r="D276" s="8"/>
      <c r="E276" s="8"/>
      <c r="F276" s="13"/>
      <c r="G276" s="13"/>
      <c r="H276" s="8"/>
      <c r="I276" s="13"/>
      <c r="J276" s="8"/>
      <c r="K276" s="8"/>
      <c r="L276" s="8"/>
      <c r="M276" s="8"/>
      <c r="N276" s="10"/>
      <c r="O276" s="10"/>
      <c r="P276" s="8"/>
      <c r="Q276" s="10"/>
      <c r="R276" s="14" t="str">
        <f t="shared" si="4"/>
        <v/>
      </c>
      <c r="S276" s="14" t="str">
        <f>IF(A276="","",MAX(0,G276-SUMIFS('Fabric Receiving'!$H$5:$H$304,'Fabric Receiving'!$C$5:$C$304,A276)))</f>
        <v/>
      </c>
      <c r="T276" s="8"/>
      <c r="U276" s="10"/>
      <c r="V276" s="8"/>
    </row>
    <row r="277" spans="1:22">
      <c r="A277" s="8"/>
      <c r="B277" s="8"/>
      <c r="C277" s="8"/>
      <c r="D277" s="8"/>
      <c r="E277" s="8"/>
      <c r="F277" s="13"/>
      <c r="G277" s="13"/>
      <c r="H277" s="8"/>
      <c r="I277" s="13"/>
      <c r="J277" s="8"/>
      <c r="K277" s="8"/>
      <c r="L277" s="8"/>
      <c r="M277" s="8"/>
      <c r="N277" s="10"/>
      <c r="O277" s="10"/>
      <c r="P277" s="8"/>
      <c r="Q277" s="10"/>
      <c r="R277" s="14" t="str">
        <f t="shared" si="4"/>
        <v/>
      </c>
      <c r="S277" s="14" t="str">
        <f>IF(A277="","",MAX(0,G277-SUMIFS('Fabric Receiving'!$H$5:$H$304,'Fabric Receiving'!$C$5:$C$304,A277)))</f>
        <v/>
      </c>
      <c r="T277" s="8"/>
      <c r="U277" s="10"/>
      <c r="V277" s="8"/>
    </row>
    <row r="278" spans="1:22">
      <c r="A278" s="8"/>
      <c r="B278" s="8"/>
      <c r="C278" s="8"/>
      <c r="D278" s="8"/>
      <c r="E278" s="8"/>
      <c r="F278" s="13"/>
      <c r="G278" s="13"/>
      <c r="H278" s="8"/>
      <c r="I278" s="13"/>
      <c r="J278" s="8"/>
      <c r="K278" s="8"/>
      <c r="L278" s="8"/>
      <c r="M278" s="8"/>
      <c r="N278" s="10"/>
      <c r="O278" s="10"/>
      <c r="P278" s="8"/>
      <c r="Q278" s="10"/>
      <c r="R278" s="14" t="str">
        <f t="shared" si="4"/>
        <v/>
      </c>
      <c r="S278" s="14" t="str">
        <f>IF(A278="","",MAX(0,G278-SUMIFS('Fabric Receiving'!$H$5:$H$304,'Fabric Receiving'!$C$5:$C$304,A278)))</f>
        <v/>
      </c>
      <c r="T278" s="8"/>
      <c r="U278" s="10"/>
      <c r="V278" s="8"/>
    </row>
    <row r="279" spans="1:22">
      <c r="A279" s="8"/>
      <c r="B279" s="8"/>
      <c r="C279" s="8"/>
      <c r="D279" s="8"/>
      <c r="E279" s="8"/>
      <c r="F279" s="13"/>
      <c r="G279" s="13"/>
      <c r="H279" s="8"/>
      <c r="I279" s="13"/>
      <c r="J279" s="8"/>
      <c r="K279" s="8"/>
      <c r="L279" s="8"/>
      <c r="M279" s="8"/>
      <c r="N279" s="10"/>
      <c r="O279" s="10"/>
      <c r="P279" s="8"/>
      <c r="Q279" s="10"/>
      <c r="R279" s="14" t="str">
        <f t="shared" si="4"/>
        <v/>
      </c>
      <c r="S279" s="14" t="str">
        <f>IF(A279="","",MAX(0,G279-SUMIFS('Fabric Receiving'!$H$5:$H$304,'Fabric Receiving'!$C$5:$C$304,A279)))</f>
        <v/>
      </c>
      <c r="T279" s="8"/>
      <c r="U279" s="10"/>
      <c r="V279" s="8"/>
    </row>
    <row r="280" spans="1:22">
      <c r="A280" s="8"/>
      <c r="B280" s="8"/>
      <c r="C280" s="8"/>
      <c r="D280" s="8"/>
      <c r="E280" s="8"/>
      <c r="F280" s="13"/>
      <c r="G280" s="13"/>
      <c r="H280" s="8"/>
      <c r="I280" s="13"/>
      <c r="J280" s="8"/>
      <c r="K280" s="8"/>
      <c r="L280" s="8"/>
      <c r="M280" s="8"/>
      <c r="N280" s="10"/>
      <c r="O280" s="10"/>
      <c r="P280" s="8"/>
      <c r="Q280" s="10"/>
      <c r="R280" s="14" t="str">
        <f t="shared" si="4"/>
        <v/>
      </c>
      <c r="S280" s="14" t="str">
        <f>IF(A280="","",MAX(0,G280-SUMIFS('Fabric Receiving'!$H$5:$H$304,'Fabric Receiving'!$C$5:$C$304,A280)))</f>
        <v/>
      </c>
      <c r="T280" s="8"/>
      <c r="U280" s="10"/>
      <c r="V280" s="8"/>
    </row>
    <row r="281" spans="1:22">
      <c r="A281" s="8"/>
      <c r="B281" s="8"/>
      <c r="C281" s="8"/>
      <c r="D281" s="8"/>
      <c r="E281" s="8"/>
      <c r="F281" s="13"/>
      <c r="G281" s="13"/>
      <c r="H281" s="8"/>
      <c r="I281" s="13"/>
      <c r="J281" s="8"/>
      <c r="K281" s="8"/>
      <c r="L281" s="8"/>
      <c r="M281" s="8"/>
      <c r="N281" s="10"/>
      <c r="O281" s="10"/>
      <c r="P281" s="8"/>
      <c r="Q281" s="10"/>
      <c r="R281" s="14" t="str">
        <f t="shared" si="4"/>
        <v/>
      </c>
      <c r="S281" s="14" t="str">
        <f>IF(A281="","",MAX(0,G281-SUMIFS('Fabric Receiving'!$H$5:$H$304,'Fabric Receiving'!$C$5:$C$304,A281)))</f>
        <v/>
      </c>
      <c r="T281" s="8"/>
      <c r="U281" s="10"/>
      <c r="V281" s="8"/>
    </row>
    <row r="282" spans="1:22">
      <c r="A282" s="8"/>
      <c r="B282" s="8"/>
      <c r="C282" s="8"/>
      <c r="D282" s="8"/>
      <c r="E282" s="8"/>
      <c r="F282" s="13"/>
      <c r="G282" s="13"/>
      <c r="H282" s="8"/>
      <c r="I282" s="13"/>
      <c r="J282" s="8"/>
      <c r="K282" s="8"/>
      <c r="L282" s="8"/>
      <c r="M282" s="8"/>
      <c r="N282" s="10"/>
      <c r="O282" s="10"/>
      <c r="P282" s="8"/>
      <c r="Q282" s="10"/>
      <c r="R282" s="14" t="str">
        <f t="shared" si="4"/>
        <v/>
      </c>
      <c r="S282" s="14" t="str">
        <f>IF(A282="","",MAX(0,G282-SUMIFS('Fabric Receiving'!$H$5:$H$304,'Fabric Receiving'!$C$5:$C$304,A282)))</f>
        <v/>
      </c>
      <c r="T282" s="8"/>
      <c r="U282" s="10"/>
      <c r="V282" s="8"/>
    </row>
    <row r="283" spans="1:22">
      <c r="A283" s="8"/>
      <c r="B283" s="8"/>
      <c r="C283" s="8"/>
      <c r="D283" s="8"/>
      <c r="E283" s="8"/>
      <c r="F283" s="13"/>
      <c r="G283" s="13"/>
      <c r="H283" s="8"/>
      <c r="I283" s="13"/>
      <c r="J283" s="8"/>
      <c r="K283" s="8"/>
      <c r="L283" s="8"/>
      <c r="M283" s="8"/>
      <c r="N283" s="10"/>
      <c r="O283" s="10"/>
      <c r="P283" s="8"/>
      <c r="Q283" s="10"/>
      <c r="R283" s="14" t="str">
        <f t="shared" si="4"/>
        <v/>
      </c>
      <c r="S283" s="14" t="str">
        <f>IF(A283="","",MAX(0,G283-SUMIFS('Fabric Receiving'!$H$5:$H$304,'Fabric Receiving'!$C$5:$C$304,A283)))</f>
        <v/>
      </c>
      <c r="T283" s="8"/>
      <c r="U283" s="10"/>
      <c r="V283" s="8"/>
    </row>
    <row r="284" spans="1:22">
      <c r="A284" s="8"/>
      <c r="B284" s="8"/>
      <c r="C284" s="8"/>
      <c r="D284" s="8"/>
      <c r="E284" s="8"/>
      <c r="F284" s="13"/>
      <c r="G284" s="13"/>
      <c r="H284" s="8"/>
      <c r="I284" s="13"/>
      <c r="J284" s="8"/>
      <c r="K284" s="8"/>
      <c r="L284" s="8"/>
      <c r="M284" s="8"/>
      <c r="N284" s="10"/>
      <c r="O284" s="10"/>
      <c r="P284" s="8"/>
      <c r="Q284" s="10"/>
      <c r="R284" s="14" t="str">
        <f t="shared" si="4"/>
        <v/>
      </c>
      <c r="S284" s="14" t="str">
        <f>IF(A284="","",MAX(0,G284-SUMIFS('Fabric Receiving'!$H$5:$H$304,'Fabric Receiving'!$C$5:$C$304,A284)))</f>
        <v/>
      </c>
      <c r="T284" s="8"/>
      <c r="U284" s="10"/>
      <c r="V284" s="8"/>
    </row>
    <row r="285" spans="1:22">
      <c r="A285" s="8"/>
      <c r="B285" s="8"/>
      <c r="C285" s="8"/>
      <c r="D285" s="8"/>
      <c r="E285" s="8"/>
      <c r="F285" s="13"/>
      <c r="G285" s="13"/>
      <c r="H285" s="8"/>
      <c r="I285" s="13"/>
      <c r="J285" s="8"/>
      <c r="K285" s="8"/>
      <c r="L285" s="8"/>
      <c r="M285" s="8"/>
      <c r="N285" s="10"/>
      <c r="O285" s="10"/>
      <c r="P285" s="8"/>
      <c r="Q285" s="10"/>
      <c r="R285" s="14" t="str">
        <f t="shared" si="4"/>
        <v/>
      </c>
      <c r="S285" s="14" t="str">
        <f>IF(A285="","",MAX(0,G285-SUMIFS('Fabric Receiving'!$H$5:$H$304,'Fabric Receiving'!$C$5:$C$304,A285)))</f>
        <v/>
      </c>
      <c r="T285" s="8"/>
      <c r="U285" s="10"/>
      <c r="V285" s="8"/>
    </row>
    <row r="286" spans="1:22">
      <c r="A286" s="8"/>
      <c r="B286" s="8"/>
      <c r="C286" s="8"/>
      <c r="D286" s="8"/>
      <c r="E286" s="8"/>
      <c r="F286" s="13"/>
      <c r="G286" s="13"/>
      <c r="H286" s="8"/>
      <c r="I286" s="13"/>
      <c r="J286" s="8"/>
      <c r="K286" s="8"/>
      <c r="L286" s="8"/>
      <c r="M286" s="8"/>
      <c r="N286" s="10"/>
      <c r="O286" s="10"/>
      <c r="P286" s="8"/>
      <c r="Q286" s="10"/>
      <c r="R286" s="14" t="str">
        <f t="shared" si="4"/>
        <v/>
      </c>
      <c r="S286" s="14" t="str">
        <f>IF(A286="","",MAX(0,G286-SUMIFS('Fabric Receiving'!$H$5:$H$304,'Fabric Receiving'!$C$5:$C$304,A286)))</f>
        <v/>
      </c>
      <c r="T286" s="8"/>
      <c r="U286" s="10"/>
      <c r="V286" s="8"/>
    </row>
    <row r="287" spans="1:22">
      <c r="A287" s="8"/>
      <c r="B287" s="8"/>
      <c r="C287" s="8"/>
      <c r="D287" s="8"/>
      <c r="E287" s="8"/>
      <c r="F287" s="13"/>
      <c r="G287" s="13"/>
      <c r="H287" s="8"/>
      <c r="I287" s="13"/>
      <c r="J287" s="8"/>
      <c r="K287" s="8"/>
      <c r="L287" s="8"/>
      <c r="M287" s="8"/>
      <c r="N287" s="10"/>
      <c r="O287" s="10"/>
      <c r="P287" s="8"/>
      <c r="Q287" s="10"/>
      <c r="R287" s="14" t="str">
        <f t="shared" si="4"/>
        <v/>
      </c>
      <c r="S287" s="14" t="str">
        <f>IF(A287="","",MAX(0,G287-SUMIFS('Fabric Receiving'!$H$5:$H$304,'Fabric Receiving'!$C$5:$C$304,A287)))</f>
        <v/>
      </c>
      <c r="T287" s="8"/>
      <c r="U287" s="10"/>
      <c r="V287" s="8"/>
    </row>
    <row r="288" spans="1:22">
      <c r="A288" s="8"/>
      <c r="B288" s="8"/>
      <c r="C288" s="8"/>
      <c r="D288" s="8"/>
      <c r="E288" s="8"/>
      <c r="F288" s="13"/>
      <c r="G288" s="13"/>
      <c r="H288" s="8"/>
      <c r="I288" s="13"/>
      <c r="J288" s="8"/>
      <c r="K288" s="8"/>
      <c r="L288" s="8"/>
      <c r="M288" s="8"/>
      <c r="N288" s="10"/>
      <c r="O288" s="10"/>
      <c r="P288" s="8"/>
      <c r="Q288" s="10"/>
      <c r="R288" s="14" t="str">
        <f t="shared" si="4"/>
        <v/>
      </c>
      <c r="S288" s="14" t="str">
        <f>IF(A288="","",MAX(0,G288-SUMIFS('Fabric Receiving'!$H$5:$H$304,'Fabric Receiving'!$C$5:$C$304,A288)))</f>
        <v/>
      </c>
      <c r="T288" s="8"/>
      <c r="U288" s="10"/>
      <c r="V288" s="8"/>
    </row>
    <row r="289" spans="1:22">
      <c r="A289" s="8"/>
      <c r="B289" s="8"/>
      <c r="C289" s="8"/>
      <c r="D289" s="8"/>
      <c r="E289" s="8"/>
      <c r="F289" s="13"/>
      <c r="G289" s="13"/>
      <c r="H289" s="8"/>
      <c r="I289" s="13"/>
      <c r="J289" s="8"/>
      <c r="K289" s="8"/>
      <c r="L289" s="8"/>
      <c r="M289" s="8"/>
      <c r="N289" s="10"/>
      <c r="O289" s="10"/>
      <c r="P289" s="8"/>
      <c r="Q289" s="10"/>
      <c r="R289" s="14" t="str">
        <f t="shared" si="4"/>
        <v/>
      </c>
      <c r="S289" s="14" t="str">
        <f>IF(A289="","",MAX(0,G289-SUMIFS('Fabric Receiving'!$H$5:$H$304,'Fabric Receiving'!$C$5:$C$304,A289)))</f>
        <v/>
      </c>
      <c r="T289" s="8"/>
      <c r="U289" s="10"/>
      <c r="V289" s="8"/>
    </row>
    <row r="290" spans="1:22">
      <c r="A290" s="8"/>
      <c r="B290" s="8"/>
      <c r="C290" s="8"/>
      <c r="D290" s="8"/>
      <c r="E290" s="8"/>
      <c r="F290" s="13"/>
      <c r="G290" s="13"/>
      <c r="H290" s="8"/>
      <c r="I290" s="13"/>
      <c r="J290" s="8"/>
      <c r="K290" s="8"/>
      <c r="L290" s="8"/>
      <c r="M290" s="8"/>
      <c r="N290" s="10"/>
      <c r="O290" s="10"/>
      <c r="P290" s="8"/>
      <c r="Q290" s="10"/>
      <c r="R290" s="14" t="str">
        <f t="shared" si="4"/>
        <v/>
      </c>
      <c r="S290" s="14" t="str">
        <f>IF(A290="","",MAX(0,G290-SUMIFS('Fabric Receiving'!$H$5:$H$304,'Fabric Receiving'!$C$5:$C$304,A290)))</f>
        <v/>
      </c>
      <c r="T290" s="8"/>
      <c r="U290" s="10"/>
      <c r="V290" s="8"/>
    </row>
    <row r="291" spans="1:22">
      <c r="A291" s="8"/>
      <c r="B291" s="8"/>
      <c r="C291" s="8"/>
      <c r="D291" s="8"/>
      <c r="E291" s="8"/>
      <c r="F291" s="13"/>
      <c r="G291" s="13"/>
      <c r="H291" s="8"/>
      <c r="I291" s="13"/>
      <c r="J291" s="8"/>
      <c r="K291" s="8"/>
      <c r="L291" s="8"/>
      <c r="M291" s="8"/>
      <c r="N291" s="10"/>
      <c r="O291" s="10"/>
      <c r="P291" s="8"/>
      <c r="Q291" s="10"/>
      <c r="R291" s="14" t="str">
        <f t="shared" si="4"/>
        <v/>
      </c>
      <c r="S291" s="14" t="str">
        <f>IF(A291="","",MAX(0,G291-SUMIFS('Fabric Receiving'!$H$5:$H$304,'Fabric Receiving'!$C$5:$C$304,A291)))</f>
        <v/>
      </c>
      <c r="T291" s="8"/>
      <c r="U291" s="10"/>
      <c r="V291" s="8"/>
    </row>
    <row r="292" spans="1:22">
      <c r="A292" s="8"/>
      <c r="B292" s="8"/>
      <c r="C292" s="8"/>
      <c r="D292" s="8"/>
      <c r="E292" s="8"/>
      <c r="F292" s="13"/>
      <c r="G292" s="13"/>
      <c r="H292" s="8"/>
      <c r="I292" s="13"/>
      <c r="J292" s="8"/>
      <c r="K292" s="8"/>
      <c r="L292" s="8"/>
      <c r="M292" s="8"/>
      <c r="N292" s="10"/>
      <c r="O292" s="10"/>
      <c r="P292" s="8"/>
      <c r="Q292" s="10"/>
      <c r="R292" s="14" t="str">
        <f t="shared" si="4"/>
        <v/>
      </c>
      <c r="S292" s="14" t="str">
        <f>IF(A292="","",MAX(0,G292-SUMIFS('Fabric Receiving'!$H$5:$H$304,'Fabric Receiving'!$C$5:$C$304,A292)))</f>
        <v/>
      </c>
      <c r="T292" s="8"/>
      <c r="U292" s="10"/>
      <c r="V292" s="8"/>
    </row>
    <row r="293" spans="1:22">
      <c r="A293" s="8"/>
      <c r="B293" s="8"/>
      <c r="C293" s="8"/>
      <c r="D293" s="8"/>
      <c r="E293" s="8"/>
      <c r="F293" s="13"/>
      <c r="G293" s="13"/>
      <c r="H293" s="8"/>
      <c r="I293" s="13"/>
      <c r="J293" s="8"/>
      <c r="K293" s="8"/>
      <c r="L293" s="8"/>
      <c r="M293" s="8"/>
      <c r="N293" s="10"/>
      <c r="O293" s="10"/>
      <c r="P293" s="8"/>
      <c r="Q293" s="10"/>
      <c r="R293" s="14" t="str">
        <f t="shared" si="4"/>
        <v/>
      </c>
      <c r="S293" s="14" t="str">
        <f>IF(A293="","",MAX(0,G293-SUMIFS('Fabric Receiving'!$H$5:$H$304,'Fabric Receiving'!$C$5:$C$304,A293)))</f>
        <v/>
      </c>
      <c r="T293" s="8"/>
      <c r="U293" s="10"/>
      <c r="V293" s="8"/>
    </row>
    <row r="294" spans="1:22">
      <c r="A294" s="8"/>
      <c r="B294" s="8"/>
      <c r="C294" s="8"/>
      <c r="D294" s="8"/>
      <c r="E294" s="8"/>
      <c r="F294" s="13"/>
      <c r="G294" s="13"/>
      <c r="H294" s="8"/>
      <c r="I294" s="13"/>
      <c r="J294" s="8"/>
      <c r="K294" s="8"/>
      <c r="L294" s="8"/>
      <c r="M294" s="8"/>
      <c r="N294" s="10"/>
      <c r="O294" s="10"/>
      <c r="P294" s="8"/>
      <c r="Q294" s="10"/>
      <c r="R294" s="14" t="str">
        <f t="shared" si="4"/>
        <v/>
      </c>
      <c r="S294" s="14" t="str">
        <f>IF(A294="","",MAX(0,G294-SUMIFS('Fabric Receiving'!$H$5:$H$304,'Fabric Receiving'!$C$5:$C$304,A294)))</f>
        <v/>
      </c>
      <c r="T294" s="8"/>
      <c r="U294" s="10"/>
      <c r="V294" s="8"/>
    </row>
    <row r="295" spans="1:22">
      <c r="A295" s="8"/>
      <c r="B295" s="8"/>
      <c r="C295" s="8"/>
      <c r="D295" s="8"/>
      <c r="E295" s="8"/>
      <c r="F295" s="13"/>
      <c r="G295" s="13"/>
      <c r="H295" s="8"/>
      <c r="I295" s="13"/>
      <c r="J295" s="8"/>
      <c r="K295" s="8"/>
      <c r="L295" s="8"/>
      <c r="M295" s="8"/>
      <c r="N295" s="10"/>
      <c r="O295" s="10"/>
      <c r="P295" s="8"/>
      <c r="Q295" s="10"/>
      <c r="R295" s="14" t="str">
        <f t="shared" si="4"/>
        <v/>
      </c>
      <c r="S295" s="14" t="str">
        <f>IF(A295="","",MAX(0,G295-SUMIFS('Fabric Receiving'!$H$5:$H$304,'Fabric Receiving'!$C$5:$C$304,A295)))</f>
        <v/>
      </c>
      <c r="T295" s="8"/>
      <c r="U295" s="10"/>
      <c r="V295" s="8"/>
    </row>
    <row r="296" spans="1:22">
      <c r="A296" s="8"/>
      <c r="B296" s="8"/>
      <c r="C296" s="8"/>
      <c r="D296" s="8"/>
      <c r="E296" s="8"/>
      <c r="F296" s="13"/>
      <c r="G296" s="13"/>
      <c r="H296" s="8"/>
      <c r="I296" s="13"/>
      <c r="J296" s="8"/>
      <c r="K296" s="8"/>
      <c r="L296" s="8"/>
      <c r="M296" s="8"/>
      <c r="N296" s="10"/>
      <c r="O296" s="10"/>
      <c r="P296" s="8"/>
      <c r="Q296" s="10"/>
      <c r="R296" s="14" t="str">
        <f t="shared" si="4"/>
        <v/>
      </c>
      <c r="S296" s="14" t="str">
        <f>IF(A296="","",MAX(0,G296-SUMIFS('Fabric Receiving'!$H$5:$H$304,'Fabric Receiving'!$C$5:$C$304,A296)))</f>
        <v/>
      </c>
      <c r="T296" s="8"/>
      <c r="U296" s="10"/>
      <c r="V296" s="8"/>
    </row>
    <row r="297" spans="1:22">
      <c r="A297" s="8"/>
      <c r="B297" s="8"/>
      <c r="C297" s="8"/>
      <c r="D297" s="8"/>
      <c r="E297" s="8"/>
      <c r="F297" s="13"/>
      <c r="G297" s="13"/>
      <c r="H297" s="8"/>
      <c r="I297" s="13"/>
      <c r="J297" s="8"/>
      <c r="K297" s="8"/>
      <c r="L297" s="8"/>
      <c r="M297" s="8"/>
      <c r="N297" s="10"/>
      <c r="O297" s="10"/>
      <c r="P297" s="8"/>
      <c r="Q297" s="10"/>
      <c r="R297" s="14" t="str">
        <f t="shared" si="4"/>
        <v/>
      </c>
      <c r="S297" s="14" t="str">
        <f>IF(A297="","",MAX(0,G297-SUMIFS('Fabric Receiving'!$H$5:$H$304,'Fabric Receiving'!$C$5:$C$304,A297)))</f>
        <v/>
      </c>
      <c r="T297" s="8"/>
      <c r="U297" s="10"/>
      <c r="V297" s="8"/>
    </row>
    <row r="298" spans="1:22">
      <c r="A298" s="8"/>
      <c r="B298" s="8"/>
      <c r="C298" s="8"/>
      <c r="D298" s="8"/>
      <c r="E298" s="8"/>
      <c r="F298" s="13"/>
      <c r="G298" s="13"/>
      <c r="H298" s="8"/>
      <c r="I298" s="13"/>
      <c r="J298" s="8"/>
      <c r="K298" s="8"/>
      <c r="L298" s="8"/>
      <c r="M298" s="8"/>
      <c r="N298" s="10"/>
      <c r="O298" s="10"/>
      <c r="P298" s="8"/>
      <c r="Q298" s="10"/>
      <c r="R298" s="14" t="str">
        <f t="shared" si="4"/>
        <v/>
      </c>
      <c r="S298" s="14" t="str">
        <f>IF(A298="","",MAX(0,G298-SUMIFS('Fabric Receiving'!$H$5:$H$304,'Fabric Receiving'!$C$5:$C$304,A298)))</f>
        <v/>
      </c>
      <c r="T298" s="8"/>
      <c r="U298" s="10"/>
      <c r="V298" s="8"/>
    </row>
    <row r="299" spans="1:22">
      <c r="A299" s="8"/>
      <c r="B299" s="8"/>
      <c r="C299" s="8"/>
      <c r="D299" s="8"/>
      <c r="E299" s="8"/>
      <c r="F299" s="13"/>
      <c r="G299" s="13"/>
      <c r="H299" s="8"/>
      <c r="I299" s="13"/>
      <c r="J299" s="8"/>
      <c r="K299" s="8"/>
      <c r="L299" s="8"/>
      <c r="M299" s="8"/>
      <c r="N299" s="10"/>
      <c r="O299" s="10"/>
      <c r="P299" s="8"/>
      <c r="Q299" s="10"/>
      <c r="R299" s="14" t="str">
        <f t="shared" si="4"/>
        <v/>
      </c>
      <c r="S299" s="14" t="str">
        <f>IF(A299="","",MAX(0,G299-SUMIFS('Fabric Receiving'!$H$5:$H$304,'Fabric Receiving'!$C$5:$C$304,A299)))</f>
        <v/>
      </c>
      <c r="T299" s="8"/>
      <c r="U299" s="10"/>
      <c r="V299" s="8"/>
    </row>
    <row r="300" spans="1:22">
      <c r="A300" s="8"/>
      <c r="B300" s="8"/>
      <c r="C300" s="8"/>
      <c r="D300" s="8"/>
      <c r="E300" s="8"/>
      <c r="F300" s="13"/>
      <c r="G300" s="13"/>
      <c r="H300" s="8"/>
      <c r="I300" s="13"/>
      <c r="J300" s="8"/>
      <c r="K300" s="8"/>
      <c r="L300" s="8"/>
      <c r="M300" s="8"/>
      <c r="N300" s="10"/>
      <c r="O300" s="10"/>
      <c r="P300" s="8"/>
      <c r="Q300" s="10"/>
      <c r="R300" s="14" t="str">
        <f t="shared" si="4"/>
        <v/>
      </c>
      <c r="S300" s="14" t="str">
        <f>IF(A300="","",MAX(0,G300-SUMIFS('Fabric Receiving'!$H$5:$H$304,'Fabric Receiving'!$C$5:$C$304,A300)))</f>
        <v/>
      </c>
      <c r="T300" s="8"/>
      <c r="U300" s="10"/>
      <c r="V300" s="8"/>
    </row>
    <row r="301" spans="1:22">
      <c r="A301" s="8"/>
      <c r="B301" s="8"/>
      <c r="C301" s="8"/>
      <c r="D301" s="8"/>
      <c r="E301" s="8"/>
      <c r="F301" s="13"/>
      <c r="G301" s="13"/>
      <c r="H301" s="8"/>
      <c r="I301" s="13"/>
      <c r="J301" s="8"/>
      <c r="K301" s="8"/>
      <c r="L301" s="8"/>
      <c r="M301" s="8"/>
      <c r="N301" s="10"/>
      <c r="O301" s="10"/>
      <c r="P301" s="8"/>
      <c r="Q301" s="10"/>
      <c r="R301" s="14" t="str">
        <f t="shared" si="4"/>
        <v/>
      </c>
      <c r="S301" s="14" t="str">
        <f>IF(A301="","",MAX(0,G301-SUMIFS('Fabric Receiving'!$H$5:$H$304,'Fabric Receiving'!$C$5:$C$304,A301)))</f>
        <v/>
      </c>
      <c r="T301" s="8"/>
      <c r="U301" s="10"/>
      <c r="V301" s="8"/>
    </row>
    <row r="302" spans="1:22">
      <c r="A302" s="8"/>
      <c r="B302" s="8"/>
      <c r="C302" s="8"/>
      <c r="D302" s="8"/>
      <c r="E302" s="8"/>
      <c r="F302" s="13"/>
      <c r="G302" s="13"/>
      <c r="H302" s="8"/>
      <c r="I302" s="13"/>
      <c r="J302" s="8"/>
      <c r="K302" s="8"/>
      <c r="L302" s="8"/>
      <c r="M302" s="8"/>
      <c r="N302" s="10"/>
      <c r="O302" s="10"/>
      <c r="P302" s="8"/>
      <c r="Q302" s="10"/>
      <c r="R302" s="14" t="str">
        <f t="shared" si="4"/>
        <v/>
      </c>
      <c r="S302" s="14" t="str">
        <f>IF(A302="","",MAX(0,G302-SUMIFS('Fabric Receiving'!$H$5:$H$304,'Fabric Receiving'!$C$5:$C$304,A302)))</f>
        <v/>
      </c>
      <c r="T302" s="8"/>
      <c r="U302" s="10"/>
      <c r="V302" s="8"/>
    </row>
    <row r="303" spans="1:22">
      <c r="A303" s="8"/>
      <c r="B303" s="8"/>
      <c r="C303" s="8"/>
      <c r="D303" s="8"/>
      <c r="E303" s="8"/>
      <c r="F303" s="13"/>
      <c r="G303" s="13"/>
      <c r="H303" s="8"/>
      <c r="I303" s="13"/>
      <c r="J303" s="8"/>
      <c r="K303" s="8"/>
      <c r="L303" s="8"/>
      <c r="M303" s="8"/>
      <c r="N303" s="10"/>
      <c r="O303" s="10"/>
      <c r="P303" s="8"/>
      <c r="Q303" s="10"/>
      <c r="R303" s="14" t="str">
        <f t="shared" si="4"/>
        <v/>
      </c>
      <c r="S303" s="14" t="str">
        <f>IF(A303="","",MAX(0,G303-SUMIFS('Fabric Receiving'!$H$5:$H$304,'Fabric Receiving'!$C$5:$C$304,A303)))</f>
        <v/>
      </c>
      <c r="T303" s="8"/>
      <c r="U303" s="10"/>
      <c r="V303" s="8"/>
    </row>
    <row r="304" spans="1:22">
      <c r="A304" s="8"/>
      <c r="B304" s="8"/>
      <c r="C304" s="8"/>
      <c r="D304" s="8"/>
      <c r="E304" s="8"/>
      <c r="F304" s="13"/>
      <c r="G304" s="13"/>
      <c r="H304" s="8"/>
      <c r="I304" s="13"/>
      <c r="J304" s="8"/>
      <c r="K304" s="8"/>
      <c r="L304" s="8"/>
      <c r="M304" s="8"/>
      <c r="N304" s="10"/>
      <c r="O304" s="10"/>
      <c r="P304" s="8"/>
      <c r="Q304" s="10"/>
      <c r="R304" s="14" t="str">
        <f t="shared" si="4"/>
        <v/>
      </c>
      <c r="S304" s="14" t="str">
        <f>IF(A304="","",MAX(0,G304-SUMIFS('Fabric Receiving'!$H$5:$H$304,'Fabric Receiving'!$C$5:$C$304,A304)))</f>
        <v/>
      </c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100" priority="9"/>
  </conditionalFormatting>
  <conditionalFormatting sqref="P5:P304">
    <cfRule type="containsText" dxfId="99" priority="1" operator="containsText" text="Approved"/>
    <cfRule type="containsText" dxfId="98" priority="4" operator="containsText" text="Failed"/>
    <cfRule type="containsText" dxfId="97" priority="7" operator="containsText" text="On Hold"/>
  </conditionalFormatting>
  <dataValidations count="2">
    <dataValidation type="list" sqref="H5:H304" xr:uid="{00000000-0002-0000-0800-000000000000}">
      <formula1>"Yards,Meters,Kilograms,Pounds,Rolls"</formula1>
    </dataValidation>
    <dataValidation type="list" sqref="P5:P304" xr:uid="{00000000-0002-0000-0800-000001000000}">
      <formula1>"Planned,Booking Confirmed,Exported,In Transit,Customs Processing,Arrived,Delivered,Closed"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04"/>
  <sheetViews>
    <sheetView showGridLines="0" workbookViewId="0">
      <selection sqref="A1:T1"/>
    </sheetView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8" customWidth="1"/>
    <col min="5" max="5" width="14" customWidth="1"/>
    <col min="6" max="7" width="16" customWidth="1"/>
    <col min="8" max="11" width="18" customWidth="1"/>
    <col min="12" max="13" width="15" customWidth="1"/>
    <col min="14" max="14" width="14" customWidth="1"/>
    <col min="15" max="16" width="18" customWidth="1"/>
    <col min="17" max="19" width="15" customWidth="1"/>
    <col min="20" max="20" width="24" customWidth="1"/>
  </cols>
  <sheetData>
    <row r="1" spans="1:20" ht="30" customHeight="1">
      <c r="A1" s="52" t="s">
        <v>176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4" spans="1:20" ht="44" customHeight="1">
      <c r="A4" s="6" t="s">
        <v>177</v>
      </c>
      <c r="B4" s="6" t="s">
        <v>178</v>
      </c>
      <c r="C4" s="6" t="s">
        <v>163</v>
      </c>
      <c r="D4" s="6" t="s">
        <v>118</v>
      </c>
      <c r="E4" s="6" t="s">
        <v>44</v>
      </c>
      <c r="F4" s="6" t="s">
        <v>119</v>
      </c>
      <c r="G4" s="6" t="s">
        <v>179</v>
      </c>
      <c r="H4" s="6" t="s">
        <v>180</v>
      </c>
      <c r="I4" s="6" t="s">
        <v>25</v>
      </c>
      <c r="J4" s="6" t="s">
        <v>181</v>
      </c>
      <c r="K4" s="6" t="s">
        <v>182</v>
      </c>
      <c r="L4" s="6" t="s">
        <v>183</v>
      </c>
      <c r="M4" s="6" t="s">
        <v>184</v>
      </c>
      <c r="N4" s="6" t="s">
        <v>185</v>
      </c>
      <c r="O4" s="6" t="s">
        <v>186</v>
      </c>
      <c r="P4" s="6" t="s">
        <v>187</v>
      </c>
      <c r="Q4" s="6" t="s">
        <v>188</v>
      </c>
      <c r="R4" s="6" t="s">
        <v>100</v>
      </c>
      <c r="S4" s="6" t="s">
        <v>63</v>
      </c>
      <c r="T4" s="6" t="s">
        <v>101</v>
      </c>
    </row>
    <row r="5" spans="1:20">
      <c r="A5" s="8"/>
      <c r="B5" s="10"/>
      <c r="C5" s="8"/>
      <c r="D5" s="8"/>
      <c r="E5" s="8"/>
      <c r="F5" s="8"/>
      <c r="G5" s="13"/>
      <c r="H5" s="13"/>
      <c r="I5" s="14" t="str">
        <f t="shared" ref="I5:I68" si="0">IF(A5="","",H5-G5)</f>
        <v/>
      </c>
      <c r="J5" s="14" t="str">
        <f t="shared" ref="J5:J68" si="1">IF(A5="","",MAX(0,G5-H5))</f>
        <v/>
      </c>
      <c r="K5" s="14" t="str">
        <f t="shared" ref="K5:K68" si="2">IF(A5="","",MAX(0,H5-G5))</f>
        <v/>
      </c>
      <c r="L5" s="13"/>
      <c r="M5" s="13"/>
      <c r="N5" s="14" t="str">
        <f t="shared" ref="N5:N68" si="3">IF(A5="","",MAX(0,L5-M5))</f>
        <v/>
      </c>
      <c r="O5" s="8"/>
      <c r="P5" s="8"/>
      <c r="Q5" s="8"/>
      <c r="R5" s="8"/>
      <c r="S5" s="10"/>
      <c r="T5" s="8"/>
    </row>
    <row r="6" spans="1:20">
      <c r="A6" s="8"/>
      <c r="B6" s="10"/>
      <c r="C6" s="8"/>
      <c r="D6" s="8"/>
      <c r="E6" s="8"/>
      <c r="F6" s="8"/>
      <c r="G6" s="13"/>
      <c r="H6" s="13"/>
      <c r="I6" s="14" t="str">
        <f t="shared" si="0"/>
        <v/>
      </c>
      <c r="J6" s="14" t="str">
        <f t="shared" si="1"/>
        <v/>
      </c>
      <c r="K6" s="14" t="str">
        <f t="shared" si="2"/>
        <v/>
      </c>
      <c r="L6" s="13"/>
      <c r="M6" s="13"/>
      <c r="N6" s="14" t="str">
        <f t="shared" si="3"/>
        <v/>
      </c>
      <c r="O6" s="8"/>
      <c r="P6" s="8"/>
      <c r="Q6" s="8"/>
      <c r="R6" s="8"/>
      <c r="S6" s="10"/>
      <c r="T6" s="8"/>
    </row>
    <row r="7" spans="1:20">
      <c r="A7" s="8"/>
      <c r="B7" s="10"/>
      <c r="C7" s="8"/>
      <c r="D7" s="8"/>
      <c r="E7" s="8"/>
      <c r="F7" s="8"/>
      <c r="G7" s="13"/>
      <c r="H7" s="13"/>
      <c r="I7" s="14" t="str">
        <f t="shared" si="0"/>
        <v/>
      </c>
      <c r="J7" s="14" t="str">
        <f t="shared" si="1"/>
        <v/>
      </c>
      <c r="K7" s="14" t="str">
        <f t="shared" si="2"/>
        <v/>
      </c>
      <c r="L7" s="13"/>
      <c r="M7" s="13"/>
      <c r="N7" s="14" t="str">
        <f t="shared" si="3"/>
        <v/>
      </c>
      <c r="O7" s="8"/>
      <c r="P7" s="8"/>
      <c r="Q7" s="8"/>
      <c r="R7" s="8"/>
      <c r="S7" s="10"/>
      <c r="T7" s="8"/>
    </row>
    <row r="8" spans="1:20">
      <c r="A8" s="8"/>
      <c r="B8" s="10"/>
      <c r="C8" s="8"/>
      <c r="D8" s="8"/>
      <c r="E8" s="8"/>
      <c r="F8" s="8"/>
      <c r="G8" s="13"/>
      <c r="H8" s="13"/>
      <c r="I8" s="14" t="str">
        <f t="shared" si="0"/>
        <v/>
      </c>
      <c r="J8" s="14" t="str">
        <f t="shared" si="1"/>
        <v/>
      </c>
      <c r="K8" s="14" t="str">
        <f t="shared" si="2"/>
        <v/>
      </c>
      <c r="L8" s="13"/>
      <c r="M8" s="13"/>
      <c r="N8" s="14" t="str">
        <f t="shared" si="3"/>
        <v/>
      </c>
      <c r="O8" s="8"/>
      <c r="P8" s="8"/>
      <c r="Q8" s="8"/>
      <c r="R8" s="8"/>
      <c r="S8" s="10"/>
      <c r="T8" s="8"/>
    </row>
    <row r="9" spans="1:20">
      <c r="A9" s="8"/>
      <c r="B9" s="10"/>
      <c r="C9" s="8"/>
      <c r="D9" s="8"/>
      <c r="E9" s="8"/>
      <c r="F9" s="8"/>
      <c r="G9" s="13"/>
      <c r="H9" s="13"/>
      <c r="I9" s="14" t="str">
        <f t="shared" si="0"/>
        <v/>
      </c>
      <c r="J9" s="14" t="str">
        <f t="shared" si="1"/>
        <v/>
      </c>
      <c r="K9" s="14" t="str">
        <f t="shared" si="2"/>
        <v/>
      </c>
      <c r="L9" s="13"/>
      <c r="M9" s="13"/>
      <c r="N9" s="14" t="str">
        <f t="shared" si="3"/>
        <v/>
      </c>
      <c r="O9" s="8"/>
      <c r="P9" s="8"/>
      <c r="Q9" s="8"/>
      <c r="R9" s="8"/>
      <c r="S9" s="10"/>
      <c r="T9" s="8"/>
    </row>
    <row r="10" spans="1:20">
      <c r="A10" s="8"/>
      <c r="B10" s="10"/>
      <c r="C10" s="8"/>
      <c r="D10" s="8"/>
      <c r="E10" s="8"/>
      <c r="F10" s="8"/>
      <c r="G10" s="13"/>
      <c r="H10" s="13"/>
      <c r="I10" s="14" t="str">
        <f t="shared" si="0"/>
        <v/>
      </c>
      <c r="J10" s="14" t="str">
        <f t="shared" si="1"/>
        <v/>
      </c>
      <c r="K10" s="14" t="str">
        <f t="shared" si="2"/>
        <v/>
      </c>
      <c r="L10" s="13"/>
      <c r="M10" s="13"/>
      <c r="N10" s="14" t="str">
        <f t="shared" si="3"/>
        <v/>
      </c>
      <c r="O10" s="8"/>
      <c r="P10" s="8"/>
      <c r="Q10" s="8"/>
      <c r="R10" s="8"/>
      <c r="S10" s="10"/>
      <c r="T10" s="8"/>
    </row>
    <row r="11" spans="1:20">
      <c r="A11" s="8"/>
      <c r="B11" s="10"/>
      <c r="C11" s="8"/>
      <c r="D11" s="8"/>
      <c r="E11" s="8"/>
      <c r="F11" s="8"/>
      <c r="G11" s="13"/>
      <c r="H11" s="13"/>
      <c r="I11" s="14" t="str">
        <f t="shared" si="0"/>
        <v/>
      </c>
      <c r="J11" s="14" t="str">
        <f t="shared" si="1"/>
        <v/>
      </c>
      <c r="K11" s="14" t="str">
        <f t="shared" si="2"/>
        <v/>
      </c>
      <c r="L11" s="13"/>
      <c r="M11" s="13"/>
      <c r="N11" s="14" t="str">
        <f t="shared" si="3"/>
        <v/>
      </c>
      <c r="O11" s="8"/>
      <c r="P11" s="8"/>
      <c r="Q11" s="8"/>
      <c r="R11" s="8"/>
      <c r="S11" s="10"/>
      <c r="T11" s="8"/>
    </row>
    <row r="12" spans="1:20">
      <c r="A12" s="8"/>
      <c r="B12" s="10"/>
      <c r="C12" s="8"/>
      <c r="D12" s="8"/>
      <c r="E12" s="8"/>
      <c r="F12" s="8"/>
      <c r="G12" s="13"/>
      <c r="H12" s="13"/>
      <c r="I12" s="14" t="str">
        <f t="shared" si="0"/>
        <v/>
      </c>
      <c r="J12" s="14" t="str">
        <f t="shared" si="1"/>
        <v/>
      </c>
      <c r="K12" s="14" t="str">
        <f t="shared" si="2"/>
        <v/>
      </c>
      <c r="L12" s="13"/>
      <c r="M12" s="13"/>
      <c r="N12" s="14" t="str">
        <f t="shared" si="3"/>
        <v/>
      </c>
      <c r="O12" s="8"/>
      <c r="P12" s="8"/>
      <c r="Q12" s="8"/>
      <c r="R12" s="8"/>
      <c r="S12" s="10"/>
      <c r="T12" s="8"/>
    </row>
    <row r="13" spans="1:20">
      <c r="A13" s="8"/>
      <c r="B13" s="10"/>
      <c r="C13" s="8"/>
      <c r="D13" s="8"/>
      <c r="E13" s="8"/>
      <c r="F13" s="8"/>
      <c r="G13" s="13"/>
      <c r="H13" s="13"/>
      <c r="I13" s="14" t="str">
        <f t="shared" si="0"/>
        <v/>
      </c>
      <c r="J13" s="14" t="str">
        <f t="shared" si="1"/>
        <v/>
      </c>
      <c r="K13" s="14" t="str">
        <f t="shared" si="2"/>
        <v/>
      </c>
      <c r="L13" s="13"/>
      <c r="M13" s="13"/>
      <c r="N13" s="14" t="str">
        <f t="shared" si="3"/>
        <v/>
      </c>
      <c r="O13" s="8"/>
      <c r="P13" s="8"/>
      <c r="Q13" s="8"/>
      <c r="R13" s="8"/>
      <c r="S13" s="10"/>
      <c r="T13" s="8"/>
    </row>
    <row r="14" spans="1:20">
      <c r="A14" s="8"/>
      <c r="B14" s="10"/>
      <c r="C14" s="8"/>
      <c r="D14" s="8"/>
      <c r="E14" s="8"/>
      <c r="F14" s="8"/>
      <c r="G14" s="13"/>
      <c r="H14" s="13"/>
      <c r="I14" s="14" t="str">
        <f t="shared" si="0"/>
        <v/>
      </c>
      <c r="J14" s="14" t="str">
        <f t="shared" si="1"/>
        <v/>
      </c>
      <c r="K14" s="14" t="str">
        <f t="shared" si="2"/>
        <v/>
      </c>
      <c r="L14" s="13"/>
      <c r="M14" s="13"/>
      <c r="N14" s="14" t="str">
        <f t="shared" si="3"/>
        <v/>
      </c>
      <c r="O14" s="8"/>
      <c r="P14" s="8"/>
      <c r="Q14" s="8"/>
      <c r="R14" s="8"/>
      <c r="S14" s="10"/>
      <c r="T14" s="8"/>
    </row>
    <row r="15" spans="1:20">
      <c r="A15" s="8"/>
      <c r="B15" s="10"/>
      <c r="C15" s="8"/>
      <c r="D15" s="8"/>
      <c r="E15" s="8"/>
      <c r="F15" s="8"/>
      <c r="G15" s="13"/>
      <c r="H15" s="13"/>
      <c r="I15" s="14" t="str">
        <f t="shared" si="0"/>
        <v/>
      </c>
      <c r="J15" s="14" t="str">
        <f t="shared" si="1"/>
        <v/>
      </c>
      <c r="K15" s="14" t="str">
        <f t="shared" si="2"/>
        <v/>
      </c>
      <c r="L15" s="13"/>
      <c r="M15" s="13"/>
      <c r="N15" s="14" t="str">
        <f t="shared" si="3"/>
        <v/>
      </c>
      <c r="O15" s="8"/>
      <c r="P15" s="8"/>
      <c r="Q15" s="8"/>
      <c r="R15" s="8"/>
      <c r="S15" s="10"/>
      <c r="T15" s="8"/>
    </row>
    <row r="16" spans="1:20">
      <c r="A16" s="8"/>
      <c r="B16" s="10"/>
      <c r="C16" s="8"/>
      <c r="D16" s="8"/>
      <c r="E16" s="8"/>
      <c r="F16" s="8"/>
      <c r="G16" s="13"/>
      <c r="H16" s="13"/>
      <c r="I16" s="14" t="str">
        <f t="shared" si="0"/>
        <v/>
      </c>
      <c r="J16" s="14" t="str">
        <f t="shared" si="1"/>
        <v/>
      </c>
      <c r="K16" s="14" t="str">
        <f t="shared" si="2"/>
        <v/>
      </c>
      <c r="L16" s="13"/>
      <c r="M16" s="13"/>
      <c r="N16" s="14" t="str">
        <f t="shared" si="3"/>
        <v/>
      </c>
      <c r="O16" s="8"/>
      <c r="P16" s="8"/>
      <c r="Q16" s="8"/>
      <c r="R16" s="8"/>
      <c r="S16" s="10"/>
      <c r="T16" s="8"/>
    </row>
    <row r="17" spans="1:20">
      <c r="A17" s="8"/>
      <c r="B17" s="10"/>
      <c r="C17" s="8"/>
      <c r="D17" s="8"/>
      <c r="E17" s="8"/>
      <c r="F17" s="8"/>
      <c r="G17" s="13"/>
      <c r="H17" s="13"/>
      <c r="I17" s="14" t="str">
        <f t="shared" si="0"/>
        <v/>
      </c>
      <c r="J17" s="14" t="str">
        <f t="shared" si="1"/>
        <v/>
      </c>
      <c r="K17" s="14" t="str">
        <f t="shared" si="2"/>
        <v/>
      </c>
      <c r="L17" s="13"/>
      <c r="M17" s="13"/>
      <c r="N17" s="14" t="str">
        <f t="shared" si="3"/>
        <v/>
      </c>
      <c r="O17" s="8"/>
      <c r="P17" s="8"/>
      <c r="Q17" s="8"/>
      <c r="R17" s="8"/>
      <c r="S17" s="10"/>
      <c r="T17" s="8"/>
    </row>
    <row r="18" spans="1:20">
      <c r="A18" s="8"/>
      <c r="B18" s="10"/>
      <c r="C18" s="8"/>
      <c r="D18" s="8"/>
      <c r="E18" s="8"/>
      <c r="F18" s="8"/>
      <c r="G18" s="13"/>
      <c r="H18" s="13"/>
      <c r="I18" s="14" t="str">
        <f t="shared" si="0"/>
        <v/>
      </c>
      <c r="J18" s="14" t="str">
        <f t="shared" si="1"/>
        <v/>
      </c>
      <c r="K18" s="14" t="str">
        <f t="shared" si="2"/>
        <v/>
      </c>
      <c r="L18" s="13"/>
      <c r="M18" s="13"/>
      <c r="N18" s="14" t="str">
        <f t="shared" si="3"/>
        <v/>
      </c>
      <c r="O18" s="8"/>
      <c r="P18" s="8"/>
      <c r="Q18" s="8"/>
      <c r="R18" s="8"/>
      <c r="S18" s="10"/>
      <c r="T18" s="8"/>
    </row>
    <row r="19" spans="1:20">
      <c r="A19" s="8"/>
      <c r="B19" s="10"/>
      <c r="C19" s="8"/>
      <c r="D19" s="8"/>
      <c r="E19" s="8"/>
      <c r="F19" s="8"/>
      <c r="G19" s="13"/>
      <c r="H19" s="13"/>
      <c r="I19" s="14" t="str">
        <f t="shared" si="0"/>
        <v/>
      </c>
      <c r="J19" s="14" t="str">
        <f t="shared" si="1"/>
        <v/>
      </c>
      <c r="K19" s="14" t="str">
        <f t="shared" si="2"/>
        <v/>
      </c>
      <c r="L19" s="13"/>
      <c r="M19" s="13"/>
      <c r="N19" s="14" t="str">
        <f t="shared" si="3"/>
        <v/>
      </c>
      <c r="O19" s="8"/>
      <c r="P19" s="8"/>
      <c r="Q19" s="8"/>
      <c r="R19" s="8"/>
      <c r="S19" s="10"/>
      <c r="T19" s="8"/>
    </row>
    <row r="20" spans="1:20">
      <c r="A20" s="8"/>
      <c r="B20" s="10"/>
      <c r="C20" s="8"/>
      <c r="D20" s="8"/>
      <c r="E20" s="8"/>
      <c r="F20" s="8"/>
      <c r="G20" s="13"/>
      <c r="H20" s="13"/>
      <c r="I20" s="14" t="str">
        <f t="shared" si="0"/>
        <v/>
      </c>
      <c r="J20" s="14" t="str">
        <f t="shared" si="1"/>
        <v/>
      </c>
      <c r="K20" s="14" t="str">
        <f t="shared" si="2"/>
        <v/>
      </c>
      <c r="L20" s="13"/>
      <c r="M20" s="13"/>
      <c r="N20" s="14" t="str">
        <f t="shared" si="3"/>
        <v/>
      </c>
      <c r="O20" s="8"/>
      <c r="P20" s="8"/>
      <c r="Q20" s="8"/>
      <c r="R20" s="8"/>
      <c r="S20" s="10"/>
      <c r="T20" s="8"/>
    </row>
    <row r="21" spans="1:20">
      <c r="A21" s="8"/>
      <c r="B21" s="10"/>
      <c r="C21" s="8"/>
      <c r="D21" s="8"/>
      <c r="E21" s="8"/>
      <c r="F21" s="8"/>
      <c r="G21" s="13"/>
      <c r="H21" s="13"/>
      <c r="I21" s="14" t="str">
        <f t="shared" si="0"/>
        <v/>
      </c>
      <c r="J21" s="14" t="str">
        <f t="shared" si="1"/>
        <v/>
      </c>
      <c r="K21" s="14" t="str">
        <f t="shared" si="2"/>
        <v/>
      </c>
      <c r="L21" s="13"/>
      <c r="M21" s="13"/>
      <c r="N21" s="14" t="str">
        <f t="shared" si="3"/>
        <v/>
      </c>
      <c r="O21" s="8"/>
      <c r="P21" s="8"/>
      <c r="Q21" s="8"/>
      <c r="R21" s="8"/>
      <c r="S21" s="10"/>
      <c r="T21" s="8"/>
    </row>
    <row r="22" spans="1:20">
      <c r="A22" s="8"/>
      <c r="B22" s="10"/>
      <c r="C22" s="8"/>
      <c r="D22" s="8"/>
      <c r="E22" s="8"/>
      <c r="F22" s="8"/>
      <c r="G22" s="13"/>
      <c r="H22" s="13"/>
      <c r="I22" s="14" t="str">
        <f t="shared" si="0"/>
        <v/>
      </c>
      <c r="J22" s="14" t="str">
        <f t="shared" si="1"/>
        <v/>
      </c>
      <c r="K22" s="14" t="str">
        <f t="shared" si="2"/>
        <v/>
      </c>
      <c r="L22" s="13"/>
      <c r="M22" s="13"/>
      <c r="N22" s="14" t="str">
        <f t="shared" si="3"/>
        <v/>
      </c>
      <c r="O22" s="8"/>
      <c r="P22" s="8"/>
      <c r="Q22" s="8"/>
      <c r="R22" s="8"/>
      <c r="S22" s="10"/>
      <c r="T22" s="8"/>
    </row>
    <row r="23" spans="1:20">
      <c r="A23" s="8"/>
      <c r="B23" s="10"/>
      <c r="C23" s="8"/>
      <c r="D23" s="8"/>
      <c r="E23" s="8"/>
      <c r="F23" s="8"/>
      <c r="G23" s="13"/>
      <c r="H23" s="13"/>
      <c r="I23" s="14" t="str">
        <f t="shared" si="0"/>
        <v/>
      </c>
      <c r="J23" s="14" t="str">
        <f t="shared" si="1"/>
        <v/>
      </c>
      <c r="K23" s="14" t="str">
        <f t="shared" si="2"/>
        <v/>
      </c>
      <c r="L23" s="13"/>
      <c r="M23" s="13"/>
      <c r="N23" s="14" t="str">
        <f t="shared" si="3"/>
        <v/>
      </c>
      <c r="O23" s="8"/>
      <c r="P23" s="8"/>
      <c r="Q23" s="8"/>
      <c r="R23" s="8"/>
      <c r="S23" s="10"/>
      <c r="T23" s="8"/>
    </row>
    <row r="24" spans="1:20">
      <c r="A24" s="8"/>
      <c r="B24" s="10"/>
      <c r="C24" s="8"/>
      <c r="D24" s="8"/>
      <c r="E24" s="8"/>
      <c r="F24" s="8"/>
      <c r="G24" s="13"/>
      <c r="H24" s="13"/>
      <c r="I24" s="14" t="str">
        <f t="shared" si="0"/>
        <v/>
      </c>
      <c r="J24" s="14" t="str">
        <f t="shared" si="1"/>
        <v/>
      </c>
      <c r="K24" s="14" t="str">
        <f t="shared" si="2"/>
        <v/>
      </c>
      <c r="L24" s="13"/>
      <c r="M24" s="13"/>
      <c r="N24" s="14" t="str">
        <f t="shared" si="3"/>
        <v/>
      </c>
      <c r="O24" s="8"/>
      <c r="P24" s="8"/>
      <c r="Q24" s="8"/>
      <c r="R24" s="8"/>
      <c r="S24" s="10"/>
      <c r="T24" s="8"/>
    </row>
    <row r="25" spans="1:20">
      <c r="A25" s="8"/>
      <c r="B25" s="10"/>
      <c r="C25" s="8"/>
      <c r="D25" s="8"/>
      <c r="E25" s="8"/>
      <c r="F25" s="8"/>
      <c r="G25" s="13"/>
      <c r="H25" s="13"/>
      <c r="I25" s="14" t="str">
        <f t="shared" si="0"/>
        <v/>
      </c>
      <c r="J25" s="14" t="str">
        <f t="shared" si="1"/>
        <v/>
      </c>
      <c r="K25" s="14" t="str">
        <f t="shared" si="2"/>
        <v/>
      </c>
      <c r="L25" s="13"/>
      <c r="M25" s="13"/>
      <c r="N25" s="14" t="str">
        <f t="shared" si="3"/>
        <v/>
      </c>
      <c r="O25" s="8"/>
      <c r="P25" s="8"/>
      <c r="Q25" s="8"/>
      <c r="R25" s="8"/>
      <c r="S25" s="10"/>
      <c r="T25" s="8"/>
    </row>
    <row r="26" spans="1:20">
      <c r="A26" s="8"/>
      <c r="B26" s="10"/>
      <c r="C26" s="8"/>
      <c r="D26" s="8"/>
      <c r="E26" s="8"/>
      <c r="F26" s="8"/>
      <c r="G26" s="13"/>
      <c r="H26" s="13"/>
      <c r="I26" s="14" t="str">
        <f t="shared" si="0"/>
        <v/>
      </c>
      <c r="J26" s="14" t="str">
        <f t="shared" si="1"/>
        <v/>
      </c>
      <c r="K26" s="14" t="str">
        <f t="shared" si="2"/>
        <v/>
      </c>
      <c r="L26" s="13"/>
      <c r="M26" s="13"/>
      <c r="N26" s="14" t="str">
        <f t="shared" si="3"/>
        <v/>
      </c>
      <c r="O26" s="8"/>
      <c r="P26" s="8"/>
      <c r="Q26" s="8"/>
      <c r="R26" s="8"/>
      <c r="S26" s="10"/>
      <c r="T26" s="8"/>
    </row>
    <row r="27" spans="1:20">
      <c r="A27" s="8"/>
      <c r="B27" s="10"/>
      <c r="C27" s="8"/>
      <c r="D27" s="8"/>
      <c r="E27" s="8"/>
      <c r="F27" s="8"/>
      <c r="G27" s="13"/>
      <c r="H27" s="13"/>
      <c r="I27" s="14" t="str">
        <f t="shared" si="0"/>
        <v/>
      </c>
      <c r="J27" s="14" t="str">
        <f t="shared" si="1"/>
        <v/>
      </c>
      <c r="K27" s="14" t="str">
        <f t="shared" si="2"/>
        <v/>
      </c>
      <c r="L27" s="13"/>
      <c r="M27" s="13"/>
      <c r="N27" s="14" t="str">
        <f t="shared" si="3"/>
        <v/>
      </c>
      <c r="O27" s="8"/>
      <c r="P27" s="8"/>
      <c r="Q27" s="8"/>
      <c r="R27" s="8"/>
      <c r="S27" s="10"/>
      <c r="T27" s="8"/>
    </row>
    <row r="28" spans="1:20">
      <c r="A28" s="8"/>
      <c r="B28" s="10"/>
      <c r="C28" s="8"/>
      <c r="D28" s="8"/>
      <c r="E28" s="8"/>
      <c r="F28" s="8"/>
      <c r="G28" s="13"/>
      <c r="H28" s="13"/>
      <c r="I28" s="14" t="str">
        <f t="shared" si="0"/>
        <v/>
      </c>
      <c r="J28" s="14" t="str">
        <f t="shared" si="1"/>
        <v/>
      </c>
      <c r="K28" s="14" t="str">
        <f t="shared" si="2"/>
        <v/>
      </c>
      <c r="L28" s="13"/>
      <c r="M28" s="13"/>
      <c r="N28" s="14" t="str">
        <f t="shared" si="3"/>
        <v/>
      </c>
      <c r="O28" s="8"/>
      <c r="P28" s="8"/>
      <c r="Q28" s="8"/>
      <c r="R28" s="8"/>
      <c r="S28" s="10"/>
      <c r="T28" s="8"/>
    </row>
    <row r="29" spans="1:20">
      <c r="A29" s="8"/>
      <c r="B29" s="10"/>
      <c r="C29" s="8"/>
      <c r="D29" s="8"/>
      <c r="E29" s="8"/>
      <c r="F29" s="8"/>
      <c r="G29" s="13"/>
      <c r="H29" s="13"/>
      <c r="I29" s="14" t="str">
        <f t="shared" si="0"/>
        <v/>
      </c>
      <c r="J29" s="14" t="str">
        <f t="shared" si="1"/>
        <v/>
      </c>
      <c r="K29" s="14" t="str">
        <f t="shared" si="2"/>
        <v/>
      </c>
      <c r="L29" s="13"/>
      <c r="M29" s="13"/>
      <c r="N29" s="14" t="str">
        <f t="shared" si="3"/>
        <v/>
      </c>
      <c r="O29" s="8"/>
      <c r="P29" s="8"/>
      <c r="Q29" s="8"/>
      <c r="R29" s="8"/>
      <c r="S29" s="10"/>
      <c r="T29" s="8"/>
    </row>
    <row r="30" spans="1:20">
      <c r="A30" s="8"/>
      <c r="B30" s="10"/>
      <c r="C30" s="8"/>
      <c r="D30" s="8"/>
      <c r="E30" s="8"/>
      <c r="F30" s="8"/>
      <c r="G30" s="13"/>
      <c r="H30" s="13"/>
      <c r="I30" s="14" t="str">
        <f t="shared" si="0"/>
        <v/>
      </c>
      <c r="J30" s="14" t="str">
        <f t="shared" si="1"/>
        <v/>
      </c>
      <c r="K30" s="14" t="str">
        <f t="shared" si="2"/>
        <v/>
      </c>
      <c r="L30" s="13"/>
      <c r="M30" s="13"/>
      <c r="N30" s="14" t="str">
        <f t="shared" si="3"/>
        <v/>
      </c>
      <c r="O30" s="8"/>
      <c r="P30" s="8"/>
      <c r="Q30" s="8"/>
      <c r="R30" s="8"/>
      <c r="S30" s="10"/>
      <c r="T30" s="8"/>
    </row>
    <row r="31" spans="1:20">
      <c r="A31" s="8"/>
      <c r="B31" s="10"/>
      <c r="C31" s="8"/>
      <c r="D31" s="8"/>
      <c r="E31" s="8"/>
      <c r="F31" s="8"/>
      <c r="G31" s="13"/>
      <c r="H31" s="13"/>
      <c r="I31" s="14" t="str">
        <f t="shared" si="0"/>
        <v/>
      </c>
      <c r="J31" s="14" t="str">
        <f t="shared" si="1"/>
        <v/>
      </c>
      <c r="K31" s="14" t="str">
        <f t="shared" si="2"/>
        <v/>
      </c>
      <c r="L31" s="13"/>
      <c r="M31" s="13"/>
      <c r="N31" s="14" t="str">
        <f t="shared" si="3"/>
        <v/>
      </c>
      <c r="O31" s="8"/>
      <c r="P31" s="8"/>
      <c r="Q31" s="8"/>
      <c r="R31" s="8"/>
      <c r="S31" s="10"/>
      <c r="T31" s="8"/>
    </row>
    <row r="32" spans="1:20">
      <c r="A32" s="8"/>
      <c r="B32" s="10"/>
      <c r="C32" s="8"/>
      <c r="D32" s="8"/>
      <c r="E32" s="8"/>
      <c r="F32" s="8"/>
      <c r="G32" s="13"/>
      <c r="H32" s="13"/>
      <c r="I32" s="14" t="str">
        <f t="shared" si="0"/>
        <v/>
      </c>
      <c r="J32" s="14" t="str">
        <f t="shared" si="1"/>
        <v/>
      </c>
      <c r="K32" s="14" t="str">
        <f t="shared" si="2"/>
        <v/>
      </c>
      <c r="L32" s="13"/>
      <c r="M32" s="13"/>
      <c r="N32" s="14" t="str">
        <f t="shared" si="3"/>
        <v/>
      </c>
      <c r="O32" s="8"/>
      <c r="P32" s="8"/>
      <c r="Q32" s="8"/>
      <c r="R32" s="8"/>
      <c r="S32" s="10"/>
      <c r="T32" s="8"/>
    </row>
    <row r="33" spans="1:20">
      <c r="A33" s="8"/>
      <c r="B33" s="10"/>
      <c r="C33" s="8"/>
      <c r="D33" s="8"/>
      <c r="E33" s="8"/>
      <c r="F33" s="8"/>
      <c r="G33" s="13"/>
      <c r="H33" s="13"/>
      <c r="I33" s="14" t="str">
        <f t="shared" si="0"/>
        <v/>
      </c>
      <c r="J33" s="14" t="str">
        <f t="shared" si="1"/>
        <v/>
      </c>
      <c r="K33" s="14" t="str">
        <f t="shared" si="2"/>
        <v/>
      </c>
      <c r="L33" s="13"/>
      <c r="M33" s="13"/>
      <c r="N33" s="14" t="str">
        <f t="shared" si="3"/>
        <v/>
      </c>
      <c r="O33" s="8"/>
      <c r="P33" s="8"/>
      <c r="Q33" s="8"/>
      <c r="R33" s="8"/>
      <c r="S33" s="10"/>
      <c r="T33" s="8"/>
    </row>
    <row r="34" spans="1:20">
      <c r="A34" s="8"/>
      <c r="B34" s="10"/>
      <c r="C34" s="8"/>
      <c r="D34" s="8"/>
      <c r="E34" s="8"/>
      <c r="F34" s="8"/>
      <c r="G34" s="13"/>
      <c r="H34" s="13"/>
      <c r="I34" s="14" t="str">
        <f t="shared" si="0"/>
        <v/>
      </c>
      <c r="J34" s="14" t="str">
        <f t="shared" si="1"/>
        <v/>
      </c>
      <c r="K34" s="14" t="str">
        <f t="shared" si="2"/>
        <v/>
      </c>
      <c r="L34" s="13"/>
      <c r="M34" s="13"/>
      <c r="N34" s="14" t="str">
        <f t="shared" si="3"/>
        <v/>
      </c>
      <c r="O34" s="8"/>
      <c r="P34" s="8"/>
      <c r="Q34" s="8"/>
      <c r="R34" s="8"/>
      <c r="S34" s="10"/>
      <c r="T34" s="8"/>
    </row>
    <row r="35" spans="1:20">
      <c r="A35" s="8"/>
      <c r="B35" s="10"/>
      <c r="C35" s="8"/>
      <c r="D35" s="8"/>
      <c r="E35" s="8"/>
      <c r="F35" s="8"/>
      <c r="G35" s="13"/>
      <c r="H35" s="13"/>
      <c r="I35" s="14" t="str">
        <f t="shared" si="0"/>
        <v/>
      </c>
      <c r="J35" s="14" t="str">
        <f t="shared" si="1"/>
        <v/>
      </c>
      <c r="K35" s="14" t="str">
        <f t="shared" si="2"/>
        <v/>
      </c>
      <c r="L35" s="13"/>
      <c r="M35" s="13"/>
      <c r="N35" s="14" t="str">
        <f t="shared" si="3"/>
        <v/>
      </c>
      <c r="O35" s="8"/>
      <c r="P35" s="8"/>
      <c r="Q35" s="8"/>
      <c r="R35" s="8"/>
      <c r="S35" s="10"/>
      <c r="T35" s="8"/>
    </row>
    <row r="36" spans="1:20">
      <c r="A36" s="8"/>
      <c r="B36" s="10"/>
      <c r="C36" s="8"/>
      <c r="D36" s="8"/>
      <c r="E36" s="8"/>
      <c r="F36" s="8"/>
      <c r="G36" s="13"/>
      <c r="H36" s="13"/>
      <c r="I36" s="14" t="str">
        <f t="shared" si="0"/>
        <v/>
      </c>
      <c r="J36" s="14" t="str">
        <f t="shared" si="1"/>
        <v/>
      </c>
      <c r="K36" s="14" t="str">
        <f t="shared" si="2"/>
        <v/>
      </c>
      <c r="L36" s="13"/>
      <c r="M36" s="13"/>
      <c r="N36" s="14" t="str">
        <f t="shared" si="3"/>
        <v/>
      </c>
      <c r="O36" s="8"/>
      <c r="P36" s="8"/>
      <c r="Q36" s="8"/>
      <c r="R36" s="8"/>
      <c r="S36" s="10"/>
      <c r="T36" s="8"/>
    </row>
    <row r="37" spans="1:20">
      <c r="A37" s="8"/>
      <c r="B37" s="10"/>
      <c r="C37" s="8"/>
      <c r="D37" s="8"/>
      <c r="E37" s="8"/>
      <c r="F37" s="8"/>
      <c r="G37" s="13"/>
      <c r="H37" s="13"/>
      <c r="I37" s="14" t="str">
        <f t="shared" si="0"/>
        <v/>
      </c>
      <c r="J37" s="14" t="str">
        <f t="shared" si="1"/>
        <v/>
      </c>
      <c r="K37" s="14" t="str">
        <f t="shared" si="2"/>
        <v/>
      </c>
      <c r="L37" s="13"/>
      <c r="M37" s="13"/>
      <c r="N37" s="14" t="str">
        <f t="shared" si="3"/>
        <v/>
      </c>
      <c r="O37" s="8"/>
      <c r="P37" s="8"/>
      <c r="Q37" s="8"/>
      <c r="R37" s="8"/>
      <c r="S37" s="10"/>
      <c r="T37" s="8"/>
    </row>
    <row r="38" spans="1:20">
      <c r="A38" s="8"/>
      <c r="B38" s="10"/>
      <c r="C38" s="8"/>
      <c r="D38" s="8"/>
      <c r="E38" s="8"/>
      <c r="F38" s="8"/>
      <c r="G38" s="13"/>
      <c r="H38" s="13"/>
      <c r="I38" s="14" t="str">
        <f t="shared" si="0"/>
        <v/>
      </c>
      <c r="J38" s="14" t="str">
        <f t="shared" si="1"/>
        <v/>
      </c>
      <c r="K38" s="14" t="str">
        <f t="shared" si="2"/>
        <v/>
      </c>
      <c r="L38" s="13"/>
      <c r="M38" s="13"/>
      <c r="N38" s="14" t="str">
        <f t="shared" si="3"/>
        <v/>
      </c>
      <c r="O38" s="8"/>
      <c r="P38" s="8"/>
      <c r="Q38" s="8"/>
      <c r="R38" s="8"/>
      <c r="S38" s="10"/>
      <c r="T38" s="8"/>
    </row>
    <row r="39" spans="1:20">
      <c r="A39" s="8"/>
      <c r="B39" s="10"/>
      <c r="C39" s="8"/>
      <c r="D39" s="8"/>
      <c r="E39" s="8"/>
      <c r="F39" s="8"/>
      <c r="G39" s="13"/>
      <c r="H39" s="13"/>
      <c r="I39" s="14" t="str">
        <f t="shared" si="0"/>
        <v/>
      </c>
      <c r="J39" s="14" t="str">
        <f t="shared" si="1"/>
        <v/>
      </c>
      <c r="K39" s="14" t="str">
        <f t="shared" si="2"/>
        <v/>
      </c>
      <c r="L39" s="13"/>
      <c r="M39" s="13"/>
      <c r="N39" s="14" t="str">
        <f t="shared" si="3"/>
        <v/>
      </c>
      <c r="O39" s="8"/>
      <c r="P39" s="8"/>
      <c r="Q39" s="8"/>
      <c r="R39" s="8"/>
      <c r="S39" s="10"/>
      <c r="T39" s="8"/>
    </row>
    <row r="40" spans="1:20">
      <c r="A40" s="8"/>
      <c r="B40" s="10"/>
      <c r="C40" s="8"/>
      <c r="D40" s="8"/>
      <c r="E40" s="8"/>
      <c r="F40" s="8"/>
      <c r="G40" s="13"/>
      <c r="H40" s="13"/>
      <c r="I40" s="14" t="str">
        <f t="shared" si="0"/>
        <v/>
      </c>
      <c r="J40" s="14" t="str">
        <f t="shared" si="1"/>
        <v/>
      </c>
      <c r="K40" s="14" t="str">
        <f t="shared" si="2"/>
        <v/>
      </c>
      <c r="L40" s="13"/>
      <c r="M40" s="13"/>
      <c r="N40" s="14" t="str">
        <f t="shared" si="3"/>
        <v/>
      </c>
      <c r="O40" s="8"/>
      <c r="P40" s="8"/>
      <c r="Q40" s="8"/>
      <c r="R40" s="8"/>
      <c r="S40" s="10"/>
      <c r="T40" s="8"/>
    </row>
    <row r="41" spans="1:20">
      <c r="A41" s="8"/>
      <c r="B41" s="10"/>
      <c r="C41" s="8"/>
      <c r="D41" s="8"/>
      <c r="E41" s="8"/>
      <c r="F41" s="8"/>
      <c r="G41" s="13"/>
      <c r="H41" s="13"/>
      <c r="I41" s="14" t="str">
        <f t="shared" si="0"/>
        <v/>
      </c>
      <c r="J41" s="14" t="str">
        <f t="shared" si="1"/>
        <v/>
      </c>
      <c r="K41" s="14" t="str">
        <f t="shared" si="2"/>
        <v/>
      </c>
      <c r="L41" s="13"/>
      <c r="M41" s="13"/>
      <c r="N41" s="14" t="str">
        <f t="shared" si="3"/>
        <v/>
      </c>
      <c r="O41" s="8"/>
      <c r="P41" s="8"/>
      <c r="Q41" s="8"/>
      <c r="R41" s="8"/>
      <c r="S41" s="10"/>
      <c r="T41" s="8"/>
    </row>
    <row r="42" spans="1:20">
      <c r="A42" s="8"/>
      <c r="B42" s="10"/>
      <c r="C42" s="8"/>
      <c r="D42" s="8"/>
      <c r="E42" s="8"/>
      <c r="F42" s="8"/>
      <c r="G42" s="13"/>
      <c r="H42" s="13"/>
      <c r="I42" s="14" t="str">
        <f t="shared" si="0"/>
        <v/>
      </c>
      <c r="J42" s="14" t="str">
        <f t="shared" si="1"/>
        <v/>
      </c>
      <c r="K42" s="14" t="str">
        <f t="shared" si="2"/>
        <v/>
      </c>
      <c r="L42" s="13"/>
      <c r="M42" s="13"/>
      <c r="N42" s="14" t="str">
        <f t="shared" si="3"/>
        <v/>
      </c>
      <c r="O42" s="8"/>
      <c r="P42" s="8"/>
      <c r="Q42" s="8"/>
      <c r="R42" s="8"/>
      <c r="S42" s="10"/>
      <c r="T42" s="8"/>
    </row>
    <row r="43" spans="1:20">
      <c r="A43" s="8"/>
      <c r="B43" s="10"/>
      <c r="C43" s="8"/>
      <c r="D43" s="8"/>
      <c r="E43" s="8"/>
      <c r="F43" s="8"/>
      <c r="G43" s="13"/>
      <c r="H43" s="13"/>
      <c r="I43" s="14" t="str">
        <f t="shared" si="0"/>
        <v/>
      </c>
      <c r="J43" s="14" t="str">
        <f t="shared" si="1"/>
        <v/>
      </c>
      <c r="K43" s="14" t="str">
        <f t="shared" si="2"/>
        <v/>
      </c>
      <c r="L43" s="13"/>
      <c r="M43" s="13"/>
      <c r="N43" s="14" t="str">
        <f t="shared" si="3"/>
        <v/>
      </c>
      <c r="O43" s="8"/>
      <c r="P43" s="8"/>
      <c r="Q43" s="8"/>
      <c r="R43" s="8"/>
      <c r="S43" s="10"/>
      <c r="T43" s="8"/>
    </row>
    <row r="44" spans="1:20">
      <c r="A44" s="8"/>
      <c r="B44" s="10"/>
      <c r="C44" s="8"/>
      <c r="D44" s="8"/>
      <c r="E44" s="8"/>
      <c r="F44" s="8"/>
      <c r="G44" s="13"/>
      <c r="H44" s="13"/>
      <c r="I44" s="14" t="str">
        <f t="shared" si="0"/>
        <v/>
      </c>
      <c r="J44" s="14" t="str">
        <f t="shared" si="1"/>
        <v/>
      </c>
      <c r="K44" s="14" t="str">
        <f t="shared" si="2"/>
        <v/>
      </c>
      <c r="L44" s="13"/>
      <c r="M44" s="13"/>
      <c r="N44" s="14" t="str">
        <f t="shared" si="3"/>
        <v/>
      </c>
      <c r="O44" s="8"/>
      <c r="P44" s="8"/>
      <c r="Q44" s="8"/>
      <c r="R44" s="8"/>
      <c r="S44" s="10"/>
      <c r="T44" s="8"/>
    </row>
    <row r="45" spans="1:20">
      <c r="A45" s="8"/>
      <c r="B45" s="10"/>
      <c r="C45" s="8"/>
      <c r="D45" s="8"/>
      <c r="E45" s="8"/>
      <c r="F45" s="8"/>
      <c r="G45" s="13"/>
      <c r="H45" s="13"/>
      <c r="I45" s="14" t="str">
        <f t="shared" si="0"/>
        <v/>
      </c>
      <c r="J45" s="14" t="str">
        <f t="shared" si="1"/>
        <v/>
      </c>
      <c r="K45" s="14" t="str">
        <f t="shared" si="2"/>
        <v/>
      </c>
      <c r="L45" s="13"/>
      <c r="M45" s="13"/>
      <c r="N45" s="14" t="str">
        <f t="shared" si="3"/>
        <v/>
      </c>
      <c r="O45" s="8"/>
      <c r="P45" s="8"/>
      <c r="Q45" s="8"/>
      <c r="R45" s="8"/>
      <c r="S45" s="10"/>
      <c r="T45" s="8"/>
    </row>
    <row r="46" spans="1:20">
      <c r="A46" s="8"/>
      <c r="B46" s="10"/>
      <c r="C46" s="8"/>
      <c r="D46" s="8"/>
      <c r="E46" s="8"/>
      <c r="F46" s="8"/>
      <c r="G46" s="13"/>
      <c r="H46" s="13"/>
      <c r="I46" s="14" t="str">
        <f t="shared" si="0"/>
        <v/>
      </c>
      <c r="J46" s="14" t="str">
        <f t="shared" si="1"/>
        <v/>
      </c>
      <c r="K46" s="14" t="str">
        <f t="shared" si="2"/>
        <v/>
      </c>
      <c r="L46" s="13"/>
      <c r="M46" s="13"/>
      <c r="N46" s="14" t="str">
        <f t="shared" si="3"/>
        <v/>
      </c>
      <c r="O46" s="8"/>
      <c r="P46" s="8"/>
      <c r="Q46" s="8"/>
      <c r="R46" s="8"/>
      <c r="S46" s="10"/>
      <c r="T46" s="8"/>
    </row>
    <row r="47" spans="1:20">
      <c r="A47" s="8"/>
      <c r="B47" s="10"/>
      <c r="C47" s="8"/>
      <c r="D47" s="8"/>
      <c r="E47" s="8"/>
      <c r="F47" s="8"/>
      <c r="G47" s="13"/>
      <c r="H47" s="13"/>
      <c r="I47" s="14" t="str">
        <f t="shared" si="0"/>
        <v/>
      </c>
      <c r="J47" s="14" t="str">
        <f t="shared" si="1"/>
        <v/>
      </c>
      <c r="K47" s="14" t="str">
        <f t="shared" si="2"/>
        <v/>
      </c>
      <c r="L47" s="13"/>
      <c r="M47" s="13"/>
      <c r="N47" s="14" t="str">
        <f t="shared" si="3"/>
        <v/>
      </c>
      <c r="O47" s="8"/>
      <c r="P47" s="8"/>
      <c r="Q47" s="8"/>
      <c r="R47" s="8"/>
      <c r="S47" s="10"/>
      <c r="T47" s="8"/>
    </row>
    <row r="48" spans="1:20">
      <c r="A48" s="8"/>
      <c r="B48" s="10"/>
      <c r="C48" s="8"/>
      <c r="D48" s="8"/>
      <c r="E48" s="8"/>
      <c r="F48" s="8"/>
      <c r="G48" s="13"/>
      <c r="H48" s="13"/>
      <c r="I48" s="14" t="str">
        <f t="shared" si="0"/>
        <v/>
      </c>
      <c r="J48" s="14" t="str">
        <f t="shared" si="1"/>
        <v/>
      </c>
      <c r="K48" s="14" t="str">
        <f t="shared" si="2"/>
        <v/>
      </c>
      <c r="L48" s="13"/>
      <c r="M48" s="13"/>
      <c r="N48" s="14" t="str">
        <f t="shared" si="3"/>
        <v/>
      </c>
      <c r="O48" s="8"/>
      <c r="P48" s="8"/>
      <c r="Q48" s="8"/>
      <c r="R48" s="8"/>
      <c r="S48" s="10"/>
      <c r="T48" s="8"/>
    </row>
    <row r="49" spans="1:20">
      <c r="A49" s="8"/>
      <c r="B49" s="10"/>
      <c r="C49" s="8"/>
      <c r="D49" s="8"/>
      <c r="E49" s="8"/>
      <c r="F49" s="8"/>
      <c r="G49" s="13"/>
      <c r="H49" s="13"/>
      <c r="I49" s="14" t="str">
        <f t="shared" si="0"/>
        <v/>
      </c>
      <c r="J49" s="14" t="str">
        <f t="shared" si="1"/>
        <v/>
      </c>
      <c r="K49" s="14" t="str">
        <f t="shared" si="2"/>
        <v/>
      </c>
      <c r="L49" s="13"/>
      <c r="M49" s="13"/>
      <c r="N49" s="14" t="str">
        <f t="shared" si="3"/>
        <v/>
      </c>
      <c r="O49" s="8"/>
      <c r="P49" s="8"/>
      <c r="Q49" s="8"/>
      <c r="R49" s="8"/>
      <c r="S49" s="10"/>
      <c r="T49" s="8"/>
    </row>
    <row r="50" spans="1:20">
      <c r="A50" s="8"/>
      <c r="B50" s="10"/>
      <c r="C50" s="8"/>
      <c r="D50" s="8"/>
      <c r="E50" s="8"/>
      <c r="F50" s="8"/>
      <c r="G50" s="13"/>
      <c r="H50" s="13"/>
      <c r="I50" s="14" t="str">
        <f t="shared" si="0"/>
        <v/>
      </c>
      <c r="J50" s="14" t="str">
        <f t="shared" si="1"/>
        <v/>
      </c>
      <c r="K50" s="14" t="str">
        <f t="shared" si="2"/>
        <v/>
      </c>
      <c r="L50" s="13"/>
      <c r="M50" s="13"/>
      <c r="N50" s="14" t="str">
        <f t="shared" si="3"/>
        <v/>
      </c>
      <c r="O50" s="8"/>
      <c r="P50" s="8"/>
      <c r="Q50" s="8"/>
      <c r="R50" s="8"/>
      <c r="S50" s="10"/>
      <c r="T50" s="8"/>
    </row>
    <row r="51" spans="1:20">
      <c r="A51" s="8"/>
      <c r="B51" s="10"/>
      <c r="C51" s="8"/>
      <c r="D51" s="8"/>
      <c r="E51" s="8"/>
      <c r="F51" s="8"/>
      <c r="G51" s="13"/>
      <c r="H51" s="13"/>
      <c r="I51" s="14" t="str">
        <f t="shared" si="0"/>
        <v/>
      </c>
      <c r="J51" s="14" t="str">
        <f t="shared" si="1"/>
        <v/>
      </c>
      <c r="K51" s="14" t="str">
        <f t="shared" si="2"/>
        <v/>
      </c>
      <c r="L51" s="13"/>
      <c r="M51" s="13"/>
      <c r="N51" s="14" t="str">
        <f t="shared" si="3"/>
        <v/>
      </c>
      <c r="O51" s="8"/>
      <c r="P51" s="8"/>
      <c r="Q51" s="8"/>
      <c r="R51" s="8"/>
      <c r="S51" s="10"/>
      <c r="T51" s="8"/>
    </row>
    <row r="52" spans="1:20">
      <c r="A52" s="8"/>
      <c r="B52" s="10"/>
      <c r="C52" s="8"/>
      <c r="D52" s="8"/>
      <c r="E52" s="8"/>
      <c r="F52" s="8"/>
      <c r="G52" s="13"/>
      <c r="H52" s="13"/>
      <c r="I52" s="14" t="str">
        <f t="shared" si="0"/>
        <v/>
      </c>
      <c r="J52" s="14" t="str">
        <f t="shared" si="1"/>
        <v/>
      </c>
      <c r="K52" s="14" t="str">
        <f t="shared" si="2"/>
        <v/>
      </c>
      <c r="L52" s="13"/>
      <c r="M52" s="13"/>
      <c r="N52" s="14" t="str">
        <f t="shared" si="3"/>
        <v/>
      </c>
      <c r="O52" s="8"/>
      <c r="P52" s="8"/>
      <c r="Q52" s="8"/>
      <c r="R52" s="8"/>
      <c r="S52" s="10"/>
      <c r="T52" s="8"/>
    </row>
    <row r="53" spans="1:20">
      <c r="A53" s="8"/>
      <c r="B53" s="10"/>
      <c r="C53" s="8"/>
      <c r="D53" s="8"/>
      <c r="E53" s="8"/>
      <c r="F53" s="8"/>
      <c r="G53" s="13"/>
      <c r="H53" s="13"/>
      <c r="I53" s="14" t="str">
        <f t="shared" si="0"/>
        <v/>
      </c>
      <c r="J53" s="14" t="str">
        <f t="shared" si="1"/>
        <v/>
      </c>
      <c r="K53" s="14" t="str">
        <f t="shared" si="2"/>
        <v/>
      </c>
      <c r="L53" s="13"/>
      <c r="M53" s="13"/>
      <c r="N53" s="14" t="str">
        <f t="shared" si="3"/>
        <v/>
      </c>
      <c r="O53" s="8"/>
      <c r="P53" s="8"/>
      <c r="Q53" s="8"/>
      <c r="R53" s="8"/>
      <c r="S53" s="10"/>
      <c r="T53" s="8"/>
    </row>
    <row r="54" spans="1:20">
      <c r="A54" s="8"/>
      <c r="B54" s="10"/>
      <c r="C54" s="8"/>
      <c r="D54" s="8"/>
      <c r="E54" s="8"/>
      <c r="F54" s="8"/>
      <c r="G54" s="13"/>
      <c r="H54" s="13"/>
      <c r="I54" s="14" t="str">
        <f t="shared" si="0"/>
        <v/>
      </c>
      <c r="J54" s="14" t="str">
        <f t="shared" si="1"/>
        <v/>
      </c>
      <c r="K54" s="14" t="str">
        <f t="shared" si="2"/>
        <v/>
      </c>
      <c r="L54" s="13"/>
      <c r="M54" s="13"/>
      <c r="N54" s="14" t="str">
        <f t="shared" si="3"/>
        <v/>
      </c>
      <c r="O54" s="8"/>
      <c r="P54" s="8"/>
      <c r="Q54" s="8"/>
      <c r="R54" s="8"/>
      <c r="S54" s="10"/>
      <c r="T54" s="8"/>
    </row>
    <row r="55" spans="1:20">
      <c r="A55" s="8"/>
      <c r="B55" s="10"/>
      <c r="C55" s="8"/>
      <c r="D55" s="8"/>
      <c r="E55" s="8"/>
      <c r="F55" s="8"/>
      <c r="G55" s="13"/>
      <c r="H55" s="13"/>
      <c r="I55" s="14" t="str">
        <f t="shared" si="0"/>
        <v/>
      </c>
      <c r="J55" s="14" t="str">
        <f t="shared" si="1"/>
        <v/>
      </c>
      <c r="K55" s="14" t="str">
        <f t="shared" si="2"/>
        <v/>
      </c>
      <c r="L55" s="13"/>
      <c r="M55" s="13"/>
      <c r="N55" s="14" t="str">
        <f t="shared" si="3"/>
        <v/>
      </c>
      <c r="O55" s="8"/>
      <c r="P55" s="8"/>
      <c r="Q55" s="8"/>
      <c r="R55" s="8"/>
      <c r="S55" s="10"/>
      <c r="T55" s="8"/>
    </row>
    <row r="56" spans="1:20">
      <c r="A56" s="8"/>
      <c r="B56" s="10"/>
      <c r="C56" s="8"/>
      <c r="D56" s="8"/>
      <c r="E56" s="8"/>
      <c r="F56" s="8"/>
      <c r="G56" s="13"/>
      <c r="H56" s="13"/>
      <c r="I56" s="14" t="str">
        <f t="shared" si="0"/>
        <v/>
      </c>
      <c r="J56" s="14" t="str">
        <f t="shared" si="1"/>
        <v/>
      </c>
      <c r="K56" s="14" t="str">
        <f t="shared" si="2"/>
        <v/>
      </c>
      <c r="L56" s="13"/>
      <c r="M56" s="13"/>
      <c r="N56" s="14" t="str">
        <f t="shared" si="3"/>
        <v/>
      </c>
      <c r="O56" s="8"/>
      <c r="P56" s="8"/>
      <c r="Q56" s="8"/>
      <c r="R56" s="8"/>
      <c r="S56" s="10"/>
      <c r="T56" s="8"/>
    </row>
    <row r="57" spans="1:20">
      <c r="A57" s="8"/>
      <c r="B57" s="10"/>
      <c r="C57" s="8"/>
      <c r="D57" s="8"/>
      <c r="E57" s="8"/>
      <c r="F57" s="8"/>
      <c r="G57" s="13"/>
      <c r="H57" s="13"/>
      <c r="I57" s="14" t="str">
        <f t="shared" si="0"/>
        <v/>
      </c>
      <c r="J57" s="14" t="str">
        <f t="shared" si="1"/>
        <v/>
      </c>
      <c r="K57" s="14" t="str">
        <f t="shared" si="2"/>
        <v/>
      </c>
      <c r="L57" s="13"/>
      <c r="M57" s="13"/>
      <c r="N57" s="14" t="str">
        <f t="shared" si="3"/>
        <v/>
      </c>
      <c r="O57" s="8"/>
      <c r="P57" s="8"/>
      <c r="Q57" s="8"/>
      <c r="R57" s="8"/>
      <c r="S57" s="10"/>
      <c r="T57" s="8"/>
    </row>
    <row r="58" spans="1:20">
      <c r="A58" s="8"/>
      <c r="B58" s="10"/>
      <c r="C58" s="8"/>
      <c r="D58" s="8"/>
      <c r="E58" s="8"/>
      <c r="F58" s="8"/>
      <c r="G58" s="13"/>
      <c r="H58" s="13"/>
      <c r="I58" s="14" t="str">
        <f t="shared" si="0"/>
        <v/>
      </c>
      <c r="J58" s="14" t="str">
        <f t="shared" si="1"/>
        <v/>
      </c>
      <c r="K58" s="14" t="str">
        <f t="shared" si="2"/>
        <v/>
      </c>
      <c r="L58" s="13"/>
      <c r="M58" s="13"/>
      <c r="N58" s="14" t="str">
        <f t="shared" si="3"/>
        <v/>
      </c>
      <c r="O58" s="8"/>
      <c r="P58" s="8"/>
      <c r="Q58" s="8"/>
      <c r="R58" s="8"/>
      <c r="S58" s="10"/>
      <c r="T58" s="8"/>
    </row>
    <row r="59" spans="1:20">
      <c r="A59" s="8"/>
      <c r="B59" s="10"/>
      <c r="C59" s="8"/>
      <c r="D59" s="8"/>
      <c r="E59" s="8"/>
      <c r="F59" s="8"/>
      <c r="G59" s="13"/>
      <c r="H59" s="13"/>
      <c r="I59" s="14" t="str">
        <f t="shared" si="0"/>
        <v/>
      </c>
      <c r="J59" s="14" t="str">
        <f t="shared" si="1"/>
        <v/>
      </c>
      <c r="K59" s="14" t="str">
        <f t="shared" si="2"/>
        <v/>
      </c>
      <c r="L59" s="13"/>
      <c r="M59" s="13"/>
      <c r="N59" s="14" t="str">
        <f t="shared" si="3"/>
        <v/>
      </c>
      <c r="O59" s="8"/>
      <c r="P59" s="8"/>
      <c r="Q59" s="8"/>
      <c r="R59" s="8"/>
      <c r="S59" s="10"/>
      <c r="T59" s="8"/>
    </row>
    <row r="60" spans="1:20">
      <c r="A60" s="8"/>
      <c r="B60" s="10"/>
      <c r="C60" s="8"/>
      <c r="D60" s="8"/>
      <c r="E60" s="8"/>
      <c r="F60" s="8"/>
      <c r="G60" s="13"/>
      <c r="H60" s="13"/>
      <c r="I60" s="14" t="str">
        <f t="shared" si="0"/>
        <v/>
      </c>
      <c r="J60" s="14" t="str">
        <f t="shared" si="1"/>
        <v/>
      </c>
      <c r="K60" s="14" t="str">
        <f t="shared" si="2"/>
        <v/>
      </c>
      <c r="L60" s="13"/>
      <c r="M60" s="13"/>
      <c r="N60" s="14" t="str">
        <f t="shared" si="3"/>
        <v/>
      </c>
      <c r="O60" s="8"/>
      <c r="P60" s="8"/>
      <c r="Q60" s="8"/>
      <c r="R60" s="8"/>
      <c r="S60" s="10"/>
      <c r="T60" s="8"/>
    </row>
    <row r="61" spans="1:20">
      <c r="A61" s="8"/>
      <c r="B61" s="10"/>
      <c r="C61" s="8"/>
      <c r="D61" s="8"/>
      <c r="E61" s="8"/>
      <c r="F61" s="8"/>
      <c r="G61" s="13"/>
      <c r="H61" s="13"/>
      <c r="I61" s="14" t="str">
        <f t="shared" si="0"/>
        <v/>
      </c>
      <c r="J61" s="14" t="str">
        <f t="shared" si="1"/>
        <v/>
      </c>
      <c r="K61" s="14" t="str">
        <f t="shared" si="2"/>
        <v/>
      </c>
      <c r="L61" s="13"/>
      <c r="M61" s="13"/>
      <c r="N61" s="14" t="str">
        <f t="shared" si="3"/>
        <v/>
      </c>
      <c r="O61" s="8"/>
      <c r="P61" s="8"/>
      <c r="Q61" s="8"/>
      <c r="R61" s="8"/>
      <c r="S61" s="10"/>
      <c r="T61" s="8"/>
    </row>
    <row r="62" spans="1:20">
      <c r="A62" s="8"/>
      <c r="B62" s="10"/>
      <c r="C62" s="8"/>
      <c r="D62" s="8"/>
      <c r="E62" s="8"/>
      <c r="F62" s="8"/>
      <c r="G62" s="13"/>
      <c r="H62" s="13"/>
      <c r="I62" s="14" t="str">
        <f t="shared" si="0"/>
        <v/>
      </c>
      <c r="J62" s="14" t="str">
        <f t="shared" si="1"/>
        <v/>
      </c>
      <c r="K62" s="14" t="str">
        <f t="shared" si="2"/>
        <v/>
      </c>
      <c r="L62" s="13"/>
      <c r="M62" s="13"/>
      <c r="N62" s="14" t="str">
        <f t="shared" si="3"/>
        <v/>
      </c>
      <c r="O62" s="8"/>
      <c r="P62" s="8"/>
      <c r="Q62" s="8"/>
      <c r="R62" s="8"/>
      <c r="S62" s="10"/>
      <c r="T62" s="8"/>
    </row>
    <row r="63" spans="1:20">
      <c r="A63" s="8"/>
      <c r="B63" s="10"/>
      <c r="C63" s="8"/>
      <c r="D63" s="8"/>
      <c r="E63" s="8"/>
      <c r="F63" s="8"/>
      <c r="G63" s="13"/>
      <c r="H63" s="13"/>
      <c r="I63" s="14" t="str">
        <f t="shared" si="0"/>
        <v/>
      </c>
      <c r="J63" s="14" t="str">
        <f t="shared" si="1"/>
        <v/>
      </c>
      <c r="K63" s="14" t="str">
        <f t="shared" si="2"/>
        <v/>
      </c>
      <c r="L63" s="13"/>
      <c r="M63" s="13"/>
      <c r="N63" s="14" t="str">
        <f t="shared" si="3"/>
        <v/>
      </c>
      <c r="O63" s="8"/>
      <c r="P63" s="8"/>
      <c r="Q63" s="8"/>
      <c r="R63" s="8"/>
      <c r="S63" s="10"/>
      <c r="T63" s="8"/>
    </row>
    <row r="64" spans="1:20">
      <c r="A64" s="8"/>
      <c r="B64" s="10"/>
      <c r="C64" s="8"/>
      <c r="D64" s="8"/>
      <c r="E64" s="8"/>
      <c r="F64" s="8"/>
      <c r="G64" s="13"/>
      <c r="H64" s="13"/>
      <c r="I64" s="14" t="str">
        <f t="shared" si="0"/>
        <v/>
      </c>
      <c r="J64" s="14" t="str">
        <f t="shared" si="1"/>
        <v/>
      </c>
      <c r="K64" s="14" t="str">
        <f t="shared" si="2"/>
        <v/>
      </c>
      <c r="L64" s="13"/>
      <c r="M64" s="13"/>
      <c r="N64" s="14" t="str">
        <f t="shared" si="3"/>
        <v/>
      </c>
      <c r="O64" s="8"/>
      <c r="P64" s="8"/>
      <c r="Q64" s="8"/>
      <c r="R64" s="8"/>
      <c r="S64" s="10"/>
      <c r="T64" s="8"/>
    </row>
    <row r="65" spans="1:20">
      <c r="A65" s="8"/>
      <c r="B65" s="10"/>
      <c r="C65" s="8"/>
      <c r="D65" s="8"/>
      <c r="E65" s="8"/>
      <c r="F65" s="8"/>
      <c r="G65" s="13"/>
      <c r="H65" s="13"/>
      <c r="I65" s="14" t="str">
        <f t="shared" si="0"/>
        <v/>
      </c>
      <c r="J65" s="14" t="str">
        <f t="shared" si="1"/>
        <v/>
      </c>
      <c r="K65" s="14" t="str">
        <f t="shared" si="2"/>
        <v/>
      </c>
      <c r="L65" s="13"/>
      <c r="M65" s="13"/>
      <c r="N65" s="14" t="str">
        <f t="shared" si="3"/>
        <v/>
      </c>
      <c r="O65" s="8"/>
      <c r="P65" s="8"/>
      <c r="Q65" s="8"/>
      <c r="R65" s="8"/>
      <c r="S65" s="10"/>
      <c r="T65" s="8"/>
    </row>
    <row r="66" spans="1:20">
      <c r="A66" s="8"/>
      <c r="B66" s="10"/>
      <c r="C66" s="8"/>
      <c r="D66" s="8"/>
      <c r="E66" s="8"/>
      <c r="F66" s="8"/>
      <c r="G66" s="13"/>
      <c r="H66" s="13"/>
      <c r="I66" s="14" t="str">
        <f t="shared" si="0"/>
        <v/>
      </c>
      <c r="J66" s="14" t="str">
        <f t="shared" si="1"/>
        <v/>
      </c>
      <c r="K66" s="14" t="str">
        <f t="shared" si="2"/>
        <v/>
      </c>
      <c r="L66" s="13"/>
      <c r="M66" s="13"/>
      <c r="N66" s="14" t="str">
        <f t="shared" si="3"/>
        <v/>
      </c>
      <c r="O66" s="8"/>
      <c r="P66" s="8"/>
      <c r="Q66" s="8"/>
      <c r="R66" s="8"/>
      <c r="S66" s="10"/>
      <c r="T66" s="8"/>
    </row>
    <row r="67" spans="1:20">
      <c r="A67" s="8"/>
      <c r="B67" s="10"/>
      <c r="C67" s="8"/>
      <c r="D67" s="8"/>
      <c r="E67" s="8"/>
      <c r="F67" s="8"/>
      <c r="G67" s="13"/>
      <c r="H67" s="13"/>
      <c r="I67" s="14" t="str">
        <f t="shared" si="0"/>
        <v/>
      </c>
      <c r="J67" s="14" t="str">
        <f t="shared" si="1"/>
        <v/>
      </c>
      <c r="K67" s="14" t="str">
        <f t="shared" si="2"/>
        <v/>
      </c>
      <c r="L67" s="13"/>
      <c r="M67" s="13"/>
      <c r="N67" s="14" t="str">
        <f t="shared" si="3"/>
        <v/>
      </c>
      <c r="O67" s="8"/>
      <c r="P67" s="8"/>
      <c r="Q67" s="8"/>
      <c r="R67" s="8"/>
      <c r="S67" s="10"/>
      <c r="T67" s="8"/>
    </row>
    <row r="68" spans="1:20">
      <c r="A68" s="8"/>
      <c r="B68" s="10"/>
      <c r="C68" s="8"/>
      <c r="D68" s="8"/>
      <c r="E68" s="8"/>
      <c r="F68" s="8"/>
      <c r="G68" s="13"/>
      <c r="H68" s="13"/>
      <c r="I68" s="14" t="str">
        <f t="shared" si="0"/>
        <v/>
      </c>
      <c r="J68" s="14" t="str">
        <f t="shared" si="1"/>
        <v/>
      </c>
      <c r="K68" s="14" t="str">
        <f t="shared" si="2"/>
        <v/>
      </c>
      <c r="L68" s="13"/>
      <c r="M68" s="13"/>
      <c r="N68" s="14" t="str">
        <f t="shared" si="3"/>
        <v/>
      </c>
      <c r="O68" s="8"/>
      <c r="P68" s="8"/>
      <c r="Q68" s="8"/>
      <c r="R68" s="8"/>
      <c r="S68" s="10"/>
      <c r="T68" s="8"/>
    </row>
    <row r="69" spans="1:20">
      <c r="A69" s="8"/>
      <c r="B69" s="10"/>
      <c r="C69" s="8"/>
      <c r="D69" s="8"/>
      <c r="E69" s="8"/>
      <c r="F69" s="8"/>
      <c r="G69" s="13"/>
      <c r="H69" s="13"/>
      <c r="I69" s="14" t="str">
        <f t="shared" ref="I69:I132" si="4">IF(A69="","",H69-G69)</f>
        <v/>
      </c>
      <c r="J69" s="14" t="str">
        <f t="shared" ref="J69:J132" si="5">IF(A69="","",MAX(0,G69-H69))</f>
        <v/>
      </c>
      <c r="K69" s="14" t="str">
        <f t="shared" ref="K69:K132" si="6">IF(A69="","",MAX(0,H69-G69))</f>
        <v/>
      </c>
      <c r="L69" s="13"/>
      <c r="M69" s="13"/>
      <c r="N69" s="14" t="str">
        <f t="shared" ref="N69:N132" si="7">IF(A69="","",MAX(0,L69-M69))</f>
        <v/>
      </c>
      <c r="O69" s="8"/>
      <c r="P69" s="8"/>
      <c r="Q69" s="8"/>
      <c r="R69" s="8"/>
      <c r="S69" s="10"/>
      <c r="T69" s="8"/>
    </row>
    <row r="70" spans="1:20">
      <c r="A70" s="8"/>
      <c r="B70" s="10"/>
      <c r="C70" s="8"/>
      <c r="D70" s="8"/>
      <c r="E70" s="8"/>
      <c r="F70" s="8"/>
      <c r="G70" s="13"/>
      <c r="H70" s="13"/>
      <c r="I70" s="14" t="str">
        <f t="shared" si="4"/>
        <v/>
      </c>
      <c r="J70" s="14" t="str">
        <f t="shared" si="5"/>
        <v/>
      </c>
      <c r="K70" s="14" t="str">
        <f t="shared" si="6"/>
        <v/>
      </c>
      <c r="L70" s="13"/>
      <c r="M70" s="13"/>
      <c r="N70" s="14" t="str">
        <f t="shared" si="7"/>
        <v/>
      </c>
      <c r="O70" s="8"/>
      <c r="P70" s="8"/>
      <c r="Q70" s="8"/>
      <c r="R70" s="8"/>
      <c r="S70" s="10"/>
      <c r="T70" s="8"/>
    </row>
    <row r="71" spans="1:20">
      <c r="A71" s="8"/>
      <c r="B71" s="10"/>
      <c r="C71" s="8"/>
      <c r="D71" s="8"/>
      <c r="E71" s="8"/>
      <c r="F71" s="8"/>
      <c r="G71" s="13"/>
      <c r="H71" s="13"/>
      <c r="I71" s="14" t="str">
        <f t="shared" si="4"/>
        <v/>
      </c>
      <c r="J71" s="14" t="str">
        <f t="shared" si="5"/>
        <v/>
      </c>
      <c r="K71" s="14" t="str">
        <f t="shared" si="6"/>
        <v/>
      </c>
      <c r="L71" s="13"/>
      <c r="M71" s="13"/>
      <c r="N71" s="14" t="str">
        <f t="shared" si="7"/>
        <v/>
      </c>
      <c r="O71" s="8"/>
      <c r="P71" s="8"/>
      <c r="Q71" s="8"/>
      <c r="R71" s="8"/>
      <c r="S71" s="10"/>
      <c r="T71" s="8"/>
    </row>
    <row r="72" spans="1:20">
      <c r="A72" s="8"/>
      <c r="B72" s="10"/>
      <c r="C72" s="8"/>
      <c r="D72" s="8"/>
      <c r="E72" s="8"/>
      <c r="F72" s="8"/>
      <c r="G72" s="13"/>
      <c r="H72" s="13"/>
      <c r="I72" s="14" t="str">
        <f t="shared" si="4"/>
        <v/>
      </c>
      <c r="J72" s="14" t="str">
        <f t="shared" si="5"/>
        <v/>
      </c>
      <c r="K72" s="14" t="str">
        <f t="shared" si="6"/>
        <v/>
      </c>
      <c r="L72" s="13"/>
      <c r="M72" s="13"/>
      <c r="N72" s="14" t="str">
        <f t="shared" si="7"/>
        <v/>
      </c>
      <c r="O72" s="8"/>
      <c r="P72" s="8"/>
      <c r="Q72" s="8"/>
      <c r="R72" s="8"/>
      <c r="S72" s="10"/>
      <c r="T72" s="8"/>
    </row>
    <row r="73" spans="1:20">
      <c r="A73" s="8"/>
      <c r="B73" s="10"/>
      <c r="C73" s="8"/>
      <c r="D73" s="8"/>
      <c r="E73" s="8"/>
      <c r="F73" s="8"/>
      <c r="G73" s="13"/>
      <c r="H73" s="13"/>
      <c r="I73" s="14" t="str">
        <f t="shared" si="4"/>
        <v/>
      </c>
      <c r="J73" s="14" t="str">
        <f t="shared" si="5"/>
        <v/>
      </c>
      <c r="K73" s="14" t="str">
        <f t="shared" si="6"/>
        <v/>
      </c>
      <c r="L73" s="13"/>
      <c r="M73" s="13"/>
      <c r="N73" s="14" t="str">
        <f t="shared" si="7"/>
        <v/>
      </c>
      <c r="O73" s="8"/>
      <c r="P73" s="8"/>
      <c r="Q73" s="8"/>
      <c r="R73" s="8"/>
      <c r="S73" s="10"/>
      <c r="T73" s="8"/>
    </row>
    <row r="74" spans="1:20">
      <c r="A74" s="8"/>
      <c r="B74" s="10"/>
      <c r="C74" s="8"/>
      <c r="D74" s="8"/>
      <c r="E74" s="8"/>
      <c r="F74" s="8"/>
      <c r="G74" s="13"/>
      <c r="H74" s="13"/>
      <c r="I74" s="14" t="str">
        <f t="shared" si="4"/>
        <v/>
      </c>
      <c r="J74" s="14" t="str">
        <f t="shared" si="5"/>
        <v/>
      </c>
      <c r="K74" s="14" t="str">
        <f t="shared" si="6"/>
        <v/>
      </c>
      <c r="L74" s="13"/>
      <c r="M74" s="13"/>
      <c r="N74" s="14" t="str">
        <f t="shared" si="7"/>
        <v/>
      </c>
      <c r="O74" s="8"/>
      <c r="P74" s="8"/>
      <c r="Q74" s="8"/>
      <c r="R74" s="8"/>
      <c r="S74" s="10"/>
      <c r="T74" s="8"/>
    </row>
    <row r="75" spans="1:20">
      <c r="A75" s="8"/>
      <c r="B75" s="10"/>
      <c r="C75" s="8"/>
      <c r="D75" s="8"/>
      <c r="E75" s="8"/>
      <c r="F75" s="8"/>
      <c r="G75" s="13"/>
      <c r="H75" s="13"/>
      <c r="I75" s="14" t="str">
        <f t="shared" si="4"/>
        <v/>
      </c>
      <c r="J75" s="14" t="str">
        <f t="shared" si="5"/>
        <v/>
      </c>
      <c r="K75" s="14" t="str">
        <f t="shared" si="6"/>
        <v/>
      </c>
      <c r="L75" s="13"/>
      <c r="M75" s="13"/>
      <c r="N75" s="14" t="str">
        <f t="shared" si="7"/>
        <v/>
      </c>
      <c r="O75" s="8"/>
      <c r="P75" s="8"/>
      <c r="Q75" s="8"/>
      <c r="R75" s="8"/>
      <c r="S75" s="10"/>
      <c r="T75" s="8"/>
    </row>
    <row r="76" spans="1:20">
      <c r="A76" s="8"/>
      <c r="B76" s="10"/>
      <c r="C76" s="8"/>
      <c r="D76" s="8"/>
      <c r="E76" s="8"/>
      <c r="F76" s="8"/>
      <c r="G76" s="13"/>
      <c r="H76" s="13"/>
      <c r="I76" s="14" t="str">
        <f t="shared" si="4"/>
        <v/>
      </c>
      <c r="J76" s="14" t="str">
        <f t="shared" si="5"/>
        <v/>
      </c>
      <c r="K76" s="14" t="str">
        <f t="shared" si="6"/>
        <v/>
      </c>
      <c r="L76" s="13"/>
      <c r="M76" s="13"/>
      <c r="N76" s="14" t="str">
        <f t="shared" si="7"/>
        <v/>
      </c>
      <c r="O76" s="8"/>
      <c r="P76" s="8"/>
      <c r="Q76" s="8"/>
      <c r="R76" s="8"/>
      <c r="S76" s="10"/>
      <c r="T76" s="8"/>
    </row>
    <row r="77" spans="1:20">
      <c r="A77" s="8"/>
      <c r="B77" s="10"/>
      <c r="C77" s="8"/>
      <c r="D77" s="8"/>
      <c r="E77" s="8"/>
      <c r="F77" s="8"/>
      <c r="G77" s="13"/>
      <c r="H77" s="13"/>
      <c r="I77" s="14" t="str">
        <f t="shared" si="4"/>
        <v/>
      </c>
      <c r="J77" s="14" t="str">
        <f t="shared" si="5"/>
        <v/>
      </c>
      <c r="K77" s="14" t="str">
        <f t="shared" si="6"/>
        <v/>
      </c>
      <c r="L77" s="13"/>
      <c r="M77" s="13"/>
      <c r="N77" s="14" t="str">
        <f t="shared" si="7"/>
        <v/>
      </c>
      <c r="O77" s="8"/>
      <c r="P77" s="8"/>
      <c r="Q77" s="8"/>
      <c r="R77" s="8"/>
      <c r="S77" s="10"/>
      <c r="T77" s="8"/>
    </row>
    <row r="78" spans="1:20">
      <c r="A78" s="8"/>
      <c r="B78" s="10"/>
      <c r="C78" s="8"/>
      <c r="D78" s="8"/>
      <c r="E78" s="8"/>
      <c r="F78" s="8"/>
      <c r="G78" s="13"/>
      <c r="H78" s="13"/>
      <c r="I78" s="14" t="str">
        <f t="shared" si="4"/>
        <v/>
      </c>
      <c r="J78" s="14" t="str">
        <f t="shared" si="5"/>
        <v/>
      </c>
      <c r="K78" s="14" t="str">
        <f t="shared" si="6"/>
        <v/>
      </c>
      <c r="L78" s="13"/>
      <c r="M78" s="13"/>
      <c r="N78" s="14" t="str">
        <f t="shared" si="7"/>
        <v/>
      </c>
      <c r="O78" s="8"/>
      <c r="P78" s="8"/>
      <c r="Q78" s="8"/>
      <c r="R78" s="8"/>
      <c r="S78" s="10"/>
      <c r="T78" s="8"/>
    </row>
    <row r="79" spans="1:20">
      <c r="A79" s="8"/>
      <c r="B79" s="10"/>
      <c r="C79" s="8"/>
      <c r="D79" s="8"/>
      <c r="E79" s="8"/>
      <c r="F79" s="8"/>
      <c r="G79" s="13"/>
      <c r="H79" s="13"/>
      <c r="I79" s="14" t="str">
        <f t="shared" si="4"/>
        <v/>
      </c>
      <c r="J79" s="14" t="str">
        <f t="shared" si="5"/>
        <v/>
      </c>
      <c r="K79" s="14" t="str">
        <f t="shared" si="6"/>
        <v/>
      </c>
      <c r="L79" s="13"/>
      <c r="M79" s="13"/>
      <c r="N79" s="14" t="str">
        <f t="shared" si="7"/>
        <v/>
      </c>
      <c r="O79" s="8"/>
      <c r="P79" s="8"/>
      <c r="Q79" s="8"/>
      <c r="R79" s="8"/>
      <c r="S79" s="10"/>
      <c r="T79" s="8"/>
    </row>
    <row r="80" spans="1:20">
      <c r="A80" s="8"/>
      <c r="B80" s="10"/>
      <c r="C80" s="8"/>
      <c r="D80" s="8"/>
      <c r="E80" s="8"/>
      <c r="F80" s="8"/>
      <c r="G80" s="13"/>
      <c r="H80" s="13"/>
      <c r="I80" s="14" t="str">
        <f t="shared" si="4"/>
        <v/>
      </c>
      <c r="J80" s="14" t="str">
        <f t="shared" si="5"/>
        <v/>
      </c>
      <c r="K80" s="14" t="str">
        <f t="shared" si="6"/>
        <v/>
      </c>
      <c r="L80" s="13"/>
      <c r="M80" s="13"/>
      <c r="N80" s="14" t="str">
        <f t="shared" si="7"/>
        <v/>
      </c>
      <c r="O80" s="8"/>
      <c r="P80" s="8"/>
      <c r="Q80" s="8"/>
      <c r="R80" s="8"/>
      <c r="S80" s="10"/>
      <c r="T80" s="8"/>
    </row>
    <row r="81" spans="1:20">
      <c r="A81" s="8"/>
      <c r="B81" s="10"/>
      <c r="C81" s="8"/>
      <c r="D81" s="8"/>
      <c r="E81" s="8"/>
      <c r="F81" s="8"/>
      <c r="G81" s="13"/>
      <c r="H81" s="13"/>
      <c r="I81" s="14" t="str">
        <f t="shared" si="4"/>
        <v/>
      </c>
      <c r="J81" s="14" t="str">
        <f t="shared" si="5"/>
        <v/>
      </c>
      <c r="K81" s="14" t="str">
        <f t="shared" si="6"/>
        <v/>
      </c>
      <c r="L81" s="13"/>
      <c r="M81" s="13"/>
      <c r="N81" s="14" t="str">
        <f t="shared" si="7"/>
        <v/>
      </c>
      <c r="O81" s="8"/>
      <c r="P81" s="8"/>
      <c r="Q81" s="8"/>
      <c r="R81" s="8"/>
      <c r="S81" s="10"/>
      <c r="T81" s="8"/>
    </row>
    <row r="82" spans="1:20">
      <c r="A82" s="8"/>
      <c r="B82" s="10"/>
      <c r="C82" s="8"/>
      <c r="D82" s="8"/>
      <c r="E82" s="8"/>
      <c r="F82" s="8"/>
      <c r="G82" s="13"/>
      <c r="H82" s="13"/>
      <c r="I82" s="14" t="str">
        <f t="shared" si="4"/>
        <v/>
      </c>
      <c r="J82" s="14" t="str">
        <f t="shared" si="5"/>
        <v/>
      </c>
      <c r="K82" s="14" t="str">
        <f t="shared" si="6"/>
        <v/>
      </c>
      <c r="L82" s="13"/>
      <c r="M82" s="13"/>
      <c r="N82" s="14" t="str">
        <f t="shared" si="7"/>
        <v/>
      </c>
      <c r="O82" s="8"/>
      <c r="P82" s="8"/>
      <c r="Q82" s="8"/>
      <c r="R82" s="8"/>
      <c r="S82" s="10"/>
      <c r="T82" s="8"/>
    </row>
    <row r="83" spans="1:20">
      <c r="A83" s="8"/>
      <c r="B83" s="10"/>
      <c r="C83" s="8"/>
      <c r="D83" s="8"/>
      <c r="E83" s="8"/>
      <c r="F83" s="8"/>
      <c r="G83" s="13"/>
      <c r="H83" s="13"/>
      <c r="I83" s="14" t="str">
        <f t="shared" si="4"/>
        <v/>
      </c>
      <c r="J83" s="14" t="str">
        <f t="shared" si="5"/>
        <v/>
      </c>
      <c r="K83" s="14" t="str">
        <f t="shared" si="6"/>
        <v/>
      </c>
      <c r="L83" s="13"/>
      <c r="M83" s="13"/>
      <c r="N83" s="14" t="str">
        <f t="shared" si="7"/>
        <v/>
      </c>
      <c r="O83" s="8"/>
      <c r="P83" s="8"/>
      <c r="Q83" s="8"/>
      <c r="R83" s="8"/>
      <c r="S83" s="10"/>
      <c r="T83" s="8"/>
    </row>
    <row r="84" spans="1:20">
      <c r="A84" s="8"/>
      <c r="B84" s="10"/>
      <c r="C84" s="8"/>
      <c r="D84" s="8"/>
      <c r="E84" s="8"/>
      <c r="F84" s="8"/>
      <c r="G84" s="13"/>
      <c r="H84" s="13"/>
      <c r="I84" s="14" t="str">
        <f t="shared" si="4"/>
        <v/>
      </c>
      <c r="J84" s="14" t="str">
        <f t="shared" si="5"/>
        <v/>
      </c>
      <c r="K84" s="14" t="str">
        <f t="shared" si="6"/>
        <v/>
      </c>
      <c r="L84" s="13"/>
      <c r="M84" s="13"/>
      <c r="N84" s="14" t="str">
        <f t="shared" si="7"/>
        <v/>
      </c>
      <c r="O84" s="8"/>
      <c r="P84" s="8"/>
      <c r="Q84" s="8"/>
      <c r="R84" s="8"/>
      <c r="S84" s="10"/>
      <c r="T84" s="8"/>
    </row>
    <row r="85" spans="1:20">
      <c r="A85" s="8"/>
      <c r="B85" s="10"/>
      <c r="C85" s="8"/>
      <c r="D85" s="8"/>
      <c r="E85" s="8"/>
      <c r="F85" s="8"/>
      <c r="G85" s="13"/>
      <c r="H85" s="13"/>
      <c r="I85" s="14" t="str">
        <f t="shared" si="4"/>
        <v/>
      </c>
      <c r="J85" s="14" t="str">
        <f t="shared" si="5"/>
        <v/>
      </c>
      <c r="K85" s="14" t="str">
        <f t="shared" si="6"/>
        <v/>
      </c>
      <c r="L85" s="13"/>
      <c r="M85" s="13"/>
      <c r="N85" s="14" t="str">
        <f t="shared" si="7"/>
        <v/>
      </c>
      <c r="O85" s="8"/>
      <c r="P85" s="8"/>
      <c r="Q85" s="8"/>
      <c r="R85" s="8"/>
      <c r="S85" s="10"/>
      <c r="T85" s="8"/>
    </row>
    <row r="86" spans="1:20">
      <c r="A86" s="8"/>
      <c r="B86" s="10"/>
      <c r="C86" s="8"/>
      <c r="D86" s="8"/>
      <c r="E86" s="8"/>
      <c r="F86" s="8"/>
      <c r="G86" s="13"/>
      <c r="H86" s="13"/>
      <c r="I86" s="14" t="str">
        <f t="shared" si="4"/>
        <v/>
      </c>
      <c r="J86" s="14" t="str">
        <f t="shared" si="5"/>
        <v/>
      </c>
      <c r="K86" s="14" t="str">
        <f t="shared" si="6"/>
        <v/>
      </c>
      <c r="L86" s="13"/>
      <c r="M86" s="13"/>
      <c r="N86" s="14" t="str">
        <f t="shared" si="7"/>
        <v/>
      </c>
      <c r="O86" s="8"/>
      <c r="P86" s="8"/>
      <c r="Q86" s="8"/>
      <c r="R86" s="8"/>
      <c r="S86" s="10"/>
      <c r="T86" s="8"/>
    </row>
    <row r="87" spans="1:20">
      <c r="A87" s="8"/>
      <c r="B87" s="10"/>
      <c r="C87" s="8"/>
      <c r="D87" s="8"/>
      <c r="E87" s="8"/>
      <c r="F87" s="8"/>
      <c r="G87" s="13"/>
      <c r="H87" s="13"/>
      <c r="I87" s="14" t="str">
        <f t="shared" si="4"/>
        <v/>
      </c>
      <c r="J87" s="14" t="str">
        <f t="shared" si="5"/>
        <v/>
      </c>
      <c r="K87" s="14" t="str">
        <f t="shared" si="6"/>
        <v/>
      </c>
      <c r="L87" s="13"/>
      <c r="M87" s="13"/>
      <c r="N87" s="14" t="str">
        <f t="shared" si="7"/>
        <v/>
      </c>
      <c r="O87" s="8"/>
      <c r="P87" s="8"/>
      <c r="Q87" s="8"/>
      <c r="R87" s="8"/>
      <c r="S87" s="10"/>
      <c r="T87" s="8"/>
    </row>
    <row r="88" spans="1:20">
      <c r="A88" s="8"/>
      <c r="B88" s="10"/>
      <c r="C88" s="8"/>
      <c r="D88" s="8"/>
      <c r="E88" s="8"/>
      <c r="F88" s="8"/>
      <c r="G88" s="13"/>
      <c r="H88" s="13"/>
      <c r="I88" s="14" t="str">
        <f t="shared" si="4"/>
        <v/>
      </c>
      <c r="J88" s="14" t="str">
        <f t="shared" si="5"/>
        <v/>
      </c>
      <c r="K88" s="14" t="str">
        <f t="shared" si="6"/>
        <v/>
      </c>
      <c r="L88" s="13"/>
      <c r="M88" s="13"/>
      <c r="N88" s="14" t="str">
        <f t="shared" si="7"/>
        <v/>
      </c>
      <c r="O88" s="8"/>
      <c r="P88" s="8"/>
      <c r="Q88" s="8"/>
      <c r="R88" s="8"/>
      <c r="S88" s="10"/>
      <c r="T88" s="8"/>
    </row>
    <row r="89" spans="1:20">
      <c r="A89" s="8"/>
      <c r="B89" s="10"/>
      <c r="C89" s="8"/>
      <c r="D89" s="8"/>
      <c r="E89" s="8"/>
      <c r="F89" s="8"/>
      <c r="G89" s="13"/>
      <c r="H89" s="13"/>
      <c r="I89" s="14" t="str">
        <f t="shared" si="4"/>
        <v/>
      </c>
      <c r="J89" s="14" t="str">
        <f t="shared" si="5"/>
        <v/>
      </c>
      <c r="K89" s="14" t="str">
        <f t="shared" si="6"/>
        <v/>
      </c>
      <c r="L89" s="13"/>
      <c r="M89" s="13"/>
      <c r="N89" s="14" t="str">
        <f t="shared" si="7"/>
        <v/>
      </c>
      <c r="O89" s="8"/>
      <c r="P89" s="8"/>
      <c r="Q89" s="8"/>
      <c r="R89" s="8"/>
      <c r="S89" s="10"/>
      <c r="T89" s="8"/>
    </row>
    <row r="90" spans="1:20">
      <c r="A90" s="8"/>
      <c r="B90" s="10"/>
      <c r="C90" s="8"/>
      <c r="D90" s="8"/>
      <c r="E90" s="8"/>
      <c r="F90" s="8"/>
      <c r="G90" s="13"/>
      <c r="H90" s="13"/>
      <c r="I90" s="14" t="str">
        <f t="shared" si="4"/>
        <v/>
      </c>
      <c r="J90" s="14" t="str">
        <f t="shared" si="5"/>
        <v/>
      </c>
      <c r="K90" s="14" t="str">
        <f t="shared" si="6"/>
        <v/>
      </c>
      <c r="L90" s="13"/>
      <c r="M90" s="13"/>
      <c r="N90" s="14" t="str">
        <f t="shared" si="7"/>
        <v/>
      </c>
      <c r="O90" s="8"/>
      <c r="P90" s="8"/>
      <c r="Q90" s="8"/>
      <c r="R90" s="8"/>
      <c r="S90" s="10"/>
      <c r="T90" s="8"/>
    </row>
    <row r="91" spans="1:20">
      <c r="A91" s="8"/>
      <c r="B91" s="10"/>
      <c r="C91" s="8"/>
      <c r="D91" s="8"/>
      <c r="E91" s="8"/>
      <c r="F91" s="8"/>
      <c r="G91" s="13"/>
      <c r="H91" s="13"/>
      <c r="I91" s="14" t="str">
        <f t="shared" si="4"/>
        <v/>
      </c>
      <c r="J91" s="14" t="str">
        <f t="shared" si="5"/>
        <v/>
      </c>
      <c r="K91" s="14" t="str">
        <f t="shared" si="6"/>
        <v/>
      </c>
      <c r="L91" s="13"/>
      <c r="M91" s="13"/>
      <c r="N91" s="14" t="str">
        <f t="shared" si="7"/>
        <v/>
      </c>
      <c r="O91" s="8"/>
      <c r="P91" s="8"/>
      <c r="Q91" s="8"/>
      <c r="R91" s="8"/>
      <c r="S91" s="10"/>
      <c r="T91" s="8"/>
    </row>
    <row r="92" spans="1:20">
      <c r="A92" s="8"/>
      <c r="B92" s="10"/>
      <c r="C92" s="8"/>
      <c r="D92" s="8"/>
      <c r="E92" s="8"/>
      <c r="F92" s="8"/>
      <c r="G92" s="13"/>
      <c r="H92" s="13"/>
      <c r="I92" s="14" t="str">
        <f t="shared" si="4"/>
        <v/>
      </c>
      <c r="J92" s="14" t="str">
        <f t="shared" si="5"/>
        <v/>
      </c>
      <c r="K92" s="14" t="str">
        <f t="shared" si="6"/>
        <v/>
      </c>
      <c r="L92" s="13"/>
      <c r="M92" s="13"/>
      <c r="N92" s="14" t="str">
        <f t="shared" si="7"/>
        <v/>
      </c>
      <c r="O92" s="8"/>
      <c r="P92" s="8"/>
      <c r="Q92" s="8"/>
      <c r="R92" s="8"/>
      <c r="S92" s="10"/>
      <c r="T92" s="8"/>
    </row>
    <row r="93" spans="1:20">
      <c r="A93" s="8"/>
      <c r="B93" s="10"/>
      <c r="C93" s="8"/>
      <c r="D93" s="8"/>
      <c r="E93" s="8"/>
      <c r="F93" s="8"/>
      <c r="G93" s="13"/>
      <c r="H93" s="13"/>
      <c r="I93" s="14" t="str">
        <f t="shared" si="4"/>
        <v/>
      </c>
      <c r="J93" s="14" t="str">
        <f t="shared" si="5"/>
        <v/>
      </c>
      <c r="K93" s="14" t="str">
        <f t="shared" si="6"/>
        <v/>
      </c>
      <c r="L93" s="13"/>
      <c r="M93" s="13"/>
      <c r="N93" s="14" t="str">
        <f t="shared" si="7"/>
        <v/>
      </c>
      <c r="O93" s="8"/>
      <c r="P93" s="8"/>
      <c r="Q93" s="8"/>
      <c r="R93" s="8"/>
      <c r="S93" s="10"/>
      <c r="T93" s="8"/>
    </row>
    <row r="94" spans="1:20">
      <c r="A94" s="8"/>
      <c r="B94" s="10"/>
      <c r="C94" s="8"/>
      <c r="D94" s="8"/>
      <c r="E94" s="8"/>
      <c r="F94" s="8"/>
      <c r="G94" s="13"/>
      <c r="H94" s="13"/>
      <c r="I94" s="14" t="str">
        <f t="shared" si="4"/>
        <v/>
      </c>
      <c r="J94" s="14" t="str">
        <f t="shared" si="5"/>
        <v/>
      </c>
      <c r="K94" s="14" t="str">
        <f t="shared" si="6"/>
        <v/>
      </c>
      <c r="L94" s="13"/>
      <c r="M94" s="13"/>
      <c r="N94" s="14" t="str">
        <f t="shared" si="7"/>
        <v/>
      </c>
      <c r="O94" s="8"/>
      <c r="P94" s="8"/>
      <c r="Q94" s="8"/>
      <c r="R94" s="8"/>
      <c r="S94" s="10"/>
      <c r="T94" s="8"/>
    </row>
    <row r="95" spans="1:20">
      <c r="A95" s="8"/>
      <c r="B95" s="10"/>
      <c r="C95" s="8"/>
      <c r="D95" s="8"/>
      <c r="E95" s="8"/>
      <c r="F95" s="8"/>
      <c r="G95" s="13"/>
      <c r="H95" s="13"/>
      <c r="I95" s="14" t="str">
        <f t="shared" si="4"/>
        <v/>
      </c>
      <c r="J95" s="14" t="str">
        <f t="shared" si="5"/>
        <v/>
      </c>
      <c r="K95" s="14" t="str">
        <f t="shared" si="6"/>
        <v/>
      </c>
      <c r="L95" s="13"/>
      <c r="M95" s="13"/>
      <c r="N95" s="14" t="str">
        <f t="shared" si="7"/>
        <v/>
      </c>
      <c r="O95" s="8"/>
      <c r="P95" s="8"/>
      <c r="Q95" s="8"/>
      <c r="R95" s="8"/>
      <c r="S95" s="10"/>
      <c r="T95" s="8"/>
    </row>
    <row r="96" spans="1:20">
      <c r="A96" s="8"/>
      <c r="B96" s="10"/>
      <c r="C96" s="8"/>
      <c r="D96" s="8"/>
      <c r="E96" s="8"/>
      <c r="F96" s="8"/>
      <c r="G96" s="13"/>
      <c r="H96" s="13"/>
      <c r="I96" s="14" t="str">
        <f t="shared" si="4"/>
        <v/>
      </c>
      <c r="J96" s="14" t="str">
        <f t="shared" si="5"/>
        <v/>
      </c>
      <c r="K96" s="14" t="str">
        <f t="shared" si="6"/>
        <v/>
      </c>
      <c r="L96" s="13"/>
      <c r="M96" s="13"/>
      <c r="N96" s="14" t="str">
        <f t="shared" si="7"/>
        <v/>
      </c>
      <c r="O96" s="8"/>
      <c r="P96" s="8"/>
      <c r="Q96" s="8"/>
      <c r="R96" s="8"/>
      <c r="S96" s="10"/>
      <c r="T96" s="8"/>
    </row>
    <row r="97" spans="1:20">
      <c r="A97" s="8"/>
      <c r="B97" s="10"/>
      <c r="C97" s="8"/>
      <c r="D97" s="8"/>
      <c r="E97" s="8"/>
      <c r="F97" s="8"/>
      <c r="G97" s="13"/>
      <c r="H97" s="13"/>
      <c r="I97" s="14" t="str">
        <f t="shared" si="4"/>
        <v/>
      </c>
      <c r="J97" s="14" t="str">
        <f t="shared" si="5"/>
        <v/>
      </c>
      <c r="K97" s="14" t="str">
        <f t="shared" si="6"/>
        <v/>
      </c>
      <c r="L97" s="13"/>
      <c r="M97" s="13"/>
      <c r="N97" s="14" t="str">
        <f t="shared" si="7"/>
        <v/>
      </c>
      <c r="O97" s="8"/>
      <c r="P97" s="8"/>
      <c r="Q97" s="8"/>
      <c r="R97" s="8"/>
      <c r="S97" s="10"/>
      <c r="T97" s="8"/>
    </row>
    <row r="98" spans="1:20">
      <c r="A98" s="8"/>
      <c r="B98" s="10"/>
      <c r="C98" s="8"/>
      <c r="D98" s="8"/>
      <c r="E98" s="8"/>
      <c r="F98" s="8"/>
      <c r="G98" s="13"/>
      <c r="H98" s="13"/>
      <c r="I98" s="14" t="str">
        <f t="shared" si="4"/>
        <v/>
      </c>
      <c r="J98" s="14" t="str">
        <f t="shared" si="5"/>
        <v/>
      </c>
      <c r="K98" s="14" t="str">
        <f t="shared" si="6"/>
        <v/>
      </c>
      <c r="L98" s="13"/>
      <c r="M98" s="13"/>
      <c r="N98" s="14" t="str">
        <f t="shared" si="7"/>
        <v/>
      </c>
      <c r="O98" s="8"/>
      <c r="P98" s="8"/>
      <c r="Q98" s="8"/>
      <c r="R98" s="8"/>
      <c r="S98" s="10"/>
      <c r="T98" s="8"/>
    </row>
    <row r="99" spans="1:20">
      <c r="A99" s="8"/>
      <c r="B99" s="10"/>
      <c r="C99" s="8"/>
      <c r="D99" s="8"/>
      <c r="E99" s="8"/>
      <c r="F99" s="8"/>
      <c r="G99" s="13"/>
      <c r="H99" s="13"/>
      <c r="I99" s="14" t="str">
        <f t="shared" si="4"/>
        <v/>
      </c>
      <c r="J99" s="14" t="str">
        <f t="shared" si="5"/>
        <v/>
      </c>
      <c r="K99" s="14" t="str">
        <f t="shared" si="6"/>
        <v/>
      </c>
      <c r="L99" s="13"/>
      <c r="M99" s="13"/>
      <c r="N99" s="14" t="str">
        <f t="shared" si="7"/>
        <v/>
      </c>
      <c r="O99" s="8"/>
      <c r="P99" s="8"/>
      <c r="Q99" s="8"/>
      <c r="R99" s="8"/>
      <c r="S99" s="10"/>
      <c r="T99" s="8"/>
    </row>
    <row r="100" spans="1:20">
      <c r="A100" s="8"/>
      <c r="B100" s="10"/>
      <c r="C100" s="8"/>
      <c r="D100" s="8"/>
      <c r="E100" s="8"/>
      <c r="F100" s="8"/>
      <c r="G100" s="13"/>
      <c r="H100" s="13"/>
      <c r="I100" s="14" t="str">
        <f t="shared" si="4"/>
        <v/>
      </c>
      <c r="J100" s="14" t="str">
        <f t="shared" si="5"/>
        <v/>
      </c>
      <c r="K100" s="14" t="str">
        <f t="shared" si="6"/>
        <v/>
      </c>
      <c r="L100" s="13"/>
      <c r="M100" s="13"/>
      <c r="N100" s="14" t="str">
        <f t="shared" si="7"/>
        <v/>
      </c>
      <c r="O100" s="8"/>
      <c r="P100" s="8"/>
      <c r="Q100" s="8"/>
      <c r="R100" s="8"/>
      <c r="S100" s="10"/>
      <c r="T100" s="8"/>
    </row>
    <row r="101" spans="1:20">
      <c r="A101" s="8"/>
      <c r="B101" s="10"/>
      <c r="C101" s="8"/>
      <c r="D101" s="8"/>
      <c r="E101" s="8"/>
      <c r="F101" s="8"/>
      <c r="G101" s="13"/>
      <c r="H101" s="13"/>
      <c r="I101" s="14" t="str">
        <f t="shared" si="4"/>
        <v/>
      </c>
      <c r="J101" s="14" t="str">
        <f t="shared" si="5"/>
        <v/>
      </c>
      <c r="K101" s="14" t="str">
        <f t="shared" si="6"/>
        <v/>
      </c>
      <c r="L101" s="13"/>
      <c r="M101" s="13"/>
      <c r="N101" s="14" t="str">
        <f t="shared" si="7"/>
        <v/>
      </c>
      <c r="O101" s="8"/>
      <c r="P101" s="8"/>
      <c r="Q101" s="8"/>
      <c r="R101" s="8"/>
      <c r="S101" s="10"/>
      <c r="T101" s="8"/>
    </row>
    <row r="102" spans="1:20">
      <c r="A102" s="8"/>
      <c r="B102" s="10"/>
      <c r="C102" s="8"/>
      <c r="D102" s="8"/>
      <c r="E102" s="8"/>
      <c r="F102" s="8"/>
      <c r="G102" s="13"/>
      <c r="H102" s="13"/>
      <c r="I102" s="14" t="str">
        <f t="shared" si="4"/>
        <v/>
      </c>
      <c r="J102" s="14" t="str">
        <f t="shared" si="5"/>
        <v/>
      </c>
      <c r="K102" s="14" t="str">
        <f t="shared" si="6"/>
        <v/>
      </c>
      <c r="L102" s="13"/>
      <c r="M102" s="13"/>
      <c r="N102" s="14" t="str">
        <f t="shared" si="7"/>
        <v/>
      </c>
      <c r="O102" s="8"/>
      <c r="P102" s="8"/>
      <c r="Q102" s="8"/>
      <c r="R102" s="8"/>
      <c r="S102" s="10"/>
      <c r="T102" s="8"/>
    </row>
    <row r="103" spans="1:20">
      <c r="A103" s="8"/>
      <c r="B103" s="10"/>
      <c r="C103" s="8"/>
      <c r="D103" s="8"/>
      <c r="E103" s="8"/>
      <c r="F103" s="8"/>
      <c r="G103" s="13"/>
      <c r="H103" s="13"/>
      <c r="I103" s="14" t="str">
        <f t="shared" si="4"/>
        <v/>
      </c>
      <c r="J103" s="14" t="str">
        <f t="shared" si="5"/>
        <v/>
      </c>
      <c r="K103" s="14" t="str">
        <f t="shared" si="6"/>
        <v/>
      </c>
      <c r="L103" s="13"/>
      <c r="M103" s="13"/>
      <c r="N103" s="14" t="str">
        <f t="shared" si="7"/>
        <v/>
      </c>
      <c r="O103" s="8"/>
      <c r="P103" s="8"/>
      <c r="Q103" s="8"/>
      <c r="R103" s="8"/>
      <c r="S103" s="10"/>
      <c r="T103" s="8"/>
    </row>
    <row r="104" spans="1:20">
      <c r="A104" s="8"/>
      <c r="B104" s="10"/>
      <c r="C104" s="8"/>
      <c r="D104" s="8"/>
      <c r="E104" s="8"/>
      <c r="F104" s="8"/>
      <c r="G104" s="13"/>
      <c r="H104" s="13"/>
      <c r="I104" s="14" t="str">
        <f t="shared" si="4"/>
        <v/>
      </c>
      <c r="J104" s="14" t="str">
        <f t="shared" si="5"/>
        <v/>
      </c>
      <c r="K104" s="14" t="str">
        <f t="shared" si="6"/>
        <v/>
      </c>
      <c r="L104" s="13"/>
      <c r="M104" s="13"/>
      <c r="N104" s="14" t="str">
        <f t="shared" si="7"/>
        <v/>
      </c>
      <c r="O104" s="8"/>
      <c r="P104" s="8"/>
      <c r="Q104" s="8"/>
      <c r="R104" s="8"/>
      <c r="S104" s="10"/>
      <c r="T104" s="8"/>
    </row>
    <row r="105" spans="1:20">
      <c r="A105" s="8"/>
      <c r="B105" s="10"/>
      <c r="C105" s="8"/>
      <c r="D105" s="8"/>
      <c r="E105" s="8"/>
      <c r="F105" s="8"/>
      <c r="G105" s="13"/>
      <c r="H105" s="13"/>
      <c r="I105" s="14" t="str">
        <f t="shared" si="4"/>
        <v/>
      </c>
      <c r="J105" s="14" t="str">
        <f t="shared" si="5"/>
        <v/>
      </c>
      <c r="K105" s="14" t="str">
        <f t="shared" si="6"/>
        <v/>
      </c>
      <c r="L105" s="13"/>
      <c r="M105" s="13"/>
      <c r="N105" s="14" t="str">
        <f t="shared" si="7"/>
        <v/>
      </c>
      <c r="O105" s="8"/>
      <c r="P105" s="8"/>
      <c r="Q105" s="8"/>
      <c r="R105" s="8"/>
      <c r="S105" s="10"/>
      <c r="T105" s="8"/>
    </row>
    <row r="106" spans="1:20">
      <c r="A106" s="8"/>
      <c r="B106" s="10"/>
      <c r="C106" s="8"/>
      <c r="D106" s="8"/>
      <c r="E106" s="8"/>
      <c r="F106" s="8"/>
      <c r="G106" s="13"/>
      <c r="H106" s="13"/>
      <c r="I106" s="14" t="str">
        <f t="shared" si="4"/>
        <v/>
      </c>
      <c r="J106" s="14" t="str">
        <f t="shared" si="5"/>
        <v/>
      </c>
      <c r="K106" s="14" t="str">
        <f t="shared" si="6"/>
        <v/>
      </c>
      <c r="L106" s="13"/>
      <c r="M106" s="13"/>
      <c r="N106" s="14" t="str">
        <f t="shared" si="7"/>
        <v/>
      </c>
      <c r="O106" s="8"/>
      <c r="P106" s="8"/>
      <c r="Q106" s="8"/>
      <c r="R106" s="8"/>
      <c r="S106" s="10"/>
      <c r="T106" s="8"/>
    </row>
    <row r="107" spans="1:20">
      <c r="A107" s="8"/>
      <c r="B107" s="10"/>
      <c r="C107" s="8"/>
      <c r="D107" s="8"/>
      <c r="E107" s="8"/>
      <c r="F107" s="8"/>
      <c r="G107" s="13"/>
      <c r="H107" s="13"/>
      <c r="I107" s="14" t="str">
        <f t="shared" si="4"/>
        <v/>
      </c>
      <c r="J107" s="14" t="str">
        <f t="shared" si="5"/>
        <v/>
      </c>
      <c r="K107" s="14" t="str">
        <f t="shared" si="6"/>
        <v/>
      </c>
      <c r="L107" s="13"/>
      <c r="M107" s="13"/>
      <c r="N107" s="14" t="str">
        <f t="shared" si="7"/>
        <v/>
      </c>
      <c r="O107" s="8"/>
      <c r="P107" s="8"/>
      <c r="Q107" s="8"/>
      <c r="R107" s="8"/>
      <c r="S107" s="10"/>
      <c r="T107" s="8"/>
    </row>
    <row r="108" spans="1:20">
      <c r="A108" s="8"/>
      <c r="B108" s="10"/>
      <c r="C108" s="8"/>
      <c r="D108" s="8"/>
      <c r="E108" s="8"/>
      <c r="F108" s="8"/>
      <c r="G108" s="13"/>
      <c r="H108" s="13"/>
      <c r="I108" s="14" t="str">
        <f t="shared" si="4"/>
        <v/>
      </c>
      <c r="J108" s="14" t="str">
        <f t="shared" si="5"/>
        <v/>
      </c>
      <c r="K108" s="14" t="str">
        <f t="shared" si="6"/>
        <v/>
      </c>
      <c r="L108" s="13"/>
      <c r="M108" s="13"/>
      <c r="N108" s="14" t="str">
        <f t="shared" si="7"/>
        <v/>
      </c>
      <c r="O108" s="8"/>
      <c r="P108" s="8"/>
      <c r="Q108" s="8"/>
      <c r="R108" s="8"/>
      <c r="S108" s="10"/>
      <c r="T108" s="8"/>
    </row>
    <row r="109" spans="1:20">
      <c r="A109" s="8"/>
      <c r="B109" s="10"/>
      <c r="C109" s="8"/>
      <c r="D109" s="8"/>
      <c r="E109" s="8"/>
      <c r="F109" s="8"/>
      <c r="G109" s="13"/>
      <c r="H109" s="13"/>
      <c r="I109" s="14" t="str">
        <f t="shared" si="4"/>
        <v/>
      </c>
      <c r="J109" s="14" t="str">
        <f t="shared" si="5"/>
        <v/>
      </c>
      <c r="K109" s="14" t="str">
        <f t="shared" si="6"/>
        <v/>
      </c>
      <c r="L109" s="13"/>
      <c r="M109" s="13"/>
      <c r="N109" s="14" t="str">
        <f t="shared" si="7"/>
        <v/>
      </c>
      <c r="O109" s="8"/>
      <c r="P109" s="8"/>
      <c r="Q109" s="8"/>
      <c r="R109" s="8"/>
      <c r="S109" s="10"/>
      <c r="T109" s="8"/>
    </row>
    <row r="110" spans="1:20">
      <c r="A110" s="8"/>
      <c r="B110" s="10"/>
      <c r="C110" s="8"/>
      <c r="D110" s="8"/>
      <c r="E110" s="8"/>
      <c r="F110" s="8"/>
      <c r="G110" s="13"/>
      <c r="H110" s="13"/>
      <c r="I110" s="14" t="str">
        <f t="shared" si="4"/>
        <v/>
      </c>
      <c r="J110" s="14" t="str">
        <f t="shared" si="5"/>
        <v/>
      </c>
      <c r="K110" s="14" t="str">
        <f t="shared" si="6"/>
        <v/>
      </c>
      <c r="L110" s="13"/>
      <c r="M110" s="13"/>
      <c r="N110" s="14" t="str">
        <f t="shared" si="7"/>
        <v/>
      </c>
      <c r="O110" s="8"/>
      <c r="P110" s="8"/>
      <c r="Q110" s="8"/>
      <c r="R110" s="8"/>
      <c r="S110" s="10"/>
      <c r="T110" s="8"/>
    </row>
    <row r="111" spans="1:20">
      <c r="A111" s="8"/>
      <c r="B111" s="10"/>
      <c r="C111" s="8"/>
      <c r="D111" s="8"/>
      <c r="E111" s="8"/>
      <c r="F111" s="8"/>
      <c r="G111" s="13"/>
      <c r="H111" s="13"/>
      <c r="I111" s="14" t="str">
        <f t="shared" si="4"/>
        <v/>
      </c>
      <c r="J111" s="14" t="str">
        <f t="shared" si="5"/>
        <v/>
      </c>
      <c r="K111" s="14" t="str">
        <f t="shared" si="6"/>
        <v/>
      </c>
      <c r="L111" s="13"/>
      <c r="M111" s="13"/>
      <c r="N111" s="14" t="str">
        <f t="shared" si="7"/>
        <v/>
      </c>
      <c r="O111" s="8"/>
      <c r="P111" s="8"/>
      <c r="Q111" s="8"/>
      <c r="R111" s="8"/>
      <c r="S111" s="10"/>
      <c r="T111" s="8"/>
    </row>
    <row r="112" spans="1:20">
      <c r="A112" s="8"/>
      <c r="B112" s="10"/>
      <c r="C112" s="8"/>
      <c r="D112" s="8"/>
      <c r="E112" s="8"/>
      <c r="F112" s="8"/>
      <c r="G112" s="13"/>
      <c r="H112" s="13"/>
      <c r="I112" s="14" t="str">
        <f t="shared" si="4"/>
        <v/>
      </c>
      <c r="J112" s="14" t="str">
        <f t="shared" si="5"/>
        <v/>
      </c>
      <c r="K112" s="14" t="str">
        <f t="shared" si="6"/>
        <v/>
      </c>
      <c r="L112" s="13"/>
      <c r="M112" s="13"/>
      <c r="N112" s="14" t="str">
        <f t="shared" si="7"/>
        <v/>
      </c>
      <c r="O112" s="8"/>
      <c r="P112" s="8"/>
      <c r="Q112" s="8"/>
      <c r="R112" s="8"/>
      <c r="S112" s="10"/>
      <c r="T112" s="8"/>
    </row>
    <row r="113" spans="1:20">
      <c r="A113" s="8"/>
      <c r="B113" s="10"/>
      <c r="C113" s="8"/>
      <c r="D113" s="8"/>
      <c r="E113" s="8"/>
      <c r="F113" s="8"/>
      <c r="G113" s="13"/>
      <c r="H113" s="13"/>
      <c r="I113" s="14" t="str">
        <f t="shared" si="4"/>
        <v/>
      </c>
      <c r="J113" s="14" t="str">
        <f t="shared" si="5"/>
        <v/>
      </c>
      <c r="K113" s="14" t="str">
        <f t="shared" si="6"/>
        <v/>
      </c>
      <c r="L113" s="13"/>
      <c r="M113" s="13"/>
      <c r="N113" s="14" t="str">
        <f t="shared" si="7"/>
        <v/>
      </c>
      <c r="O113" s="8"/>
      <c r="P113" s="8"/>
      <c r="Q113" s="8"/>
      <c r="R113" s="8"/>
      <c r="S113" s="10"/>
      <c r="T113" s="8"/>
    </row>
    <row r="114" spans="1:20">
      <c r="A114" s="8"/>
      <c r="B114" s="10"/>
      <c r="C114" s="8"/>
      <c r="D114" s="8"/>
      <c r="E114" s="8"/>
      <c r="F114" s="8"/>
      <c r="G114" s="13"/>
      <c r="H114" s="13"/>
      <c r="I114" s="14" t="str">
        <f t="shared" si="4"/>
        <v/>
      </c>
      <c r="J114" s="14" t="str">
        <f t="shared" si="5"/>
        <v/>
      </c>
      <c r="K114" s="14" t="str">
        <f t="shared" si="6"/>
        <v/>
      </c>
      <c r="L114" s="13"/>
      <c r="M114" s="13"/>
      <c r="N114" s="14" t="str">
        <f t="shared" si="7"/>
        <v/>
      </c>
      <c r="O114" s="8"/>
      <c r="P114" s="8"/>
      <c r="Q114" s="8"/>
      <c r="R114" s="8"/>
      <c r="S114" s="10"/>
      <c r="T114" s="8"/>
    </row>
    <row r="115" spans="1:20">
      <c r="A115" s="8"/>
      <c r="B115" s="10"/>
      <c r="C115" s="8"/>
      <c r="D115" s="8"/>
      <c r="E115" s="8"/>
      <c r="F115" s="8"/>
      <c r="G115" s="13"/>
      <c r="H115" s="13"/>
      <c r="I115" s="14" t="str">
        <f t="shared" si="4"/>
        <v/>
      </c>
      <c r="J115" s="14" t="str">
        <f t="shared" si="5"/>
        <v/>
      </c>
      <c r="K115" s="14" t="str">
        <f t="shared" si="6"/>
        <v/>
      </c>
      <c r="L115" s="13"/>
      <c r="M115" s="13"/>
      <c r="N115" s="14" t="str">
        <f t="shared" si="7"/>
        <v/>
      </c>
      <c r="O115" s="8"/>
      <c r="P115" s="8"/>
      <c r="Q115" s="8"/>
      <c r="R115" s="8"/>
      <c r="S115" s="10"/>
      <c r="T115" s="8"/>
    </row>
    <row r="116" spans="1:20">
      <c r="A116" s="8"/>
      <c r="B116" s="10"/>
      <c r="C116" s="8"/>
      <c r="D116" s="8"/>
      <c r="E116" s="8"/>
      <c r="F116" s="8"/>
      <c r="G116" s="13"/>
      <c r="H116" s="13"/>
      <c r="I116" s="14" t="str">
        <f t="shared" si="4"/>
        <v/>
      </c>
      <c r="J116" s="14" t="str">
        <f t="shared" si="5"/>
        <v/>
      </c>
      <c r="K116" s="14" t="str">
        <f t="shared" si="6"/>
        <v/>
      </c>
      <c r="L116" s="13"/>
      <c r="M116" s="13"/>
      <c r="N116" s="14" t="str">
        <f t="shared" si="7"/>
        <v/>
      </c>
      <c r="O116" s="8"/>
      <c r="P116" s="8"/>
      <c r="Q116" s="8"/>
      <c r="R116" s="8"/>
      <c r="S116" s="10"/>
      <c r="T116" s="8"/>
    </row>
    <row r="117" spans="1:20">
      <c r="A117" s="8"/>
      <c r="B117" s="10"/>
      <c r="C117" s="8"/>
      <c r="D117" s="8"/>
      <c r="E117" s="8"/>
      <c r="F117" s="8"/>
      <c r="G117" s="13"/>
      <c r="H117" s="13"/>
      <c r="I117" s="14" t="str">
        <f t="shared" si="4"/>
        <v/>
      </c>
      <c r="J117" s="14" t="str">
        <f t="shared" si="5"/>
        <v/>
      </c>
      <c r="K117" s="14" t="str">
        <f t="shared" si="6"/>
        <v/>
      </c>
      <c r="L117" s="13"/>
      <c r="M117" s="13"/>
      <c r="N117" s="14" t="str">
        <f t="shared" si="7"/>
        <v/>
      </c>
      <c r="O117" s="8"/>
      <c r="P117" s="8"/>
      <c r="Q117" s="8"/>
      <c r="R117" s="8"/>
      <c r="S117" s="10"/>
      <c r="T117" s="8"/>
    </row>
    <row r="118" spans="1:20">
      <c r="A118" s="8"/>
      <c r="B118" s="10"/>
      <c r="C118" s="8"/>
      <c r="D118" s="8"/>
      <c r="E118" s="8"/>
      <c r="F118" s="8"/>
      <c r="G118" s="13"/>
      <c r="H118" s="13"/>
      <c r="I118" s="14" t="str">
        <f t="shared" si="4"/>
        <v/>
      </c>
      <c r="J118" s="14" t="str">
        <f t="shared" si="5"/>
        <v/>
      </c>
      <c r="K118" s="14" t="str">
        <f t="shared" si="6"/>
        <v/>
      </c>
      <c r="L118" s="13"/>
      <c r="M118" s="13"/>
      <c r="N118" s="14" t="str">
        <f t="shared" si="7"/>
        <v/>
      </c>
      <c r="O118" s="8"/>
      <c r="P118" s="8"/>
      <c r="Q118" s="8"/>
      <c r="R118" s="8"/>
      <c r="S118" s="10"/>
      <c r="T118" s="8"/>
    </row>
    <row r="119" spans="1:20">
      <c r="A119" s="8"/>
      <c r="B119" s="10"/>
      <c r="C119" s="8"/>
      <c r="D119" s="8"/>
      <c r="E119" s="8"/>
      <c r="F119" s="8"/>
      <c r="G119" s="13"/>
      <c r="H119" s="13"/>
      <c r="I119" s="14" t="str">
        <f t="shared" si="4"/>
        <v/>
      </c>
      <c r="J119" s="14" t="str">
        <f t="shared" si="5"/>
        <v/>
      </c>
      <c r="K119" s="14" t="str">
        <f t="shared" si="6"/>
        <v/>
      </c>
      <c r="L119" s="13"/>
      <c r="M119" s="13"/>
      <c r="N119" s="14" t="str">
        <f t="shared" si="7"/>
        <v/>
      </c>
      <c r="O119" s="8"/>
      <c r="P119" s="8"/>
      <c r="Q119" s="8"/>
      <c r="R119" s="8"/>
      <c r="S119" s="10"/>
      <c r="T119" s="8"/>
    </row>
    <row r="120" spans="1:20">
      <c r="A120" s="8"/>
      <c r="B120" s="10"/>
      <c r="C120" s="8"/>
      <c r="D120" s="8"/>
      <c r="E120" s="8"/>
      <c r="F120" s="8"/>
      <c r="G120" s="13"/>
      <c r="H120" s="13"/>
      <c r="I120" s="14" t="str">
        <f t="shared" si="4"/>
        <v/>
      </c>
      <c r="J120" s="14" t="str">
        <f t="shared" si="5"/>
        <v/>
      </c>
      <c r="K120" s="14" t="str">
        <f t="shared" si="6"/>
        <v/>
      </c>
      <c r="L120" s="13"/>
      <c r="M120" s="13"/>
      <c r="N120" s="14" t="str">
        <f t="shared" si="7"/>
        <v/>
      </c>
      <c r="O120" s="8"/>
      <c r="P120" s="8"/>
      <c r="Q120" s="8"/>
      <c r="R120" s="8"/>
      <c r="S120" s="10"/>
      <c r="T120" s="8"/>
    </row>
    <row r="121" spans="1:20">
      <c r="A121" s="8"/>
      <c r="B121" s="10"/>
      <c r="C121" s="8"/>
      <c r="D121" s="8"/>
      <c r="E121" s="8"/>
      <c r="F121" s="8"/>
      <c r="G121" s="13"/>
      <c r="H121" s="13"/>
      <c r="I121" s="14" t="str">
        <f t="shared" si="4"/>
        <v/>
      </c>
      <c r="J121" s="14" t="str">
        <f t="shared" si="5"/>
        <v/>
      </c>
      <c r="K121" s="14" t="str">
        <f t="shared" si="6"/>
        <v/>
      </c>
      <c r="L121" s="13"/>
      <c r="M121" s="13"/>
      <c r="N121" s="14" t="str">
        <f t="shared" si="7"/>
        <v/>
      </c>
      <c r="O121" s="8"/>
      <c r="P121" s="8"/>
      <c r="Q121" s="8"/>
      <c r="R121" s="8"/>
      <c r="S121" s="10"/>
      <c r="T121" s="8"/>
    </row>
    <row r="122" spans="1:20">
      <c r="A122" s="8"/>
      <c r="B122" s="10"/>
      <c r="C122" s="8"/>
      <c r="D122" s="8"/>
      <c r="E122" s="8"/>
      <c r="F122" s="8"/>
      <c r="G122" s="13"/>
      <c r="H122" s="13"/>
      <c r="I122" s="14" t="str">
        <f t="shared" si="4"/>
        <v/>
      </c>
      <c r="J122" s="14" t="str">
        <f t="shared" si="5"/>
        <v/>
      </c>
      <c r="K122" s="14" t="str">
        <f t="shared" si="6"/>
        <v/>
      </c>
      <c r="L122" s="13"/>
      <c r="M122" s="13"/>
      <c r="N122" s="14" t="str">
        <f t="shared" si="7"/>
        <v/>
      </c>
      <c r="O122" s="8"/>
      <c r="P122" s="8"/>
      <c r="Q122" s="8"/>
      <c r="R122" s="8"/>
      <c r="S122" s="10"/>
      <c r="T122" s="8"/>
    </row>
    <row r="123" spans="1:20">
      <c r="A123" s="8"/>
      <c r="B123" s="10"/>
      <c r="C123" s="8"/>
      <c r="D123" s="8"/>
      <c r="E123" s="8"/>
      <c r="F123" s="8"/>
      <c r="G123" s="13"/>
      <c r="H123" s="13"/>
      <c r="I123" s="14" t="str">
        <f t="shared" si="4"/>
        <v/>
      </c>
      <c r="J123" s="14" t="str">
        <f t="shared" si="5"/>
        <v/>
      </c>
      <c r="K123" s="14" t="str">
        <f t="shared" si="6"/>
        <v/>
      </c>
      <c r="L123" s="13"/>
      <c r="M123" s="13"/>
      <c r="N123" s="14" t="str">
        <f t="shared" si="7"/>
        <v/>
      </c>
      <c r="O123" s="8"/>
      <c r="P123" s="8"/>
      <c r="Q123" s="8"/>
      <c r="R123" s="8"/>
      <c r="S123" s="10"/>
      <c r="T123" s="8"/>
    </row>
    <row r="124" spans="1:20">
      <c r="A124" s="8"/>
      <c r="B124" s="10"/>
      <c r="C124" s="8"/>
      <c r="D124" s="8"/>
      <c r="E124" s="8"/>
      <c r="F124" s="8"/>
      <c r="G124" s="13"/>
      <c r="H124" s="13"/>
      <c r="I124" s="14" t="str">
        <f t="shared" si="4"/>
        <v/>
      </c>
      <c r="J124" s="14" t="str">
        <f t="shared" si="5"/>
        <v/>
      </c>
      <c r="K124" s="14" t="str">
        <f t="shared" si="6"/>
        <v/>
      </c>
      <c r="L124" s="13"/>
      <c r="M124" s="13"/>
      <c r="N124" s="14" t="str">
        <f t="shared" si="7"/>
        <v/>
      </c>
      <c r="O124" s="8"/>
      <c r="P124" s="8"/>
      <c r="Q124" s="8"/>
      <c r="R124" s="8"/>
      <c r="S124" s="10"/>
      <c r="T124" s="8"/>
    </row>
    <row r="125" spans="1:20">
      <c r="A125" s="8"/>
      <c r="B125" s="10"/>
      <c r="C125" s="8"/>
      <c r="D125" s="8"/>
      <c r="E125" s="8"/>
      <c r="F125" s="8"/>
      <c r="G125" s="13"/>
      <c r="H125" s="13"/>
      <c r="I125" s="14" t="str">
        <f t="shared" si="4"/>
        <v/>
      </c>
      <c r="J125" s="14" t="str">
        <f t="shared" si="5"/>
        <v/>
      </c>
      <c r="K125" s="14" t="str">
        <f t="shared" si="6"/>
        <v/>
      </c>
      <c r="L125" s="13"/>
      <c r="M125" s="13"/>
      <c r="N125" s="14" t="str">
        <f t="shared" si="7"/>
        <v/>
      </c>
      <c r="O125" s="8"/>
      <c r="P125" s="8"/>
      <c r="Q125" s="8"/>
      <c r="R125" s="8"/>
      <c r="S125" s="10"/>
      <c r="T125" s="8"/>
    </row>
    <row r="126" spans="1:20">
      <c r="A126" s="8"/>
      <c r="B126" s="10"/>
      <c r="C126" s="8"/>
      <c r="D126" s="8"/>
      <c r="E126" s="8"/>
      <c r="F126" s="8"/>
      <c r="G126" s="13"/>
      <c r="H126" s="13"/>
      <c r="I126" s="14" t="str">
        <f t="shared" si="4"/>
        <v/>
      </c>
      <c r="J126" s="14" t="str">
        <f t="shared" si="5"/>
        <v/>
      </c>
      <c r="K126" s="14" t="str">
        <f t="shared" si="6"/>
        <v/>
      </c>
      <c r="L126" s="13"/>
      <c r="M126" s="13"/>
      <c r="N126" s="14" t="str">
        <f t="shared" si="7"/>
        <v/>
      </c>
      <c r="O126" s="8"/>
      <c r="P126" s="8"/>
      <c r="Q126" s="8"/>
      <c r="R126" s="8"/>
      <c r="S126" s="10"/>
      <c r="T126" s="8"/>
    </row>
    <row r="127" spans="1:20">
      <c r="A127" s="8"/>
      <c r="B127" s="10"/>
      <c r="C127" s="8"/>
      <c r="D127" s="8"/>
      <c r="E127" s="8"/>
      <c r="F127" s="8"/>
      <c r="G127" s="13"/>
      <c r="H127" s="13"/>
      <c r="I127" s="14" t="str">
        <f t="shared" si="4"/>
        <v/>
      </c>
      <c r="J127" s="14" t="str">
        <f t="shared" si="5"/>
        <v/>
      </c>
      <c r="K127" s="14" t="str">
        <f t="shared" si="6"/>
        <v/>
      </c>
      <c r="L127" s="13"/>
      <c r="M127" s="13"/>
      <c r="N127" s="14" t="str">
        <f t="shared" si="7"/>
        <v/>
      </c>
      <c r="O127" s="8"/>
      <c r="P127" s="8"/>
      <c r="Q127" s="8"/>
      <c r="R127" s="8"/>
      <c r="S127" s="10"/>
      <c r="T127" s="8"/>
    </row>
    <row r="128" spans="1:20">
      <c r="A128" s="8"/>
      <c r="B128" s="10"/>
      <c r="C128" s="8"/>
      <c r="D128" s="8"/>
      <c r="E128" s="8"/>
      <c r="F128" s="8"/>
      <c r="G128" s="13"/>
      <c r="H128" s="13"/>
      <c r="I128" s="14" t="str">
        <f t="shared" si="4"/>
        <v/>
      </c>
      <c r="J128" s="14" t="str">
        <f t="shared" si="5"/>
        <v/>
      </c>
      <c r="K128" s="14" t="str">
        <f t="shared" si="6"/>
        <v/>
      </c>
      <c r="L128" s="13"/>
      <c r="M128" s="13"/>
      <c r="N128" s="14" t="str">
        <f t="shared" si="7"/>
        <v/>
      </c>
      <c r="O128" s="8"/>
      <c r="P128" s="8"/>
      <c r="Q128" s="8"/>
      <c r="R128" s="8"/>
      <c r="S128" s="10"/>
      <c r="T128" s="8"/>
    </row>
    <row r="129" spans="1:20">
      <c r="A129" s="8"/>
      <c r="B129" s="10"/>
      <c r="C129" s="8"/>
      <c r="D129" s="8"/>
      <c r="E129" s="8"/>
      <c r="F129" s="8"/>
      <c r="G129" s="13"/>
      <c r="H129" s="13"/>
      <c r="I129" s="14" t="str">
        <f t="shared" si="4"/>
        <v/>
      </c>
      <c r="J129" s="14" t="str">
        <f t="shared" si="5"/>
        <v/>
      </c>
      <c r="K129" s="14" t="str">
        <f t="shared" si="6"/>
        <v/>
      </c>
      <c r="L129" s="13"/>
      <c r="M129" s="13"/>
      <c r="N129" s="14" t="str">
        <f t="shared" si="7"/>
        <v/>
      </c>
      <c r="O129" s="8"/>
      <c r="P129" s="8"/>
      <c r="Q129" s="8"/>
      <c r="R129" s="8"/>
      <c r="S129" s="10"/>
      <c r="T129" s="8"/>
    </row>
    <row r="130" spans="1:20">
      <c r="A130" s="8"/>
      <c r="B130" s="10"/>
      <c r="C130" s="8"/>
      <c r="D130" s="8"/>
      <c r="E130" s="8"/>
      <c r="F130" s="8"/>
      <c r="G130" s="13"/>
      <c r="H130" s="13"/>
      <c r="I130" s="14" t="str">
        <f t="shared" si="4"/>
        <v/>
      </c>
      <c r="J130" s="14" t="str">
        <f t="shared" si="5"/>
        <v/>
      </c>
      <c r="K130" s="14" t="str">
        <f t="shared" si="6"/>
        <v/>
      </c>
      <c r="L130" s="13"/>
      <c r="M130" s="13"/>
      <c r="N130" s="14" t="str">
        <f t="shared" si="7"/>
        <v/>
      </c>
      <c r="O130" s="8"/>
      <c r="P130" s="8"/>
      <c r="Q130" s="8"/>
      <c r="R130" s="8"/>
      <c r="S130" s="10"/>
      <c r="T130" s="8"/>
    </row>
    <row r="131" spans="1:20">
      <c r="A131" s="8"/>
      <c r="B131" s="10"/>
      <c r="C131" s="8"/>
      <c r="D131" s="8"/>
      <c r="E131" s="8"/>
      <c r="F131" s="8"/>
      <c r="G131" s="13"/>
      <c r="H131" s="13"/>
      <c r="I131" s="14" t="str">
        <f t="shared" si="4"/>
        <v/>
      </c>
      <c r="J131" s="14" t="str">
        <f t="shared" si="5"/>
        <v/>
      </c>
      <c r="K131" s="14" t="str">
        <f t="shared" si="6"/>
        <v/>
      </c>
      <c r="L131" s="13"/>
      <c r="M131" s="13"/>
      <c r="N131" s="14" t="str">
        <f t="shared" si="7"/>
        <v/>
      </c>
      <c r="O131" s="8"/>
      <c r="P131" s="8"/>
      <c r="Q131" s="8"/>
      <c r="R131" s="8"/>
      <c r="S131" s="10"/>
      <c r="T131" s="8"/>
    </row>
    <row r="132" spans="1:20">
      <c r="A132" s="8"/>
      <c r="B132" s="10"/>
      <c r="C132" s="8"/>
      <c r="D132" s="8"/>
      <c r="E132" s="8"/>
      <c r="F132" s="8"/>
      <c r="G132" s="13"/>
      <c r="H132" s="13"/>
      <c r="I132" s="14" t="str">
        <f t="shared" si="4"/>
        <v/>
      </c>
      <c r="J132" s="14" t="str">
        <f t="shared" si="5"/>
        <v/>
      </c>
      <c r="K132" s="14" t="str">
        <f t="shared" si="6"/>
        <v/>
      </c>
      <c r="L132" s="13"/>
      <c r="M132" s="13"/>
      <c r="N132" s="14" t="str">
        <f t="shared" si="7"/>
        <v/>
      </c>
      <c r="O132" s="8"/>
      <c r="P132" s="8"/>
      <c r="Q132" s="8"/>
      <c r="R132" s="8"/>
      <c r="S132" s="10"/>
      <c r="T132" s="8"/>
    </row>
    <row r="133" spans="1:20">
      <c r="A133" s="8"/>
      <c r="B133" s="10"/>
      <c r="C133" s="8"/>
      <c r="D133" s="8"/>
      <c r="E133" s="8"/>
      <c r="F133" s="8"/>
      <c r="G133" s="13"/>
      <c r="H133" s="13"/>
      <c r="I133" s="14" t="str">
        <f t="shared" ref="I133:I196" si="8">IF(A133="","",H133-G133)</f>
        <v/>
      </c>
      <c r="J133" s="14" t="str">
        <f t="shared" ref="J133:J196" si="9">IF(A133="","",MAX(0,G133-H133))</f>
        <v/>
      </c>
      <c r="K133" s="14" t="str">
        <f t="shared" ref="K133:K196" si="10">IF(A133="","",MAX(0,H133-G133))</f>
        <v/>
      </c>
      <c r="L133" s="13"/>
      <c r="M133" s="13"/>
      <c r="N133" s="14" t="str">
        <f t="shared" ref="N133:N196" si="11">IF(A133="","",MAX(0,L133-M133))</f>
        <v/>
      </c>
      <c r="O133" s="8"/>
      <c r="P133" s="8"/>
      <c r="Q133" s="8"/>
      <c r="R133" s="8"/>
      <c r="S133" s="10"/>
      <c r="T133" s="8"/>
    </row>
    <row r="134" spans="1:20">
      <c r="A134" s="8"/>
      <c r="B134" s="10"/>
      <c r="C134" s="8"/>
      <c r="D134" s="8"/>
      <c r="E134" s="8"/>
      <c r="F134" s="8"/>
      <c r="G134" s="13"/>
      <c r="H134" s="13"/>
      <c r="I134" s="14" t="str">
        <f t="shared" si="8"/>
        <v/>
      </c>
      <c r="J134" s="14" t="str">
        <f t="shared" si="9"/>
        <v/>
      </c>
      <c r="K134" s="14" t="str">
        <f t="shared" si="10"/>
        <v/>
      </c>
      <c r="L134" s="13"/>
      <c r="M134" s="13"/>
      <c r="N134" s="14" t="str">
        <f t="shared" si="11"/>
        <v/>
      </c>
      <c r="O134" s="8"/>
      <c r="P134" s="8"/>
      <c r="Q134" s="8"/>
      <c r="R134" s="8"/>
      <c r="S134" s="10"/>
      <c r="T134" s="8"/>
    </row>
    <row r="135" spans="1:20">
      <c r="A135" s="8"/>
      <c r="B135" s="10"/>
      <c r="C135" s="8"/>
      <c r="D135" s="8"/>
      <c r="E135" s="8"/>
      <c r="F135" s="8"/>
      <c r="G135" s="13"/>
      <c r="H135" s="13"/>
      <c r="I135" s="14" t="str">
        <f t="shared" si="8"/>
        <v/>
      </c>
      <c r="J135" s="14" t="str">
        <f t="shared" si="9"/>
        <v/>
      </c>
      <c r="K135" s="14" t="str">
        <f t="shared" si="10"/>
        <v/>
      </c>
      <c r="L135" s="13"/>
      <c r="M135" s="13"/>
      <c r="N135" s="14" t="str">
        <f t="shared" si="11"/>
        <v/>
      </c>
      <c r="O135" s="8"/>
      <c r="P135" s="8"/>
      <c r="Q135" s="8"/>
      <c r="R135" s="8"/>
      <c r="S135" s="10"/>
      <c r="T135" s="8"/>
    </row>
    <row r="136" spans="1:20">
      <c r="A136" s="8"/>
      <c r="B136" s="10"/>
      <c r="C136" s="8"/>
      <c r="D136" s="8"/>
      <c r="E136" s="8"/>
      <c r="F136" s="8"/>
      <c r="G136" s="13"/>
      <c r="H136" s="13"/>
      <c r="I136" s="14" t="str">
        <f t="shared" si="8"/>
        <v/>
      </c>
      <c r="J136" s="14" t="str">
        <f t="shared" si="9"/>
        <v/>
      </c>
      <c r="K136" s="14" t="str">
        <f t="shared" si="10"/>
        <v/>
      </c>
      <c r="L136" s="13"/>
      <c r="M136" s="13"/>
      <c r="N136" s="14" t="str">
        <f t="shared" si="11"/>
        <v/>
      </c>
      <c r="O136" s="8"/>
      <c r="P136" s="8"/>
      <c r="Q136" s="8"/>
      <c r="R136" s="8"/>
      <c r="S136" s="10"/>
      <c r="T136" s="8"/>
    </row>
    <row r="137" spans="1:20">
      <c r="A137" s="8"/>
      <c r="B137" s="10"/>
      <c r="C137" s="8"/>
      <c r="D137" s="8"/>
      <c r="E137" s="8"/>
      <c r="F137" s="8"/>
      <c r="G137" s="13"/>
      <c r="H137" s="13"/>
      <c r="I137" s="14" t="str">
        <f t="shared" si="8"/>
        <v/>
      </c>
      <c r="J137" s="14" t="str">
        <f t="shared" si="9"/>
        <v/>
      </c>
      <c r="K137" s="14" t="str">
        <f t="shared" si="10"/>
        <v/>
      </c>
      <c r="L137" s="13"/>
      <c r="M137" s="13"/>
      <c r="N137" s="14" t="str">
        <f t="shared" si="11"/>
        <v/>
      </c>
      <c r="O137" s="8"/>
      <c r="P137" s="8"/>
      <c r="Q137" s="8"/>
      <c r="R137" s="8"/>
      <c r="S137" s="10"/>
      <c r="T137" s="8"/>
    </row>
    <row r="138" spans="1:20">
      <c r="A138" s="8"/>
      <c r="B138" s="10"/>
      <c r="C138" s="8"/>
      <c r="D138" s="8"/>
      <c r="E138" s="8"/>
      <c r="F138" s="8"/>
      <c r="G138" s="13"/>
      <c r="H138" s="13"/>
      <c r="I138" s="14" t="str">
        <f t="shared" si="8"/>
        <v/>
      </c>
      <c r="J138" s="14" t="str">
        <f t="shared" si="9"/>
        <v/>
      </c>
      <c r="K138" s="14" t="str">
        <f t="shared" si="10"/>
        <v/>
      </c>
      <c r="L138" s="13"/>
      <c r="M138" s="13"/>
      <c r="N138" s="14" t="str">
        <f t="shared" si="11"/>
        <v/>
      </c>
      <c r="O138" s="8"/>
      <c r="P138" s="8"/>
      <c r="Q138" s="8"/>
      <c r="R138" s="8"/>
      <c r="S138" s="10"/>
      <c r="T138" s="8"/>
    </row>
    <row r="139" spans="1:20">
      <c r="A139" s="8"/>
      <c r="B139" s="10"/>
      <c r="C139" s="8"/>
      <c r="D139" s="8"/>
      <c r="E139" s="8"/>
      <c r="F139" s="8"/>
      <c r="G139" s="13"/>
      <c r="H139" s="13"/>
      <c r="I139" s="14" t="str">
        <f t="shared" si="8"/>
        <v/>
      </c>
      <c r="J139" s="14" t="str">
        <f t="shared" si="9"/>
        <v/>
      </c>
      <c r="K139" s="14" t="str">
        <f t="shared" si="10"/>
        <v/>
      </c>
      <c r="L139" s="13"/>
      <c r="M139" s="13"/>
      <c r="N139" s="14" t="str">
        <f t="shared" si="11"/>
        <v/>
      </c>
      <c r="O139" s="8"/>
      <c r="P139" s="8"/>
      <c r="Q139" s="8"/>
      <c r="R139" s="8"/>
      <c r="S139" s="10"/>
      <c r="T139" s="8"/>
    </row>
    <row r="140" spans="1:20">
      <c r="A140" s="8"/>
      <c r="B140" s="10"/>
      <c r="C140" s="8"/>
      <c r="D140" s="8"/>
      <c r="E140" s="8"/>
      <c r="F140" s="8"/>
      <c r="G140" s="13"/>
      <c r="H140" s="13"/>
      <c r="I140" s="14" t="str">
        <f t="shared" si="8"/>
        <v/>
      </c>
      <c r="J140" s="14" t="str">
        <f t="shared" si="9"/>
        <v/>
      </c>
      <c r="K140" s="14" t="str">
        <f t="shared" si="10"/>
        <v/>
      </c>
      <c r="L140" s="13"/>
      <c r="M140" s="13"/>
      <c r="N140" s="14" t="str">
        <f t="shared" si="11"/>
        <v/>
      </c>
      <c r="O140" s="8"/>
      <c r="P140" s="8"/>
      <c r="Q140" s="8"/>
      <c r="R140" s="8"/>
      <c r="S140" s="10"/>
      <c r="T140" s="8"/>
    </row>
    <row r="141" spans="1:20">
      <c r="A141" s="8"/>
      <c r="B141" s="10"/>
      <c r="C141" s="8"/>
      <c r="D141" s="8"/>
      <c r="E141" s="8"/>
      <c r="F141" s="8"/>
      <c r="G141" s="13"/>
      <c r="H141" s="13"/>
      <c r="I141" s="14" t="str">
        <f t="shared" si="8"/>
        <v/>
      </c>
      <c r="J141" s="14" t="str">
        <f t="shared" si="9"/>
        <v/>
      </c>
      <c r="K141" s="14" t="str">
        <f t="shared" si="10"/>
        <v/>
      </c>
      <c r="L141" s="13"/>
      <c r="M141" s="13"/>
      <c r="N141" s="14" t="str">
        <f t="shared" si="11"/>
        <v/>
      </c>
      <c r="O141" s="8"/>
      <c r="P141" s="8"/>
      <c r="Q141" s="8"/>
      <c r="R141" s="8"/>
      <c r="S141" s="10"/>
      <c r="T141" s="8"/>
    </row>
    <row r="142" spans="1:20">
      <c r="A142" s="8"/>
      <c r="B142" s="10"/>
      <c r="C142" s="8"/>
      <c r="D142" s="8"/>
      <c r="E142" s="8"/>
      <c r="F142" s="8"/>
      <c r="G142" s="13"/>
      <c r="H142" s="13"/>
      <c r="I142" s="14" t="str">
        <f t="shared" si="8"/>
        <v/>
      </c>
      <c r="J142" s="14" t="str">
        <f t="shared" si="9"/>
        <v/>
      </c>
      <c r="K142" s="14" t="str">
        <f t="shared" si="10"/>
        <v/>
      </c>
      <c r="L142" s="13"/>
      <c r="M142" s="13"/>
      <c r="N142" s="14" t="str">
        <f t="shared" si="11"/>
        <v/>
      </c>
      <c r="O142" s="8"/>
      <c r="P142" s="8"/>
      <c r="Q142" s="8"/>
      <c r="R142" s="8"/>
      <c r="S142" s="10"/>
      <c r="T142" s="8"/>
    </row>
    <row r="143" spans="1:20">
      <c r="A143" s="8"/>
      <c r="B143" s="10"/>
      <c r="C143" s="8"/>
      <c r="D143" s="8"/>
      <c r="E143" s="8"/>
      <c r="F143" s="8"/>
      <c r="G143" s="13"/>
      <c r="H143" s="13"/>
      <c r="I143" s="14" t="str">
        <f t="shared" si="8"/>
        <v/>
      </c>
      <c r="J143" s="14" t="str">
        <f t="shared" si="9"/>
        <v/>
      </c>
      <c r="K143" s="14" t="str">
        <f t="shared" si="10"/>
        <v/>
      </c>
      <c r="L143" s="13"/>
      <c r="M143" s="13"/>
      <c r="N143" s="14" t="str">
        <f t="shared" si="11"/>
        <v/>
      </c>
      <c r="O143" s="8"/>
      <c r="P143" s="8"/>
      <c r="Q143" s="8"/>
      <c r="R143" s="8"/>
      <c r="S143" s="10"/>
      <c r="T143" s="8"/>
    </row>
    <row r="144" spans="1:20">
      <c r="A144" s="8"/>
      <c r="B144" s="10"/>
      <c r="C144" s="8"/>
      <c r="D144" s="8"/>
      <c r="E144" s="8"/>
      <c r="F144" s="8"/>
      <c r="G144" s="13"/>
      <c r="H144" s="13"/>
      <c r="I144" s="14" t="str">
        <f t="shared" si="8"/>
        <v/>
      </c>
      <c r="J144" s="14" t="str">
        <f t="shared" si="9"/>
        <v/>
      </c>
      <c r="K144" s="14" t="str">
        <f t="shared" si="10"/>
        <v/>
      </c>
      <c r="L144" s="13"/>
      <c r="M144" s="13"/>
      <c r="N144" s="14" t="str">
        <f t="shared" si="11"/>
        <v/>
      </c>
      <c r="O144" s="8"/>
      <c r="P144" s="8"/>
      <c r="Q144" s="8"/>
      <c r="R144" s="8"/>
      <c r="S144" s="10"/>
      <c r="T144" s="8"/>
    </row>
    <row r="145" spans="1:20">
      <c r="A145" s="8"/>
      <c r="B145" s="10"/>
      <c r="C145" s="8"/>
      <c r="D145" s="8"/>
      <c r="E145" s="8"/>
      <c r="F145" s="8"/>
      <c r="G145" s="13"/>
      <c r="H145" s="13"/>
      <c r="I145" s="14" t="str">
        <f t="shared" si="8"/>
        <v/>
      </c>
      <c r="J145" s="14" t="str">
        <f t="shared" si="9"/>
        <v/>
      </c>
      <c r="K145" s="14" t="str">
        <f t="shared" si="10"/>
        <v/>
      </c>
      <c r="L145" s="13"/>
      <c r="M145" s="13"/>
      <c r="N145" s="14" t="str">
        <f t="shared" si="11"/>
        <v/>
      </c>
      <c r="O145" s="8"/>
      <c r="P145" s="8"/>
      <c r="Q145" s="8"/>
      <c r="R145" s="8"/>
      <c r="S145" s="10"/>
      <c r="T145" s="8"/>
    </row>
    <row r="146" spans="1:20">
      <c r="A146" s="8"/>
      <c r="B146" s="10"/>
      <c r="C146" s="8"/>
      <c r="D146" s="8"/>
      <c r="E146" s="8"/>
      <c r="F146" s="8"/>
      <c r="G146" s="13"/>
      <c r="H146" s="13"/>
      <c r="I146" s="14" t="str">
        <f t="shared" si="8"/>
        <v/>
      </c>
      <c r="J146" s="14" t="str">
        <f t="shared" si="9"/>
        <v/>
      </c>
      <c r="K146" s="14" t="str">
        <f t="shared" si="10"/>
        <v/>
      </c>
      <c r="L146" s="13"/>
      <c r="M146" s="13"/>
      <c r="N146" s="14" t="str">
        <f t="shared" si="11"/>
        <v/>
      </c>
      <c r="O146" s="8"/>
      <c r="P146" s="8"/>
      <c r="Q146" s="8"/>
      <c r="R146" s="8"/>
      <c r="S146" s="10"/>
      <c r="T146" s="8"/>
    </row>
    <row r="147" spans="1:20">
      <c r="A147" s="8"/>
      <c r="B147" s="10"/>
      <c r="C147" s="8"/>
      <c r="D147" s="8"/>
      <c r="E147" s="8"/>
      <c r="F147" s="8"/>
      <c r="G147" s="13"/>
      <c r="H147" s="13"/>
      <c r="I147" s="14" t="str">
        <f t="shared" si="8"/>
        <v/>
      </c>
      <c r="J147" s="14" t="str">
        <f t="shared" si="9"/>
        <v/>
      </c>
      <c r="K147" s="14" t="str">
        <f t="shared" si="10"/>
        <v/>
      </c>
      <c r="L147" s="13"/>
      <c r="M147" s="13"/>
      <c r="N147" s="14" t="str">
        <f t="shared" si="11"/>
        <v/>
      </c>
      <c r="O147" s="8"/>
      <c r="P147" s="8"/>
      <c r="Q147" s="8"/>
      <c r="R147" s="8"/>
      <c r="S147" s="10"/>
      <c r="T147" s="8"/>
    </row>
    <row r="148" spans="1:20">
      <c r="A148" s="8"/>
      <c r="B148" s="10"/>
      <c r="C148" s="8"/>
      <c r="D148" s="8"/>
      <c r="E148" s="8"/>
      <c r="F148" s="8"/>
      <c r="G148" s="13"/>
      <c r="H148" s="13"/>
      <c r="I148" s="14" t="str">
        <f t="shared" si="8"/>
        <v/>
      </c>
      <c r="J148" s="14" t="str">
        <f t="shared" si="9"/>
        <v/>
      </c>
      <c r="K148" s="14" t="str">
        <f t="shared" si="10"/>
        <v/>
      </c>
      <c r="L148" s="13"/>
      <c r="M148" s="13"/>
      <c r="N148" s="14" t="str">
        <f t="shared" si="11"/>
        <v/>
      </c>
      <c r="O148" s="8"/>
      <c r="P148" s="8"/>
      <c r="Q148" s="8"/>
      <c r="R148" s="8"/>
      <c r="S148" s="10"/>
      <c r="T148" s="8"/>
    </row>
    <row r="149" spans="1:20">
      <c r="A149" s="8"/>
      <c r="B149" s="10"/>
      <c r="C149" s="8"/>
      <c r="D149" s="8"/>
      <c r="E149" s="8"/>
      <c r="F149" s="8"/>
      <c r="G149" s="13"/>
      <c r="H149" s="13"/>
      <c r="I149" s="14" t="str">
        <f t="shared" si="8"/>
        <v/>
      </c>
      <c r="J149" s="14" t="str">
        <f t="shared" si="9"/>
        <v/>
      </c>
      <c r="K149" s="14" t="str">
        <f t="shared" si="10"/>
        <v/>
      </c>
      <c r="L149" s="13"/>
      <c r="M149" s="13"/>
      <c r="N149" s="14" t="str">
        <f t="shared" si="11"/>
        <v/>
      </c>
      <c r="O149" s="8"/>
      <c r="P149" s="8"/>
      <c r="Q149" s="8"/>
      <c r="R149" s="8"/>
      <c r="S149" s="10"/>
      <c r="T149" s="8"/>
    </row>
    <row r="150" spans="1:20">
      <c r="A150" s="8"/>
      <c r="B150" s="10"/>
      <c r="C150" s="8"/>
      <c r="D150" s="8"/>
      <c r="E150" s="8"/>
      <c r="F150" s="8"/>
      <c r="G150" s="13"/>
      <c r="H150" s="13"/>
      <c r="I150" s="14" t="str">
        <f t="shared" si="8"/>
        <v/>
      </c>
      <c r="J150" s="14" t="str">
        <f t="shared" si="9"/>
        <v/>
      </c>
      <c r="K150" s="14" t="str">
        <f t="shared" si="10"/>
        <v/>
      </c>
      <c r="L150" s="13"/>
      <c r="M150" s="13"/>
      <c r="N150" s="14" t="str">
        <f t="shared" si="11"/>
        <v/>
      </c>
      <c r="O150" s="8"/>
      <c r="P150" s="8"/>
      <c r="Q150" s="8"/>
      <c r="R150" s="8"/>
      <c r="S150" s="10"/>
      <c r="T150" s="8"/>
    </row>
    <row r="151" spans="1:20">
      <c r="A151" s="8"/>
      <c r="B151" s="10"/>
      <c r="C151" s="8"/>
      <c r="D151" s="8"/>
      <c r="E151" s="8"/>
      <c r="F151" s="8"/>
      <c r="G151" s="13"/>
      <c r="H151" s="13"/>
      <c r="I151" s="14" t="str">
        <f t="shared" si="8"/>
        <v/>
      </c>
      <c r="J151" s="14" t="str">
        <f t="shared" si="9"/>
        <v/>
      </c>
      <c r="K151" s="14" t="str">
        <f t="shared" si="10"/>
        <v/>
      </c>
      <c r="L151" s="13"/>
      <c r="M151" s="13"/>
      <c r="N151" s="14" t="str">
        <f t="shared" si="11"/>
        <v/>
      </c>
      <c r="O151" s="8"/>
      <c r="P151" s="8"/>
      <c r="Q151" s="8"/>
      <c r="R151" s="8"/>
      <c r="S151" s="10"/>
      <c r="T151" s="8"/>
    </row>
    <row r="152" spans="1:20">
      <c r="A152" s="8"/>
      <c r="B152" s="10"/>
      <c r="C152" s="8"/>
      <c r="D152" s="8"/>
      <c r="E152" s="8"/>
      <c r="F152" s="8"/>
      <c r="G152" s="13"/>
      <c r="H152" s="13"/>
      <c r="I152" s="14" t="str">
        <f t="shared" si="8"/>
        <v/>
      </c>
      <c r="J152" s="14" t="str">
        <f t="shared" si="9"/>
        <v/>
      </c>
      <c r="K152" s="14" t="str">
        <f t="shared" si="10"/>
        <v/>
      </c>
      <c r="L152" s="13"/>
      <c r="M152" s="13"/>
      <c r="N152" s="14" t="str">
        <f t="shared" si="11"/>
        <v/>
      </c>
      <c r="O152" s="8"/>
      <c r="P152" s="8"/>
      <c r="Q152" s="8"/>
      <c r="R152" s="8"/>
      <c r="S152" s="10"/>
      <c r="T152" s="8"/>
    </row>
    <row r="153" spans="1:20">
      <c r="A153" s="8"/>
      <c r="B153" s="10"/>
      <c r="C153" s="8"/>
      <c r="D153" s="8"/>
      <c r="E153" s="8"/>
      <c r="F153" s="8"/>
      <c r="G153" s="13"/>
      <c r="H153" s="13"/>
      <c r="I153" s="14" t="str">
        <f t="shared" si="8"/>
        <v/>
      </c>
      <c r="J153" s="14" t="str">
        <f t="shared" si="9"/>
        <v/>
      </c>
      <c r="K153" s="14" t="str">
        <f t="shared" si="10"/>
        <v/>
      </c>
      <c r="L153" s="13"/>
      <c r="M153" s="13"/>
      <c r="N153" s="14" t="str">
        <f t="shared" si="11"/>
        <v/>
      </c>
      <c r="O153" s="8"/>
      <c r="P153" s="8"/>
      <c r="Q153" s="8"/>
      <c r="R153" s="8"/>
      <c r="S153" s="10"/>
      <c r="T153" s="8"/>
    </row>
    <row r="154" spans="1:20">
      <c r="A154" s="8"/>
      <c r="B154" s="10"/>
      <c r="C154" s="8"/>
      <c r="D154" s="8"/>
      <c r="E154" s="8"/>
      <c r="F154" s="8"/>
      <c r="G154" s="13"/>
      <c r="H154" s="13"/>
      <c r="I154" s="14" t="str">
        <f t="shared" si="8"/>
        <v/>
      </c>
      <c r="J154" s="14" t="str">
        <f t="shared" si="9"/>
        <v/>
      </c>
      <c r="K154" s="14" t="str">
        <f t="shared" si="10"/>
        <v/>
      </c>
      <c r="L154" s="13"/>
      <c r="M154" s="13"/>
      <c r="N154" s="14" t="str">
        <f t="shared" si="11"/>
        <v/>
      </c>
      <c r="O154" s="8"/>
      <c r="P154" s="8"/>
      <c r="Q154" s="8"/>
      <c r="R154" s="8"/>
      <c r="S154" s="10"/>
      <c r="T154" s="8"/>
    </row>
    <row r="155" spans="1:20">
      <c r="A155" s="8"/>
      <c r="B155" s="10"/>
      <c r="C155" s="8"/>
      <c r="D155" s="8"/>
      <c r="E155" s="8"/>
      <c r="F155" s="8"/>
      <c r="G155" s="13"/>
      <c r="H155" s="13"/>
      <c r="I155" s="14" t="str">
        <f t="shared" si="8"/>
        <v/>
      </c>
      <c r="J155" s="14" t="str">
        <f t="shared" si="9"/>
        <v/>
      </c>
      <c r="K155" s="14" t="str">
        <f t="shared" si="10"/>
        <v/>
      </c>
      <c r="L155" s="13"/>
      <c r="M155" s="13"/>
      <c r="N155" s="14" t="str">
        <f t="shared" si="11"/>
        <v/>
      </c>
      <c r="O155" s="8"/>
      <c r="P155" s="8"/>
      <c r="Q155" s="8"/>
      <c r="R155" s="8"/>
      <c r="S155" s="10"/>
      <c r="T155" s="8"/>
    </row>
    <row r="156" spans="1:20">
      <c r="A156" s="8"/>
      <c r="B156" s="10"/>
      <c r="C156" s="8"/>
      <c r="D156" s="8"/>
      <c r="E156" s="8"/>
      <c r="F156" s="8"/>
      <c r="G156" s="13"/>
      <c r="H156" s="13"/>
      <c r="I156" s="14" t="str">
        <f t="shared" si="8"/>
        <v/>
      </c>
      <c r="J156" s="14" t="str">
        <f t="shared" si="9"/>
        <v/>
      </c>
      <c r="K156" s="14" t="str">
        <f t="shared" si="10"/>
        <v/>
      </c>
      <c r="L156" s="13"/>
      <c r="M156" s="13"/>
      <c r="N156" s="14" t="str">
        <f t="shared" si="11"/>
        <v/>
      </c>
      <c r="O156" s="8"/>
      <c r="P156" s="8"/>
      <c r="Q156" s="8"/>
      <c r="R156" s="8"/>
      <c r="S156" s="10"/>
      <c r="T156" s="8"/>
    </row>
    <row r="157" spans="1:20">
      <c r="A157" s="8"/>
      <c r="B157" s="10"/>
      <c r="C157" s="8"/>
      <c r="D157" s="8"/>
      <c r="E157" s="8"/>
      <c r="F157" s="8"/>
      <c r="G157" s="13"/>
      <c r="H157" s="13"/>
      <c r="I157" s="14" t="str">
        <f t="shared" si="8"/>
        <v/>
      </c>
      <c r="J157" s="14" t="str">
        <f t="shared" si="9"/>
        <v/>
      </c>
      <c r="K157" s="14" t="str">
        <f t="shared" si="10"/>
        <v/>
      </c>
      <c r="L157" s="13"/>
      <c r="M157" s="13"/>
      <c r="N157" s="14" t="str">
        <f t="shared" si="11"/>
        <v/>
      </c>
      <c r="O157" s="8"/>
      <c r="P157" s="8"/>
      <c r="Q157" s="8"/>
      <c r="R157" s="8"/>
      <c r="S157" s="10"/>
      <c r="T157" s="8"/>
    </row>
    <row r="158" spans="1:20">
      <c r="A158" s="8"/>
      <c r="B158" s="10"/>
      <c r="C158" s="8"/>
      <c r="D158" s="8"/>
      <c r="E158" s="8"/>
      <c r="F158" s="8"/>
      <c r="G158" s="13"/>
      <c r="H158" s="13"/>
      <c r="I158" s="14" t="str">
        <f t="shared" si="8"/>
        <v/>
      </c>
      <c r="J158" s="14" t="str">
        <f t="shared" si="9"/>
        <v/>
      </c>
      <c r="K158" s="14" t="str">
        <f t="shared" si="10"/>
        <v/>
      </c>
      <c r="L158" s="13"/>
      <c r="M158" s="13"/>
      <c r="N158" s="14" t="str">
        <f t="shared" si="11"/>
        <v/>
      </c>
      <c r="O158" s="8"/>
      <c r="P158" s="8"/>
      <c r="Q158" s="8"/>
      <c r="R158" s="8"/>
      <c r="S158" s="10"/>
      <c r="T158" s="8"/>
    </row>
    <row r="159" spans="1:20">
      <c r="A159" s="8"/>
      <c r="B159" s="10"/>
      <c r="C159" s="8"/>
      <c r="D159" s="8"/>
      <c r="E159" s="8"/>
      <c r="F159" s="8"/>
      <c r="G159" s="13"/>
      <c r="H159" s="13"/>
      <c r="I159" s="14" t="str">
        <f t="shared" si="8"/>
        <v/>
      </c>
      <c r="J159" s="14" t="str">
        <f t="shared" si="9"/>
        <v/>
      </c>
      <c r="K159" s="14" t="str">
        <f t="shared" si="10"/>
        <v/>
      </c>
      <c r="L159" s="13"/>
      <c r="M159" s="13"/>
      <c r="N159" s="14" t="str">
        <f t="shared" si="11"/>
        <v/>
      </c>
      <c r="O159" s="8"/>
      <c r="P159" s="8"/>
      <c r="Q159" s="8"/>
      <c r="R159" s="8"/>
      <c r="S159" s="10"/>
      <c r="T159" s="8"/>
    </row>
    <row r="160" spans="1:20">
      <c r="A160" s="8"/>
      <c r="B160" s="10"/>
      <c r="C160" s="8"/>
      <c r="D160" s="8"/>
      <c r="E160" s="8"/>
      <c r="F160" s="8"/>
      <c r="G160" s="13"/>
      <c r="H160" s="13"/>
      <c r="I160" s="14" t="str">
        <f t="shared" si="8"/>
        <v/>
      </c>
      <c r="J160" s="14" t="str">
        <f t="shared" si="9"/>
        <v/>
      </c>
      <c r="K160" s="14" t="str">
        <f t="shared" si="10"/>
        <v/>
      </c>
      <c r="L160" s="13"/>
      <c r="M160" s="13"/>
      <c r="N160" s="14" t="str">
        <f t="shared" si="11"/>
        <v/>
      </c>
      <c r="O160" s="8"/>
      <c r="P160" s="8"/>
      <c r="Q160" s="8"/>
      <c r="R160" s="8"/>
      <c r="S160" s="10"/>
      <c r="T160" s="8"/>
    </row>
    <row r="161" spans="1:20">
      <c r="A161" s="8"/>
      <c r="B161" s="10"/>
      <c r="C161" s="8"/>
      <c r="D161" s="8"/>
      <c r="E161" s="8"/>
      <c r="F161" s="8"/>
      <c r="G161" s="13"/>
      <c r="H161" s="13"/>
      <c r="I161" s="14" t="str">
        <f t="shared" si="8"/>
        <v/>
      </c>
      <c r="J161" s="14" t="str">
        <f t="shared" si="9"/>
        <v/>
      </c>
      <c r="K161" s="14" t="str">
        <f t="shared" si="10"/>
        <v/>
      </c>
      <c r="L161" s="13"/>
      <c r="M161" s="13"/>
      <c r="N161" s="14" t="str">
        <f t="shared" si="11"/>
        <v/>
      </c>
      <c r="O161" s="8"/>
      <c r="P161" s="8"/>
      <c r="Q161" s="8"/>
      <c r="R161" s="8"/>
      <c r="S161" s="10"/>
      <c r="T161" s="8"/>
    </row>
    <row r="162" spans="1:20">
      <c r="A162" s="8"/>
      <c r="B162" s="10"/>
      <c r="C162" s="8"/>
      <c r="D162" s="8"/>
      <c r="E162" s="8"/>
      <c r="F162" s="8"/>
      <c r="G162" s="13"/>
      <c r="H162" s="13"/>
      <c r="I162" s="14" t="str">
        <f t="shared" si="8"/>
        <v/>
      </c>
      <c r="J162" s="14" t="str">
        <f t="shared" si="9"/>
        <v/>
      </c>
      <c r="K162" s="14" t="str">
        <f t="shared" si="10"/>
        <v/>
      </c>
      <c r="L162" s="13"/>
      <c r="M162" s="13"/>
      <c r="N162" s="14" t="str">
        <f t="shared" si="11"/>
        <v/>
      </c>
      <c r="O162" s="8"/>
      <c r="P162" s="8"/>
      <c r="Q162" s="8"/>
      <c r="R162" s="8"/>
      <c r="S162" s="10"/>
      <c r="T162" s="8"/>
    </row>
    <row r="163" spans="1:20">
      <c r="A163" s="8"/>
      <c r="B163" s="10"/>
      <c r="C163" s="8"/>
      <c r="D163" s="8"/>
      <c r="E163" s="8"/>
      <c r="F163" s="8"/>
      <c r="G163" s="13"/>
      <c r="H163" s="13"/>
      <c r="I163" s="14" t="str">
        <f t="shared" si="8"/>
        <v/>
      </c>
      <c r="J163" s="14" t="str">
        <f t="shared" si="9"/>
        <v/>
      </c>
      <c r="K163" s="14" t="str">
        <f t="shared" si="10"/>
        <v/>
      </c>
      <c r="L163" s="13"/>
      <c r="M163" s="13"/>
      <c r="N163" s="14" t="str">
        <f t="shared" si="11"/>
        <v/>
      </c>
      <c r="O163" s="8"/>
      <c r="P163" s="8"/>
      <c r="Q163" s="8"/>
      <c r="R163" s="8"/>
      <c r="S163" s="10"/>
      <c r="T163" s="8"/>
    </row>
    <row r="164" spans="1:20">
      <c r="A164" s="8"/>
      <c r="B164" s="10"/>
      <c r="C164" s="8"/>
      <c r="D164" s="8"/>
      <c r="E164" s="8"/>
      <c r="F164" s="8"/>
      <c r="G164" s="13"/>
      <c r="H164" s="13"/>
      <c r="I164" s="14" t="str">
        <f t="shared" si="8"/>
        <v/>
      </c>
      <c r="J164" s="14" t="str">
        <f t="shared" si="9"/>
        <v/>
      </c>
      <c r="K164" s="14" t="str">
        <f t="shared" si="10"/>
        <v/>
      </c>
      <c r="L164" s="13"/>
      <c r="M164" s="13"/>
      <c r="N164" s="14" t="str">
        <f t="shared" si="11"/>
        <v/>
      </c>
      <c r="O164" s="8"/>
      <c r="P164" s="8"/>
      <c r="Q164" s="8"/>
      <c r="R164" s="8"/>
      <c r="S164" s="10"/>
      <c r="T164" s="8"/>
    </row>
    <row r="165" spans="1:20">
      <c r="A165" s="8"/>
      <c r="B165" s="10"/>
      <c r="C165" s="8"/>
      <c r="D165" s="8"/>
      <c r="E165" s="8"/>
      <c r="F165" s="8"/>
      <c r="G165" s="13"/>
      <c r="H165" s="13"/>
      <c r="I165" s="14" t="str">
        <f t="shared" si="8"/>
        <v/>
      </c>
      <c r="J165" s="14" t="str">
        <f t="shared" si="9"/>
        <v/>
      </c>
      <c r="K165" s="14" t="str">
        <f t="shared" si="10"/>
        <v/>
      </c>
      <c r="L165" s="13"/>
      <c r="M165" s="13"/>
      <c r="N165" s="14" t="str">
        <f t="shared" si="11"/>
        <v/>
      </c>
      <c r="O165" s="8"/>
      <c r="P165" s="8"/>
      <c r="Q165" s="8"/>
      <c r="R165" s="8"/>
      <c r="S165" s="10"/>
      <c r="T165" s="8"/>
    </row>
    <row r="166" spans="1:20">
      <c r="A166" s="8"/>
      <c r="B166" s="10"/>
      <c r="C166" s="8"/>
      <c r="D166" s="8"/>
      <c r="E166" s="8"/>
      <c r="F166" s="8"/>
      <c r="G166" s="13"/>
      <c r="H166" s="13"/>
      <c r="I166" s="14" t="str">
        <f t="shared" si="8"/>
        <v/>
      </c>
      <c r="J166" s="14" t="str">
        <f t="shared" si="9"/>
        <v/>
      </c>
      <c r="K166" s="14" t="str">
        <f t="shared" si="10"/>
        <v/>
      </c>
      <c r="L166" s="13"/>
      <c r="M166" s="13"/>
      <c r="N166" s="14" t="str">
        <f t="shared" si="11"/>
        <v/>
      </c>
      <c r="O166" s="8"/>
      <c r="P166" s="8"/>
      <c r="Q166" s="8"/>
      <c r="R166" s="8"/>
      <c r="S166" s="10"/>
      <c r="T166" s="8"/>
    </row>
    <row r="167" spans="1:20">
      <c r="A167" s="8"/>
      <c r="B167" s="10"/>
      <c r="C167" s="8"/>
      <c r="D167" s="8"/>
      <c r="E167" s="8"/>
      <c r="F167" s="8"/>
      <c r="G167" s="13"/>
      <c r="H167" s="13"/>
      <c r="I167" s="14" t="str">
        <f t="shared" si="8"/>
        <v/>
      </c>
      <c r="J167" s="14" t="str">
        <f t="shared" si="9"/>
        <v/>
      </c>
      <c r="K167" s="14" t="str">
        <f t="shared" si="10"/>
        <v/>
      </c>
      <c r="L167" s="13"/>
      <c r="M167" s="13"/>
      <c r="N167" s="14" t="str">
        <f t="shared" si="11"/>
        <v/>
      </c>
      <c r="O167" s="8"/>
      <c r="P167" s="8"/>
      <c r="Q167" s="8"/>
      <c r="R167" s="8"/>
      <c r="S167" s="10"/>
      <c r="T167" s="8"/>
    </row>
    <row r="168" spans="1:20">
      <c r="A168" s="8"/>
      <c r="B168" s="10"/>
      <c r="C168" s="8"/>
      <c r="D168" s="8"/>
      <c r="E168" s="8"/>
      <c r="F168" s="8"/>
      <c r="G168" s="13"/>
      <c r="H168" s="13"/>
      <c r="I168" s="14" t="str">
        <f t="shared" si="8"/>
        <v/>
      </c>
      <c r="J168" s="14" t="str">
        <f t="shared" si="9"/>
        <v/>
      </c>
      <c r="K168" s="14" t="str">
        <f t="shared" si="10"/>
        <v/>
      </c>
      <c r="L168" s="13"/>
      <c r="M168" s="13"/>
      <c r="N168" s="14" t="str">
        <f t="shared" si="11"/>
        <v/>
      </c>
      <c r="O168" s="8"/>
      <c r="P168" s="8"/>
      <c r="Q168" s="8"/>
      <c r="R168" s="8"/>
      <c r="S168" s="10"/>
      <c r="T168" s="8"/>
    </row>
    <row r="169" spans="1:20">
      <c r="A169" s="8"/>
      <c r="B169" s="10"/>
      <c r="C169" s="8"/>
      <c r="D169" s="8"/>
      <c r="E169" s="8"/>
      <c r="F169" s="8"/>
      <c r="G169" s="13"/>
      <c r="H169" s="13"/>
      <c r="I169" s="14" t="str">
        <f t="shared" si="8"/>
        <v/>
      </c>
      <c r="J169" s="14" t="str">
        <f t="shared" si="9"/>
        <v/>
      </c>
      <c r="K169" s="14" t="str">
        <f t="shared" si="10"/>
        <v/>
      </c>
      <c r="L169" s="13"/>
      <c r="M169" s="13"/>
      <c r="N169" s="14" t="str">
        <f t="shared" si="11"/>
        <v/>
      </c>
      <c r="O169" s="8"/>
      <c r="P169" s="8"/>
      <c r="Q169" s="8"/>
      <c r="R169" s="8"/>
      <c r="S169" s="10"/>
      <c r="T169" s="8"/>
    </row>
    <row r="170" spans="1:20">
      <c r="A170" s="8"/>
      <c r="B170" s="10"/>
      <c r="C170" s="8"/>
      <c r="D170" s="8"/>
      <c r="E170" s="8"/>
      <c r="F170" s="8"/>
      <c r="G170" s="13"/>
      <c r="H170" s="13"/>
      <c r="I170" s="14" t="str">
        <f t="shared" si="8"/>
        <v/>
      </c>
      <c r="J170" s="14" t="str">
        <f t="shared" si="9"/>
        <v/>
      </c>
      <c r="K170" s="14" t="str">
        <f t="shared" si="10"/>
        <v/>
      </c>
      <c r="L170" s="13"/>
      <c r="M170" s="13"/>
      <c r="N170" s="14" t="str">
        <f t="shared" si="11"/>
        <v/>
      </c>
      <c r="O170" s="8"/>
      <c r="P170" s="8"/>
      <c r="Q170" s="8"/>
      <c r="R170" s="8"/>
      <c r="S170" s="10"/>
      <c r="T170" s="8"/>
    </row>
    <row r="171" spans="1:20">
      <c r="A171" s="8"/>
      <c r="B171" s="10"/>
      <c r="C171" s="8"/>
      <c r="D171" s="8"/>
      <c r="E171" s="8"/>
      <c r="F171" s="8"/>
      <c r="G171" s="13"/>
      <c r="H171" s="13"/>
      <c r="I171" s="14" t="str">
        <f t="shared" si="8"/>
        <v/>
      </c>
      <c r="J171" s="14" t="str">
        <f t="shared" si="9"/>
        <v/>
      </c>
      <c r="K171" s="14" t="str">
        <f t="shared" si="10"/>
        <v/>
      </c>
      <c r="L171" s="13"/>
      <c r="M171" s="13"/>
      <c r="N171" s="14" t="str">
        <f t="shared" si="11"/>
        <v/>
      </c>
      <c r="O171" s="8"/>
      <c r="P171" s="8"/>
      <c r="Q171" s="8"/>
      <c r="R171" s="8"/>
      <c r="S171" s="10"/>
      <c r="T171" s="8"/>
    </row>
    <row r="172" spans="1:20">
      <c r="A172" s="8"/>
      <c r="B172" s="10"/>
      <c r="C172" s="8"/>
      <c r="D172" s="8"/>
      <c r="E172" s="8"/>
      <c r="F172" s="8"/>
      <c r="G172" s="13"/>
      <c r="H172" s="13"/>
      <c r="I172" s="14" t="str">
        <f t="shared" si="8"/>
        <v/>
      </c>
      <c r="J172" s="14" t="str">
        <f t="shared" si="9"/>
        <v/>
      </c>
      <c r="K172" s="14" t="str">
        <f t="shared" si="10"/>
        <v/>
      </c>
      <c r="L172" s="13"/>
      <c r="M172" s="13"/>
      <c r="N172" s="14" t="str">
        <f t="shared" si="11"/>
        <v/>
      </c>
      <c r="O172" s="8"/>
      <c r="P172" s="8"/>
      <c r="Q172" s="8"/>
      <c r="R172" s="8"/>
      <c r="S172" s="10"/>
      <c r="T172" s="8"/>
    </row>
    <row r="173" spans="1:20">
      <c r="A173" s="8"/>
      <c r="B173" s="10"/>
      <c r="C173" s="8"/>
      <c r="D173" s="8"/>
      <c r="E173" s="8"/>
      <c r="F173" s="8"/>
      <c r="G173" s="13"/>
      <c r="H173" s="13"/>
      <c r="I173" s="14" t="str">
        <f t="shared" si="8"/>
        <v/>
      </c>
      <c r="J173" s="14" t="str">
        <f t="shared" si="9"/>
        <v/>
      </c>
      <c r="K173" s="14" t="str">
        <f t="shared" si="10"/>
        <v/>
      </c>
      <c r="L173" s="13"/>
      <c r="M173" s="13"/>
      <c r="N173" s="14" t="str">
        <f t="shared" si="11"/>
        <v/>
      </c>
      <c r="O173" s="8"/>
      <c r="P173" s="8"/>
      <c r="Q173" s="8"/>
      <c r="R173" s="8"/>
      <c r="S173" s="10"/>
      <c r="T173" s="8"/>
    </row>
    <row r="174" spans="1:20">
      <c r="A174" s="8"/>
      <c r="B174" s="10"/>
      <c r="C174" s="8"/>
      <c r="D174" s="8"/>
      <c r="E174" s="8"/>
      <c r="F174" s="8"/>
      <c r="G174" s="13"/>
      <c r="H174" s="13"/>
      <c r="I174" s="14" t="str">
        <f t="shared" si="8"/>
        <v/>
      </c>
      <c r="J174" s="14" t="str">
        <f t="shared" si="9"/>
        <v/>
      </c>
      <c r="K174" s="14" t="str">
        <f t="shared" si="10"/>
        <v/>
      </c>
      <c r="L174" s="13"/>
      <c r="M174" s="13"/>
      <c r="N174" s="14" t="str">
        <f t="shared" si="11"/>
        <v/>
      </c>
      <c r="O174" s="8"/>
      <c r="P174" s="8"/>
      <c r="Q174" s="8"/>
      <c r="R174" s="8"/>
      <c r="S174" s="10"/>
      <c r="T174" s="8"/>
    </row>
    <row r="175" spans="1:20">
      <c r="A175" s="8"/>
      <c r="B175" s="10"/>
      <c r="C175" s="8"/>
      <c r="D175" s="8"/>
      <c r="E175" s="8"/>
      <c r="F175" s="8"/>
      <c r="G175" s="13"/>
      <c r="H175" s="13"/>
      <c r="I175" s="14" t="str">
        <f t="shared" si="8"/>
        <v/>
      </c>
      <c r="J175" s="14" t="str">
        <f t="shared" si="9"/>
        <v/>
      </c>
      <c r="K175" s="14" t="str">
        <f t="shared" si="10"/>
        <v/>
      </c>
      <c r="L175" s="13"/>
      <c r="M175" s="13"/>
      <c r="N175" s="14" t="str">
        <f t="shared" si="11"/>
        <v/>
      </c>
      <c r="O175" s="8"/>
      <c r="P175" s="8"/>
      <c r="Q175" s="8"/>
      <c r="R175" s="8"/>
      <c r="S175" s="10"/>
      <c r="T175" s="8"/>
    </row>
    <row r="176" spans="1:20">
      <c r="A176" s="8"/>
      <c r="B176" s="10"/>
      <c r="C176" s="8"/>
      <c r="D176" s="8"/>
      <c r="E176" s="8"/>
      <c r="F176" s="8"/>
      <c r="G176" s="13"/>
      <c r="H176" s="13"/>
      <c r="I176" s="14" t="str">
        <f t="shared" si="8"/>
        <v/>
      </c>
      <c r="J176" s="14" t="str">
        <f t="shared" si="9"/>
        <v/>
      </c>
      <c r="K176" s="14" t="str">
        <f t="shared" si="10"/>
        <v/>
      </c>
      <c r="L176" s="13"/>
      <c r="M176" s="13"/>
      <c r="N176" s="14" t="str">
        <f t="shared" si="11"/>
        <v/>
      </c>
      <c r="O176" s="8"/>
      <c r="P176" s="8"/>
      <c r="Q176" s="8"/>
      <c r="R176" s="8"/>
      <c r="S176" s="10"/>
      <c r="T176" s="8"/>
    </row>
    <row r="177" spans="1:20">
      <c r="A177" s="8"/>
      <c r="B177" s="10"/>
      <c r="C177" s="8"/>
      <c r="D177" s="8"/>
      <c r="E177" s="8"/>
      <c r="F177" s="8"/>
      <c r="G177" s="13"/>
      <c r="H177" s="13"/>
      <c r="I177" s="14" t="str">
        <f t="shared" si="8"/>
        <v/>
      </c>
      <c r="J177" s="14" t="str">
        <f t="shared" si="9"/>
        <v/>
      </c>
      <c r="K177" s="14" t="str">
        <f t="shared" si="10"/>
        <v/>
      </c>
      <c r="L177" s="13"/>
      <c r="M177" s="13"/>
      <c r="N177" s="14" t="str">
        <f t="shared" si="11"/>
        <v/>
      </c>
      <c r="O177" s="8"/>
      <c r="P177" s="8"/>
      <c r="Q177" s="8"/>
      <c r="R177" s="8"/>
      <c r="S177" s="10"/>
      <c r="T177" s="8"/>
    </row>
    <row r="178" spans="1:20">
      <c r="A178" s="8"/>
      <c r="B178" s="10"/>
      <c r="C178" s="8"/>
      <c r="D178" s="8"/>
      <c r="E178" s="8"/>
      <c r="F178" s="8"/>
      <c r="G178" s="13"/>
      <c r="H178" s="13"/>
      <c r="I178" s="14" t="str">
        <f t="shared" si="8"/>
        <v/>
      </c>
      <c r="J178" s="14" t="str">
        <f t="shared" si="9"/>
        <v/>
      </c>
      <c r="K178" s="14" t="str">
        <f t="shared" si="10"/>
        <v/>
      </c>
      <c r="L178" s="13"/>
      <c r="M178" s="13"/>
      <c r="N178" s="14" t="str">
        <f t="shared" si="11"/>
        <v/>
      </c>
      <c r="O178" s="8"/>
      <c r="P178" s="8"/>
      <c r="Q178" s="8"/>
      <c r="R178" s="8"/>
      <c r="S178" s="10"/>
      <c r="T178" s="8"/>
    </row>
    <row r="179" spans="1:20">
      <c r="A179" s="8"/>
      <c r="B179" s="10"/>
      <c r="C179" s="8"/>
      <c r="D179" s="8"/>
      <c r="E179" s="8"/>
      <c r="F179" s="8"/>
      <c r="G179" s="13"/>
      <c r="H179" s="13"/>
      <c r="I179" s="14" t="str">
        <f t="shared" si="8"/>
        <v/>
      </c>
      <c r="J179" s="14" t="str">
        <f t="shared" si="9"/>
        <v/>
      </c>
      <c r="K179" s="14" t="str">
        <f t="shared" si="10"/>
        <v/>
      </c>
      <c r="L179" s="13"/>
      <c r="M179" s="13"/>
      <c r="N179" s="14" t="str">
        <f t="shared" si="11"/>
        <v/>
      </c>
      <c r="O179" s="8"/>
      <c r="P179" s="8"/>
      <c r="Q179" s="8"/>
      <c r="R179" s="8"/>
      <c r="S179" s="10"/>
      <c r="T179" s="8"/>
    </row>
    <row r="180" spans="1:20">
      <c r="A180" s="8"/>
      <c r="B180" s="10"/>
      <c r="C180" s="8"/>
      <c r="D180" s="8"/>
      <c r="E180" s="8"/>
      <c r="F180" s="8"/>
      <c r="G180" s="13"/>
      <c r="H180" s="13"/>
      <c r="I180" s="14" t="str">
        <f t="shared" si="8"/>
        <v/>
      </c>
      <c r="J180" s="14" t="str">
        <f t="shared" si="9"/>
        <v/>
      </c>
      <c r="K180" s="14" t="str">
        <f t="shared" si="10"/>
        <v/>
      </c>
      <c r="L180" s="13"/>
      <c r="M180" s="13"/>
      <c r="N180" s="14" t="str">
        <f t="shared" si="11"/>
        <v/>
      </c>
      <c r="O180" s="8"/>
      <c r="P180" s="8"/>
      <c r="Q180" s="8"/>
      <c r="R180" s="8"/>
      <c r="S180" s="10"/>
      <c r="T180" s="8"/>
    </row>
    <row r="181" spans="1:20">
      <c r="A181" s="8"/>
      <c r="B181" s="10"/>
      <c r="C181" s="8"/>
      <c r="D181" s="8"/>
      <c r="E181" s="8"/>
      <c r="F181" s="8"/>
      <c r="G181" s="13"/>
      <c r="H181" s="13"/>
      <c r="I181" s="14" t="str">
        <f t="shared" si="8"/>
        <v/>
      </c>
      <c r="J181" s="14" t="str">
        <f t="shared" si="9"/>
        <v/>
      </c>
      <c r="K181" s="14" t="str">
        <f t="shared" si="10"/>
        <v/>
      </c>
      <c r="L181" s="13"/>
      <c r="M181" s="13"/>
      <c r="N181" s="14" t="str">
        <f t="shared" si="11"/>
        <v/>
      </c>
      <c r="O181" s="8"/>
      <c r="P181" s="8"/>
      <c r="Q181" s="8"/>
      <c r="R181" s="8"/>
      <c r="S181" s="10"/>
      <c r="T181" s="8"/>
    </row>
    <row r="182" spans="1:20">
      <c r="A182" s="8"/>
      <c r="B182" s="10"/>
      <c r="C182" s="8"/>
      <c r="D182" s="8"/>
      <c r="E182" s="8"/>
      <c r="F182" s="8"/>
      <c r="G182" s="13"/>
      <c r="H182" s="13"/>
      <c r="I182" s="14" t="str">
        <f t="shared" si="8"/>
        <v/>
      </c>
      <c r="J182" s="14" t="str">
        <f t="shared" si="9"/>
        <v/>
      </c>
      <c r="K182" s="14" t="str">
        <f t="shared" si="10"/>
        <v/>
      </c>
      <c r="L182" s="13"/>
      <c r="M182" s="13"/>
      <c r="N182" s="14" t="str">
        <f t="shared" si="11"/>
        <v/>
      </c>
      <c r="O182" s="8"/>
      <c r="P182" s="8"/>
      <c r="Q182" s="8"/>
      <c r="R182" s="8"/>
      <c r="S182" s="10"/>
      <c r="T182" s="8"/>
    </row>
    <row r="183" spans="1:20">
      <c r="A183" s="8"/>
      <c r="B183" s="10"/>
      <c r="C183" s="8"/>
      <c r="D183" s="8"/>
      <c r="E183" s="8"/>
      <c r="F183" s="8"/>
      <c r="G183" s="13"/>
      <c r="H183" s="13"/>
      <c r="I183" s="14" t="str">
        <f t="shared" si="8"/>
        <v/>
      </c>
      <c r="J183" s="14" t="str">
        <f t="shared" si="9"/>
        <v/>
      </c>
      <c r="K183" s="14" t="str">
        <f t="shared" si="10"/>
        <v/>
      </c>
      <c r="L183" s="13"/>
      <c r="M183" s="13"/>
      <c r="N183" s="14" t="str">
        <f t="shared" si="11"/>
        <v/>
      </c>
      <c r="O183" s="8"/>
      <c r="P183" s="8"/>
      <c r="Q183" s="8"/>
      <c r="R183" s="8"/>
      <c r="S183" s="10"/>
      <c r="T183" s="8"/>
    </row>
    <row r="184" spans="1:20">
      <c r="A184" s="8"/>
      <c r="B184" s="10"/>
      <c r="C184" s="8"/>
      <c r="D184" s="8"/>
      <c r="E184" s="8"/>
      <c r="F184" s="8"/>
      <c r="G184" s="13"/>
      <c r="H184" s="13"/>
      <c r="I184" s="14" t="str">
        <f t="shared" si="8"/>
        <v/>
      </c>
      <c r="J184" s="14" t="str">
        <f t="shared" si="9"/>
        <v/>
      </c>
      <c r="K184" s="14" t="str">
        <f t="shared" si="10"/>
        <v/>
      </c>
      <c r="L184" s="13"/>
      <c r="M184" s="13"/>
      <c r="N184" s="14" t="str">
        <f t="shared" si="11"/>
        <v/>
      </c>
      <c r="O184" s="8"/>
      <c r="P184" s="8"/>
      <c r="Q184" s="8"/>
      <c r="R184" s="8"/>
      <c r="S184" s="10"/>
      <c r="T184" s="8"/>
    </row>
    <row r="185" spans="1:20">
      <c r="A185" s="8"/>
      <c r="B185" s="10"/>
      <c r="C185" s="8"/>
      <c r="D185" s="8"/>
      <c r="E185" s="8"/>
      <c r="F185" s="8"/>
      <c r="G185" s="13"/>
      <c r="H185" s="13"/>
      <c r="I185" s="14" t="str">
        <f t="shared" si="8"/>
        <v/>
      </c>
      <c r="J185" s="14" t="str">
        <f t="shared" si="9"/>
        <v/>
      </c>
      <c r="K185" s="14" t="str">
        <f t="shared" si="10"/>
        <v/>
      </c>
      <c r="L185" s="13"/>
      <c r="M185" s="13"/>
      <c r="N185" s="14" t="str">
        <f t="shared" si="11"/>
        <v/>
      </c>
      <c r="O185" s="8"/>
      <c r="P185" s="8"/>
      <c r="Q185" s="8"/>
      <c r="R185" s="8"/>
      <c r="S185" s="10"/>
      <c r="T185" s="8"/>
    </row>
    <row r="186" spans="1:20">
      <c r="A186" s="8"/>
      <c r="B186" s="10"/>
      <c r="C186" s="8"/>
      <c r="D186" s="8"/>
      <c r="E186" s="8"/>
      <c r="F186" s="8"/>
      <c r="G186" s="13"/>
      <c r="H186" s="13"/>
      <c r="I186" s="14" t="str">
        <f t="shared" si="8"/>
        <v/>
      </c>
      <c r="J186" s="14" t="str">
        <f t="shared" si="9"/>
        <v/>
      </c>
      <c r="K186" s="14" t="str">
        <f t="shared" si="10"/>
        <v/>
      </c>
      <c r="L186" s="13"/>
      <c r="M186" s="13"/>
      <c r="N186" s="14" t="str">
        <f t="shared" si="11"/>
        <v/>
      </c>
      <c r="O186" s="8"/>
      <c r="P186" s="8"/>
      <c r="Q186" s="8"/>
      <c r="R186" s="8"/>
      <c r="S186" s="10"/>
      <c r="T186" s="8"/>
    </row>
    <row r="187" spans="1:20">
      <c r="A187" s="8"/>
      <c r="B187" s="10"/>
      <c r="C187" s="8"/>
      <c r="D187" s="8"/>
      <c r="E187" s="8"/>
      <c r="F187" s="8"/>
      <c r="G187" s="13"/>
      <c r="H187" s="13"/>
      <c r="I187" s="14" t="str">
        <f t="shared" si="8"/>
        <v/>
      </c>
      <c r="J187" s="14" t="str">
        <f t="shared" si="9"/>
        <v/>
      </c>
      <c r="K187" s="14" t="str">
        <f t="shared" si="10"/>
        <v/>
      </c>
      <c r="L187" s="13"/>
      <c r="M187" s="13"/>
      <c r="N187" s="14" t="str">
        <f t="shared" si="11"/>
        <v/>
      </c>
      <c r="O187" s="8"/>
      <c r="P187" s="8"/>
      <c r="Q187" s="8"/>
      <c r="R187" s="8"/>
      <c r="S187" s="10"/>
      <c r="T187" s="8"/>
    </row>
    <row r="188" spans="1:20">
      <c r="A188" s="8"/>
      <c r="B188" s="10"/>
      <c r="C188" s="8"/>
      <c r="D188" s="8"/>
      <c r="E188" s="8"/>
      <c r="F188" s="8"/>
      <c r="G188" s="13"/>
      <c r="H188" s="13"/>
      <c r="I188" s="14" t="str">
        <f t="shared" si="8"/>
        <v/>
      </c>
      <c r="J188" s="14" t="str">
        <f t="shared" si="9"/>
        <v/>
      </c>
      <c r="K188" s="14" t="str">
        <f t="shared" si="10"/>
        <v/>
      </c>
      <c r="L188" s="13"/>
      <c r="M188" s="13"/>
      <c r="N188" s="14" t="str">
        <f t="shared" si="11"/>
        <v/>
      </c>
      <c r="O188" s="8"/>
      <c r="P188" s="8"/>
      <c r="Q188" s="8"/>
      <c r="R188" s="8"/>
      <c r="S188" s="10"/>
      <c r="T188" s="8"/>
    </row>
    <row r="189" spans="1:20">
      <c r="A189" s="8"/>
      <c r="B189" s="10"/>
      <c r="C189" s="8"/>
      <c r="D189" s="8"/>
      <c r="E189" s="8"/>
      <c r="F189" s="8"/>
      <c r="G189" s="13"/>
      <c r="H189" s="13"/>
      <c r="I189" s="14" t="str">
        <f t="shared" si="8"/>
        <v/>
      </c>
      <c r="J189" s="14" t="str">
        <f t="shared" si="9"/>
        <v/>
      </c>
      <c r="K189" s="14" t="str">
        <f t="shared" si="10"/>
        <v/>
      </c>
      <c r="L189" s="13"/>
      <c r="M189" s="13"/>
      <c r="N189" s="14" t="str">
        <f t="shared" si="11"/>
        <v/>
      </c>
      <c r="O189" s="8"/>
      <c r="P189" s="8"/>
      <c r="Q189" s="8"/>
      <c r="R189" s="8"/>
      <c r="S189" s="10"/>
      <c r="T189" s="8"/>
    </row>
    <row r="190" spans="1:20">
      <c r="A190" s="8"/>
      <c r="B190" s="10"/>
      <c r="C190" s="8"/>
      <c r="D190" s="8"/>
      <c r="E190" s="8"/>
      <c r="F190" s="8"/>
      <c r="G190" s="13"/>
      <c r="H190" s="13"/>
      <c r="I190" s="14" t="str">
        <f t="shared" si="8"/>
        <v/>
      </c>
      <c r="J190" s="14" t="str">
        <f t="shared" si="9"/>
        <v/>
      </c>
      <c r="K190" s="14" t="str">
        <f t="shared" si="10"/>
        <v/>
      </c>
      <c r="L190" s="13"/>
      <c r="M190" s="13"/>
      <c r="N190" s="14" t="str">
        <f t="shared" si="11"/>
        <v/>
      </c>
      <c r="O190" s="8"/>
      <c r="P190" s="8"/>
      <c r="Q190" s="8"/>
      <c r="R190" s="8"/>
      <c r="S190" s="10"/>
      <c r="T190" s="8"/>
    </row>
    <row r="191" spans="1:20">
      <c r="A191" s="8"/>
      <c r="B191" s="10"/>
      <c r="C191" s="8"/>
      <c r="D191" s="8"/>
      <c r="E191" s="8"/>
      <c r="F191" s="8"/>
      <c r="G191" s="13"/>
      <c r="H191" s="13"/>
      <c r="I191" s="14" t="str">
        <f t="shared" si="8"/>
        <v/>
      </c>
      <c r="J191" s="14" t="str">
        <f t="shared" si="9"/>
        <v/>
      </c>
      <c r="K191" s="14" t="str">
        <f t="shared" si="10"/>
        <v/>
      </c>
      <c r="L191" s="13"/>
      <c r="M191" s="13"/>
      <c r="N191" s="14" t="str">
        <f t="shared" si="11"/>
        <v/>
      </c>
      <c r="O191" s="8"/>
      <c r="P191" s="8"/>
      <c r="Q191" s="8"/>
      <c r="R191" s="8"/>
      <c r="S191" s="10"/>
      <c r="T191" s="8"/>
    </row>
    <row r="192" spans="1:20">
      <c r="A192" s="8"/>
      <c r="B192" s="10"/>
      <c r="C192" s="8"/>
      <c r="D192" s="8"/>
      <c r="E192" s="8"/>
      <c r="F192" s="8"/>
      <c r="G192" s="13"/>
      <c r="H192" s="13"/>
      <c r="I192" s="14" t="str">
        <f t="shared" si="8"/>
        <v/>
      </c>
      <c r="J192" s="14" t="str">
        <f t="shared" si="9"/>
        <v/>
      </c>
      <c r="K192" s="14" t="str">
        <f t="shared" si="10"/>
        <v/>
      </c>
      <c r="L192" s="13"/>
      <c r="M192" s="13"/>
      <c r="N192" s="14" t="str">
        <f t="shared" si="11"/>
        <v/>
      </c>
      <c r="O192" s="8"/>
      <c r="P192" s="8"/>
      <c r="Q192" s="8"/>
      <c r="R192" s="8"/>
      <c r="S192" s="10"/>
      <c r="T192" s="8"/>
    </row>
    <row r="193" spans="1:20">
      <c r="A193" s="8"/>
      <c r="B193" s="10"/>
      <c r="C193" s="8"/>
      <c r="D193" s="8"/>
      <c r="E193" s="8"/>
      <c r="F193" s="8"/>
      <c r="G193" s="13"/>
      <c r="H193" s="13"/>
      <c r="I193" s="14" t="str">
        <f t="shared" si="8"/>
        <v/>
      </c>
      <c r="J193" s="14" t="str">
        <f t="shared" si="9"/>
        <v/>
      </c>
      <c r="K193" s="14" t="str">
        <f t="shared" si="10"/>
        <v/>
      </c>
      <c r="L193" s="13"/>
      <c r="M193" s="13"/>
      <c r="N193" s="14" t="str">
        <f t="shared" si="11"/>
        <v/>
      </c>
      <c r="O193" s="8"/>
      <c r="P193" s="8"/>
      <c r="Q193" s="8"/>
      <c r="R193" s="8"/>
      <c r="S193" s="10"/>
      <c r="T193" s="8"/>
    </row>
    <row r="194" spans="1:20">
      <c r="A194" s="8"/>
      <c r="B194" s="10"/>
      <c r="C194" s="8"/>
      <c r="D194" s="8"/>
      <c r="E194" s="8"/>
      <c r="F194" s="8"/>
      <c r="G194" s="13"/>
      <c r="H194" s="13"/>
      <c r="I194" s="14" t="str">
        <f t="shared" si="8"/>
        <v/>
      </c>
      <c r="J194" s="14" t="str">
        <f t="shared" si="9"/>
        <v/>
      </c>
      <c r="K194" s="14" t="str">
        <f t="shared" si="10"/>
        <v/>
      </c>
      <c r="L194" s="13"/>
      <c r="M194" s="13"/>
      <c r="N194" s="14" t="str">
        <f t="shared" si="11"/>
        <v/>
      </c>
      <c r="O194" s="8"/>
      <c r="P194" s="8"/>
      <c r="Q194" s="8"/>
      <c r="R194" s="8"/>
      <c r="S194" s="10"/>
      <c r="T194" s="8"/>
    </row>
    <row r="195" spans="1:20">
      <c r="A195" s="8"/>
      <c r="B195" s="10"/>
      <c r="C195" s="8"/>
      <c r="D195" s="8"/>
      <c r="E195" s="8"/>
      <c r="F195" s="8"/>
      <c r="G195" s="13"/>
      <c r="H195" s="13"/>
      <c r="I195" s="14" t="str">
        <f t="shared" si="8"/>
        <v/>
      </c>
      <c r="J195" s="14" t="str">
        <f t="shared" si="9"/>
        <v/>
      </c>
      <c r="K195" s="14" t="str">
        <f t="shared" si="10"/>
        <v/>
      </c>
      <c r="L195" s="13"/>
      <c r="M195" s="13"/>
      <c r="N195" s="14" t="str">
        <f t="shared" si="11"/>
        <v/>
      </c>
      <c r="O195" s="8"/>
      <c r="P195" s="8"/>
      <c r="Q195" s="8"/>
      <c r="R195" s="8"/>
      <c r="S195" s="10"/>
      <c r="T195" s="8"/>
    </row>
    <row r="196" spans="1:20">
      <c r="A196" s="8"/>
      <c r="B196" s="10"/>
      <c r="C196" s="8"/>
      <c r="D196" s="8"/>
      <c r="E196" s="8"/>
      <c r="F196" s="8"/>
      <c r="G196" s="13"/>
      <c r="H196" s="13"/>
      <c r="I196" s="14" t="str">
        <f t="shared" si="8"/>
        <v/>
      </c>
      <c r="J196" s="14" t="str">
        <f t="shared" si="9"/>
        <v/>
      </c>
      <c r="K196" s="14" t="str">
        <f t="shared" si="10"/>
        <v/>
      </c>
      <c r="L196" s="13"/>
      <c r="M196" s="13"/>
      <c r="N196" s="14" t="str">
        <f t="shared" si="11"/>
        <v/>
      </c>
      <c r="O196" s="8"/>
      <c r="P196" s="8"/>
      <c r="Q196" s="8"/>
      <c r="R196" s="8"/>
      <c r="S196" s="10"/>
      <c r="T196" s="8"/>
    </row>
    <row r="197" spans="1:20">
      <c r="A197" s="8"/>
      <c r="B197" s="10"/>
      <c r="C197" s="8"/>
      <c r="D197" s="8"/>
      <c r="E197" s="8"/>
      <c r="F197" s="8"/>
      <c r="G197" s="13"/>
      <c r="H197" s="13"/>
      <c r="I197" s="14" t="str">
        <f t="shared" ref="I197:I260" si="12">IF(A197="","",H197-G197)</f>
        <v/>
      </c>
      <c r="J197" s="14" t="str">
        <f t="shared" ref="J197:J260" si="13">IF(A197="","",MAX(0,G197-H197))</f>
        <v/>
      </c>
      <c r="K197" s="14" t="str">
        <f t="shared" ref="K197:K260" si="14">IF(A197="","",MAX(0,H197-G197))</f>
        <v/>
      </c>
      <c r="L197" s="13"/>
      <c r="M197" s="13"/>
      <c r="N197" s="14" t="str">
        <f t="shared" ref="N197:N260" si="15">IF(A197="","",MAX(0,L197-M197))</f>
        <v/>
      </c>
      <c r="O197" s="8"/>
      <c r="P197" s="8"/>
      <c r="Q197" s="8"/>
      <c r="R197" s="8"/>
      <c r="S197" s="10"/>
      <c r="T197" s="8"/>
    </row>
    <row r="198" spans="1:20">
      <c r="A198" s="8"/>
      <c r="B198" s="10"/>
      <c r="C198" s="8"/>
      <c r="D198" s="8"/>
      <c r="E198" s="8"/>
      <c r="F198" s="8"/>
      <c r="G198" s="13"/>
      <c r="H198" s="13"/>
      <c r="I198" s="14" t="str">
        <f t="shared" si="12"/>
        <v/>
      </c>
      <c r="J198" s="14" t="str">
        <f t="shared" si="13"/>
        <v/>
      </c>
      <c r="K198" s="14" t="str">
        <f t="shared" si="14"/>
        <v/>
      </c>
      <c r="L198" s="13"/>
      <c r="M198" s="13"/>
      <c r="N198" s="14" t="str">
        <f t="shared" si="15"/>
        <v/>
      </c>
      <c r="O198" s="8"/>
      <c r="P198" s="8"/>
      <c r="Q198" s="8"/>
      <c r="R198" s="8"/>
      <c r="S198" s="10"/>
      <c r="T198" s="8"/>
    </row>
    <row r="199" spans="1:20">
      <c r="A199" s="8"/>
      <c r="B199" s="10"/>
      <c r="C199" s="8"/>
      <c r="D199" s="8"/>
      <c r="E199" s="8"/>
      <c r="F199" s="8"/>
      <c r="G199" s="13"/>
      <c r="H199" s="13"/>
      <c r="I199" s="14" t="str">
        <f t="shared" si="12"/>
        <v/>
      </c>
      <c r="J199" s="14" t="str">
        <f t="shared" si="13"/>
        <v/>
      </c>
      <c r="K199" s="14" t="str">
        <f t="shared" si="14"/>
        <v/>
      </c>
      <c r="L199" s="13"/>
      <c r="M199" s="13"/>
      <c r="N199" s="14" t="str">
        <f t="shared" si="15"/>
        <v/>
      </c>
      <c r="O199" s="8"/>
      <c r="P199" s="8"/>
      <c r="Q199" s="8"/>
      <c r="R199" s="8"/>
      <c r="S199" s="10"/>
      <c r="T199" s="8"/>
    </row>
    <row r="200" spans="1:20">
      <c r="A200" s="8"/>
      <c r="B200" s="10"/>
      <c r="C200" s="8"/>
      <c r="D200" s="8"/>
      <c r="E200" s="8"/>
      <c r="F200" s="8"/>
      <c r="G200" s="13"/>
      <c r="H200" s="13"/>
      <c r="I200" s="14" t="str">
        <f t="shared" si="12"/>
        <v/>
      </c>
      <c r="J200" s="14" t="str">
        <f t="shared" si="13"/>
        <v/>
      </c>
      <c r="K200" s="14" t="str">
        <f t="shared" si="14"/>
        <v/>
      </c>
      <c r="L200" s="13"/>
      <c r="M200" s="13"/>
      <c r="N200" s="14" t="str">
        <f t="shared" si="15"/>
        <v/>
      </c>
      <c r="O200" s="8"/>
      <c r="P200" s="8"/>
      <c r="Q200" s="8"/>
      <c r="R200" s="8"/>
      <c r="S200" s="10"/>
      <c r="T200" s="8"/>
    </row>
    <row r="201" spans="1:20">
      <c r="A201" s="8"/>
      <c r="B201" s="10"/>
      <c r="C201" s="8"/>
      <c r="D201" s="8"/>
      <c r="E201" s="8"/>
      <c r="F201" s="8"/>
      <c r="G201" s="13"/>
      <c r="H201" s="13"/>
      <c r="I201" s="14" t="str">
        <f t="shared" si="12"/>
        <v/>
      </c>
      <c r="J201" s="14" t="str">
        <f t="shared" si="13"/>
        <v/>
      </c>
      <c r="K201" s="14" t="str">
        <f t="shared" si="14"/>
        <v/>
      </c>
      <c r="L201" s="13"/>
      <c r="M201" s="13"/>
      <c r="N201" s="14" t="str">
        <f t="shared" si="15"/>
        <v/>
      </c>
      <c r="O201" s="8"/>
      <c r="P201" s="8"/>
      <c r="Q201" s="8"/>
      <c r="R201" s="8"/>
      <c r="S201" s="10"/>
      <c r="T201" s="8"/>
    </row>
    <row r="202" spans="1:20">
      <c r="A202" s="8"/>
      <c r="B202" s="10"/>
      <c r="C202" s="8"/>
      <c r="D202" s="8"/>
      <c r="E202" s="8"/>
      <c r="F202" s="8"/>
      <c r="G202" s="13"/>
      <c r="H202" s="13"/>
      <c r="I202" s="14" t="str">
        <f t="shared" si="12"/>
        <v/>
      </c>
      <c r="J202" s="14" t="str">
        <f t="shared" si="13"/>
        <v/>
      </c>
      <c r="K202" s="14" t="str">
        <f t="shared" si="14"/>
        <v/>
      </c>
      <c r="L202" s="13"/>
      <c r="M202" s="13"/>
      <c r="N202" s="14" t="str">
        <f t="shared" si="15"/>
        <v/>
      </c>
      <c r="O202" s="8"/>
      <c r="P202" s="8"/>
      <c r="Q202" s="8"/>
      <c r="R202" s="8"/>
      <c r="S202" s="10"/>
      <c r="T202" s="8"/>
    </row>
    <row r="203" spans="1:20">
      <c r="A203" s="8"/>
      <c r="B203" s="10"/>
      <c r="C203" s="8"/>
      <c r="D203" s="8"/>
      <c r="E203" s="8"/>
      <c r="F203" s="8"/>
      <c r="G203" s="13"/>
      <c r="H203" s="13"/>
      <c r="I203" s="14" t="str">
        <f t="shared" si="12"/>
        <v/>
      </c>
      <c r="J203" s="14" t="str">
        <f t="shared" si="13"/>
        <v/>
      </c>
      <c r="K203" s="14" t="str">
        <f t="shared" si="14"/>
        <v/>
      </c>
      <c r="L203" s="13"/>
      <c r="M203" s="13"/>
      <c r="N203" s="14" t="str">
        <f t="shared" si="15"/>
        <v/>
      </c>
      <c r="O203" s="8"/>
      <c r="P203" s="8"/>
      <c r="Q203" s="8"/>
      <c r="R203" s="8"/>
      <c r="S203" s="10"/>
      <c r="T203" s="8"/>
    </row>
    <row r="204" spans="1:20">
      <c r="A204" s="8"/>
      <c r="B204" s="10"/>
      <c r="C204" s="8"/>
      <c r="D204" s="8"/>
      <c r="E204" s="8"/>
      <c r="F204" s="8"/>
      <c r="G204" s="13"/>
      <c r="H204" s="13"/>
      <c r="I204" s="14" t="str">
        <f t="shared" si="12"/>
        <v/>
      </c>
      <c r="J204" s="14" t="str">
        <f t="shared" si="13"/>
        <v/>
      </c>
      <c r="K204" s="14" t="str">
        <f t="shared" si="14"/>
        <v/>
      </c>
      <c r="L204" s="13"/>
      <c r="M204" s="13"/>
      <c r="N204" s="14" t="str">
        <f t="shared" si="15"/>
        <v/>
      </c>
      <c r="O204" s="8"/>
      <c r="P204" s="8"/>
      <c r="Q204" s="8"/>
      <c r="R204" s="8"/>
      <c r="S204" s="10"/>
      <c r="T204" s="8"/>
    </row>
    <row r="205" spans="1:20">
      <c r="A205" s="8"/>
      <c r="B205" s="10"/>
      <c r="C205" s="8"/>
      <c r="D205" s="8"/>
      <c r="E205" s="8"/>
      <c r="F205" s="8"/>
      <c r="G205" s="13"/>
      <c r="H205" s="13"/>
      <c r="I205" s="14" t="str">
        <f t="shared" si="12"/>
        <v/>
      </c>
      <c r="J205" s="14" t="str">
        <f t="shared" si="13"/>
        <v/>
      </c>
      <c r="K205" s="14" t="str">
        <f t="shared" si="14"/>
        <v/>
      </c>
      <c r="L205" s="13"/>
      <c r="M205" s="13"/>
      <c r="N205" s="14" t="str">
        <f t="shared" si="15"/>
        <v/>
      </c>
      <c r="O205" s="8"/>
      <c r="P205" s="8"/>
      <c r="Q205" s="8"/>
      <c r="R205" s="8"/>
      <c r="S205" s="10"/>
      <c r="T205" s="8"/>
    </row>
    <row r="206" spans="1:20">
      <c r="A206" s="8"/>
      <c r="B206" s="10"/>
      <c r="C206" s="8"/>
      <c r="D206" s="8"/>
      <c r="E206" s="8"/>
      <c r="F206" s="8"/>
      <c r="G206" s="13"/>
      <c r="H206" s="13"/>
      <c r="I206" s="14" t="str">
        <f t="shared" si="12"/>
        <v/>
      </c>
      <c r="J206" s="14" t="str">
        <f t="shared" si="13"/>
        <v/>
      </c>
      <c r="K206" s="14" t="str">
        <f t="shared" si="14"/>
        <v/>
      </c>
      <c r="L206" s="13"/>
      <c r="M206" s="13"/>
      <c r="N206" s="14" t="str">
        <f t="shared" si="15"/>
        <v/>
      </c>
      <c r="O206" s="8"/>
      <c r="P206" s="8"/>
      <c r="Q206" s="8"/>
      <c r="R206" s="8"/>
      <c r="S206" s="10"/>
      <c r="T206" s="8"/>
    </row>
    <row r="207" spans="1:20">
      <c r="A207" s="8"/>
      <c r="B207" s="10"/>
      <c r="C207" s="8"/>
      <c r="D207" s="8"/>
      <c r="E207" s="8"/>
      <c r="F207" s="8"/>
      <c r="G207" s="13"/>
      <c r="H207" s="13"/>
      <c r="I207" s="14" t="str">
        <f t="shared" si="12"/>
        <v/>
      </c>
      <c r="J207" s="14" t="str">
        <f t="shared" si="13"/>
        <v/>
      </c>
      <c r="K207" s="14" t="str">
        <f t="shared" si="14"/>
        <v/>
      </c>
      <c r="L207" s="13"/>
      <c r="M207" s="13"/>
      <c r="N207" s="14" t="str">
        <f t="shared" si="15"/>
        <v/>
      </c>
      <c r="O207" s="8"/>
      <c r="P207" s="8"/>
      <c r="Q207" s="8"/>
      <c r="R207" s="8"/>
      <c r="S207" s="10"/>
      <c r="T207" s="8"/>
    </row>
    <row r="208" spans="1:20">
      <c r="A208" s="8"/>
      <c r="B208" s="10"/>
      <c r="C208" s="8"/>
      <c r="D208" s="8"/>
      <c r="E208" s="8"/>
      <c r="F208" s="8"/>
      <c r="G208" s="13"/>
      <c r="H208" s="13"/>
      <c r="I208" s="14" t="str">
        <f t="shared" si="12"/>
        <v/>
      </c>
      <c r="J208" s="14" t="str">
        <f t="shared" si="13"/>
        <v/>
      </c>
      <c r="K208" s="14" t="str">
        <f t="shared" si="14"/>
        <v/>
      </c>
      <c r="L208" s="13"/>
      <c r="M208" s="13"/>
      <c r="N208" s="14" t="str">
        <f t="shared" si="15"/>
        <v/>
      </c>
      <c r="O208" s="8"/>
      <c r="P208" s="8"/>
      <c r="Q208" s="8"/>
      <c r="R208" s="8"/>
      <c r="S208" s="10"/>
      <c r="T208" s="8"/>
    </row>
    <row r="209" spans="1:20">
      <c r="A209" s="8"/>
      <c r="B209" s="10"/>
      <c r="C209" s="8"/>
      <c r="D209" s="8"/>
      <c r="E209" s="8"/>
      <c r="F209" s="8"/>
      <c r="G209" s="13"/>
      <c r="H209" s="13"/>
      <c r="I209" s="14" t="str">
        <f t="shared" si="12"/>
        <v/>
      </c>
      <c r="J209" s="14" t="str">
        <f t="shared" si="13"/>
        <v/>
      </c>
      <c r="K209" s="14" t="str">
        <f t="shared" si="14"/>
        <v/>
      </c>
      <c r="L209" s="13"/>
      <c r="M209" s="13"/>
      <c r="N209" s="14" t="str">
        <f t="shared" si="15"/>
        <v/>
      </c>
      <c r="O209" s="8"/>
      <c r="P209" s="8"/>
      <c r="Q209" s="8"/>
      <c r="R209" s="8"/>
      <c r="S209" s="10"/>
      <c r="T209" s="8"/>
    </row>
    <row r="210" spans="1:20">
      <c r="A210" s="8"/>
      <c r="B210" s="10"/>
      <c r="C210" s="8"/>
      <c r="D210" s="8"/>
      <c r="E210" s="8"/>
      <c r="F210" s="8"/>
      <c r="G210" s="13"/>
      <c r="H210" s="13"/>
      <c r="I210" s="14" t="str">
        <f t="shared" si="12"/>
        <v/>
      </c>
      <c r="J210" s="14" t="str">
        <f t="shared" si="13"/>
        <v/>
      </c>
      <c r="K210" s="14" t="str">
        <f t="shared" si="14"/>
        <v/>
      </c>
      <c r="L210" s="13"/>
      <c r="M210" s="13"/>
      <c r="N210" s="14" t="str">
        <f t="shared" si="15"/>
        <v/>
      </c>
      <c r="O210" s="8"/>
      <c r="P210" s="8"/>
      <c r="Q210" s="8"/>
      <c r="R210" s="8"/>
      <c r="S210" s="10"/>
      <c r="T210" s="8"/>
    </row>
    <row r="211" spans="1:20">
      <c r="A211" s="8"/>
      <c r="B211" s="10"/>
      <c r="C211" s="8"/>
      <c r="D211" s="8"/>
      <c r="E211" s="8"/>
      <c r="F211" s="8"/>
      <c r="G211" s="13"/>
      <c r="H211" s="13"/>
      <c r="I211" s="14" t="str">
        <f t="shared" si="12"/>
        <v/>
      </c>
      <c r="J211" s="14" t="str">
        <f t="shared" si="13"/>
        <v/>
      </c>
      <c r="K211" s="14" t="str">
        <f t="shared" si="14"/>
        <v/>
      </c>
      <c r="L211" s="13"/>
      <c r="M211" s="13"/>
      <c r="N211" s="14" t="str">
        <f t="shared" si="15"/>
        <v/>
      </c>
      <c r="O211" s="8"/>
      <c r="P211" s="8"/>
      <c r="Q211" s="8"/>
      <c r="R211" s="8"/>
      <c r="S211" s="10"/>
      <c r="T211" s="8"/>
    </row>
    <row r="212" spans="1:20">
      <c r="A212" s="8"/>
      <c r="B212" s="10"/>
      <c r="C212" s="8"/>
      <c r="D212" s="8"/>
      <c r="E212" s="8"/>
      <c r="F212" s="8"/>
      <c r="G212" s="13"/>
      <c r="H212" s="13"/>
      <c r="I212" s="14" t="str">
        <f t="shared" si="12"/>
        <v/>
      </c>
      <c r="J212" s="14" t="str">
        <f t="shared" si="13"/>
        <v/>
      </c>
      <c r="K212" s="14" t="str">
        <f t="shared" si="14"/>
        <v/>
      </c>
      <c r="L212" s="13"/>
      <c r="M212" s="13"/>
      <c r="N212" s="14" t="str">
        <f t="shared" si="15"/>
        <v/>
      </c>
      <c r="O212" s="8"/>
      <c r="P212" s="8"/>
      <c r="Q212" s="8"/>
      <c r="R212" s="8"/>
      <c r="S212" s="10"/>
      <c r="T212" s="8"/>
    </row>
    <row r="213" spans="1:20">
      <c r="A213" s="8"/>
      <c r="B213" s="10"/>
      <c r="C213" s="8"/>
      <c r="D213" s="8"/>
      <c r="E213" s="8"/>
      <c r="F213" s="8"/>
      <c r="G213" s="13"/>
      <c r="H213" s="13"/>
      <c r="I213" s="14" t="str">
        <f t="shared" si="12"/>
        <v/>
      </c>
      <c r="J213" s="14" t="str">
        <f t="shared" si="13"/>
        <v/>
      </c>
      <c r="K213" s="14" t="str">
        <f t="shared" si="14"/>
        <v/>
      </c>
      <c r="L213" s="13"/>
      <c r="M213" s="13"/>
      <c r="N213" s="14" t="str">
        <f t="shared" si="15"/>
        <v/>
      </c>
      <c r="O213" s="8"/>
      <c r="P213" s="8"/>
      <c r="Q213" s="8"/>
      <c r="R213" s="8"/>
      <c r="S213" s="10"/>
      <c r="T213" s="8"/>
    </row>
    <row r="214" spans="1:20">
      <c r="A214" s="8"/>
      <c r="B214" s="10"/>
      <c r="C214" s="8"/>
      <c r="D214" s="8"/>
      <c r="E214" s="8"/>
      <c r="F214" s="8"/>
      <c r="G214" s="13"/>
      <c r="H214" s="13"/>
      <c r="I214" s="14" t="str">
        <f t="shared" si="12"/>
        <v/>
      </c>
      <c r="J214" s="14" t="str">
        <f t="shared" si="13"/>
        <v/>
      </c>
      <c r="K214" s="14" t="str">
        <f t="shared" si="14"/>
        <v/>
      </c>
      <c r="L214" s="13"/>
      <c r="M214" s="13"/>
      <c r="N214" s="14" t="str">
        <f t="shared" si="15"/>
        <v/>
      </c>
      <c r="O214" s="8"/>
      <c r="P214" s="8"/>
      <c r="Q214" s="8"/>
      <c r="R214" s="8"/>
      <c r="S214" s="10"/>
      <c r="T214" s="8"/>
    </row>
    <row r="215" spans="1:20">
      <c r="A215" s="8"/>
      <c r="B215" s="10"/>
      <c r="C215" s="8"/>
      <c r="D215" s="8"/>
      <c r="E215" s="8"/>
      <c r="F215" s="8"/>
      <c r="G215" s="13"/>
      <c r="H215" s="13"/>
      <c r="I215" s="14" t="str">
        <f t="shared" si="12"/>
        <v/>
      </c>
      <c r="J215" s="14" t="str">
        <f t="shared" si="13"/>
        <v/>
      </c>
      <c r="K215" s="14" t="str">
        <f t="shared" si="14"/>
        <v/>
      </c>
      <c r="L215" s="13"/>
      <c r="M215" s="13"/>
      <c r="N215" s="14" t="str">
        <f t="shared" si="15"/>
        <v/>
      </c>
      <c r="O215" s="8"/>
      <c r="P215" s="8"/>
      <c r="Q215" s="8"/>
      <c r="R215" s="8"/>
      <c r="S215" s="10"/>
      <c r="T215" s="8"/>
    </row>
    <row r="216" spans="1:20">
      <c r="A216" s="8"/>
      <c r="B216" s="10"/>
      <c r="C216" s="8"/>
      <c r="D216" s="8"/>
      <c r="E216" s="8"/>
      <c r="F216" s="8"/>
      <c r="G216" s="13"/>
      <c r="H216" s="13"/>
      <c r="I216" s="14" t="str">
        <f t="shared" si="12"/>
        <v/>
      </c>
      <c r="J216" s="14" t="str">
        <f t="shared" si="13"/>
        <v/>
      </c>
      <c r="K216" s="14" t="str">
        <f t="shared" si="14"/>
        <v/>
      </c>
      <c r="L216" s="13"/>
      <c r="M216" s="13"/>
      <c r="N216" s="14" t="str">
        <f t="shared" si="15"/>
        <v/>
      </c>
      <c r="O216" s="8"/>
      <c r="P216" s="8"/>
      <c r="Q216" s="8"/>
      <c r="R216" s="8"/>
      <c r="S216" s="10"/>
      <c r="T216" s="8"/>
    </row>
    <row r="217" spans="1:20">
      <c r="A217" s="8"/>
      <c r="B217" s="10"/>
      <c r="C217" s="8"/>
      <c r="D217" s="8"/>
      <c r="E217" s="8"/>
      <c r="F217" s="8"/>
      <c r="G217" s="13"/>
      <c r="H217" s="13"/>
      <c r="I217" s="14" t="str">
        <f t="shared" si="12"/>
        <v/>
      </c>
      <c r="J217" s="14" t="str">
        <f t="shared" si="13"/>
        <v/>
      </c>
      <c r="K217" s="14" t="str">
        <f t="shared" si="14"/>
        <v/>
      </c>
      <c r="L217" s="13"/>
      <c r="M217" s="13"/>
      <c r="N217" s="14" t="str">
        <f t="shared" si="15"/>
        <v/>
      </c>
      <c r="O217" s="8"/>
      <c r="P217" s="8"/>
      <c r="Q217" s="8"/>
      <c r="R217" s="8"/>
      <c r="S217" s="10"/>
      <c r="T217" s="8"/>
    </row>
    <row r="218" spans="1:20">
      <c r="A218" s="8"/>
      <c r="B218" s="10"/>
      <c r="C218" s="8"/>
      <c r="D218" s="8"/>
      <c r="E218" s="8"/>
      <c r="F218" s="8"/>
      <c r="G218" s="13"/>
      <c r="H218" s="13"/>
      <c r="I218" s="14" t="str">
        <f t="shared" si="12"/>
        <v/>
      </c>
      <c r="J218" s="14" t="str">
        <f t="shared" si="13"/>
        <v/>
      </c>
      <c r="K218" s="14" t="str">
        <f t="shared" si="14"/>
        <v/>
      </c>
      <c r="L218" s="13"/>
      <c r="M218" s="13"/>
      <c r="N218" s="14" t="str">
        <f t="shared" si="15"/>
        <v/>
      </c>
      <c r="O218" s="8"/>
      <c r="P218" s="8"/>
      <c r="Q218" s="8"/>
      <c r="R218" s="8"/>
      <c r="S218" s="10"/>
      <c r="T218" s="8"/>
    </row>
    <row r="219" spans="1:20">
      <c r="A219" s="8"/>
      <c r="B219" s="10"/>
      <c r="C219" s="8"/>
      <c r="D219" s="8"/>
      <c r="E219" s="8"/>
      <c r="F219" s="8"/>
      <c r="G219" s="13"/>
      <c r="H219" s="13"/>
      <c r="I219" s="14" t="str">
        <f t="shared" si="12"/>
        <v/>
      </c>
      <c r="J219" s="14" t="str">
        <f t="shared" si="13"/>
        <v/>
      </c>
      <c r="K219" s="14" t="str">
        <f t="shared" si="14"/>
        <v/>
      </c>
      <c r="L219" s="13"/>
      <c r="M219" s="13"/>
      <c r="N219" s="14" t="str">
        <f t="shared" si="15"/>
        <v/>
      </c>
      <c r="O219" s="8"/>
      <c r="P219" s="8"/>
      <c r="Q219" s="8"/>
      <c r="R219" s="8"/>
      <c r="S219" s="10"/>
      <c r="T219" s="8"/>
    </row>
    <row r="220" spans="1:20">
      <c r="A220" s="8"/>
      <c r="B220" s="10"/>
      <c r="C220" s="8"/>
      <c r="D220" s="8"/>
      <c r="E220" s="8"/>
      <c r="F220" s="8"/>
      <c r="G220" s="13"/>
      <c r="H220" s="13"/>
      <c r="I220" s="14" t="str">
        <f t="shared" si="12"/>
        <v/>
      </c>
      <c r="J220" s="14" t="str">
        <f t="shared" si="13"/>
        <v/>
      </c>
      <c r="K220" s="14" t="str">
        <f t="shared" si="14"/>
        <v/>
      </c>
      <c r="L220" s="13"/>
      <c r="M220" s="13"/>
      <c r="N220" s="14" t="str">
        <f t="shared" si="15"/>
        <v/>
      </c>
      <c r="O220" s="8"/>
      <c r="P220" s="8"/>
      <c r="Q220" s="8"/>
      <c r="R220" s="8"/>
      <c r="S220" s="10"/>
      <c r="T220" s="8"/>
    </row>
    <row r="221" spans="1:20">
      <c r="A221" s="8"/>
      <c r="B221" s="10"/>
      <c r="C221" s="8"/>
      <c r="D221" s="8"/>
      <c r="E221" s="8"/>
      <c r="F221" s="8"/>
      <c r="G221" s="13"/>
      <c r="H221" s="13"/>
      <c r="I221" s="14" t="str">
        <f t="shared" si="12"/>
        <v/>
      </c>
      <c r="J221" s="14" t="str">
        <f t="shared" si="13"/>
        <v/>
      </c>
      <c r="K221" s="14" t="str">
        <f t="shared" si="14"/>
        <v/>
      </c>
      <c r="L221" s="13"/>
      <c r="M221" s="13"/>
      <c r="N221" s="14" t="str">
        <f t="shared" si="15"/>
        <v/>
      </c>
      <c r="O221" s="8"/>
      <c r="P221" s="8"/>
      <c r="Q221" s="8"/>
      <c r="R221" s="8"/>
      <c r="S221" s="10"/>
      <c r="T221" s="8"/>
    </row>
    <row r="222" spans="1:20">
      <c r="A222" s="8"/>
      <c r="B222" s="10"/>
      <c r="C222" s="8"/>
      <c r="D222" s="8"/>
      <c r="E222" s="8"/>
      <c r="F222" s="8"/>
      <c r="G222" s="13"/>
      <c r="H222" s="13"/>
      <c r="I222" s="14" t="str">
        <f t="shared" si="12"/>
        <v/>
      </c>
      <c r="J222" s="14" t="str">
        <f t="shared" si="13"/>
        <v/>
      </c>
      <c r="K222" s="14" t="str">
        <f t="shared" si="14"/>
        <v/>
      </c>
      <c r="L222" s="13"/>
      <c r="M222" s="13"/>
      <c r="N222" s="14" t="str">
        <f t="shared" si="15"/>
        <v/>
      </c>
      <c r="O222" s="8"/>
      <c r="P222" s="8"/>
      <c r="Q222" s="8"/>
      <c r="R222" s="8"/>
      <c r="S222" s="10"/>
      <c r="T222" s="8"/>
    </row>
    <row r="223" spans="1:20">
      <c r="A223" s="8"/>
      <c r="B223" s="10"/>
      <c r="C223" s="8"/>
      <c r="D223" s="8"/>
      <c r="E223" s="8"/>
      <c r="F223" s="8"/>
      <c r="G223" s="13"/>
      <c r="H223" s="13"/>
      <c r="I223" s="14" t="str">
        <f t="shared" si="12"/>
        <v/>
      </c>
      <c r="J223" s="14" t="str">
        <f t="shared" si="13"/>
        <v/>
      </c>
      <c r="K223" s="14" t="str">
        <f t="shared" si="14"/>
        <v/>
      </c>
      <c r="L223" s="13"/>
      <c r="M223" s="13"/>
      <c r="N223" s="14" t="str">
        <f t="shared" si="15"/>
        <v/>
      </c>
      <c r="O223" s="8"/>
      <c r="P223" s="8"/>
      <c r="Q223" s="8"/>
      <c r="R223" s="8"/>
      <c r="S223" s="10"/>
      <c r="T223" s="8"/>
    </row>
    <row r="224" spans="1:20">
      <c r="A224" s="8"/>
      <c r="B224" s="10"/>
      <c r="C224" s="8"/>
      <c r="D224" s="8"/>
      <c r="E224" s="8"/>
      <c r="F224" s="8"/>
      <c r="G224" s="13"/>
      <c r="H224" s="13"/>
      <c r="I224" s="14" t="str">
        <f t="shared" si="12"/>
        <v/>
      </c>
      <c r="J224" s="14" t="str">
        <f t="shared" si="13"/>
        <v/>
      </c>
      <c r="K224" s="14" t="str">
        <f t="shared" si="14"/>
        <v/>
      </c>
      <c r="L224" s="13"/>
      <c r="M224" s="13"/>
      <c r="N224" s="14" t="str">
        <f t="shared" si="15"/>
        <v/>
      </c>
      <c r="O224" s="8"/>
      <c r="P224" s="8"/>
      <c r="Q224" s="8"/>
      <c r="R224" s="8"/>
      <c r="S224" s="10"/>
      <c r="T224" s="8"/>
    </row>
    <row r="225" spans="1:20">
      <c r="A225" s="8"/>
      <c r="B225" s="10"/>
      <c r="C225" s="8"/>
      <c r="D225" s="8"/>
      <c r="E225" s="8"/>
      <c r="F225" s="8"/>
      <c r="G225" s="13"/>
      <c r="H225" s="13"/>
      <c r="I225" s="14" t="str">
        <f t="shared" si="12"/>
        <v/>
      </c>
      <c r="J225" s="14" t="str">
        <f t="shared" si="13"/>
        <v/>
      </c>
      <c r="K225" s="14" t="str">
        <f t="shared" si="14"/>
        <v/>
      </c>
      <c r="L225" s="13"/>
      <c r="M225" s="13"/>
      <c r="N225" s="14" t="str">
        <f t="shared" si="15"/>
        <v/>
      </c>
      <c r="O225" s="8"/>
      <c r="P225" s="8"/>
      <c r="Q225" s="8"/>
      <c r="R225" s="8"/>
      <c r="S225" s="10"/>
      <c r="T225" s="8"/>
    </row>
    <row r="226" spans="1:20">
      <c r="A226" s="8"/>
      <c r="B226" s="10"/>
      <c r="C226" s="8"/>
      <c r="D226" s="8"/>
      <c r="E226" s="8"/>
      <c r="F226" s="8"/>
      <c r="G226" s="13"/>
      <c r="H226" s="13"/>
      <c r="I226" s="14" t="str">
        <f t="shared" si="12"/>
        <v/>
      </c>
      <c r="J226" s="14" t="str">
        <f t="shared" si="13"/>
        <v/>
      </c>
      <c r="K226" s="14" t="str">
        <f t="shared" si="14"/>
        <v/>
      </c>
      <c r="L226" s="13"/>
      <c r="M226" s="13"/>
      <c r="N226" s="14" t="str">
        <f t="shared" si="15"/>
        <v/>
      </c>
      <c r="O226" s="8"/>
      <c r="P226" s="8"/>
      <c r="Q226" s="8"/>
      <c r="R226" s="8"/>
      <c r="S226" s="10"/>
      <c r="T226" s="8"/>
    </row>
    <row r="227" spans="1:20">
      <c r="A227" s="8"/>
      <c r="B227" s="10"/>
      <c r="C227" s="8"/>
      <c r="D227" s="8"/>
      <c r="E227" s="8"/>
      <c r="F227" s="8"/>
      <c r="G227" s="13"/>
      <c r="H227" s="13"/>
      <c r="I227" s="14" t="str">
        <f t="shared" si="12"/>
        <v/>
      </c>
      <c r="J227" s="14" t="str">
        <f t="shared" si="13"/>
        <v/>
      </c>
      <c r="K227" s="14" t="str">
        <f t="shared" si="14"/>
        <v/>
      </c>
      <c r="L227" s="13"/>
      <c r="M227" s="13"/>
      <c r="N227" s="14" t="str">
        <f t="shared" si="15"/>
        <v/>
      </c>
      <c r="O227" s="8"/>
      <c r="P227" s="8"/>
      <c r="Q227" s="8"/>
      <c r="R227" s="8"/>
      <c r="S227" s="10"/>
      <c r="T227" s="8"/>
    </row>
    <row r="228" spans="1:20">
      <c r="A228" s="8"/>
      <c r="B228" s="10"/>
      <c r="C228" s="8"/>
      <c r="D228" s="8"/>
      <c r="E228" s="8"/>
      <c r="F228" s="8"/>
      <c r="G228" s="13"/>
      <c r="H228" s="13"/>
      <c r="I228" s="14" t="str">
        <f t="shared" si="12"/>
        <v/>
      </c>
      <c r="J228" s="14" t="str">
        <f t="shared" si="13"/>
        <v/>
      </c>
      <c r="K228" s="14" t="str">
        <f t="shared" si="14"/>
        <v/>
      </c>
      <c r="L228" s="13"/>
      <c r="M228" s="13"/>
      <c r="N228" s="14" t="str">
        <f t="shared" si="15"/>
        <v/>
      </c>
      <c r="O228" s="8"/>
      <c r="P228" s="8"/>
      <c r="Q228" s="8"/>
      <c r="R228" s="8"/>
      <c r="S228" s="10"/>
      <c r="T228" s="8"/>
    </row>
    <row r="229" spans="1:20">
      <c r="A229" s="8"/>
      <c r="B229" s="10"/>
      <c r="C229" s="8"/>
      <c r="D229" s="8"/>
      <c r="E229" s="8"/>
      <c r="F229" s="8"/>
      <c r="G229" s="13"/>
      <c r="H229" s="13"/>
      <c r="I229" s="14" t="str">
        <f t="shared" si="12"/>
        <v/>
      </c>
      <c r="J229" s="14" t="str">
        <f t="shared" si="13"/>
        <v/>
      </c>
      <c r="K229" s="14" t="str">
        <f t="shared" si="14"/>
        <v/>
      </c>
      <c r="L229" s="13"/>
      <c r="M229" s="13"/>
      <c r="N229" s="14" t="str">
        <f t="shared" si="15"/>
        <v/>
      </c>
      <c r="O229" s="8"/>
      <c r="P229" s="8"/>
      <c r="Q229" s="8"/>
      <c r="R229" s="8"/>
      <c r="S229" s="10"/>
      <c r="T229" s="8"/>
    </row>
    <row r="230" spans="1:20">
      <c r="A230" s="8"/>
      <c r="B230" s="10"/>
      <c r="C230" s="8"/>
      <c r="D230" s="8"/>
      <c r="E230" s="8"/>
      <c r="F230" s="8"/>
      <c r="G230" s="13"/>
      <c r="H230" s="13"/>
      <c r="I230" s="14" t="str">
        <f t="shared" si="12"/>
        <v/>
      </c>
      <c r="J230" s="14" t="str">
        <f t="shared" si="13"/>
        <v/>
      </c>
      <c r="K230" s="14" t="str">
        <f t="shared" si="14"/>
        <v/>
      </c>
      <c r="L230" s="13"/>
      <c r="M230" s="13"/>
      <c r="N230" s="14" t="str">
        <f t="shared" si="15"/>
        <v/>
      </c>
      <c r="O230" s="8"/>
      <c r="P230" s="8"/>
      <c r="Q230" s="8"/>
      <c r="R230" s="8"/>
      <c r="S230" s="10"/>
      <c r="T230" s="8"/>
    </row>
    <row r="231" spans="1:20">
      <c r="A231" s="8"/>
      <c r="B231" s="10"/>
      <c r="C231" s="8"/>
      <c r="D231" s="8"/>
      <c r="E231" s="8"/>
      <c r="F231" s="8"/>
      <c r="G231" s="13"/>
      <c r="H231" s="13"/>
      <c r="I231" s="14" t="str">
        <f t="shared" si="12"/>
        <v/>
      </c>
      <c r="J231" s="14" t="str">
        <f t="shared" si="13"/>
        <v/>
      </c>
      <c r="K231" s="14" t="str">
        <f t="shared" si="14"/>
        <v/>
      </c>
      <c r="L231" s="13"/>
      <c r="M231" s="13"/>
      <c r="N231" s="14" t="str">
        <f t="shared" si="15"/>
        <v/>
      </c>
      <c r="O231" s="8"/>
      <c r="P231" s="8"/>
      <c r="Q231" s="8"/>
      <c r="R231" s="8"/>
      <c r="S231" s="10"/>
      <c r="T231" s="8"/>
    </row>
    <row r="232" spans="1:20">
      <c r="A232" s="8"/>
      <c r="B232" s="10"/>
      <c r="C232" s="8"/>
      <c r="D232" s="8"/>
      <c r="E232" s="8"/>
      <c r="F232" s="8"/>
      <c r="G232" s="13"/>
      <c r="H232" s="13"/>
      <c r="I232" s="14" t="str">
        <f t="shared" si="12"/>
        <v/>
      </c>
      <c r="J232" s="14" t="str">
        <f t="shared" si="13"/>
        <v/>
      </c>
      <c r="K232" s="14" t="str">
        <f t="shared" si="14"/>
        <v/>
      </c>
      <c r="L232" s="13"/>
      <c r="M232" s="13"/>
      <c r="N232" s="14" t="str">
        <f t="shared" si="15"/>
        <v/>
      </c>
      <c r="O232" s="8"/>
      <c r="P232" s="8"/>
      <c r="Q232" s="8"/>
      <c r="R232" s="8"/>
      <c r="S232" s="10"/>
      <c r="T232" s="8"/>
    </row>
    <row r="233" spans="1:20">
      <c r="A233" s="8"/>
      <c r="B233" s="10"/>
      <c r="C233" s="8"/>
      <c r="D233" s="8"/>
      <c r="E233" s="8"/>
      <c r="F233" s="8"/>
      <c r="G233" s="13"/>
      <c r="H233" s="13"/>
      <c r="I233" s="14" t="str">
        <f t="shared" si="12"/>
        <v/>
      </c>
      <c r="J233" s="14" t="str">
        <f t="shared" si="13"/>
        <v/>
      </c>
      <c r="K233" s="14" t="str">
        <f t="shared" si="14"/>
        <v/>
      </c>
      <c r="L233" s="13"/>
      <c r="M233" s="13"/>
      <c r="N233" s="14" t="str">
        <f t="shared" si="15"/>
        <v/>
      </c>
      <c r="O233" s="8"/>
      <c r="P233" s="8"/>
      <c r="Q233" s="8"/>
      <c r="R233" s="8"/>
      <c r="S233" s="10"/>
      <c r="T233" s="8"/>
    </row>
    <row r="234" spans="1:20">
      <c r="A234" s="8"/>
      <c r="B234" s="10"/>
      <c r="C234" s="8"/>
      <c r="D234" s="8"/>
      <c r="E234" s="8"/>
      <c r="F234" s="8"/>
      <c r="G234" s="13"/>
      <c r="H234" s="13"/>
      <c r="I234" s="14" t="str">
        <f t="shared" si="12"/>
        <v/>
      </c>
      <c r="J234" s="14" t="str">
        <f t="shared" si="13"/>
        <v/>
      </c>
      <c r="K234" s="14" t="str">
        <f t="shared" si="14"/>
        <v/>
      </c>
      <c r="L234" s="13"/>
      <c r="M234" s="13"/>
      <c r="N234" s="14" t="str">
        <f t="shared" si="15"/>
        <v/>
      </c>
      <c r="O234" s="8"/>
      <c r="P234" s="8"/>
      <c r="Q234" s="8"/>
      <c r="R234" s="8"/>
      <c r="S234" s="10"/>
      <c r="T234" s="8"/>
    </row>
    <row r="235" spans="1:20">
      <c r="A235" s="8"/>
      <c r="B235" s="10"/>
      <c r="C235" s="8"/>
      <c r="D235" s="8"/>
      <c r="E235" s="8"/>
      <c r="F235" s="8"/>
      <c r="G235" s="13"/>
      <c r="H235" s="13"/>
      <c r="I235" s="14" t="str">
        <f t="shared" si="12"/>
        <v/>
      </c>
      <c r="J235" s="14" t="str">
        <f t="shared" si="13"/>
        <v/>
      </c>
      <c r="K235" s="14" t="str">
        <f t="shared" si="14"/>
        <v/>
      </c>
      <c r="L235" s="13"/>
      <c r="M235" s="13"/>
      <c r="N235" s="14" t="str">
        <f t="shared" si="15"/>
        <v/>
      </c>
      <c r="O235" s="8"/>
      <c r="P235" s="8"/>
      <c r="Q235" s="8"/>
      <c r="R235" s="8"/>
      <c r="S235" s="10"/>
      <c r="T235" s="8"/>
    </row>
    <row r="236" spans="1:20">
      <c r="A236" s="8"/>
      <c r="B236" s="10"/>
      <c r="C236" s="8"/>
      <c r="D236" s="8"/>
      <c r="E236" s="8"/>
      <c r="F236" s="8"/>
      <c r="G236" s="13"/>
      <c r="H236" s="13"/>
      <c r="I236" s="14" t="str">
        <f t="shared" si="12"/>
        <v/>
      </c>
      <c r="J236" s="14" t="str">
        <f t="shared" si="13"/>
        <v/>
      </c>
      <c r="K236" s="14" t="str">
        <f t="shared" si="14"/>
        <v/>
      </c>
      <c r="L236" s="13"/>
      <c r="M236" s="13"/>
      <c r="N236" s="14" t="str">
        <f t="shared" si="15"/>
        <v/>
      </c>
      <c r="O236" s="8"/>
      <c r="P236" s="8"/>
      <c r="Q236" s="8"/>
      <c r="R236" s="8"/>
      <c r="S236" s="10"/>
      <c r="T236" s="8"/>
    </row>
    <row r="237" spans="1:20">
      <c r="A237" s="8"/>
      <c r="B237" s="10"/>
      <c r="C237" s="8"/>
      <c r="D237" s="8"/>
      <c r="E237" s="8"/>
      <c r="F237" s="8"/>
      <c r="G237" s="13"/>
      <c r="H237" s="13"/>
      <c r="I237" s="14" t="str">
        <f t="shared" si="12"/>
        <v/>
      </c>
      <c r="J237" s="14" t="str">
        <f t="shared" si="13"/>
        <v/>
      </c>
      <c r="K237" s="14" t="str">
        <f t="shared" si="14"/>
        <v/>
      </c>
      <c r="L237" s="13"/>
      <c r="M237" s="13"/>
      <c r="N237" s="14" t="str">
        <f t="shared" si="15"/>
        <v/>
      </c>
      <c r="O237" s="8"/>
      <c r="P237" s="8"/>
      <c r="Q237" s="8"/>
      <c r="R237" s="8"/>
      <c r="S237" s="10"/>
      <c r="T237" s="8"/>
    </row>
    <row r="238" spans="1:20">
      <c r="A238" s="8"/>
      <c r="B238" s="10"/>
      <c r="C238" s="8"/>
      <c r="D238" s="8"/>
      <c r="E238" s="8"/>
      <c r="F238" s="8"/>
      <c r="G238" s="13"/>
      <c r="H238" s="13"/>
      <c r="I238" s="14" t="str">
        <f t="shared" si="12"/>
        <v/>
      </c>
      <c r="J238" s="14" t="str">
        <f t="shared" si="13"/>
        <v/>
      </c>
      <c r="K238" s="14" t="str">
        <f t="shared" si="14"/>
        <v/>
      </c>
      <c r="L238" s="13"/>
      <c r="M238" s="13"/>
      <c r="N238" s="14" t="str">
        <f t="shared" si="15"/>
        <v/>
      </c>
      <c r="O238" s="8"/>
      <c r="P238" s="8"/>
      <c r="Q238" s="8"/>
      <c r="R238" s="8"/>
      <c r="S238" s="10"/>
      <c r="T238" s="8"/>
    </row>
    <row r="239" spans="1:20">
      <c r="A239" s="8"/>
      <c r="B239" s="10"/>
      <c r="C239" s="8"/>
      <c r="D239" s="8"/>
      <c r="E239" s="8"/>
      <c r="F239" s="8"/>
      <c r="G239" s="13"/>
      <c r="H239" s="13"/>
      <c r="I239" s="14" t="str">
        <f t="shared" si="12"/>
        <v/>
      </c>
      <c r="J239" s="14" t="str">
        <f t="shared" si="13"/>
        <v/>
      </c>
      <c r="K239" s="14" t="str">
        <f t="shared" si="14"/>
        <v/>
      </c>
      <c r="L239" s="13"/>
      <c r="M239" s="13"/>
      <c r="N239" s="14" t="str">
        <f t="shared" si="15"/>
        <v/>
      </c>
      <c r="O239" s="8"/>
      <c r="P239" s="8"/>
      <c r="Q239" s="8"/>
      <c r="R239" s="8"/>
      <c r="S239" s="10"/>
      <c r="T239" s="8"/>
    </row>
    <row r="240" spans="1:20">
      <c r="A240" s="8"/>
      <c r="B240" s="10"/>
      <c r="C240" s="8"/>
      <c r="D240" s="8"/>
      <c r="E240" s="8"/>
      <c r="F240" s="8"/>
      <c r="G240" s="13"/>
      <c r="H240" s="13"/>
      <c r="I240" s="14" t="str">
        <f t="shared" si="12"/>
        <v/>
      </c>
      <c r="J240" s="14" t="str">
        <f t="shared" si="13"/>
        <v/>
      </c>
      <c r="K240" s="14" t="str">
        <f t="shared" si="14"/>
        <v/>
      </c>
      <c r="L240" s="13"/>
      <c r="M240" s="13"/>
      <c r="N240" s="14" t="str">
        <f t="shared" si="15"/>
        <v/>
      </c>
      <c r="O240" s="8"/>
      <c r="P240" s="8"/>
      <c r="Q240" s="8"/>
      <c r="R240" s="8"/>
      <c r="S240" s="10"/>
      <c r="T240" s="8"/>
    </row>
    <row r="241" spans="1:20">
      <c r="A241" s="8"/>
      <c r="B241" s="10"/>
      <c r="C241" s="8"/>
      <c r="D241" s="8"/>
      <c r="E241" s="8"/>
      <c r="F241" s="8"/>
      <c r="G241" s="13"/>
      <c r="H241" s="13"/>
      <c r="I241" s="14" t="str">
        <f t="shared" si="12"/>
        <v/>
      </c>
      <c r="J241" s="14" t="str">
        <f t="shared" si="13"/>
        <v/>
      </c>
      <c r="K241" s="14" t="str">
        <f t="shared" si="14"/>
        <v/>
      </c>
      <c r="L241" s="13"/>
      <c r="M241" s="13"/>
      <c r="N241" s="14" t="str">
        <f t="shared" si="15"/>
        <v/>
      </c>
      <c r="O241" s="8"/>
      <c r="P241" s="8"/>
      <c r="Q241" s="8"/>
      <c r="R241" s="8"/>
      <c r="S241" s="10"/>
      <c r="T241" s="8"/>
    </row>
    <row r="242" spans="1:20">
      <c r="A242" s="8"/>
      <c r="B242" s="10"/>
      <c r="C242" s="8"/>
      <c r="D242" s="8"/>
      <c r="E242" s="8"/>
      <c r="F242" s="8"/>
      <c r="G242" s="13"/>
      <c r="H242" s="13"/>
      <c r="I242" s="14" t="str">
        <f t="shared" si="12"/>
        <v/>
      </c>
      <c r="J242" s="14" t="str">
        <f t="shared" si="13"/>
        <v/>
      </c>
      <c r="K242" s="14" t="str">
        <f t="shared" si="14"/>
        <v/>
      </c>
      <c r="L242" s="13"/>
      <c r="M242" s="13"/>
      <c r="N242" s="14" t="str">
        <f t="shared" si="15"/>
        <v/>
      </c>
      <c r="O242" s="8"/>
      <c r="P242" s="8"/>
      <c r="Q242" s="8"/>
      <c r="R242" s="8"/>
      <c r="S242" s="10"/>
      <c r="T242" s="8"/>
    </row>
    <row r="243" spans="1:20">
      <c r="A243" s="8"/>
      <c r="B243" s="10"/>
      <c r="C243" s="8"/>
      <c r="D243" s="8"/>
      <c r="E243" s="8"/>
      <c r="F243" s="8"/>
      <c r="G243" s="13"/>
      <c r="H243" s="13"/>
      <c r="I243" s="14" t="str">
        <f t="shared" si="12"/>
        <v/>
      </c>
      <c r="J243" s="14" t="str">
        <f t="shared" si="13"/>
        <v/>
      </c>
      <c r="K243" s="14" t="str">
        <f t="shared" si="14"/>
        <v/>
      </c>
      <c r="L243" s="13"/>
      <c r="M243" s="13"/>
      <c r="N243" s="14" t="str">
        <f t="shared" si="15"/>
        <v/>
      </c>
      <c r="O243" s="8"/>
      <c r="P243" s="8"/>
      <c r="Q243" s="8"/>
      <c r="R243" s="8"/>
      <c r="S243" s="10"/>
      <c r="T243" s="8"/>
    </row>
    <row r="244" spans="1:20">
      <c r="A244" s="8"/>
      <c r="B244" s="10"/>
      <c r="C244" s="8"/>
      <c r="D244" s="8"/>
      <c r="E244" s="8"/>
      <c r="F244" s="8"/>
      <c r="G244" s="13"/>
      <c r="H244" s="13"/>
      <c r="I244" s="14" t="str">
        <f t="shared" si="12"/>
        <v/>
      </c>
      <c r="J244" s="14" t="str">
        <f t="shared" si="13"/>
        <v/>
      </c>
      <c r="K244" s="14" t="str">
        <f t="shared" si="14"/>
        <v/>
      </c>
      <c r="L244" s="13"/>
      <c r="M244" s="13"/>
      <c r="N244" s="14" t="str">
        <f t="shared" si="15"/>
        <v/>
      </c>
      <c r="O244" s="8"/>
      <c r="P244" s="8"/>
      <c r="Q244" s="8"/>
      <c r="R244" s="8"/>
      <c r="S244" s="10"/>
      <c r="T244" s="8"/>
    </row>
    <row r="245" spans="1:20">
      <c r="A245" s="8"/>
      <c r="B245" s="10"/>
      <c r="C245" s="8"/>
      <c r="D245" s="8"/>
      <c r="E245" s="8"/>
      <c r="F245" s="8"/>
      <c r="G245" s="13"/>
      <c r="H245" s="13"/>
      <c r="I245" s="14" t="str">
        <f t="shared" si="12"/>
        <v/>
      </c>
      <c r="J245" s="14" t="str">
        <f t="shared" si="13"/>
        <v/>
      </c>
      <c r="K245" s="14" t="str">
        <f t="shared" si="14"/>
        <v/>
      </c>
      <c r="L245" s="13"/>
      <c r="M245" s="13"/>
      <c r="N245" s="14" t="str">
        <f t="shared" si="15"/>
        <v/>
      </c>
      <c r="O245" s="8"/>
      <c r="P245" s="8"/>
      <c r="Q245" s="8"/>
      <c r="R245" s="8"/>
      <c r="S245" s="10"/>
      <c r="T245" s="8"/>
    </row>
    <row r="246" spans="1:20">
      <c r="A246" s="8"/>
      <c r="B246" s="10"/>
      <c r="C246" s="8"/>
      <c r="D246" s="8"/>
      <c r="E246" s="8"/>
      <c r="F246" s="8"/>
      <c r="G246" s="13"/>
      <c r="H246" s="13"/>
      <c r="I246" s="14" t="str">
        <f t="shared" si="12"/>
        <v/>
      </c>
      <c r="J246" s="14" t="str">
        <f t="shared" si="13"/>
        <v/>
      </c>
      <c r="K246" s="14" t="str">
        <f t="shared" si="14"/>
        <v/>
      </c>
      <c r="L246" s="13"/>
      <c r="M246" s="13"/>
      <c r="N246" s="14" t="str">
        <f t="shared" si="15"/>
        <v/>
      </c>
      <c r="O246" s="8"/>
      <c r="P246" s="8"/>
      <c r="Q246" s="8"/>
      <c r="R246" s="8"/>
      <c r="S246" s="10"/>
      <c r="T246" s="8"/>
    </row>
    <row r="247" spans="1:20">
      <c r="A247" s="8"/>
      <c r="B247" s="10"/>
      <c r="C247" s="8"/>
      <c r="D247" s="8"/>
      <c r="E247" s="8"/>
      <c r="F247" s="8"/>
      <c r="G247" s="13"/>
      <c r="H247" s="13"/>
      <c r="I247" s="14" t="str">
        <f t="shared" si="12"/>
        <v/>
      </c>
      <c r="J247" s="14" t="str">
        <f t="shared" si="13"/>
        <v/>
      </c>
      <c r="K247" s="14" t="str">
        <f t="shared" si="14"/>
        <v/>
      </c>
      <c r="L247" s="13"/>
      <c r="M247" s="13"/>
      <c r="N247" s="14" t="str">
        <f t="shared" si="15"/>
        <v/>
      </c>
      <c r="O247" s="8"/>
      <c r="P247" s="8"/>
      <c r="Q247" s="8"/>
      <c r="R247" s="8"/>
      <c r="S247" s="10"/>
      <c r="T247" s="8"/>
    </row>
    <row r="248" spans="1:20">
      <c r="A248" s="8"/>
      <c r="B248" s="10"/>
      <c r="C248" s="8"/>
      <c r="D248" s="8"/>
      <c r="E248" s="8"/>
      <c r="F248" s="8"/>
      <c r="G248" s="13"/>
      <c r="H248" s="13"/>
      <c r="I248" s="14" t="str">
        <f t="shared" si="12"/>
        <v/>
      </c>
      <c r="J248" s="14" t="str">
        <f t="shared" si="13"/>
        <v/>
      </c>
      <c r="K248" s="14" t="str">
        <f t="shared" si="14"/>
        <v/>
      </c>
      <c r="L248" s="13"/>
      <c r="M248" s="13"/>
      <c r="N248" s="14" t="str">
        <f t="shared" si="15"/>
        <v/>
      </c>
      <c r="O248" s="8"/>
      <c r="P248" s="8"/>
      <c r="Q248" s="8"/>
      <c r="R248" s="8"/>
      <c r="S248" s="10"/>
      <c r="T248" s="8"/>
    </row>
    <row r="249" spans="1:20">
      <c r="A249" s="8"/>
      <c r="B249" s="10"/>
      <c r="C249" s="8"/>
      <c r="D249" s="8"/>
      <c r="E249" s="8"/>
      <c r="F249" s="8"/>
      <c r="G249" s="13"/>
      <c r="H249" s="13"/>
      <c r="I249" s="14" t="str">
        <f t="shared" si="12"/>
        <v/>
      </c>
      <c r="J249" s="14" t="str">
        <f t="shared" si="13"/>
        <v/>
      </c>
      <c r="K249" s="14" t="str">
        <f t="shared" si="14"/>
        <v/>
      </c>
      <c r="L249" s="13"/>
      <c r="M249" s="13"/>
      <c r="N249" s="14" t="str">
        <f t="shared" si="15"/>
        <v/>
      </c>
      <c r="O249" s="8"/>
      <c r="P249" s="8"/>
      <c r="Q249" s="8"/>
      <c r="R249" s="8"/>
      <c r="S249" s="10"/>
      <c r="T249" s="8"/>
    </row>
    <row r="250" spans="1:20">
      <c r="A250" s="8"/>
      <c r="B250" s="10"/>
      <c r="C250" s="8"/>
      <c r="D250" s="8"/>
      <c r="E250" s="8"/>
      <c r="F250" s="8"/>
      <c r="G250" s="13"/>
      <c r="H250" s="13"/>
      <c r="I250" s="14" t="str">
        <f t="shared" si="12"/>
        <v/>
      </c>
      <c r="J250" s="14" t="str">
        <f t="shared" si="13"/>
        <v/>
      </c>
      <c r="K250" s="14" t="str">
        <f t="shared" si="14"/>
        <v/>
      </c>
      <c r="L250" s="13"/>
      <c r="M250" s="13"/>
      <c r="N250" s="14" t="str">
        <f t="shared" si="15"/>
        <v/>
      </c>
      <c r="O250" s="8"/>
      <c r="P250" s="8"/>
      <c r="Q250" s="8"/>
      <c r="R250" s="8"/>
      <c r="S250" s="10"/>
      <c r="T250" s="8"/>
    </row>
    <row r="251" spans="1:20">
      <c r="A251" s="8"/>
      <c r="B251" s="10"/>
      <c r="C251" s="8"/>
      <c r="D251" s="8"/>
      <c r="E251" s="8"/>
      <c r="F251" s="8"/>
      <c r="G251" s="13"/>
      <c r="H251" s="13"/>
      <c r="I251" s="14" t="str">
        <f t="shared" si="12"/>
        <v/>
      </c>
      <c r="J251" s="14" t="str">
        <f t="shared" si="13"/>
        <v/>
      </c>
      <c r="K251" s="14" t="str">
        <f t="shared" si="14"/>
        <v/>
      </c>
      <c r="L251" s="13"/>
      <c r="M251" s="13"/>
      <c r="N251" s="14" t="str">
        <f t="shared" si="15"/>
        <v/>
      </c>
      <c r="O251" s="8"/>
      <c r="P251" s="8"/>
      <c r="Q251" s="8"/>
      <c r="R251" s="8"/>
      <c r="S251" s="10"/>
      <c r="T251" s="8"/>
    </row>
    <row r="252" spans="1:20">
      <c r="A252" s="8"/>
      <c r="B252" s="10"/>
      <c r="C252" s="8"/>
      <c r="D252" s="8"/>
      <c r="E252" s="8"/>
      <c r="F252" s="8"/>
      <c r="G252" s="13"/>
      <c r="H252" s="13"/>
      <c r="I252" s="14" t="str">
        <f t="shared" si="12"/>
        <v/>
      </c>
      <c r="J252" s="14" t="str">
        <f t="shared" si="13"/>
        <v/>
      </c>
      <c r="K252" s="14" t="str">
        <f t="shared" si="14"/>
        <v/>
      </c>
      <c r="L252" s="13"/>
      <c r="M252" s="13"/>
      <c r="N252" s="14" t="str">
        <f t="shared" si="15"/>
        <v/>
      </c>
      <c r="O252" s="8"/>
      <c r="P252" s="8"/>
      <c r="Q252" s="8"/>
      <c r="R252" s="8"/>
      <c r="S252" s="10"/>
      <c r="T252" s="8"/>
    </row>
    <row r="253" spans="1:20">
      <c r="A253" s="8"/>
      <c r="B253" s="10"/>
      <c r="C253" s="8"/>
      <c r="D253" s="8"/>
      <c r="E253" s="8"/>
      <c r="F253" s="8"/>
      <c r="G253" s="13"/>
      <c r="H253" s="13"/>
      <c r="I253" s="14" t="str">
        <f t="shared" si="12"/>
        <v/>
      </c>
      <c r="J253" s="14" t="str">
        <f t="shared" si="13"/>
        <v/>
      </c>
      <c r="K253" s="14" t="str">
        <f t="shared" si="14"/>
        <v/>
      </c>
      <c r="L253" s="13"/>
      <c r="M253" s="13"/>
      <c r="N253" s="14" t="str">
        <f t="shared" si="15"/>
        <v/>
      </c>
      <c r="O253" s="8"/>
      <c r="P253" s="8"/>
      <c r="Q253" s="8"/>
      <c r="R253" s="8"/>
      <c r="S253" s="10"/>
      <c r="T253" s="8"/>
    </row>
    <row r="254" spans="1:20">
      <c r="A254" s="8"/>
      <c r="B254" s="10"/>
      <c r="C254" s="8"/>
      <c r="D254" s="8"/>
      <c r="E254" s="8"/>
      <c r="F254" s="8"/>
      <c r="G254" s="13"/>
      <c r="H254" s="13"/>
      <c r="I254" s="14" t="str">
        <f t="shared" si="12"/>
        <v/>
      </c>
      <c r="J254" s="14" t="str">
        <f t="shared" si="13"/>
        <v/>
      </c>
      <c r="K254" s="14" t="str">
        <f t="shared" si="14"/>
        <v/>
      </c>
      <c r="L254" s="13"/>
      <c r="M254" s="13"/>
      <c r="N254" s="14" t="str">
        <f t="shared" si="15"/>
        <v/>
      </c>
      <c r="O254" s="8"/>
      <c r="P254" s="8"/>
      <c r="Q254" s="8"/>
      <c r="R254" s="8"/>
      <c r="S254" s="10"/>
      <c r="T254" s="8"/>
    </row>
    <row r="255" spans="1:20">
      <c r="A255" s="8"/>
      <c r="B255" s="10"/>
      <c r="C255" s="8"/>
      <c r="D255" s="8"/>
      <c r="E255" s="8"/>
      <c r="F255" s="8"/>
      <c r="G255" s="13"/>
      <c r="H255" s="13"/>
      <c r="I255" s="14" t="str">
        <f t="shared" si="12"/>
        <v/>
      </c>
      <c r="J255" s="14" t="str">
        <f t="shared" si="13"/>
        <v/>
      </c>
      <c r="K255" s="14" t="str">
        <f t="shared" si="14"/>
        <v/>
      </c>
      <c r="L255" s="13"/>
      <c r="M255" s="13"/>
      <c r="N255" s="14" t="str">
        <f t="shared" si="15"/>
        <v/>
      </c>
      <c r="O255" s="8"/>
      <c r="P255" s="8"/>
      <c r="Q255" s="8"/>
      <c r="R255" s="8"/>
      <c r="S255" s="10"/>
      <c r="T255" s="8"/>
    </row>
    <row r="256" spans="1:20">
      <c r="A256" s="8"/>
      <c r="B256" s="10"/>
      <c r="C256" s="8"/>
      <c r="D256" s="8"/>
      <c r="E256" s="8"/>
      <c r="F256" s="8"/>
      <c r="G256" s="13"/>
      <c r="H256" s="13"/>
      <c r="I256" s="14" t="str">
        <f t="shared" si="12"/>
        <v/>
      </c>
      <c r="J256" s="14" t="str">
        <f t="shared" si="13"/>
        <v/>
      </c>
      <c r="K256" s="14" t="str">
        <f t="shared" si="14"/>
        <v/>
      </c>
      <c r="L256" s="13"/>
      <c r="M256" s="13"/>
      <c r="N256" s="14" t="str">
        <f t="shared" si="15"/>
        <v/>
      </c>
      <c r="O256" s="8"/>
      <c r="P256" s="8"/>
      <c r="Q256" s="8"/>
      <c r="R256" s="8"/>
      <c r="S256" s="10"/>
      <c r="T256" s="8"/>
    </row>
    <row r="257" spans="1:20">
      <c r="A257" s="8"/>
      <c r="B257" s="10"/>
      <c r="C257" s="8"/>
      <c r="D257" s="8"/>
      <c r="E257" s="8"/>
      <c r="F257" s="8"/>
      <c r="G257" s="13"/>
      <c r="H257" s="13"/>
      <c r="I257" s="14" t="str">
        <f t="shared" si="12"/>
        <v/>
      </c>
      <c r="J257" s="14" t="str">
        <f t="shared" si="13"/>
        <v/>
      </c>
      <c r="K257" s="14" t="str">
        <f t="shared" si="14"/>
        <v/>
      </c>
      <c r="L257" s="13"/>
      <c r="M257" s="13"/>
      <c r="N257" s="14" t="str">
        <f t="shared" si="15"/>
        <v/>
      </c>
      <c r="O257" s="8"/>
      <c r="P257" s="8"/>
      <c r="Q257" s="8"/>
      <c r="R257" s="8"/>
      <c r="S257" s="10"/>
      <c r="T257" s="8"/>
    </row>
    <row r="258" spans="1:20">
      <c r="A258" s="8"/>
      <c r="B258" s="10"/>
      <c r="C258" s="8"/>
      <c r="D258" s="8"/>
      <c r="E258" s="8"/>
      <c r="F258" s="8"/>
      <c r="G258" s="13"/>
      <c r="H258" s="13"/>
      <c r="I258" s="14" t="str">
        <f t="shared" si="12"/>
        <v/>
      </c>
      <c r="J258" s="14" t="str">
        <f t="shared" si="13"/>
        <v/>
      </c>
      <c r="K258" s="14" t="str">
        <f t="shared" si="14"/>
        <v/>
      </c>
      <c r="L258" s="13"/>
      <c r="M258" s="13"/>
      <c r="N258" s="14" t="str">
        <f t="shared" si="15"/>
        <v/>
      </c>
      <c r="O258" s="8"/>
      <c r="P258" s="8"/>
      <c r="Q258" s="8"/>
      <c r="R258" s="8"/>
      <c r="S258" s="10"/>
      <c r="T258" s="8"/>
    </row>
    <row r="259" spans="1:20">
      <c r="A259" s="8"/>
      <c r="B259" s="10"/>
      <c r="C259" s="8"/>
      <c r="D259" s="8"/>
      <c r="E259" s="8"/>
      <c r="F259" s="8"/>
      <c r="G259" s="13"/>
      <c r="H259" s="13"/>
      <c r="I259" s="14" t="str">
        <f t="shared" si="12"/>
        <v/>
      </c>
      <c r="J259" s="14" t="str">
        <f t="shared" si="13"/>
        <v/>
      </c>
      <c r="K259" s="14" t="str">
        <f t="shared" si="14"/>
        <v/>
      </c>
      <c r="L259" s="13"/>
      <c r="M259" s="13"/>
      <c r="N259" s="14" t="str">
        <f t="shared" si="15"/>
        <v/>
      </c>
      <c r="O259" s="8"/>
      <c r="P259" s="8"/>
      <c r="Q259" s="8"/>
      <c r="R259" s="8"/>
      <c r="S259" s="10"/>
      <c r="T259" s="8"/>
    </row>
    <row r="260" spans="1:20">
      <c r="A260" s="8"/>
      <c r="B260" s="10"/>
      <c r="C260" s="8"/>
      <c r="D260" s="8"/>
      <c r="E260" s="8"/>
      <c r="F260" s="8"/>
      <c r="G260" s="13"/>
      <c r="H260" s="13"/>
      <c r="I260" s="14" t="str">
        <f t="shared" si="12"/>
        <v/>
      </c>
      <c r="J260" s="14" t="str">
        <f t="shared" si="13"/>
        <v/>
      </c>
      <c r="K260" s="14" t="str">
        <f t="shared" si="14"/>
        <v/>
      </c>
      <c r="L260" s="13"/>
      <c r="M260" s="13"/>
      <c r="N260" s="14" t="str">
        <f t="shared" si="15"/>
        <v/>
      </c>
      <c r="O260" s="8"/>
      <c r="P260" s="8"/>
      <c r="Q260" s="8"/>
      <c r="R260" s="8"/>
      <c r="S260" s="10"/>
      <c r="T260" s="8"/>
    </row>
    <row r="261" spans="1:20">
      <c r="A261" s="8"/>
      <c r="B261" s="10"/>
      <c r="C261" s="8"/>
      <c r="D261" s="8"/>
      <c r="E261" s="8"/>
      <c r="F261" s="8"/>
      <c r="G261" s="13"/>
      <c r="H261" s="13"/>
      <c r="I261" s="14" t="str">
        <f t="shared" ref="I261:I324" si="16">IF(A261="","",H261-G261)</f>
        <v/>
      </c>
      <c r="J261" s="14" t="str">
        <f t="shared" ref="J261:J304" si="17">IF(A261="","",MAX(0,G261-H261))</f>
        <v/>
      </c>
      <c r="K261" s="14" t="str">
        <f t="shared" ref="K261:K304" si="18">IF(A261="","",MAX(0,H261-G261))</f>
        <v/>
      </c>
      <c r="L261" s="13"/>
      <c r="M261" s="13"/>
      <c r="N261" s="14" t="str">
        <f t="shared" ref="N261:N324" si="19">IF(A261="","",MAX(0,L261-M261))</f>
        <v/>
      </c>
      <c r="O261" s="8"/>
      <c r="P261" s="8"/>
      <c r="Q261" s="8"/>
      <c r="R261" s="8"/>
      <c r="S261" s="10"/>
      <c r="T261" s="8"/>
    </row>
    <row r="262" spans="1:20">
      <c r="A262" s="8"/>
      <c r="B262" s="10"/>
      <c r="C262" s="8"/>
      <c r="D262" s="8"/>
      <c r="E262" s="8"/>
      <c r="F262" s="8"/>
      <c r="G262" s="13"/>
      <c r="H262" s="13"/>
      <c r="I262" s="14" t="str">
        <f t="shared" si="16"/>
        <v/>
      </c>
      <c r="J262" s="14" t="str">
        <f t="shared" si="17"/>
        <v/>
      </c>
      <c r="K262" s="14" t="str">
        <f t="shared" si="18"/>
        <v/>
      </c>
      <c r="L262" s="13"/>
      <c r="M262" s="13"/>
      <c r="N262" s="14" t="str">
        <f t="shared" si="19"/>
        <v/>
      </c>
      <c r="O262" s="8"/>
      <c r="P262" s="8"/>
      <c r="Q262" s="8"/>
      <c r="R262" s="8"/>
      <c r="S262" s="10"/>
      <c r="T262" s="8"/>
    </row>
    <row r="263" spans="1:20">
      <c r="A263" s="8"/>
      <c r="B263" s="10"/>
      <c r="C263" s="8"/>
      <c r="D263" s="8"/>
      <c r="E263" s="8"/>
      <c r="F263" s="8"/>
      <c r="G263" s="13"/>
      <c r="H263" s="13"/>
      <c r="I263" s="14" t="str">
        <f t="shared" si="16"/>
        <v/>
      </c>
      <c r="J263" s="14" t="str">
        <f t="shared" si="17"/>
        <v/>
      </c>
      <c r="K263" s="14" t="str">
        <f t="shared" si="18"/>
        <v/>
      </c>
      <c r="L263" s="13"/>
      <c r="M263" s="13"/>
      <c r="N263" s="14" t="str">
        <f t="shared" si="19"/>
        <v/>
      </c>
      <c r="O263" s="8"/>
      <c r="P263" s="8"/>
      <c r="Q263" s="8"/>
      <c r="R263" s="8"/>
      <c r="S263" s="10"/>
      <c r="T263" s="8"/>
    </row>
    <row r="264" spans="1:20">
      <c r="A264" s="8"/>
      <c r="B264" s="10"/>
      <c r="C264" s="8"/>
      <c r="D264" s="8"/>
      <c r="E264" s="8"/>
      <c r="F264" s="8"/>
      <c r="G264" s="13"/>
      <c r="H264" s="13"/>
      <c r="I264" s="14" t="str">
        <f t="shared" si="16"/>
        <v/>
      </c>
      <c r="J264" s="14" t="str">
        <f t="shared" si="17"/>
        <v/>
      </c>
      <c r="K264" s="14" t="str">
        <f t="shared" si="18"/>
        <v/>
      </c>
      <c r="L264" s="13"/>
      <c r="M264" s="13"/>
      <c r="N264" s="14" t="str">
        <f t="shared" si="19"/>
        <v/>
      </c>
      <c r="O264" s="8"/>
      <c r="P264" s="8"/>
      <c r="Q264" s="8"/>
      <c r="R264" s="8"/>
      <c r="S264" s="10"/>
      <c r="T264" s="8"/>
    </row>
    <row r="265" spans="1:20">
      <c r="A265" s="8"/>
      <c r="B265" s="10"/>
      <c r="C265" s="8"/>
      <c r="D265" s="8"/>
      <c r="E265" s="8"/>
      <c r="F265" s="8"/>
      <c r="G265" s="13"/>
      <c r="H265" s="13"/>
      <c r="I265" s="14" t="str">
        <f t="shared" si="16"/>
        <v/>
      </c>
      <c r="J265" s="14" t="str">
        <f t="shared" si="17"/>
        <v/>
      </c>
      <c r="K265" s="14" t="str">
        <f t="shared" si="18"/>
        <v/>
      </c>
      <c r="L265" s="13"/>
      <c r="M265" s="13"/>
      <c r="N265" s="14" t="str">
        <f t="shared" si="19"/>
        <v/>
      </c>
      <c r="O265" s="8"/>
      <c r="P265" s="8"/>
      <c r="Q265" s="8"/>
      <c r="R265" s="8"/>
      <c r="S265" s="10"/>
      <c r="T265" s="8"/>
    </row>
    <row r="266" spans="1:20">
      <c r="A266" s="8"/>
      <c r="B266" s="10"/>
      <c r="C266" s="8"/>
      <c r="D266" s="8"/>
      <c r="E266" s="8"/>
      <c r="F266" s="8"/>
      <c r="G266" s="13"/>
      <c r="H266" s="13"/>
      <c r="I266" s="14" t="str">
        <f t="shared" si="16"/>
        <v/>
      </c>
      <c r="J266" s="14" t="str">
        <f t="shared" si="17"/>
        <v/>
      </c>
      <c r="K266" s="14" t="str">
        <f t="shared" si="18"/>
        <v/>
      </c>
      <c r="L266" s="13"/>
      <c r="M266" s="13"/>
      <c r="N266" s="14" t="str">
        <f t="shared" si="19"/>
        <v/>
      </c>
      <c r="O266" s="8"/>
      <c r="P266" s="8"/>
      <c r="Q266" s="8"/>
      <c r="R266" s="8"/>
      <c r="S266" s="10"/>
      <c r="T266" s="8"/>
    </row>
    <row r="267" spans="1:20">
      <c r="A267" s="8"/>
      <c r="B267" s="10"/>
      <c r="C267" s="8"/>
      <c r="D267" s="8"/>
      <c r="E267" s="8"/>
      <c r="F267" s="8"/>
      <c r="G267" s="13"/>
      <c r="H267" s="13"/>
      <c r="I267" s="14" t="str">
        <f t="shared" si="16"/>
        <v/>
      </c>
      <c r="J267" s="14" t="str">
        <f t="shared" si="17"/>
        <v/>
      </c>
      <c r="K267" s="14" t="str">
        <f t="shared" si="18"/>
        <v/>
      </c>
      <c r="L267" s="13"/>
      <c r="M267" s="13"/>
      <c r="N267" s="14" t="str">
        <f t="shared" si="19"/>
        <v/>
      </c>
      <c r="O267" s="8"/>
      <c r="P267" s="8"/>
      <c r="Q267" s="8"/>
      <c r="R267" s="8"/>
      <c r="S267" s="10"/>
      <c r="T267" s="8"/>
    </row>
    <row r="268" spans="1:20">
      <c r="A268" s="8"/>
      <c r="B268" s="10"/>
      <c r="C268" s="8"/>
      <c r="D268" s="8"/>
      <c r="E268" s="8"/>
      <c r="F268" s="8"/>
      <c r="G268" s="13"/>
      <c r="H268" s="13"/>
      <c r="I268" s="14" t="str">
        <f t="shared" si="16"/>
        <v/>
      </c>
      <c r="J268" s="14" t="str">
        <f t="shared" si="17"/>
        <v/>
      </c>
      <c r="K268" s="14" t="str">
        <f t="shared" si="18"/>
        <v/>
      </c>
      <c r="L268" s="13"/>
      <c r="M268" s="13"/>
      <c r="N268" s="14" t="str">
        <f t="shared" si="19"/>
        <v/>
      </c>
      <c r="O268" s="8"/>
      <c r="P268" s="8"/>
      <c r="Q268" s="8"/>
      <c r="R268" s="8"/>
      <c r="S268" s="10"/>
      <c r="T268" s="8"/>
    </row>
    <row r="269" spans="1:20">
      <c r="A269" s="8"/>
      <c r="B269" s="10"/>
      <c r="C269" s="8"/>
      <c r="D269" s="8"/>
      <c r="E269" s="8"/>
      <c r="F269" s="8"/>
      <c r="G269" s="13"/>
      <c r="H269" s="13"/>
      <c r="I269" s="14" t="str">
        <f t="shared" si="16"/>
        <v/>
      </c>
      <c r="J269" s="14" t="str">
        <f t="shared" si="17"/>
        <v/>
      </c>
      <c r="K269" s="14" t="str">
        <f t="shared" si="18"/>
        <v/>
      </c>
      <c r="L269" s="13"/>
      <c r="M269" s="13"/>
      <c r="N269" s="14" t="str">
        <f t="shared" si="19"/>
        <v/>
      </c>
      <c r="O269" s="8"/>
      <c r="P269" s="8"/>
      <c r="Q269" s="8"/>
      <c r="R269" s="8"/>
      <c r="S269" s="10"/>
      <c r="T269" s="8"/>
    </row>
    <row r="270" spans="1:20">
      <c r="A270" s="8"/>
      <c r="B270" s="10"/>
      <c r="C270" s="8"/>
      <c r="D270" s="8"/>
      <c r="E270" s="8"/>
      <c r="F270" s="8"/>
      <c r="G270" s="13"/>
      <c r="H270" s="13"/>
      <c r="I270" s="14" t="str">
        <f t="shared" si="16"/>
        <v/>
      </c>
      <c r="J270" s="14" t="str">
        <f t="shared" si="17"/>
        <v/>
      </c>
      <c r="K270" s="14" t="str">
        <f t="shared" si="18"/>
        <v/>
      </c>
      <c r="L270" s="13"/>
      <c r="M270" s="13"/>
      <c r="N270" s="14" t="str">
        <f t="shared" si="19"/>
        <v/>
      </c>
      <c r="O270" s="8"/>
      <c r="P270" s="8"/>
      <c r="Q270" s="8"/>
      <c r="R270" s="8"/>
      <c r="S270" s="10"/>
      <c r="T270" s="8"/>
    </row>
    <row r="271" spans="1:20">
      <c r="A271" s="8"/>
      <c r="B271" s="10"/>
      <c r="C271" s="8"/>
      <c r="D271" s="8"/>
      <c r="E271" s="8"/>
      <c r="F271" s="8"/>
      <c r="G271" s="13"/>
      <c r="H271" s="13"/>
      <c r="I271" s="14" t="str">
        <f t="shared" si="16"/>
        <v/>
      </c>
      <c r="J271" s="14" t="str">
        <f t="shared" si="17"/>
        <v/>
      </c>
      <c r="K271" s="14" t="str">
        <f t="shared" si="18"/>
        <v/>
      </c>
      <c r="L271" s="13"/>
      <c r="M271" s="13"/>
      <c r="N271" s="14" t="str">
        <f t="shared" si="19"/>
        <v/>
      </c>
      <c r="O271" s="8"/>
      <c r="P271" s="8"/>
      <c r="Q271" s="8"/>
      <c r="R271" s="8"/>
      <c r="S271" s="10"/>
      <c r="T271" s="8"/>
    </row>
    <row r="272" spans="1:20">
      <c r="A272" s="8"/>
      <c r="B272" s="10"/>
      <c r="C272" s="8"/>
      <c r="D272" s="8"/>
      <c r="E272" s="8"/>
      <c r="F272" s="8"/>
      <c r="G272" s="13"/>
      <c r="H272" s="13"/>
      <c r="I272" s="14" t="str">
        <f t="shared" si="16"/>
        <v/>
      </c>
      <c r="J272" s="14" t="str">
        <f t="shared" si="17"/>
        <v/>
      </c>
      <c r="K272" s="14" t="str">
        <f t="shared" si="18"/>
        <v/>
      </c>
      <c r="L272" s="13"/>
      <c r="M272" s="13"/>
      <c r="N272" s="14" t="str">
        <f t="shared" si="19"/>
        <v/>
      </c>
      <c r="O272" s="8"/>
      <c r="P272" s="8"/>
      <c r="Q272" s="8"/>
      <c r="R272" s="8"/>
      <c r="S272" s="10"/>
      <c r="T272" s="8"/>
    </row>
    <row r="273" spans="1:20">
      <c r="A273" s="8"/>
      <c r="B273" s="10"/>
      <c r="C273" s="8"/>
      <c r="D273" s="8"/>
      <c r="E273" s="8"/>
      <c r="F273" s="8"/>
      <c r="G273" s="13"/>
      <c r="H273" s="13"/>
      <c r="I273" s="14" t="str">
        <f t="shared" si="16"/>
        <v/>
      </c>
      <c r="J273" s="14" t="str">
        <f t="shared" si="17"/>
        <v/>
      </c>
      <c r="K273" s="14" t="str">
        <f t="shared" si="18"/>
        <v/>
      </c>
      <c r="L273" s="13"/>
      <c r="M273" s="13"/>
      <c r="N273" s="14" t="str">
        <f t="shared" si="19"/>
        <v/>
      </c>
      <c r="O273" s="8"/>
      <c r="P273" s="8"/>
      <c r="Q273" s="8"/>
      <c r="R273" s="8"/>
      <c r="S273" s="10"/>
      <c r="T273" s="8"/>
    </row>
    <row r="274" spans="1:20">
      <c r="A274" s="8"/>
      <c r="B274" s="10"/>
      <c r="C274" s="8"/>
      <c r="D274" s="8"/>
      <c r="E274" s="8"/>
      <c r="F274" s="8"/>
      <c r="G274" s="13"/>
      <c r="H274" s="13"/>
      <c r="I274" s="14" t="str">
        <f t="shared" si="16"/>
        <v/>
      </c>
      <c r="J274" s="14" t="str">
        <f t="shared" si="17"/>
        <v/>
      </c>
      <c r="K274" s="14" t="str">
        <f t="shared" si="18"/>
        <v/>
      </c>
      <c r="L274" s="13"/>
      <c r="M274" s="13"/>
      <c r="N274" s="14" t="str">
        <f t="shared" si="19"/>
        <v/>
      </c>
      <c r="O274" s="8"/>
      <c r="P274" s="8"/>
      <c r="Q274" s="8"/>
      <c r="R274" s="8"/>
      <c r="S274" s="10"/>
      <c r="T274" s="8"/>
    </row>
    <row r="275" spans="1:20">
      <c r="A275" s="8"/>
      <c r="B275" s="10"/>
      <c r="C275" s="8"/>
      <c r="D275" s="8"/>
      <c r="E275" s="8"/>
      <c r="F275" s="8"/>
      <c r="G275" s="13"/>
      <c r="H275" s="13"/>
      <c r="I275" s="14" t="str">
        <f t="shared" si="16"/>
        <v/>
      </c>
      <c r="J275" s="14" t="str">
        <f t="shared" si="17"/>
        <v/>
      </c>
      <c r="K275" s="14" t="str">
        <f t="shared" si="18"/>
        <v/>
      </c>
      <c r="L275" s="13"/>
      <c r="M275" s="13"/>
      <c r="N275" s="14" t="str">
        <f t="shared" si="19"/>
        <v/>
      </c>
      <c r="O275" s="8"/>
      <c r="P275" s="8"/>
      <c r="Q275" s="8"/>
      <c r="R275" s="8"/>
      <c r="S275" s="10"/>
      <c r="T275" s="8"/>
    </row>
    <row r="276" spans="1:20">
      <c r="A276" s="8"/>
      <c r="B276" s="10"/>
      <c r="C276" s="8"/>
      <c r="D276" s="8"/>
      <c r="E276" s="8"/>
      <c r="F276" s="8"/>
      <c r="G276" s="13"/>
      <c r="H276" s="13"/>
      <c r="I276" s="14" t="str">
        <f t="shared" si="16"/>
        <v/>
      </c>
      <c r="J276" s="14" t="str">
        <f t="shared" si="17"/>
        <v/>
      </c>
      <c r="K276" s="14" t="str">
        <f t="shared" si="18"/>
        <v/>
      </c>
      <c r="L276" s="13"/>
      <c r="M276" s="13"/>
      <c r="N276" s="14" t="str">
        <f t="shared" si="19"/>
        <v/>
      </c>
      <c r="O276" s="8"/>
      <c r="P276" s="8"/>
      <c r="Q276" s="8"/>
      <c r="R276" s="8"/>
      <c r="S276" s="10"/>
      <c r="T276" s="8"/>
    </row>
    <row r="277" spans="1:20">
      <c r="A277" s="8"/>
      <c r="B277" s="10"/>
      <c r="C277" s="8"/>
      <c r="D277" s="8"/>
      <c r="E277" s="8"/>
      <c r="F277" s="8"/>
      <c r="G277" s="13"/>
      <c r="H277" s="13"/>
      <c r="I277" s="14" t="str">
        <f t="shared" si="16"/>
        <v/>
      </c>
      <c r="J277" s="14" t="str">
        <f t="shared" si="17"/>
        <v/>
      </c>
      <c r="K277" s="14" t="str">
        <f t="shared" si="18"/>
        <v/>
      </c>
      <c r="L277" s="13"/>
      <c r="M277" s="13"/>
      <c r="N277" s="14" t="str">
        <f t="shared" si="19"/>
        <v/>
      </c>
      <c r="O277" s="8"/>
      <c r="P277" s="8"/>
      <c r="Q277" s="8"/>
      <c r="R277" s="8"/>
      <c r="S277" s="10"/>
      <c r="T277" s="8"/>
    </row>
    <row r="278" spans="1:20">
      <c r="A278" s="8"/>
      <c r="B278" s="10"/>
      <c r="C278" s="8"/>
      <c r="D278" s="8"/>
      <c r="E278" s="8"/>
      <c r="F278" s="8"/>
      <c r="G278" s="13"/>
      <c r="H278" s="13"/>
      <c r="I278" s="14" t="str">
        <f t="shared" si="16"/>
        <v/>
      </c>
      <c r="J278" s="14" t="str">
        <f t="shared" si="17"/>
        <v/>
      </c>
      <c r="K278" s="14" t="str">
        <f t="shared" si="18"/>
        <v/>
      </c>
      <c r="L278" s="13"/>
      <c r="M278" s="13"/>
      <c r="N278" s="14" t="str">
        <f t="shared" si="19"/>
        <v/>
      </c>
      <c r="O278" s="8"/>
      <c r="P278" s="8"/>
      <c r="Q278" s="8"/>
      <c r="R278" s="8"/>
      <c r="S278" s="10"/>
      <c r="T278" s="8"/>
    </row>
    <row r="279" spans="1:20">
      <c r="A279" s="8"/>
      <c r="B279" s="10"/>
      <c r="C279" s="8"/>
      <c r="D279" s="8"/>
      <c r="E279" s="8"/>
      <c r="F279" s="8"/>
      <c r="G279" s="13"/>
      <c r="H279" s="13"/>
      <c r="I279" s="14" t="str">
        <f t="shared" si="16"/>
        <v/>
      </c>
      <c r="J279" s="14" t="str">
        <f t="shared" si="17"/>
        <v/>
      </c>
      <c r="K279" s="14" t="str">
        <f t="shared" si="18"/>
        <v/>
      </c>
      <c r="L279" s="13"/>
      <c r="M279" s="13"/>
      <c r="N279" s="14" t="str">
        <f t="shared" si="19"/>
        <v/>
      </c>
      <c r="O279" s="8"/>
      <c r="P279" s="8"/>
      <c r="Q279" s="8"/>
      <c r="R279" s="8"/>
      <c r="S279" s="10"/>
      <c r="T279" s="8"/>
    </row>
    <row r="280" spans="1:20">
      <c r="A280" s="8"/>
      <c r="B280" s="10"/>
      <c r="C280" s="8"/>
      <c r="D280" s="8"/>
      <c r="E280" s="8"/>
      <c r="F280" s="8"/>
      <c r="G280" s="13"/>
      <c r="H280" s="13"/>
      <c r="I280" s="14" t="str">
        <f t="shared" si="16"/>
        <v/>
      </c>
      <c r="J280" s="14" t="str">
        <f t="shared" si="17"/>
        <v/>
      </c>
      <c r="K280" s="14" t="str">
        <f t="shared" si="18"/>
        <v/>
      </c>
      <c r="L280" s="13"/>
      <c r="M280" s="13"/>
      <c r="N280" s="14" t="str">
        <f t="shared" si="19"/>
        <v/>
      </c>
      <c r="O280" s="8"/>
      <c r="P280" s="8"/>
      <c r="Q280" s="8"/>
      <c r="R280" s="8"/>
      <c r="S280" s="10"/>
      <c r="T280" s="8"/>
    </row>
    <row r="281" spans="1:20">
      <c r="A281" s="8"/>
      <c r="B281" s="10"/>
      <c r="C281" s="8"/>
      <c r="D281" s="8"/>
      <c r="E281" s="8"/>
      <c r="F281" s="8"/>
      <c r="G281" s="13"/>
      <c r="H281" s="13"/>
      <c r="I281" s="14" t="str">
        <f t="shared" si="16"/>
        <v/>
      </c>
      <c r="J281" s="14" t="str">
        <f t="shared" si="17"/>
        <v/>
      </c>
      <c r="K281" s="14" t="str">
        <f t="shared" si="18"/>
        <v/>
      </c>
      <c r="L281" s="13"/>
      <c r="M281" s="13"/>
      <c r="N281" s="14" t="str">
        <f t="shared" si="19"/>
        <v/>
      </c>
      <c r="O281" s="8"/>
      <c r="P281" s="8"/>
      <c r="Q281" s="8"/>
      <c r="R281" s="8"/>
      <c r="S281" s="10"/>
      <c r="T281" s="8"/>
    </row>
    <row r="282" spans="1:20">
      <c r="A282" s="8"/>
      <c r="B282" s="10"/>
      <c r="C282" s="8"/>
      <c r="D282" s="8"/>
      <c r="E282" s="8"/>
      <c r="F282" s="8"/>
      <c r="G282" s="13"/>
      <c r="H282" s="13"/>
      <c r="I282" s="14" t="str">
        <f t="shared" si="16"/>
        <v/>
      </c>
      <c r="J282" s="14" t="str">
        <f t="shared" si="17"/>
        <v/>
      </c>
      <c r="K282" s="14" t="str">
        <f t="shared" si="18"/>
        <v/>
      </c>
      <c r="L282" s="13"/>
      <c r="M282" s="13"/>
      <c r="N282" s="14" t="str">
        <f t="shared" si="19"/>
        <v/>
      </c>
      <c r="O282" s="8"/>
      <c r="P282" s="8"/>
      <c r="Q282" s="8"/>
      <c r="R282" s="8"/>
      <c r="S282" s="10"/>
      <c r="T282" s="8"/>
    </row>
    <row r="283" spans="1:20">
      <c r="A283" s="8"/>
      <c r="B283" s="10"/>
      <c r="C283" s="8"/>
      <c r="D283" s="8"/>
      <c r="E283" s="8"/>
      <c r="F283" s="8"/>
      <c r="G283" s="13"/>
      <c r="H283" s="13"/>
      <c r="I283" s="14" t="str">
        <f t="shared" si="16"/>
        <v/>
      </c>
      <c r="J283" s="14" t="str">
        <f t="shared" si="17"/>
        <v/>
      </c>
      <c r="K283" s="14" t="str">
        <f t="shared" si="18"/>
        <v/>
      </c>
      <c r="L283" s="13"/>
      <c r="M283" s="13"/>
      <c r="N283" s="14" t="str">
        <f t="shared" si="19"/>
        <v/>
      </c>
      <c r="O283" s="8"/>
      <c r="P283" s="8"/>
      <c r="Q283" s="8"/>
      <c r="R283" s="8"/>
      <c r="S283" s="10"/>
      <c r="T283" s="8"/>
    </row>
    <row r="284" spans="1:20">
      <c r="A284" s="8"/>
      <c r="B284" s="10"/>
      <c r="C284" s="8"/>
      <c r="D284" s="8"/>
      <c r="E284" s="8"/>
      <c r="F284" s="8"/>
      <c r="G284" s="13"/>
      <c r="H284" s="13"/>
      <c r="I284" s="14" t="str">
        <f t="shared" si="16"/>
        <v/>
      </c>
      <c r="J284" s="14" t="str">
        <f t="shared" si="17"/>
        <v/>
      </c>
      <c r="K284" s="14" t="str">
        <f t="shared" si="18"/>
        <v/>
      </c>
      <c r="L284" s="13"/>
      <c r="M284" s="13"/>
      <c r="N284" s="14" t="str">
        <f t="shared" si="19"/>
        <v/>
      </c>
      <c r="O284" s="8"/>
      <c r="P284" s="8"/>
      <c r="Q284" s="8"/>
      <c r="R284" s="8"/>
      <c r="S284" s="10"/>
      <c r="T284" s="8"/>
    </row>
    <row r="285" spans="1:20">
      <c r="A285" s="8"/>
      <c r="B285" s="10"/>
      <c r="C285" s="8"/>
      <c r="D285" s="8"/>
      <c r="E285" s="8"/>
      <c r="F285" s="8"/>
      <c r="G285" s="13"/>
      <c r="H285" s="13"/>
      <c r="I285" s="14" t="str">
        <f t="shared" si="16"/>
        <v/>
      </c>
      <c r="J285" s="14" t="str">
        <f t="shared" si="17"/>
        <v/>
      </c>
      <c r="K285" s="14" t="str">
        <f t="shared" si="18"/>
        <v/>
      </c>
      <c r="L285" s="13"/>
      <c r="M285" s="13"/>
      <c r="N285" s="14" t="str">
        <f t="shared" si="19"/>
        <v/>
      </c>
      <c r="O285" s="8"/>
      <c r="P285" s="8"/>
      <c r="Q285" s="8"/>
      <c r="R285" s="8"/>
      <c r="S285" s="10"/>
      <c r="T285" s="8"/>
    </row>
    <row r="286" spans="1:20">
      <c r="A286" s="8"/>
      <c r="B286" s="10"/>
      <c r="C286" s="8"/>
      <c r="D286" s="8"/>
      <c r="E286" s="8"/>
      <c r="F286" s="8"/>
      <c r="G286" s="13"/>
      <c r="H286" s="13"/>
      <c r="I286" s="14" t="str">
        <f t="shared" si="16"/>
        <v/>
      </c>
      <c r="J286" s="14" t="str">
        <f t="shared" si="17"/>
        <v/>
      </c>
      <c r="K286" s="14" t="str">
        <f t="shared" si="18"/>
        <v/>
      </c>
      <c r="L286" s="13"/>
      <c r="M286" s="13"/>
      <c r="N286" s="14" t="str">
        <f t="shared" si="19"/>
        <v/>
      </c>
      <c r="O286" s="8"/>
      <c r="P286" s="8"/>
      <c r="Q286" s="8"/>
      <c r="R286" s="8"/>
      <c r="S286" s="10"/>
      <c r="T286" s="8"/>
    </row>
    <row r="287" spans="1:20">
      <c r="A287" s="8"/>
      <c r="B287" s="10"/>
      <c r="C287" s="8"/>
      <c r="D287" s="8"/>
      <c r="E287" s="8"/>
      <c r="F287" s="8"/>
      <c r="G287" s="13"/>
      <c r="H287" s="13"/>
      <c r="I287" s="14" t="str">
        <f t="shared" si="16"/>
        <v/>
      </c>
      <c r="J287" s="14" t="str">
        <f t="shared" si="17"/>
        <v/>
      </c>
      <c r="K287" s="14" t="str">
        <f t="shared" si="18"/>
        <v/>
      </c>
      <c r="L287" s="13"/>
      <c r="M287" s="13"/>
      <c r="N287" s="14" t="str">
        <f t="shared" si="19"/>
        <v/>
      </c>
      <c r="O287" s="8"/>
      <c r="P287" s="8"/>
      <c r="Q287" s="8"/>
      <c r="R287" s="8"/>
      <c r="S287" s="10"/>
      <c r="T287" s="8"/>
    </row>
    <row r="288" spans="1:20">
      <c r="A288" s="8"/>
      <c r="B288" s="10"/>
      <c r="C288" s="8"/>
      <c r="D288" s="8"/>
      <c r="E288" s="8"/>
      <c r="F288" s="8"/>
      <c r="G288" s="13"/>
      <c r="H288" s="13"/>
      <c r="I288" s="14" t="str">
        <f t="shared" si="16"/>
        <v/>
      </c>
      <c r="J288" s="14" t="str">
        <f t="shared" si="17"/>
        <v/>
      </c>
      <c r="K288" s="14" t="str">
        <f t="shared" si="18"/>
        <v/>
      </c>
      <c r="L288" s="13"/>
      <c r="M288" s="13"/>
      <c r="N288" s="14" t="str">
        <f t="shared" si="19"/>
        <v/>
      </c>
      <c r="O288" s="8"/>
      <c r="P288" s="8"/>
      <c r="Q288" s="8"/>
      <c r="R288" s="8"/>
      <c r="S288" s="10"/>
      <c r="T288" s="8"/>
    </row>
    <row r="289" spans="1:20">
      <c r="A289" s="8"/>
      <c r="B289" s="10"/>
      <c r="C289" s="8"/>
      <c r="D289" s="8"/>
      <c r="E289" s="8"/>
      <c r="F289" s="8"/>
      <c r="G289" s="13"/>
      <c r="H289" s="13"/>
      <c r="I289" s="14" t="str">
        <f t="shared" si="16"/>
        <v/>
      </c>
      <c r="J289" s="14" t="str">
        <f t="shared" si="17"/>
        <v/>
      </c>
      <c r="K289" s="14" t="str">
        <f t="shared" si="18"/>
        <v/>
      </c>
      <c r="L289" s="13"/>
      <c r="M289" s="13"/>
      <c r="N289" s="14" t="str">
        <f t="shared" si="19"/>
        <v/>
      </c>
      <c r="O289" s="8"/>
      <c r="P289" s="8"/>
      <c r="Q289" s="8"/>
      <c r="R289" s="8"/>
      <c r="S289" s="10"/>
      <c r="T289" s="8"/>
    </row>
    <row r="290" spans="1:20">
      <c r="A290" s="8"/>
      <c r="B290" s="10"/>
      <c r="C290" s="8"/>
      <c r="D290" s="8"/>
      <c r="E290" s="8"/>
      <c r="F290" s="8"/>
      <c r="G290" s="13"/>
      <c r="H290" s="13"/>
      <c r="I290" s="14" t="str">
        <f t="shared" si="16"/>
        <v/>
      </c>
      <c r="J290" s="14" t="str">
        <f t="shared" si="17"/>
        <v/>
      </c>
      <c r="K290" s="14" t="str">
        <f t="shared" si="18"/>
        <v/>
      </c>
      <c r="L290" s="13"/>
      <c r="M290" s="13"/>
      <c r="N290" s="14" t="str">
        <f t="shared" si="19"/>
        <v/>
      </c>
      <c r="O290" s="8"/>
      <c r="P290" s="8"/>
      <c r="Q290" s="8"/>
      <c r="R290" s="8"/>
      <c r="S290" s="10"/>
      <c r="T290" s="8"/>
    </row>
    <row r="291" spans="1:20">
      <c r="A291" s="8"/>
      <c r="B291" s="10"/>
      <c r="C291" s="8"/>
      <c r="D291" s="8"/>
      <c r="E291" s="8"/>
      <c r="F291" s="8"/>
      <c r="G291" s="13"/>
      <c r="H291" s="13"/>
      <c r="I291" s="14" t="str">
        <f t="shared" si="16"/>
        <v/>
      </c>
      <c r="J291" s="14" t="str">
        <f t="shared" si="17"/>
        <v/>
      </c>
      <c r="K291" s="14" t="str">
        <f t="shared" si="18"/>
        <v/>
      </c>
      <c r="L291" s="13"/>
      <c r="M291" s="13"/>
      <c r="N291" s="14" t="str">
        <f t="shared" si="19"/>
        <v/>
      </c>
      <c r="O291" s="8"/>
      <c r="P291" s="8"/>
      <c r="Q291" s="8"/>
      <c r="R291" s="8"/>
      <c r="S291" s="10"/>
      <c r="T291" s="8"/>
    </row>
    <row r="292" spans="1:20">
      <c r="A292" s="8"/>
      <c r="B292" s="10"/>
      <c r="C292" s="8"/>
      <c r="D292" s="8"/>
      <c r="E292" s="8"/>
      <c r="F292" s="8"/>
      <c r="G292" s="13"/>
      <c r="H292" s="13"/>
      <c r="I292" s="14" t="str">
        <f t="shared" si="16"/>
        <v/>
      </c>
      <c r="J292" s="14" t="str">
        <f t="shared" si="17"/>
        <v/>
      </c>
      <c r="K292" s="14" t="str">
        <f t="shared" si="18"/>
        <v/>
      </c>
      <c r="L292" s="13"/>
      <c r="M292" s="13"/>
      <c r="N292" s="14" t="str">
        <f t="shared" si="19"/>
        <v/>
      </c>
      <c r="O292" s="8"/>
      <c r="P292" s="8"/>
      <c r="Q292" s="8"/>
      <c r="R292" s="8"/>
      <c r="S292" s="10"/>
      <c r="T292" s="8"/>
    </row>
    <row r="293" spans="1:20">
      <c r="A293" s="8"/>
      <c r="B293" s="10"/>
      <c r="C293" s="8"/>
      <c r="D293" s="8"/>
      <c r="E293" s="8"/>
      <c r="F293" s="8"/>
      <c r="G293" s="13"/>
      <c r="H293" s="13"/>
      <c r="I293" s="14" t="str">
        <f t="shared" si="16"/>
        <v/>
      </c>
      <c r="J293" s="14" t="str">
        <f t="shared" si="17"/>
        <v/>
      </c>
      <c r="K293" s="14" t="str">
        <f t="shared" si="18"/>
        <v/>
      </c>
      <c r="L293" s="13"/>
      <c r="M293" s="13"/>
      <c r="N293" s="14" t="str">
        <f t="shared" si="19"/>
        <v/>
      </c>
      <c r="O293" s="8"/>
      <c r="P293" s="8"/>
      <c r="Q293" s="8"/>
      <c r="R293" s="8"/>
      <c r="S293" s="10"/>
      <c r="T293" s="8"/>
    </row>
    <row r="294" spans="1:20">
      <c r="A294" s="8"/>
      <c r="B294" s="10"/>
      <c r="C294" s="8"/>
      <c r="D294" s="8"/>
      <c r="E294" s="8"/>
      <c r="F294" s="8"/>
      <c r="G294" s="13"/>
      <c r="H294" s="13"/>
      <c r="I294" s="14" t="str">
        <f t="shared" si="16"/>
        <v/>
      </c>
      <c r="J294" s="14" t="str">
        <f t="shared" si="17"/>
        <v/>
      </c>
      <c r="K294" s="14" t="str">
        <f t="shared" si="18"/>
        <v/>
      </c>
      <c r="L294" s="13"/>
      <c r="M294" s="13"/>
      <c r="N294" s="14" t="str">
        <f t="shared" si="19"/>
        <v/>
      </c>
      <c r="O294" s="8"/>
      <c r="P294" s="8"/>
      <c r="Q294" s="8"/>
      <c r="R294" s="8"/>
      <c r="S294" s="10"/>
      <c r="T294" s="8"/>
    </row>
    <row r="295" spans="1:20">
      <c r="A295" s="8"/>
      <c r="B295" s="10"/>
      <c r="C295" s="8"/>
      <c r="D295" s="8"/>
      <c r="E295" s="8"/>
      <c r="F295" s="8"/>
      <c r="G295" s="13"/>
      <c r="H295" s="13"/>
      <c r="I295" s="14" t="str">
        <f t="shared" si="16"/>
        <v/>
      </c>
      <c r="J295" s="14" t="str">
        <f t="shared" si="17"/>
        <v/>
      </c>
      <c r="K295" s="14" t="str">
        <f t="shared" si="18"/>
        <v/>
      </c>
      <c r="L295" s="13"/>
      <c r="M295" s="13"/>
      <c r="N295" s="14" t="str">
        <f t="shared" si="19"/>
        <v/>
      </c>
      <c r="O295" s="8"/>
      <c r="P295" s="8"/>
      <c r="Q295" s="8"/>
      <c r="R295" s="8"/>
      <c r="S295" s="10"/>
      <c r="T295" s="8"/>
    </row>
    <row r="296" spans="1:20">
      <c r="A296" s="8"/>
      <c r="B296" s="10"/>
      <c r="C296" s="8"/>
      <c r="D296" s="8"/>
      <c r="E296" s="8"/>
      <c r="F296" s="8"/>
      <c r="G296" s="13"/>
      <c r="H296" s="13"/>
      <c r="I296" s="14" t="str">
        <f t="shared" si="16"/>
        <v/>
      </c>
      <c r="J296" s="14" t="str">
        <f t="shared" si="17"/>
        <v/>
      </c>
      <c r="K296" s="14" t="str">
        <f t="shared" si="18"/>
        <v/>
      </c>
      <c r="L296" s="13"/>
      <c r="M296" s="13"/>
      <c r="N296" s="14" t="str">
        <f t="shared" si="19"/>
        <v/>
      </c>
      <c r="O296" s="8"/>
      <c r="P296" s="8"/>
      <c r="Q296" s="8"/>
      <c r="R296" s="8"/>
      <c r="S296" s="10"/>
      <c r="T296" s="8"/>
    </row>
    <row r="297" spans="1:20">
      <c r="A297" s="8"/>
      <c r="B297" s="10"/>
      <c r="C297" s="8"/>
      <c r="D297" s="8"/>
      <c r="E297" s="8"/>
      <c r="F297" s="8"/>
      <c r="G297" s="13"/>
      <c r="H297" s="13"/>
      <c r="I297" s="14" t="str">
        <f t="shared" si="16"/>
        <v/>
      </c>
      <c r="J297" s="14" t="str">
        <f t="shared" si="17"/>
        <v/>
      </c>
      <c r="K297" s="14" t="str">
        <f t="shared" si="18"/>
        <v/>
      </c>
      <c r="L297" s="13"/>
      <c r="M297" s="13"/>
      <c r="N297" s="14" t="str">
        <f t="shared" si="19"/>
        <v/>
      </c>
      <c r="O297" s="8"/>
      <c r="P297" s="8"/>
      <c r="Q297" s="8"/>
      <c r="R297" s="8"/>
      <c r="S297" s="10"/>
      <c r="T297" s="8"/>
    </row>
    <row r="298" spans="1:20">
      <c r="A298" s="8"/>
      <c r="B298" s="10"/>
      <c r="C298" s="8"/>
      <c r="D298" s="8"/>
      <c r="E298" s="8"/>
      <c r="F298" s="8"/>
      <c r="G298" s="13"/>
      <c r="H298" s="13"/>
      <c r="I298" s="14" t="str">
        <f t="shared" si="16"/>
        <v/>
      </c>
      <c r="J298" s="14" t="str">
        <f t="shared" si="17"/>
        <v/>
      </c>
      <c r="K298" s="14" t="str">
        <f t="shared" si="18"/>
        <v/>
      </c>
      <c r="L298" s="13"/>
      <c r="M298" s="13"/>
      <c r="N298" s="14" t="str">
        <f t="shared" si="19"/>
        <v/>
      </c>
      <c r="O298" s="8"/>
      <c r="P298" s="8"/>
      <c r="Q298" s="8"/>
      <c r="R298" s="8"/>
      <c r="S298" s="10"/>
      <c r="T298" s="8"/>
    </row>
    <row r="299" spans="1:20">
      <c r="A299" s="8"/>
      <c r="B299" s="10"/>
      <c r="C299" s="8"/>
      <c r="D299" s="8"/>
      <c r="E299" s="8"/>
      <c r="F299" s="8"/>
      <c r="G299" s="13"/>
      <c r="H299" s="13"/>
      <c r="I299" s="14" t="str">
        <f t="shared" si="16"/>
        <v/>
      </c>
      <c r="J299" s="14" t="str">
        <f t="shared" si="17"/>
        <v/>
      </c>
      <c r="K299" s="14" t="str">
        <f t="shared" si="18"/>
        <v/>
      </c>
      <c r="L299" s="13"/>
      <c r="M299" s="13"/>
      <c r="N299" s="14" t="str">
        <f t="shared" si="19"/>
        <v/>
      </c>
      <c r="O299" s="8"/>
      <c r="P299" s="8"/>
      <c r="Q299" s="8"/>
      <c r="R299" s="8"/>
      <c r="S299" s="10"/>
      <c r="T299" s="8"/>
    </row>
    <row r="300" spans="1:20">
      <c r="A300" s="8"/>
      <c r="B300" s="10"/>
      <c r="C300" s="8"/>
      <c r="D300" s="8"/>
      <c r="E300" s="8"/>
      <c r="F300" s="8"/>
      <c r="G300" s="13"/>
      <c r="H300" s="13"/>
      <c r="I300" s="14" t="str">
        <f t="shared" si="16"/>
        <v/>
      </c>
      <c r="J300" s="14" t="str">
        <f t="shared" si="17"/>
        <v/>
      </c>
      <c r="K300" s="14" t="str">
        <f t="shared" si="18"/>
        <v/>
      </c>
      <c r="L300" s="13"/>
      <c r="M300" s="13"/>
      <c r="N300" s="14" t="str">
        <f t="shared" si="19"/>
        <v/>
      </c>
      <c r="O300" s="8"/>
      <c r="P300" s="8"/>
      <c r="Q300" s="8"/>
      <c r="R300" s="8"/>
      <c r="S300" s="10"/>
      <c r="T300" s="8"/>
    </row>
    <row r="301" spans="1:20">
      <c r="A301" s="8"/>
      <c r="B301" s="10"/>
      <c r="C301" s="8"/>
      <c r="D301" s="8"/>
      <c r="E301" s="8"/>
      <c r="F301" s="8"/>
      <c r="G301" s="13"/>
      <c r="H301" s="13"/>
      <c r="I301" s="14" t="str">
        <f t="shared" si="16"/>
        <v/>
      </c>
      <c r="J301" s="14" t="str">
        <f t="shared" si="17"/>
        <v/>
      </c>
      <c r="K301" s="14" t="str">
        <f t="shared" si="18"/>
        <v/>
      </c>
      <c r="L301" s="13"/>
      <c r="M301" s="13"/>
      <c r="N301" s="14" t="str">
        <f t="shared" si="19"/>
        <v/>
      </c>
      <c r="O301" s="8"/>
      <c r="P301" s="8"/>
      <c r="Q301" s="8"/>
      <c r="R301" s="8"/>
      <c r="S301" s="10"/>
      <c r="T301" s="8"/>
    </row>
    <row r="302" spans="1:20">
      <c r="A302" s="8"/>
      <c r="B302" s="10"/>
      <c r="C302" s="8"/>
      <c r="D302" s="8"/>
      <c r="E302" s="8"/>
      <c r="F302" s="8"/>
      <c r="G302" s="13"/>
      <c r="H302" s="13"/>
      <c r="I302" s="14" t="str">
        <f t="shared" si="16"/>
        <v/>
      </c>
      <c r="J302" s="14" t="str">
        <f t="shared" si="17"/>
        <v/>
      </c>
      <c r="K302" s="14" t="str">
        <f t="shared" si="18"/>
        <v/>
      </c>
      <c r="L302" s="13"/>
      <c r="M302" s="13"/>
      <c r="N302" s="14" t="str">
        <f t="shared" si="19"/>
        <v/>
      </c>
      <c r="O302" s="8"/>
      <c r="P302" s="8"/>
      <c r="Q302" s="8"/>
      <c r="R302" s="8"/>
      <c r="S302" s="10"/>
      <c r="T302" s="8"/>
    </row>
    <row r="303" spans="1:20">
      <c r="A303" s="8"/>
      <c r="B303" s="10"/>
      <c r="C303" s="8"/>
      <c r="D303" s="8"/>
      <c r="E303" s="8"/>
      <c r="F303" s="8"/>
      <c r="G303" s="13"/>
      <c r="H303" s="13"/>
      <c r="I303" s="14" t="str">
        <f t="shared" si="16"/>
        <v/>
      </c>
      <c r="J303" s="14" t="str">
        <f t="shared" si="17"/>
        <v/>
      </c>
      <c r="K303" s="14" t="str">
        <f t="shared" si="18"/>
        <v/>
      </c>
      <c r="L303" s="13"/>
      <c r="M303" s="13"/>
      <c r="N303" s="14" t="str">
        <f t="shared" si="19"/>
        <v/>
      </c>
      <c r="O303" s="8"/>
      <c r="P303" s="8"/>
      <c r="Q303" s="8"/>
      <c r="R303" s="8"/>
      <c r="S303" s="10"/>
      <c r="T303" s="8"/>
    </row>
    <row r="304" spans="1:20">
      <c r="A304" s="8"/>
      <c r="B304" s="10"/>
      <c r="C304" s="8"/>
      <c r="D304" s="8"/>
      <c r="E304" s="8"/>
      <c r="F304" s="8"/>
      <c r="G304" s="13"/>
      <c r="H304" s="13"/>
      <c r="I304" s="14" t="str">
        <f t="shared" si="16"/>
        <v/>
      </c>
      <c r="J304" s="14" t="str">
        <f t="shared" si="17"/>
        <v/>
      </c>
      <c r="K304" s="14" t="str">
        <f t="shared" si="18"/>
        <v/>
      </c>
      <c r="L304" s="13"/>
      <c r="M304" s="13"/>
      <c r="N304" s="14" t="str">
        <f t="shared" si="19"/>
        <v/>
      </c>
      <c r="O304" s="8"/>
      <c r="P304" s="8"/>
      <c r="Q304" s="8"/>
      <c r="R304" s="8"/>
      <c r="S304" s="10"/>
      <c r="T304" s="8"/>
    </row>
  </sheetData>
  <mergeCells count="2">
    <mergeCell ref="A1:T1"/>
    <mergeCell ref="A2:T2"/>
  </mergeCells>
  <conditionalFormatting sqref="A5:A304">
    <cfRule type="duplicateValues" dxfId="96" priority="9"/>
  </conditionalFormatting>
  <conditionalFormatting sqref="O5:O304">
    <cfRule type="containsText" dxfId="95" priority="1" operator="containsText" text="Approved"/>
    <cfRule type="containsText" dxfId="94" priority="4" operator="containsText" text="Failed"/>
    <cfRule type="containsText" dxfId="93" priority="7" operator="containsText" text="On Hold"/>
  </conditionalFormatting>
  <dataValidations count="1">
    <dataValidation type="list" sqref="O5:O304" xr:uid="{00000000-0002-0000-0900-000000000000}">
      <formula1>"Pending,Partially Received,Fully Received,Quantity Difference,On Hold,Closed"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04"/>
  <sheetViews>
    <sheetView showGridLines="0" workbookViewId="0">
      <selection sqref="A1:V1"/>
    </sheetView>
  </sheetViews>
  <sheetFormatPr baseColWidth="10" defaultColWidth="8.83203125" defaultRowHeight="14"/>
  <cols>
    <col min="1" max="1" width="15" customWidth="1"/>
    <col min="2" max="2" width="17" customWidth="1"/>
    <col min="3" max="3" width="18" customWidth="1"/>
    <col min="4" max="4" width="14" customWidth="1"/>
    <col min="5" max="5" width="16" customWidth="1"/>
    <col min="6" max="7" width="14" customWidth="1"/>
    <col min="8" max="8" width="18" customWidth="1"/>
    <col min="9" max="9" width="13" customWidth="1"/>
    <col min="10" max="10" width="14" customWidth="1"/>
    <col min="11" max="11" width="13" customWidth="1"/>
    <col min="12" max="12" width="15" customWidth="1"/>
    <col min="13" max="14" width="13" customWidth="1"/>
    <col min="15" max="16" width="14" customWidth="1"/>
    <col min="17" max="17" width="15" customWidth="1"/>
    <col min="18" max="18" width="18" customWidth="1"/>
    <col min="19" max="19" width="14" customWidth="1"/>
    <col min="20" max="21" width="15" customWidth="1"/>
    <col min="22" max="22" width="24" customWidth="1"/>
  </cols>
  <sheetData>
    <row r="1" spans="1:22" ht="30" customHeight="1">
      <c r="A1" s="52" t="s">
        <v>189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190</v>
      </c>
      <c r="B4" s="6" t="s">
        <v>177</v>
      </c>
      <c r="C4" s="6" t="s">
        <v>118</v>
      </c>
      <c r="D4" s="6" t="s">
        <v>44</v>
      </c>
      <c r="E4" s="6" t="s">
        <v>119</v>
      </c>
      <c r="F4" s="6" t="s">
        <v>136</v>
      </c>
      <c r="G4" s="6" t="s">
        <v>191</v>
      </c>
      <c r="H4" s="6" t="s">
        <v>192</v>
      </c>
      <c r="I4" s="6" t="s">
        <v>46</v>
      </c>
      <c r="J4" s="6" t="s">
        <v>193</v>
      </c>
      <c r="K4" s="6" t="s">
        <v>194</v>
      </c>
      <c r="L4" s="6" t="s">
        <v>195</v>
      </c>
      <c r="M4" s="6" t="s">
        <v>146</v>
      </c>
      <c r="N4" s="6" t="s">
        <v>147</v>
      </c>
      <c r="O4" s="6" t="s">
        <v>196</v>
      </c>
      <c r="P4" s="6" t="s">
        <v>197</v>
      </c>
      <c r="Q4" s="6" t="s">
        <v>198</v>
      </c>
      <c r="R4" s="6" t="s">
        <v>187</v>
      </c>
      <c r="S4" s="6" t="s">
        <v>199</v>
      </c>
      <c r="T4" s="6" t="s">
        <v>100</v>
      </c>
      <c r="U4" s="6" t="s">
        <v>63</v>
      </c>
      <c r="V4" s="6" t="s">
        <v>161</v>
      </c>
    </row>
    <row r="5" spans="1:22">
      <c r="A5" s="8"/>
      <c r="B5" s="8"/>
      <c r="C5" s="8"/>
      <c r="D5" s="8"/>
      <c r="E5" s="8"/>
      <c r="F5" s="8"/>
      <c r="G5" s="8"/>
      <c r="H5" s="8"/>
      <c r="I5" s="8"/>
      <c r="J5" s="13"/>
      <c r="K5" s="13"/>
      <c r="L5" s="13"/>
      <c r="M5" s="13"/>
      <c r="N5" s="13"/>
      <c r="O5" s="8"/>
      <c r="P5" s="13"/>
      <c r="Q5" s="8"/>
      <c r="R5" s="8"/>
      <c r="S5" s="10"/>
      <c r="T5" s="8"/>
      <c r="U5" s="10"/>
      <c r="V5" s="8"/>
    </row>
    <row r="6" spans="1:22">
      <c r="A6" s="8"/>
      <c r="B6" s="8"/>
      <c r="C6" s="8"/>
      <c r="D6" s="8"/>
      <c r="E6" s="8"/>
      <c r="F6" s="8"/>
      <c r="G6" s="8"/>
      <c r="H6" s="8"/>
      <c r="I6" s="8"/>
      <c r="J6" s="13"/>
      <c r="K6" s="13"/>
      <c r="L6" s="13"/>
      <c r="M6" s="13"/>
      <c r="N6" s="13"/>
      <c r="O6" s="8"/>
      <c r="P6" s="13"/>
      <c r="Q6" s="8"/>
      <c r="R6" s="8"/>
      <c r="S6" s="10"/>
      <c r="T6" s="8"/>
      <c r="U6" s="10"/>
      <c r="V6" s="8"/>
    </row>
    <row r="7" spans="1:22">
      <c r="A7" s="8"/>
      <c r="B7" s="8"/>
      <c r="C7" s="8"/>
      <c r="D7" s="8"/>
      <c r="E7" s="8"/>
      <c r="F7" s="8"/>
      <c r="G7" s="8"/>
      <c r="H7" s="8"/>
      <c r="I7" s="8"/>
      <c r="J7" s="13"/>
      <c r="K7" s="13"/>
      <c r="L7" s="13"/>
      <c r="M7" s="13"/>
      <c r="N7" s="13"/>
      <c r="O7" s="8"/>
      <c r="P7" s="13"/>
      <c r="Q7" s="8"/>
      <c r="R7" s="8"/>
      <c r="S7" s="10"/>
      <c r="T7" s="8"/>
      <c r="U7" s="10"/>
      <c r="V7" s="8"/>
    </row>
    <row r="8" spans="1:22">
      <c r="A8" s="8"/>
      <c r="B8" s="8"/>
      <c r="C8" s="8"/>
      <c r="D8" s="8"/>
      <c r="E8" s="8"/>
      <c r="F8" s="8"/>
      <c r="G8" s="8"/>
      <c r="H8" s="8"/>
      <c r="I8" s="8"/>
      <c r="J8" s="13"/>
      <c r="K8" s="13"/>
      <c r="L8" s="13"/>
      <c r="M8" s="13"/>
      <c r="N8" s="13"/>
      <c r="O8" s="8"/>
      <c r="P8" s="13"/>
      <c r="Q8" s="8"/>
      <c r="R8" s="8"/>
      <c r="S8" s="10"/>
      <c r="T8" s="8"/>
      <c r="U8" s="10"/>
      <c r="V8" s="8"/>
    </row>
    <row r="9" spans="1:22">
      <c r="A9" s="8"/>
      <c r="B9" s="8"/>
      <c r="C9" s="8"/>
      <c r="D9" s="8"/>
      <c r="E9" s="8"/>
      <c r="F9" s="8"/>
      <c r="G9" s="8"/>
      <c r="H9" s="8"/>
      <c r="I9" s="8"/>
      <c r="J9" s="13"/>
      <c r="K9" s="13"/>
      <c r="L9" s="13"/>
      <c r="M9" s="13"/>
      <c r="N9" s="13"/>
      <c r="O9" s="8"/>
      <c r="P9" s="13"/>
      <c r="Q9" s="8"/>
      <c r="R9" s="8"/>
      <c r="S9" s="10"/>
      <c r="T9" s="8"/>
      <c r="U9" s="10"/>
      <c r="V9" s="8"/>
    </row>
    <row r="10" spans="1:22">
      <c r="A10" s="8"/>
      <c r="B10" s="8"/>
      <c r="C10" s="8"/>
      <c r="D10" s="8"/>
      <c r="E10" s="8"/>
      <c r="F10" s="8"/>
      <c r="G10" s="8"/>
      <c r="H10" s="8"/>
      <c r="I10" s="8"/>
      <c r="J10" s="13"/>
      <c r="K10" s="13"/>
      <c r="L10" s="13"/>
      <c r="M10" s="13"/>
      <c r="N10" s="13"/>
      <c r="O10" s="8"/>
      <c r="P10" s="13"/>
      <c r="Q10" s="8"/>
      <c r="R10" s="8"/>
      <c r="S10" s="10"/>
      <c r="T10" s="8"/>
      <c r="U10" s="10"/>
      <c r="V10" s="8"/>
    </row>
    <row r="11" spans="1:22">
      <c r="A11" s="8"/>
      <c r="B11" s="8"/>
      <c r="C11" s="8"/>
      <c r="D11" s="8"/>
      <c r="E11" s="8"/>
      <c r="F11" s="8"/>
      <c r="G11" s="8"/>
      <c r="H11" s="8"/>
      <c r="I11" s="8"/>
      <c r="J11" s="13"/>
      <c r="K11" s="13"/>
      <c r="L11" s="13"/>
      <c r="M11" s="13"/>
      <c r="N11" s="13"/>
      <c r="O11" s="8"/>
      <c r="P11" s="13"/>
      <c r="Q11" s="8"/>
      <c r="R11" s="8"/>
      <c r="S11" s="10"/>
      <c r="T11" s="8"/>
      <c r="U11" s="10"/>
      <c r="V11" s="8"/>
    </row>
    <row r="12" spans="1:22">
      <c r="A12" s="8"/>
      <c r="B12" s="8"/>
      <c r="C12" s="8"/>
      <c r="D12" s="8"/>
      <c r="E12" s="8"/>
      <c r="F12" s="8"/>
      <c r="G12" s="8"/>
      <c r="H12" s="8"/>
      <c r="I12" s="8"/>
      <c r="J12" s="13"/>
      <c r="K12" s="13"/>
      <c r="L12" s="13"/>
      <c r="M12" s="13"/>
      <c r="N12" s="13"/>
      <c r="O12" s="8"/>
      <c r="P12" s="13"/>
      <c r="Q12" s="8"/>
      <c r="R12" s="8"/>
      <c r="S12" s="10"/>
      <c r="T12" s="8"/>
      <c r="U12" s="10"/>
      <c r="V12" s="8"/>
    </row>
    <row r="13" spans="1:22">
      <c r="A13" s="8"/>
      <c r="B13" s="8"/>
      <c r="C13" s="8"/>
      <c r="D13" s="8"/>
      <c r="E13" s="8"/>
      <c r="F13" s="8"/>
      <c r="G13" s="8"/>
      <c r="H13" s="8"/>
      <c r="I13" s="8"/>
      <c r="J13" s="13"/>
      <c r="K13" s="13"/>
      <c r="L13" s="13"/>
      <c r="M13" s="13"/>
      <c r="N13" s="13"/>
      <c r="O13" s="8"/>
      <c r="P13" s="13"/>
      <c r="Q13" s="8"/>
      <c r="R13" s="8"/>
      <c r="S13" s="10"/>
      <c r="T13" s="8"/>
      <c r="U13" s="10"/>
      <c r="V13" s="8"/>
    </row>
    <row r="14" spans="1:22">
      <c r="A14" s="8"/>
      <c r="B14" s="8"/>
      <c r="C14" s="8"/>
      <c r="D14" s="8"/>
      <c r="E14" s="8"/>
      <c r="F14" s="8"/>
      <c r="G14" s="8"/>
      <c r="H14" s="8"/>
      <c r="I14" s="8"/>
      <c r="J14" s="13"/>
      <c r="K14" s="13"/>
      <c r="L14" s="13"/>
      <c r="M14" s="13"/>
      <c r="N14" s="13"/>
      <c r="O14" s="8"/>
      <c r="P14" s="13"/>
      <c r="Q14" s="8"/>
      <c r="R14" s="8"/>
      <c r="S14" s="10"/>
      <c r="T14" s="8"/>
      <c r="U14" s="10"/>
      <c r="V14" s="8"/>
    </row>
    <row r="15" spans="1:22">
      <c r="A15" s="8"/>
      <c r="B15" s="8"/>
      <c r="C15" s="8"/>
      <c r="D15" s="8"/>
      <c r="E15" s="8"/>
      <c r="F15" s="8"/>
      <c r="G15" s="8"/>
      <c r="H15" s="8"/>
      <c r="I15" s="8"/>
      <c r="J15" s="13"/>
      <c r="K15" s="13"/>
      <c r="L15" s="13"/>
      <c r="M15" s="13"/>
      <c r="N15" s="13"/>
      <c r="O15" s="8"/>
      <c r="P15" s="13"/>
      <c r="Q15" s="8"/>
      <c r="R15" s="8"/>
      <c r="S15" s="10"/>
      <c r="T15" s="8"/>
      <c r="U15" s="10"/>
      <c r="V15" s="8"/>
    </row>
    <row r="16" spans="1:22">
      <c r="A16" s="8"/>
      <c r="B16" s="8"/>
      <c r="C16" s="8"/>
      <c r="D16" s="8"/>
      <c r="E16" s="8"/>
      <c r="F16" s="8"/>
      <c r="G16" s="8"/>
      <c r="H16" s="8"/>
      <c r="I16" s="8"/>
      <c r="J16" s="13"/>
      <c r="K16" s="13"/>
      <c r="L16" s="13"/>
      <c r="M16" s="13"/>
      <c r="N16" s="13"/>
      <c r="O16" s="8"/>
      <c r="P16" s="13"/>
      <c r="Q16" s="8"/>
      <c r="R16" s="8"/>
      <c r="S16" s="10"/>
      <c r="T16" s="8"/>
      <c r="U16" s="10"/>
      <c r="V16" s="8"/>
    </row>
    <row r="17" spans="1:22">
      <c r="A17" s="8"/>
      <c r="B17" s="8"/>
      <c r="C17" s="8"/>
      <c r="D17" s="8"/>
      <c r="E17" s="8"/>
      <c r="F17" s="8"/>
      <c r="G17" s="8"/>
      <c r="H17" s="8"/>
      <c r="I17" s="8"/>
      <c r="J17" s="13"/>
      <c r="K17" s="13"/>
      <c r="L17" s="13"/>
      <c r="M17" s="13"/>
      <c r="N17" s="13"/>
      <c r="O17" s="8"/>
      <c r="P17" s="13"/>
      <c r="Q17" s="8"/>
      <c r="R17" s="8"/>
      <c r="S17" s="10"/>
      <c r="T17" s="8"/>
      <c r="U17" s="10"/>
      <c r="V17" s="8"/>
    </row>
    <row r="18" spans="1:22">
      <c r="A18" s="8"/>
      <c r="B18" s="8"/>
      <c r="C18" s="8"/>
      <c r="D18" s="8"/>
      <c r="E18" s="8"/>
      <c r="F18" s="8"/>
      <c r="G18" s="8"/>
      <c r="H18" s="8"/>
      <c r="I18" s="8"/>
      <c r="J18" s="13"/>
      <c r="K18" s="13"/>
      <c r="L18" s="13"/>
      <c r="M18" s="13"/>
      <c r="N18" s="13"/>
      <c r="O18" s="8"/>
      <c r="P18" s="13"/>
      <c r="Q18" s="8"/>
      <c r="R18" s="8"/>
      <c r="S18" s="10"/>
      <c r="T18" s="8"/>
      <c r="U18" s="10"/>
      <c r="V18" s="8"/>
    </row>
    <row r="19" spans="1:22">
      <c r="A19" s="8"/>
      <c r="B19" s="8"/>
      <c r="C19" s="8"/>
      <c r="D19" s="8"/>
      <c r="E19" s="8"/>
      <c r="F19" s="8"/>
      <c r="G19" s="8"/>
      <c r="H19" s="8"/>
      <c r="I19" s="8"/>
      <c r="J19" s="13"/>
      <c r="K19" s="13"/>
      <c r="L19" s="13"/>
      <c r="M19" s="13"/>
      <c r="N19" s="13"/>
      <c r="O19" s="8"/>
      <c r="P19" s="13"/>
      <c r="Q19" s="8"/>
      <c r="R19" s="8"/>
      <c r="S19" s="10"/>
      <c r="T19" s="8"/>
      <c r="U19" s="10"/>
      <c r="V19" s="8"/>
    </row>
    <row r="20" spans="1:22">
      <c r="A20" s="8"/>
      <c r="B20" s="8"/>
      <c r="C20" s="8"/>
      <c r="D20" s="8"/>
      <c r="E20" s="8"/>
      <c r="F20" s="8"/>
      <c r="G20" s="8"/>
      <c r="H20" s="8"/>
      <c r="I20" s="8"/>
      <c r="J20" s="13"/>
      <c r="K20" s="13"/>
      <c r="L20" s="13"/>
      <c r="M20" s="13"/>
      <c r="N20" s="13"/>
      <c r="O20" s="8"/>
      <c r="P20" s="13"/>
      <c r="Q20" s="8"/>
      <c r="R20" s="8"/>
      <c r="S20" s="10"/>
      <c r="T20" s="8"/>
      <c r="U20" s="10"/>
      <c r="V20" s="8"/>
    </row>
    <row r="21" spans="1:22">
      <c r="A21" s="8"/>
      <c r="B21" s="8"/>
      <c r="C21" s="8"/>
      <c r="D21" s="8"/>
      <c r="E21" s="8"/>
      <c r="F21" s="8"/>
      <c r="G21" s="8"/>
      <c r="H21" s="8"/>
      <c r="I21" s="8"/>
      <c r="J21" s="13"/>
      <c r="K21" s="13"/>
      <c r="L21" s="13"/>
      <c r="M21" s="13"/>
      <c r="N21" s="13"/>
      <c r="O21" s="8"/>
      <c r="P21" s="13"/>
      <c r="Q21" s="8"/>
      <c r="R21" s="8"/>
      <c r="S21" s="10"/>
      <c r="T21" s="8"/>
      <c r="U21" s="10"/>
      <c r="V21" s="8"/>
    </row>
    <row r="22" spans="1:22">
      <c r="A22" s="8"/>
      <c r="B22" s="8"/>
      <c r="C22" s="8"/>
      <c r="D22" s="8"/>
      <c r="E22" s="8"/>
      <c r="F22" s="8"/>
      <c r="G22" s="8"/>
      <c r="H22" s="8"/>
      <c r="I22" s="8"/>
      <c r="J22" s="13"/>
      <c r="K22" s="13"/>
      <c r="L22" s="13"/>
      <c r="M22" s="13"/>
      <c r="N22" s="13"/>
      <c r="O22" s="8"/>
      <c r="P22" s="13"/>
      <c r="Q22" s="8"/>
      <c r="R22" s="8"/>
      <c r="S22" s="10"/>
      <c r="T22" s="8"/>
      <c r="U22" s="10"/>
      <c r="V22" s="8"/>
    </row>
    <row r="23" spans="1:22">
      <c r="A23" s="8"/>
      <c r="B23" s="8"/>
      <c r="C23" s="8"/>
      <c r="D23" s="8"/>
      <c r="E23" s="8"/>
      <c r="F23" s="8"/>
      <c r="G23" s="8"/>
      <c r="H23" s="8"/>
      <c r="I23" s="8"/>
      <c r="J23" s="13"/>
      <c r="K23" s="13"/>
      <c r="L23" s="13"/>
      <c r="M23" s="13"/>
      <c r="N23" s="13"/>
      <c r="O23" s="8"/>
      <c r="P23" s="13"/>
      <c r="Q23" s="8"/>
      <c r="R23" s="8"/>
      <c r="S23" s="10"/>
      <c r="T23" s="8"/>
      <c r="U23" s="10"/>
      <c r="V23" s="8"/>
    </row>
    <row r="24" spans="1:22">
      <c r="A24" s="8"/>
      <c r="B24" s="8"/>
      <c r="C24" s="8"/>
      <c r="D24" s="8"/>
      <c r="E24" s="8"/>
      <c r="F24" s="8"/>
      <c r="G24" s="8"/>
      <c r="H24" s="8"/>
      <c r="I24" s="8"/>
      <c r="J24" s="13"/>
      <c r="K24" s="13"/>
      <c r="L24" s="13"/>
      <c r="M24" s="13"/>
      <c r="N24" s="13"/>
      <c r="O24" s="8"/>
      <c r="P24" s="13"/>
      <c r="Q24" s="8"/>
      <c r="R24" s="8"/>
      <c r="S24" s="10"/>
      <c r="T24" s="8"/>
      <c r="U24" s="10"/>
      <c r="V24" s="8"/>
    </row>
    <row r="25" spans="1:22">
      <c r="A25" s="8"/>
      <c r="B25" s="8"/>
      <c r="C25" s="8"/>
      <c r="D25" s="8"/>
      <c r="E25" s="8"/>
      <c r="F25" s="8"/>
      <c r="G25" s="8"/>
      <c r="H25" s="8"/>
      <c r="I25" s="8"/>
      <c r="J25" s="13"/>
      <c r="K25" s="13"/>
      <c r="L25" s="13"/>
      <c r="M25" s="13"/>
      <c r="N25" s="13"/>
      <c r="O25" s="8"/>
      <c r="P25" s="13"/>
      <c r="Q25" s="8"/>
      <c r="R25" s="8"/>
      <c r="S25" s="10"/>
      <c r="T25" s="8"/>
      <c r="U25" s="10"/>
      <c r="V25" s="8"/>
    </row>
    <row r="26" spans="1:22">
      <c r="A26" s="8"/>
      <c r="B26" s="8"/>
      <c r="C26" s="8"/>
      <c r="D26" s="8"/>
      <c r="E26" s="8"/>
      <c r="F26" s="8"/>
      <c r="G26" s="8"/>
      <c r="H26" s="8"/>
      <c r="I26" s="8"/>
      <c r="J26" s="13"/>
      <c r="K26" s="13"/>
      <c r="L26" s="13"/>
      <c r="M26" s="13"/>
      <c r="N26" s="13"/>
      <c r="O26" s="8"/>
      <c r="P26" s="13"/>
      <c r="Q26" s="8"/>
      <c r="R26" s="8"/>
      <c r="S26" s="10"/>
      <c r="T26" s="8"/>
      <c r="U26" s="10"/>
      <c r="V26" s="8"/>
    </row>
    <row r="27" spans="1:22">
      <c r="A27" s="8"/>
      <c r="B27" s="8"/>
      <c r="C27" s="8"/>
      <c r="D27" s="8"/>
      <c r="E27" s="8"/>
      <c r="F27" s="8"/>
      <c r="G27" s="8"/>
      <c r="H27" s="8"/>
      <c r="I27" s="8"/>
      <c r="J27" s="13"/>
      <c r="K27" s="13"/>
      <c r="L27" s="13"/>
      <c r="M27" s="13"/>
      <c r="N27" s="13"/>
      <c r="O27" s="8"/>
      <c r="P27" s="13"/>
      <c r="Q27" s="8"/>
      <c r="R27" s="8"/>
      <c r="S27" s="10"/>
      <c r="T27" s="8"/>
      <c r="U27" s="10"/>
      <c r="V27" s="8"/>
    </row>
    <row r="28" spans="1:22">
      <c r="A28" s="8"/>
      <c r="B28" s="8"/>
      <c r="C28" s="8"/>
      <c r="D28" s="8"/>
      <c r="E28" s="8"/>
      <c r="F28" s="8"/>
      <c r="G28" s="8"/>
      <c r="H28" s="8"/>
      <c r="I28" s="8"/>
      <c r="J28" s="13"/>
      <c r="K28" s="13"/>
      <c r="L28" s="13"/>
      <c r="M28" s="13"/>
      <c r="N28" s="13"/>
      <c r="O28" s="8"/>
      <c r="P28" s="13"/>
      <c r="Q28" s="8"/>
      <c r="R28" s="8"/>
      <c r="S28" s="10"/>
      <c r="T28" s="8"/>
      <c r="U28" s="10"/>
      <c r="V28" s="8"/>
    </row>
    <row r="29" spans="1:22">
      <c r="A29" s="8"/>
      <c r="B29" s="8"/>
      <c r="C29" s="8"/>
      <c r="D29" s="8"/>
      <c r="E29" s="8"/>
      <c r="F29" s="8"/>
      <c r="G29" s="8"/>
      <c r="H29" s="8"/>
      <c r="I29" s="8"/>
      <c r="J29" s="13"/>
      <c r="K29" s="13"/>
      <c r="L29" s="13"/>
      <c r="M29" s="13"/>
      <c r="N29" s="13"/>
      <c r="O29" s="8"/>
      <c r="P29" s="13"/>
      <c r="Q29" s="8"/>
      <c r="R29" s="8"/>
      <c r="S29" s="10"/>
      <c r="T29" s="8"/>
      <c r="U29" s="10"/>
      <c r="V29" s="8"/>
    </row>
    <row r="30" spans="1:22">
      <c r="A30" s="8"/>
      <c r="B30" s="8"/>
      <c r="C30" s="8"/>
      <c r="D30" s="8"/>
      <c r="E30" s="8"/>
      <c r="F30" s="8"/>
      <c r="G30" s="8"/>
      <c r="H30" s="8"/>
      <c r="I30" s="8"/>
      <c r="J30" s="13"/>
      <c r="K30" s="13"/>
      <c r="L30" s="13"/>
      <c r="M30" s="13"/>
      <c r="N30" s="13"/>
      <c r="O30" s="8"/>
      <c r="P30" s="13"/>
      <c r="Q30" s="8"/>
      <c r="R30" s="8"/>
      <c r="S30" s="10"/>
      <c r="T30" s="8"/>
      <c r="U30" s="10"/>
      <c r="V30" s="8"/>
    </row>
    <row r="31" spans="1:22">
      <c r="A31" s="8"/>
      <c r="B31" s="8"/>
      <c r="C31" s="8"/>
      <c r="D31" s="8"/>
      <c r="E31" s="8"/>
      <c r="F31" s="8"/>
      <c r="G31" s="8"/>
      <c r="H31" s="8"/>
      <c r="I31" s="8"/>
      <c r="J31" s="13"/>
      <c r="K31" s="13"/>
      <c r="L31" s="13"/>
      <c r="M31" s="13"/>
      <c r="N31" s="13"/>
      <c r="O31" s="8"/>
      <c r="P31" s="13"/>
      <c r="Q31" s="8"/>
      <c r="R31" s="8"/>
      <c r="S31" s="10"/>
      <c r="T31" s="8"/>
      <c r="U31" s="10"/>
      <c r="V31" s="8"/>
    </row>
    <row r="32" spans="1:22">
      <c r="A32" s="8"/>
      <c r="B32" s="8"/>
      <c r="C32" s="8"/>
      <c r="D32" s="8"/>
      <c r="E32" s="8"/>
      <c r="F32" s="8"/>
      <c r="G32" s="8"/>
      <c r="H32" s="8"/>
      <c r="I32" s="8"/>
      <c r="J32" s="13"/>
      <c r="K32" s="13"/>
      <c r="L32" s="13"/>
      <c r="M32" s="13"/>
      <c r="N32" s="13"/>
      <c r="O32" s="8"/>
      <c r="P32" s="13"/>
      <c r="Q32" s="8"/>
      <c r="R32" s="8"/>
      <c r="S32" s="10"/>
      <c r="T32" s="8"/>
      <c r="U32" s="10"/>
      <c r="V32" s="8"/>
    </row>
    <row r="33" spans="1:22">
      <c r="A33" s="8"/>
      <c r="B33" s="8"/>
      <c r="C33" s="8"/>
      <c r="D33" s="8"/>
      <c r="E33" s="8"/>
      <c r="F33" s="8"/>
      <c r="G33" s="8"/>
      <c r="H33" s="8"/>
      <c r="I33" s="8"/>
      <c r="J33" s="13"/>
      <c r="K33" s="13"/>
      <c r="L33" s="13"/>
      <c r="M33" s="13"/>
      <c r="N33" s="13"/>
      <c r="O33" s="8"/>
      <c r="P33" s="13"/>
      <c r="Q33" s="8"/>
      <c r="R33" s="8"/>
      <c r="S33" s="10"/>
      <c r="T33" s="8"/>
      <c r="U33" s="10"/>
      <c r="V33" s="8"/>
    </row>
    <row r="34" spans="1:22">
      <c r="A34" s="8"/>
      <c r="B34" s="8"/>
      <c r="C34" s="8"/>
      <c r="D34" s="8"/>
      <c r="E34" s="8"/>
      <c r="F34" s="8"/>
      <c r="G34" s="8"/>
      <c r="H34" s="8"/>
      <c r="I34" s="8"/>
      <c r="J34" s="13"/>
      <c r="K34" s="13"/>
      <c r="L34" s="13"/>
      <c r="M34" s="13"/>
      <c r="N34" s="13"/>
      <c r="O34" s="8"/>
      <c r="P34" s="13"/>
      <c r="Q34" s="8"/>
      <c r="R34" s="8"/>
      <c r="S34" s="10"/>
      <c r="T34" s="8"/>
      <c r="U34" s="10"/>
      <c r="V34" s="8"/>
    </row>
    <row r="35" spans="1:22">
      <c r="A35" s="8"/>
      <c r="B35" s="8"/>
      <c r="C35" s="8"/>
      <c r="D35" s="8"/>
      <c r="E35" s="8"/>
      <c r="F35" s="8"/>
      <c r="G35" s="8"/>
      <c r="H35" s="8"/>
      <c r="I35" s="8"/>
      <c r="J35" s="13"/>
      <c r="K35" s="13"/>
      <c r="L35" s="13"/>
      <c r="M35" s="13"/>
      <c r="N35" s="13"/>
      <c r="O35" s="8"/>
      <c r="P35" s="13"/>
      <c r="Q35" s="8"/>
      <c r="R35" s="8"/>
      <c r="S35" s="10"/>
      <c r="T35" s="8"/>
      <c r="U35" s="10"/>
      <c r="V35" s="8"/>
    </row>
    <row r="36" spans="1:22">
      <c r="A36" s="8"/>
      <c r="B36" s="8"/>
      <c r="C36" s="8"/>
      <c r="D36" s="8"/>
      <c r="E36" s="8"/>
      <c r="F36" s="8"/>
      <c r="G36" s="8"/>
      <c r="H36" s="8"/>
      <c r="I36" s="8"/>
      <c r="J36" s="13"/>
      <c r="K36" s="13"/>
      <c r="L36" s="13"/>
      <c r="M36" s="13"/>
      <c r="N36" s="13"/>
      <c r="O36" s="8"/>
      <c r="P36" s="13"/>
      <c r="Q36" s="8"/>
      <c r="R36" s="8"/>
      <c r="S36" s="10"/>
      <c r="T36" s="8"/>
      <c r="U36" s="10"/>
      <c r="V36" s="8"/>
    </row>
    <row r="37" spans="1:22">
      <c r="A37" s="8"/>
      <c r="B37" s="8"/>
      <c r="C37" s="8"/>
      <c r="D37" s="8"/>
      <c r="E37" s="8"/>
      <c r="F37" s="8"/>
      <c r="G37" s="8"/>
      <c r="H37" s="8"/>
      <c r="I37" s="8"/>
      <c r="J37" s="13"/>
      <c r="K37" s="13"/>
      <c r="L37" s="13"/>
      <c r="M37" s="13"/>
      <c r="N37" s="13"/>
      <c r="O37" s="8"/>
      <c r="P37" s="13"/>
      <c r="Q37" s="8"/>
      <c r="R37" s="8"/>
      <c r="S37" s="10"/>
      <c r="T37" s="8"/>
      <c r="U37" s="10"/>
      <c r="V37" s="8"/>
    </row>
    <row r="38" spans="1:22">
      <c r="A38" s="8"/>
      <c r="B38" s="8"/>
      <c r="C38" s="8"/>
      <c r="D38" s="8"/>
      <c r="E38" s="8"/>
      <c r="F38" s="8"/>
      <c r="G38" s="8"/>
      <c r="H38" s="8"/>
      <c r="I38" s="8"/>
      <c r="J38" s="13"/>
      <c r="K38" s="13"/>
      <c r="L38" s="13"/>
      <c r="M38" s="13"/>
      <c r="N38" s="13"/>
      <c r="O38" s="8"/>
      <c r="P38" s="13"/>
      <c r="Q38" s="8"/>
      <c r="R38" s="8"/>
      <c r="S38" s="10"/>
      <c r="T38" s="8"/>
      <c r="U38" s="10"/>
      <c r="V38" s="8"/>
    </row>
    <row r="39" spans="1:22">
      <c r="A39" s="8"/>
      <c r="B39" s="8"/>
      <c r="C39" s="8"/>
      <c r="D39" s="8"/>
      <c r="E39" s="8"/>
      <c r="F39" s="8"/>
      <c r="G39" s="8"/>
      <c r="H39" s="8"/>
      <c r="I39" s="8"/>
      <c r="J39" s="13"/>
      <c r="K39" s="13"/>
      <c r="L39" s="13"/>
      <c r="M39" s="13"/>
      <c r="N39" s="13"/>
      <c r="O39" s="8"/>
      <c r="P39" s="13"/>
      <c r="Q39" s="8"/>
      <c r="R39" s="8"/>
      <c r="S39" s="10"/>
      <c r="T39" s="8"/>
      <c r="U39" s="10"/>
      <c r="V39" s="8"/>
    </row>
    <row r="40" spans="1:22">
      <c r="A40" s="8"/>
      <c r="B40" s="8"/>
      <c r="C40" s="8"/>
      <c r="D40" s="8"/>
      <c r="E40" s="8"/>
      <c r="F40" s="8"/>
      <c r="G40" s="8"/>
      <c r="H40" s="8"/>
      <c r="I40" s="8"/>
      <c r="J40" s="13"/>
      <c r="K40" s="13"/>
      <c r="L40" s="13"/>
      <c r="M40" s="13"/>
      <c r="N40" s="13"/>
      <c r="O40" s="8"/>
      <c r="P40" s="13"/>
      <c r="Q40" s="8"/>
      <c r="R40" s="8"/>
      <c r="S40" s="10"/>
      <c r="T40" s="8"/>
      <c r="U40" s="10"/>
      <c r="V40" s="8"/>
    </row>
    <row r="41" spans="1:22">
      <c r="A41" s="8"/>
      <c r="B41" s="8"/>
      <c r="C41" s="8"/>
      <c r="D41" s="8"/>
      <c r="E41" s="8"/>
      <c r="F41" s="8"/>
      <c r="G41" s="8"/>
      <c r="H41" s="8"/>
      <c r="I41" s="8"/>
      <c r="J41" s="13"/>
      <c r="K41" s="13"/>
      <c r="L41" s="13"/>
      <c r="M41" s="13"/>
      <c r="N41" s="13"/>
      <c r="O41" s="8"/>
      <c r="P41" s="13"/>
      <c r="Q41" s="8"/>
      <c r="R41" s="8"/>
      <c r="S41" s="10"/>
      <c r="T41" s="8"/>
      <c r="U41" s="10"/>
      <c r="V41" s="8"/>
    </row>
    <row r="42" spans="1:22">
      <c r="A42" s="8"/>
      <c r="B42" s="8"/>
      <c r="C42" s="8"/>
      <c r="D42" s="8"/>
      <c r="E42" s="8"/>
      <c r="F42" s="8"/>
      <c r="G42" s="8"/>
      <c r="H42" s="8"/>
      <c r="I42" s="8"/>
      <c r="J42" s="13"/>
      <c r="K42" s="13"/>
      <c r="L42" s="13"/>
      <c r="M42" s="13"/>
      <c r="N42" s="13"/>
      <c r="O42" s="8"/>
      <c r="P42" s="13"/>
      <c r="Q42" s="8"/>
      <c r="R42" s="8"/>
      <c r="S42" s="10"/>
      <c r="T42" s="8"/>
      <c r="U42" s="10"/>
      <c r="V42" s="8"/>
    </row>
    <row r="43" spans="1:22">
      <c r="A43" s="8"/>
      <c r="B43" s="8"/>
      <c r="C43" s="8"/>
      <c r="D43" s="8"/>
      <c r="E43" s="8"/>
      <c r="F43" s="8"/>
      <c r="G43" s="8"/>
      <c r="H43" s="8"/>
      <c r="I43" s="8"/>
      <c r="J43" s="13"/>
      <c r="K43" s="13"/>
      <c r="L43" s="13"/>
      <c r="M43" s="13"/>
      <c r="N43" s="13"/>
      <c r="O43" s="8"/>
      <c r="P43" s="13"/>
      <c r="Q43" s="8"/>
      <c r="R43" s="8"/>
      <c r="S43" s="10"/>
      <c r="T43" s="8"/>
      <c r="U43" s="10"/>
      <c r="V43" s="8"/>
    </row>
    <row r="44" spans="1:22">
      <c r="A44" s="8"/>
      <c r="B44" s="8"/>
      <c r="C44" s="8"/>
      <c r="D44" s="8"/>
      <c r="E44" s="8"/>
      <c r="F44" s="8"/>
      <c r="G44" s="8"/>
      <c r="H44" s="8"/>
      <c r="I44" s="8"/>
      <c r="J44" s="13"/>
      <c r="K44" s="13"/>
      <c r="L44" s="13"/>
      <c r="M44" s="13"/>
      <c r="N44" s="13"/>
      <c r="O44" s="8"/>
      <c r="P44" s="13"/>
      <c r="Q44" s="8"/>
      <c r="R44" s="8"/>
      <c r="S44" s="10"/>
      <c r="T44" s="8"/>
      <c r="U44" s="10"/>
      <c r="V44" s="8"/>
    </row>
    <row r="45" spans="1:22">
      <c r="A45" s="8"/>
      <c r="B45" s="8"/>
      <c r="C45" s="8"/>
      <c r="D45" s="8"/>
      <c r="E45" s="8"/>
      <c r="F45" s="8"/>
      <c r="G45" s="8"/>
      <c r="H45" s="8"/>
      <c r="I45" s="8"/>
      <c r="J45" s="13"/>
      <c r="K45" s="13"/>
      <c r="L45" s="13"/>
      <c r="M45" s="13"/>
      <c r="N45" s="13"/>
      <c r="O45" s="8"/>
      <c r="P45" s="13"/>
      <c r="Q45" s="8"/>
      <c r="R45" s="8"/>
      <c r="S45" s="10"/>
      <c r="T45" s="8"/>
      <c r="U45" s="10"/>
      <c r="V45" s="8"/>
    </row>
    <row r="46" spans="1:22">
      <c r="A46" s="8"/>
      <c r="B46" s="8"/>
      <c r="C46" s="8"/>
      <c r="D46" s="8"/>
      <c r="E46" s="8"/>
      <c r="F46" s="8"/>
      <c r="G46" s="8"/>
      <c r="H46" s="8"/>
      <c r="I46" s="8"/>
      <c r="J46" s="13"/>
      <c r="K46" s="13"/>
      <c r="L46" s="13"/>
      <c r="M46" s="13"/>
      <c r="N46" s="13"/>
      <c r="O46" s="8"/>
      <c r="P46" s="13"/>
      <c r="Q46" s="8"/>
      <c r="R46" s="8"/>
      <c r="S46" s="10"/>
      <c r="T46" s="8"/>
      <c r="U46" s="10"/>
      <c r="V46" s="8"/>
    </row>
    <row r="47" spans="1:22">
      <c r="A47" s="8"/>
      <c r="B47" s="8"/>
      <c r="C47" s="8"/>
      <c r="D47" s="8"/>
      <c r="E47" s="8"/>
      <c r="F47" s="8"/>
      <c r="G47" s="8"/>
      <c r="H47" s="8"/>
      <c r="I47" s="8"/>
      <c r="J47" s="13"/>
      <c r="K47" s="13"/>
      <c r="L47" s="13"/>
      <c r="M47" s="13"/>
      <c r="N47" s="13"/>
      <c r="O47" s="8"/>
      <c r="P47" s="13"/>
      <c r="Q47" s="8"/>
      <c r="R47" s="8"/>
      <c r="S47" s="10"/>
      <c r="T47" s="8"/>
      <c r="U47" s="10"/>
      <c r="V47" s="8"/>
    </row>
    <row r="48" spans="1:22">
      <c r="A48" s="8"/>
      <c r="B48" s="8"/>
      <c r="C48" s="8"/>
      <c r="D48" s="8"/>
      <c r="E48" s="8"/>
      <c r="F48" s="8"/>
      <c r="G48" s="8"/>
      <c r="H48" s="8"/>
      <c r="I48" s="8"/>
      <c r="J48" s="13"/>
      <c r="K48" s="13"/>
      <c r="L48" s="13"/>
      <c r="M48" s="13"/>
      <c r="N48" s="13"/>
      <c r="O48" s="8"/>
      <c r="P48" s="13"/>
      <c r="Q48" s="8"/>
      <c r="R48" s="8"/>
      <c r="S48" s="10"/>
      <c r="T48" s="8"/>
      <c r="U48" s="10"/>
      <c r="V48" s="8"/>
    </row>
    <row r="49" spans="1:22">
      <c r="A49" s="8"/>
      <c r="B49" s="8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8"/>
      <c r="P49" s="13"/>
      <c r="Q49" s="8"/>
      <c r="R49" s="8"/>
      <c r="S49" s="10"/>
      <c r="T49" s="8"/>
      <c r="U49" s="10"/>
      <c r="V49" s="8"/>
    </row>
    <row r="50" spans="1:22">
      <c r="A50" s="8"/>
      <c r="B50" s="8"/>
      <c r="C50" s="8"/>
      <c r="D50" s="8"/>
      <c r="E50" s="8"/>
      <c r="F50" s="8"/>
      <c r="G50" s="8"/>
      <c r="H50" s="8"/>
      <c r="I50" s="8"/>
      <c r="J50" s="13"/>
      <c r="K50" s="13"/>
      <c r="L50" s="13"/>
      <c r="M50" s="13"/>
      <c r="N50" s="13"/>
      <c r="O50" s="8"/>
      <c r="P50" s="13"/>
      <c r="Q50" s="8"/>
      <c r="R50" s="8"/>
      <c r="S50" s="10"/>
      <c r="T50" s="8"/>
      <c r="U50" s="10"/>
      <c r="V50" s="8"/>
    </row>
    <row r="51" spans="1:22">
      <c r="A51" s="8"/>
      <c r="B51" s="8"/>
      <c r="C51" s="8"/>
      <c r="D51" s="8"/>
      <c r="E51" s="8"/>
      <c r="F51" s="8"/>
      <c r="G51" s="8"/>
      <c r="H51" s="8"/>
      <c r="I51" s="8"/>
      <c r="J51" s="13"/>
      <c r="K51" s="13"/>
      <c r="L51" s="13"/>
      <c r="M51" s="13"/>
      <c r="N51" s="13"/>
      <c r="O51" s="8"/>
      <c r="P51" s="13"/>
      <c r="Q51" s="8"/>
      <c r="R51" s="8"/>
      <c r="S51" s="10"/>
      <c r="T51" s="8"/>
      <c r="U51" s="10"/>
      <c r="V51" s="8"/>
    </row>
    <row r="52" spans="1:22">
      <c r="A52" s="8"/>
      <c r="B52" s="8"/>
      <c r="C52" s="8"/>
      <c r="D52" s="8"/>
      <c r="E52" s="8"/>
      <c r="F52" s="8"/>
      <c r="G52" s="8"/>
      <c r="H52" s="8"/>
      <c r="I52" s="8"/>
      <c r="J52" s="13"/>
      <c r="K52" s="13"/>
      <c r="L52" s="13"/>
      <c r="M52" s="13"/>
      <c r="N52" s="13"/>
      <c r="O52" s="8"/>
      <c r="P52" s="13"/>
      <c r="Q52" s="8"/>
      <c r="R52" s="8"/>
      <c r="S52" s="10"/>
      <c r="T52" s="8"/>
      <c r="U52" s="10"/>
      <c r="V52" s="8"/>
    </row>
    <row r="53" spans="1:22">
      <c r="A53" s="8"/>
      <c r="B53" s="8"/>
      <c r="C53" s="8"/>
      <c r="D53" s="8"/>
      <c r="E53" s="8"/>
      <c r="F53" s="8"/>
      <c r="G53" s="8"/>
      <c r="H53" s="8"/>
      <c r="I53" s="8"/>
      <c r="J53" s="13"/>
      <c r="K53" s="13"/>
      <c r="L53" s="13"/>
      <c r="M53" s="13"/>
      <c r="N53" s="13"/>
      <c r="O53" s="8"/>
      <c r="P53" s="13"/>
      <c r="Q53" s="8"/>
      <c r="R53" s="8"/>
      <c r="S53" s="10"/>
      <c r="T53" s="8"/>
      <c r="U53" s="10"/>
      <c r="V53" s="8"/>
    </row>
    <row r="54" spans="1:22">
      <c r="A54" s="8"/>
      <c r="B54" s="8"/>
      <c r="C54" s="8"/>
      <c r="D54" s="8"/>
      <c r="E54" s="8"/>
      <c r="F54" s="8"/>
      <c r="G54" s="8"/>
      <c r="H54" s="8"/>
      <c r="I54" s="8"/>
      <c r="J54" s="13"/>
      <c r="K54" s="13"/>
      <c r="L54" s="13"/>
      <c r="M54" s="13"/>
      <c r="N54" s="13"/>
      <c r="O54" s="8"/>
      <c r="P54" s="13"/>
      <c r="Q54" s="8"/>
      <c r="R54" s="8"/>
      <c r="S54" s="10"/>
      <c r="T54" s="8"/>
      <c r="U54" s="10"/>
      <c r="V54" s="8"/>
    </row>
    <row r="55" spans="1:22">
      <c r="A55" s="8"/>
      <c r="B55" s="8"/>
      <c r="C55" s="8"/>
      <c r="D55" s="8"/>
      <c r="E55" s="8"/>
      <c r="F55" s="8"/>
      <c r="G55" s="8"/>
      <c r="H55" s="8"/>
      <c r="I55" s="8"/>
      <c r="J55" s="13"/>
      <c r="K55" s="13"/>
      <c r="L55" s="13"/>
      <c r="M55" s="13"/>
      <c r="N55" s="13"/>
      <c r="O55" s="8"/>
      <c r="P55" s="13"/>
      <c r="Q55" s="8"/>
      <c r="R55" s="8"/>
      <c r="S55" s="10"/>
      <c r="T55" s="8"/>
      <c r="U55" s="10"/>
      <c r="V55" s="8"/>
    </row>
    <row r="56" spans="1:22">
      <c r="A56" s="8"/>
      <c r="B56" s="8"/>
      <c r="C56" s="8"/>
      <c r="D56" s="8"/>
      <c r="E56" s="8"/>
      <c r="F56" s="8"/>
      <c r="G56" s="8"/>
      <c r="H56" s="8"/>
      <c r="I56" s="8"/>
      <c r="J56" s="13"/>
      <c r="K56" s="13"/>
      <c r="L56" s="13"/>
      <c r="M56" s="13"/>
      <c r="N56" s="13"/>
      <c r="O56" s="8"/>
      <c r="P56" s="13"/>
      <c r="Q56" s="8"/>
      <c r="R56" s="8"/>
      <c r="S56" s="10"/>
      <c r="T56" s="8"/>
      <c r="U56" s="10"/>
      <c r="V56" s="8"/>
    </row>
    <row r="57" spans="1:22">
      <c r="A57" s="8"/>
      <c r="B57" s="8"/>
      <c r="C57" s="8"/>
      <c r="D57" s="8"/>
      <c r="E57" s="8"/>
      <c r="F57" s="8"/>
      <c r="G57" s="8"/>
      <c r="H57" s="8"/>
      <c r="I57" s="8"/>
      <c r="J57" s="13"/>
      <c r="K57" s="13"/>
      <c r="L57" s="13"/>
      <c r="M57" s="13"/>
      <c r="N57" s="13"/>
      <c r="O57" s="8"/>
      <c r="P57" s="13"/>
      <c r="Q57" s="8"/>
      <c r="R57" s="8"/>
      <c r="S57" s="10"/>
      <c r="T57" s="8"/>
      <c r="U57" s="10"/>
      <c r="V57" s="8"/>
    </row>
    <row r="58" spans="1:22">
      <c r="A58" s="8"/>
      <c r="B58" s="8"/>
      <c r="C58" s="8"/>
      <c r="D58" s="8"/>
      <c r="E58" s="8"/>
      <c r="F58" s="8"/>
      <c r="G58" s="8"/>
      <c r="H58" s="8"/>
      <c r="I58" s="8"/>
      <c r="J58" s="13"/>
      <c r="K58" s="13"/>
      <c r="L58" s="13"/>
      <c r="M58" s="13"/>
      <c r="N58" s="13"/>
      <c r="O58" s="8"/>
      <c r="P58" s="13"/>
      <c r="Q58" s="8"/>
      <c r="R58" s="8"/>
      <c r="S58" s="10"/>
      <c r="T58" s="8"/>
      <c r="U58" s="10"/>
      <c r="V58" s="8"/>
    </row>
    <row r="59" spans="1:22">
      <c r="A59" s="8"/>
      <c r="B59" s="8"/>
      <c r="C59" s="8"/>
      <c r="D59" s="8"/>
      <c r="E59" s="8"/>
      <c r="F59" s="8"/>
      <c r="G59" s="8"/>
      <c r="H59" s="8"/>
      <c r="I59" s="8"/>
      <c r="J59" s="13"/>
      <c r="K59" s="13"/>
      <c r="L59" s="13"/>
      <c r="M59" s="13"/>
      <c r="N59" s="13"/>
      <c r="O59" s="8"/>
      <c r="P59" s="13"/>
      <c r="Q59" s="8"/>
      <c r="R59" s="8"/>
      <c r="S59" s="10"/>
      <c r="T59" s="8"/>
      <c r="U59" s="10"/>
      <c r="V59" s="8"/>
    </row>
    <row r="60" spans="1:22">
      <c r="A60" s="8"/>
      <c r="B60" s="8"/>
      <c r="C60" s="8"/>
      <c r="D60" s="8"/>
      <c r="E60" s="8"/>
      <c r="F60" s="8"/>
      <c r="G60" s="8"/>
      <c r="H60" s="8"/>
      <c r="I60" s="8"/>
      <c r="J60" s="13"/>
      <c r="K60" s="13"/>
      <c r="L60" s="13"/>
      <c r="M60" s="13"/>
      <c r="N60" s="13"/>
      <c r="O60" s="8"/>
      <c r="P60" s="13"/>
      <c r="Q60" s="8"/>
      <c r="R60" s="8"/>
      <c r="S60" s="10"/>
      <c r="T60" s="8"/>
      <c r="U60" s="10"/>
      <c r="V60" s="8"/>
    </row>
    <row r="61" spans="1:22">
      <c r="A61" s="8"/>
      <c r="B61" s="8"/>
      <c r="C61" s="8"/>
      <c r="D61" s="8"/>
      <c r="E61" s="8"/>
      <c r="F61" s="8"/>
      <c r="G61" s="8"/>
      <c r="H61" s="8"/>
      <c r="I61" s="8"/>
      <c r="J61" s="13"/>
      <c r="K61" s="13"/>
      <c r="L61" s="13"/>
      <c r="M61" s="13"/>
      <c r="N61" s="13"/>
      <c r="O61" s="8"/>
      <c r="P61" s="13"/>
      <c r="Q61" s="8"/>
      <c r="R61" s="8"/>
      <c r="S61" s="10"/>
      <c r="T61" s="8"/>
      <c r="U61" s="10"/>
      <c r="V61" s="8"/>
    </row>
    <row r="62" spans="1:22">
      <c r="A62" s="8"/>
      <c r="B62" s="8"/>
      <c r="C62" s="8"/>
      <c r="D62" s="8"/>
      <c r="E62" s="8"/>
      <c r="F62" s="8"/>
      <c r="G62" s="8"/>
      <c r="H62" s="8"/>
      <c r="I62" s="8"/>
      <c r="J62" s="13"/>
      <c r="K62" s="13"/>
      <c r="L62" s="13"/>
      <c r="M62" s="13"/>
      <c r="N62" s="13"/>
      <c r="O62" s="8"/>
      <c r="P62" s="13"/>
      <c r="Q62" s="8"/>
      <c r="R62" s="8"/>
      <c r="S62" s="10"/>
      <c r="T62" s="8"/>
      <c r="U62" s="10"/>
      <c r="V62" s="8"/>
    </row>
    <row r="63" spans="1:22">
      <c r="A63" s="8"/>
      <c r="B63" s="8"/>
      <c r="C63" s="8"/>
      <c r="D63" s="8"/>
      <c r="E63" s="8"/>
      <c r="F63" s="8"/>
      <c r="G63" s="8"/>
      <c r="H63" s="8"/>
      <c r="I63" s="8"/>
      <c r="J63" s="13"/>
      <c r="K63" s="13"/>
      <c r="L63" s="13"/>
      <c r="M63" s="13"/>
      <c r="N63" s="13"/>
      <c r="O63" s="8"/>
      <c r="P63" s="13"/>
      <c r="Q63" s="8"/>
      <c r="R63" s="8"/>
      <c r="S63" s="10"/>
      <c r="T63" s="8"/>
      <c r="U63" s="10"/>
      <c r="V63" s="8"/>
    </row>
    <row r="64" spans="1:22">
      <c r="A64" s="8"/>
      <c r="B64" s="8"/>
      <c r="C64" s="8"/>
      <c r="D64" s="8"/>
      <c r="E64" s="8"/>
      <c r="F64" s="8"/>
      <c r="G64" s="8"/>
      <c r="H64" s="8"/>
      <c r="I64" s="8"/>
      <c r="J64" s="13"/>
      <c r="K64" s="13"/>
      <c r="L64" s="13"/>
      <c r="M64" s="13"/>
      <c r="N64" s="13"/>
      <c r="O64" s="8"/>
      <c r="P64" s="13"/>
      <c r="Q64" s="8"/>
      <c r="R64" s="8"/>
      <c r="S64" s="10"/>
      <c r="T64" s="8"/>
      <c r="U64" s="10"/>
      <c r="V64" s="8"/>
    </row>
    <row r="65" spans="1:22">
      <c r="A65" s="8"/>
      <c r="B65" s="8"/>
      <c r="C65" s="8"/>
      <c r="D65" s="8"/>
      <c r="E65" s="8"/>
      <c r="F65" s="8"/>
      <c r="G65" s="8"/>
      <c r="H65" s="8"/>
      <c r="I65" s="8"/>
      <c r="J65" s="13"/>
      <c r="K65" s="13"/>
      <c r="L65" s="13"/>
      <c r="M65" s="13"/>
      <c r="N65" s="13"/>
      <c r="O65" s="8"/>
      <c r="P65" s="13"/>
      <c r="Q65" s="8"/>
      <c r="R65" s="8"/>
      <c r="S65" s="10"/>
      <c r="T65" s="8"/>
      <c r="U65" s="10"/>
      <c r="V65" s="8"/>
    </row>
    <row r="66" spans="1:22">
      <c r="A66" s="8"/>
      <c r="B66" s="8"/>
      <c r="C66" s="8"/>
      <c r="D66" s="8"/>
      <c r="E66" s="8"/>
      <c r="F66" s="8"/>
      <c r="G66" s="8"/>
      <c r="H66" s="8"/>
      <c r="I66" s="8"/>
      <c r="J66" s="13"/>
      <c r="K66" s="13"/>
      <c r="L66" s="13"/>
      <c r="M66" s="13"/>
      <c r="N66" s="13"/>
      <c r="O66" s="8"/>
      <c r="P66" s="13"/>
      <c r="Q66" s="8"/>
      <c r="R66" s="8"/>
      <c r="S66" s="10"/>
      <c r="T66" s="8"/>
      <c r="U66" s="10"/>
      <c r="V66" s="8"/>
    </row>
    <row r="67" spans="1:22">
      <c r="A67" s="8"/>
      <c r="B67" s="8"/>
      <c r="C67" s="8"/>
      <c r="D67" s="8"/>
      <c r="E67" s="8"/>
      <c r="F67" s="8"/>
      <c r="G67" s="8"/>
      <c r="H67" s="8"/>
      <c r="I67" s="8"/>
      <c r="J67" s="13"/>
      <c r="K67" s="13"/>
      <c r="L67" s="13"/>
      <c r="M67" s="13"/>
      <c r="N67" s="13"/>
      <c r="O67" s="8"/>
      <c r="P67" s="13"/>
      <c r="Q67" s="8"/>
      <c r="R67" s="8"/>
      <c r="S67" s="10"/>
      <c r="T67" s="8"/>
      <c r="U67" s="10"/>
      <c r="V67" s="8"/>
    </row>
    <row r="68" spans="1:22">
      <c r="A68" s="8"/>
      <c r="B68" s="8"/>
      <c r="C68" s="8"/>
      <c r="D68" s="8"/>
      <c r="E68" s="8"/>
      <c r="F68" s="8"/>
      <c r="G68" s="8"/>
      <c r="H68" s="8"/>
      <c r="I68" s="8"/>
      <c r="J68" s="13"/>
      <c r="K68" s="13"/>
      <c r="L68" s="13"/>
      <c r="M68" s="13"/>
      <c r="N68" s="13"/>
      <c r="O68" s="8"/>
      <c r="P68" s="13"/>
      <c r="Q68" s="8"/>
      <c r="R68" s="8"/>
      <c r="S68" s="10"/>
      <c r="T68" s="8"/>
      <c r="U68" s="10"/>
      <c r="V68" s="8"/>
    </row>
    <row r="69" spans="1:22">
      <c r="A69" s="8"/>
      <c r="B69" s="8"/>
      <c r="C69" s="8"/>
      <c r="D69" s="8"/>
      <c r="E69" s="8"/>
      <c r="F69" s="8"/>
      <c r="G69" s="8"/>
      <c r="H69" s="8"/>
      <c r="I69" s="8"/>
      <c r="J69" s="13"/>
      <c r="K69" s="13"/>
      <c r="L69" s="13"/>
      <c r="M69" s="13"/>
      <c r="N69" s="13"/>
      <c r="O69" s="8"/>
      <c r="P69" s="13"/>
      <c r="Q69" s="8"/>
      <c r="R69" s="8"/>
      <c r="S69" s="10"/>
      <c r="T69" s="8"/>
      <c r="U69" s="10"/>
      <c r="V69" s="8"/>
    </row>
    <row r="70" spans="1:22">
      <c r="A70" s="8"/>
      <c r="B70" s="8"/>
      <c r="C70" s="8"/>
      <c r="D70" s="8"/>
      <c r="E70" s="8"/>
      <c r="F70" s="8"/>
      <c r="G70" s="8"/>
      <c r="H70" s="8"/>
      <c r="I70" s="8"/>
      <c r="J70" s="13"/>
      <c r="K70" s="13"/>
      <c r="L70" s="13"/>
      <c r="M70" s="13"/>
      <c r="N70" s="13"/>
      <c r="O70" s="8"/>
      <c r="P70" s="13"/>
      <c r="Q70" s="8"/>
      <c r="R70" s="8"/>
      <c r="S70" s="10"/>
      <c r="T70" s="8"/>
      <c r="U70" s="10"/>
      <c r="V70" s="8"/>
    </row>
    <row r="71" spans="1:22">
      <c r="A71" s="8"/>
      <c r="B71" s="8"/>
      <c r="C71" s="8"/>
      <c r="D71" s="8"/>
      <c r="E71" s="8"/>
      <c r="F71" s="8"/>
      <c r="G71" s="8"/>
      <c r="H71" s="8"/>
      <c r="I71" s="8"/>
      <c r="J71" s="13"/>
      <c r="K71" s="13"/>
      <c r="L71" s="13"/>
      <c r="M71" s="13"/>
      <c r="N71" s="13"/>
      <c r="O71" s="8"/>
      <c r="P71" s="13"/>
      <c r="Q71" s="8"/>
      <c r="R71" s="8"/>
      <c r="S71" s="10"/>
      <c r="T71" s="8"/>
      <c r="U71" s="10"/>
      <c r="V71" s="8"/>
    </row>
    <row r="72" spans="1:22">
      <c r="A72" s="8"/>
      <c r="B72" s="8"/>
      <c r="C72" s="8"/>
      <c r="D72" s="8"/>
      <c r="E72" s="8"/>
      <c r="F72" s="8"/>
      <c r="G72" s="8"/>
      <c r="H72" s="8"/>
      <c r="I72" s="8"/>
      <c r="J72" s="13"/>
      <c r="K72" s="13"/>
      <c r="L72" s="13"/>
      <c r="M72" s="13"/>
      <c r="N72" s="13"/>
      <c r="O72" s="8"/>
      <c r="P72" s="13"/>
      <c r="Q72" s="8"/>
      <c r="R72" s="8"/>
      <c r="S72" s="10"/>
      <c r="T72" s="8"/>
      <c r="U72" s="10"/>
      <c r="V72" s="8"/>
    </row>
    <row r="73" spans="1:22">
      <c r="A73" s="8"/>
      <c r="B73" s="8"/>
      <c r="C73" s="8"/>
      <c r="D73" s="8"/>
      <c r="E73" s="8"/>
      <c r="F73" s="8"/>
      <c r="G73" s="8"/>
      <c r="H73" s="8"/>
      <c r="I73" s="8"/>
      <c r="J73" s="13"/>
      <c r="K73" s="13"/>
      <c r="L73" s="13"/>
      <c r="M73" s="13"/>
      <c r="N73" s="13"/>
      <c r="O73" s="8"/>
      <c r="P73" s="13"/>
      <c r="Q73" s="8"/>
      <c r="R73" s="8"/>
      <c r="S73" s="10"/>
      <c r="T73" s="8"/>
      <c r="U73" s="10"/>
      <c r="V73" s="8"/>
    </row>
    <row r="74" spans="1:22">
      <c r="A74" s="8"/>
      <c r="B74" s="8"/>
      <c r="C74" s="8"/>
      <c r="D74" s="8"/>
      <c r="E74" s="8"/>
      <c r="F74" s="8"/>
      <c r="G74" s="8"/>
      <c r="H74" s="8"/>
      <c r="I74" s="8"/>
      <c r="J74" s="13"/>
      <c r="K74" s="13"/>
      <c r="L74" s="13"/>
      <c r="M74" s="13"/>
      <c r="N74" s="13"/>
      <c r="O74" s="8"/>
      <c r="P74" s="13"/>
      <c r="Q74" s="8"/>
      <c r="R74" s="8"/>
      <c r="S74" s="10"/>
      <c r="T74" s="8"/>
      <c r="U74" s="10"/>
      <c r="V74" s="8"/>
    </row>
    <row r="75" spans="1:22">
      <c r="A75" s="8"/>
      <c r="B75" s="8"/>
      <c r="C75" s="8"/>
      <c r="D75" s="8"/>
      <c r="E75" s="8"/>
      <c r="F75" s="8"/>
      <c r="G75" s="8"/>
      <c r="H75" s="8"/>
      <c r="I75" s="8"/>
      <c r="J75" s="13"/>
      <c r="K75" s="13"/>
      <c r="L75" s="13"/>
      <c r="M75" s="13"/>
      <c r="N75" s="13"/>
      <c r="O75" s="8"/>
      <c r="P75" s="13"/>
      <c r="Q75" s="8"/>
      <c r="R75" s="8"/>
      <c r="S75" s="10"/>
      <c r="T75" s="8"/>
      <c r="U75" s="10"/>
      <c r="V75" s="8"/>
    </row>
    <row r="76" spans="1:22">
      <c r="A76" s="8"/>
      <c r="B76" s="8"/>
      <c r="C76" s="8"/>
      <c r="D76" s="8"/>
      <c r="E76" s="8"/>
      <c r="F76" s="8"/>
      <c r="G76" s="8"/>
      <c r="H76" s="8"/>
      <c r="I76" s="8"/>
      <c r="J76" s="13"/>
      <c r="K76" s="13"/>
      <c r="L76" s="13"/>
      <c r="M76" s="13"/>
      <c r="N76" s="13"/>
      <c r="O76" s="8"/>
      <c r="P76" s="13"/>
      <c r="Q76" s="8"/>
      <c r="R76" s="8"/>
      <c r="S76" s="10"/>
      <c r="T76" s="8"/>
      <c r="U76" s="10"/>
      <c r="V76" s="8"/>
    </row>
    <row r="77" spans="1:22">
      <c r="A77" s="8"/>
      <c r="B77" s="8"/>
      <c r="C77" s="8"/>
      <c r="D77" s="8"/>
      <c r="E77" s="8"/>
      <c r="F77" s="8"/>
      <c r="G77" s="8"/>
      <c r="H77" s="8"/>
      <c r="I77" s="8"/>
      <c r="J77" s="13"/>
      <c r="K77" s="13"/>
      <c r="L77" s="13"/>
      <c r="M77" s="13"/>
      <c r="N77" s="13"/>
      <c r="O77" s="8"/>
      <c r="P77" s="13"/>
      <c r="Q77" s="8"/>
      <c r="R77" s="8"/>
      <c r="S77" s="10"/>
      <c r="T77" s="8"/>
      <c r="U77" s="10"/>
      <c r="V77" s="8"/>
    </row>
    <row r="78" spans="1:22">
      <c r="A78" s="8"/>
      <c r="B78" s="8"/>
      <c r="C78" s="8"/>
      <c r="D78" s="8"/>
      <c r="E78" s="8"/>
      <c r="F78" s="8"/>
      <c r="G78" s="8"/>
      <c r="H78" s="8"/>
      <c r="I78" s="8"/>
      <c r="J78" s="13"/>
      <c r="K78" s="13"/>
      <c r="L78" s="13"/>
      <c r="M78" s="13"/>
      <c r="N78" s="13"/>
      <c r="O78" s="8"/>
      <c r="P78" s="13"/>
      <c r="Q78" s="8"/>
      <c r="R78" s="8"/>
      <c r="S78" s="10"/>
      <c r="T78" s="8"/>
      <c r="U78" s="10"/>
      <c r="V78" s="8"/>
    </row>
    <row r="79" spans="1:22">
      <c r="A79" s="8"/>
      <c r="B79" s="8"/>
      <c r="C79" s="8"/>
      <c r="D79" s="8"/>
      <c r="E79" s="8"/>
      <c r="F79" s="8"/>
      <c r="G79" s="8"/>
      <c r="H79" s="8"/>
      <c r="I79" s="8"/>
      <c r="J79" s="13"/>
      <c r="K79" s="13"/>
      <c r="L79" s="13"/>
      <c r="M79" s="13"/>
      <c r="N79" s="13"/>
      <c r="O79" s="8"/>
      <c r="P79" s="13"/>
      <c r="Q79" s="8"/>
      <c r="R79" s="8"/>
      <c r="S79" s="10"/>
      <c r="T79" s="8"/>
      <c r="U79" s="10"/>
      <c r="V79" s="8"/>
    </row>
    <row r="80" spans="1:22">
      <c r="A80" s="8"/>
      <c r="B80" s="8"/>
      <c r="C80" s="8"/>
      <c r="D80" s="8"/>
      <c r="E80" s="8"/>
      <c r="F80" s="8"/>
      <c r="G80" s="8"/>
      <c r="H80" s="8"/>
      <c r="I80" s="8"/>
      <c r="J80" s="13"/>
      <c r="K80" s="13"/>
      <c r="L80" s="13"/>
      <c r="M80" s="13"/>
      <c r="N80" s="13"/>
      <c r="O80" s="8"/>
      <c r="P80" s="13"/>
      <c r="Q80" s="8"/>
      <c r="R80" s="8"/>
      <c r="S80" s="10"/>
      <c r="T80" s="8"/>
      <c r="U80" s="10"/>
      <c r="V80" s="8"/>
    </row>
    <row r="81" spans="1:22">
      <c r="A81" s="8"/>
      <c r="B81" s="8"/>
      <c r="C81" s="8"/>
      <c r="D81" s="8"/>
      <c r="E81" s="8"/>
      <c r="F81" s="8"/>
      <c r="G81" s="8"/>
      <c r="H81" s="8"/>
      <c r="I81" s="8"/>
      <c r="J81" s="13"/>
      <c r="K81" s="13"/>
      <c r="L81" s="13"/>
      <c r="M81" s="13"/>
      <c r="N81" s="13"/>
      <c r="O81" s="8"/>
      <c r="P81" s="13"/>
      <c r="Q81" s="8"/>
      <c r="R81" s="8"/>
      <c r="S81" s="10"/>
      <c r="T81" s="8"/>
      <c r="U81" s="10"/>
      <c r="V81" s="8"/>
    </row>
    <row r="82" spans="1:22">
      <c r="A82" s="8"/>
      <c r="B82" s="8"/>
      <c r="C82" s="8"/>
      <c r="D82" s="8"/>
      <c r="E82" s="8"/>
      <c r="F82" s="8"/>
      <c r="G82" s="8"/>
      <c r="H82" s="8"/>
      <c r="I82" s="8"/>
      <c r="J82" s="13"/>
      <c r="K82" s="13"/>
      <c r="L82" s="13"/>
      <c r="M82" s="13"/>
      <c r="N82" s="13"/>
      <c r="O82" s="8"/>
      <c r="P82" s="13"/>
      <c r="Q82" s="8"/>
      <c r="R82" s="8"/>
      <c r="S82" s="10"/>
      <c r="T82" s="8"/>
      <c r="U82" s="10"/>
      <c r="V82" s="8"/>
    </row>
    <row r="83" spans="1:22">
      <c r="A83" s="8"/>
      <c r="B83" s="8"/>
      <c r="C83" s="8"/>
      <c r="D83" s="8"/>
      <c r="E83" s="8"/>
      <c r="F83" s="8"/>
      <c r="G83" s="8"/>
      <c r="H83" s="8"/>
      <c r="I83" s="8"/>
      <c r="J83" s="13"/>
      <c r="K83" s="13"/>
      <c r="L83" s="13"/>
      <c r="M83" s="13"/>
      <c r="N83" s="13"/>
      <c r="O83" s="8"/>
      <c r="P83" s="13"/>
      <c r="Q83" s="8"/>
      <c r="R83" s="8"/>
      <c r="S83" s="10"/>
      <c r="T83" s="8"/>
      <c r="U83" s="10"/>
      <c r="V83" s="8"/>
    </row>
    <row r="84" spans="1:22">
      <c r="A84" s="8"/>
      <c r="B84" s="8"/>
      <c r="C84" s="8"/>
      <c r="D84" s="8"/>
      <c r="E84" s="8"/>
      <c r="F84" s="8"/>
      <c r="G84" s="8"/>
      <c r="H84" s="8"/>
      <c r="I84" s="8"/>
      <c r="J84" s="13"/>
      <c r="K84" s="13"/>
      <c r="L84" s="13"/>
      <c r="M84" s="13"/>
      <c r="N84" s="13"/>
      <c r="O84" s="8"/>
      <c r="P84" s="13"/>
      <c r="Q84" s="8"/>
      <c r="R84" s="8"/>
      <c r="S84" s="10"/>
      <c r="T84" s="8"/>
      <c r="U84" s="10"/>
      <c r="V84" s="8"/>
    </row>
    <row r="85" spans="1:22">
      <c r="A85" s="8"/>
      <c r="B85" s="8"/>
      <c r="C85" s="8"/>
      <c r="D85" s="8"/>
      <c r="E85" s="8"/>
      <c r="F85" s="8"/>
      <c r="G85" s="8"/>
      <c r="H85" s="8"/>
      <c r="I85" s="8"/>
      <c r="J85" s="13"/>
      <c r="K85" s="13"/>
      <c r="L85" s="13"/>
      <c r="M85" s="13"/>
      <c r="N85" s="13"/>
      <c r="O85" s="8"/>
      <c r="P85" s="13"/>
      <c r="Q85" s="8"/>
      <c r="R85" s="8"/>
      <c r="S85" s="10"/>
      <c r="T85" s="8"/>
      <c r="U85" s="10"/>
      <c r="V85" s="8"/>
    </row>
    <row r="86" spans="1:22">
      <c r="A86" s="8"/>
      <c r="B86" s="8"/>
      <c r="C86" s="8"/>
      <c r="D86" s="8"/>
      <c r="E86" s="8"/>
      <c r="F86" s="8"/>
      <c r="G86" s="8"/>
      <c r="H86" s="8"/>
      <c r="I86" s="8"/>
      <c r="J86" s="13"/>
      <c r="K86" s="13"/>
      <c r="L86" s="13"/>
      <c r="M86" s="13"/>
      <c r="N86" s="13"/>
      <c r="O86" s="8"/>
      <c r="P86" s="13"/>
      <c r="Q86" s="8"/>
      <c r="R86" s="8"/>
      <c r="S86" s="10"/>
      <c r="T86" s="8"/>
      <c r="U86" s="10"/>
      <c r="V86" s="8"/>
    </row>
    <row r="87" spans="1:22">
      <c r="A87" s="8"/>
      <c r="B87" s="8"/>
      <c r="C87" s="8"/>
      <c r="D87" s="8"/>
      <c r="E87" s="8"/>
      <c r="F87" s="8"/>
      <c r="G87" s="8"/>
      <c r="H87" s="8"/>
      <c r="I87" s="8"/>
      <c r="J87" s="13"/>
      <c r="K87" s="13"/>
      <c r="L87" s="13"/>
      <c r="M87" s="13"/>
      <c r="N87" s="13"/>
      <c r="O87" s="8"/>
      <c r="P87" s="13"/>
      <c r="Q87" s="8"/>
      <c r="R87" s="8"/>
      <c r="S87" s="10"/>
      <c r="T87" s="8"/>
      <c r="U87" s="10"/>
      <c r="V87" s="8"/>
    </row>
    <row r="88" spans="1:22">
      <c r="A88" s="8"/>
      <c r="B88" s="8"/>
      <c r="C88" s="8"/>
      <c r="D88" s="8"/>
      <c r="E88" s="8"/>
      <c r="F88" s="8"/>
      <c r="G88" s="8"/>
      <c r="H88" s="8"/>
      <c r="I88" s="8"/>
      <c r="J88" s="13"/>
      <c r="K88" s="13"/>
      <c r="L88" s="13"/>
      <c r="M88" s="13"/>
      <c r="N88" s="13"/>
      <c r="O88" s="8"/>
      <c r="P88" s="13"/>
      <c r="Q88" s="8"/>
      <c r="R88" s="8"/>
      <c r="S88" s="10"/>
      <c r="T88" s="8"/>
      <c r="U88" s="10"/>
      <c r="V88" s="8"/>
    </row>
    <row r="89" spans="1:22">
      <c r="A89" s="8"/>
      <c r="B89" s="8"/>
      <c r="C89" s="8"/>
      <c r="D89" s="8"/>
      <c r="E89" s="8"/>
      <c r="F89" s="8"/>
      <c r="G89" s="8"/>
      <c r="H89" s="8"/>
      <c r="I89" s="8"/>
      <c r="J89" s="13"/>
      <c r="K89" s="13"/>
      <c r="L89" s="13"/>
      <c r="M89" s="13"/>
      <c r="N89" s="13"/>
      <c r="O89" s="8"/>
      <c r="P89" s="13"/>
      <c r="Q89" s="8"/>
      <c r="R89" s="8"/>
      <c r="S89" s="10"/>
      <c r="T89" s="8"/>
      <c r="U89" s="10"/>
      <c r="V89" s="8"/>
    </row>
    <row r="90" spans="1:22">
      <c r="A90" s="8"/>
      <c r="B90" s="8"/>
      <c r="C90" s="8"/>
      <c r="D90" s="8"/>
      <c r="E90" s="8"/>
      <c r="F90" s="8"/>
      <c r="G90" s="8"/>
      <c r="H90" s="8"/>
      <c r="I90" s="8"/>
      <c r="J90" s="13"/>
      <c r="K90" s="13"/>
      <c r="L90" s="13"/>
      <c r="M90" s="13"/>
      <c r="N90" s="13"/>
      <c r="O90" s="8"/>
      <c r="P90" s="13"/>
      <c r="Q90" s="8"/>
      <c r="R90" s="8"/>
      <c r="S90" s="10"/>
      <c r="T90" s="8"/>
      <c r="U90" s="10"/>
      <c r="V90" s="8"/>
    </row>
    <row r="91" spans="1:22">
      <c r="A91" s="8"/>
      <c r="B91" s="8"/>
      <c r="C91" s="8"/>
      <c r="D91" s="8"/>
      <c r="E91" s="8"/>
      <c r="F91" s="8"/>
      <c r="G91" s="8"/>
      <c r="H91" s="8"/>
      <c r="I91" s="8"/>
      <c r="J91" s="13"/>
      <c r="K91" s="13"/>
      <c r="L91" s="13"/>
      <c r="M91" s="13"/>
      <c r="N91" s="13"/>
      <c r="O91" s="8"/>
      <c r="P91" s="13"/>
      <c r="Q91" s="8"/>
      <c r="R91" s="8"/>
      <c r="S91" s="10"/>
      <c r="T91" s="8"/>
      <c r="U91" s="10"/>
      <c r="V91" s="8"/>
    </row>
    <row r="92" spans="1:22">
      <c r="A92" s="8"/>
      <c r="B92" s="8"/>
      <c r="C92" s="8"/>
      <c r="D92" s="8"/>
      <c r="E92" s="8"/>
      <c r="F92" s="8"/>
      <c r="G92" s="8"/>
      <c r="H92" s="8"/>
      <c r="I92" s="8"/>
      <c r="J92" s="13"/>
      <c r="K92" s="13"/>
      <c r="L92" s="13"/>
      <c r="M92" s="13"/>
      <c r="N92" s="13"/>
      <c r="O92" s="8"/>
      <c r="P92" s="13"/>
      <c r="Q92" s="8"/>
      <c r="R92" s="8"/>
      <c r="S92" s="10"/>
      <c r="T92" s="8"/>
      <c r="U92" s="10"/>
      <c r="V92" s="8"/>
    </row>
    <row r="93" spans="1:22">
      <c r="A93" s="8"/>
      <c r="B93" s="8"/>
      <c r="C93" s="8"/>
      <c r="D93" s="8"/>
      <c r="E93" s="8"/>
      <c r="F93" s="8"/>
      <c r="G93" s="8"/>
      <c r="H93" s="8"/>
      <c r="I93" s="8"/>
      <c r="J93" s="13"/>
      <c r="K93" s="13"/>
      <c r="L93" s="13"/>
      <c r="M93" s="13"/>
      <c r="N93" s="13"/>
      <c r="O93" s="8"/>
      <c r="P93" s="13"/>
      <c r="Q93" s="8"/>
      <c r="R93" s="8"/>
      <c r="S93" s="10"/>
      <c r="T93" s="8"/>
      <c r="U93" s="10"/>
      <c r="V93" s="8"/>
    </row>
    <row r="94" spans="1:22">
      <c r="A94" s="8"/>
      <c r="B94" s="8"/>
      <c r="C94" s="8"/>
      <c r="D94" s="8"/>
      <c r="E94" s="8"/>
      <c r="F94" s="8"/>
      <c r="G94" s="8"/>
      <c r="H94" s="8"/>
      <c r="I94" s="8"/>
      <c r="J94" s="13"/>
      <c r="K94" s="13"/>
      <c r="L94" s="13"/>
      <c r="M94" s="13"/>
      <c r="N94" s="13"/>
      <c r="O94" s="8"/>
      <c r="P94" s="13"/>
      <c r="Q94" s="8"/>
      <c r="R94" s="8"/>
      <c r="S94" s="10"/>
      <c r="T94" s="8"/>
      <c r="U94" s="10"/>
      <c r="V94" s="8"/>
    </row>
    <row r="95" spans="1:22">
      <c r="A95" s="8"/>
      <c r="B95" s="8"/>
      <c r="C95" s="8"/>
      <c r="D95" s="8"/>
      <c r="E95" s="8"/>
      <c r="F95" s="8"/>
      <c r="G95" s="8"/>
      <c r="H95" s="8"/>
      <c r="I95" s="8"/>
      <c r="J95" s="13"/>
      <c r="K95" s="13"/>
      <c r="L95" s="13"/>
      <c r="M95" s="13"/>
      <c r="N95" s="13"/>
      <c r="O95" s="8"/>
      <c r="P95" s="13"/>
      <c r="Q95" s="8"/>
      <c r="R95" s="8"/>
      <c r="S95" s="10"/>
      <c r="T95" s="8"/>
      <c r="U95" s="10"/>
      <c r="V95" s="8"/>
    </row>
    <row r="96" spans="1:22">
      <c r="A96" s="8"/>
      <c r="B96" s="8"/>
      <c r="C96" s="8"/>
      <c r="D96" s="8"/>
      <c r="E96" s="8"/>
      <c r="F96" s="8"/>
      <c r="G96" s="8"/>
      <c r="H96" s="8"/>
      <c r="I96" s="8"/>
      <c r="J96" s="13"/>
      <c r="K96" s="13"/>
      <c r="L96" s="13"/>
      <c r="M96" s="13"/>
      <c r="N96" s="13"/>
      <c r="O96" s="8"/>
      <c r="P96" s="13"/>
      <c r="Q96" s="8"/>
      <c r="R96" s="8"/>
      <c r="S96" s="10"/>
      <c r="T96" s="8"/>
      <c r="U96" s="10"/>
      <c r="V96" s="8"/>
    </row>
    <row r="97" spans="1:22">
      <c r="A97" s="8"/>
      <c r="B97" s="8"/>
      <c r="C97" s="8"/>
      <c r="D97" s="8"/>
      <c r="E97" s="8"/>
      <c r="F97" s="8"/>
      <c r="G97" s="8"/>
      <c r="H97" s="8"/>
      <c r="I97" s="8"/>
      <c r="J97" s="13"/>
      <c r="K97" s="13"/>
      <c r="L97" s="13"/>
      <c r="M97" s="13"/>
      <c r="N97" s="13"/>
      <c r="O97" s="8"/>
      <c r="P97" s="13"/>
      <c r="Q97" s="8"/>
      <c r="R97" s="8"/>
      <c r="S97" s="10"/>
      <c r="T97" s="8"/>
      <c r="U97" s="10"/>
      <c r="V97" s="8"/>
    </row>
    <row r="98" spans="1:22">
      <c r="A98" s="8"/>
      <c r="B98" s="8"/>
      <c r="C98" s="8"/>
      <c r="D98" s="8"/>
      <c r="E98" s="8"/>
      <c r="F98" s="8"/>
      <c r="G98" s="8"/>
      <c r="H98" s="8"/>
      <c r="I98" s="8"/>
      <c r="J98" s="13"/>
      <c r="K98" s="13"/>
      <c r="L98" s="13"/>
      <c r="M98" s="13"/>
      <c r="N98" s="13"/>
      <c r="O98" s="8"/>
      <c r="P98" s="13"/>
      <c r="Q98" s="8"/>
      <c r="R98" s="8"/>
      <c r="S98" s="10"/>
      <c r="T98" s="8"/>
      <c r="U98" s="10"/>
      <c r="V98" s="8"/>
    </row>
    <row r="99" spans="1:22">
      <c r="A99" s="8"/>
      <c r="B99" s="8"/>
      <c r="C99" s="8"/>
      <c r="D99" s="8"/>
      <c r="E99" s="8"/>
      <c r="F99" s="8"/>
      <c r="G99" s="8"/>
      <c r="H99" s="8"/>
      <c r="I99" s="8"/>
      <c r="J99" s="13"/>
      <c r="K99" s="13"/>
      <c r="L99" s="13"/>
      <c r="M99" s="13"/>
      <c r="N99" s="13"/>
      <c r="O99" s="8"/>
      <c r="P99" s="13"/>
      <c r="Q99" s="8"/>
      <c r="R99" s="8"/>
      <c r="S99" s="10"/>
      <c r="T99" s="8"/>
      <c r="U99" s="10"/>
      <c r="V99" s="8"/>
    </row>
    <row r="100" spans="1:22">
      <c r="A100" s="8"/>
      <c r="B100" s="8"/>
      <c r="C100" s="8"/>
      <c r="D100" s="8"/>
      <c r="E100" s="8"/>
      <c r="F100" s="8"/>
      <c r="G100" s="8"/>
      <c r="H100" s="8"/>
      <c r="I100" s="8"/>
      <c r="J100" s="13"/>
      <c r="K100" s="13"/>
      <c r="L100" s="13"/>
      <c r="M100" s="13"/>
      <c r="N100" s="13"/>
      <c r="O100" s="8"/>
      <c r="P100" s="13"/>
      <c r="Q100" s="8"/>
      <c r="R100" s="8"/>
      <c r="S100" s="10"/>
      <c r="T100" s="8"/>
      <c r="U100" s="10"/>
      <c r="V100" s="8"/>
    </row>
    <row r="101" spans="1:22">
      <c r="A101" s="8"/>
      <c r="B101" s="8"/>
      <c r="C101" s="8"/>
      <c r="D101" s="8"/>
      <c r="E101" s="8"/>
      <c r="F101" s="8"/>
      <c r="G101" s="8"/>
      <c r="H101" s="8"/>
      <c r="I101" s="8"/>
      <c r="J101" s="13"/>
      <c r="K101" s="13"/>
      <c r="L101" s="13"/>
      <c r="M101" s="13"/>
      <c r="N101" s="13"/>
      <c r="O101" s="8"/>
      <c r="P101" s="13"/>
      <c r="Q101" s="8"/>
      <c r="R101" s="8"/>
      <c r="S101" s="10"/>
      <c r="T101" s="8"/>
      <c r="U101" s="10"/>
      <c r="V101" s="8"/>
    </row>
    <row r="102" spans="1:22">
      <c r="A102" s="8"/>
      <c r="B102" s="8"/>
      <c r="C102" s="8"/>
      <c r="D102" s="8"/>
      <c r="E102" s="8"/>
      <c r="F102" s="8"/>
      <c r="G102" s="8"/>
      <c r="H102" s="8"/>
      <c r="I102" s="8"/>
      <c r="J102" s="13"/>
      <c r="K102" s="13"/>
      <c r="L102" s="13"/>
      <c r="M102" s="13"/>
      <c r="N102" s="13"/>
      <c r="O102" s="8"/>
      <c r="P102" s="13"/>
      <c r="Q102" s="8"/>
      <c r="R102" s="8"/>
      <c r="S102" s="10"/>
      <c r="T102" s="8"/>
      <c r="U102" s="10"/>
      <c r="V102" s="8"/>
    </row>
    <row r="103" spans="1:22">
      <c r="A103" s="8"/>
      <c r="B103" s="8"/>
      <c r="C103" s="8"/>
      <c r="D103" s="8"/>
      <c r="E103" s="8"/>
      <c r="F103" s="8"/>
      <c r="G103" s="8"/>
      <c r="H103" s="8"/>
      <c r="I103" s="8"/>
      <c r="J103" s="13"/>
      <c r="K103" s="13"/>
      <c r="L103" s="13"/>
      <c r="M103" s="13"/>
      <c r="N103" s="13"/>
      <c r="O103" s="8"/>
      <c r="P103" s="13"/>
      <c r="Q103" s="8"/>
      <c r="R103" s="8"/>
      <c r="S103" s="10"/>
      <c r="T103" s="8"/>
      <c r="U103" s="10"/>
      <c r="V103" s="8"/>
    </row>
    <row r="104" spans="1:22">
      <c r="A104" s="8"/>
      <c r="B104" s="8"/>
      <c r="C104" s="8"/>
      <c r="D104" s="8"/>
      <c r="E104" s="8"/>
      <c r="F104" s="8"/>
      <c r="G104" s="8"/>
      <c r="H104" s="8"/>
      <c r="I104" s="8"/>
      <c r="J104" s="13"/>
      <c r="K104" s="13"/>
      <c r="L104" s="13"/>
      <c r="M104" s="13"/>
      <c r="N104" s="13"/>
      <c r="O104" s="8"/>
      <c r="P104" s="13"/>
      <c r="Q104" s="8"/>
      <c r="R104" s="8"/>
      <c r="S104" s="10"/>
      <c r="T104" s="8"/>
      <c r="U104" s="10"/>
      <c r="V104" s="8"/>
    </row>
    <row r="105" spans="1:22">
      <c r="A105" s="8"/>
      <c r="B105" s="8"/>
      <c r="C105" s="8"/>
      <c r="D105" s="8"/>
      <c r="E105" s="8"/>
      <c r="F105" s="8"/>
      <c r="G105" s="8"/>
      <c r="H105" s="8"/>
      <c r="I105" s="8"/>
      <c r="J105" s="13"/>
      <c r="K105" s="13"/>
      <c r="L105" s="13"/>
      <c r="M105" s="13"/>
      <c r="N105" s="13"/>
      <c r="O105" s="8"/>
      <c r="P105" s="13"/>
      <c r="Q105" s="8"/>
      <c r="R105" s="8"/>
      <c r="S105" s="10"/>
      <c r="T105" s="8"/>
      <c r="U105" s="10"/>
      <c r="V105" s="8"/>
    </row>
    <row r="106" spans="1:22">
      <c r="A106" s="8"/>
      <c r="B106" s="8"/>
      <c r="C106" s="8"/>
      <c r="D106" s="8"/>
      <c r="E106" s="8"/>
      <c r="F106" s="8"/>
      <c r="G106" s="8"/>
      <c r="H106" s="8"/>
      <c r="I106" s="8"/>
      <c r="J106" s="13"/>
      <c r="K106" s="13"/>
      <c r="L106" s="13"/>
      <c r="M106" s="13"/>
      <c r="N106" s="13"/>
      <c r="O106" s="8"/>
      <c r="P106" s="13"/>
      <c r="Q106" s="8"/>
      <c r="R106" s="8"/>
      <c r="S106" s="10"/>
      <c r="T106" s="8"/>
      <c r="U106" s="10"/>
      <c r="V106" s="8"/>
    </row>
    <row r="107" spans="1:22">
      <c r="A107" s="8"/>
      <c r="B107" s="8"/>
      <c r="C107" s="8"/>
      <c r="D107" s="8"/>
      <c r="E107" s="8"/>
      <c r="F107" s="8"/>
      <c r="G107" s="8"/>
      <c r="H107" s="8"/>
      <c r="I107" s="8"/>
      <c r="J107" s="13"/>
      <c r="K107" s="13"/>
      <c r="L107" s="13"/>
      <c r="M107" s="13"/>
      <c r="N107" s="13"/>
      <c r="O107" s="8"/>
      <c r="P107" s="13"/>
      <c r="Q107" s="8"/>
      <c r="R107" s="8"/>
      <c r="S107" s="10"/>
      <c r="T107" s="8"/>
      <c r="U107" s="10"/>
      <c r="V107" s="8"/>
    </row>
    <row r="108" spans="1:22">
      <c r="A108" s="8"/>
      <c r="B108" s="8"/>
      <c r="C108" s="8"/>
      <c r="D108" s="8"/>
      <c r="E108" s="8"/>
      <c r="F108" s="8"/>
      <c r="G108" s="8"/>
      <c r="H108" s="8"/>
      <c r="I108" s="8"/>
      <c r="J108" s="13"/>
      <c r="K108" s="13"/>
      <c r="L108" s="13"/>
      <c r="M108" s="13"/>
      <c r="N108" s="13"/>
      <c r="O108" s="8"/>
      <c r="P108" s="13"/>
      <c r="Q108" s="8"/>
      <c r="R108" s="8"/>
      <c r="S108" s="10"/>
      <c r="T108" s="8"/>
      <c r="U108" s="10"/>
      <c r="V108" s="8"/>
    </row>
    <row r="109" spans="1:22">
      <c r="A109" s="8"/>
      <c r="B109" s="8"/>
      <c r="C109" s="8"/>
      <c r="D109" s="8"/>
      <c r="E109" s="8"/>
      <c r="F109" s="8"/>
      <c r="G109" s="8"/>
      <c r="H109" s="8"/>
      <c r="I109" s="8"/>
      <c r="J109" s="13"/>
      <c r="K109" s="13"/>
      <c r="L109" s="13"/>
      <c r="M109" s="13"/>
      <c r="N109" s="13"/>
      <c r="O109" s="8"/>
      <c r="P109" s="13"/>
      <c r="Q109" s="8"/>
      <c r="R109" s="8"/>
      <c r="S109" s="10"/>
      <c r="T109" s="8"/>
      <c r="U109" s="10"/>
      <c r="V109" s="8"/>
    </row>
    <row r="110" spans="1:22">
      <c r="A110" s="8"/>
      <c r="B110" s="8"/>
      <c r="C110" s="8"/>
      <c r="D110" s="8"/>
      <c r="E110" s="8"/>
      <c r="F110" s="8"/>
      <c r="G110" s="8"/>
      <c r="H110" s="8"/>
      <c r="I110" s="8"/>
      <c r="J110" s="13"/>
      <c r="K110" s="13"/>
      <c r="L110" s="13"/>
      <c r="M110" s="13"/>
      <c r="N110" s="13"/>
      <c r="O110" s="8"/>
      <c r="P110" s="13"/>
      <c r="Q110" s="8"/>
      <c r="R110" s="8"/>
      <c r="S110" s="10"/>
      <c r="T110" s="8"/>
      <c r="U110" s="10"/>
      <c r="V110" s="8"/>
    </row>
    <row r="111" spans="1:22">
      <c r="A111" s="8"/>
      <c r="B111" s="8"/>
      <c r="C111" s="8"/>
      <c r="D111" s="8"/>
      <c r="E111" s="8"/>
      <c r="F111" s="8"/>
      <c r="G111" s="8"/>
      <c r="H111" s="8"/>
      <c r="I111" s="8"/>
      <c r="J111" s="13"/>
      <c r="K111" s="13"/>
      <c r="L111" s="13"/>
      <c r="M111" s="13"/>
      <c r="N111" s="13"/>
      <c r="O111" s="8"/>
      <c r="P111" s="13"/>
      <c r="Q111" s="8"/>
      <c r="R111" s="8"/>
      <c r="S111" s="10"/>
      <c r="T111" s="8"/>
      <c r="U111" s="10"/>
      <c r="V111" s="8"/>
    </row>
    <row r="112" spans="1:22">
      <c r="A112" s="8"/>
      <c r="B112" s="8"/>
      <c r="C112" s="8"/>
      <c r="D112" s="8"/>
      <c r="E112" s="8"/>
      <c r="F112" s="8"/>
      <c r="G112" s="8"/>
      <c r="H112" s="8"/>
      <c r="I112" s="8"/>
      <c r="J112" s="13"/>
      <c r="K112" s="13"/>
      <c r="L112" s="13"/>
      <c r="M112" s="13"/>
      <c r="N112" s="13"/>
      <c r="O112" s="8"/>
      <c r="P112" s="13"/>
      <c r="Q112" s="8"/>
      <c r="R112" s="8"/>
      <c r="S112" s="10"/>
      <c r="T112" s="8"/>
      <c r="U112" s="10"/>
      <c r="V112" s="8"/>
    </row>
    <row r="113" spans="1:22">
      <c r="A113" s="8"/>
      <c r="B113" s="8"/>
      <c r="C113" s="8"/>
      <c r="D113" s="8"/>
      <c r="E113" s="8"/>
      <c r="F113" s="8"/>
      <c r="G113" s="8"/>
      <c r="H113" s="8"/>
      <c r="I113" s="8"/>
      <c r="J113" s="13"/>
      <c r="K113" s="13"/>
      <c r="L113" s="13"/>
      <c r="M113" s="13"/>
      <c r="N113" s="13"/>
      <c r="O113" s="8"/>
      <c r="P113" s="13"/>
      <c r="Q113" s="8"/>
      <c r="R113" s="8"/>
      <c r="S113" s="10"/>
      <c r="T113" s="8"/>
      <c r="U113" s="10"/>
      <c r="V113" s="8"/>
    </row>
    <row r="114" spans="1:22">
      <c r="A114" s="8"/>
      <c r="B114" s="8"/>
      <c r="C114" s="8"/>
      <c r="D114" s="8"/>
      <c r="E114" s="8"/>
      <c r="F114" s="8"/>
      <c r="G114" s="8"/>
      <c r="H114" s="8"/>
      <c r="I114" s="8"/>
      <c r="J114" s="13"/>
      <c r="K114" s="13"/>
      <c r="L114" s="13"/>
      <c r="M114" s="13"/>
      <c r="N114" s="13"/>
      <c r="O114" s="8"/>
      <c r="P114" s="13"/>
      <c r="Q114" s="8"/>
      <c r="R114" s="8"/>
      <c r="S114" s="10"/>
      <c r="T114" s="8"/>
      <c r="U114" s="10"/>
      <c r="V114" s="8"/>
    </row>
    <row r="115" spans="1:22">
      <c r="A115" s="8"/>
      <c r="B115" s="8"/>
      <c r="C115" s="8"/>
      <c r="D115" s="8"/>
      <c r="E115" s="8"/>
      <c r="F115" s="8"/>
      <c r="G115" s="8"/>
      <c r="H115" s="8"/>
      <c r="I115" s="8"/>
      <c r="J115" s="13"/>
      <c r="K115" s="13"/>
      <c r="L115" s="13"/>
      <c r="M115" s="13"/>
      <c r="N115" s="13"/>
      <c r="O115" s="8"/>
      <c r="P115" s="13"/>
      <c r="Q115" s="8"/>
      <c r="R115" s="8"/>
      <c r="S115" s="10"/>
      <c r="T115" s="8"/>
      <c r="U115" s="10"/>
      <c r="V115" s="8"/>
    </row>
    <row r="116" spans="1:22">
      <c r="A116" s="8"/>
      <c r="B116" s="8"/>
      <c r="C116" s="8"/>
      <c r="D116" s="8"/>
      <c r="E116" s="8"/>
      <c r="F116" s="8"/>
      <c r="G116" s="8"/>
      <c r="H116" s="8"/>
      <c r="I116" s="8"/>
      <c r="J116" s="13"/>
      <c r="K116" s="13"/>
      <c r="L116" s="13"/>
      <c r="M116" s="13"/>
      <c r="N116" s="13"/>
      <c r="O116" s="8"/>
      <c r="P116" s="13"/>
      <c r="Q116" s="8"/>
      <c r="R116" s="8"/>
      <c r="S116" s="10"/>
      <c r="T116" s="8"/>
      <c r="U116" s="10"/>
      <c r="V116" s="8"/>
    </row>
    <row r="117" spans="1:22">
      <c r="A117" s="8"/>
      <c r="B117" s="8"/>
      <c r="C117" s="8"/>
      <c r="D117" s="8"/>
      <c r="E117" s="8"/>
      <c r="F117" s="8"/>
      <c r="G117" s="8"/>
      <c r="H117" s="8"/>
      <c r="I117" s="8"/>
      <c r="J117" s="13"/>
      <c r="K117" s="13"/>
      <c r="L117" s="13"/>
      <c r="M117" s="13"/>
      <c r="N117" s="13"/>
      <c r="O117" s="8"/>
      <c r="P117" s="13"/>
      <c r="Q117" s="8"/>
      <c r="R117" s="8"/>
      <c r="S117" s="10"/>
      <c r="T117" s="8"/>
      <c r="U117" s="10"/>
      <c r="V117" s="8"/>
    </row>
    <row r="118" spans="1:22">
      <c r="A118" s="8"/>
      <c r="B118" s="8"/>
      <c r="C118" s="8"/>
      <c r="D118" s="8"/>
      <c r="E118" s="8"/>
      <c r="F118" s="8"/>
      <c r="G118" s="8"/>
      <c r="H118" s="8"/>
      <c r="I118" s="8"/>
      <c r="J118" s="13"/>
      <c r="K118" s="13"/>
      <c r="L118" s="13"/>
      <c r="M118" s="13"/>
      <c r="N118" s="13"/>
      <c r="O118" s="8"/>
      <c r="P118" s="13"/>
      <c r="Q118" s="8"/>
      <c r="R118" s="8"/>
      <c r="S118" s="10"/>
      <c r="T118" s="8"/>
      <c r="U118" s="10"/>
      <c r="V118" s="8"/>
    </row>
    <row r="119" spans="1:22">
      <c r="A119" s="8"/>
      <c r="B119" s="8"/>
      <c r="C119" s="8"/>
      <c r="D119" s="8"/>
      <c r="E119" s="8"/>
      <c r="F119" s="8"/>
      <c r="G119" s="8"/>
      <c r="H119" s="8"/>
      <c r="I119" s="8"/>
      <c r="J119" s="13"/>
      <c r="K119" s="13"/>
      <c r="L119" s="13"/>
      <c r="M119" s="13"/>
      <c r="N119" s="13"/>
      <c r="O119" s="8"/>
      <c r="P119" s="13"/>
      <c r="Q119" s="8"/>
      <c r="R119" s="8"/>
      <c r="S119" s="10"/>
      <c r="T119" s="8"/>
      <c r="U119" s="10"/>
      <c r="V119" s="8"/>
    </row>
    <row r="120" spans="1:22">
      <c r="A120" s="8"/>
      <c r="B120" s="8"/>
      <c r="C120" s="8"/>
      <c r="D120" s="8"/>
      <c r="E120" s="8"/>
      <c r="F120" s="8"/>
      <c r="G120" s="8"/>
      <c r="H120" s="8"/>
      <c r="I120" s="8"/>
      <c r="J120" s="13"/>
      <c r="K120" s="13"/>
      <c r="L120" s="13"/>
      <c r="M120" s="13"/>
      <c r="N120" s="13"/>
      <c r="O120" s="8"/>
      <c r="P120" s="13"/>
      <c r="Q120" s="8"/>
      <c r="R120" s="8"/>
      <c r="S120" s="10"/>
      <c r="T120" s="8"/>
      <c r="U120" s="10"/>
      <c r="V120" s="8"/>
    </row>
    <row r="121" spans="1:22">
      <c r="A121" s="8"/>
      <c r="B121" s="8"/>
      <c r="C121" s="8"/>
      <c r="D121" s="8"/>
      <c r="E121" s="8"/>
      <c r="F121" s="8"/>
      <c r="G121" s="8"/>
      <c r="H121" s="8"/>
      <c r="I121" s="8"/>
      <c r="J121" s="13"/>
      <c r="K121" s="13"/>
      <c r="L121" s="13"/>
      <c r="M121" s="13"/>
      <c r="N121" s="13"/>
      <c r="O121" s="8"/>
      <c r="P121" s="13"/>
      <c r="Q121" s="8"/>
      <c r="R121" s="8"/>
      <c r="S121" s="10"/>
      <c r="T121" s="8"/>
      <c r="U121" s="10"/>
      <c r="V121" s="8"/>
    </row>
    <row r="122" spans="1:22">
      <c r="A122" s="8"/>
      <c r="B122" s="8"/>
      <c r="C122" s="8"/>
      <c r="D122" s="8"/>
      <c r="E122" s="8"/>
      <c r="F122" s="8"/>
      <c r="G122" s="8"/>
      <c r="H122" s="8"/>
      <c r="I122" s="8"/>
      <c r="J122" s="13"/>
      <c r="K122" s="13"/>
      <c r="L122" s="13"/>
      <c r="M122" s="13"/>
      <c r="N122" s="13"/>
      <c r="O122" s="8"/>
      <c r="P122" s="13"/>
      <c r="Q122" s="8"/>
      <c r="R122" s="8"/>
      <c r="S122" s="10"/>
      <c r="T122" s="8"/>
      <c r="U122" s="10"/>
      <c r="V122" s="8"/>
    </row>
    <row r="123" spans="1:22">
      <c r="A123" s="8"/>
      <c r="B123" s="8"/>
      <c r="C123" s="8"/>
      <c r="D123" s="8"/>
      <c r="E123" s="8"/>
      <c r="F123" s="8"/>
      <c r="G123" s="8"/>
      <c r="H123" s="8"/>
      <c r="I123" s="8"/>
      <c r="J123" s="13"/>
      <c r="K123" s="13"/>
      <c r="L123" s="13"/>
      <c r="M123" s="13"/>
      <c r="N123" s="13"/>
      <c r="O123" s="8"/>
      <c r="P123" s="13"/>
      <c r="Q123" s="8"/>
      <c r="R123" s="8"/>
      <c r="S123" s="10"/>
      <c r="T123" s="8"/>
      <c r="U123" s="10"/>
      <c r="V123" s="8"/>
    </row>
    <row r="124" spans="1:22">
      <c r="A124" s="8"/>
      <c r="B124" s="8"/>
      <c r="C124" s="8"/>
      <c r="D124" s="8"/>
      <c r="E124" s="8"/>
      <c r="F124" s="8"/>
      <c r="G124" s="8"/>
      <c r="H124" s="8"/>
      <c r="I124" s="8"/>
      <c r="J124" s="13"/>
      <c r="K124" s="13"/>
      <c r="L124" s="13"/>
      <c r="M124" s="13"/>
      <c r="N124" s="13"/>
      <c r="O124" s="8"/>
      <c r="P124" s="13"/>
      <c r="Q124" s="8"/>
      <c r="R124" s="8"/>
      <c r="S124" s="10"/>
      <c r="T124" s="8"/>
      <c r="U124" s="10"/>
      <c r="V124" s="8"/>
    </row>
    <row r="125" spans="1:22">
      <c r="A125" s="8"/>
      <c r="B125" s="8"/>
      <c r="C125" s="8"/>
      <c r="D125" s="8"/>
      <c r="E125" s="8"/>
      <c r="F125" s="8"/>
      <c r="G125" s="8"/>
      <c r="H125" s="8"/>
      <c r="I125" s="8"/>
      <c r="J125" s="13"/>
      <c r="K125" s="13"/>
      <c r="L125" s="13"/>
      <c r="M125" s="13"/>
      <c r="N125" s="13"/>
      <c r="O125" s="8"/>
      <c r="P125" s="13"/>
      <c r="Q125" s="8"/>
      <c r="R125" s="8"/>
      <c r="S125" s="10"/>
      <c r="T125" s="8"/>
      <c r="U125" s="10"/>
      <c r="V125" s="8"/>
    </row>
    <row r="126" spans="1:22">
      <c r="A126" s="8"/>
      <c r="B126" s="8"/>
      <c r="C126" s="8"/>
      <c r="D126" s="8"/>
      <c r="E126" s="8"/>
      <c r="F126" s="8"/>
      <c r="G126" s="8"/>
      <c r="H126" s="8"/>
      <c r="I126" s="8"/>
      <c r="J126" s="13"/>
      <c r="K126" s="13"/>
      <c r="L126" s="13"/>
      <c r="M126" s="13"/>
      <c r="N126" s="13"/>
      <c r="O126" s="8"/>
      <c r="P126" s="13"/>
      <c r="Q126" s="8"/>
      <c r="R126" s="8"/>
      <c r="S126" s="10"/>
      <c r="T126" s="8"/>
      <c r="U126" s="10"/>
      <c r="V126" s="8"/>
    </row>
    <row r="127" spans="1:22">
      <c r="A127" s="8"/>
      <c r="B127" s="8"/>
      <c r="C127" s="8"/>
      <c r="D127" s="8"/>
      <c r="E127" s="8"/>
      <c r="F127" s="8"/>
      <c r="G127" s="8"/>
      <c r="H127" s="8"/>
      <c r="I127" s="8"/>
      <c r="J127" s="13"/>
      <c r="K127" s="13"/>
      <c r="L127" s="13"/>
      <c r="M127" s="13"/>
      <c r="N127" s="13"/>
      <c r="O127" s="8"/>
      <c r="P127" s="13"/>
      <c r="Q127" s="8"/>
      <c r="R127" s="8"/>
      <c r="S127" s="10"/>
      <c r="T127" s="8"/>
      <c r="U127" s="10"/>
      <c r="V127" s="8"/>
    </row>
    <row r="128" spans="1:22">
      <c r="A128" s="8"/>
      <c r="B128" s="8"/>
      <c r="C128" s="8"/>
      <c r="D128" s="8"/>
      <c r="E128" s="8"/>
      <c r="F128" s="8"/>
      <c r="G128" s="8"/>
      <c r="H128" s="8"/>
      <c r="I128" s="8"/>
      <c r="J128" s="13"/>
      <c r="K128" s="13"/>
      <c r="L128" s="13"/>
      <c r="M128" s="13"/>
      <c r="N128" s="13"/>
      <c r="O128" s="8"/>
      <c r="P128" s="13"/>
      <c r="Q128" s="8"/>
      <c r="R128" s="8"/>
      <c r="S128" s="10"/>
      <c r="T128" s="8"/>
      <c r="U128" s="10"/>
      <c r="V128" s="8"/>
    </row>
    <row r="129" spans="1:22">
      <c r="A129" s="8"/>
      <c r="B129" s="8"/>
      <c r="C129" s="8"/>
      <c r="D129" s="8"/>
      <c r="E129" s="8"/>
      <c r="F129" s="8"/>
      <c r="G129" s="8"/>
      <c r="H129" s="8"/>
      <c r="I129" s="8"/>
      <c r="J129" s="13"/>
      <c r="K129" s="13"/>
      <c r="L129" s="13"/>
      <c r="M129" s="13"/>
      <c r="N129" s="13"/>
      <c r="O129" s="8"/>
      <c r="P129" s="13"/>
      <c r="Q129" s="8"/>
      <c r="R129" s="8"/>
      <c r="S129" s="10"/>
      <c r="T129" s="8"/>
      <c r="U129" s="10"/>
      <c r="V129" s="8"/>
    </row>
    <row r="130" spans="1:22">
      <c r="A130" s="8"/>
      <c r="B130" s="8"/>
      <c r="C130" s="8"/>
      <c r="D130" s="8"/>
      <c r="E130" s="8"/>
      <c r="F130" s="8"/>
      <c r="G130" s="8"/>
      <c r="H130" s="8"/>
      <c r="I130" s="8"/>
      <c r="J130" s="13"/>
      <c r="K130" s="13"/>
      <c r="L130" s="13"/>
      <c r="M130" s="13"/>
      <c r="N130" s="13"/>
      <c r="O130" s="8"/>
      <c r="P130" s="13"/>
      <c r="Q130" s="8"/>
      <c r="R130" s="8"/>
      <c r="S130" s="10"/>
      <c r="T130" s="8"/>
      <c r="U130" s="10"/>
      <c r="V130" s="8"/>
    </row>
    <row r="131" spans="1:22">
      <c r="A131" s="8"/>
      <c r="B131" s="8"/>
      <c r="C131" s="8"/>
      <c r="D131" s="8"/>
      <c r="E131" s="8"/>
      <c r="F131" s="8"/>
      <c r="G131" s="8"/>
      <c r="H131" s="8"/>
      <c r="I131" s="8"/>
      <c r="J131" s="13"/>
      <c r="K131" s="13"/>
      <c r="L131" s="13"/>
      <c r="M131" s="13"/>
      <c r="N131" s="13"/>
      <c r="O131" s="8"/>
      <c r="P131" s="13"/>
      <c r="Q131" s="8"/>
      <c r="R131" s="8"/>
      <c r="S131" s="10"/>
      <c r="T131" s="8"/>
      <c r="U131" s="10"/>
      <c r="V131" s="8"/>
    </row>
    <row r="132" spans="1:22">
      <c r="A132" s="8"/>
      <c r="B132" s="8"/>
      <c r="C132" s="8"/>
      <c r="D132" s="8"/>
      <c r="E132" s="8"/>
      <c r="F132" s="8"/>
      <c r="G132" s="8"/>
      <c r="H132" s="8"/>
      <c r="I132" s="8"/>
      <c r="J132" s="13"/>
      <c r="K132" s="13"/>
      <c r="L132" s="13"/>
      <c r="M132" s="13"/>
      <c r="N132" s="13"/>
      <c r="O132" s="8"/>
      <c r="P132" s="13"/>
      <c r="Q132" s="8"/>
      <c r="R132" s="8"/>
      <c r="S132" s="10"/>
      <c r="T132" s="8"/>
      <c r="U132" s="10"/>
      <c r="V132" s="8"/>
    </row>
    <row r="133" spans="1:22">
      <c r="A133" s="8"/>
      <c r="B133" s="8"/>
      <c r="C133" s="8"/>
      <c r="D133" s="8"/>
      <c r="E133" s="8"/>
      <c r="F133" s="8"/>
      <c r="G133" s="8"/>
      <c r="H133" s="8"/>
      <c r="I133" s="8"/>
      <c r="J133" s="13"/>
      <c r="K133" s="13"/>
      <c r="L133" s="13"/>
      <c r="M133" s="13"/>
      <c r="N133" s="13"/>
      <c r="O133" s="8"/>
      <c r="P133" s="13"/>
      <c r="Q133" s="8"/>
      <c r="R133" s="8"/>
      <c r="S133" s="10"/>
      <c r="T133" s="8"/>
      <c r="U133" s="10"/>
      <c r="V133" s="8"/>
    </row>
    <row r="134" spans="1:22">
      <c r="A134" s="8"/>
      <c r="B134" s="8"/>
      <c r="C134" s="8"/>
      <c r="D134" s="8"/>
      <c r="E134" s="8"/>
      <c r="F134" s="8"/>
      <c r="G134" s="8"/>
      <c r="H134" s="8"/>
      <c r="I134" s="8"/>
      <c r="J134" s="13"/>
      <c r="K134" s="13"/>
      <c r="L134" s="13"/>
      <c r="M134" s="13"/>
      <c r="N134" s="13"/>
      <c r="O134" s="8"/>
      <c r="P134" s="13"/>
      <c r="Q134" s="8"/>
      <c r="R134" s="8"/>
      <c r="S134" s="10"/>
      <c r="T134" s="8"/>
      <c r="U134" s="10"/>
      <c r="V134" s="8"/>
    </row>
    <row r="135" spans="1:22">
      <c r="A135" s="8"/>
      <c r="B135" s="8"/>
      <c r="C135" s="8"/>
      <c r="D135" s="8"/>
      <c r="E135" s="8"/>
      <c r="F135" s="8"/>
      <c r="G135" s="8"/>
      <c r="H135" s="8"/>
      <c r="I135" s="8"/>
      <c r="J135" s="13"/>
      <c r="K135" s="13"/>
      <c r="L135" s="13"/>
      <c r="M135" s="13"/>
      <c r="N135" s="13"/>
      <c r="O135" s="8"/>
      <c r="P135" s="13"/>
      <c r="Q135" s="8"/>
      <c r="R135" s="8"/>
      <c r="S135" s="10"/>
      <c r="T135" s="8"/>
      <c r="U135" s="10"/>
      <c r="V135" s="8"/>
    </row>
    <row r="136" spans="1:22">
      <c r="A136" s="8"/>
      <c r="B136" s="8"/>
      <c r="C136" s="8"/>
      <c r="D136" s="8"/>
      <c r="E136" s="8"/>
      <c r="F136" s="8"/>
      <c r="G136" s="8"/>
      <c r="H136" s="8"/>
      <c r="I136" s="8"/>
      <c r="J136" s="13"/>
      <c r="K136" s="13"/>
      <c r="L136" s="13"/>
      <c r="M136" s="13"/>
      <c r="N136" s="13"/>
      <c r="O136" s="8"/>
      <c r="P136" s="13"/>
      <c r="Q136" s="8"/>
      <c r="R136" s="8"/>
      <c r="S136" s="10"/>
      <c r="T136" s="8"/>
      <c r="U136" s="10"/>
      <c r="V136" s="8"/>
    </row>
    <row r="137" spans="1:22">
      <c r="A137" s="8"/>
      <c r="B137" s="8"/>
      <c r="C137" s="8"/>
      <c r="D137" s="8"/>
      <c r="E137" s="8"/>
      <c r="F137" s="8"/>
      <c r="G137" s="8"/>
      <c r="H137" s="8"/>
      <c r="I137" s="8"/>
      <c r="J137" s="13"/>
      <c r="K137" s="13"/>
      <c r="L137" s="13"/>
      <c r="M137" s="13"/>
      <c r="N137" s="13"/>
      <c r="O137" s="8"/>
      <c r="P137" s="13"/>
      <c r="Q137" s="8"/>
      <c r="R137" s="8"/>
      <c r="S137" s="10"/>
      <c r="T137" s="8"/>
      <c r="U137" s="10"/>
      <c r="V137" s="8"/>
    </row>
    <row r="138" spans="1:22">
      <c r="A138" s="8"/>
      <c r="B138" s="8"/>
      <c r="C138" s="8"/>
      <c r="D138" s="8"/>
      <c r="E138" s="8"/>
      <c r="F138" s="8"/>
      <c r="G138" s="8"/>
      <c r="H138" s="8"/>
      <c r="I138" s="8"/>
      <c r="J138" s="13"/>
      <c r="K138" s="13"/>
      <c r="L138" s="13"/>
      <c r="M138" s="13"/>
      <c r="N138" s="13"/>
      <c r="O138" s="8"/>
      <c r="P138" s="13"/>
      <c r="Q138" s="8"/>
      <c r="R138" s="8"/>
      <c r="S138" s="10"/>
      <c r="T138" s="8"/>
      <c r="U138" s="10"/>
      <c r="V138" s="8"/>
    </row>
    <row r="139" spans="1:22">
      <c r="A139" s="8"/>
      <c r="B139" s="8"/>
      <c r="C139" s="8"/>
      <c r="D139" s="8"/>
      <c r="E139" s="8"/>
      <c r="F139" s="8"/>
      <c r="G139" s="8"/>
      <c r="H139" s="8"/>
      <c r="I139" s="8"/>
      <c r="J139" s="13"/>
      <c r="K139" s="13"/>
      <c r="L139" s="13"/>
      <c r="M139" s="13"/>
      <c r="N139" s="13"/>
      <c r="O139" s="8"/>
      <c r="P139" s="13"/>
      <c r="Q139" s="8"/>
      <c r="R139" s="8"/>
      <c r="S139" s="10"/>
      <c r="T139" s="8"/>
      <c r="U139" s="10"/>
      <c r="V139" s="8"/>
    </row>
    <row r="140" spans="1:22">
      <c r="A140" s="8"/>
      <c r="B140" s="8"/>
      <c r="C140" s="8"/>
      <c r="D140" s="8"/>
      <c r="E140" s="8"/>
      <c r="F140" s="8"/>
      <c r="G140" s="8"/>
      <c r="H140" s="8"/>
      <c r="I140" s="8"/>
      <c r="J140" s="13"/>
      <c r="K140" s="13"/>
      <c r="L140" s="13"/>
      <c r="M140" s="13"/>
      <c r="N140" s="13"/>
      <c r="O140" s="8"/>
      <c r="P140" s="13"/>
      <c r="Q140" s="8"/>
      <c r="R140" s="8"/>
      <c r="S140" s="10"/>
      <c r="T140" s="8"/>
      <c r="U140" s="10"/>
      <c r="V140" s="8"/>
    </row>
    <row r="141" spans="1:22">
      <c r="A141" s="8"/>
      <c r="B141" s="8"/>
      <c r="C141" s="8"/>
      <c r="D141" s="8"/>
      <c r="E141" s="8"/>
      <c r="F141" s="8"/>
      <c r="G141" s="8"/>
      <c r="H141" s="8"/>
      <c r="I141" s="8"/>
      <c r="J141" s="13"/>
      <c r="K141" s="13"/>
      <c r="L141" s="13"/>
      <c r="M141" s="13"/>
      <c r="N141" s="13"/>
      <c r="O141" s="8"/>
      <c r="P141" s="13"/>
      <c r="Q141" s="8"/>
      <c r="R141" s="8"/>
      <c r="S141" s="10"/>
      <c r="T141" s="8"/>
      <c r="U141" s="10"/>
      <c r="V141" s="8"/>
    </row>
    <row r="142" spans="1:22">
      <c r="A142" s="8"/>
      <c r="B142" s="8"/>
      <c r="C142" s="8"/>
      <c r="D142" s="8"/>
      <c r="E142" s="8"/>
      <c r="F142" s="8"/>
      <c r="G142" s="8"/>
      <c r="H142" s="8"/>
      <c r="I142" s="8"/>
      <c r="J142" s="13"/>
      <c r="K142" s="13"/>
      <c r="L142" s="13"/>
      <c r="M142" s="13"/>
      <c r="N142" s="13"/>
      <c r="O142" s="8"/>
      <c r="P142" s="13"/>
      <c r="Q142" s="8"/>
      <c r="R142" s="8"/>
      <c r="S142" s="10"/>
      <c r="T142" s="8"/>
      <c r="U142" s="10"/>
      <c r="V142" s="8"/>
    </row>
    <row r="143" spans="1:22">
      <c r="A143" s="8"/>
      <c r="B143" s="8"/>
      <c r="C143" s="8"/>
      <c r="D143" s="8"/>
      <c r="E143" s="8"/>
      <c r="F143" s="8"/>
      <c r="G143" s="8"/>
      <c r="H143" s="8"/>
      <c r="I143" s="8"/>
      <c r="J143" s="13"/>
      <c r="K143" s="13"/>
      <c r="L143" s="13"/>
      <c r="M143" s="13"/>
      <c r="N143" s="13"/>
      <c r="O143" s="8"/>
      <c r="P143" s="13"/>
      <c r="Q143" s="8"/>
      <c r="R143" s="8"/>
      <c r="S143" s="10"/>
      <c r="T143" s="8"/>
      <c r="U143" s="10"/>
      <c r="V143" s="8"/>
    </row>
    <row r="144" spans="1:22">
      <c r="A144" s="8"/>
      <c r="B144" s="8"/>
      <c r="C144" s="8"/>
      <c r="D144" s="8"/>
      <c r="E144" s="8"/>
      <c r="F144" s="8"/>
      <c r="G144" s="8"/>
      <c r="H144" s="8"/>
      <c r="I144" s="8"/>
      <c r="J144" s="13"/>
      <c r="K144" s="13"/>
      <c r="L144" s="13"/>
      <c r="M144" s="13"/>
      <c r="N144" s="13"/>
      <c r="O144" s="8"/>
      <c r="P144" s="13"/>
      <c r="Q144" s="8"/>
      <c r="R144" s="8"/>
      <c r="S144" s="10"/>
      <c r="T144" s="8"/>
      <c r="U144" s="10"/>
      <c r="V144" s="8"/>
    </row>
    <row r="145" spans="1:22">
      <c r="A145" s="8"/>
      <c r="B145" s="8"/>
      <c r="C145" s="8"/>
      <c r="D145" s="8"/>
      <c r="E145" s="8"/>
      <c r="F145" s="8"/>
      <c r="G145" s="8"/>
      <c r="H145" s="8"/>
      <c r="I145" s="8"/>
      <c r="J145" s="13"/>
      <c r="K145" s="13"/>
      <c r="L145" s="13"/>
      <c r="M145" s="13"/>
      <c r="N145" s="13"/>
      <c r="O145" s="8"/>
      <c r="P145" s="13"/>
      <c r="Q145" s="8"/>
      <c r="R145" s="8"/>
      <c r="S145" s="10"/>
      <c r="T145" s="8"/>
      <c r="U145" s="10"/>
      <c r="V145" s="8"/>
    </row>
    <row r="146" spans="1:22">
      <c r="A146" s="8"/>
      <c r="B146" s="8"/>
      <c r="C146" s="8"/>
      <c r="D146" s="8"/>
      <c r="E146" s="8"/>
      <c r="F146" s="8"/>
      <c r="G146" s="8"/>
      <c r="H146" s="8"/>
      <c r="I146" s="8"/>
      <c r="J146" s="13"/>
      <c r="K146" s="13"/>
      <c r="L146" s="13"/>
      <c r="M146" s="13"/>
      <c r="N146" s="13"/>
      <c r="O146" s="8"/>
      <c r="P146" s="13"/>
      <c r="Q146" s="8"/>
      <c r="R146" s="8"/>
      <c r="S146" s="10"/>
      <c r="T146" s="8"/>
      <c r="U146" s="10"/>
      <c r="V146" s="8"/>
    </row>
    <row r="147" spans="1:22">
      <c r="A147" s="8"/>
      <c r="B147" s="8"/>
      <c r="C147" s="8"/>
      <c r="D147" s="8"/>
      <c r="E147" s="8"/>
      <c r="F147" s="8"/>
      <c r="G147" s="8"/>
      <c r="H147" s="8"/>
      <c r="I147" s="8"/>
      <c r="J147" s="13"/>
      <c r="K147" s="13"/>
      <c r="L147" s="13"/>
      <c r="M147" s="13"/>
      <c r="N147" s="13"/>
      <c r="O147" s="8"/>
      <c r="P147" s="13"/>
      <c r="Q147" s="8"/>
      <c r="R147" s="8"/>
      <c r="S147" s="10"/>
      <c r="T147" s="8"/>
      <c r="U147" s="10"/>
      <c r="V147" s="8"/>
    </row>
    <row r="148" spans="1:22">
      <c r="A148" s="8"/>
      <c r="B148" s="8"/>
      <c r="C148" s="8"/>
      <c r="D148" s="8"/>
      <c r="E148" s="8"/>
      <c r="F148" s="8"/>
      <c r="G148" s="8"/>
      <c r="H148" s="8"/>
      <c r="I148" s="8"/>
      <c r="J148" s="13"/>
      <c r="K148" s="13"/>
      <c r="L148" s="13"/>
      <c r="M148" s="13"/>
      <c r="N148" s="13"/>
      <c r="O148" s="8"/>
      <c r="P148" s="13"/>
      <c r="Q148" s="8"/>
      <c r="R148" s="8"/>
      <c r="S148" s="10"/>
      <c r="T148" s="8"/>
      <c r="U148" s="10"/>
      <c r="V148" s="8"/>
    </row>
    <row r="149" spans="1:22">
      <c r="A149" s="8"/>
      <c r="B149" s="8"/>
      <c r="C149" s="8"/>
      <c r="D149" s="8"/>
      <c r="E149" s="8"/>
      <c r="F149" s="8"/>
      <c r="G149" s="8"/>
      <c r="H149" s="8"/>
      <c r="I149" s="8"/>
      <c r="J149" s="13"/>
      <c r="K149" s="13"/>
      <c r="L149" s="13"/>
      <c r="M149" s="13"/>
      <c r="N149" s="13"/>
      <c r="O149" s="8"/>
      <c r="P149" s="13"/>
      <c r="Q149" s="8"/>
      <c r="R149" s="8"/>
      <c r="S149" s="10"/>
      <c r="T149" s="8"/>
      <c r="U149" s="10"/>
      <c r="V149" s="8"/>
    </row>
    <row r="150" spans="1:22">
      <c r="A150" s="8"/>
      <c r="B150" s="8"/>
      <c r="C150" s="8"/>
      <c r="D150" s="8"/>
      <c r="E150" s="8"/>
      <c r="F150" s="8"/>
      <c r="G150" s="8"/>
      <c r="H150" s="8"/>
      <c r="I150" s="8"/>
      <c r="J150" s="13"/>
      <c r="K150" s="13"/>
      <c r="L150" s="13"/>
      <c r="M150" s="13"/>
      <c r="N150" s="13"/>
      <c r="O150" s="8"/>
      <c r="P150" s="13"/>
      <c r="Q150" s="8"/>
      <c r="R150" s="8"/>
      <c r="S150" s="10"/>
      <c r="T150" s="8"/>
      <c r="U150" s="10"/>
      <c r="V150" s="8"/>
    </row>
    <row r="151" spans="1:22">
      <c r="A151" s="8"/>
      <c r="B151" s="8"/>
      <c r="C151" s="8"/>
      <c r="D151" s="8"/>
      <c r="E151" s="8"/>
      <c r="F151" s="8"/>
      <c r="G151" s="8"/>
      <c r="H151" s="8"/>
      <c r="I151" s="8"/>
      <c r="J151" s="13"/>
      <c r="K151" s="13"/>
      <c r="L151" s="13"/>
      <c r="M151" s="13"/>
      <c r="N151" s="13"/>
      <c r="O151" s="8"/>
      <c r="P151" s="13"/>
      <c r="Q151" s="8"/>
      <c r="R151" s="8"/>
      <c r="S151" s="10"/>
      <c r="T151" s="8"/>
      <c r="U151" s="10"/>
      <c r="V151" s="8"/>
    </row>
    <row r="152" spans="1:22">
      <c r="A152" s="8"/>
      <c r="B152" s="8"/>
      <c r="C152" s="8"/>
      <c r="D152" s="8"/>
      <c r="E152" s="8"/>
      <c r="F152" s="8"/>
      <c r="G152" s="8"/>
      <c r="H152" s="8"/>
      <c r="I152" s="8"/>
      <c r="J152" s="13"/>
      <c r="K152" s="13"/>
      <c r="L152" s="13"/>
      <c r="M152" s="13"/>
      <c r="N152" s="13"/>
      <c r="O152" s="8"/>
      <c r="P152" s="13"/>
      <c r="Q152" s="8"/>
      <c r="R152" s="8"/>
      <c r="S152" s="10"/>
      <c r="T152" s="8"/>
      <c r="U152" s="10"/>
      <c r="V152" s="8"/>
    </row>
    <row r="153" spans="1:22">
      <c r="A153" s="8"/>
      <c r="B153" s="8"/>
      <c r="C153" s="8"/>
      <c r="D153" s="8"/>
      <c r="E153" s="8"/>
      <c r="F153" s="8"/>
      <c r="G153" s="8"/>
      <c r="H153" s="8"/>
      <c r="I153" s="8"/>
      <c r="J153" s="13"/>
      <c r="K153" s="13"/>
      <c r="L153" s="13"/>
      <c r="M153" s="13"/>
      <c r="N153" s="13"/>
      <c r="O153" s="8"/>
      <c r="P153" s="13"/>
      <c r="Q153" s="8"/>
      <c r="R153" s="8"/>
      <c r="S153" s="10"/>
      <c r="T153" s="8"/>
      <c r="U153" s="10"/>
      <c r="V153" s="8"/>
    </row>
    <row r="154" spans="1:22">
      <c r="A154" s="8"/>
      <c r="B154" s="8"/>
      <c r="C154" s="8"/>
      <c r="D154" s="8"/>
      <c r="E154" s="8"/>
      <c r="F154" s="8"/>
      <c r="G154" s="8"/>
      <c r="H154" s="8"/>
      <c r="I154" s="8"/>
      <c r="J154" s="13"/>
      <c r="K154" s="13"/>
      <c r="L154" s="13"/>
      <c r="M154" s="13"/>
      <c r="N154" s="13"/>
      <c r="O154" s="8"/>
      <c r="P154" s="13"/>
      <c r="Q154" s="8"/>
      <c r="R154" s="8"/>
      <c r="S154" s="10"/>
      <c r="T154" s="8"/>
      <c r="U154" s="10"/>
      <c r="V154" s="8"/>
    </row>
    <row r="155" spans="1:22">
      <c r="A155" s="8"/>
      <c r="B155" s="8"/>
      <c r="C155" s="8"/>
      <c r="D155" s="8"/>
      <c r="E155" s="8"/>
      <c r="F155" s="8"/>
      <c r="G155" s="8"/>
      <c r="H155" s="8"/>
      <c r="I155" s="8"/>
      <c r="J155" s="13"/>
      <c r="K155" s="13"/>
      <c r="L155" s="13"/>
      <c r="M155" s="13"/>
      <c r="N155" s="13"/>
      <c r="O155" s="8"/>
      <c r="P155" s="13"/>
      <c r="Q155" s="8"/>
      <c r="R155" s="8"/>
      <c r="S155" s="10"/>
      <c r="T155" s="8"/>
      <c r="U155" s="10"/>
      <c r="V155" s="8"/>
    </row>
    <row r="156" spans="1:22">
      <c r="A156" s="8"/>
      <c r="B156" s="8"/>
      <c r="C156" s="8"/>
      <c r="D156" s="8"/>
      <c r="E156" s="8"/>
      <c r="F156" s="8"/>
      <c r="G156" s="8"/>
      <c r="H156" s="8"/>
      <c r="I156" s="8"/>
      <c r="J156" s="13"/>
      <c r="K156" s="13"/>
      <c r="L156" s="13"/>
      <c r="M156" s="13"/>
      <c r="N156" s="13"/>
      <c r="O156" s="8"/>
      <c r="P156" s="13"/>
      <c r="Q156" s="8"/>
      <c r="R156" s="8"/>
      <c r="S156" s="10"/>
      <c r="T156" s="8"/>
      <c r="U156" s="10"/>
      <c r="V156" s="8"/>
    </row>
    <row r="157" spans="1:22">
      <c r="A157" s="8"/>
      <c r="B157" s="8"/>
      <c r="C157" s="8"/>
      <c r="D157" s="8"/>
      <c r="E157" s="8"/>
      <c r="F157" s="8"/>
      <c r="G157" s="8"/>
      <c r="H157" s="8"/>
      <c r="I157" s="8"/>
      <c r="J157" s="13"/>
      <c r="K157" s="13"/>
      <c r="L157" s="13"/>
      <c r="M157" s="13"/>
      <c r="N157" s="13"/>
      <c r="O157" s="8"/>
      <c r="P157" s="13"/>
      <c r="Q157" s="8"/>
      <c r="R157" s="8"/>
      <c r="S157" s="10"/>
      <c r="T157" s="8"/>
      <c r="U157" s="10"/>
      <c r="V157" s="8"/>
    </row>
    <row r="158" spans="1:22">
      <c r="A158" s="8"/>
      <c r="B158" s="8"/>
      <c r="C158" s="8"/>
      <c r="D158" s="8"/>
      <c r="E158" s="8"/>
      <c r="F158" s="8"/>
      <c r="G158" s="8"/>
      <c r="H158" s="8"/>
      <c r="I158" s="8"/>
      <c r="J158" s="13"/>
      <c r="K158" s="13"/>
      <c r="L158" s="13"/>
      <c r="M158" s="13"/>
      <c r="N158" s="13"/>
      <c r="O158" s="8"/>
      <c r="P158" s="13"/>
      <c r="Q158" s="8"/>
      <c r="R158" s="8"/>
      <c r="S158" s="10"/>
      <c r="T158" s="8"/>
      <c r="U158" s="10"/>
      <c r="V158" s="8"/>
    </row>
    <row r="159" spans="1:22">
      <c r="A159" s="8"/>
      <c r="B159" s="8"/>
      <c r="C159" s="8"/>
      <c r="D159" s="8"/>
      <c r="E159" s="8"/>
      <c r="F159" s="8"/>
      <c r="G159" s="8"/>
      <c r="H159" s="8"/>
      <c r="I159" s="8"/>
      <c r="J159" s="13"/>
      <c r="K159" s="13"/>
      <c r="L159" s="13"/>
      <c r="M159" s="13"/>
      <c r="N159" s="13"/>
      <c r="O159" s="8"/>
      <c r="P159" s="13"/>
      <c r="Q159" s="8"/>
      <c r="R159" s="8"/>
      <c r="S159" s="10"/>
      <c r="T159" s="8"/>
      <c r="U159" s="10"/>
      <c r="V159" s="8"/>
    </row>
    <row r="160" spans="1:22">
      <c r="A160" s="8"/>
      <c r="B160" s="8"/>
      <c r="C160" s="8"/>
      <c r="D160" s="8"/>
      <c r="E160" s="8"/>
      <c r="F160" s="8"/>
      <c r="G160" s="8"/>
      <c r="H160" s="8"/>
      <c r="I160" s="8"/>
      <c r="J160" s="13"/>
      <c r="K160" s="13"/>
      <c r="L160" s="13"/>
      <c r="M160" s="13"/>
      <c r="N160" s="13"/>
      <c r="O160" s="8"/>
      <c r="P160" s="13"/>
      <c r="Q160" s="8"/>
      <c r="R160" s="8"/>
      <c r="S160" s="10"/>
      <c r="T160" s="8"/>
      <c r="U160" s="10"/>
      <c r="V160" s="8"/>
    </row>
    <row r="161" spans="1:22">
      <c r="A161" s="8"/>
      <c r="B161" s="8"/>
      <c r="C161" s="8"/>
      <c r="D161" s="8"/>
      <c r="E161" s="8"/>
      <c r="F161" s="8"/>
      <c r="G161" s="8"/>
      <c r="H161" s="8"/>
      <c r="I161" s="8"/>
      <c r="J161" s="13"/>
      <c r="K161" s="13"/>
      <c r="L161" s="13"/>
      <c r="M161" s="13"/>
      <c r="N161" s="13"/>
      <c r="O161" s="8"/>
      <c r="P161" s="13"/>
      <c r="Q161" s="8"/>
      <c r="R161" s="8"/>
      <c r="S161" s="10"/>
      <c r="T161" s="8"/>
      <c r="U161" s="10"/>
      <c r="V161" s="8"/>
    </row>
    <row r="162" spans="1:22">
      <c r="A162" s="8"/>
      <c r="B162" s="8"/>
      <c r="C162" s="8"/>
      <c r="D162" s="8"/>
      <c r="E162" s="8"/>
      <c r="F162" s="8"/>
      <c r="G162" s="8"/>
      <c r="H162" s="8"/>
      <c r="I162" s="8"/>
      <c r="J162" s="13"/>
      <c r="K162" s="13"/>
      <c r="L162" s="13"/>
      <c r="M162" s="13"/>
      <c r="N162" s="13"/>
      <c r="O162" s="8"/>
      <c r="P162" s="13"/>
      <c r="Q162" s="8"/>
      <c r="R162" s="8"/>
      <c r="S162" s="10"/>
      <c r="T162" s="8"/>
      <c r="U162" s="10"/>
      <c r="V162" s="8"/>
    </row>
    <row r="163" spans="1:22">
      <c r="A163" s="8"/>
      <c r="B163" s="8"/>
      <c r="C163" s="8"/>
      <c r="D163" s="8"/>
      <c r="E163" s="8"/>
      <c r="F163" s="8"/>
      <c r="G163" s="8"/>
      <c r="H163" s="8"/>
      <c r="I163" s="8"/>
      <c r="J163" s="13"/>
      <c r="K163" s="13"/>
      <c r="L163" s="13"/>
      <c r="M163" s="13"/>
      <c r="N163" s="13"/>
      <c r="O163" s="8"/>
      <c r="P163" s="13"/>
      <c r="Q163" s="8"/>
      <c r="R163" s="8"/>
      <c r="S163" s="10"/>
      <c r="T163" s="8"/>
      <c r="U163" s="10"/>
      <c r="V163" s="8"/>
    </row>
    <row r="164" spans="1:22">
      <c r="A164" s="8"/>
      <c r="B164" s="8"/>
      <c r="C164" s="8"/>
      <c r="D164" s="8"/>
      <c r="E164" s="8"/>
      <c r="F164" s="8"/>
      <c r="G164" s="8"/>
      <c r="H164" s="8"/>
      <c r="I164" s="8"/>
      <c r="J164" s="13"/>
      <c r="K164" s="13"/>
      <c r="L164" s="13"/>
      <c r="M164" s="13"/>
      <c r="N164" s="13"/>
      <c r="O164" s="8"/>
      <c r="P164" s="13"/>
      <c r="Q164" s="8"/>
      <c r="R164" s="8"/>
      <c r="S164" s="10"/>
      <c r="T164" s="8"/>
      <c r="U164" s="10"/>
      <c r="V164" s="8"/>
    </row>
    <row r="165" spans="1:22">
      <c r="A165" s="8"/>
      <c r="B165" s="8"/>
      <c r="C165" s="8"/>
      <c r="D165" s="8"/>
      <c r="E165" s="8"/>
      <c r="F165" s="8"/>
      <c r="G165" s="8"/>
      <c r="H165" s="8"/>
      <c r="I165" s="8"/>
      <c r="J165" s="13"/>
      <c r="K165" s="13"/>
      <c r="L165" s="13"/>
      <c r="M165" s="13"/>
      <c r="N165" s="13"/>
      <c r="O165" s="8"/>
      <c r="P165" s="13"/>
      <c r="Q165" s="8"/>
      <c r="R165" s="8"/>
      <c r="S165" s="10"/>
      <c r="T165" s="8"/>
      <c r="U165" s="10"/>
      <c r="V165" s="8"/>
    </row>
    <row r="166" spans="1:22">
      <c r="A166" s="8"/>
      <c r="B166" s="8"/>
      <c r="C166" s="8"/>
      <c r="D166" s="8"/>
      <c r="E166" s="8"/>
      <c r="F166" s="8"/>
      <c r="G166" s="8"/>
      <c r="H166" s="8"/>
      <c r="I166" s="8"/>
      <c r="J166" s="13"/>
      <c r="K166" s="13"/>
      <c r="L166" s="13"/>
      <c r="M166" s="13"/>
      <c r="N166" s="13"/>
      <c r="O166" s="8"/>
      <c r="P166" s="13"/>
      <c r="Q166" s="8"/>
      <c r="R166" s="8"/>
      <c r="S166" s="10"/>
      <c r="T166" s="8"/>
      <c r="U166" s="10"/>
      <c r="V166" s="8"/>
    </row>
    <row r="167" spans="1:22">
      <c r="A167" s="8"/>
      <c r="B167" s="8"/>
      <c r="C167" s="8"/>
      <c r="D167" s="8"/>
      <c r="E167" s="8"/>
      <c r="F167" s="8"/>
      <c r="G167" s="8"/>
      <c r="H167" s="8"/>
      <c r="I167" s="8"/>
      <c r="J167" s="13"/>
      <c r="K167" s="13"/>
      <c r="L167" s="13"/>
      <c r="M167" s="13"/>
      <c r="N167" s="13"/>
      <c r="O167" s="8"/>
      <c r="P167" s="13"/>
      <c r="Q167" s="8"/>
      <c r="R167" s="8"/>
      <c r="S167" s="10"/>
      <c r="T167" s="8"/>
      <c r="U167" s="10"/>
      <c r="V167" s="8"/>
    </row>
    <row r="168" spans="1:22">
      <c r="A168" s="8"/>
      <c r="B168" s="8"/>
      <c r="C168" s="8"/>
      <c r="D168" s="8"/>
      <c r="E168" s="8"/>
      <c r="F168" s="8"/>
      <c r="G168" s="8"/>
      <c r="H168" s="8"/>
      <c r="I168" s="8"/>
      <c r="J168" s="13"/>
      <c r="K168" s="13"/>
      <c r="L168" s="13"/>
      <c r="M168" s="13"/>
      <c r="N168" s="13"/>
      <c r="O168" s="8"/>
      <c r="P168" s="13"/>
      <c r="Q168" s="8"/>
      <c r="R168" s="8"/>
      <c r="S168" s="10"/>
      <c r="T168" s="8"/>
      <c r="U168" s="10"/>
      <c r="V168" s="8"/>
    </row>
    <row r="169" spans="1:22">
      <c r="A169" s="8"/>
      <c r="B169" s="8"/>
      <c r="C169" s="8"/>
      <c r="D169" s="8"/>
      <c r="E169" s="8"/>
      <c r="F169" s="8"/>
      <c r="G169" s="8"/>
      <c r="H169" s="8"/>
      <c r="I169" s="8"/>
      <c r="J169" s="13"/>
      <c r="K169" s="13"/>
      <c r="L169" s="13"/>
      <c r="M169" s="13"/>
      <c r="N169" s="13"/>
      <c r="O169" s="8"/>
      <c r="P169" s="13"/>
      <c r="Q169" s="8"/>
      <c r="R169" s="8"/>
      <c r="S169" s="10"/>
      <c r="T169" s="8"/>
      <c r="U169" s="10"/>
      <c r="V169" s="8"/>
    </row>
    <row r="170" spans="1:22">
      <c r="A170" s="8"/>
      <c r="B170" s="8"/>
      <c r="C170" s="8"/>
      <c r="D170" s="8"/>
      <c r="E170" s="8"/>
      <c r="F170" s="8"/>
      <c r="G170" s="8"/>
      <c r="H170" s="8"/>
      <c r="I170" s="8"/>
      <c r="J170" s="13"/>
      <c r="K170" s="13"/>
      <c r="L170" s="13"/>
      <c r="M170" s="13"/>
      <c r="N170" s="13"/>
      <c r="O170" s="8"/>
      <c r="P170" s="13"/>
      <c r="Q170" s="8"/>
      <c r="R170" s="8"/>
      <c r="S170" s="10"/>
      <c r="T170" s="8"/>
      <c r="U170" s="10"/>
      <c r="V170" s="8"/>
    </row>
    <row r="171" spans="1:22">
      <c r="A171" s="8"/>
      <c r="B171" s="8"/>
      <c r="C171" s="8"/>
      <c r="D171" s="8"/>
      <c r="E171" s="8"/>
      <c r="F171" s="8"/>
      <c r="G171" s="8"/>
      <c r="H171" s="8"/>
      <c r="I171" s="8"/>
      <c r="J171" s="13"/>
      <c r="K171" s="13"/>
      <c r="L171" s="13"/>
      <c r="M171" s="13"/>
      <c r="N171" s="13"/>
      <c r="O171" s="8"/>
      <c r="P171" s="13"/>
      <c r="Q171" s="8"/>
      <c r="R171" s="8"/>
      <c r="S171" s="10"/>
      <c r="T171" s="8"/>
      <c r="U171" s="10"/>
      <c r="V171" s="8"/>
    </row>
    <row r="172" spans="1:22">
      <c r="A172" s="8"/>
      <c r="B172" s="8"/>
      <c r="C172" s="8"/>
      <c r="D172" s="8"/>
      <c r="E172" s="8"/>
      <c r="F172" s="8"/>
      <c r="G172" s="8"/>
      <c r="H172" s="8"/>
      <c r="I172" s="8"/>
      <c r="J172" s="13"/>
      <c r="K172" s="13"/>
      <c r="L172" s="13"/>
      <c r="M172" s="13"/>
      <c r="N172" s="13"/>
      <c r="O172" s="8"/>
      <c r="P172" s="13"/>
      <c r="Q172" s="8"/>
      <c r="R172" s="8"/>
      <c r="S172" s="10"/>
      <c r="T172" s="8"/>
      <c r="U172" s="10"/>
      <c r="V172" s="8"/>
    </row>
    <row r="173" spans="1:22">
      <c r="A173" s="8"/>
      <c r="B173" s="8"/>
      <c r="C173" s="8"/>
      <c r="D173" s="8"/>
      <c r="E173" s="8"/>
      <c r="F173" s="8"/>
      <c r="G173" s="8"/>
      <c r="H173" s="8"/>
      <c r="I173" s="8"/>
      <c r="J173" s="13"/>
      <c r="K173" s="13"/>
      <c r="L173" s="13"/>
      <c r="M173" s="13"/>
      <c r="N173" s="13"/>
      <c r="O173" s="8"/>
      <c r="P173" s="13"/>
      <c r="Q173" s="8"/>
      <c r="R173" s="8"/>
      <c r="S173" s="10"/>
      <c r="T173" s="8"/>
      <c r="U173" s="10"/>
      <c r="V173" s="8"/>
    </row>
    <row r="174" spans="1:22">
      <c r="A174" s="8"/>
      <c r="B174" s="8"/>
      <c r="C174" s="8"/>
      <c r="D174" s="8"/>
      <c r="E174" s="8"/>
      <c r="F174" s="8"/>
      <c r="G174" s="8"/>
      <c r="H174" s="8"/>
      <c r="I174" s="8"/>
      <c r="J174" s="13"/>
      <c r="K174" s="13"/>
      <c r="L174" s="13"/>
      <c r="M174" s="13"/>
      <c r="N174" s="13"/>
      <c r="O174" s="8"/>
      <c r="P174" s="13"/>
      <c r="Q174" s="8"/>
      <c r="R174" s="8"/>
      <c r="S174" s="10"/>
      <c r="T174" s="8"/>
      <c r="U174" s="10"/>
      <c r="V174" s="8"/>
    </row>
    <row r="175" spans="1:22">
      <c r="A175" s="8"/>
      <c r="B175" s="8"/>
      <c r="C175" s="8"/>
      <c r="D175" s="8"/>
      <c r="E175" s="8"/>
      <c r="F175" s="8"/>
      <c r="G175" s="8"/>
      <c r="H175" s="8"/>
      <c r="I175" s="8"/>
      <c r="J175" s="13"/>
      <c r="K175" s="13"/>
      <c r="L175" s="13"/>
      <c r="M175" s="13"/>
      <c r="N175" s="13"/>
      <c r="O175" s="8"/>
      <c r="P175" s="13"/>
      <c r="Q175" s="8"/>
      <c r="R175" s="8"/>
      <c r="S175" s="10"/>
      <c r="T175" s="8"/>
      <c r="U175" s="10"/>
      <c r="V175" s="8"/>
    </row>
    <row r="176" spans="1:22">
      <c r="A176" s="8"/>
      <c r="B176" s="8"/>
      <c r="C176" s="8"/>
      <c r="D176" s="8"/>
      <c r="E176" s="8"/>
      <c r="F176" s="8"/>
      <c r="G176" s="8"/>
      <c r="H176" s="8"/>
      <c r="I176" s="8"/>
      <c r="J176" s="13"/>
      <c r="K176" s="13"/>
      <c r="L176" s="13"/>
      <c r="M176" s="13"/>
      <c r="N176" s="13"/>
      <c r="O176" s="8"/>
      <c r="P176" s="13"/>
      <c r="Q176" s="8"/>
      <c r="R176" s="8"/>
      <c r="S176" s="10"/>
      <c r="T176" s="8"/>
      <c r="U176" s="10"/>
      <c r="V176" s="8"/>
    </row>
    <row r="177" spans="1:22">
      <c r="A177" s="8"/>
      <c r="B177" s="8"/>
      <c r="C177" s="8"/>
      <c r="D177" s="8"/>
      <c r="E177" s="8"/>
      <c r="F177" s="8"/>
      <c r="G177" s="8"/>
      <c r="H177" s="8"/>
      <c r="I177" s="8"/>
      <c r="J177" s="13"/>
      <c r="K177" s="13"/>
      <c r="L177" s="13"/>
      <c r="M177" s="13"/>
      <c r="N177" s="13"/>
      <c r="O177" s="8"/>
      <c r="P177" s="13"/>
      <c r="Q177" s="8"/>
      <c r="R177" s="8"/>
      <c r="S177" s="10"/>
      <c r="T177" s="8"/>
      <c r="U177" s="10"/>
      <c r="V177" s="8"/>
    </row>
    <row r="178" spans="1:22">
      <c r="A178" s="8"/>
      <c r="B178" s="8"/>
      <c r="C178" s="8"/>
      <c r="D178" s="8"/>
      <c r="E178" s="8"/>
      <c r="F178" s="8"/>
      <c r="G178" s="8"/>
      <c r="H178" s="8"/>
      <c r="I178" s="8"/>
      <c r="J178" s="13"/>
      <c r="K178" s="13"/>
      <c r="L178" s="13"/>
      <c r="M178" s="13"/>
      <c r="N178" s="13"/>
      <c r="O178" s="8"/>
      <c r="P178" s="13"/>
      <c r="Q178" s="8"/>
      <c r="R178" s="8"/>
      <c r="S178" s="10"/>
      <c r="T178" s="8"/>
      <c r="U178" s="10"/>
      <c r="V178" s="8"/>
    </row>
    <row r="179" spans="1:22">
      <c r="A179" s="8"/>
      <c r="B179" s="8"/>
      <c r="C179" s="8"/>
      <c r="D179" s="8"/>
      <c r="E179" s="8"/>
      <c r="F179" s="8"/>
      <c r="G179" s="8"/>
      <c r="H179" s="8"/>
      <c r="I179" s="8"/>
      <c r="J179" s="13"/>
      <c r="K179" s="13"/>
      <c r="L179" s="13"/>
      <c r="M179" s="13"/>
      <c r="N179" s="13"/>
      <c r="O179" s="8"/>
      <c r="P179" s="13"/>
      <c r="Q179" s="8"/>
      <c r="R179" s="8"/>
      <c r="S179" s="10"/>
      <c r="T179" s="8"/>
      <c r="U179" s="10"/>
      <c r="V179" s="8"/>
    </row>
    <row r="180" spans="1:22">
      <c r="A180" s="8"/>
      <c r="B180" s="8"/>
      <c r="C180" s="8"/>
      <c r="D180" s="8"/>
      <c r="E180" s="8"/>
      <c r="F180" s="8"/>
      <c r="G180" s="8"/>
      <c r="H180" s="8"/>
      <c r="I180" s="8"/>
      <c r="J180" s="13"/>
      <c r="K180" s="13"/>
      <c r="L180" s="13"/>
      <c r="M180" s="13"/>
      <c r="N180" s="13"/>
      <c r="O180" s="8"/>
      <c r="P180" s="13"/>
      <c r="Q180" s="8"/>
      <c r="R180" s="8"/>
      <c r="S180" s="10"/>
      <c r="T180" s="8"/>
      <c r="U180" s="10"/>
      <c r="V180" s="8"/>
    </row>
    <row r="181" spans="1:22">
      <c r="A181" s="8"/>
      <c r="B181" s="8"/>
      <c r="C181" s="8"/>
      <c r="D181" s="8"/>
      <c r="E181" s="8"/>
      <c r="F181" s="8"/>
      <c r="G181" s="8"/>
      <c r="H181" s="8"/>
      <c r="I181" s="8"/>
      <c r="J181" s="13"/>
      <c r="K181" s="13"/>
      <c r="L181" s="13"/>
      <c r="M181" s="13"/>
      <c r="N181" s="13"/>
      <c r="O181" s="8"/>
      <c r="P181" s="13"/>
      <c r="Q181" s="8"/>
      <c r="R181" s="8"/>
      <c r="S181" s="10"/>
      <c r="T181" s="8"/>
      <c r="U181" s="10"/>
      <c r="V181" s="8"/>
    </row>
    <row r="182" spans="1:22">
      <c r="A182" s="8"/>
      <c r="B182" s="8"/>
      <c r="C182" s="8"/>
      <c r="D182" s="8"/>
      <c r="E182" s="8"/>
      <c r="F182" s="8"/>
      <c r="G182" s="8"/>
      <c r="H182" s="8"/>
      <c r="I182" s="8"/>
      <c r="J182" s="13"/>
      <c r="K182" s="13"/>
      <c r="L182" s="13"/>
      <c r="M182" s="13"/>
      <c r="N182" s="13"/>
      <c r="O182" s="8"/>
      <c r="P182" s="13"/>
      <c r="Q182" s="8"/>
      <c r="R182" s="8"/>
      <c r="S182" s="10"/>
      <c r="T182" s="8"/>
      <c r="U182" s="10"/>
      <c r="V182" s="8"/>
    </row>
    <row r="183" spans="1:22">
      <c r="A183" s="8"/>
      <c r="B183" s="8"/>
      <c r="C183" s="8"/>
      <c r="D183" s="8"/>
      <c r="E183" s="8"/>
      <c r="F183" s="8"/>
      <c r="G183" s="8"/>
      <c r="H183" s="8"/>
      <c r="I183" s="8"/>
      <c r="J183" s="13"/>
      <c r="K183" s="13"/>
      <c r="L183" s="13"/>
      <c r="M183" s="13"/>
      <c r="N183" s="13"/>
      <c r="O183" s="8"/>
      <c r="P183" s="13"/>
      <c r="Q183" s="8"/>
      <c r="R183" s="8"/>
      <c r="S183" s="10"/>
      <c r="T183" s="8"/>
      <c r="U183" s="10"/>
      <c r="V183" s="8"/>
    </row>
    <row r="184" spans="1:22">
      <c r="A184" s="8"/>
      <c r="B184" s="8"/>
      <c r="C184" s="8"/>
      <c r="D184" s="8"/>
      <c r="E184" s="8"/>
      <c r="F184" s="8"/>
      <c r="G184" s="8"/>
      <c r="H184" s="8"/>
      <c r="I184" s="8"/>
      <c r="J184" s="13"/>
      <c r="K184" s="13"/>
      <c r="L184" s="13"/>
      <c r="M184" s="13"/>
      <c r="N184" s="13"/>
      <c r="O184" s="8"/>
      <c r="P184" s="13"/>
      <c r="Q184" s="8"/>
      <c r="R184" s="8"/>
      <c r="S184" s="10"/>
      <c r="T184" s="8"/>
      <c r="U184" s="10"/>
      <c r="V184" s="8"/>
    </row>
    <row r="185" spans="1:22">
      <c r="A185" s="8"/>
      <c r="B185" s="8"/>
      <c r="C185" s="8"/>
      <c r="D185" s="8"/>
      <c r="E185" s="8"/>
      <c r="F185" s="8"/>
      <c r="G185" s="8"/>
      <c r="H185" s="8"/>
      <c r="I185" s="8"/>
      <c r="J185" s="13"/>
      <c r="K185" s="13"/>
      <c r="L185" s="13"/>
      <c r="M185" s="13"/>
      <c r="N185" s="13"/>
      <c r="O185" s="8"/>
      <c r="P185" s="13"/>
      <c r="Q185" s="8"/>
      <c r="R185" s="8"/>
      <c r="S185" s="10"/>
      <c r="T185" s="8"/>
      <c r="U185" s="10"/>
      <c r="V185" s="8"/>
    </row>
    <row r="186" spans="1:22">
      <c r="A186" s="8"/>
      <c r="B186" s="8"/>
      <c r="C186" s="8"/>
      <c r="D186" s="8"/>
      <c r="E186" s="8"/>
      <c r="F186" s="8"/>
      <c r="G186" s="8"/>
      <c r="H186" s="8"/>
      <c r="I186" s="8"/>
      <c r="J186" s="13"/>
      <c r="K186" s="13"/>
      <c r="L186" s="13"/>
      <c r="M186" s="13"/>
      <c r="N186" s="13"/>
      <c r="O186" s="8"/>
      <c r="P186" s="13"/>
      <c r="Q186" s="8"/>
      <c r="R186" s="8"/>
      <c r="S186" s="10"/>
      <c r="T186" s="8"/>
      <c r="U186" s="10"/>
      <c r="V186" s="8"/>
    </row>
    <row r="187" spans="1:22">
      <c r="A187" s="8"/>
      <c r="B187" s="8"/>
      <c r="C187" s="8"/>
      <c r="D187" s="8"/>
      <c r="E187" s="8"/>
      <c r="F187" s="8"/>
      <c r="G187" s="8"/>
      <c r="H187" s="8"/>
      <c r="I187" s="8"/>
      <c r="J187" s="13"/>
      <c r="K187" s="13"/>
      <c r="L187" s="13"/>
      <c r="M187" s="13"/>
      <c r="N187" s="13"/>
      <c r="O187" s="8"/>
      <c r="P187" s="13"/>
      <c r="Q187" s="8"/>
      <c r="R187" s="8"/>
      <c r="S187" s="10"/>
      <c r="T187" s="8"/>
      <c r="U187" s="10"/>
      <c r="V187" s="8"/>
    </row>
    <row r="188" spans="1:22">
      <c r="A188" s="8"/>
      <c r="B188" s="8"/>
      <c r="C188" s="8"/>
      <c r="D188" s="8"/>
      <c r="E188" s="8"/>
      <c r="F188" s="8"/>
      <c r="G188" s="8"/>
      <c r="H188" s="8"/>
      <c r="I188" s="8"/>
      <c r="J188" s="13"/>
      <c r="K188" s="13"/>
      <c r="L188" s="13"/>
      <c r="M188" s="13"/>
      <c r="N188" s="13"/>
      <c r="O188" s="8"/>
      <c r="P188" s="13"/>
      <c r="Q188" s="8"/>
      <c r="R188" s="8"/>
      <c r="S188" s="10"/>
      <c r="T188" s="8"/>
      <c r="U188" s="10"/>
      <c r="V188" s="8"/>
    </row>
    <row r="189" spans="1:22">
      <c r="A189" s="8"/>
      <c r="B189" s="8"/>
      <c r="C189" s="8"/>
      <c r="D189" s="8"/>
      <c r="E189" s="8"/>
      <c r="F189" s="8"/>
      <c r="G189" s="8"/>
      <c r="H189" s="8"/>
      <c r="I189" s="8"/>
      <c r="J189" s="13"/>
      <c r="K189" s="13"/>
      <c r="L189" s="13"/>
      <c r="M189" s="13"/>
      <c r="N189" s="13"/>
      <c r="O189" s="8"/>
      <c r="P189" s="13"/>
      <c r="Q189" s="8"/>
      <c r="R189" s="8"/>
      <c r="S189" s="10"/>
      <c r="T189" s="8"/>
      <c r="U189" s="10"/>
      <c r="V189" s="8"/>
    </row>
    <row r="190" spans="1:22">
      <c r="A190" s="8"/>
      <c r="B190" s="8"/>
      <c r="C190" s="8"/>
      <c r="D190" s="8"/>
      <c r="E190" s="8"/>
      <c r="F190" s="8"/>
      <c r="G190" s="8"/>
      <c r="H190" s="8"/>
      <c r="I190" s="8"/>
      <c r="J190" s="13"/>
      <c r="K190" s="13"/>
      <c r="L190" s="13"/>
      <c r="M190" s="13"/>
      <c r="N190" s="13"/>
      <c r="O190" s="8"/>
      <c r="P190" s="13"/>
      <c r="Q190" s="8"/>
      <c r="R190" s="8"/>
      <c r="S190" s="10"/>
      <c r="T190" s="8"/>
      <c r="U190" s="10"/>
      <c r="V190" s="8"/>
    </row>
    <row r="191" spans="1:22">
      <c r="A191" s="8"/>
      <c r="B191" s="8"/>
      <c r="C191" s="8"/>
      <c r="D191" s="8"/>
      <c r="E191" s="8"/>
      <c r="F191" s="8"/>
      <c r="G191" s="8"/>
      <c r="H191" s="8"/>
      <c r="I191" s="8"/>
      <c r="J191" s="13"/>
      <c r="K191" s="13"/>
      <c r="L191" s="13"/>
      <c r="M191" s="13"/>
      <c r="N191" s="13"/>
      <c r="O191" s="8"/>
      <c r="P191" s="13"/>
      <c r="Q191" s="8"/>
      <c r="R191" s="8"/>
      <c r="S191" s="10"/>
      <c r="T191" s="8"/>
      <c r="U191" s="10"/>
      <c r="V191" s="8"/>
    </row>
    <row r="192" spans="1:22">
      <c r="A192" s="8"/>
      <c r="B192" s="8"/>
      <c r="C192" s="8"/>
      <c r="D192" s="8"/>
      <c r="E192" s="8"/>
      <c r="F192" s="8"/>
      <c r="G192" s="8"/>
      <c r="H192" s="8"/>
      <c r="I192" s="8"/>
      <c r="J192" s="13"/>
      <c r="K192" s="13"/>
      <c r="L192" s="13"/>
      <c r="M192" s="13"/>
      <c r="N192" s="13"/>
      <c r="O192" s="8"/>
      <c r="P192" s="13"/>
      <c r="Q192" s="8"/>
      <c r="R192" s="8"/>
      <c r="S192" s="10"/>
      <c r="T192" s="8"/>
      <c r="U192" s="10"/>
      <c r="V192" s="8"/>
    </row>
    <row r="193" spans="1:22">
      <c r="A193" s="8"/>
      <c r="B193" s="8"/>
      <c r="C193" s="8"/>
      <c r="D193" s="8"/>
      <c r="E193" s="8"/>
      <c r="F193" s="8"/>
      <c r="G193" s="8"/>
      <c r="H193" s="8"/>
      <c r="I193" s="8"/>
      <c r="J193" s="13"/>
      <c r="K193" s="13"/>
      <c r="L193" s="13"/>
      <c r="M193" s="13"/>
      <c r="N193" s="13"/>
      <c r="O193" s="8"/>
      <c r="P193" s="13"/>
      <c r="Q193" s="8"/>
      <c r="R193" s="8"/>
      <c r="S193" s="10"/>
      <c r="T193" s="8"/>
      <c r="U193" s="10"/>
      <c r="V193" s="8"/>
    </row>
    <row r="194" spans="1:22">
      <c r="A194" s="8"/>
      <c r="B194" s="8"/>
      <c r="C194" s="8"/>
      <c r="D194" s="8"/>
      <c r="E194" s="8"/>
      <c r="F194" s="8"/>
      <c r="G194" s="8"/>
      <c r="H194" s="8"/>
      <c r="I194" s="8"/>
      <c r="J194" s="13"/>
      <c r="K194" s="13"/>
      <c r="L194" s="13"/>
      <c r="M194" s="13"/>
      <c r="N194" s="13"/>
      <c r="O194" s="8"/>
      <c r="P194" s="13"/>
      <c r="Q194" s="8"/>
      <c r="R194" s="8"/>
      <c r="S194" s="10"/>
      <c r="T194" s="8"/>
      <c r="U194" s="10"/>
      <c r="V194" s="8"/>
    </row>
    <row r="195" spans="1:22">
      <c r="A195" s="8"/>
      <c r="B195" s="8"/>
      <c r="C195" s="8"/>
      <c r="D195" s="8"/>
      <c r="E195" s="8"/>
      <c r="F195" s="8"/>
      <c r="G195" s="8"/>
      <c r="H195" s="8"/>
      <c r="I195" s="8"/>
      <c r="J195" s="13"/>
      <c r="K195" s="13"/>
      <c r="L195" s="13"/>
      <c r="M195" s="13"/>
      <c r="N195" s="13"/>
      <c r="O195" s="8"/>
      <c r="P195" s="13"/>
      <c r="Q195" s="8"/>
      <c r="R195" s="8"/>
      <c r="S195" s="10"/>
      <c r="T195" s="8"/>
      <c r="U195" s="10"/>
      <c r="V195" s="8"/>
    </row>
    <row r="196" spans="1:22">
      <c r="A196" s="8"/>
      <c r="B196" s="8"/>
      <c r="C196" s="8"/>
      <c r="D196" s="8"/>
      <c r="E196" s="8"/>
      <c r="F196" s="8"/>
      <c r="G196" s="8"/>
      <c r="H196" s="8"/>
      <c r="I196" s="8"/>
      <c r="J196" s="13"/>
      <c r="K196" s="13"/>
      <c r="L196" s="13"/>
      <c r="M196" s="13"/>
      <c r="N196" s="13"/>
      <c r="O196" s="8"/>
      <c r="P196" s="13"/>
      <c r="Q196" s="8"/>
      <c r="R196" s="8"/>
      <c r="S196" s="10"/>
      <c r="T196" s="8"/>
      <c r="U196" s="10"/>
      <c r="V196" s="8"/>
    </row>
    <row r="197" spans="1:22">
      <c r="A197" s="8"/>
      <c r="B197" s="8"/>
      <c r="C197" s="8"/>
      <c r="D197" s="8"/>
      <c r="E197" s="8"/>
      <c r="F197" s="8"/>
      <c r="G197" s="8"/>
      <c r="H197" s="8"/>
      <c r="I197" s="8"/>
      <c r="J197" s="13"/>
      <c r="K197" s="13"/>
      <c r="L197" s="13"/>
      <c r="M197" s="13"/>
      <c r="N197" s="13"/>
      <c r="O197" s="8"/>
      <c r="P197" s="13"/>
      <c r="Q197" s="8"/>
      <c r="R197" s="8"/>
      <c r="S197" s="10"/>
      <c r="T197" s="8"/>
      <c r="U197" s="10"/>
      <c r="V197" s="8"/>
    </row>
    <row r="198" spans="1:22">
      <c r="A198" s="8"/>
      <c r="B198" s="8"/>
      <c r="C198" s="8"/>
      <c r="D198" s="8"/>
      <c r="E198" s="8"/>
      <c r="F198" s="8"/>
      <c r="G198" s="8"/>
      <c r="H198" s="8"/>
      <c r="I198" s="8"/>
      <c r="J198" s="13"/>
      <c r="K198" s="13"/>
      <c r="L198" s="13"/>
      <c r="M198" s="13"/>
      <c r="N198" s="13"/>
      <c r="O198" s="8"/>
      <c r="P198" s="13"/>
      <c r="Q198" s="8"/>
      <c r="R198" s="8"/>
      <c r="S198" s="10"/>
      <c r="T198" s="8"/>
      <c r="U198" s="10"/>
      <c r="V198" s="8"/>
    </row>
    <row r="199" spans="1:22">
      <c r="A199" s="8"/>
      <c r="B199" s="8"/>
      <c r="C199" s="8"/>
      <c r="D199" s="8"/>
      <c r="E199" s="8"/>
      <c r="F199" s="8"/>
      <c r="G199" s="8"/>
      <c r="H199" s="8"/>
      <c r="I199" s="8"/>
      <c r="J199" s="13"/>
      <c r="K199" s="13"/>
      <c r="L199" s="13"/>
      <c r="M199" s="13"/>
      <c r="N199" s="13"/>
      <c r="O199" s="8"/>
      <c r="P199" s="13"/>
      <c r="Q199" s="8"/>
      <c r="R199" s="8"/>
      <c r="S199" s="10"/>
      <c r="T199" s="8"/>
      <c r="U199" s="10"/>
      <c r="V199" s="8"/>
    </row>
    <row r="200" spans="1:22">
      <c r="A200" s="8"/>
      <c r="B200" s="8"/>
      <c r="C200" s="8"/>
      <c r="D200" s="8"/>
      <c r="E200" s="8"/>
      <c r="F200" s="8"/>
      <c r="G200" s="8"/>
      <c r="H200" s="8"/>
      <c r="I200" s="8"/>
      <c r="J200" s="13"/>
      <c r="K200" s="13"/>
      <c r="L200" s="13"/>
      <c r="M200" s="13"/>
      <c r="N200" s="13"/>
      <c r="O200" s="8"/>
      <c r="P200" s="13"/>
      <c r="Q200" s="8"/>
      <c r="R200" s="8"/>
      <c r="S200" s="10"/>
      <c r="T200" s="8"/>
      <c r="U200" s="10"/>
      <c r="V200" s="8"/>
    </row>
    <row r="201" spans="1:22">
      <c r="A201" s="8"/>
      <c r="B201" s="8"/>
      <c r="C201" s="8"/>
      <c r="D201" s="8"/>
      <c r="E201" s="8"/>
      <c r="F201" s="8"/>
      <c r="G201" s="8"/>
      <c r="H201" s="8"/>
      <c r="I201" s="8"/>
      <c r="J201" s="13"/>
      <c r="K201" s="13"/>
      <c r="L201" s="13"/>
      <c r="M201" s="13"/>
      <c r="N201" s="13"/>
      <c r="O201" s="8"/>
      <c r="P201" s="13"/>
      <c r="Q201" s="8"/>
      <c r="R201" s="8"/>
      <c r="S201" s="10"/>
      <c r="T201" s="8"/>
      <c r="U201" s="10"/>
      <c r="V201" s="8"/>
    </row>
    <row r="202" spans="1:22">
      <c r="A202" s="8"/>
      <c r="B202" s="8"/>
      <c r="C202" s="8"/>
      <c r="D202" s="8"/>
      <c r="E202" s="8"/>
      <c r="F202" s="8"/>
      <c r="G202" s="8"/>
      <c r="H202" s="8"/>
      <c r="I202" s="8"/>
      <c r="J202" s="13"/>
      <c r="K202" s="13"/>
      <c r="L202" s="13"/>
      <c r="M202" s="13"/>
      <c r="N202" s="13"/>
      <c r="O202" s="8"/>
      <c r="P202" s="13"/>
      <c r="Q202" s="8"/>
      <c r="R202" s="8"/>
      <c r="S202" s="10"/>
      <c r="T202" s="8"/>
      <c r="U202" s="10"/>
      <c r="V202" s="8"/>
    </row>
    <row r="203" spans="1:22">
      <c r="A203" s="8"/>
      <c r="B203" s="8"/>
      <c r="C203" s="8"/>
      <c r="D203" s="8"/>
      <c r="E203" s="8"/>
      <c r="F203" s="8"/>
      <c r="G203" s="8"/>
      <c r="H203" s="8"/>
      <c r="I203" s="8"/>
      <c r="J203" s="13"/>
      <c r="K203" s="13"/>
      <c r="L203" s="13"/>
      <c r="M203" s="13"/>
      <c r="N203" s="13"/>
      <c r="O203" s="8"/>
      <c r="P203" s="13"/>
      <c r="Q203" s="8"/>
      <c r="R203" s="8"/>
      <c r="S203" s="10"/>
      <c r="T203" s="8"/>
      <c r="U203" s="10"/>
      <c r="V203" s="8"/>
    </row>
    <row r="204" spans="1:22">
      <c r="A204" s="8"/>
      <c r="B204" s="8"/>
      <c r="C204" s="8"/>
      <c r="D204" s="8"/>
      <c r="E204" s="8"/>
      <c r="F204" s="8"/>
      <c r="G204" s="8"/>
      <c r="H204" s="8"/>
      <c r="I204" s="8"/>
      <c r="J204" s="13"/>
      <c r="K204" s="13"/>
      <c r="L204" s="13"/>
      <c r="M204" s="13"/>
      <c r="N204" s="13"/>
      <c r="O204" s="8"/>
      <c r="P204" s="13"/>
      <c r="Q204" s="8"/>
      <c r="R204" s="8"/>
      <c r="S204" s="10"/>
      <c r="T204" s="8"/>
      <c r="U204" s="10"/>
      <c r="V204" s="8"/>
    </row>
    <row r="205" spans="1:22">
      <c r="A205" s="8"/>
      <c r="B205" s="8"/>
      <c r="C205" s="8"/>
      <c r="D205" s="8"/>
      <c r="E205" s="8"/>
      <c r="F205" s="8"/>
      <c r="G205" s="8"/>
      <c r="H205" s="8"/>
      <c r="I205" s="8"/>
      <c r="J205" s="13"/>
      <c r="K205" s="13"/>
      <c r="L205" s="13"/>
      <c r="M205" s="13"/>
      <c r="N205" s="13"/>
      <c r="O205" s="8"/>
      <c r="P205" s="13"/>
      <c r="Q205" s="8"/>
      <c r="R205" s="8"/>
      <c r="S205" s="10"/>
      <c r="T205" s="8"/>
      <c r="U205" s="10"/>
      <c r="V205" s="8"/>
    </row>
    <row r="206" spans="1:22">
      <c r="A206" s="8"/>
      <c r="B206" s="8"/>
      <c r="C206" s="8"/>
      <c r="D206" s="8"/>
      <c r="E206" s="8"/>
      <c r="F206" s="8"/>
      <c r="G206" s="8"/>
      <c r="H206" s="8"/>
      <c r="I206" s="8"/>
      <c r="J206" s="13"/>
      <c r="K206" s="13"/>
      <c r="L206" s="13"/>
      <c r="M206" s="13"/>
      <c r="N206" s="13"/>
      <c r="O206" s="8"/>
      <c r="P206" s="13"/>
      <c r="Q206" s="8"/>
      <c r="R206" s="8"/>
      <c r="S206" s="10"/>
      <c r="T206" s="8"/>
      <c r="U206" s="10"/>
      <c r="V206" s="8"/>
    </row>
    <row r="207" spans="1:22">
      <c r="A207" s="8"/>
      <c r="B207" s="8"/>
      <c r="C207" s="8"/>
      <c r="D207" s="8"/>
      <c r="E207" s="8"/>
      <c r="F207" s="8"/>
      <c r="G207" s="8"/>
      <c r="H207" s="8"/>
      <c r="I207" s="8"/>
      <c r="J207" s="13"/>
      <c r="K207" s="13"/>
      <c r="L207" s="13"/>
      <c r="M207" s="13"/>
      <c r="N207" s="13"/>
      <c r="O207" s="8"/>
      <c r="P207" s="13"/>
      <c r="Q207" s="8"/>
      <c r="R207" s="8"/>
      <c r="S207" s="10"/>
      <c r="T207" s="8"/>
      <c r="U207" s="10"/>
      <c r="V207" s="8"/>
    </row>
    <row r="208" spans="1:22">
      <c r="A208" s="8"/>
      <c r="B208" s="8"/>
      <c r="C208" s="8"/>
      <c r="D208" s="8"/>
      <c r="E208" s="8"/>
      <c r="F208" s="8"/>
      <c r="G208" s="8"/>
      <c r="H208" s="8"/>
      <c r="I208" s="8"/>
      <c r="J208" s="13"/>
      <c r="K208" s="13"/>
      <c r="L208" s="13"/>
      <c r="M208" s="13"/>
      <c r="N208" s="13"/>
      <c r="O208" s="8"/>
      <c r="P208" s="13"/>
      <c r="Q208" s="8"/>
      <c r="R208" s="8"/>
      <c r="S208" s="10"/>
      <c r="T208" s="8"/>
      <c r="U208" s="10"/>
      <c r="V208" s="8"/>
    </row>
    <row r="209" spans="1:22">
      <c r="A209" s="8"/>
      <c r="B209" s="8"/>
      <c r="C209" s="8"/>
      <c r="D209" s="8"/>
      <c r="E209" s="8"/>
      <c r="F209" s="8"/>
      <c r="G209" s="8"/>
      <c r="H209" s="8"/>
      <c r="I209" s="8"/>
      <c r="J209" s="13"/>
      <c r="K209" s="13"/>
      <c r="L209" s="13"/>
      <c r="M209" s="13"/>
      <c r="N209" s="13"/>
      <c r="O209" s="8"/>
      <c r="P209" s="13"/>
      <c r="Q209" s="8"/>
      <c r="R209" s="8"/>
      <c r="S209" s="10"/>
      <c r="T209" s="8"/>
      <c r="U209" s="10"/>
      <c r="V209" s="8"/>
    </row>
    <row r="210" spans="1:22">
      <c r="A210" s="8"/>
      <c r="B210" s="8"/>
      <c r="C210" s="8"/>
      <c r="D210" s="8"/>
      <c r="E210" s="8"/>
      <c r="F210" s="8"/>
      <c r="G210" s="8"/>
      <c r="H210" s="8"/>
      <c r="I210" s="8"/>
      <c r="J210" s="13"/>
      <c r="K210" s="13"/>
      <c r="L210" s="13"/>
      <c r="M210" s="13"/>
      <c r="N210" s="13"/>
      <c r="O210" s="8"/>
      <c r="P210" s="13"/>
      <c r="Q210" s="8"/>
      <c r="R210" s="8"/>
      <c r="S210" s="10"/>
      <c r="T210" s="8"/>
      <c r="U210" s="10"/>
      <c r="V210" s="8"/>
    </row>
    <row r="211" spans="1:22">
      <c r="A211" s="8"/>
      <c r="B211" s="8"/>
      <c r="C211" s="8"/>
      <c r="D211" s="8"/>
      <c r="E211" s="8"/>
      <c r="F211" s="8"/>
      <c r="G211" s="8"/>
      <c r="H211" s="8"/>
      <c r="I211" s="8"/>
      <c r="J211" s="13"/>
      <c r="K211" s="13"/>
      <c r="L211" s="13"/>
      <c r="M211" s="13"/>
      <c r="N211" s="13"/>
      <c r="O211" s="8"/>
      <c r="P211" s="13"/>
      <c r="Q211" s="8"/>
      <c r="R211" s="8"/>
      <c r="S211" s="10"/>
      <c r="T211" s="8"/>
      <c r="U211" s="10"/>
      <c r="V211" s="8"/>
    </row>
    <row r="212" spans="1:22">
      <c r="A212" s="8"/>
      <c r="B212" s="8"/>
      <c r="C212" s="8"/>
      <c r="D212" s="8"/>
      <c r="E212" s="8"/>
      <c r="F212" s="8"/>
      <c r="G212" s="8"/>
      <c r="H212" s="8"/>
      <c r="I212" s="8"/>
      <c r="J212" s="13"/>
      <c r="K212" s="13"/>
      <c r="L212" s="13"/>
      <c r="M212" s="13"/>
      <c r="N212" s="13"/>
      <c r="O212" s="8"/>
      <c r="P212" s="13"/>
      <c r="Q212" s="8"/>
      <c r="R212" s="8"/>
      <c r="S212" s="10"/>
      <c r="T212" s="8"/>
      <c r="U212" s="10"/>
      <c r="V212" s="8"/>
    </row>
    <row r="213" spans="1:22">
      <c r="A213" s="8"/>
      <c r="B213" s="8"/>
      <c r="C213" s="8"/>
      <c r="D213" s="8"/>
      <c r="E213" s="8"/>
      <c r="F213" s="8"/>
      <c r="G213" s="8"/>
      <c r="H213" s="8"/>
      <c r="I213" s="8"/>
      <c r="J213" s="13"/>
      <c r="K213" s="13"/>
      <c r="L213" s="13"/>
      <c r="M213" s="13"/>
      <c r="N213" s="13"/>
      <c r="O213" s="8"/>
      <c r="P213" s="13"/>
      <c r="Q213" s="8"/>
      <c r="R213" s="8"/>
      <c r="S213" s="10"/>
      <c r="T213" s="8"/>
      <c r="U213" s="10"/>
      <c r="V213" s="8"/>
    </row>
    <row r="214" spans="1:22">
      <c r="A214" s="8"/>
      <c r="B214" s="8"/>
      <c r="C214" s="8"/>
      <c r="D214" s="8"/>
      <c r="E214" s="8"/>
      <c r="F214" s="8"/>
      <c r="G214" s="8"/>
      <c r="H214" s="8"/>
      <c r="I214" s="8"/>
      <c r="J214" s="13"/>
      <c r="K214" s="13"/>
      <c r="L214" s="13"/>
      <c r="M214" s="13"/>
      <c r="N214" s="13"/>
      <c r="O214" s="8"/>
      <c r="P214" s="13"/>
      <c r="Q214" s="8"/>
      <c r="R214" s="8"/>
      <c r="S214" s="10"/>
      <c r="T214" s="8"/>
      <c r="U214" s="10"/>
      <c r="V214" s="8"/>
    </row>
    <row r="215" spans="1:22">
      <c r="A215" s="8"/>
      <c r="B215" s="8"/>
      <c r="C215" s="8"/>
      <c r="D215" s="8"/>
      <c r="E215" s="8"/>
      <c r="F215" s="8"/>
      <c r="G215" s="8"/>
      <c r="H215" s="8"/>
      <c r="I215" s="8"/>
      <c r="J215" s="13"/>
      <c r="K215" s="13"/>
      <c r="L215" s="13"/>
      <c r="M215" s="13"/>
      <c r="N215" s="13"/>
      <c r="O215" s="8"/>
      <c r="P215" s="13"/>
      <c r="Q215" s="8"/>
      <c r="R215" s="8"/>
      <c r="S215" s="10"/>
      <c r="T215" s="8"/>
      <c r="U215" s="10"/>
      <c r="V215" s="8"/>
    </row>
    <row r="216" spans="1:22">
      <c r="A216" s="8"/>
      <c r="B216" s="8"/>
      <c r="C216" s="8"/>
      <c r="D216" s="8"/>
      <c r="E216" s="8"/>
      <c r="F216" s="8"/>
      <c r="G216" s="8"/>
      <c r="H216" s="8"/>
      <c r="I216" s="8"/>
      <c r="J216" s="13"/>
      <c r="K216" s="13"/>
      <c r="L216" s="13"/>
      <c r="M216" s="13"/>
      <c r="N216" s="13"/>
      <c r="O216" s="8"/>
      <c r="P216" s="13"/>
      <c r="Q216" s="8"/>
      <c r="R216" s="8"/>
      <c r="S216" s="10"/>
      <c r="T216" s="8"/>
      <c r="U216" s="10"/>
      <c r="V216" s="8"/>
    </row>
    <row r="217" spans="1:22">
      <c r="A217" s="8"/>
      <c r="B217" s="8"/>
      <c r="C217" s="8"/>
      <c r="D217" s="8"/>
      <c r="E217" s="8"/>
      <c r="F217" s="8"/>
      <c r="G217" s="8"/>
      <c r="H217" s="8"/>
      <c r="I217" s="8"/>
      <c r="J217" s="13"/>
      <c r="K217" s="13"/>
      <c r="L217" s="13"/>
      <c r="M217" s="13"/>
      <c r="N217" s="13"/>
      <c r="O217" s="8"/>
      <c r="P217" s="13"/>
      <c r="Q217" s="8"/>
      <c r="R217" s="8"/>
      <c r="S217" s="10"/>
      <c r="T217" s="8"/>
      <c r="U217" s="10"/>
      <c r="V217" s="8"/>
    </row>
    <row r="218" spans="1:22">
      <c r="A218" s="8"/>
      <c r="B218" s="8"/>
      <c r="C218" s="8"/>
      <c r="D218" s="8"/>
      <c r="E218" s="8"/>
      <c r="F218" s="8"/>
      <c r="G218" s="8"/>
      <c r="H218" s="8"/>
      <c r="I218" s="8"/>
      <c r="J218" s="13"/>
      <c r="K218" s="13"/>
      <c r="L218" s="13"/>
      <c r="M218" s="13"/>
      <c r="N218" s="13"/>
      <c r="O218" s="8"/>
      <c r="P218" s="13"/>
      <c r="Q218" s="8"/>
      <c r="R218" s="8"/>
      <c r="S218" s="10"/>
      <c r="T218" s="8"/>
      <c r="U218" s="10"/>
      <c r="V218" s="8"/>
    </row>
    <row r="219" spans="1:22">
      <c r="A219" s="8"/>
      <c r="B219" s="8"/>
      <c r="C219" s="8"/>
      <c r="D219" s="8"/>
      <c r="E219" s="8"/>
      <c r="F219" s="8"/>
      <c r="G219" s="8"/>
      <c r="H219" s="8"/>
      <c r="I219" s="8"/>
      <c r="J219" s="13"/>
      <c r="K219" s="13"/>
      <c r="L219" s="13"/>
      <c r="M219" s="13"/>
      <c r="N219" s="13"/>
      <c r="O219" s="8"/>
      <c r="P219" s="13"/>
      <c r="Q219" s="8"/>
      <c r="R219" s="8"/>
      <c r="S219" s="10"/>
      <c r="T219" s="8"/>
      <c r="U219" s="10"/>
      <c r="V219" s="8"/>
    </row>
    <row r="220" spans="1:22">
      <c r="A220" s="8"/>
      <c r="B220" s="8"/>
      <c r="C220" s="8"/>
      <c r="D220" s="8"/>
      <c r="E220" s="8"/>
      <c r="F220" s="8"/>
      <c r="G220" s="8"/>
      <c r="H220" s="8"/>
      <c r="I220" s="8"/>
      <c r="J220" s="13"/>
      <c r="K220" s="13"/>
      <c r="L220" s="13"/>
      <c r="M220" s="13"/>
      <c r="N220" s="13"/>
      <c r="O220" s="8"/>
      <c r="P220" s="13"/>
      <c r="Q220" s="8"/>
      <c r="R220" s="8"/>
      <c r="S220" s="10"/>
      <c r="T220" s="8"/>
      <c r="U220" s="10"/>
      <c r="V220" s="8"/>
    </row>
    <row r="221" spans="1:22">
      <c r="A221" s="8"/>
      <c r="B221" s="8"/>
      <c r="C221" s="8"/>
      <c r="D221" s="8"/>
      <c r="E221" s="8"/>
      <c r="F221" s="8"/>
      <c r="G221" s="8"/>
      <c r="H221" s="8"/>
      <c r="I221" s="8"/>
      <c r="J221" s="13"/>
      <c r="K221" s="13"/>
      <c r="L221" s="13"/>
      <c r="M221" s="13"/>
      <c r="N221" s="13"/>
      <c r="O221" s="8"/>
      <c r="P221" s="13"/>
      <c r="Q221" s="8"/>
      <c r="R221" s="8"/>
      <c r="S221" s="10"/>
      <c r="T221" s="8"/>
      <c r="U221" s="10"/>
      <c r="V221" s="8"/>
    </row>
    <row r="222" spans="1:22">
      <c r="A222" s="8"/>
      <c r="B222" s="8"/>
      <c r="C222" s="8"/>
      <c r="D222" s="8"/>
      <c r="E222" s="8"/>
      <c r="F222" s="8"/>
      <c r="G222" s="8"/>
      <c r="H222" s="8"/>
      <c r="I222" s="8"/>
      <c r="J222" s="13"/>
      <c r="K222" s="13"/>
      <c r="L222" s="13"/>
      <c r="M222" s="13"/>
      <c r="N222" s="13"/>
      <c r="O222" s="8"/>
      <c r="P222" s="13"/>
      <c r="Q222" s="8"/>
      <c r="R222" s="8"/>
      <c r="S222" s="10"/>
      <c r="T222" s="8"/>
      <c r="U222" s="10"/>
      <c r="V222" s="8"/>
    </row>
    <row r="223" spans="1:22">
      <c r="A223" s="8"/>
      <c r="B223" s="8"/>
      <c r="C223" s="8"/>
      <c r="D223" s="8"/>
      <c r="E223" s="8"/>
      <c r="F223" s="8"/>
      <c r="G223" s="8"/>
      <c r="H223" s="8"/>
      <c r="I223" s="8"/>
      <c r="J223" s="13"/>
      <c r="K223" s="13"/>
      <c r="L223" s="13"/>
      <c r="M223" s="13"/>
      <c r="N223" s="13"/>
      <c r="O223" s="8"/>
      <c r="P223" s="13"/>
      <c r="Q223" s="8"/>
      <c r="R223" s="8"/>
      <c r="S223" s="10"/>
      <c r="T223" s="8"/>
      <c r="U223" s="10"/>
      <c r="V223" s="8"/>
    </row>
    <row r="224" spans="1:22">
      <c r="A224" s="8"/>
      <c r="B224" s="8"/>
      <c r="C224" s="8"/>
      <c r="D224" s="8"/>
      <c r="E224" s="8"/>
      <c r="F224" s="8"/>
      <c r="G224" s="8"/>
      <c r="H224" s="8"/>
      <c r="I224" s="8"/>
      <c r="J224" s="13"/>
      <c r="K224" s="13"/>
      <c r="L224" s="13"/>
      <c r="M224" s="13"/>
      <c r="N224" s="13"/>
      <c r="O224" s="8"/>
      <c r="P224" s="13"/>
      <c r="Q224" s="8"/>
      <c r="R224" s="8"/>
      <c r="S224" s="10"/>
      <c r="T224" s="8"/>
      <c r="U224" s="10"/>
      <c r="V224" s="8"/>
    </row>
    <row r="225" spans="1:22">
      <c r="A225" s="8"/>
      <c r="B225" s="8"/>
      <c r="C225" s="8"/>
      <c r="D225" s="8"/>
      <c r="E225" s="8"/>
      <c r="F225" s="8"/>
      <c r="G225" s="8"/>
      <c r="H225" s="8"/>
      <c r="I225" s="8"/>
      <c r="J225" s="13"/>
      <c r="K225" s="13"/>
      <c r="L225" s="13"/>
      <c r="M225" s="13"/>
      <c r="N225" s="13"/>
      <c r="O225" s="8"/>
      <c r="P225" s="13"/>
      <c r="Q225" s="8"/>
      <c r="R225" s="8"/>
      <c r="S225" s="10"/>
      <c r="T225" s="8"/>
      <c r="U225" s="10"/>
      <c r="V225" s="8"/>
    </row>
    <row r="226" spans="1:22">
      <c r="A226" s="8"/>
      <c r="B226" s="8"/>
      <c r="C226" s="8"/>
      <c r="D226" s="8"/>
      <c r="E226" s="8"/>
      <c r="F226" s="8"/>
      <c r="G226" s="8"/>
      <c r="H226" s="8"/>
      <c r="I226" s="8"/>
      <c r="J226" s="13"/>
      <c r="K226" s="13"/>
      <c r="L226" s="13"/>
      <c r="M226" s="13"/>
      <c r="N226" s="13"/>
      <c r="O226" s="8"/>
      <c r="P226" s="13"/>
      <c r="Q226" s="8"/>
      <c r="R226" s="8"/>
      <c r="S226" s="10"/>
      <c r="T226" s="8"/>
      <c r="U226" s="10"/>
      <c r="V226" s="8"/>
    </row>
    <row r="227" spans="1:22">
      <c r="A227" s="8"/>
      <c r="B227" s="8"/>
      <c r="C227" s="8"/>
      <c r="D227" s="8"/>
      <c r="E227" s="8"/>
      <c r="F227" s="8"/>
      <c r="G227" s="8"/>
      <c r="H227" s="8"/>
      <c r="I227" s="8"/>
      <c r="J227" s="13"/>
      <c r="K227" s="13"/>
      <c r="L227" s="13"/>
      <c r="M227" s="13"/>
      <c r="N227" s="13"/>
      <c r="O227" s="8"/>
      <c r="P227" s="13"/>
      <c r="Q227" s="8"/>
      <c r="R227" s="8"/>
      <c r="S227" s="10"/>
      <c r="T227" s="8"/>
      <c r="U227" s="10"/>
      <c r="V227" s="8"/>
    </row>
    <row r="228" spans="1:22">
      <c r="A228" s="8"/>
      <c r="B228" s="8"/>
      <c r="C228" s="8"/>
      <c r="D228" s="8"/>
      <c r="E228" s="8"/>
      <c r="F228" s="8"/>
      <c r="G228" s="8"/>
      <c r="H228" s="8"/>
      <c r="I228" s="8"/>
      <c r="J228" s="13"/>
      <c r="K228" s="13"/>
      <c r="L228" s="13"/>
      <c r="M228" s="13"/>
      <c r="N228" s="13"/>
      <c r="O228" s="8"/>
      <c r="P228" s="13"/>
      <c r="Q228" s="8"/>
      <c r="R228" s="8"/>
      <c r="S228" s="10"/>
      <c r="T228" s="8"/>
      <c r="U228" s="10"/>
      <c r="V228" s="8"/>
    </row>
    <row r="229" spans="1:22">
      <c r="A229" s="8"/>
      <c r="B229" s="8"/>
      <c r="C229" s="8"/>
      <c r="D229" s="8"/>
      <c r="E229" s="8"/>
      <c r="F229" s="8"/>
      <c r="G229" s="8"/>
      <c r="H229" s="8"/>
      <c r="I229" s="8"/>
      <c r="J229" s="13"/>
      <c r="K229" s="13"/>
      <c r="L229" s="13"/>
      <c r="M229" s="13"/>
      <c r="N229" s="13"/>
      <c r="O229" s="8"/>
      <c r="P229" s="13"/>
      <c r="Q229" s="8"/>
      <c r="R229" s="8"/>
      <c r="S229" s="10"/>
      <c r="T229" s="8"/>
      <c r="U229" s="10"/>
      <c r="V229" s="8"/>
    </row>
    <row r="230" spans="1:22">
      <c r="A230" s="8"/>
      <c r="B230" s="8"/>
      <c r="C230" s="8"/>
      <c r="D230" s="8"/>
      <c r="E230" s="8"/>
      <c r="F230" s="8"/>
      <c r="G230" s="8"/>
      <c r="H230" s="8"/>
      <c r="I230" s="8"/>
      <c r="J230" s="13"/>
      <c r="K230" s="13"/>
      <c r="L230" s="13"/>
      <c r="M230" s="13"/>
      <c r="N230" s="13"/>
      <c r="O230" s="8"/>
      <c r="P230" s="13"/>
      <c r="Q230" s="8"/>
      <c r="R230" s="8"/>
      <c r="S230" s="10"/>
      <c r="T230" s="8"/>
      <c r="U230" s="10"/>
      <c r="V230" s="8"/>
    </row>
    <row r="231" spans="1:22">
      <c r="A231" s="8"/>
      <c r="B231" s="8"/>
      <c r="C231" s="8"/>
      <c r="D231" s="8"/>
      <c r="E231" s="8"/>
      <c r="F231" s="8"/>
      <c r="G231" s="8"/>
      <c r="H231" s="8"/>
      <c r="I231" s="8"/>
      <c r="J231" s="13"/>
      <c r="K231" s="13"/>
      <c r="L231" s="13"/>
      <c r="M231" s="13"/>
      <c r="N231" s="13"/>
      <c r="O231" s="8"/>
      <c r="P231" s="13"/>
      <c r="Q231" s="8"/>
      <c r="R231" s="8"/>
      <c r="S231" s="10"/>
      <c r="T231" s="8"/>
      <c r="U231" s="10"/>
      <c r="V231" s="8"/>
    </row>
    <row r="232" spans="1:22">
      <c r="A232" s="8"/>
      <c r="B232" s="8"/>
      <c r="C232" s="8"/>
      <c r="D232" s="8"/>
      <c r="E232" s="8"/>
      <c r="F232" s="8"/>
      <c r="G232" s="8"/>
      <c r="H232" s="8"/>
      <c r="I232" s="8"/>
      <c r="J232" s="13"/>
      <c r="K232" s="13"/>
      <c r="L232" s="13"/>
      <c r="M232" s="13"/>
      <c r="N232" s="13"/>
      <c r="O232" s="8"/>
      <c r="P232" s="13"/>
      <c r="Q232" s="8"/>
      <c r="R232" s="8"/>
      <c r="S232" s="10"/>
      <c r="T232" s="8"/>
      <c r="U232" s="10"/>
      <c r="V232" s="8"/>
    </row>
    <row r="233" spans="1:22">
      <c r="A233" s="8"/>
      <c r="B233" s="8"/>
      <c r="C233" s="8"/>
      <c r="D233" s="8"/>
      <c r="E233" s="8"/>
      <c r="F233" s="8"/>
      <c r="G233" s="8"/>
      <c r="H233" s="8"/>
      <c r="I233" s="8"/>
      <c r="J233" s="13"/>
      <c r="K233" s="13"/>
      <c r="L233" s="13"/>
      <c r="M233" s="13"/>
      <c r="N233" s="13"/>
      <c r="O233" s="8"/>
      <c r="P233" s="13"/>
      <c r="Q233" s="8"/>
      <c r="R233" s="8"/>
      <c r="S233" s="10"/>
      <c r="T233" s="8"/>
      <c r="U233" s="10"/>
      <c r="V233" s="8"/>
    </row>
    <row r="234" spans="1:22">
      <c r="A234" s="8"/>
      <c r="B234" s="8"/>
      <c r="C234" s="8"/>
      <c r="D234" s="8"/>
      <c r="E234" s="8"/>
      <c r="F234" s="8"/>
      <c r="G234" s="8"/>
      <c r="H234" s="8"/>
      <c r="I234" s="8"/>
      <c r="J234" s="13"/>
      <c r="K234" s="13"/>
      <c r="L234" s="13"/>
      <c r="M234" s="13"/>
      <c r="N234" s="13"/>
      <c r="O234" s="8"/>
      <c r="P234" s="13"/>
      <c r="Q234" s="8"/>
      <c r="R234" s="8"/>
      <c r="S234" s="10"/>
      <c r="T234" s="8"/>
      <c r="U234" s="10"/>
      <c r="V234" s="8"/>
    </row>
    <row r="235" spans="1:22">
      <c r="A235" s="8"/>
      <c r="B235" s="8"/>
      <c r="C235" s="8"/>
      <c r="D235" s="8"/>
      <c r="E235" s="8"/>
      <c r="F235" s="8"/>
      <c r="G235" s="8"/>
      <c r="H235" s="8"/>
      <c r="I235" s="8"/>
      <c r="J235" s="13"/>
      <c r="K235" s="13"/>
      <c r="L235" s="13"/>
      <c r="M235" s="13"/>
      <c r="N235" s="13"/>
      <c r="O235" s="8"/>
      <c r="P235" s="13"/>
      <c r="Q235" s="8"/>
      <c r="R235" s="8"/>
      <c r="S235" s="10"/>
      <c r="T235" s="8"/>
      <c r="U235" s="10"/>
      <c r="V235" s="8"/>
    </row>
    <row r="236" spans="1:22">
      <c r="A236" s="8"/>
      <c r="B236" s="8"/>
      <c r="C236" s="8"/>
      <c r="D236" s="8"/>
      <c r="E236" s="8"/>
      <c r="F236" s="8"/>
      <c r="G236" s="8"/>
      <c r="H236" s="8"/>
      <c r="I236" s="8"/>
      <c r="J236" s="13"/>
      <c r="K236" s="13"/>
      <c r="L236" s="13"/>
      <c r="M236" s="13"/>
      <c r="N236" s="13"/>
      <c r="O236" s="8"/>
      <c r="P236" s="13"/>
      <c r="Q236" s="8"/>
      <c r="R236" s="8"/>
      <c r="S236" s="10"/>
      <c r="T236" s="8"/>
      <c r="U236" s="10"/>
      <c r="V236" s="8"/>
    </row>
    <row r="237" spans="1:22">
      <c r="A237" s="8"/>
      <c r="B237" s="8"/>
      <c r="C237" s="8"/>
      <c r="D237" s="8"/>
      <c r="E237" s="8"/>
      <c r="F237" s="8"/>
      <c r="G237" s="8"/>
      <c r="H237" s="8"/>
      <c r="I237" s="8"/>
      <c r="J237" s="13"/>
      <c r="K237" s="13"/>
      <c r="L237" s="13"/>
      <c r="M237" s="13"/>
      <c r="N237" s="13"/>
      <c r="O237" s="8"/>
      <c r="P237" s="13"/>
      <c r="Q237" s="8"/>
      <c r="R237" s="8"/>
      <c r="S237" s="10"/>
      <c r="T237" s="8"/>
      <c r="U237" s="10"/>
      <c r="V237" s="8"/>
    </row>
    <row r="238" spans="1:22">
      <c r="A238" s="8"/>
      <c r="B238" s="8"/>
      <c r="C238" s="8"/>
      <c r="D238" s="8"/>
      <c r="E238" s="8"/>
      <c r="F238" s="8"/>
      <c r="G238" s="8"/>
      <c r="H238" s="8"/>
      <c r="I238" s="8"/>
      <c r="J238" s="13"/>
      <c r="K238" s="13"/>
      <c r="L238" s="13"/>
      <c r="M238" s="13"/>
      <c r="N238" s="13"/>
      <c r="O238" s="8"/>
      <c r="P238" s="13"/>
      <c r="Q238" s="8"/>
      <c r="R238" s="8"/>
      <c r="S238" s="10"/>
      <c r="T238" s="8"/>
      <c r="U238" s="10"/>
      <c r="V238" s="8"/>
    </row>
    <row r="239" spans="1:22">
      <c r="A239" s="8"/>
      <c r="B239" s="8"/>
      <c r="C239" s="8"/>
      <c r="D239" s="8"/>
      <c r="E239" s="8"/>
      <c r="F239" s="8"/>
      <c r="G239" s="8"/>
      <c r="H239" s="8"/>
      <c r="I239" s="8"/>
      <c r="J239" s="13"/>
      <c r="K239" s="13"/>
      <c r="L239" s="13"/>
      <c r="M239" s="13"/>
      <c r="N239" s="13"/>
      <c r="O239" s="8"/>
      <c r="P239" s="13"/>
      <c r="Q239" s="8"/>
      <c r="R239" s="8"/>
      <c r="S239" s="10"/>
      <c r="T239" s="8"/>
      <c r="U239" s="10"/>
      <c r="V239" s="8"/>
    </row>
    <row r="240" spans="1:22">
      <c r="A240" s="8"/>
      <c r="B240" s="8"/>
      <c r="C240" s="8"/>
      <c r="D240" s="8"/>
      <c r="E240" s="8"/>
      <c r="F240" s="8"/>
      <c r="G240" s="8"/>
      <c r="H240" s="8"/>
      <c r="I240" s="8"/>
      <c r="J240" s="13"/>
      <c r="K240" s="13"/>
      <c r="L240" s="13"/>
      <c r="M240" s="13"/>
      <c r="N240" s="13"/>
      <c r="O240" s="8"/>
      <c r="P240" s="13"/>
      <c r="Q240" s="8"/>
      <c r="R240" s="8"/>
      <c r="S240" s="10"/>
      <c r="T240" s="8"/>
      <c r="U240" s="10"/>
      <c r="V240" s="8"/>
    </row>
    <row r="241" spans="1:22">
      <c r="A241" s="8"/>
      <c r="B241" s="8"/>
      <c r="C241" s="8"/>
      <c r="D241" s="8"/>
      <c r="E241" s="8"/>
      <c r="F241" s="8"/>
      <c r="G241" s="8"/>
      <c r="H241" s="8"/>
      <c r="I241" s="8"/>
      <c r="J241" s="13"/>
      <c r="K241" s="13"/>
      <c r="L241" s="13"/>
      <c r="M241" s="13"/>
      <c r="N241" s="13"/>
      <c r="O241" s="8"/>
      <c r="P241" s="13"/>
      <c r="Q241" s="8"/>
      <c r="R241" s="8"/>
      <c r="S241" s="10"/>
      <c r="T241" s="8"/>
      <c r="U241" s="10"/>
      <c r="V241" s="8"/>
    </row>
    <row r="242" spans="1:22">
      <c r="A242" s="8"/>
      <c r="B242" s="8"/>
      <c r="C242" s="8"/>
      <c r="D242" s="8"/>
      <c r="E242" s="8"/>
      <c r="F242" s="8"/>
      <c r="G242" s="8"/>
      <c r="H242" s="8"/>
      <c r="I242" s="8"/>
      <c r="J242" s="13"/>
      <c r="K242" s="13"/>
      <c r="L242" s="13"/>
      <c r="M242" s="13"/>
      <c r="N242" s="13"/>
      <c r="O242" s="8"/>
      <c r="P242" s="13"/>
      <c r="Q242" s="8"/>
      <c r="R242" s="8"/>
      <c r="S242" s="10"/>
      <c r="T242" s="8"/>
      <c r="U242" s="10"/>
      <c r="V242" s="8"/>
    </row>
    <row r="243" spans="1:22">
      <c r="A243" s="8"/>
      <c r="B243" s="8"/>
      <c r="C243" s="8"/>
      <c r="D243" s="8"/>
      <c r="E243" s="8"/>
      <c r="F243" s="8"/>
      <c r="G243" s="8"/>
      <c r="H243" s="8"/>
      <c r="I243" s="8"/>
      <c r="J243" s="13"/>
      <c r="K243" s="13"/>
      <c r="L243" s="13"/>
      <c r="M243" s="13"/>
      <c r="N243" s="13"/>
      <c r="O243" s="8"/>
      <c r="P243" s="13"/>
      <c r="Q243" s="8"/>
      <c r="R243" s="8"/>
      <c r="S243" s="10"/>
      <c r="T243" s="8"/>
      <c r="U243" s="10"/>
      <c r="V243" s="8"/>
    </row>
    <row r="244" spans="1:22">
      <c r="A244" s="8"/>
      <c r="B244" s="8"/>
      <c r="C244" s="8"/>
      <c r="D244" s="8"/>
      <c r="E244" s="8"/>
      <c r="F244" s="8"/>
      <c r="G244" s="8"/>
      <c r="H244" s="8"/>
      <c r="I244" s="8"/>
      <c r="J244" s="13"/>
      <c r="K244" s="13"/>
      <c r="L244" s="13"/>
      <c r="M244" s="13"/>
      <c r="N244" s="13"/>
      <c r="O244" s="8"/>
      <c r="P244" s="13"/>
      <c r="Q244" s="8"/>
      <c r="R244" s="8"/>
      <c r="S244" s="10"/>
      <c r="T244" s="8"/>
      <c r="U244" s="10"/>
      <c r="V244" s="8"/>
    </row>
    <row r="245" spans="1:22">
      <c r="A245" s="8"/>
      <c r="B245" s="8"/>
      <c r="C245" s="8"/>
      <c r="D245" s="8"/>
      <c r="E245" s="8"/>
      <c r="F245" s="8"/>
      <c r="G245" s="8"/>
      <c r="H245" s="8"/>
      <c r="I245" s="8"/>
      <c r="J245" s="13"/>
      <c r="K245" s="13"/>
      <c r="L245" s="13"/>
      <c r="M245" s="13"/>
      <c r="N245" s="13"/>
      <c r="O245" s="8"/>
      <c r="P245" s="13"/>
      <c r="Q245" s="8"/>
      <c r="R245" s="8"/>
      <c r="S245" s="10"/>
      <c r="T245" s="8"/>
      <c r="U245" s="10"/>
      <c r="V245" s="8"/>
    </row>
    <row r="246" spans="1:22">
      <c r="A246" s="8"/>
      <c r="B246" s="8"/>
      <c r="C246" s="8"/>
      <c r="D246" s="8"/>
      <c r="E246" s="8"/>
      <c r="F246" s="8"/>
      <c r="G246" s="8"/>
      <c r="H246" s="8"/>
      <c r="I246" s="8"/>
      <c r="J246" s="13"/>
      <c r="K246" s="13"/>
      <c r="L246" s="13"/>
      <c r="M246" s="13"/>
      <c r="N246" s="13"/>
      <c r="O246" s="8"/>
      <c r="P246" s="13"/>
      <c r="Q246" s="8"/>
      <c r="R246" s="8"/>
      <c r="S246" s="10"/>
      <c r="T246" s="8"/>
      <c r="U246" s="10"/>
      <c r="V246" s="8"/>
    </row>
    <row r="247" spans="1:22">
      <c r="A247" s="8"/>
      <c r="B247" s="8"/>
      <c r="C247" s="8"/>
      <c r="D247" s="8"/>
      <c r="E247" s="8"/>
      <c r="F247" s="8"/>
      <c r="G247" s="8"/>
      <c r="H247" s="8"/>
      <c r="I247" s="8"/>
      <c r="J247" s="13"/>
      <c r="K247" s="13"/>
      <c r="L247" s="13"/>
      <c r="M247" s="13"/>
      <c r="N247" s="13"/>
      <c r="O247" s="8"/>
      <c r="P247" s="13"/>
      <c r="Q247" s="8"/>
      <c r="R247" s="8"/>
      <c r="S247" s="10"/>
      <c r="T247" s="8"/>
      <c r="U247" s="10"/>
      <c r="V247" s="8"/>
    </row>
    <row r="248" spans="1:22">
      <c r="A248" s="8"/>
      <c r="B248" s="8"/>
      <c r="C248" s="8"/>
      <c r="D248" s="8"/>
      <c r="E248" s="8"/>
      <c r="F248" s="8"/>
      <c r="G248" s="8"/>
      <c r="H248" s="8"/>
      <c r="I248" s="8"/>
      <c r="J248" s="13"/>
      <c r="K248" s="13"/>
      <c r="L248" s="13"/>
      <c r="M248" s="13"/>
      <c r="N248" s="13"/>
      <c r="O248" s="8"/>
      <c r="P248" s="13"/>
      <c r="Q248" s="8"/>
      <c r="R248" s="8"/>
      <c r="S248" s="10"/>
      <c r="T248" s="8"/>
      <c r="U248" s="10"/>
      <c r="V248" s="8"/>
    </row>
    <row r="249" spans="1:22">
      <c r="A249" s="8"/>
      <c r="B249" s="8"/>
      <c r="C249" s="8"/>
      <c r="D249" s="8"/>
      <c r="E249" s="8"/>
      <c r="F249" s="8"/>
      <c r="G249" s="8"/>
      <c r="H249" s="8"/>
      <c r="I249" s="8"/>
      <c r="J249" s="13"/>
      <c r="K249" s="13"/>
      <c r="L249" s="13"/>
      <c r="M249" s="13"/>
      <c r="N249" s="13"/>
      <c r="O249" s="8"/>
      <c r="P249" s="13"/>
      <c r="Q249" s="8"/>
      <c r="R249" s="8"/>
      <c r="S249" s="10"/>
      <c r="T249" s="8"/>
      <c r="U249" s="10"/>
      <c r="V249" s="8"/>
    </row>
    <row r="250" spans="1:22">
      <c r="A250" s="8"/>
      <c r="B250" s="8"/>
      <c r="C250" s="8"/>
      <c r="D250" s="8"/>
      <c r="E250" s="8"/>
      <c r="F250" s="8"/>
      <c r="G250" s="8"/>
      <c r="H250" s="8"/>
      <c r="I250" s="8"/>
      <c r="J250" s="13"/>
      <c r="K250" s="13"/>
      <c r="L250" s="13"/>
      <c r="M250" s="13"/>
      <c r="N250" s="13"/>
      <c r="O250" s="8"/>
      <c r="P250" s="13"/>
      <c r="Q250" s="8"/>
      <c r="R250" s="8"/>
      <c r="S250" s="10"/>
      <c r="T250" s="8"/>
      <c r="U250" s="10"/>
      <c r="V250" s="8"/>
    </row>
    <row r="251" spans="1:22">
      <c r="A251" s="8"/>
      <c r="B251" s="8"/>
      <c r="C251" s="8"/>
      <c r="D251" s="8"/>
      <c r="E251" s="8"/>
      <c r="F251" s="8"/>
      <c r="G251" s="8"/>
      <c r="H251" s="8"/>
      <c r="I251" s="8"/>
      <c r="J251" s="13"/>
      <c r="K251" s="13"/>
      <c r="L251" s="13"/>
      <c r="M251" s="13"/>
      <c r="N251" s="13"/>
      <c r="O251" s="8"/>
      <c r="P251" s="13"/>
      <c r="Q251" s="8"/>
      <c r="R251" s="8"/>
      <c r="S251" s="10"/>
      <c r="T251" s="8"/>
      <c r="U251" s="10"/>
      <c r="V251" s="8"/>
    </row>
    <row r="252" spans="1:22">
      <c r="A252" s="8"/>
      <c r="B252" s="8"/>
      <c r="C252" s="8"/>
      <c r="D252" s="8"/>
      <c r="E252" s="8"/>
      <c r="F252" s="8"/>
      <c r="G252" s="8"/>
      <c r="H252" s="8"/>
      <c r="I252" s="8"/>
      <c r="J252" s="13"/>
      <c r="K252" s="13"/>
      <c r="L252" s="13"/>
      <c r="M252" s="13"/>
      <c r="N252" s="13"/>
      <c r="O252" s="8"/>
      <c r="P252" s="13"/>
      <c r="Q252" s="8"/>
      <c r="R252" s="8"/>
      <c r="S252" s="10"/>
      <c r="T252" s="8"/>
      <c r="U252" s="10"/>
      <c r="V252" s="8"/>
    </row>
    <row r="253" spans="1:22">
      <c r="A253" s="8"/>
      <c r="B253" s="8"/>
      <c r="C253" s="8"/>
      <c r="D253" s="8"/>
      <c r="E253" s="8"/>
      <c r="F253" s="8"/>
      <c r="G253" s="8"/>
      <c r="H253" s="8"/>
      <c r="I253" s="8"/>
      <c r="J253" s="13"/>
      <c r="K253" s="13"/>
      <c r="L253" s="13"/>
      <c r="M253" s="13"/>
      <c r="N253" s="13"/>
      <c r="O253" s="8"/>
      <c r="P253" s="13"/>
      <c r="Q253" s="8"/>
      <c r="R253" s="8"/>
      <c r="S253" s="10"/>
      <c r="T253" s="8"/>
      <c r="U253" s="10"/>
      <c r="V253" s="8"/>
    </row>
    <row r="254" spans="1:22">
      <c r="A254" s="8"/>
      <c r="B254" s="8"/>
      <c r="C254" s="8"/>
      <c r="D254" s="8"/>
      <c r="E254" s="8"/>
      <c r="F254" s="8"/>
      <c r="G254" s="8"/>
      <c r="H254" s="8"/>
      <c r="I254" s="8"/>
      <c r="J254" s="13"/>
      <c r="K254" s="13"/>
      <c r="L254" s="13"/>
      <c r="M254" s="13"/>
      <c r="N254" s="13"/>
      <c r="O254" s="8"/>
      <c r="P254" s="13"/>
      <c r="Q254" s="8"/>
      <c r="R254" s="8"/>
      <c r="S254" s="10"/>
      <c r="T254" s="8"/>
      <c r="U254" s="10"/>
      <c r="V254" s="8"/>
    </row>
    <row r="255" spans="1:22">
      <c r="A255" s="8"/>
      <c r="B255" s="8"/>
      <c r="C255" s="8"/>
      <c r="D255" s="8"/>
      <c r="E255" s="8"/>
      <c r="F255" s="8"/>
      <c r="G255" s="8"/>
      <c r="H255" s="8"/>
      <c r="I255" s="8"/>
      <c r="J255" s="13"/>
      <c r="K255" s="13"/>
      <c r="L255" s="13"/>
      <c r="M255" s="13"/>
      <c r="N255" s="13"/>
      <c r="O255" s="8"/>
      <c r="P255" s="13"/>
      <c r="Q255" s="8"/>
      <c r="R255" s="8"/>
      <c r="S255" s="10"/>
      <c r="T255" s="8"/>
      <c r="U255" s="10"/>
      <c r="V255" s="8"/>
    </row>
    <row r="256" spans="1:22">
      <c r="A256" s="8"/>
      <c r="B256" s="8"/>
      <c r="C256" s="8"/>
      <c r="D256" s="8"/>
      <c r="E256" s="8"/>
      <c r="F256" s="8"/>
      <c r="G256" s="8"/>
      <c r="H256" s="8"/>
      <c r="I256" s="8"/>
      <c r="J256" s="13"/>
      <c r="K256" s="13"/>
      <c r="L256" s="13"/>
      <c r="M256" s="13"/>
      <c r="N256" s="13"/>
      <c r="O256" s="8"/>
      <c r="P256" s="13"/>
      <c r="Q256" s="8"/>
      <c r="R256" s="8"/>
      <c r="S256" s="10"/>
      <c r="T256" s="8"/>
      <c r="U256" s="10"/>
      <c r="V256" s="8"/>
    </row>
    <row r="257" spans="1:22">
      <c r="A257" s="8"/>
      <c r="B257" s="8"/>
      <c r="C257" s="8"/>
      <c r="D257" s="8"/>
      <c r="E257" s="8"/>
      <c r="F257" s="8"/>
      <c r="G257" s="8"/>
      <c r="H257" s="8"/>
      <c r="I257" s="8"/>
      <c r="J257" s="13"/>
      <c r="K257" s="13"/>
      <c r="L257" s="13"/>
      <c r="M257" s="13"/>
      <c r="N257" s="13"/>
      <c r="O257" s="8"/>
      <c r="P257" s="13"/>
      <c r="Q257" s="8"/>
      <c r="R257" s="8"/>
      <c r="S257" s="10"/>
      <c r="T257" s="8"/>
      <c r="U257" s="10"/>
      <c r="V257" s="8"/>
    </row>
    <row r="258" spans="1:22">
      <c r="A258" s="8"/>
      <c r="B258" s="8"/>
      <c r="C258" s="8"/>
      <c r="D258" s="8"/>
      <c r="E258" s="8"/>
      <c r="F258" s="8"/>
      <c r="G258" s="8"/>
      <c r="H258" s="8"/>
      <c r="I258" s="8"/>
      <c r="J258" s="13"/>
      <c r="K258" s="13"/>
      <c r="L258" s="13"/>
      <c r="M258" s="13"/>
      <c r="N258" s="13"/>
      <c r="O258" s="8"/>
      <c r="P258" s="13"/>
      <c r="Q258" s="8"/>
      <c r="R258" s="8"/>
      <c r="S258" s="10"/>
      <c r="T258" s="8"/>
      <c r="U258" s="10"/>
      <c r="V258" s="8"/>
    </row>
    <row r="259" spans="1:22">
      <c r="A259" s="8"/>
      <c r="B259" s="8"/>
      <c r="C259" s="8"/>
      <c r="D259" s="8"/>
      <c r="E259" s="8"/>
      <c r="F259" s="8"/>
      <c r="G259" s="8"/>
      <c r="H259" s="8"/>
      <c r="I259" s="8"/>
      <c r="J259" s="13"/>
      <c r="K259" s="13"/>
      <c r="L259" s="13"/>
      <c r="M259" s="13"/>
      <c r="N259" s="13"/>
      <c r="O259" s="8"/>
      <c r="P259" s="13"/>
      <c r="Q259" s="8"/>
      <c r="R259" s="8"/>
      <c r="S259" s="10"/>
      <c r="T259" s="8"/>
      <c r="U259" s="10"/>
      <c r="V259" s="8"/>
    </row>
    <row r="260" spans="1:22">
      <c r="A260" s="8"/>
      <c r="B260" s="8"/>
      <c r="C260" s="8"/>
      <c r="D260" s="8"/>
      <c r="E260" s="8"/>
      <c r="F260" s="8"/>
      <c r="G260" s="8"/>
      <c r="H260" s="8"/>
      <c r="I260" s="8"/>
      <c r="J260" s="13"/>
      <c r="K260" s="13"/>
      <c r="L260" s="13"/>
      <c r="M260" s="13"/>
      <c r="N260" s="13"/>
      <c r="O260" s="8"/>
      <c r="P260" s="13"/>
      <c r="Q260" s="8"/>
      <c r="R260" s="8"/>
      <c r="S260" s="10"/>
      <c r="T260" s="8"/>
      <c r="U260" s="10"/>
      <c r="V260" s="8"/>
    </row>
    <row r="261" spans="1:22">
      <c r="A261" s="8"/>
      <c r="B261" s="8"/>
      <c r="C261" s="8"/>
      <c r="D261" s="8"/>
      <c r="E261" s="8"/>
      <c r="F261" s="8"/>
      <c r="G261" s="8"/>
      <c r="H261" s="8"/>
      <c r="I261" s="8"/>
      <c r="J261" s="13"/>
      <c r="K261" s="13"/>
      <c r="L261" s="13"/>
      <c r="M261" s="13"/>
      <c r="N261" s="13"/>
      <c r="O261" s="8"/>
      <c r="P261" s="13"/>
      <c r="Q261" s="8"/>
      <c r="R261" s="8"/>
      <c r="S261" s="10"/>
      <c r="T261" s="8"/>
      <c r="U261" s="10"/>
      <c r="V261" s="8"/>
    </row>
    <row r="262" spans="1:22">
      <c r="A262" s="8"/>
      <c r="B262" s="8"/>
      <c r="C262" s="8"/>
      <c r="D262" s="8"/>
      <c r="E262" s="8"/>
      <c r="F262" s="8"/>
      <c r="G262" s="8"/>
      <c r="H262" s="8"/>
      <c r="I262" s="8"/>
      <c r="J262" s="13"/>
      <c r="K262" s="13"/>
      <c r="L262" s="13"/>
      <c r="M262" s="13"/>
      <c r="N262" s="13"/>
      <c r="O262" s="8"/>
      <c r="P262" s="13"/>
      <c r="Q262" s="8"/>
      <c r="R262" s="8"/>
      <c r="S262" s="10"/>
      <c r="T262" s="8"/>
      <c r="U262" s="10"/>
      <c r="V262" s="8"/>
    </row>
    <row r="263" spans="1:22">
      <c r="A263" s="8"/>
      <c r="B263" s="8"/>
      <c r="C263" s="8"/>
      <c r="D263" s="8"/>
      <c r="E263" s="8"/>
      <c r="F263" s="8"/>
      <c r="G263" s="8"/>
      <c r="H263" s="8"/>
      <c r="I263" s="8"/>
      <c r="J263" s="13"/>
      <c r="K263" s="13"/>
      <c r="L263" s="13"/>
      <c r="M263" s="13"/>
      <c r="N263" s="13"/>
      <c r="O263" s="8"/>
      <c r="P263" s="13"/>
      <c r="Q263" s="8"/>
      <c r="R263" s="8"/>
      <c r="S263" s="10"/>
      <c r="T263" s="8"/>
      <c r="U263" s="10"/>
      <c r="V263" s="8"/>
    </row>
    <row r="264" spans="1:22">
      <c r="A264" s="8"/>
      <c r="B264" s="8"/>
      <c r="C264" s="8"/>
      <c r="D264" s="8"/>
      <c r="E264" s="8"/>
      <c r="F264" s="8"/>
      <c r="G264" s="8"/>
      <c r="H264" s="8"/>
      <c r="I264" s="8"/>
      <c r="J264" s="13"/>
      <c r="K264" s="13"/>
      <c r="L264" s="13"/>
      <c r="M264" s="13"/>
      <c r="N264" s="13"/>
      <c r="O264" s="8"/>
      <c r="P264" s="13"/>
      <c r="Q264" s="8"/>
      <c r="R264" s="8"/>
      <c r="S264" s="10"/>
      <c r="T264" s="8"/>
      <c r="U264" s="10"/>
      <c r="V264" s="8"/>
    </row>
    <row r="265" spans="1:22">
      <c r="A265" s="8"/>
      <c r="B265" s="8"/>
      <c r="C265" s="8"/>
      <c r="D265" s="8"/>
      <c r="E265" s="8"/>
      <c r="F265" s="8"/>
      <c r="G265" s="8"/>
      <c r="H265" s="8"/>
      <c r="I265" s="8"/>
      <c r="J265" s="13"/>
      <c r="K265" s="13"/>
      <c r="L265" s="13"/>
      <c r="M265" s="13"/>
      <c r="N265" s="13"/>
      <c r="O265" s="8"/>
      <c r="P265" s="13"/>
      <c r="Q265" s="8"/>
      <c r="R265" s="8"/>
      <c r="S265" s="10"/>
      <c r="T265" s="8"/>
      <c r="U265" s="10"/>
      <c r="V265" s="8"/>
    </row>
    <row r="266" spans="1:22">
      <c r="A266" s="8"/>
      <c r="B266" s="8"/>
      <c r="C266" s="8"/>
      <c r="D266" s="8"/>
      <c r="E266" s="8"/>
      <c r="F266" s="8"/>
      <c r="G266" s="8"/>
      <c r="H266" s="8"/>
      <c r="I266" s="8"/>
      <c r="J266" s="13"/>
      <c r="K266" s="13"/>
      <c r="L266" s="13"/>
      <c r="M266" s="13"/>
      <c r="N266" s="13"/>
      <c r="O266" s="8"/>
      <c r="P266" s="13"/>
      <c r="Q266" s="8"/>
      <c r="R266" s="8"/>
      <c r="S266" s="10"/>
      <c r="T266" s="8"/>
      <c r="U266" s="10"/>
      <c r="V266" s="8"/>
    </row>
    <row r="267" spans="1:22">
      <c r="A267" s="8"/>
      <c r="B267" s="8"/>
      <c r="C267" s="8"/>
      <c r="D267" s="8"/>
      <c r="E267" s="8"/>
      <c r="F267" s="8"/>
      <c r="G267" s="8"/>
      <c r="H267" s="8"/>
      <c r="I267" s="8"/>
      <c r="J267" s="13"/>
      <c r="K267" s="13"/>
      <c r="L267" s="13"/>
      <c r="M267" s="13"/>
      <c r="N267" s="13"/>
      <c r="O267" s="8"/>
      <c r="P267" s="13"/>
      <c r="Q267" s="8"/>
      <c r="R267" s="8"/>
      <c r="S267" s="10"/>
      <c r="T267" s="8"/>
      <c r="U267" s="10"/>
      <c r="V267" s="8"/>
    </row>
    <row r="268" spans="1:22">
      <c r="A268" s="8"/>
      <c r="B268" s="8"/>
      <c r="C268" s="8"/>
      <c r="D268" s="8"/>
      <c r="E268" s="8"/>
      <c r="F268" s="8"/>
      <c r="G268" s="8"/>
      <c r="H268" s="8"/>
      <c r="I268" s="8"/>
      <c r="J268" s="13"/>
      <c r="K268" s="13"/>
      <c r="L268" s="13"/>
      <c r="M268" s="13"/>
      <c r="N268" s="13"/>
      <c r="O268" s="8"/>
      <c r="P268" s="13"/>
      <c r="Q268" s="8"/>
      <c r="R268" s="8"/>
      <c r="S268" s="10"/>
      <c r="T268" s="8"/>
      <c r="U268" s="10"/>
      <c r="V268" s="8"/>
    </row>
    <row r="269" spans="1:22">
      <c r="A269" s="8"/>
      <c r="B269" s="8"/>
      <c r="C269" s="8"/>
      <c r="D269" s="8"/>
      <c r="E269" s="8"/>
      <c r="F269" s="8"/>
      <c r="G269" s="8"/>
      <c r="H269" s="8"/>
      <c r="I269" s="8"/>
      <c r="J269" s="13"/>
      <c r="K269" s="13"/>
      <c r="L269" s="13"/>
      <c r="M269" s="13"/>
      <c r="N269" s="13"/>
      <c r="O269" s="8"/>
      <c r="P269" s="13"/>
      <c r="Q269" s="8"/>
      <c r="R269" s="8"/>
      <c r="S269" s="10"/>
      <c r="T269" s="8"/>
      <c r="U269" s="10"/>
      <c r="V269" s="8"/>
    </row>
    <row r="270" spans="1:22">
      <c r="A270" s="8"/>
      <c r="B270" s="8"/>
      <c r="C270" s="8"/>
      <c r="D270" s="8"/>
      <c r="E270" s="8"/>
      <c r="F270" s="8"/>
      <c r="G270" s="8"/>
      <c r="H270" s="8"/>
      <c r="I270" s="8"/>
      <c r="J270" s="13"/>
      <c r="K270" s="13"/>
      <c r="L270" s="13"/>
      <c r="M270" s="13"/>
      <c r="N270" s="13"/>
      <c r="O270" s="8"/>
      <c r="P270" s="13"/>
      <c r="Q270" s="8"/>
      <c r="R270" s="8"/>
      <c r="S270" s="10"/>
      <c r="T270" s="8"/>
      <c r="U270" s="10"/>
      <c r="V270" s="8"/>
    </row>
    <row r="271" spans="1:22">
      <c r="A271" s="8"/>
      <c r="B271" s="8"/>
      <c r="C271" s="8"/>
      <c r="D271" s="8"/>
      <c r="E271" s="8"/>
      <c r="F271" s="8"/>
      <c r="G271" s="8"/>
      <c r="H271" s="8"/>
      <c r="I271" s="8"/>
      <c r="J271" s="13"/>
      <c r="K271" s="13"/>
      <c r="L271" s="13"/>
      <c r="M271" s="13"/>
      <c r="N271" s="13"/>
      <c r="O271" s="8"/>
      <c r="P271" s="13"/>
      <c r="Q271" s="8"/>
      <c r="R271" s="8"/>
      <c r="S271" s="10"/>
      <c r="T271" s="8"/>
      <c r="U271" s="10"/>
      <c r="V271" s="8"/>
    </row>
    <row r="272" spans="1:22">
      <c r="A272" s="8"/>
      <c r="B272" s="8"/>
      <c r="C272" s="8"/>
      <c r="D272" s="8"/>
      <c r="E272" s="8"/>
      <c r="F272" s="8"/>
      <c r="G272" s="8"/>
      <c r="H272" s="8"/>
      <c r="I272" s="8"/>
      <c r="J272" s="13"/>
      <c r="K272" s="13"/>
      <c r="L272" s="13"/>
      <c r="M272" s="13"/>
      <c r="N272" s="13"/>
      <c r="O272" s="8"/>
      <c r="P272" s="13"/>
      <c r="Q272" s="8"/>
      <c r="R272" s="8"/>
      <c r="S272" s="10"/>
      <c r="T272" s="8"/>
      <c r="U272" s="10"/>
      <c r="V272" s="8"/>
    </row>
    <row r="273" spans="1:22">
      <c r="A273" s="8"/>
      <c r="B273" s="8"/>
      <c r="C273" s="8"/>
      <c r="D273" s="8"/>
      <c r="E273" s="8"/>
      <c r="F273" s="8"/>
      <c r="G273" s="8"/>
      <c r="H273" s="8"/>
      <c r="I273" s="8"/>
      <c r="J273" s="13"/>
      <c r="K273" s="13"/>
      <c r="L273" s="13"/>
      <c r="M273" s="13"/>
      <c r="N273" s="13"/>
      <c r="O273" s="8"/>
      <c r="P273" s="13"/>
      <c r="Q273" s="8"/>
      <c r="R273" s="8"/>
      <c r="S273" s="10"/>
      <c r="T273" s="8"/>
      <c r="U273" s="10"/>
      <c r="V273" s="8"/>
    </row>
    <row r="274" spans="1:22">
      <c r="A274" s="8"/>
      <c r="B274" s="8"/>
      <c r="C274" s="8"/>
      <c r="D274" s="8"/>
      <c r="E274" s="8"/>
      <c r="F274" s="8"/>
      <c r="G274" s="8"/>
      <c r="H274" s="8"/>
      <c r="I274" s="8"/>
      <c r="J274" s="13"/>
      <c r="K274" s="13"/>
      <c r="L274" s="13"/>
      <c r="M274" s="13"/>
      <c r="N274" s="13"/>
      <c r="O274" s="8"/>
      <c r="P274" s="13"/>
      <c r="Q274" s="8"/>
      <c r="R274" s="8"/>
      <c r="S274" s="10"/>
      <c r="T274" s="8"/>
      <c r="U274" s="10"/>
      <c r="V274" s="8"/>
    </row>
    <row r="275" spans="1:22">
      <c r="A275" s="8"/>
      <c r="B275" s="8"/>
      <c r="C275" s="8"/>
      <c r="D275" s="8"/>
      <c r="E275" s="8"/>
      <c r="F275" s="8"/>
      <c r="G275" s="8"/>
      <c r="H275" s="8"/>
      <c r="I275" s="8"/>
      <c r="J275" s="13"/>
      <c r="K275" s="13"/>
      <c r="L275" s="13"/>
      <c r="M275" s="13"/>
      <c r="N275" s="13"/>
      <c r="O275" s="8"/>
      <c r="P275" s="13"/>
      <c r="Q275" s="8"/>
      <c r="R275" s="8"/>
      <c r="S275" s="10"/>
      <c r="T275" s="8"/>
      <c r="U275" s="10"/>
      <c r="V275" s="8"/>
    </row>
    <row r="276" spans="1:22">
      <c r="A276" s="8"/>
      <c r="B276" s="8"/>
      <c r="C276" s="8"/>
      <c r="D276" s="8"/>
      <c r="E276" s="8"/>
      <c r="F276" s="8"/>
      <c r="G276" s="8"/>
      <c r="H276" s="8"/>
      <c r="I276" s="8"/>
      <c r="J276" s="13"/>
      <c r="K276" s="13"/>
      <c r="L276" s="13"/>
      <c r="M276" s="13"/>
      <c r="N276" s="13"/>
      <c r="O276" s="8"/>
      <c r="P276" s="13"/>
      <c r="Q276" s="8"/>
      <c r="R276" s="8"/>
      <c r="S276" s="10"/>
      <c r="T276" s="8"/>
      <c r="U276" s="10"/>
      <c r="V276" s="8"/>
    </row>
    <row r="277" spans="1:22">
      <c r="A277" s="8"/>
      <c r="B277" s="8"/>
      <c r="C277" s="8"/>
      <c r="D277" s="8"/>
      <c r="E277" s="8"/>
      <c r="F277" s="8"/>
      <c r="G277" s="8"/>
      <c r="H277" s="8"/>
      <c r="I277" s="8"/>
      <c r="J277" s="13"/>
      <c r="K277" s="13"/>
      <c r="L277" s="13"/>
      <c r="M277" s="13"/>
      <c r="N277" s="13"/>
      <c r="O277" s="8"/>
      <c r="P277" s="13"/>
      <c r="Q277" s="8"/>
      <c r="R277" s="8"/>
      <c r="S277" s="10"/>
      <c r="T277" s="8"/>
      <c r="U277" s="10"/>
      <c r="V277" s="8"/>
    </row>
    <row r="278" spans="1:22">
      <c r="A278" s="8"/>
      <c r="B278" s="8"/>
      <c r="C278" s="8"/>
      <c r="D278" s="8"/>
      <c r="E278" s="8"/>
      <c r="F278" s="8"/>
      <c r="G278" s="8"/>
      <c r="H278" s="8"/>
      <c r="I278" s="8"/>
      <c r="J278" s="13"/>
      <c r="K278" s="13"/>
      <c r="L278" s="13"/>
      <c r="M278" s="13"/>
      <c r="N278" s="13"/>
      <c r="O278" s="8"/>
      <c r="P278" s="13"/>
      <c r="Q278" s="8"/>
      <c r="R278" s="8"/>
      <c r="S278" s="10"/>
      <c r="T278" s="8"/>
      <c r="U278" s="10"/>
      <c r="V278" s="8"/>
    </row>
    <row r="279" spans="1:22">
      <c r="A279" s="8"/>
      <c r="B279" s="8"/>
      <c r="C279" s="8"/>
      <c r="D279" s="8"/>
      <c r="E279" s="8"/>
      <c r="F279" s="8"/>
      <c r="G279" s="8"/>
      <c r="H279" s="8"/>
      <c r="I279" s="8"/>
      <c r="J279" s="13"/>
      <c r="K279" s="13"/>
      <c r="L279" s="13"/>
      <c r="M279" s="13"/>
      <c r="N279" s="13"/>
      <c r="O279" s="8"/>
      <c r="P279" s="13"/>
      <c r="Q279" s="8"/>
      <c r="R279" s="8"/>
      <c r="S279" s="10"/>
      <c r="T279" s="8"/>
      <c r="U279" s="10"/>
      <c r="V279" s="8"/>
    </row>
    <row r="280" spans="1:22">
      <c r="A280" s="8"/>
      <c r="B280" s="8"/>
      <c r="C280" s="8"/>
      <c r="D280" s="8"/>
      <c r="E280" s="8"/>
      <c r="F280" s="8"/>
      <c r="G280" s="8"/>
      <c r="H280" s="8"/>
      <c r="I280" s="8"/>
      <c r="J280" s="13"/>
      <c r="K280" s="13"/>
      <c r="L280" s="13"/>
      <c r="M280" s="13"/>
      <c r="N280" s="13"/>
      <c r="O280" s="8"/>
      <c r="P280" s="13"/>
      <c r="Q280" s="8"/>
      <c r="R280" s="8"/>
      <c r="S280" s="10"/>
      <c r="T280" s="8"/>
      <c r="U280" s="10"/>
      <c r="V280" s="8"/>
    </row>
    <row r="281" spans="1:22">
      <c r="A281" s="8"/>
      <c r="B281" s="8"/>
      <c r="C281" s="8"/>
      <c r="D281" s="8"/>
      <c r="E281" s="8"/>
      <c r="F281" s="8"/>
      <c r="G281" s="8"/>
      <c r="H281" s="8"/>
      <c r="I281" s="8"/>
      <c r="J281" s="13"/>
      <c r="K281" s="13"/>
      <c r="L281" s="13"/>
      <c r="M281" s="13"/>
      <c r="N281" s="13"/>
      <c r="O281" s="8"/>
      <c r="P281" s="13"/>
      <c r="Q281" s="8"/>
      <c r="R281" s="8"/>
      <c r="S281" s="10"/>
      <c r="T281" s="8"/>
      <c r="U281" s="10"/>
      <c r="V281" s="8"/>
    </row>
    <row r="282" spans="1:22">
      <c r="A282" s="8"/>
      <c r="B282" s="8"/>
      <c r="C282" s="8"/>
      <c r="D282" s="8"/>
      <c r="E282" s="8"/>
      <c r="F282" s="8"/>
      <c r="G282" s="8"/>
      <c r="H282" s="8"/>
      <c r="I282" s="8"/>
      <c r="J282" s="13"/>
      <c r="K282" s="13"/>
      <c r="L282" s="13"/>
      <c r="M282" s="13"/>
      <c r="N282" s="13"/>
      <c r="O282" s="8"/>
      <c r="P282" s="13"/>
      <c r="Q282" s="8"/>
      <c r="R282" s="8"/>
      <c r="S282" s="10"/>
      <c r="T282" s="8"/>
      <c r="U282" s="10"/>
      <c r="V282" s="8"/>
    </row>
    <row r="283" spans="1:22">
      <c r="A283" s="8"/>
      <c r="B283" s="8"/>
      <c r="C283" s="8"/>
      <c r="D283" s="8"/>
      <c r="E283" s="8"/>
      <c r="F283" s="8"/>
      <c r="G283" s="8"/>
      <c r="H283" s="8"/>
      <c r="I283" s="8"/>
      <c r="J283" s="13"/>
      <c r="K283" s="13"/>
      <c r="L283" s="13"/>
      <c r="M283" s="13"/>
      <c r="N283" s="13"/>
      <c r="O283" s="8"/>
      <c r="P283" s="13"/>
      <c r="Q283" s="8"/>
      <c r="R283" s="8"/>
      <c r="S283" s="10"/>
      <c r="T283" s="8"/>
      <c r="U283" s="10"/>
      <c r="V283" s="8"/>
    </row>
    <row r="284" spans="1:22">
      <c r="A284" s="8"/>
      <c r="B284" s="8"/>
      <c r="C284" s="8"/>
      <c r="D284" s="8"/>
      <c r="E284" s="8"/>
      <c r="F284" s="8"/>
      <c r="G284" s="8"/>
      <c r="H284" s="8"/>
      <c r="I284" s="8"/>
      <c r="J284" s="13"/>
      <c r="K284" s="13"/>
      <c r="L284" s="13"/>
      <c r="M284" s="13"/>
      <c r="N284" s="13"/>
      <c r="O284" s="8"/>
      <c r="P284" s="13"/>
      <c r="Q284" s="8"/>
      <c r="R284" s="8"/>
      <c r="S284" s="10"/>
      <c r="T284" s="8"/>
      <c r="U284" s="10"/>
      <c r="V284" s="8"/>
    </row>
    <row r="285" spans="1:22">
      <c r="A285" s="8"/>
      <c r="B285" s="8"/>
      <c r="C285" s="8"/>
      <c r="D285" s="8"/>
      <c r="E285" s="8"/>
      <c r="F285" s="8"/>
      <c r="G285" s="8"/>
      <c r="H285" s="8"/>
      <c r="I285" s="8"/>
      <c r="J285" s="13"/>
      <c r="K285" s="13"/>
      <c r="L285" s="13"/>
      <c r="M285" s="13"/>
      <c r="N285" s="13"/>
      <c r="O285" s="8"/>
      <c r="P285" s="13"/>
      <c r="Q285" s="8"/>
      <c r="R285" s="8"/>
      <c r="S285" s="10"/>
      <c r="T285" s="8"/>
      <c r="U285" s="10"/>
      <c r="V285" s="8"/>
    </row>
    <row r="286" spans="1:22">
      <c r="A286" s="8"/>
      <c r="B286" s="8"/>
      <c r="C286" s="8"/>
      <c r="D286" s="8"/>
      <c r="E286" s="8"/>
      <c r="F286" s="8"/>
      <c r="G286" s="8"/>
      <c r="H286" s="8"/>
      <c r="I286" s="8"/>
      <c r="J286" s="13"/>
      <c r="K286" s="13"/>
      <c r="L286" s="13"/>
      <c r="M286" s="13"/>
      <c r="N286" s="13"/>
      <c r="O286" s="8"/>
      <c r="P286" s="13"/>
      <c r="Q286" s="8"/>
      <c r="R286" s="8"/>
      <c r="S286" s="10"/>
      <c r="T286" s="8"/>
      <c r="U286" s="10"/>
      <c r="V286" s="8"/>
    </row>
    <row r="287" spans="1:22">
      <c r="A287" s="8"/>
      <c r="B287" s="8"/>
      <c r="C287" s="8"/>
      <c r="D287" s="8"/>
      <c r="E287" s="8"/>
      <c r="F287" s="8"/>
      <c r="G287" s="8"/>
      <c r="H287" s="8"/>
      <c r="I287" s="8"/>
      <c r="J287" s="13"/>
      <c r="K287" s="13"/>
      <c r="L287" s="13"/>
      <c r="M287" s="13"/>
      <c r="N287" s="13"/>
      <c r="O287" s="8"/>
      <c r="P287" s="13"/>
      <c r="Q287" s="8"/>
      <c r="R287" s="8"/>
      <c r="S287" s="10"/>
      <c r="T287" s="8"/>
      <c r="U287" s="10"/>
      <c r="V287" s="8"/>
    </row>
    <row r="288" spans="1:22">
      <c r="A288" s="8"/>
      <c r="B288" s="8"/>
      <c r="C288" s="8"/>
      <c r="D288" s="8"/>
      <c r="E288" s="8"/>
      <c r="F288" s="8"/>
      <c r="G288" s="8"/>
      <c r="H288" s="8"/>
      <c r="I288" s="8"/>
      <c r="J288" s="13"/>
      <c r="K288" s="13"/>
      <c r="L288" s="13"/>
      <c r="M288" s="13"/>
      <c r="N288" s="13"/>
      <c r="O288" s="8"/>
      <c r="P288" s="13"/>
      <c r="Q288" s="8"/>
      <c r="R288" s="8"/>
      <c r="S288" s="10"/>
      <c r="T288" s="8"/>
      <c r="U288" s="10"/>
      <c r="V288" s="8"/>
    </row>
    <row r="289" spans="1:22">
      <c r="A289" s="8"/>
      <c r="B289" s="8"/>
      <c r="C289" s="8"/>
      <c r="D289" s="8"/>
      <c r="E289" s="8"/>
      <c r="F289" s="8"/>
      <c r="G289" s="8"/>
      <c r="H289" s="8"/>
      <c r="I289" s="8"/>
      <c r="J289" s="13"/>
      <c r="K289" s="13"/>
      <c r="L289" s="13"/>
      <c r="M289" s="13"/>
      <c r="N289" s="13"/>
      <c r="O289" s="8"/>
      <c r="P289" s="13"/>
      <c r="Q289" s="8"/>
      <c r="R289" s="8"/>
      <c r="S289" s="10"/>
      <c r="T289" s="8"/>
      <c r="U289" s="10"/>
      <c r="V289" s="8"/>
    </row>
    <row r="290" spans="1:22">
      <c r="A290" s="8"/>
      <c r="B290" s="8"/>
      <c r="C290" s="8"/>
      <c r="D290" s="8"/>
      <c r="E290" s="8"/>
      <c r="F290" s="8"/>
      <c r="G290" s="8"/>
      <c r="H290" s="8"/>
      <c r="I290" s="8"/>
      <c r="J290" s="13"/>
      <c r="K290" s="13"/>
      <c r="L290" s="13"/>
      <c r="M290" s="13"/>
      <c r="N290" s="13"/>
      <c r="O290" s="8"/>
      <c r="P290" s="13"/>
      <c r="Q290" s="8"/>
      <c r="R290" s="8"/>
      <c r="S290" s="10"/>
      <c r="T290" s="8"/>
      <c r="U290" s="10"/>
      <c r="V290" s="8"/>
    </row>
    <row r="291" spans="1:22">
      <c r="A291" s="8"/>
      <c r="B291" s="8"/>
      <c r="C291" s="8"/>
      <c r="D291" s="8"/>
      <c r="E291" s="8"/>
      <c r="F291" s="8"/>
      <c r="G291" s="8"/>
      <c r="H291" s="8"/>
      <c r="I291" s="8"/>
      <c r="J291" s="13"/>
      <c r="K291" s="13"/>
      <c r="L291" s="13"/>
      <c r="M291" s="13"/>
      <c r="N291" s="13"/>
      <c r="O291" s="8"/>
      <c r="P291" s="13"/>
      <c r="Q291" s="8"/>
      <c r="R291" s="8"/>
      <c r="S291" s="10"/>
      <c r="T291" s="8"/>
      <c r="U291" s="10"/>
      <c r="V291" s="8"/>
    </row>
    <row r="292" spans="1:22">
      <c r="A292" s="8"/>
      <c r="B292" s="8"/>
      <c r="C292" s="8"/>
      <c r="D292" s="8"/>
      <c r="E292" s="8"/>
      <c r="F292" s="8"/>
      <c r="G292" s="8"/>
      <c r="H292" s="8"/>
      <c r="I292" s="8"/>
      <c r="J292" s="13"/>
      <c r="K292" s="13"/>
      <c r="L292" s="13"/>
      <c r="M292" s="13"/>
      <c r="N292" s="13"/>
      <c r="O292" s="8"/>
      <c r="P292" s="13"/>
      <c r="Q292" s="8"/>
      <c r="R292" s="8"/>
      <c r="S292" s="10"/>
      <c r="T292" s="8"/>
      <c r="U292" s="10"/>
      <c r="V292" s="8"/>
    </row>
    <row r="293" spans="1:22">
      <c r="A293" s="8"/>
      <c r="B293" s="8"/>
      <c r="C293" s="8"/>
      <c r="D293" s="8"/>
      <c r="E293" s="8"/>
      <c r="F293" s="8"/>
      <c r="G293" s="8"/>
      <c r="H293" s="8"/>
      <c r="I293" s="8"/>
      <c r="J293" s="13"/>
      <c r="K293" s="13"/>
      <c r="L293" s="13"/>
      <c r="M293" s="13"/>
      <c r="N293" s="13"/>
      <c r="O293" s="8"/>
      <c r="P293" s="13"/>
      <c r="Q293" s="8"/>
      <c r="R293" s="8"/>
      <c r="S293" s="10"/>
      <c r="T293" s="8"/>
      <c r="U293" s="10"/>
      <c r="V293" s="8"/>
    </row>
    <row r="294" spans="1:22">
      <c r="A294" s="8"/>
      <c r="B294" s="8"/>
      <c r="C294" s="8"/>
      <c r="D294" s="8"/>
      <c r="E294" s="8"/>
      <c r="F294" s="8"/>
      <c r="G294" s="8"/>
      <c r="H294" s="8"/>
      <c r="I294" s="8"/>
      <c r="J294" s="13"/>
      <c r="K294" s="13"/>
      <c r="L294" s="13"/>
      <c r="M294" s="13"/>
      <c r="N294" s="13"/>
      <c r="O294" s="8"/>
      <c r="P294" s="13"/>
      <c r="Q294" s="8"/>
      <c r="R294" s="8"/>
      <c r="S294" s="10"/>
      <c r="T294" s="8"/>
      <c r="U294" s="10"/>
      <c r="V294" s="8"/>
    </row>
    <row r="295" spans="1:22">
      <c r="A295" s="8"/>
      <c r="B295" s="8"/>
      <c r="C295" s="8"/>
      <c r="D295" s="8"/>
      <c r="E295" s="8"/>
      <c r="F295" s="8"/>
      <c r="G295" s="8"/>
      <c r="H295" s="8"/>
      <c r="I295" s="8"/>
      <c r="J295" s="13"/>
      <c r="K295" s="13"/>
      <c r="L295" s="13"/>
      <c r="M295" s="13"/>
      <c r="N295" s="13"/>
      <c r="O295" s="8"/>
      <c r="P295" s="13"/>
      <c r="Q295" s="8"/>
      <c r="R295" s="8"/>
      <c r="S295" s="10"/>
      <c r="T295" s="8"/>
      <c r="U295" s="10"/>
      <c r="V295" s="8"/>
    </row>
    <row r="296" spans="1:22">
      <c r="A296" s="8"/>
      <c r="B296" s="8"/>
      <c r="C296" s="8"/>
      <c r="D296" s="8"/>
      <c r="E296" s="8"/>
      <c r="F296" s="8"/>
      <c r="G296" s="8"/>
      <c r="H296" s="8"/>
      <c r="I296" s="8"/>
      <c r="J296" s="13"/>
      <c r="K296" s="13"/>
      <c r="L296" s="13"/>
      <c r="M296" s="13"/>
      <c r="N296" s="13"/>
      <c r="O296" s="8"/>
      <c r="P296" s="13"/>
      <c r="Q296" s="8"/>
      <c r="R296" s="8"/>
      <c r="S296" s="10"/>
      <c r="T296" s="8"/>
      <c r="U296" s="10"/>
      <c r="V296" s="8"/>
    </row>
    <row r="297" spans="1:22">
      <c r="A297" s="8"/>
      <c r="B297" s="8"/>
      <c r="C297" s="8"/>
      <c r="D297" s="8"/>
      <c r="E297" s="8"/>
      <c r="F297" s="8"/>
      <c r="G297" s="8"/>
      <c r="H297" s="8"/>
      <c r="I297" s="8"/>
      <c r="J297" s="13"/>
      <c r="K297" s="13"/>
      <c r="L297" s="13"/>
      <c r="M297" s="13"/>
      <c r="N297" s="13"/>
      <c r="O297" s="8"/>
      <c r="P297" s="13"/>
      <c r="Q297" s="8"/>
      <c r="R297" s="8"/>
      <c r="S297" s="10"/>
      <c r="T297" s="8"/>
      <c r="U297" s="10"/>
      <c r="V297" s="8"/>
    </row>
    <row r="298" spans="1:22">
      <c r="A298" s="8"/>
      <c r="B298" s="8"/>
      <c r="C298" s="8"/>
      <c r="D298" s="8"/>
      <c r="E298" s="8"/>
      <c r="F298" s="8"/>
      <c r="G298" s="8"/>
      <c r="H298" s="8"/>
      <c r="I298" s="8"/>
      <c r="J298" s="13"/>
      <c r="K298" s="13"/>
      <c r="L298" s="13"/>
      <c r="M298" s="13"/>
      <c r="N298" s="13"/>
      <c r="O298" s="8"/>
      <c r="P298" s="13"/>
      <c r="Q298" s="8"/>
      <c r="R298" s="8"/>
      <c r="S298" s="10"/>
      <c r="T298" s="8"/>
      <c r="U298" s="10"/>
      <c r="V298" s="8"/>
    </row>
    <row r="299" spans="1:22">
      <c r="A299" s="8"/>
      <c r="B299" s="8"/>
      <c r="C299" s="8"/>
      <c r="D299" s="8"/>
      <c r="E299" s="8"/>
      <c r="F299" s="8"/>
      <c r="G299" s="8"/>
      <c r="H299" s="8"/>
      <c r="I299" s="8"/>
      <c r="J299" s="13"/>
      <c r="K299" s="13"/>
      <c r="L299" s="13"/>
      <c r="M299" s="13"/>
      <c r="N299" s="13"/>
      <c r="O299" s="8"/>
      <c r="P299" s="13"/>
      <c r="Q299" s="8"/>
      <c r="R299" s="8"/>
      <c r="S299" s="10"/>
      <c r="T299" s="8"/>
      <c r="U299" s="10"/>
      <c r="V299" s="8"/>
    </row>
    <row r="300" spans="1:22">
      <c r="A300" s="8"/>
      <c r="B300" s="8"/>
      <c r="C300" s="8"/>
      <c r="D300" s="8"/>
      <c r="E300" s="8"/>
      <c r="F300" s="8"/>
      <c r="G300" s="8"/>
      <c r="H300" s="8"/>
      <c r="I300" s="8"/>
      <c r="J300" s="13"/>
      <c r="K300" s="13"/>
      <c r="L300" s="13"/>
      <c r="M300" s="13"/>
      <c r="N300" s="13"/>
      <c r="O300" s="8"/>
      <c r="P300" s="13"/>
      <c r="Q300" s="8"/>
      <c r="R300" s="8"/>
      <c r="S300" s="10"/>
      <c r="T300" s="8"/>
      <c r="U300" s="10"/>
      <c r="V300" s="8"/>
    </row>
    <row r="301" spans="1:22">
      <c r="A301" s="8"/>
      <c r="B301" s="8"/>
      <c r="C301" s="8"/>
      <c r="D301" s="8"/>
      <c r="E301" s="8"/>
      <c r="F301" s="8"/>
      <c r="G301" s="8"/>
      <c r="H301" s="8"/>
      <c r="I301" s="8"/>
      <c r="J301" s="13"/>
      <c r="K301" s="13"/>
      <c r="L301" s="13"/>
      <c r="M301" s="13"/>
      <c r="N301" s="13"/>
      <c r="O301" s="8"/>
      <c r="P301" s="13"/>
      <c r="Q301" s="8"/>
      <c r="R301" s="8"/>
      <c r="S301" s="10"/>
      <c r="T301" s="8"/>
      <c r="U301" s="10"/>
      <c r="V301" s="8"/>
    </row>
    <row r="302" spans="1:22">
      <c r="A302" s="8"/>
      <c r="B302" s="8"/>
      <c r="C302" s="8"/>
      <c r="D302" s="8"/>
      <c r="E302" s="8"/>
      <c r="F302" s="8"/>
      <c r="G302" s="8"/>
      <c r="H302" s="8"/>
      <c r="I302" s="8"/>
      <c r="J302" s="13"/>
      <c r="K302" s="13"/>
      <c r="L302" s="13"/>
      <c r="M302" s="13"/>
      <c r="N302" s="13"/>
      <c r="O302" s="8"/>
      <c r="P302" s="13"/>
      <c r="Q302" s="8"/>
      <c r="R302" s="8"/>
      <c r="S302" s="10"/>
      <c r="T302" s="8"/>
      <c r="U302" s="10"/>
      <c r="V302" s="8"/>
    </row>
    <row r="303" spans="1:22">
      <c r="A303" s="8"/>
      <c r="B303" s="8"/>
      <c r="C303" s="8"/>
      <c r="D303" s="8"/>
      <c r="E303" s="8"/>
      <c r="F303" s="8"/>
      <c r="G303" s="8"/>
      <c r="H303" s="8"/>
      <c r="I303" s="8"/>
      <c r="J303" s="13"/>
      <c r="K303" s="13"/>
      <c r="L303" s="13"/>
      <c r="M303" s="13"/>
      <c r="N303" s="13"/>
      <c r="O303" s="8"/>
      <c r="P303" s="13"/>
      <c r="Q303" s="8"/>
      <c r="R303" s="8"/>
      <c r="S303" s="10"/>
      <c r="T303" s="8"/>
      <c r="U303" s="10"/>
      <c r="V303" s="8"/>
    </row>
    <row r="304" spans="1:22">
      <c r="A304" s="8"/>
      <c r="B304" s="8"/>
      <c r="C304" s="8"/>
      <c r="D304" s="8"/>
      <c r="E304" s="8"/>
      <c r="F304" s="8"/>
      <c r="G304" s="8"/>
      <c r="H304" s="8"/>
      <c r="I304" s="8"/>
      <c r="J304" s="13"/>
      <c r="K304" s="13"/>
      <c r="L304" s="13"/>
      <c r="M304" s="13"/>
      <c r="N304" s="13"/>
      <c r="O304" s="8"/>
      <c r="P304" s="13"/>
      <c r="Q304" s="8"/>
      <c r="R304" s="8"/>
      <c r="S304" s="10"/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92" priority="9"/>
  </conditionalFormatting>
  <conditionalFormatting sqref="Q5:Q304">
    <cfRule type="containsText" dxfId="91" priority="1" operator="containsText" text="Approved"/>
    <cfRule type="containsText" dxfId="90" priority="4" operator="containsText" text="Failed"/>
    <cfRule type="containsText" dxfId="89" priority="7" operator="containsText" text="On Hold"/>
  </conditionalFormatting>
  <dataValidations count="1">
    <dataValidation type="list" sqref="Q5:Q304" xr:uid="{00000000-0002-0000-0A00-000000000000}">
      <formula1>"Good,Damaged,Wet,Dirty,Short Roll,On Hold"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4"/>
  <sheetViews>
    <sheetView showGridLines="0" workbookViewId="0">
      <selection sqref="A1:X1"/>
    </sheetView>
  </sheetViews>
  <sheetFormatPr baseColWidth="10" defaultColWidth="8.83203125" defaultRowHeight="14"/>
  <cols>
    <col min="1" max="2" width="14" customWidth="1"/>
    <col min="3" max="3" width="17" customWidth="1"/>
    <col min="4" max="4" width="18" customWidth="1"/>
    <col min="5" max="7" width="14" customWidth="1"/>
    <col min="8" max="8" width="12" customWidth="1"/>
    <col min="9" max="9" width="18" customWidth="1"/>
    <col min="10" max="13" width="10" customWidth="1"/>
    <col min="14" max="14" width="13" customWidth="1"/>
    <col min="15" max="15" width="18" customWidth="1"/>
    <col min="16" max="16" width="13" customWidth="1"/>
    <col min="17" max="18" width="14" customWidth="1"/>
    <col min="19" max="19" width="13" customWidth="1"/>
    <col min="20" max="20" width="15" customWidth="1"/>
    <col min="21" max="21" width="14" customWidth="1"/>
    <col min="22" max="22" width="21" customWidth="1"/>
    <col min="23" max="23" width="15" customWidth="1"/>
    <col min="24" max="24" width="24" customWidth="1"/>
  </cols>
  <sheetData>
    <row r="1" spans="1:24" ht="30" customHeight="1">
      <c r="A1" s="52" t="s">
        <v>200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4" spans="1:24" ht="44" customHeight="1">
      <c r="A4" s="6" t="s">
        <v>201</v>
      </c>
      <c r="B4" s="6" t="s">
        <v>202</v>
      </c>
      <c r="C4" s="6" t="s">
        <v>177</v>
      </c>
      <c r="D4" s="6" t="s">
        <v>118</v>
      </c>
      <c r="E4" s="6" t="s">
        <v>44</v>
      </c>
      <c r="F4" s="6" t="s">
        <v>136</v>
      </c>
      <c r="G4" s="6" t="s">
        <v>191</v>
      </c>
      <c r="H4" s="6" t="s">
        <v>203</v>
      </c>
      <c r="I4" s="6" t="s">
        <v>204</v>
      </c>
      <c r="J4" s="6" t="s">
        <v>205</v>
      </c>
      <c r="K4" s="6" t="s">
        <v>206</v>
      </c>
      <c r="L4" s="6" t="s">
        <v>207</v>
      </c>
      <c r="M4" s="6" t="s">
        <v>208</v>
      </c>
      <c r="N4" s="6" t="s">
        <v>209</v>
      </c>
      <c r="O4" s="6" t="s">
        <v>210</v>
      </c>
      <c r="P4" s="6" t="s">
        <v>211</v>
      </c>
      <c r="Q4" s="6" t="s">
        <v>212</v>
      </c>
      <c r="R4" s="6" t="s">
        <v>213</v>
      </c>
      <c r="S4" s="6" t="s">
        <v>214</v>
      </c>
      <c r="T4" s="6" t="s">
        <v>215</v>
      </c>
      <c r="U4" s="6" t="s">
        <v>216</v>
      </c>
      <c r="V4" s="6" t="s">
        <v>160</v>
      </c>
      <c r="W4" s="6" t="s">
        <v>63</v>
      </c>
      <c r="X4" s="6" t="s">
        <v>161</v>
      </c>
    </row>
    <row r="5" spans="1:24">
      <c r="A5" s="8"/>
      <c r="B5" s="10"/>
      <c r="C5" s="8"/>
      <c r="D5" s="8"/>
      <c r="E5" s="8"/>
      <c r="F5" s="8"/>
      <c r="G5" s="8"/>
      <c r="H5" s="13"/>
      <c r="I5" s="13"/>
      <c r="J5" s="8"/>
      <c r="K5" s="8"/>
      <c r="L5" s="8"/>
      <c r="M5" s="8"/>
      <c r="N5" s="14" t="str">
        <f t="shared" ref="N5:N68" si="0">IF(A5="","",J5+2*K5+3*L5+4*M5)</f>
        <v/>
      </c>
      <c r="O5" s="14" t="str">
        <f t="shared" ref="O5:O68" si="1">IF(OR(A5="",H5=0,I5=0),"",N5*3600/(H5*I5))</f>
        <v/>
      </c>
      <c r="P5" s="14" t="str">
        <f>IF(A5="","",Lists!$K$2)</f>
        <v/>
      </c>
      <c r="Q5" s="13"/>
      <c r="R5" s="13"/>
      <c r="S5" s="13"/>
      <c r="T5" s="9" t="str">
        <f t="shared" ref="T5:T68" si="2">IF(A5="","",IF(O5&lt;=P5,"Passed","Failed"))</f>
        <v/>
      </c>
      <c r="U5" s="8"/>
      <c r="V5" s="8"/>
      <c r="W5" s="10"/>
      <c r="X5" s="8"/>
    </row>
    <row r="6" spans="1:24">
      <c r="A6" s="8"/>
      <c r="B6" s="10"/>
      <c r="C6" s="8"/>
      <c r="D6" s="8"/>
      <c r="E6" s="8"/>
      <c r="F6" s="8"/>
      <c r="G6" s="8"/>
      <c r="H6" s="13"/>
      <c r="I6" s="13"/>
      <c r="J6" s="8"/>
      <c r="K6" s="8"/>
      <c r="L6" s="8"/>
      <c r="M6" s="8"/>
      <c r="N6" s="14" t="str">
        <f t="shared" si="0"/>
        <v/>
      </c>
      <c r="O6" s="14" t="str">
        <f t="shared" si="1"/>
        <v/>
      </c>
      <c r="P6" s="14" t="str">
        <f>IF(A6="","",Lists!$K$2)</f>
        <v/>
      </c>
      <c r="Q6" s="13"/>
      <c r="R6" s="13"/>
      <c r="S6" s="13"/>
      <c r="T6" s="9" t="str">
        <f t="shared" si="2"/>
        <v/>
      </c>
      <c r="U6" s="8"/>
      <c r="V6" s="8"/>
      <c r="W6" s="10"/>
      <c r="X6" s="8"/>
    </row>
    <row r="7" spans="1:24">
      <c r="A7" s="8"/>
      <c r="B7" s="10"/>
      <c r="C7" s="8"/>
      <c r="D7" s="8"/>
      <c r="E7" s="8"/>
      <c r="F7" s="8"/>
      <c r="G7" s="8"/>
      <c r="H7" s="13"/>
      <c r="I7" s="13"/>
      <c r="J7" s="8"/>
      <c r="K7" s="8"/>
      <c r="L7" s="8"/>
      <c r="M7" s="8"/>
      <c r="N7" s="14" t="str">
        <f t="shared" si="0"/>
        <v/>
      </c>
      <c r="O7" s="14" t="str">
        <f t="shared" si="1"/>
        <v/>
      </c>
      <c r="P7" s="14" t="str">
        <f>IF(A7="","",Lists!$K$2)</f>
        <v/>
      </c>
      <c r="Q7" s="13"/>
      <c r="R7" s="13"/>
      <c r="S7" s="13"/>
      <c r="T7" s="9" t="str">
        <f t="shared" si="2"/>
        <v/>
      </c>
      <c r="U7" s="8"/>
      <c r="V7" s="8"/>
      <c r="W7" s="10"/>
      <c r="X7" s="8"/>
    </row>
    <row r="8" spans="1:24">
      <c r="A8" s="8"/>
      <c r="B8" s="10"/>
      <c r="C8" s="8"/>
      <c r="D8" s="8"/>
      <c r="E8" s="8"/>
      <c r="F8" s="8"/>
      <c r="G8" s="8"/>
      <c r="H8" s="13"/>
      <c r="I8" s="13"/>
      <c r="J8" s="8"/>
      <c r="K8" s="8"/>
      <c r="L8" s="8"/>
      <c r="M8" s="8"/>
      <c r="N8" s="14" t="str">
        <f t="shared" si="0"/>
        <v/>
      </c>
      <c r="O8" s="14" t="str">
        <f t="shared" si="1"/>
        <v/>
      </c>
      <c r="P8" s="14" t="str">
        <f>IF(A8="","",Lists!$K$2)</f>
        <v/>
      </c>
      <c r="Q8" s="13"/>
      <c r="R8" s="13"/>
      <c r="S8" s="13"/>
      <c r="T8" s="9" t="str">
        <f t="shared" si="2"/>
        <v/>
      </c>
      <c r="U8" s="8"/>
      <c r="V8" s="8"/>
      <c r="W8" s="10"/>
      <c r="X8" s="8"/>
    </row>
    <row r="9" spans="1:24">
      <c r="A9" s="8"/>
      <c r="B9" s="10"/>
      <c r="C9" s="8"/>
      <c r="D9" s="8"/>
      <c r="E9" s="8"/>
      <c r="F9" s="8"/>
      <c r="G9" s="8"/>
      <c r="H9" s="13"/>
      <c r="I9" s="13"/>
      <c r="J9" s="8"/>
      <c r="K9" s="8"/>
      <c r="L9" s="8"/>
      <c r="M9" s="8"/>
      <c r="N9" s="14" t="str">
        <f t="shared" si="0"/>
        <v/>
      </c>
      <c r="O9" s="14" t="str">
        <f t="shared" si="1"/>
        <v/>
      </c>
      <c r="P9" s="14" t="str">
        <f>IF(A9="","",Lists!$K$2)</f>
        <v/>
      </c>
      <c r="Q9" s="13"/>
      <c r="R9" s="13"/>
      <c r="S9" s="13"/>
      <c r="T9" s="9" t="str">
        <f t="shared" si="2"/>
        <v/>
      </c>
      <c r="U9" s="8"/>
      <c r="V9" s="8"/>
      <c r="W9" s="10"/>
      <c r="X9" s="8"/>
    </row>
    <row r="10" spans="1:24">
      <c r="A10" s="8"/>
      <c r="B10" s="10"/>
      <c r="C10" s="8"/>
      <c r="D10" s="8"/>
      <c r="E10" s="8"/>
      <c r="F10" s="8"/>
      <c r="G10" s="8"/>
      <c r="H10" s="13"/>
      <c r="I10" s="13"/>
      <c r="J10" s="8"/>
      <c r="K10" s="8"/>
      <c r="L10" s="8"/>
      <c r="M10" s="8"/>
      <c r="N10" s="14" t="str">
        <f t="shared" si="0"/>
        <v/>
      </c>
      <c r="O10" s="14" t="str">
        <f t="shared" si="1"/>
        <v/>
      </c>
      <c r="P10" s="14" t="str">
        <f>IF(A10="","",Lists!$K$2)</f>
        <v/>
      </c>
      <c r="Q10" s="13"/>
      <c r="R10" s="13"/>
      <c r="S10" s="13"/>
      <c r="T10" s="9" t="str">
        <f t="shared" si="2"/>
        <v/>
      </c>
      <c r="U10" s="8"/>
      <c r="V10" s="8"/>
      <c r="W10" s="10"/>
      <c r="X10" s="8"/>
    </row>
    <row r="11" spans="1:24">
      <c r="A11" s="8"/>
      <c r="B11" s="10"/>
      <c r="C11" s="8"/>
      <c r="D11" s="8"/>
      <c r="E11" s="8"/>
      <c r="F11" s="8"/>
      <c r="G11" s="8"/>
      <c r="H11" s="13"/>
      <c r="I11" s="13"/>
      <c r="J11" s="8"/>
      <c r="K11" s="8"/>
      <c r="L11" s="8"/>
      <c r="M11" s="8"/>
      <c r="N11" s="14" t="str">
        <f t="shared" si="0"/>
        <v/>
      </c>
      <c r="O11" s="14" t="str">
        <f t="shared" si="1"/>
        <v/>
      </c>
      <c r="P11" s="14" t="str">
        <f>IF(A11="","",Lists!$K$2)</f>
        <v/>
      </c>
      <c r="Q11" s="13"/>
      <c r="R11" s="13"/>
      <c r="S11" s="13"/>
      <c r="T11" s="9" t="str">
        <f t="shared" si="2"/>
        <v/>
      </c>
      <c r="U11" s="8"/>
      <c r="V11" s="8"/>
      <c r="W11" s="10"/>
      <c r="X11" s="8"/>
    </row>
    <row r="12" spans="1:24">
      <c r="A12" s="8"/>
      <c r="B12" s="10"/>
      <c r="C12" s="8"/>
      <c r="D12" s="8"/>
      <c r="E12" s="8"/>
      <c r="F12" s="8"/>
      <c r="G12" s="8"/>
      <c r="H12" s="13"/>
      <c r="I12" s="13"/>
      <c r="J12" s="8"/>
      <c r="K12" s="8"/>
      <c r="L12" s="8"/>
      <c r="M12" s="8"/>
      <c r="N12" s="14" t="str">
        <f t="shared" si="0"/>
        <v/>
      </c>
      <c r="O12" s="14" t="str">
        <f t="shared" si="1"/>
        <v/>
      </c>
      <c r="P12" s="14" t="str">
        <f>IF(A12="","",Lists!$K$2)</f>
        <v/>
      </c>
      <c r="Q12" s="13"/>
      <c r="R12" s="13"/>
      <c r="S12" s="13"/>
      <c r="T12" s="9" t="str">
        <f t="shared" si="2"/>
        <v/>
      </c>
      <c r="U12" s="8"/>
      <c r="V12" s="8"/>
      <c r="W12" s="10"/>
      <c r="X12" s="8"/>
    </row>
    <row r="13" spans="1:24">
      <c r="A13" s="8"/>
      <c r="B13" s="10"/>
      <c r="C13" s="8"/>
      <c r="D13" s="8"/>
      <c r="E13" s="8"/>
      <c r="F13" s="8"/>
      <c r="G13" s="8"/>
      <c r="H13" s="13"/>
      <c r="I13" s="13"/>
      <c r="J13" s="8"/>
      <c r="K13" s="8"/>
      <c r="L13" s="8"/>
      <c r="M13" s="8"/>
      <c r="N13" s="14" t="str">
        <f t="shared" si="0"/>
        <v/>
      </c>
      <c r="O13" s="14" t="str">
        <f t="shared" si="1"/>
        <v/>
      </c>
      <c r="P13" s="14" t="str">
        <f>IF(A13="","",Lists!$K$2)</f>
        <v/>
      </c>
      <c r="Q13" s="13"/>
      <c r="R13" s="13"/>
      <c r="S13" s="13"/>
      <c r="T13" s="9" t="str">
        <f t="shared" si="2"/>
        <v/>
      </c>
      <c r="U13" s="8"/>
      <c r="V13" s="8"/>
      <c r="W13" s="10"/>
      <c r="X13" s="8"/>
    </row>
    <row r="14" spans="1:24">
      <c r="A14" s="8"/>
      <c r="B14" s="10"/>
      <c r="C14" s="8"/>
      <c r="D14" s="8"/>
      <c r="E14" s="8"/>
      <c r="F14" s="8"/>
      <c r="G14" s="8"/>
      <c r="H14" s="13"/>
      <c r="I14" s="13"/>
      <c r="J14" s="8"/>
      <c r="K14" s="8"/>
      <c r="L14" s="8"/>
      <c r="M14" s="8"/>
      <c r="N14" s="14" t="str">
        <f t="shared" si="0"/>
        <v/>
      </c>
      <c r="O14" s="14" t="str">
        <f t="shared" si="1"/>
        <v/>
      </c>
      <c r="P14" s="14" t="str">
        <f>IF(A14="","",Lists!$K$2)</f>
        <v/>
      </c>
      <c r="Q14" s="13"/>
      <c r="R14" s="13"/>
      <c r="S14" s="13"/>
      <c r="T14" s="9" t="str">
        <f t="shared" si="2"/>
        <v/>
      </c>
      <c r="U14" s="8"/>
      <c r="V14" s="8"/>
      <c r="W14" s="10"/>
      <c r="X14" s="8"/>
    </row>
    <row r="15" spans="1:24">
      <c r="A15" s="8"/>
      <c r="B15" s="10"/>
      <c r="C15" s="8"/>
      <c r="D15" s="8"/>
      <c r="E15" s="8"/>
      <c r="F15" s="8"/>
      <c r="G15" s="8"/>
      <c r="H15" s="13"/>
      <c r="I15" s="13"/>
      <c r="J15" s="8"/>
      <c r="K15" s="8"/>
      <c r="L15" s="8"/>
      <c r="M15" s="8"/>
      <c r="N15" s="14" t="str">
        <f t="shared" si="0"/>
        <v/>
      </c>
      <c r="O15" s="14" t="str">
        <f t="shared" si="1"/>
        <v/>
      </c>
      <c r="P15" s="14" t="str">
        <f>IF(A15="","",Lists!$K$2)</f>
        <v/>
      </c>
      <c r="Q15" s="13"/>
      <c r="R15" s="13"/>
      <c r="S15" s="13"/>
      <c r="T15" s="9" t="str">
        <f t="shared" si="2"/>
        <v/>
      </c>
      <c r="U15" s="8"/>
      <c r="V15" s="8"/>
      <c r="W15" s="10"/>
      <c r="X15" s="8"/>
    </row>
    <row r="16" spans="1:24">
      <c r="A16" s="8"/>
      <c r="B16" s="10"/>
      <c r="C16" s="8"/>
      <c r="D16" s="8"/>
      <c r="E16" s="8"/>
      <c r="F16" s="8"/>
      <c r="G16" s="8"/>
      <c r="H16" s="13"/>
      <c r="I16" s="13"/>
      <c r="J16" s="8"/>
      <c r="K16" s="8"/>
      <c r="L16" s="8"/>
      <c r="M16" s="8"/>
      <c r="N16" s="14" t="str">
        <f t="shared" si="0"/>
        <v/>
      </c>
      <c r="O16" s="14" t="str">
        <f t="shared" si="1"/>
        <v/>
      </c>
      <c r="P16" s="14" t="str">
        <f>IF(A16="","",Lists!$K$2)</f>
        <v/>
      </c>
      <c r="Q16" s="13"/>
      <c r="R16" s="13"/>
      <c r="S16" s="13"/>
      <c r="T16" s="9" t="str">
        <f t="shared" si="2"/>
        <v/>
      </c>
      <c r="U16" s="8"/>
      <c r="V16" s="8"/>
      <c r="W16" s="10"/>
      <c r="X16" s="8"/>
    </row>
    <row r="17" spans="1:24">
      <c r="A17" s="8"/>
      <c r="B17" s="10"/>
      <c r="C17" s="8"/>
      <c r="D17" s="8"/>
      <c r="E17" s="8"/>
      <c r="F17" s="8"/>
      <c r="G17" s="8"/>
      <c r="H17" s="13"/>
      <c r="I17" s="13"/>
      <c r="J17" s="8"/>
      <c r="K17" s="8"/>
      <c r="L17" s="8"/>
      <c r="M17" s="8"/>
      <c r="N17" s="14" t="str">
        <f t="shared" si="0"/>
        <v/>
      </c>
      <c r="O17" s="14" t="str">
        <f t="shared" si="1"/>
        <v/>
      </c>
      <c r="P17" s="14" t="str">
        <f>IF(A17="","",Lists!$K$2)</f>
        <v/>
      </c>
      <c r="Q17" s="13"/>
      <c r="R17" s="13"/>
      <c r="S17" s="13"/>
      <c r="T17" s="9" t="str">
        <f t="shared" si="2"/>
        <v/>
      </c>
      <c r="U17" s="8"/>
      <c r="V17" s="8"/>
      <c r="W17" s="10"/>
      <c r="X17" s="8"/>
    </row>
    <row r="18" spans="1:24">
      <c r="A18" s="8"/>
      <c r="B18" s="10"/>
      <c r="C18" s="8"/>
      <c r="D18" s="8"/>
      <c r="E18" s="8"/>
      <c r="F18" s="8"/>
      <c r="G18" s="8"/>
      <c r="H18" s="13"/>
      <c r="I18" s="13"/>
      <c r="J18" s="8"/>
      <c r="K18" s="8"/>
      <c r="L18" s="8"/>
      <c r="M18" s="8"/>
      <c r="N18" s="14" t="str">
        <f t="shared" si="0"/>
        <v/>
      </c>
      <c r="O18" s="14" t="str">
        <f t="shared" si="1"/>
        <v/>
      </c>
      <c r="P18" s="14" t="str">
        <f>IF(A18="","",Lists!$K$2)</f>
        <v/>
      </c>
      <c r="Q18" s="13"/>
      <c r="R18" s="13"/>
      <c r="S18" s="13"/>
      <c r="T18" s="9" t="str">
        <f t="shared" si="2"/>
        <v/>
      </c>
      <c r="U18" s="8"/>
      <c r="V18" s="8"/>
      <c r="W18" s="10"/>
      <c r="X18" s="8"/>
    </row>
    <row r="19" spans="1:24">
      <c r="A19" s="8"/>
      <c r="B19" s="10"/>
      <c r="C19" s="8"/>
      <c r="D19" s="8"/>
      <c r="E19" s="8"/>
      <c r="F19" s="8"/>
      <c r="G19" s="8"/>
      <c r="H19" s="13"/>
      <c r="I19" s="13"/>
      <c r="J19" s="8"/>
      <c r="K19" s="8"/>
      <c r="L19" s="8"/>
      <c r="M19" s="8"/>
      <c r="N19" s="14" t="str">
        <f t="shared" si="0"/>
        <v/>
      </c>
      <c r="O19" s="14" t="str">
        <f t="shared" si="1"/>
        <v/>
      </c>
      <c r="P19" s="14" t="str">
        <f>IF(A19="","",Lists!$K$2)</f>
        <v/>
      </c>
      <c r="Q19" s="13"/>
      <c r="R19" s="13"/>
      <c r="S19" s="13"/>
      <c r="T19" s="9" t="str">
        <f t="shared" si="2"/>
        <v/>
      </c>
      <c r="U19" s="8"/>
      <c r="V19" s="8"/>
      <c r="W19" s="10"/>
      <c r="X19" s="8"/>
    </row>
    <row r="20" spans="1:24">
      <c r="A20" s="8"/>
      <c r="B20" s="10"/>
      <c r="C20" s="8"/>
      <c r="D20" s="8"/>
      <c r="E20" s="8"/>
      <c r="F20" s="8"/>
      <c r="G20" s="8"/>
      <c r="H20" s="13"/>
      <c r="I20" s="13"/>
      <c r="J20" s="8"/>
      <c r="K20" s="8"/>
      <c r="L20" s="8"/>
      <c r="M20" s="8"/>
      <c r="N20" s="14" t="str">
        <f t="shared" si="0"/>
        <v/>
      </c>
      <c r="O20" s="14" t="str">
        <f t="shared" si="1"/>
        <v/>
      </c>
      <c r="P20" s="14" t="str">
        <f>IF(A20="","",Lists!$K$2)</f>
        <v/>
      </c>
      <c r="Q20" s="13"/>
      <c r="R20" s="13"/>
      <c r="S20" s="13"/>
      <c r="T20" s="9" t="str">
        <f t="shared" si="2"/>
        <v/>
      </c>
      <c r="U20" s="8"/>
      <c r="V20" s="8"/>
      <c r="W20" s="10"/>
      <c r="X20" s="8"/>
    </row>
    <row r="21" spans="1:24">
      <c r="A21" s="8"/>
      <c r="B21" s="10"/>
      <c r="C21" s="8"/>
      <c r="D21" s="8"/>
      <c r="E21" s="8"/>
      <c r="F21" s="8"/>
      <c r="G21" s="8"/>
      <c r="H21" s="13"/>
      <c r="I21" s="13"/>
      <c r="J21" s="8"/>
      <c r="K21" s="8"/>
      <c r="L21" s="8"/>
      <c r="M21" s="8"/>
      <c r="N21" s="14" t="str">
        <f t="shared" si="0"/>
        <v/>
      </c>
      <c r="O21" s="14" t="str">
        <f t="shared" si="1"/>
        <v/>
      </c>
      <c r="P21" s="14" t="str">
        <f>IF(A21="","",Lists!$K$2)</f>
        <v/>
      </c>
      <c r="Q21" s="13"/>
      <c r="R21" s="13"/>
      <c r="S21" s="13"/>
      <c r="T21" s="9" t="str">
        <f t="shared" si="2"/>
        <v/>
      </c>
      <c r="U21" s="8"/>
      <c r="V21" s="8"/>
      <c r="W21" s="10"/>
      <c r="X21" s="8"/>
    </row>
    <row r="22" spans="1:24">
      <c r="A22" s="8"/>
      <c r="B22" s="10"/>
      <c r="C22" s="8"/>
      <c r="D22" s="8"/>
      <c r="E22" s="8"/>
      <c r="F22" s="8"/>
      <c r="G22" s="8"/>
      <c r="H22" s="13"/>
      <c r="I22" s="13"/>
      <c r="J22" s="8"/>
      <c r="K22" s="8"/>
      <c r="L22" s="8"/>
      <c r="M22" s="8"/>
      <c r="N22" s="14" t="str">
        <f t="shared" si="0"/>
        <v/>
      </c>
      <c r="O22" s="14" t="str">
        <f t="shared" si="1"/>
        <v/>
      </c>
      <c r="P22" s="14" t="str">
        <f>IF(A22="","",Lists!$K$2)</f>
        <v/>
      </c>
      <c r="Q22" s="13"/>
      <c r="R22" s="13"/>
      <c r="S22" s="13"/>
      <c r="T22" s="9" t="str">
        <f t="shared" si="2"/>
        <v/>
      </c>
      <c r="U22" s="8"/>
      <c r="V22" s="8"/>
      <c r="W22" s="10"/>
      <c r="X22" s="8"/>
    </row>
    <row r="23" spans="1:24">
      <c r="A23" s="8"/>
      <c r="B23" s="10"/>
      <c r="C23" s="8"/>
      <c r="D23" s="8"/>
      <c r="E23" s="8"/>
      <c r="F23" s="8"/>
      <c r="G23" s="8"/>
      <c r="H23" s="13"/>
      <c r="I23" s="13"/>
      <c r="J23" s="8"/>
      <c r="K23" s="8"/>
      <c r="L23" s="8"/>
      <c r="M23" s="8"/>
      <c r="N23" s="14" t="str">
        <f t="shared" si="0"/>
        <v/>
      </c>
      <c r="O23" s="14" t="str">
        <f t="shared" si="1"/>
        <v/>
      </c>
      <c r="P23" s="14" t="str">
        <f>IF(A23="","",Lists!$K$2)</f>
        <v/>
      </c>
      <c r="Q23" s="13"/>
      <c r="R23" s="13"/>
      <c r="S23" s="13"/>
      <c r="T23" s="9" t="str">
        <f t="shared" si="2"/>
        <v/>
      </c>
      <c r="U23" s="8"/>
      <c r="V23" s="8"/>
      <c r="W23" s="10"/>
      <c r="X23" s="8"/>
    </row>
    <row r="24" spans="1:24">
      <c r="A24" s="8"/>
      <c r="B24" s="10"/>
      <c r="C24" s="8"/>
      <c r="D24" s="8"/>
      <c r="E24" s="8"/>
      <c r="F24" s="8"/>
      <c r="G24" s="8"/>
      <c r="H24" s="13"/>
      <c r="I24" s="13"/>
      <c r="J24" s="8"/>
      <c r="K24" s="8"/>
      <c r="L24" s="8"/>
      <c r="M24" s="8"/>
      <c r="N24" s="14" t="str">
        <f t="shared" si="0"/>
        <v/>
      </c>
      <c r="O24" s="14" t="str">
        <f t="shared" si="1"/>
        <v/>
      </c>
      <c r="P24" s="14" t="str">
        <f>IF(A24="","",Lists!$K$2)</f>
        <v/>
      </c>
      <c r="Q24" s="13"/>
      <c r="R24" s="13"/>
      <c r="S24" s="13"/>
      <c r="T24" s="9" t="str">
        <f t="shared" si="2"/>
        <v/>
      </c>
      <c r="U24" s="8"/>
      <c r="V24" s="8"/>
      <c r="W24" s="10"/>
      <c r="X24" s="8"/>
    </row>
    <row r="25" spans="1:24">
      <c r="A25" s="8"/>
      <c r="B25" s="10"/>
      <c r="C25" s="8"/>
      <c r="D25" s="8"/>
      <c r="E25" s="8"/>
      <c r="F25" s="8"/>
      <c r="G25" s="8"/>
      <c r="H25" s="13"/>
      <c r="I25" s="13"/>
      <c r="J25" s="8"/>
      <c r="K25" s="8"/>
      <c r="L25" s="8"/>
      <c r="M25" s="8"/>
      <c r="N25" s="14" t="str">
        <f t="shared" si="0"/>
        <v/>
      </c>
      <c r="O25" s="14" t="str">
        <f t="shared" si="1"/>
        <v/>
      </c>
      <c r="P25" s="14" t="str">
        <f>IF(A25="","",Lists!$K$2)</f>
        <v/>
      </c>
      <c r="Q25" s="13"/>
      <c r="R25" s="13"/>
      <c r="S25" s="13"/>
      <c r="T25" s="9" t="str">
        <f t="shared" si="2"/>
        <v/>
      </c>
      <c r="U25" s="8"/>
      <c r="V25" s="8"/>
      <c r="W25" s="10"/>
      <c r="X25" s="8"/>
    </row>
    <row r="26" spans="1:24">
      <c r="A26" s="8"/>
      <c r="B26" s="10"/>
      <c r="C26" s="8"/>
      <c r="D26" s="8"/>
      <c r="E26" s="8"/>
      <c r="F26" s="8"/>
      <c r="G26" s="8"/>
      <c r="H26" s="13"/>
      <c r="I26" s="13"/>
      <c r="J26" s="8"/>
      <c r="K26" s="8"/>
      <c r="L26" s="8"/>
      <c r="M26" s="8"/>
      <c r="N26" s="14" t="str">
        <f t="shared" si="0"/>
        <v/>
      </c>
      <c r="O26" s="14" t="str">
        <f t="shared" si="1"/>
        <v/>
      </c>
      <c r="P26" s="14" t="str">
        <f>IF(A26="","",Lists!$K$2)</f>
        <v/>
      </c>
      <c r="Q26" s="13"/>
      <c r="R26" s="13"/>
      <c r="S26" s="13"/>
      <c r="T26" s="9" t="str">
        <f t="shared" si="2"/>
        <v/>
      </c>
      <c r="U26" s="8"/>
      <c r="V26" s="8"/>
      <c r="W26" s="10"/>
      <c r="X26" s="8"/>
    </row>
    <row r="27" spans="1:24">
      <c r="A27" s="8"/>
      <c r="B27" s="10"/>
      <c r="C27" s="8"/>
      <c r="D27" s="8"/>
      <c r="E27" s="8"/>
      <c r="F27" s="8"/>
      <c r="G27" s="8"/>
      <c r="H27" s="13"/>
      <c r="I27" s="13"/>
      <c r="J27" s="8"/>
      <c r="K27" s="8"/>
      <c r="L27" s="8"/>
      <c r="M27" s="8"/>
      <c r="N27" s="14" t="str">
        <f t="shared" si="0"/>
        <v/>
      </c>
      <c r="O27" s="14" t="str">
        <f t="shared" si="1"/>
        <v/>
      </c>
      <c r="P27" s="14" t="str">
        <f>IF(A27="","",Lists!$K$2)</f>
        <v/>
      </c>
      <c r="Q27" s="13"/>
      <c r="R27" s="13"/>
      <c r="S27" s="13"/>
      <c r="T27" s="9" t="str">
        <f t="shared" si="2"/>
        <v/>
      </c>
      <c r="U27" s="8"/>
      <c r="V27" s="8"/>
      <c r="W27" s="10"/>
      <c r="X27" s="8"/>
    </row>
    <row r="28" spans="1:24">
      <c r="A28" s="8"/>
      <c r="B28" s="10"/>
      <c r="C28" s="8"/>
      <c r="D28" s="8"/>
      <c r="E28" s="8"/>
      <c r="F28" s="8"/>
      <c r="G28" s="8"/>
      <c r="H28" s="13"/>
      <c r="I28" s="13"/>
      <c r="J28" s="8"/>
      <c r="K28" s="8"/>
      <c r="L28" s="8"/>
      <c r="M28" s="8"/>
      <c r="N28" s="14" t="str">
        <f t="shared" si="0"/>
        <v/>
      </c>
      <c r="O28" s="14" t="str">
        <f t="shared" si="1"/>
        <v/>
      </c>
      <c r="P28" s="14" t="str">
        <f>IF(A28="","",Lists!$K$2)</f>
        <v/>
      </c>
      <c r="Q28" s="13"/>
      <c r="R28" s="13"/>
      <c r="S28" s="13"/>
      <c r="T28" s="9" t="str">
        <f t="shared" si="2"/>
        <v/>
      </c>
      <c r="U28" s="8"/>
      <c r="V28" s="8"/>
      <c r="W28" s="10"/>
      <c r="X28" s="8"/>
    </row>
    <row r="29" spans="1:24">
      <c r="A29" s="8"/>
      <c r="B29" s="10"/>
      <c r="C29" s="8"/>
      <c r="D29" s="8"/>
      <c r="E29" s="8"/>
      <c r="F29" s="8"/>
      <c r="G29" s="8"/>
      <c r="H29" s="13"/>
      <c r="I29" s="13"/>
      <c r="J29" s="8"/>
      <c r="K29" s="8"/>
      <c r="L29" s="8"/>
      <c r="M29" s="8"/>
      <c r="N29" s="14" t="str">
        <f t="shared" si="0"/>
        <v/>
      </c>
      <c r="O29" s="14" t="str">
        <f t="shared" si="1"/>
        <v/>
      </c>
      <c r="P29" s="14" t="str">
        <f>IF(A29="","",Lists!$K$2)</f>
        <v/>
      </c>
      <c r="Q29" s="13"/>
      <c r="R29" s="13"/>
      <c r="S29" s="13"/>
      <c r="T29" s="9" t="str">
        <f t="shared" si="2"/>
        <v/>
      </c>
      <c r="U29" s="8"/>
      <c r="V29" s="8"/>
      <c r="W29" s="10"/>
      <c r="X29" s="8"/>
    </row>
    <row r="30" spans="1:24">
      <c r="A30" s="8"/>
      <c r="B30" s="10"/>
      <c r="C30" s="8"/>
      <c r="D30" s="8"/>
      <c r="E30" s="8"/>
      <c r="F30" s="8"/>
      <c r="G30" s="8"/>
      <c r="H30" s="13"/>
      <c r="I30" s="13"/>
      <c r="J30" s="8"/>
      <c r="K30" s="8"/>
      <c r="L30" s="8"/>
      <c r="M30" s="8"/>
      <c r="N30" s="14" t="str">
        <f t="shared" si="0"/>
        <v/>
      </c>
      <c r="O30" s="14" t="str">
        <f t="shared" si="1"/>
        <v/>
      </c>
      <c r="P30" s="14" t="str">
        <f>IF(A30="","",Lists!$K$2)</f>
        <v/>
      </c>
      <c r="Q30" s="13"/>
      <c r="R30" s="13"/>
      <c r="S30" s="13"/>
      <c r="T30" s="9" t="str">
        <f t="shared" si="2"/>
        <v/>
      </c>
      <c r="U30" s="8"/>
      <c r="V30" s="8"/>
      <c r="W30" s="10"/>
      <c r="X30" s="8"/>
    </row>
    <row r="31" spans="1:24">
      <c r="A31" s="8"/>
      <c r="B31" s="10"/>
      <c r="C31" s="8"/>
      <c r="D31" s="8"/>
      <c r="E31" s="8"/>
      <c r="F31" s="8"/>
      <c r="G31" s="8"/>
      <c r="H31" s="13"/>
      <c r="I31" s="13"/>
      <c r="J31" s="8"/>
      <c r="K31" s="8"/>
      <c r="L31" s="8"/>
      <c r="M31" s="8"/>
      <c r="N31" s="14" t="str">
        <f t="shared" si="0"/>
        <v/>
      </c>
      <c r="O31" s="14" t="str">
        <f t="shared" si="1"/>
        <v/>
      </c>
      <c r="P31" s="14" t="str">
        <f>IF(A31="","",Lists!$K$2)</f>
        <v/>
      </c>
      <c r="Q31" s="13"/>
      <c r="R31" s="13"/>
      <c r="S31" s="13"/>
      <c r="T31" s="9" t="str">
        <f t="shared" si="2"/>
        <v/>
      </c>
      <c r="U31" s="8"/>
      <c r="V31" s="8"/>
      <c r="W31" s="10"/>
      <c r="X31" s="8"/>
    </row>
    <row r="32" spans="1:24">
      <c r="A32" s="8"/>
      <c r="B32" s="10"/>
      <c r="C32" s="8"/>
      <c r="D32" s="8"/>
      <c r="E32" s="8"/>
      <c r="F32" s="8"/>
      <c r="G32" s="8"/>
      <c r="H32" s="13"/>
      <c r="I32" s="13"/>
      <c r="J32" s="8"/>
      <c r="K32" s="8"/>
      <c r="L32" s="8"/>
      <c r="M32" s="8"/>
      <c r="N32" s="14" t="str">
        <f t="shared" si="0"/>
        <v/>
      </c>
      <c r="O32" s="14" t="str">
        <f t="shared" si="1"/>
        <v/>
      </c>
      <c r="P32" s="14" t="str">
        <f>IF(A32="","",Lists!$K$2)</f>
        <v/>
      </c>
      <c r="Q32" s="13"/>
      <c r="R32" s="13"/>
      <c r="S32" s="13"/>
      <c r="T32" s="9" t="str">
        <f t="shared" si="2"/>
        <v/>
      </c>
      <c r="U32" s="8"/>
      <c r="V32" s="8"/>
      <c r="W32" s="10"/>
      <c r="X32" s="8"/>
    </row>
    <row r="33" spans="1:24">
      <c r="A33" s="8"/>
      <c r="B33" s="10"/>
      <c r="C33" s="8"/>
      <c r="D33" s="8"/>
      <c r="E33" s="8"/>
      <c r="F33" s="8"/>
      <c r="G33" s="8"/>
      <c r="H33" s="13"/>
      <c r="I33" s="13"/>
      <c r="J33" s="8"/>
      <c r="K33" s="8"/>
      <c r="L33" s="8"/>
      <c r="M33" s="8"/>
      <c r="N33" s="14" t="str">
        <f t="shared" si="0"/>
        <v/>
      </c>
      <c r="O33" s="14" t="str">
        <f t="shared" si="1"/>
        <v/>
      </c>
      <c r="P33" s="14" t="str">
        <f>IF(A33="","",Lists!$K$2)</f>
        <v/>
      </c>
      <c r="Q33" s="13"/>
      <c r="R33" s="13"/>
      <c r="S33" s="13"/>
      <c r="T33" s="9" t="str">
        <f t="shared" si="2"/>
        <v/>
      </c>
      <c r="U33" s="8"/>
      <c r="V33" s="8"/>
      <c r="W33" s="10"/>
      <c r="X33" s="8"/>
    </row>
    <row r="34" spans="1:24">
      <c r="A34" s="8"/>
      <c r="B34" s="10"/>
      <c r="C34" s="8"/>
      <c r="D34" s="8"/>
      <c r="E34" s="8"/>
      <c r="F34" s="8"/>
      <c r="G34" s="8"/>
      <c r="H34" s="13"/>
      <c r="I34" s="13"/>
      <c r="J34" s="8"/>
      <c r="K34" s="8"/>
      <c r="L34" s="8"/>
      <c r="M34" s="8"/>
      <c r="N34" s="14" t="str">
        <f t="shared" si="0"/>
        <v/>
      </c>
      <c r="O34" s="14" t="str">
        <f t="shared" si="1"/>
        <v/>
      </c>
      <c r="P34" s="14" t="str">
        <f>IF(A34="","",Lists!$K$2)</f>
        <v/>
      </c>
      <c r="Q34" s="13"/>
      <c r="R34" s="13"/>
      <c r="S34" s="13"/>
      <c r="T34" s="9" t="str">
        <f t="shared" si="2"/>
        <v/>
      </c>
      <c r="U34" s="8"/>
      <c r="V34" s="8"/>
      <c r="W34" s="10"/>
      <c r="X34" s="8"/>
    </row>
    <row r="35" spans="1:24">
      <c r="A35" s="8"/>
      <c r="B35" s="10"/>
      <c r="C35" s="8"/>
      <c r="D35" s="8"/>
      <c r="E35" s="8"/>
      <c r="F35" s="8"/>
      <c r="G35" s="8"/>
      <c r="H35" s="13"/>
      <c r="I35" s="13"/>
      <c r="J35" s="8"/>
      <c r="K35" s="8"/>
      <c r="L35" s="8"/>
      <c r="M35" s="8"/>
      <c r="N35" s="14" t="str">
        <f t="shared" si="0"/>
        <v/>
      </c>
      <c r="O35" s="14" t="str">
        <f t="shared" si="1"/>
        <v/>
      </c>
      <c r="P35" s="14" t="str">
        <f>IF(A35="","",Lists!$K$2)</f>
        <v/>
      </c>
      <c r="Q35" s="13"/>
      <c r="R35" s="13"/>
      <c r="S35" s="13"/>
      <c r="T35" s="9" t="str">
        <f t="shared" si="2"/>
        <v/>
      </c>
      <c r="U35" s="8"/>
      <c r="V35" s="8"/>
      <c r="W35" s="10"/>
      <c r="X35" s="8"/>
    </row>
    <row r="36" spans="1:24">
      <c r="A36" s="8"/>
      <c r="B36" s="10"/>
      <c r="C36" s="8"/>
      <c r="D36" s="8"/>
      <c r="E36" s="8"/>
      <c r="F36" s="8"/>
      <c r="G36" s="8"/>
      <c r="H36" s="13"/>
      <c r="I36" s="13"/>
      <c r="J36" s="8"/>
      <c r="K36" s="8"/>
      <c r="L36" s="8"/>
      <c r="M36" s="8"/>
      <c r="N36" s="14" t="str">
        <f t="shared" si="0"/>
        <v/>
      </c>
      <c r="O36" s="14" t="str">
        <f t="shared" si="1"/>
        <v/>
      </c>
      <c r="P36" s="14" t="str">
        <f>IF(A36="","",Lists!$K$2)</f>
        <v/>
      </c>
      <c r="Q36" s="13"/>
      <c r="R36" s="13"/>
      <c r="S36" s="13"/>
      <c r="T36" s="9" t="str">
        <f t="shared" si="2"/>
        <v/>
      </c>
      <c r="U36" s="8"/>
      <c r="V36" s="8"/>
      <c r="W36" s="10"/>
      <c r="X36" s="8"/>
    </row>
    <row r="37" spans="1:24">
      <c r="A37" s="8"/>
      <c r="B37" s="10"/>
      <c r="C37" s="8"/>
      <c r="D37" s="8"/>
      <c r="E37" s="8"/>
      <c r="F37" s="8"/>
      <c r="G37" s="8"/>
      <c r="H37" s="13"/>
      <c r="I37" s="13"/>
      <c r="J37" s="8"/>
      <c r="K37" s="8"/>
      <c r="L37" s="8"/>
      <c r="M37" s="8"/>
      <c r="N37" s="14" t="str">
        <f t="shared" si="0"/>
        <v/>
      </c>
      <c r="O37" s="14" t="str">
        <f t="shared" si="1"/>
        <v/>
      </c>
      <c r="P37" s="14" t="str">
        <f>IF(A37="","",Lists!$K$2)</f>
        <v/>
      </c>
      <c r="Q37" s="13"/>
      <c r="R37" s="13"/>
      <c r="S37" s="13"/>
      <c r="T37" s="9" t="str">
        <f t="shared" si="2"/>
        <v/>
      </c>
      <c r="U37" s="8"/>
      <c r="V37" s="8"/>
      <c r="W37" s="10"/>
      <c r="X37" s="8"/>
    </row>
    <row r="38" spans="1:24">
      <c r="A38" s="8"/>
      <c r="B38" s="10"/>
      <c r="C38" s="8"/>
      <c r="D38" s="8"/>
      <c r="E38" s="8"/>
      <c r="F38" s="8"/>
      <c r="G38" s="8"/>
      <c r="H38" s="13"/>
      <c r="I38" s="13"/>
      <c r="J38" s="8"/>
      <c r="K38" s="8"/>
      <c r="L38" s="8"/>
      <c r="M38" s="8"/>
      <c r="N38" s="14" t="str">
        <f t="shared" si="0"/>
        <v/>
      </c>
      <c r="O38" s="14" t="str">
        <f t="shared" si="1"/>
        <v/>
      </c>
      <c r="P38" s="14" t="str">
        <f>IF(A38="","",Lists!$K$2)</f>
        <v/>
      </c>
      <c r="Q38" s="13"/>
      <c r="R38" s="13"/>
      <c r="S38" s="13"/>
      <c r="T38" s="9" t="str">
        <f t="shared" si="2"/>
        <v/>
      </c>
      <c r="U38" s="8"/>
      <c r="V38" s="8"/>
      <c r="W38" s="10"/>
      <c r="X38" s="8"/>
    </row>
    <row r="39" spans="1:24">
      <c r="A39" s="8"/>
      <c r="B39" s="10"/>
      <c r="C39" s="8"/>
      <c r="D39" s="8"/>
      <c r="E39" s="8"/>
      <c r="F39" s="8"/>
      <c r="G39" s="8"/>
      <c r="H39" s="13"/>
      <c r="I39" s="13"/>
      <c r="J39" s="8"/>
      <c r="K39" s="8"/>
      <c r="L39" s="8"/>
      <c r="M39" s="8"/>
      <c r="N39" s="14" t="str">
        <f t="shared" si="0"/>
        <v/>
      </c>
      <c r="O39" s="14" t="str">
        <f t="shared" si="1"/>
        <v/>
      </c>
      <c r="P39" s="14" t="str">
        <f>IF(A39="","",Lists!$K$2)</f>
        <v/>
      </c>
      <c r="Q39" s="13"/>
      <c r="R39" s="13"/>
      <c r="S39" s="13"/>
      <c r="T39" s="9" t="str">
        <f t="shared" si="2"/>
        <v/>
      </c>
      <c r="U39" s="8"/>
      <c r="V39" s="8"/>
      <c r="W39" s="10"/>
      <c r="X39" s="8"/>
    </row>
    <row r="40" spans="1:24">
      <c r="A40" s="8"/>
      <c r="B40" s="10"/>
      <c r="C40" s="8"/>
      <c r="D40" s="8"/>
      <c r="E40" s="8"/>
      <c r="F40" s="8"/>
      <c r="G40" s="8"/>
      <c r="H40" s="13"/>
      <c r="I40" s="13"/>
      <c r="J40" s="8"/>
      <c r="K40" s="8"/>
      <c r="L40" s="8"/>
      <c r="M40" s="8"/>
      <c r="N40" s="14" t="str">
        <f t="shared" si="0"/>
        <v/>
      </c>
      <c r="O40" s="14" t="str">
        <f t="shared" si="1"/>
        <v/>
      </c>
      <c r="P40" s="14" t="str">
        <f>IF(A40="","",Lists!$K$2)</f>
        <v/>
      </c>
      <c r="Q40" s="13"/>
      <c r="R40" s="13"/>
      <c r="S40" s="13"/>
      <c r="T40" s="9" t="str">
        <f t="shared" si="2"/>
        <v/>
      </c>
      <c r="U40" s="8"/>
      <c r="V40" s="8"/>
      <c r="W40" s="10"/>
      <c r="X40" s="8"/>
    </row>
    <row r="41" spans="1:24">
      <c r="A41" s="8"/>
      <c r="B41" s="10"/>
      <c r="C41" s="8"/>
      <c r="D41" s="8"/>
      <c r="E41" s="8"/>
      <c r="F41" s="8"/>
      <c r="G41" s="8"/>
      <c r="H41" s="13"/>
      <c r="I41" s="13"/>
      <c r="J41" s="8"/>
      <c r="K41" s="8"/>
      <c r="L41" s="8"/>
      <c r="M41" s="8"/>
      <c r="N41" s="14" t="str">
        <f t="shared" si="0"/>
        <v/>
      </c>
      <c r="O41" s="14" t="str">
        <f t="shared" si="1"/>
        <v/>
      </c>
      <c r="P41" s="14" t="str">
        <f>IF(A41="","",Lists!$K$2)</f>
        <v/>
      </c>
      <c r="Q41" s="13"/>
      <c r="R41" s="13"/>
      <c r="S41" s="13"/>
      <c r="T41" s="9" t="str">
        <f t="shared" si="2"/>
        <v/>
      </c>
      <c r="U41" s="8"/>
      <c r="V41" s="8"/>
      <c r="W41" s="10"/>
      <c r="X41" s="8"/>
    </row>
    <row r="42" spans="1:24">
      <c r="A42" s="8"/>
      <c r="B42" s="10"/>
      <c r="C42" s="8"/>
      <c r="D42" s="8"/>
      <c r="E42" s="8"/>
      <c r="F42" s="8"/>
      <c r="G42" s="8"/>
      <c r="H42" s="13"/>
      <c r="I42" s="13"/>
      <c r="J42" s="8"/>
      <c r="K42" s="8"/>
      <c r="L42" s="8"/>
      <c r="M42" s="8"/>
      <c r="N42" s="14" t="str">
        <f t="shared" si="0"/>
        <v/>
      </c>
      <c r="O42" s="14" t="str">
        <f t="shared" si="1"/>
        <v/>
      </c>
      <c r="P42" s="14" t="str">
        <f>IF(A42="","",Lists!$K$2)</f>
        <v/>
      </c>
      <c r="Q42" s="13"/>
      <c r="R42" s="13"/>
      <c r="S42" s="13"/>
      <c r="T42" s="9" t="str">
        <f t="shared" si="2"/>
        <v/>
      </c>
      <c r="U42" s="8"/>
      <c r="V42" s="8"/>
      <c r="W42" s="10"/>
      <c r="X42" s="8"/>
    </row>
    <row r="43" spans="1:24">
      <c r="A43" s="8"/>
      <c r="B43" s="10"/>
      <c r="C43" s="8"/>
      <c r="D43" s="8"/>
      <c r="E43" s="8"/>
      <c r="F43" s="8"/>
      <c r="G43" s="8"/>
      <c r="H43" s="13"/>
      <c r="I43" s="13"/>
      <c r="J43" s="8"/>
      <c r="K43" s="8"/>
      <c r="L43" s="8"/>
      <c r="M43" s="8"/>
      <c r="N43" s="14" t="str">
        <f t="shared" si="0"/>
        <v/>
      </c>
      <c r="O43" s="14" t="str">
        <f t="shared" si="1"/>
        <v/>
      </c>
      <c r="P43" s="14" t="str">
        <f>IF(A43="","",Lists!$K$2)</f>
        <v/>
      </c>
      <c r="Q43" s="13"/>
      <c r="R43" s="13"/>
      <c r="S43" s="13"/>
      <c r="T43" s="9" t="str">
        <f t="shared" si="2"/>
        <v/>
      </c>
      <c r="U43" s="8"/>
      <c r="V43" s="8"/>
      <c r="W43" s="10"/>
      <c r="X43" s="8"/>
    </row>
    <row r="44" spans="1:24">
      <c r="A44" s="8"/>
      <c r="B44" s="10"/>
      <c r="C44" s="8"/>
      <c r="D44" s="8"/>
      <c r="E44" s="8"/>
      <c r="F44" s="8"/>
      <c r="G44" s="8"/>
      <c r="H44" s="13"/>
      <c r="I44" s="13"/>
      <c r="J44" s="8"/>
      <c r="K44" s="8"/>
      <c r="L44" s="8"/>
      <c r="M44" s="8"/>
      <c r="N44" s="14" t="str">
        <f t="shared" si="0"/>
        <v/>
      </c>
      <c r="O44" s="14" t="str">
        <f t="shared" si="1"/>
        <v/>
      </c>
      <c r="P44" s="14" t="str">
        <f>IF(A44="","",Lists!$K$2)</f>
        <v/>
      </c>
      <c r="Q44" s="13"/>
      <c r="R44" s="13"/>
      <c r="S44" s="13"/>
      <c r="T44" s="9" t="str">
        <f t="shared" si="2"/>
        <v/>
      </c>
      <c r="U44" s="8"/>
      <c r="V44" s="8"/>
      <c r="W44" s="10"/>
      <c r="X44" s="8"/>
    </row>
    <row r="45" spans="1:24">
      <c r="A45" s="8"/>
      <c r="B45" s="10"/>
      <c r="C45" s="8"/>
      <c r="D45" s="8"/>
      <c r="E45" s="8"/>
      <c r="F45" s="8"/>
      <c r="G45" s="8"/>
      <c r="H45" s="13"/>
      <c r="I45" s="13"/>
      <c r="J45" s="8"/>
      <c r="K45" s="8"/>
      <c r="L45" s="8"/>
      <c r="M45" s="8"/>
      <c r="N45" s="14" t="str">
        <f t="shared" si="0"/>
        <v/>
      </c>
      <c r="O45" s="14" t="str">
        <f t="shared" si="1"/>
        <v/>
      </c>
      <c r="P45" s="14" t="str">
        <f>IF(A45="","",Lists!$K$2)</f>
        <v/>
      </c>
      <c r="Q45" s="13"/>
      <c r="R45" s="13"/>
      <c r="S45" s="13"/>
      <c r="T45" s="9" t="str">
        <f t="shared" si="2"/>
        <v/>
      </c>
      <c r="U45" s="8"/>
      <c r="V45" s="8"/>
      <c r="W45" s="10"/>
      <c r="X45" s="8"/>
    </row>
    <row r="46" spans="1:24">
      <c r="A46" s="8"/>
      <c r="B46" s="10"/>
      <c r="C46" s="8"/>
      <c r="D46" s="8"/>
      <c r="E46" s="8"/>
      <c r="F46" s="8"/>
      <c r="G46" s="8"/>
      <c r="H46" s="13"/>
      <c r="I46" s="13"/>
      <c r="J46" s="8"/>
      <c r="K46" s="8"/>
      <c r="L46" s="8"/>
      <c r="M46" s="8"/>
      <c r="N46" s="14" t="str">
        <f t="shared" si="0"/>
        <v/>
      </c>
      <c r="O46" s="14" t="str">
        <f t="shared" si="1"/>
        <v/>
      </c>
      <c r="P46" s="14" t="str">
        <f>IF(A46="","",Lists!$K$2)</f>
        <v/>
      </c>
      <c r="Q46" s="13"/>
      <c r="R46" s="13"/>
      <c r="S46" s="13"/>
      <c r="T46" s="9" t="str">
        <f t="shared" si="2"/>
        <v/>
      </c>
      <c r="U46" s="8"/>
      <c r="V46" s="8"/>
      <c r="W46" s="10"/>
      <c r="X46" s="8"/>
    </row>
    <row r="47" spans="1:24">
      <c r="A47" s="8"/>
      <c r="B47" s="10"/>
      <c r="C47" s="8"/>
      <c r="D47" s="8"/>
      <c r="E47" s="8"/>
      <c r="F47" s="8"/>
      <c r="G47" s="8"/>
      <c r="H47" s="13"/>
      <c r="I47" s="13"/>
      <c r="J47" s="8"/>
      <c r="K47" s="8"/>
      <c r="L47" s="8"/>
      <c r="M47" s="8"/>
      <c r="N47" s="14" t="str">
        <f t="shared" si="0"/>
        <v/>
      </c>
      <c r="O47" s="14" t="str">
        <f t="shared" si="1"/>
        <v/>
      </c>
      <c r="P47" s="14" t="str">
        <f>IF(A47="","",Lists!$K$2)</f>
        <v/>
      </c>
      <c r="Q47" s="13"/>
      <c r="R47" s="13"/>
      <c r="S47" s="13"/>
      <c r="T47" s="9" t="str">
        <f t="shared" si="2"/>
        <v/>
      </c>
      <c r="U47" s="8"/>
      <c r="V47" s="8"/>
      <c r="W47" s="10"/>
      <c r="X47" s="8"/>
    </row>
    <row r="48" spans="1:24">
      <c r="A48" s="8"/>
      <c r="B48" s="10"/>
      <c r="C48" s="8"/>
      <c r="D48" s="8"/>
      <c r="E48" s="8"/>
      <c r="F48" s="8"/>
      <c r="G48" s="8"/>
      <c r="H48" s="13"/>
      <c r="I48" s="13"/>
      <c r="J48" s="8"/>
      <c r="K48" s="8"/>
      <c r="L48" s="8"/>
      <c r="M48" s="8"/>
      <c r="N48" s="14" t="str">
        <f t="shared" si="0"/>
        <v/>
      </c>
      <c r="O48" s="14" t="str">
        <f t="shared" si="1"/>
        <v/>
      </c>
      <c r="P48" s="14" t="str">
        <f>IF(A48="","",Lists!$K$2)</f>
        <v/>
      </c>
      <c r="Q48" s="13"/>
      <c r="R48" s="13"/>
      <c r="S48" s="13"/>
      <c r="T48" s="9" t="str">
        <f t="shared" si="2"/>
        <v/>
      </c>
      <c r="U48" s="8"/>
      <c r="V48" s="8"/>
      <c r="W48" s="10"/>
      <c r="X48" s="8"/>
    </row>
    <row r="49" spans="1:24">
      <c r="A49" s="8"/>
      <c r="B49" s="10"/>
      <c r="C49" s="8"/>
      <c r="D49" s="8"/>
      <c r="E49" s="8"/>
      <c r="F49" s="8"/>
      <c r="G49" s="8"/>
      <c r="H49" s="13"/>
      <c r="I49" s="13"/>
      <c r="J49" s="8"/>
      <c r="K49" s="8"/>
      <c r="L49" s="8"/>
      <c r="M49" s="8"/>
      <c r="N49" s="14" t="str">
        <f t="shared" si="0"/>
        <v/>
      </c>
      <c r="O49" s="14" t="str">
        <f t="shared" si="1"/>
        <v/>
      </c>
      <c r="P49" s="14" t="str">
        <f>IF(A49="","",Lists!$K$2)</f>
        <v/>
      </c>
      <c r="Q49" s="13"/>
      <c r="R49" s="13"/>
      <c r="S49" s="13"/>
      <c r="T49" s="9" t="str">
        <f t="shared" si="2"/>
        <v/>
      </c>
      <c r="U49" s="8"/>
      <c r="V49" s="8"/>
      <c r="W49" s="10"/>
      <c r="X49" s="8"/>
    </row>
    <row r="50" spans="1:24">
      <c r="A50" s="8"/>
      <c r="B50" s="10"/>
      <c r="C50" s="8"/>
      <c r="D50" s="8"/>
      <c r="E50" s="8"/>
      <c r="F50" s="8"/>
      <c r="G50" s="8"/>
      <c r="H50" s="13"/>
      <c r="I50" s="13"/>
      <c r="J50" s="8"/>
      <c r="K50" s="8"/>
      <c r="L50" s="8"/>
      <c r="M50" s="8"/>
      <c r="N50" s="14" t="str">
        <f t="shared" si="0"/>
        <v/>
      </c>
      <c r="O50" s="14" t="str">
        <f t="shared" si="1"/>
        <v/>
      </c>
      <c r="P50" s="14" t="str">
        <f>IF(A50="","",Lists!$K$2)</f>
        <v/>
      </c>
      <c r="Q50" s="13"/>
      <c r="R50" s="13"/>
      <c r="S50" s="13"/>
      <c r="T50" s="9" t="str">
        <f t="shared" si="2"/>
        <v/>
      </c>
      <c r="U50" s="8"/>
      <c r="V50" s="8"/>
      <c r="W50" s="10"/>
      <c r="X50" s="8"/>
    </row>
    <row r="51" spans="1:24">
      <c r="A51" s="8"/>
      <c r="B51" s="10"/>
      <c r="C51" s="8"/>
      <c r="D51" s="8"/>
      <c r="E51" s="8"/>
      <c r="F51" s="8"/>
      <c r="G51" s="8"/>
      <c r="H51" s="13"/>
      <c r="I51" s="13"/>
      <c r="J51" s="8"/>
      <c r="K51" s="8"/>
      <c r="L51" s="8"/>
      <c r="M51" s="8"/>
      <c r="N51" s="14" t="str">
        <f t="shared" si="0"/>
        <v/>
      </c>
      <c r="O51" s="14" t="str">
        <f t="shared" si="1"/>
        <v/>
      </c>
      <c r="P51" s="14" t="str">
        <f>IF(A51="","",Lists!$K$2)</f>
        <v/>
      </c>
      <c r="Q51" s="13"/>
      <c r="R51" s="13"/>
      <c r="S51" s="13"/>
      <c r="T51" s="9" t="str">
        <f t="shared" si="2"/>
        <v/>
      </c>
      <c r="U51" s="8"/>
      <c r="V51" s="8"/>
      <c r="W51" s="10"/>
      <c r="X51" s="8"/>
    </row>
    <row r="52" spans="1:24">
      <c r="A52" s="8"/>
      <c r="B52" s="10"/>
      <c r="C52" s="8"/>
      <c r="D52" s="8"/>
      <c r="E52" s="8"/>
      <c r="F52" s="8"/>
      <c r="G52" s="8"/>
      <c r="H52" s="13"/>
      <c r="I52" s="13"/>
      <c r="J52" s="8"/>
      <c r="K52" s="8"/>
      <c r="L52" s="8"/>
      <c r="M52" s="8"/>
      <c r="N52" s="14" t="str">
        <f t="shared" si="0"/>
        <v/>
      </c>
      <c r="O52" s="14" t="str">
        <f t="shared" si="1"/>
        <v/>
      </c>
      <c r="P52" s="14" t="str">
        <f>IF(A52="","",Lists!$K$2)</f>
        <v/>
      </c>
      <c r="Q52" s="13"/>
      <c r="R52" s="13"/>
      <c r="S52" s="13"/>
      <c r="T52" s="9" t="str">
        <f t="shared" si="2"/>
        <v/>
      </c>
      <c r="U52" s="8"/>
      <c r="V52" s="8"/>
      <c r="W52" s="10"/>
      <c r="X52" s="8"/>
    </row>
    <row r="53" spans="1:24">
      <c r="A53" s="8"/>
      <c r="B53" s="10"/>
      <c r="C53" s="8"/>
      <c r="D53" s="8"/>
      <c r="E53" s="8"/>
      <c r="F53" s="8"/>
      <c r="G53" s="8"/>
      <c r="H53" s="13"/>
      <c r="I53" s="13"/>
      <c r="J53" s="8"/>
      <c r="K53" s="8"/>
      <c r="L53" s="8"/>
      <c r="M53" s="8"/>
      <c r="N53" s="14" t="str">
        <f t="shared" si="0"/>
        <v/>
      </c>
      <c r="O53" s="14" t="str">
        <f t="shared" si="1"/>
        <v/>
      </c>
      <c r="P53" s="14" t="str">
        <f>IF(A53="","",Lists!$K$2)</f>
        <v/>
      </c>
      <c r="Q53" s="13"/>
      <c r="R53" s="13"/>
      <c r="S53" s="13"/>
      <c r="T53" s="9" t="str">
        <f t="shared" si="2"/>
        <v/>
      </c>
      <c r="U53" s="8"/>
      <c r="V53" s="8"/>
      <c r="W53" s="10"/>
      <c r="X53" s="8"/>
    </row>
    <row r="54" spans="1:24">
      <c r="A54" s="8"/>
      <c r="B54" s="10"/>
      <c r="C54" s="8"/>
      <c r="D54" s="8"/>
      <c r="E54" s="8"/>
      <c r="F54" s="8"/>
      <c r="G54" s="8"/>
      <c r="H54" s="13"/>
      <c r="I54" s="13"/>
      <c r="J54" s="8"/>
      <c r="K54" s="8"/>
      <c r="L54" s="8"/>
      <c r="M54" s="8"/>
      <c r="N54" s="14" t="str">
        <f t="shared" si="0"/>
        <v/>
      </c>
      <c r="O54" s="14" t="str">
        <f t="shared" si="1"/>
        <v/>
      </c>
      <c r="P54" s="14" t="str">
        <f>IF(A54="","",Lists!$K$2)</f>
        <v/>
      </c>
      <c r="Q54" s="13"/>
      <c r="R54" s="13"/>
      <c r="S54" s="13"/>
      <c r="T54" s="9" t="str">
        <f t="shared" si="2"/>
        <v/>
      </c>
      <c r="U54" s="8"/>
      <c r="V54" s="8"/>
      <c r="W54" s="10"/>
      <c r="X54" s="8"/>
    </row>
    <row r="55" spans="1:24">
      <c r="A55" s="8"/>
      <c r="B55" s="10"/>
      <c r="C55" s="8"/>
      <c r="D55" s="8"/>
      <c r="E55" s="8"/>
      <c r="F55" s="8"/>
      <c r="G55" s="8"/>
      <c r="H55" s="13"/>
      <c r="I55" s="13"/>
      <c r="J55" s="8"/>
      <c r="K55" s="8"/>
      <c r="L55" s="8"/>
      <c r="M55" s="8"/>
      <c r="N55" s="14" t="str">
        <f t="shared" si="0"/>
        <v/>
      </c>
      <c r="O55" s="14" t="str">
        <f t="shared" si="1"/>
        <v/>
      </c>
      <c r="P55" s="14" t="str">
        <f>IF(A55="","",Lists!$K$2)</f>
        <v/>
      </c>
      <c r="Q55" s="13"/>
      <c r="R55" s="13"/>
      <c r="S55" s="13"/>
      <c r="T55" s="9" t="str">
        <f t="shared" si="2"/>
        <v/>
      </c>
      <c r="U55" s="8"/>
      <c r="V55" s="8"/>
      <c r="W55" s="10"/>
      <c r="X55" s="8"/>
    </row>
    <row r="56" spans="1:24">
      <c r="A56" s="8"/>
      <c r="B56" s="10"/>
      <c r="C56" s="8"/>
      <c r="D56" s="8"/>
      <c r="E56" s="8"/>
      <c r="F56" s="8"/>
      <c r="G56" s="8"/>
      <c r="H56" s="13"/>
      <c r="I56" s="13"/>
      <c r="J56" s="8"/>
      <c r="K56" s="8"/>
      <c r="L56" s="8"/>
      <c r="M56" s="8"/>
      <c r="N56" s="14" t="str">
        <f t="shared" si="0"/>
        <v/>
      </c>
      <c r="O56" s="14" t="str">
        <f t="shared" si="1"/>
        <v/>
      </c>
      <c r="P56" s="14" t="str">
        <f>IF(A56="","",Lists!$K$2)</f>
        <v/>
      </c>
      <c r="Q56" s="13"/>
      <c r="R56" s="13"/>
      <c r="S56" s="13"/>
      <c r="T56" s="9" t="str">
        <f t="shared" si="2"/>
        <v/>
      </c>
      <c r="U56" s="8"/>
      <c r="V56" s="8"/>
      <c r="W56" s="10"/>
      <c r="X56" s="8"/>
    </row>
    <row r="57" spans="1:24">
      <c r="A57" s="8"/>
      <c r="B57" s="10"/>
      <c r="C57" s="8"/>
      <c r="D57" s="8"/>
      <c r="E57" s="8"/>
      <c r="F57" s="8"/>
      <c r="G57" s="8"/>
      <c r="H57" s="13"/>
      <c r="I57" s="13"/>
      <c r="J57" s="8"/>
      <c r="K57" s="8"/>
      <c r="L57" s="8"/>
      <c r="M57" s="8"/>
      <c r="N57" s="14" t="str">
        <f t="shared" si="0"/>
        <v/>
      </c>
      <c r="O57" s="14" t="str">
        <f t="shared" si="1"/>
        <v/>
      </c>
      <c r="P57" s="14" t="str">
        <f>IF(A57="","",Lists!$K$2)</f>
        <v/>
      </c>
      <c r="Q57" s="13"/>
      <c r="R57" s="13"/>
      <c r="S57" s="13"/>
      <c r="T57" s="9" t="str">
        <f t="shared" si="2"/>
        <v/>
      </c>
      <c r="U57" s="8"/>
      <c r="V57" s="8"/>
      <c r="W57" s="10"/>
      <c r="X57" s="8"/>
    </row>
    <row r="58" spans="1:24">
      <c r="A58" s="8"/>
      <c r="B58" s="10"/>
      <c r="C58" s="8"/>
      <c r="D58" s="8"/>
      <c r="E58" s="8"/>
      <c r="F58" s="8"/>
      <c r="G58" s="8"/>
      <c r="H58" s="13"/>
      <c r="I58" s="13"/>
      <c r="J58" s="8"/>
      <c r="K58" s="8"/>
      <c r="L58" s="8"/>
      <c r="M58" s="8"/>
      <c r="N58" s="14" t="str">
        <f t="shared" si="0"/>
        <v/>
      </c>
      <c r="O58" s="14" t="str">
        <f t="shared" si="1"/>
        <v/>
      </c>
      <c r="P58" s="14" t="str">
        <f>IF(A58="","",Lists!$K$2)</f>
        <v/>
      </c>
      <c r="Q58" s="13"/>
      <c r="R58" s="13"/>
      <c r="S58" s="13"/>
      <c r="T58" s="9" t="str">
        <f t="shared" si="2"/>
        <v/>
      </c>
      <c r="U58" s="8"/>
      <c r="V58" s="8"/>
      <c r="W58" s="10"/>
      <c r="X58" s="8"/>
    </row>
    <row r="59" spans="1:24">
      <c r="A59" s="8"/>
      <c r="B59" s="10"/>
      <c r="C59" s="8"/>
      <c r="D59" s="8"/>
      <c r="E59" s="8"/>
      <c r="F59" s="8"/>
      <c r="G59" s="8"/>
      <c r="H59" s="13"/>
      <c r="I59" s="13"/>
      <c r="J59" s="8"/>
      <c r="K59" s="8"/>
      <c r="L59" s="8"/>
      <c r="M59" s="8"/>
      <c r="N59" s="14" t="str">
        <f t="shared" si="0"/>
        <v/>
      </c>
      <c r="O59" s="14" t="str">
        <f t="shared" si="1"/>
        <v/>
      </c>
      <c r="P59" s="14" t="str">
        <f>IF(A59="","",Lists!$K$2)</f>
        <v/>
      </c>
      <c r="Q59" s="13"/>
      <c r="R59" s="13"/>
      <c r="S59" s="13"/>
      <c r="T59" s="9" t="str">
        <f t="shared" si="2"/>
        <v/>
      </c>
      <c r="U59" s="8"/>
      <c r="V59" s="8"/>
      <c r="W59" s="10"/>
      <c r="X59" s="8"/>
    </row>
    <row r="60" spans="1:24">
      <c r="A60" s="8"/>
      <c r="B60" s="10"/>
      <c r="C60" s="8"/>
      <c r="D60" s="8"/>
      <c r="E60" s="8"/>
      <c r="F60" s="8"/>
      <c r="G60" s="8"/>
      <c r="H60" s="13"/>
      <c r="I60" s="13"/>
      <c r="J60" s="8"/>
      <c r="K60" s="8"/>
      <c r="L60" s="8"/>
      <c r="M60" s="8"/>
      <c r="N60" s="14" t="str">
        <f t="shared" si="0"/>
        <v/>
      </c>
      <c r="O60" s="14" t="str">
        <f t="shared" si="1"/>
        <v/>
      </c>
      <c r="P60" s="14" t="str">
        <f>IF(A60="","",Lists!$K$2)</f>
        <v/>
      </c>
      <c r="Q60" s="13"/>
      <c r="R60" s="13"/>
      <c r="S60" s="13"/>
      <c r="T60" s="9" t="str">
        <f t="shared" si="2"/>
        <v/>
      </c>
      <c r="U60" s="8"/>
      <c r="V60" s="8"/>
      <c r="W60" s="10"/>
      <c r="X60" s="8"/>
    </row>
    <row r="61" spans="1:24">
      <c r="A61" s="8"/>
      <c r="B61" s="10"/>
      <c r="C61" s="8"/>
      <c r="D61" s="8"/>
      <c r="E61" s="8"/>
      <c r="F61" s="8"/>
      <c r="G61" s="8"/>
      <c r="H61" s="13"/>
      <c r="I61" s="13"/>
      <c r="J61" s="8"/>
      <c r="K61" s="8"/>
      <c r="L61" s="8"/>
      <c r="M61" s="8"/>
      <c r="N61" s="14" t="str">
        <f t="shared" si="0"/>
        <v/>
      </c>
      <c r="O61" s="14" t="str">
        <f t="shared" si="1"/>
        <v/>
      </c>
      <c r="P61" s="14" t="str">
        <f>IF(A61="","",Lists!$K$2)</f>
        <v/>
      </c>
      <c r="Q61" s="13"/>
      <c r="R61" s="13"/>
      <c r="S61" s="13"/>
      <c r="T61" s="9" t="str">
        <f t="shared" si="2"/>
        <v/>
      </c>
      <c r="U61" s="8"/>
      <c r="V61" s="8"/>
      <c r="W61" s="10"/>
      <c r="X61" s="8"/>
    </row>
    <row r="62" spans="1:24">
      <c r="A62" s="8"/>
      <c r="B62" s="10"/>
      <c r="C62" s="8"/>
      <c r="D62" s="8"/>
      <c r="E62" s="8"/>
      <c r="F62" s="8"/>
      <c r="G62" s="8"/>
      <c r="H62" s="13"/>
      <c r="I62" s="13"/>
      <c r="J62" s="8"/>
      <c r="K62" s="8"/>
      <c r="L62" s="8"/>
      <c r="M62" s="8"/>
      <c r="N62" s="14" t="str">
        <f t="shared" si="0"/>
        <v/>
      </c>
      <c r="O62" s="14" t="str">
        <f t="shared" si="1"/>
        <v/>
      </c>
      <c r="P62" s="14" t="str">
        <f>IF(A62="","",Lists!$K$2)</f>
        <v/>
      </c>
      <c r="Q62" s="13"/>
      <c r="R62" s="13"/>
      <c r="S62" s="13"/>
      <c r="T62" s="9" t="str">
        <f t="shared" si="2"/>
        <v/>
      </c>
      <c r="U62" s="8"/>
      <c r="V62" s="8"/>
      <c r="W62" s="10"/>
      <c r="X62" s="8"/>
    </row>
    <row r="63" spans="1:24">
      <c r="A63" s="8"/>
      <c r="B63" s="10"/>
      <c r="C63" s="8"/>
      <c r="D63" s="8"/>
      <c r="E63" s="8"/>
      <c r="F63" s="8"/>
      <c r="G63" s="8"/>
      <c r="H63" s="13"/>
      <c r="I63" s="13"/>
      <c r="J63" s="8"/>
      <c r="K63" s="8"/>
      <c r="L63" s="8"/>
      <c r="M63" s="8"/>
      <c r="N63" s="14" t="str">
        <f t="shared" si="0"/>
        <v/>
      </c>
      <c r="O63" s="14" t="str">
        <f t="shared" si="1"/>
        <v/>
      </c>
      <c r="P63" s="14" t="str">
        <f>IF(A63="","",Lists!$K$2)</f>
        <v/>
      </c>
      <c r="Q63" s="13"/>
      <c r="R63" s="13"/>
      <c r="S63" s="13"/>
      <c r="T63" s="9" t="str">
        <f t="shared" si="2"/>
        <v/>
      </c>
      <c r="U63" s="8"/>
      <c r="V63" s="8"/>
      <c r="W63" s="10"/>
      <c r="X63" s="8"/>
    </row>
    <row r="64" spans="1:24">
      <c r="A64" s="8"/>
      <c r="B64" s="10"/>
      <c r="C64" s="8"/>
      <c r="D64" s="8"/>
      <c r="E64" s="8"/>
      <c r="F64" s="8"/>
      <c r="G64" s="8"/>
      <c r="H64" s="13"/>
      <c r="I64" s="13"/>
      <c r="J64" s="8"/>
      <c r="K64" s="8"/>
      <c r="L64" s="8"/>
      <c r="M64" s="8"/>
      <c r="N64" s="14" t="str">
        <f t="shared" si="0"/>
        <v/>
      </c>
      <c r="O64" s="14" t="str">
        <f t="shared" si="1"/>
        <v/>
      </c>
      <c r="P64" s="14" t="str">
        <f>IF(A64="","",Lists!$K$2)</f>
        <v/>
      </c>
      <c r="Q64" s="13"/>
      <c r="R64" s="13"/>
      <c r="S64" s="13"/>
      <c r="T64" s="9" t="str">
        <f t="shared" si="2"/>
        <v/>
      </c>
      <c r="U64" s="8"/>
      <c r="V64" s="8"/>
      <c r="W64" s="10"/>
      <c r="X64" s="8"/>
    </row>
    <row r="65" spans="1:24">
      <c r="A65" s="8"/>
      <c r="B65" s="10"/>
      <c r="C65" s="8"/>
      <c r="D65" s="8"/>
      <c r="E65" s="8"/>
      <c r="F65" s="8"/>
      <c r="G65" s="8"/>
      <c r="H65" s="13"/>
      <c r="I65" s="13"/>
      <c r="J65" s="8"/>
      <c r="K65" s="8"/>
      <c r="L65" s="8"/>
      <c r="M65" s="8"/>
      <c r="N65" s="14" t="str">
        <f t="shared" si="0"/>
        <v/>
      </c>
      <c r="O65" s="14" t="str">
        <f t="shared" si="1"/>
        <v/>
      </c>
      <c r="P65" s="14" t="str">
        <f>IF(A65="","",Lists!$K$2)</f>
        <v/>
      </c>
      <c r="Q65" s="13"/>
      <c r="R65" s="13"/>
      <c r="S65" s="13"/>
      <c r="T65" s="9" t="str">
        <f t="shared" si="2"/>
        <v/>
      </c>
      <c r="U65" s="8"/>
      <c r="V65" s="8"/>
      <c r="W65" s="10"/>
      <c r="X65" s="8"/>
    </row>
    <row r="66" spans="1:24">
      <c r="A66" s="8"/>
      <c r="B66" s="10"/>
      <c r="C66" s="8"/>
      <c r="D66" s="8"/>
      <c r="E66" s="8"/>
      <c r="F66" s="8"/>
      <c r="G66" s="8"/>
      <c r="H66" s="13"/>
      <c r="I66" s="13"/>
      <c r="J66" s="8"/>
      <c r="K66" s="8"/>
      <c r="L66" s="8"/>
      <c r="M66" s="8"/>
      <c r="N66" s="14" t="str">
        <f t="shared" si="0"/>
        <v/>
      </c>
      <c r="O66" s="14" t="str">
        <f t="shared" si="1"/>
        <v/>
      </c>
      <c r="P66" s="14" t="str">
        <f>IF(A66="","",Lists!$K$2)</f>
        <v/>
      </c>
      <c r="Q66" s="13"/>
      <c r="R66" s="13"/>
      <c r="S66" s="13"/>
      <c r="T66" s="9" t="str">
        <f t="shared" si="2"/>
        <v/>
      </c>
      <c r="U66" s="8"/>
      <c r="V66" s="8"/>
      <c r="W66" s="10"/>
      <c r="X66" s="8"/>
    </row>
    <row r="67" spans="1:24">
      <c r="A67" s="8"/>
      <c r="B67" s="10"/>
      <c r="C67" s="8"/>
      <c r="D67" s="8"/>
      <c r="E67" s="8"/>
      <c r="F67" s="8"/>
      <c r="G67" s="8"/>
      <c r="H67" s="13"/>
      <c r="I67" s="13"/>
      <c r="J67" s="8"/>
      <c r="K67" s="8"/>
      <c r="L67" s="8"/>
      <c r="M67" s="8"/>
      <c r="N67" s="14" t="str">
        <f t="shared" si="0"/>
        <v/>
      </c>
      <c r="O67" s="14" t="str">
        <f t="shared" si="1"/>
        <v/>
      </c>
      <c r="P67" s="14" t="str">
        <f>IF(A67="","",Lists!$K$2)</f>
        <v/>
      </c>
      <c r="Q67" s="13"/>
      <c r="R67" s="13"/>
      <c r="S67" s="13"/>
      <c r="T67" s="9" t="str">
        <f t="shared" si="2"/>
        <v/>
      </c>
      <c r="U67" s="8"/>
      <c r="V67" s="8"/>
      <c r="W67" s="10"/>
      <c r="X67" s="8"/>
    </row>
    <row r="68" spans="1:24">
      <c r="A68" s="8"/>
      <c r="B68" s="10"/>
      <c r="C68" s="8"/>
      <c r="D68" s="8"/>
      <c r="E68" s="8"/>
      <c r="F68" s="8"/>
      <c r="G68" s="8"/>
      <c r="H68" s="13"/>
      <c r="I68" s="13"/>
      <c r="J68" s="8"/>
      <c r="K68" s="8"/>
      <c r="L68" s="8"/>
      <c r="M68" s="8"/>
      <c r="N68" s="14" t="str">
        <f t="shared" si="0"/>
        <v/>
      </c>
      <c r="O68" s="14" t="str">
        <f t="shared" si="1"/>
        <v/>
      </c>
      <c r="P68" s="14" t="str">
        <f>IF(A68="","",Lists!$K$2)</f>
        <v/>
      </c>
      <c r="Q68" s="13"/>
      <c r="R68" s="13"/>
      <c r="S68" s="13"/>
      <c r="T68" s="9" t="str">
        <f t="shared" si="2"/>
        <v/>
      </c>
      <c r="U68" s="8"/>
      <c r="V68" s="8"/>
      <c r="W68" s="10"/>
      <c r="X68" s="8"/>
    </row>
    <row r="69" spans="1:24">
      <c r="A69" s="8"/>
      <c r="B69" s="10"/>
      <c r="C69" s="8"/>
      <c r="D69" s="8"/>
      <c r="E69" s="8"/>
      <c r="F69" s="8"/>
      <c r="G69" s="8"/>
      <c r="H69" s="13"/>
      <c r="I69" s="13"/>
      <c r="J69" s="8"/>
      <c r="K69" s="8"/>
      <c r="L69" s="8"/>
      <c r="M69" s="8"/>
      <c r="N69" s="14" t="str">
        <f t="shared" ref="N69:N132" si="3">IF(A69="","",J69+2*K69+3*L69+4*M69)</f>
        <v/>
      </c>
      <c r="O69" s="14" t="str">
        <f t="shared" ref="O69:O132" si="4">IF(OR(A69="",H69=0,I69=0),"",N69*3600/(H69*I69))</f>
        <v/>
      </c>
      <c r="P69" s="14" t="str">
        <f>IF(A69="","",Lists!$K$2)</f>
        <v/>
      </c>
      <c r="Q69" s="13"/>
      <c r="R69" s="13"/>
      <c r="S69" s="13"/>
      <c r="T69" s="9" t="str">
        <f t="shared" ref="T69:T132" si="5">IF(A69="","",IF(O69&lt;=P69,"Passed","Failed"))</f>
        <v/>
      </c>
      <c r="U69" s="8"/>
      <c r="V69" s="8"/>
      <c r="W69" s="10"/>
      <c r="X69" s="8"/>
    </row>
    <row r="70" spans="1:24">
      <c r="A70" s="8"/>
      <c r="B70" s="10"/>
      <c r="C70" s="8"/>
      <c r="D70" s="8"/>
      <c r="E70" s="8"/>
      <c r="F70" s="8"/>
      <c r="G70" s="8"/>
      <c r="H70" s="13"/>
      <c r="I70" s="13"/>
      <c r="J70" s="8"/>
      <c r="K70" s="8"/>
      <c r="L70" s="8"/>
      <c r="M70" s="8"/>
      <c r="N70" s="14" t="str">
        <f t="shared" si="3"/>
        <v/>
      </c>
      <c r="O70" s="14" t="str">
        <f t="shared" si="4"/>
        <v/>
      </c>
      <c r="P70" s="14" t="str">
        <f>IF(A70="","",Lists!$K$2)</f>
        <v/>
      </c>
      <c r="Q70" s="13"/>
      <c r="R70" s="13"/>
      <c r="S70" s="13"/>
      <c r="T70" s="9" t="str">
        <f t="shared" si="5"/>
        <v/>
      </c>
      <c r="U70" s="8"/>
      <c r="V70" s="8"/>
      <c r="W70" s="10"/>
      <c r="X70" s="8"/>
    </row>
    <row r="71" spans="1:24">
      <c r="A71" s="8"/>
      <c r="B71" s="10"/>
      <c r="C71" s="8"/>
      <c r="D71" s="8"/>
      <c r="E71" s="8"/>
      <c r="F71" s="8"/>
      <c r="G71" s="8"/>
      <c r="H71" s="13"/>
      <c r="I71" s="13"/>
      <c r="J71" s="8"/>
      <c r="K71" s="8"/>
      <c r="L71" s="8"/>
      <c r="M71" s="8"/>
      <c r="N71" s="14" t="str">
        <f t="shared" si="3"/>
        <v/>
      </c>
      <c r="O71" s="14" t="str">
        <f t="shared" si="4"/>
        <v/>
      </c>
      <c r="P71" s="14" t="str">
        <f>IF(A71="","",Lists!$K$2)</f>
        <v/>
      </c>
      <c r="Q71" s="13"/>
      <c r="R71" s="13"/>
      <c r="S71" s="13"/>
      <c r="T71" s="9" t="str">
        <f t="shared" si="5"/>
        <v/>
      </c>
      <c r="U71" s="8"/>
      <c r="V71" s="8"/>
      <c r="W71" s="10"/>
      <c r="X71" s="8"/>
    </row>
    <row r="72" spans="1:24">
      <c r="A72" s="8"/>
      <c r="B72" s="10"/>
      <c r="C72" s="8"/>
      <c r="D72" s="8"/>
      <c r="E72" s="8"/>
      <c r="F72" s="8"/>
      <c r="G72" s="8"/>
      <c r="H72" s="13"/>
      <c r="I72" s="13"/>
      <c r="J72" s="8"/>
      <c r="K72" s="8"/>
      <c r="L72" s="8"/>
      <c r="M72" s="8"/>
      <c r="N72" s="14" t="str">
        <f t="shared" si="3"/>
        <v/>
      </c>
      <c r="O72" s="14" t="str">
        <f t="shared" si="4"/>
        <v/>
      </c>
      <c r="P72" s="14" t="str">
        <f>IF(A72="","",Lists!$K$2)</f>
        <v/>
      </c>
      <c r="Q72" s="13"/>
      <c r="R72" s="13"/>
      <c r="S72" s="13"/>
      <c r="T72" s="9" t="str">
        <f t="shared" si="5"/>
        <v/>
      </c>
      <c r="U72" s="8"/>
      <c r="V72" s="8"/>
      <c r="W72" s="10"/>
      <c r="X72" s="8"/>
    </row>
    <row r="73" spans="1:24">
      <c r="A73" s="8"/>
      <c r="B73" s="10"/>
      <c r="C73" s="8"/>
      <c r="D73" s="8"/>
      <c r="E73" s="8"/>
      <c r="F73" s="8"/>
      <c r="G73" s="8"/>
      <c r="H73" s="13"/>
      <c r="I73" s="13"/>
      <c r="J73" s="8"/>
      <c r="K73" s="8"/>
      <c r="L73" s="8"/>
      <c r="M73" s="8"/>
      <c r="N73" s="14" t="str">
        <f t="shared" si="3"/>
        <v/>
      </c>
      <c r="O73" s="14" t="str">
        <f t="shared" si="4"/>
        <v/>
      </c>
      <c r="P73" s="14" t="str">
        <f>IF(A73="","",Lists!$K$2)</f>
        <v/>
      </c>
      <c r="Q73" s="13"/>
      <c r="R73" s="13"/>
      <c r="S73" s="13"/>
      <c r="T73" s="9" t="str">
        <f t="shared" si="5"/>
        <v/>
      </c>
      <c r="U73" s="8"/>
      <c r="V73" s="8"/>
      <c r="W73" s="10"/>
      <c r="X73" s="8"/>
    </row>
    <row r="74" spans="1:24">
      <c r="A74" s="8"/>
      <c r="B74" s="10"/>
      <c r="C74" s="8"/>
      <c r="D74" s="8"/>
      <c r="E74" s="8"/>
      <c r="F74" s="8"/>
      <c r="G74" s="8"/>
      <c r="H74" s="13"/>
      <c r="I74" s="13"/>
      <c r="J74" s="8"/>
      <c r="K74" s="8"/>
      <c r="L74" s="8"/>
      <c r="M74" s="8"/>
      <c r="N74" s="14" t="str">
        <f t="shared" si="3"/>
        <v/>
      </c>
      <c r="O74" s="14" t="str">
        <f t="shared" si="4"/>
        <v/>
      </c>
      <c r="P74" s="14" t="str">
        <f>IF(A74="","",Lists!$K$2)</f>
        <v/>
      </c>
      <c r="Q74" s="13"/>
      <c r="R74" s="13"/>
      <c r="S74" s="13"/>
      <c r="T74" s="9" t="str">
        <f t="shared" si="5"/>
        <v/>
      </c>
      <c r="U74" s="8"/>
      <c r="V74" s="8"/>
      <c r="W74" s="10"/>
      <c r="X74" s="8"/>
    </row>
    <row r="75" spans="1:24">
      <c r="A75" s="8"/>
      <c r="B75" s="10"/>
      <c r="C75" s="8"/>
      <c r="D75" s="8"/>
      <c r="E75" s="8"/>
      <c r="F75" s="8"/>
      <c r="G75" s="8"/>
      <c r="H75" s="13"/>
      <c r="I75" s="13"/>
      <c r="J75" s="8"/>
      <c r="K75" s="8"/>
      <c r="L75" s="8"/>
      <c r="M75" s="8"/>
      <c r="N75" s="14" t="str">
        <f t="shared" si="3"/>
        <v/>
      </c>
      <c r="O75" s="14" t="str">
        <f t="shared" si="4"/>
        <v/>
      </c>
      <c r="P75" s="14" t="str">
        <f>IF(A75="","",Lists!$K$2)</f>
        <v/>
      </c>
      <c r="Q75" s="13"/>
      <c r="R75" s="13"/>
      <c r="S75" s="13"/>
      <c r="T75" s="9" t="str">
        <f t="shared" si="5"/>
        <v/>
      </c>
      <c r="U75" s="8"/>
      <c r="V75" s="8"/>
      <c r="W75" s="10"/>
      <c r="X75" s="8"/>
    </row>
    <row r="76" spans="1:24">
      <c r="A76" s="8"/>
      <c r="B76" s="10"/>
      <c r="C76" s="8"/>
      <c r="D76" s="8"/>
      <c r="E76" s="8"/>
      <c r="F76" s="8"/>
      <c r="G76" s="8"/>
      <c r="H76" s="13"/>
      <c r="I76" s="13"/>
      <c r="J76" s="8"/>
      <c r="K76" s="8"/>
      <c r="L76" s="8"/>
      <c r="M76" s="8"/>
      <c r="N76" s="14" t="str">
        <f t="shared" si="3"/>
        <v/>
      </c>
      <c r="O76" s="14" t="str">
        <f t="shared" si="4"/>
        <v/>
      </c>
      <c r="P76" s="14" t="str">
        <f>IF(A76="","",Lists!$K$2)</f>
        <v/>
      </c>
      <c r="Q76" s="13"/>
      <c r="R76" s="13"/>
      <c r="S76" s="13"/>
      <c r="T76" s="9" t="str">
        <f t="shared" si="5"/>
        <v/>
      </c>
      <c r="U76" s="8"/>
      <c r="V76" s="8"/>
      <c r="W76" s="10"/>
      <c r="X76" s="8"/>
    </row>
    <row r="77" spans="1:24">
      <c r="A77" s="8"/>
      <c r="B77" s="10"/>
      <c r="C77" s="8"/>
      <c r="D77" s="8"/>
      <c r="E77" s="8"/>
      <c r="F77" s="8"/>
      <c r="G77" s="8"/>
      <c r="H77" s="13"/>
      <c r="I77" s="13"/>
      <c r="J77" s="8"/>
      <c r="K77" s="8"/>
      <c r="L77" s="8"/>
      <c r="M77" s="8"/>
      <c r="N77" s="14" t="str">
        <f t="shared" si="3"/>
        <v/>
      </c>
      <c r="O77" s="14" t="str">
        <f t="shared" si="4"/>
        <v/>
      </c>
      <c r="P77" s="14" t="str">
        <f>IF(A77="","",Lists!$K$2)</f>
        <v/>
      </c>
      <c r="Q77" s="13"/>
      <c r="R77" s="13"/>
      <c r="S77" s="13"/>
      <c r="T77" s="9" t="str">
        <f t="shared" si="5"/>
        <v/>
      </c>
      <c r="U77" s="8"/>
      <c r="V77" s="8"/>
      <c r="W77" s="10"/>
      <c r="X77" s="8"/>
    </row>
    <row r="78" spans="1:24">
      <c r="A78" s="8"/>
      <c r="B78" s="10"/>
      <c r="C78" s="8"/>
      <c r="D78" s="8"/>
      <c r="E78" s="8"/>
      <c r="F78" s="8"/>
      <c r="G78" s="8"/>
      <c r="H78" s="13"/>
      <c r="I78" s="13"/>
      <c r="J78" s="8"/>
      <c r="K78" s="8"/>
      <c r="L78" s="8"/>
      <c r="M78" s="8"/>
      <c r="N78" s="14" t="str">
        <f t="shared" si="3"/>
        <v/>
      </c>
      <c r="O78" s="14" t="str">
        <f t="shared" si="4"/>
        <v/>
      </c>
      <c r="P78" s="14" t="str">
        <f>IF(A78="","",Lists!$K$2)</f>
        <v/>
      </c>
      <c r="Q78" s="13"/>
      <c r="R78" s="13"/>
      <c r="S78" s="13"/>
      <c r="T78" s="9" t="str">
        <f t="shared" si="5"/>
        <v/>
      </c>
      <c r="U78" s="8"/>
      <c r="V78" s="8"/>
      <c r="W78" s="10"/>
      <c r="X78" s="8"/>
    </row>
    <row r="79" spans="1:24">
      <c r="A79" s="8"/>
      <c r="B79" s="10"/>
      <c r="C79" s="8"/>
      <c r="D79" s="8"/>
      <c r="E79" s="8"/>
      <c r="F79" s="8"/>
      <c r="G79" s="8"/>
      <c r="H79" s="13"/>
      <c r="I79" s="13"/>
      <c r="J79" s="8"/>
      <c r="K79" s="8"/>
      <c r="L79" s="8"/>
      <c r="M79" s="8"/>
      <c r="N79" s="14" t="str">
        <f t="shared" si="3"/>
        <v/>
      </c>
      <c r="O79" s="14" t="str">
        <f t="shared" si="4"/>
        <v/>
      </c>
      <c r="P79" s="14" t="str">
        <f>IF(A79="","",Lists!$K$2)</f>
        <v/>
      </c>
      <c r="Q79" s="13"/>
      <c r="R79" s="13"/>
      <c r="S79" s="13"/>
      <c r="T79" s="9" t="str">
        <f t="shared" si="5"/>
        <v/>
      </c>
      <c r="U79" s="8"/>
      <c r="V79" s="8"/>
      <c r="W79" s="10"/>
      <c r="X79" s="8"/>
    </row>
    <row r="80" spans="1:24">
      <c r="A80" s="8"/>
      <c r="B80" s="10"/>
      <c r="C80" s="8"/>
      <c r="D80" s="8"/>
      <c r="E80" s="8"/>
      <c r="F80" s="8"/>
      <c r="G80" s="8"/>
      <c r="H80" s="13"/>
      <c r="I80" s="13"/>
      <c r="J80" s="8"/>
      <c r="K80" s="8"/>
      <c r="L80" s="8"/>
      <c r="M80" s="8"/>
      <c r="N80" s="14" t="str">
        <f t="shared" si="3"/>
        <v/>
      </c>
      <c r="O80" s="14" t="str">
        <f t="shared" si="4"/>
        <v/>
      </c>
      <c r="P80" s="14" t="str">
        <f>IF(A80="","",Lists!$K$2)</f>
        <v/>
      </c>
      <c r="Q80" s="13"/>
      <c r="R80" s="13"/>
      <c r="S80" s="13"/>
      <c r="T80" s="9" t="str">
        <f t="shared" si="5"/>
        <v/>
      </c>
      <c r="U80" s="8"/>
      <c r="V80" s="8"/>
      <c r="W80" s="10"/>
      <c r="X80" s="8"/>
    </row>
    <row r="81" spans="1:24">
      <c r="A81" s="8"/>
      <c r="B81" s="10"/>
      <c r="C81" s="8"/>
      <c r="D81" s="8"/>
      <c r="E81" s="8"/>
      <c r="F81" s="8"/>
      <c r="G81" s="8"/>
      <c r="H81" s="13"/>
      <c r="I81" s="13"/>
      <c r="J81" s="8"/>
      <c r="K81" s="8"/>
      <c r="L81" s="8"/>
      <c r="M81" s="8"/>
      <c r="N81" s="14" t="str">
        <f t="shared" si="3"/>
        <v/>
      </c>
      <c r="O81" s="14" t="str">
        <f t="shared" si="4"/>
        <v/>
      </c>
      <c r="P81" s="14" t="str">
        <f>IF(A81="","",Lists!$K$2)</f>
        <v/>
      </c>
      <c r="Q81" s="13"/>
      <c r="R81" s="13"/>
      <c r="S81" s="13"/>
      <c r="T81" s="9" t="str">
        <f t="shared" si="5"/>
        <v/>
      </c>
      <c r="U81" s="8"/>
      <c r="V81" s="8"/>
      <c r="W81" s="10"/>
      <c r="X81" s="8"/>
    </row>
    <row r="82" spans="1:24">
      <c r="A82" s="8"/>
      <c r="B82" s="10"/>
      <c r="C82" s="8"/>
      <c r="D82" s="8"/>
      <c r="E82" s="8"/>
      <c r="F82" s="8"/>
      <c r="G82" s="8"/>
      <c r="H82" s="13"/>
      <c r="I82" s="13"/>
      <c r="J82" s="8"/>
      <c r="K82" s="8"/>
      <c r="L82" s="8"/>
      <c r="M82" s="8"/>
      <c r="N82" s="14" t="str">
        <f t="shared" si="3"/>
        <v/>
      </c>
      <c r="O82" s="14" t="str">
        <f t="shared" si="4"/>
        <v/>
      </c>
      <c r="P82" s="14" t="str">
        <f>IF(A82="","",Lists!$K$2)</f>
        <v/>
      </c>
      <c r="Q82" s="13"/>
      <c r="R82" s="13"/>
      <c r="S82" s="13"/>
      <c r="T82" s="9" t="str">
        <f t="shared" si="5"/>
        <v/>
      </c>
      <c r="U82" s="8"/>
      <c r="V82" s="8"/>
      <c r="W82" s="10"/>
      <c r="X82" s="8"/>
    </row>
    <row r="83" spans="1:24">
      <c r="A83" s="8"/>
      <c r="B83" s="10"/>
      <c r="C83" s="8"/>
      <c r="D83" s="8"/>
      <c r="E83" s="8"/>
      <c r="F83" s="8"/>
      <c r="G83" s="8"/>
      <c r="H83" s="13"/>
      <c r="I83" s="13"/>
      <c r="J83" s="8"/>
      <c r="K83" s="8"/>
      <c r="L83" s="8"/>
      <c r="M83" s="8"/>
      <c r="N83" s="14" t="str">
        <f t="shared" si="3"/>
        <v/>
      </c>
      <c r="O83" s="14" t="str">
        <f t="shared" si="4"/>
        <v/>
      </c>
      <c r="P83" s="14" t="str">
        <f>IF(A83="","",Lists!$K$2)</f>
        <v/>
      </c>
      <c r="Q83" s="13"/>
      <c r="R83" s="13"/>
      <c r="S83" s="13"/>
      <c r="T83" s="9" t="str">
        <f t="shared" si="5"/>
        <v/>
      </c>
      <c r="U83" s="8"/>
      <c r="V83" s="8"/>
      <c r="W83" s="10"/>
      <c r="X83" s="8"/>
    </row>
    <row r="84" spans="1:24">
      <c r="A84" s="8"/>
      <c r="B84" s="10"/>
      <c r="C84" s="8"/>
      <c r="D84" s="8"/>
      <c r="E84" s="8"/>
      <c r="F84" s="8"/>
      <c r="G84" s="8"/>
      <c r="H84" s="13"/>
      <c r="I84" s="13"/>
      <c r="J84" s="8"/>
      <c r="K84" s="8"/>
      <c r="L84" s="8"/>
      <c r="M84" s="8"/>
      <c r="N84" s="14" t="str">
        <f t="shared" si="3"/>
        <v/>
      </c>
      <c r="O84" s="14" t="str">
        <f t="shared" si="4"/>
        <v/>
      </c>
      <c r="P84" s="14" t="str">
        <f>IF(A84="","",Lists!$K$2)</f>
        <v/>
      </c>
      <c r="Q84" s="13"/>
      <c r="R84" s="13"/>
      <c r="S84" s="13"/>
      <c r="T84" s="9" t="str">
        <f t="shared" si="5"/>
        <v/>
      </c>
      <c r="U84" s="8"/>
      <c r="V84" s="8"/>
      <c r="W84" s="10"/>
      <c r="X84" s="8"/>
    </row>
    <row r="85" spans="1:24">
      <c r="A85" s="8"/>
      <c r="B85" s="10"/>
      <c r="C85" s="8"/>
      <c r="D85" s="8"/>
      <c r="E85" s="8"/>
      <c r="F85" s="8"/>
      <c r="G85" s="8"/>
      <c r="H85" s="13"/>
      <c r="I85" s="13"/>
      <c r="J85" s="8"/>
      <c r="K85" s="8"/>
      <c r="L85" s="8"/>
      <c r="M85" s="8"/>
      <c r="N85" s="14" t="str">
        <f t="shared" si="3"/>
        <v/>
      </c>
      <c r="O85" s="14" t="str">
        <f t="shared" si="4"/>
        <v/>
      </c>
      <c r="P85" s="14" t="str">
        <f>IF(A85="","",Lists!$K$2)</f>
        <v/>
      </c>
      <c r="Q85" s="13"/>
      <c r="R85" s="13"/>
      <c r="S85" s="13"/>
      <c r="T85" s="9" t="str">
        <f t="shared" si="5"/>
        <v/>
      </c>
      <c r="U85" s="8"/>
      <c r="V85" s="8"/>
      <c r="W85" s="10"/>
      <c r="X85" s="8"/>
    </row>
    <row r="86" spans="1:24">
      <c r="A86" s="8"/>
      <c r="B86" s="10"/>
      <c r="C86" s="8"/>
      <c r="D86" s="8"/>
      <c r="E86" s="8"/>
      <c r="F86" s="8"/>
      <c r="G86" s="8"/>
      <c r="H86" s="13"/>
      <c r="I86" s="13"/>
      <c r="J86" s="8"/>
      <c r="K86" s="8"/>
      <c r="L86" s="8"/>
      <c r="M86" s="8"/>
      <c r="N86" s="14" t="str">
        <f t="shared" si="3"/>
        <v/>
      </c>
      <c r="O86" s="14" t="str">
        <f t="shared" si="4"/>
        <v/>
      </c>
      <c r="P86" s="14" t="str">
        <f>IF(A86="","",Lists!$K$2)</f>
        <v/>
      </c>
      <c r="Q86" s="13"/>
      <c r="R86" s="13"/>
      <c r="S86" s="13"/>
      <c r="T86" s="9" t="str">
        <f t="shared" si="5"/>
        <v/>
      </c>
      <c r="U86" s="8"/>
      <c r="V86" s="8"/>
      <c r="W86" s="10"/>
      <c r="X86" s="8"/>
    </row>
    <row r="87" spans="1:24">
      <c r="A87" s="8"/>
      <c r="B87" s="10"/>
      <c r="C87" s="8"/>
      <c r="D87" s="8"/>
      <c r="E87" s="8"/>
      <c r="F87" s="8"/>
      <c r="G87" s="8"/>
      <c r="H87" s="13"/>
      <c r="I87" s="13"/>
      <c r="J87" s="8"/>
      <c r="K87" s="8"/>
      <c r="L87" s="8"/>
      <c r="M87" s="8"/>
      <c r="N87" s="14" t="str">
        <f t="shared" si="3"/>
        <v/>
      </c>
      <c r="O87" s="14" t="str">
        <f t="shared" si="4"/>
        <v/>
      </c>
      <c r="P87" s="14" t="str">
        <f>IF(A87="","",Lists!$K$2)</f>
        <v/>
      </c>
      <c r="Q87" s="13"/>
      <c r="R87" s="13"/>
      <c r="S87" s="13"/>
      <c r="T87" s="9" t="str">
        <f t="shared" si="5"/>
        <v/>
      </c>
      <c r="U87" s="8"/>
      <c r="V87" s="8"/>
      <c r="W87" s="10"/>
      <c r="X87" s="8"/>
    </row>
    <row r="88" spans="1:24">
      <c r="A88" s="8"/>
      <c r="B88" s="10"/>
      <c r="C88" s="8"/>
      <c r="D88" s="8"/>
      <c r="E88" s="8"/>
      <c r="F88" s="8"/>
      <c r="G88" s="8"/>
      <c r="H88" s="13"/>
      <c r="I88" s="13"/>
      <c r="J88" s="8"/>
      <c r="K88" s="8"/>
      <c r="L88" s="8"/>
      <c r="M88" s="8"/>
      <c r="N88" s="14" t="str">
        <f t="shared" si="3"/>
        <v/>
      </c>
      <c r="O88" s="14" t="str">
        <f t="shared" si="4"/>
        <v/>
      </c>
      <c r="P88" s="14" t="str">
        <f>IF(A88="","",Lists!$K$2)</f>
        <v/>
      </c>
      <c r="Q88" s="13"/>
      <c r="R88" s="13"/>
      <c r="S88" s="13"/>
      <c r="T88" s="9" t="str">
        <f t="shared" si="5"/>
        <v/>
      </c>
      <c r="U88" s="8"/>
      <c r="V88" s="8"/>
      <c r="W88" s="10"/>
      <c r="X88" s="8"/>
    </row>
    <row r="89" spans="1:24">
      <c r="A89" s="8"/>
      <c r="B89" s="10"/>
      <c r="C89" s="8"/>
      <c r="D89" s="8"/>
      <c r="E89" s="8"/>
      <c r="F89" s="8"/>
      <c r="G89" s="8"/>
      <c r="H89" s="13"/>
      <c r="I89" s="13"/>
      <c r="J89" s="8"/>
      <c r="K89" s="8"/>
      <c r="L89" s="8"/>
      <c r="M89" s="8"/>
      <c r="N89" s="14" t="str">
        <f t="shared" si="3"/>
        <v/>
      </c>
      <c r="O89" s="14" t="str">
        <f t="shared" si="4"/>
        <v/>
      </c>
      <c r="P89" s="14" t="str">
        <f>IF(A89="","",Lists!$K$2)</f>
        <v/>
      </c>
      <c r="Q89" s="13"/>
      <c r="R89" s="13"/>
      <c r="S89" s="13"/>
      <c r="T89" s="9" t="str">
        <f t="shared" si="5"/>
        <v/>
      </c>
      <c r="U89" s="8"/>
      <c r="V89" s="8"/>
      <c r="W89" s="10"/>
      <c r="X89" s="8"/>
    </row>
    <row r="90" spans="1:24">
      <c r="A90" s="8"/>
      <c r="B90" s="10"/>
      <c r="C90" s="8"/>
      <c r="D90" s="8"/>
      <c r="E90" s="8"/>
      <c r="F90" s="8"/>
      <c r="G90" s="8"/>
      <c r="H90" s="13"/>
      <c r="I90" s="13"/>
      <c r="J90" s="8"/>
      <c r="K90" s="8"/>
      <c r="L90" s="8"/>
      <c r="M90" s="8"/>
      <c r="N90" s="14" t="str">
        <f t="shared" si="3"/>
        <v/>
      </c>
      <c r="O90" s="14" t="str">
        <f t="shared" si="4"/>
        <v/>
      </c>
      <c r="P90" s="14" t="str">
        <f>IF(A90="","",Lists!$K$2)</f>
        <v/>
      </c>
      <c r="Q90" s="13"/>
      <c r="R90" s="13"/>
      <c r="S90" s="13"/>
      <c r="T90" s="9" t="str">
        <f t="shared" si="5"/>
        <v/>
      </c>
      <c r="U90" s="8"/>
      <c r="V90" s="8"/>
      <c r="W90" s="10"/>
      <c r="X90" s="8"/>
    </row>
    <row r="91" spans="1:24">
      <c r="A91" s="8"/>
      <c r="B91" s="10"/>
      <c r="C91" s="8"/>
      <c r="D91" s="8"/>
      <c r="E91" s="8"/>
      <c r="F91" s="8"/>
      <c r="G91" s="8"/>
      <c r="H91" s="13"/>
      <c r="I91" s="13"/>
      <c r="J91" s="8"/>
      <c r="K91" s="8"/>
      <c r="L91" s="8"/>
      <c r="M91" s="8"/>
      <c r="N91" s="14" t="str">
        <f t="shared" si="3"/>
        <v/>
      </c>
      <c r="O91" s="14" t="str">
        <f t="shared" si="4"/>
        <v/>
      </c>
      <c r="P91" s="14" t="str">
        <f>IF(A91="","",Lists!$K$2)</f>
        <v/>
      </c>
      <c r="Q91" s="13"/>
      <c r="R91" s="13"/>
      <c r="S91" s="13"/>
      <c r="T91" s="9" t="str">
        <f t="shared" si="5"/>
        <v/>
      </c>
      <c r="U91" s="8"/>
      <c r="V91" s="8"/>
      <c r="W91" s="10"/>
      <c r="X91" s="8"/>
    </row>
    <row r="92" spans="1:24">
      <c r="A92" s="8"/>
      <c r="B92" s="10"/>
      <c r="C92" s="8"/>
      <c r="D92" s="8"/>
      <c r="E92" s="8"/>
      <c r="F92" s="8"/>
      <c r="G92" s="8"/>
      <c r="H92" s="13"/>
      <c r="I92" s="13"/>
      <c r="J92" s="8"/>
      <c r="K92" s="8"/>
      <c r="L92" s="8"/>
      <c r="M92" s="8"/>
      <c r="N92" s="14" t="str">
        <f t="shared" si="3"/>
        <v/>
      </c>
      <c r="O92" s="14" t="str">
        <f t="shared" si="4"/>
        <v/>
      </c>
      <c r="P92" s="14" t="str">
        <f>IF(A92="","",Lists!$K$2)</f>
        <v/>
      </c>
      <c r="Q92" s="13"/>
      <c r="R92" s="13"/>
      <c r="S92" s="13"/>
      <c r="T92" s="9" t="str">
        <f t="shared" si="5"/>
        <v/>
      </c>
      <c r="U92" s="8"/>
      <c r="V92" s="8"/>
      <c r="W92" s="10"/>
      <c r="X92" s="8"/>
    </row>
    <row r="93" spans="1:24">
      <c r="A93" s="8"/>
      <c r="B93" s="10"/>
      <c r="C93" s="8"/>
      <c r="D93" s="8"/>
      <c r="E93" s="8"/>
      <c r="F93" s="8"/>
      <c r="G93" s="8"/>
      <c r="H93" s="13"/>
      <c r="I93" s="13"/>
      <c r="J93" s="8"/>
      <c r="K93" s="8"/>
      <c r="L93" s="8"/>
      <c r="M93" s="8"/>
      <c r="N93" s="14" t="str">
        <f t="shared" si="3"/>
        <v/>
      </c>
      <c r="O93" s="14" t="str">
        <f t="shared" si="4"/>
        <v/>
      </c>
      <c r="P93" s="14" t="str">
        <f>IF(A93="","",Lists!$K$2)</f>
        <v/>
      </c>
      <c r="Q93" s="13"/>
      <c r="R93" s="13"/>
      <c r="S93" s="13"/>
      <c r="T93" s="9" t="str">
        <f t="shared" si="5"/>
        <v/>
      </c>
      <c r="U93" s="8"/>
      <c r="V93" s="8"/>
      <c r="W93" s="10"/>
      <c r="X93" s="8"/>
    </row>
    <row r="94" spans="1:24">
      <c r="A94" s="8"/>
      <c r="B94" s="10"/>
      <c r="C94" s="8"/>
      <c r="D94" s="8"/>
      <c r="E94" s="8"/>
      <c r="F94" s="8"/>
      <c r="G94" s="8"/>
      <c r="H94" s="13"/>
      <c r="I94" s="13"/>
      <c r="J94" s="8"/>
      <c r="K94" s="8"/>
      <c r="L94" s="8"/>
      <c r="M94" s="8"/>
      <c r="N94" s="14" t="str">
        <f t="shared" si="3"/>
        <v/>
      </c>
      <c r="O94" s="14" t="str">
        <f t="shared" si="4"/>
        <v/>
      </c>
      <c r="P94" s="14" t="str">
        <f>IF(A94="","",Lists!$K$2)</f>
        <v/>
      </c>
      <c r="Q94" s="13"/>
      <c r="R94" s="13"/>
      <c r="S94" s="13"/>
      <c r="T94" s="9" t="str">
        <f t="shared" si="5"/>
        <v/>
      </c>
      <c r="U94" s="8"/>
      <c r="V94" s="8"/>
      <c r="W94" s="10"/>
      <c r="X94" s="8"/>
    </row>
    <row r="95" spans="1:24">
      <c r="A95" s="8"/>
      <c r="B95" s="10"/>
      <c r="C95" s="8"/>
      <c r="D95" s="8"/>
      <c r="E95" s="8"/>
      <c r="F95" s="8"/>
      <c r="G95" s="8"/>
      <c r="H95" s="13"/>
      <c r="I95" s="13"/>
      <c r="J95" s="8"/>
      <c r="K95" s="8"/>
      <c r="L95" s="8"/>
      <c r="M95" s="8"/>
      <c r="N95" s="14" t="str">
        <f t="shared" si="3"/>
        <v/>
      </c>
      <c r="O95" s="14" t="str">
        <f t="shared" si="4"/>
        <v/>
      </c>
      <c r="P95" s="14" t="str">
        <f>IF(A95="","",Lists!$K$2)</f>
        <v/>
      </c>
      <c r="Q95" s="13"/>
      <c r="R95" s="13"/>
      <c r="S95" s="13"/>
      <c r="T95" s="9" t="str">
        <f t="shared" si="5"/>
        <v/>
      </c>
      <c r="U95" s="8"/>
      <c r="V95" s="8"/>
      <c r="W95" s="10"/>
      <c r="X95" s="8"/>
    </row>
    <row r="96" spans="1:24">
      <c r="A96" s="8"/>
      <c r="B96" s="10"/>
      <c r="C96" s="8"/>
      <c r="D96" s="8"/>
      <c r="E96" s="8"/>
      <c r="F96" s="8"/>
      <c r="G96" s="8"/>
      <c r="H96" s="13"/>
      <c r="I96" s="13"/>
      <c r="J96" s="8"/>
      <c r="K96" s="8"/>
      <c r="L96" s="8"/>
      <c r="M96" s="8"/>
      <c r="N96" s="14" t="str">
        <f t="shared" si="3"/>
        <v/>
      </c>
      <c r="O96" s="14" t="str">
        <f t="shared" si="4"/>
        <v/>
      </c>
      <c r="P96" s="14" t="str">
        <f>IF(A96="","",Lists!$K$2)</f>
        <v/>
      </c>
      <c r="Q96" s="13"/>
      <c r="R96" s="13"/>
      <c r="S96" s="13"/>
      <c r="T96" s="9" t="str">
        <f t="shared" si="5"/>
        <v/>
      </c>
      <c r="U96" s="8"/>
      <c r="V96" s="8"/>
      <c r="W96" s="10"/>
      <c r="X96" s="8"/>
    </row>
    <row r="97" spans="1:24">
      <c r="A97" s="8"/>
      <c r="B97" s="10"/>
      <c r="C97" s="8"/>
      <c r="D97" s="8"/>
      <c r="E97" s="8"/>
      <c r="F97" s="8"/>
      <c r="G97" s="8"/>
      <c r="H97" s="13"/>
      <c r="I97" s="13"/>
      <c r="J97" s="8"/>
      <c r="K97" s="8"/>
      <c r="L97" s="8"/>
      <c r="M97" s="8"/>
      <c r="N97" s="14" t="str">
        <f t="shared" si="3"/>
        <v/>
      </c>
      <c r="O97" s="14" t="str">
        <f t="shared" si="4"/>
        <v/>
      </c>
      <c r="P97" s="14" t="str">
        <f>IF(A97="","",Lists!$K$2)</f>
        <v/>
      </c>
      <c r="Q97" s="13"/>
      <c r="R97" s="13"/>
      <c r="S97" s="13"/>
      <c r="T97" s="9" t="str">
        <f t="shared" si="5"/>
        <v/>
      </c>
      <c r="U97" s="8"/>
      <c r="V97" s="8"/>
      <c r="W97" s="10"/>
      <c r="X97" s="8"/>
    </row>
    <row r="98" spans="1:24">
      <c r="A98" s="8"/>
      <c r="B98" s="10"/>
      <c r="C98" s="8"/>
      <c r="D98" s="8"/>
      <c r="E98" s="8"/>
      <c r="F98" s="8"/>
      <c r="G98" s="8"/>
      <c r="H98" s="13"/>
      <c r="I98" s="13"/>
      <c r="J98" s="8"/>
      <c r="K98" s="8"/>
      <c r="L98" s="8"/>
      <c r="M98" s="8"/>
      <c r="N98" s="14" t="str">
        <f t="shared" si="3"/>
        <v/>
      </c>
      <c r="O98" s="14" t="str">
        <f t="shared" si="4"/>
        <v/>
      </c>
      <c r="P98" s="14" t="str">
        <f>IF(A98="","",Lists!$K$2)</f>
        <v/>
      </c>
      <c r="Q98" s="13"/>
      <c r="R98" s="13"/>
      <c r="S98" s="13"/>
      <c r="T98" s="9" t="str">
        <f t="shared" si="5"/>
        <v/>
      </c>
      <c r="U98" s="8"/>
      <c r="V98" s="8"/>
      <c r="W98" s="10"/>
      <c r="X98" s="8"/>
    </row>
    <row r="99" spans="1:24">
      <c r="A99" s="8"/>
      <c r="B99" s="10"/>
      <c r="C99" s="8"/>
      <c r="D99" s="8"/>
      <c r="E99" s="8"/>
      <c r="F99" s="8"/>
      <c r="G99" s="8"/>
      <c r="H99" s="13"/>
      <c r="I99" s="13"/>
      <c r="J99" s="8"/>
      <c r="K99" s="8"/>
      <c r="L99" s="8"/>
      <c r="M99" s="8"/>
      <c r="N99" s="14" t="str">
        <f t="shared" si="3"/>
        <v/>
      </c>
      <c r="O99" s="14" t="str">
        <f t="shared" si="4"/>
        <v/>
      </c>
      <c r="P99" s="14" t="str">
        <f>IF(A99="","",Lists!$K$2)</f>
        <v/>
      </c>
      <c r="Q99" s="13"/>
      <c r="R99" s="13"/>
      <c r="S99" s="13"/>
      <c r="T99" s="9" t="str">
        <f t="shared" si="5"/>
        <v/>
      </c>
      <c r="U99" s="8"/>
      <c r="V99" s="8"/>
      <c r="W99" s="10"/>
      <c r="X99" s="8"/>
    </row>
    <row r="100" spans="1:24">
      <c r="A100" s="8"/>
      <c r="B100" s="10"/>
      <c r="C100" s="8"/>
      <c r="D100" s="8"/>
      <c r="E100" s="8"/>
      <c r="F100" s="8"/>
      <c r="G100" s="8"/>
      <c r="H100" s="13"/>
      <c r="I100" s="13"/>
      <c r="J100" s="8"/>
      <c r="K100" s="8"/>
      <c r="L100" s="8"/>
      <c r="M100" s="8"/>
      <c r="N100" s="14" t="str">
        <f t="shared" si="3"/>
        <v/>
      </c>
      <c r="O100" s="14" t="str">
        <f t="shared" si="4"/>
        <v/>
      </c>
      <c r="P100" s="14" t="str">
        <f>IF(A100="","",Lists!$K$2)</f>
        <v/>
      </c>
      <c r="Q100" s="13"/>
      <c r="R100" s="13"/>
      <c r="S100" s="13"/>
      <c r="T100" s="9" t="str">
        <f t="shared" si="5"/>
        <v/>
      </c>
      <c r="U100" s="8"/>
      <c r="V100" s="8"/>
      <c r="W100" s="10"/>
      <c r="X100" s="8"/>
    </row>
    <row r="101" spans="1:24">
      <c r="A101" s="8"/>
      <c r="B101" s="10"/>
      <c r="C101" s="8"/>
      <c r="D101" s="8"/>
      <c r="E101" s="8"/>
      <c r="F101" s="8"/>
      <c r="G101" s="8"/>
      <c r="H101" s="13"/>
      <c r="I101" s="13"/>
      <c r="J101" s="8"/>
      <c r="K101" s="8"/>
      <c r="L101" s="8"/>
      <c r="M101" s="8"/>
      <c r="N101" s="14" t="str">
        <f t="shared" si="3"/>
        <v/>
      </c>
      <c r="O101" s="14" t="str">
        <f t="shared" si="4"/>
        <v/>
      </c>
      <c r="P101" s="14" t="str">
        <f>IF(A101="","",Lists!$K$2)</f>
        <v/>
      </c>
      <c r="Q101" s="13"/>
      <c r="R101" s="13"/>
      <c r="S101" s="13"/>
      <c r="T101" s="9" t="str">
        <f t="shared" si="5"/>
        <v/>
      </c>
      <c r="U101" s="8"/>
      <c r="V101" s="8"/>
      <c r="W101" s="10"/>
      <c r="X101" s="8"/>
    </row>
    <row r="102" spans="1:24">
      <c r="A102" s="8"/>
      <c r="B102" s="10"/>
      <c r="C102" s="8"/>
      <c r="D102" s="8"/>
      <c r="E102" s="8"/>
      <c r="F102" s="8"/>
      <c r="G102" s="8"/>
      <c r="H102" s="13"/>
      <c r="I102" s="13"/>
      <c r="J102" s="8"/>
      <c r="K102" s="8"/>
      <c r="L102" s="8"/>
      <c r="M102" s="8"/>
      <c r="N102" s="14" t="str">
        <f t="shared" si="3"/>
        <v/>
      </c>
      <c r="O102" s="14" t="str">
        <f t="shared" si="4"/>
        <v/>
      </c>
      <c r="P102" s="14" t="str">
        <f>IF(A102="","",Lists!$K$2)</f>
        <v/>
      </c>
      <c r="Q102" s="13"/>
      <c r="R102" s="13"/>
      <c r="S102" s="13"/>
      <c r="T102" s="9" t="str">
        <f t="shared" si="5"/>
        <v/>
      </c>
      <c r="U102" s="8"/>
      <c r="V102" s="8"/>
      <c r="W102" s="10"/>
      <c r="X102" s="8"/>
    </row>
    <row r="103" spans="1:24">
      <c r="A103" s="8"/>
      <c r="B103" s="10"/>
      <c r="C103" s="8"/>
      <c r="D103" s="8"/>
      <c r="E103" s="8"/>
      <c r="F103" s="8"/>
      <c r="G103" s="8"/>
      <c r="H103" s="13"/>
      <c r="I103" s="13"/>
      <c r="J103" s="8"/>
      <c r="K103" s="8"/>
      <c r="L103" s="8"/>
      <c r="M103" s="8"/>
      <c r="N103" s="14" t="str">
        <f t="shared" si="3"/>
        <v/>
      </c>
      <c r="O103" s="14" t="str">
        <f t="shared" si="4"/>
        <v/>
      </c>
      <c r="P103" s="14" t="str">
        <f>IF(A103="","",Lists!$K$2)</f>
        <v/>
      </c>
      <c r="Q103" s="13"/>
      <c r="R103" s="13"/>
      <c r="S103" s="13"/>
      <c r="T103" s="9" t="str">
        <f t="shared" si="5"/>
        <v/>
      </c>
      <c r="U103" s="8"/>
      <c r="V103" s="8"/>
      <c r="W103" s="10"/>
      <c r="X103" s="8"/>
    </row>
    <row r="104" spans="1:24">
      <c r="A104" s="8"/>
      <c r="B104" s="10"/>
      <c r="C104" s="8"/>
      <c r="D104" s="8"/>
      <c r="E104" s="8"/>
      <c r="F104" s="8"/>
      <c r="G104" s="8"/>
      <c r="H104" s="13"/>
      <c r="I104" s="13"/>
      <c r="J104" s="8"/>
      <c r="K104" s="8"/>
      <c r="L104" s="8"/>
      <c r="M104" s="8"/>
      <c r="N104" s="14" t="str">
        <f t="shared" si="3"/>
        <v/>
      </c>
      <c r="O104" s="14" t="str">
        <f t="shared" si="4"/>
        <v/>
      </c>
      <c r="P104" s="14" t="str">
        <f>IF(A104="","",Lists!$K$2)</f>
        <v/>
      </c>
      <c r="Q104" s="13"/>
      <c r="R104" s="13"/>
      <c r="S104" s="13"/>
      <c r="T104" s="9" t="str">
        <f t="shared" si="5"/>
        <v/>
      </c>
      <c r="U104" s="8"/>
      <c r="V104" s="8"/>
      <c r="W104" s="10"/>
      <c r="X104" s="8"/>
    </row>
    <row r="105" spans="1:24">
      <c r="A105" s="8"/>
      <c r="B105" s="10"/>
      <c r="C105" s="8"/>
      <c r="D105" s="8"/>
      <c r="E105" s="8"/>
      <c r="F105" s="8"/>
      <c r="G105" s="8"/>
      <c r="H105" s="13"/>
      <c r="I105" s="13"/>
      <c r="J105" s="8"/>
      <c r="K105" s="8"/>
      <c r="L105" s="8"/>
      <c r="M105" s="8"/>
      <c r="N105" s="14" t="str">
        <f t="shared" si="3"/>
        <v/>
      </c>
      <c r="O105" s="14" t="str">
        <f t="shared" si="4"/>
        <v/>
      </c>
      <c r="P105" s="14" t="str">
        <f>IF(A105="","",Lists!$K$2)</f>
        <v/>
      </c>
      <c r="Q105" s="13"/>
      <c r="R105" s="13"/>
      <c r="S105" s="13"/>
      <c r="T105" s="9" t="str">
        <f t="shared" si="5"/>
        <v/>
      </c>
      <c r="U105" s="8"/>
      <c r="V105" s="8"/>
      <c r="W105" s="10"/>
      <c r="X105" s="8"/>
    </row>
    <row r="106" spans="1:24">
      <c r="A106" s="8"/>
      <c r="B106" s="10"/>
      <c r="C106" s="8"/>
      <c r="D106" s="8"/>
      <c r="E106" s="8"/>
      <c r="F106" s="8"/>
      <c r="G106" s="8"/>
      <c r="H106" s="13"/>
      <c r="I106" s="13"/>
      <c r="J106" s="8"/>
      <c r="K106" s="8"/>
      <c r="L106" s="8"/>
      <c r="M106" s="8"/>
      <c r="N106" s="14" t="str">
        <f t="shared" si="3"/>
        <v/>
      </c>
      <c r="O106" s="14" t="str">
        <f t="shared" si="4"/>
        <v/>
      </c>
      <c r="P106" s="14" t="str">
        <f>IF(A106="","",Lists!$K$2)</f>
        <v/>
      </c>
      <c r="Q106" s="13"/>
      <c r="R106" s="13"/>
      <c r="S106" s="13"/>
      <c r="T106" s="9" t="str">
        <f t="shared" si="5"/>
        <v/>
      </c>
      <c r="U106" s="8"/>
      <c r="V106" s="8"/>
      <c r="W106" s="10"/>
      <c r="X106" s="8"/>
    </row>
    <row r="107" spans="1:24">
      <c r="A107" s="8"/>
      <c r="B107" s="10"/>
      <c r="C107" s="8"/>
      <c r="D107" s="8"/>
      <c r="E107" s="8"/>
      <c r="F107" s="8"/>
      <c r="G107" s="8"/>
      <c r="H107" s="13"/>
      <c r="I107" s="13"/>
      <c r="J107" s="8"/>
      <c r="K107" s="8"/>
      <c r="L107" s="8"/>
      <c r="M107" s="8"/>
      <c r="N107" s="14" t="str">
        <f t="shared" si="3"/>
        <v/>
      </c>
      <c r="O107" s="14" t="str">
        <f t="shared" si="4"/>
        <v/>
      </c>
      <c r="P107" s="14" t="str">
        <f>IF(A107="","",Lists!$K$2)</f>
        <v/>
      </c>
      <c r="Q107" s="13"/>
      <c r="R107" s="13"/>
      <c r="S107" s="13"/>
      <c r="T107" s="9" t="str">
        <f t="shared" si="5"/>
        <v/>
      </c>
      <c r="U107" s="8"/>
      <c r="V107" s="8"/>
      <c r="W107" s="10"/>
      <c r="X107" s="8"/>
    </row>
    <row r="108" spans="1:24">
      <c r="A108" s="8"/>
      <c r="B108" s="10"/>
      <c r="C108" s="8"/>
      <c r="D108" s="8"/>
      <c r="E108" s="8"/>
      <c r="F108" s="8"/>
      <c r="G108" s="8"/>
      <c r="H108" s="13"/>
      <c r="I108" s="13"/>
      <c r="J108" s="8"/>
      <c r="K108" s="8"/>
      <c r="L108" s="8"/>
      <c r="M108" s="8"/>
      <c r="N108" s="14" t="str">
        <f t="shared" si="3"/>
        <v/>
      </c>
      <c r="O108" s="14" t="str">
        <f t="shared" si="4"/>
        <v/>
      </c>
      <c r="P108" s="14" t="str">
        <f>IF(A108="","",Lists!$K$2)</f>
        <v/>
      </c>
      <c r="Q108" s="13"/>
      <c r="R108" s="13"/>
      <c r="S108" s="13"/>
      <c r="T108" s="9" t="str">
        <f t="shared" si="5"/>
        <v/>
      </c>
      <c r="U108" s="8"/>
      <c r="V108" s="8"/>
      <c r="W108" s="10"/>
      <c r="X108" s="8"/>
    </row>
    <row r="109" spans="1:24">
      <c r="A109" s="8"/>
      <c r="B109" s="10"/>
      <c r="C109" s="8"/>
      <c r="D109" s="8"/>
      <c r="E109" s="8"/>
      <c r="F109" s="8"/>
      <c r="G109" s="8"/>
      <c r="H109" s="13"/>
      <c r="I109" s="13"/>
      <c r="J109" s="8"/>
      <c r="K109" s="8"/>
      <c r="L109" s="8"/>
      <c r="M109" s="8"/>
      <c r="N109" s="14" t="str">
        <f t="shared" si="3"/>
        <v/>
      </c>
      <c r="O109" s="14" t="str">
        <f t="shared" si="4"/>
        <v/>
      </c>
      <c r="P109" s="14" t="str">
        <f>IF(A109="","",Lists!$K$2)</f>
        <v/>
      </c>
      <c r="Q109" s="13"/>
      <c r="R109" s="13"/>
      <c r="S109" s="13"/>
      <c r="T109" s="9" t="str">
        <f t="shared" si="5"/>
        <v/>
      </c>
      <c r="U109" s="8"/>
      <c r="V109" s="8"/>
      <c r="W109" s="10"/>
      <c r="X109" s="8"/>
    </row>
    <row r="110" spans="1:24">
      <c r="A110" s="8"/>
      <c r="B110" s="10"/>
      <c r="C110" s="8"/>
      <c r="D110" s="8"/>
      <c r="E110" s="8"/>
      <c r="F110" s="8"/>
      <c r="G110" s="8"/>
      <c r="H110" s="13"/>
      <c r="I110" s="13"/>
      <c r="J110" s="8"/>
      <c r="K110" s="8"/>
      <c r="L110" s="8"/>
      <c r="M110" s="8"/>
      <c r="N110" s="14" t="str">
        <f t="shared" si="3"/>
        <v/>
      </c>
      <c r="O110" s="14" t="str">
        <f t="shared" si="4"/>
        <v/>
      </c>
      <c r="P110" s="14" t="str">
        <f>IF(A110="","",Lists!$K$2)</f>
        <v/>
      </c>
      <c r="Q110" s="13"/>
      <c r="R110" s="13"/>
      <c r="S110" s="13"/>
      <c r="T110" s="9" t="str">
        <f t="shared" si="5"/>
        <v/>
      </c>
      <c r="U110" s="8"/>
      <c r="V110" s="8"/>
      <c r="W110" s="10"/>
      <c r="X110" s="8"/>
    </row>
    <row r="111" spans="1:24">
      <c r="A111" s="8"/>
      <c r="B111" s="10"/>
      <c r="C111" s="8"/>
      <c r="D111" s="8"/>
      <c r="E111" s="8"/>
      <c r="F111" s="8"/>
      <c r="G111" s="8"/>
      <c r="H111" s="13"/>
      <c r="I111" s="13"/>
      <c r="J111" s="8"/>
      <c r="K111" s="8"/>
      <c r="L111" s="8"/>
      <c r="M111" s="8"/>
      <c r="N111" s="14" t="str">
        <f t="shared" si="3"/>
        <v/>
      </c>
      <c r="O111" s="14" t="str">
        <f t="shared" si="4"/>
        <v/>
      </c>
      <c r="P111" s="14" t="str">
        <f>IF(A111="","",Lists!$K$2)</f>
        <v/>
      </c>
      <c r="Q111" s="13"/>
      <c r="R111" s="13"/>
      <c r="S111" s="13"/>
      <c r="T111" s="9" t="str">
        <f t="shared" si="5"/>
        <v/>
      </c>
      <c r="U111" s="8"/>
      <c r="V111" s="8"/>
      <c r="W111" s="10"/>
      <c r="X111" s="8"/>
    </row>
    <row r="112" spans="1:24">
      <c r="A112" s="8"/>
      <c r="B112" s="10"/>
      <c r="C112" s="8"/>
      <c r="D112" s="8"/>
      <c r="E112" s="8"/>
      <c r="F112" s="8"/>
      <c r="G112" s="8"/>
      <c r="H112" s="13"/>
      <c r="I112" s="13"/>
      <c r="J112" s="8"/>
      <c r="K112" s="8"/>
      <c r="L112" s="8"/>
      <c r="M112" s="8"/>
      <c r="N112" s="14" t="str">
        <f t="shared" si="3"/>
        <v/>
      </c>
      <c r="O112" s="14" t="str">
        <f t="shared" si="4"/>
        <v/>
      </c>
      <c r="P112" s="14" t="str">
        <f>IF(A112="","",Lists!$K$2)</f>
        <v/>
      </c>
      <c r="Q112" s="13"/>
      <c r="R112" s="13"/>
      <c r="S112" s="13"/>
      <c r="T112" s="9" t="str">
        <f t="shared" si="5"/>
        <v/>
      </c>
      <c r="U112" s="8"/>
      <c r="V112" s="8"/>
      <c r="W112" s="10"/>
      <c r="X112" s="8"/>
    </row>
    <row r="113" spans="1:24">
      <c r="A113" s="8"/>
      <c r="B113" s="10"/>
      <c r="C113" s="8"/>
      <c r="D113" s="8"/>
      <c r="E113" s="8"/>
      <c r="F113" s="8"/>
      <c r="G113" s="8"/>
      <c r="H113" s="13"/>
      <c r="I113" s="13"/>
      <c r="J113" s="8"/>
      <c r="K113" s="8"/>
      <c r="L113" s="8"/>
      <c r="M113" s="8"/>
      <c r="N113" s="14" t="str">
        <f t="shared" si="3"/>
        <v/>
      </c>
      <c r="O113" s="14" t="str">
        <f t="shared" si="4"/>
        <v/>
      </c>
      <c r="P113" s="14" t="str">
        <f>IF(A113="","",Lists!$K$2)</f>
        <v/>
      </c>
      <c r="Q113" s="13"/>
      <c r="R113" s="13"/>
      <c r="S113" s="13"/>
      <c r="T113" s="9" t="str">
        <f t="shared" si="5"/>
        <v/>
      </c>
      <c r="U113" s="8"/>
      <c r="V113" s="8"/>
      <c r="W113" s="10"/>
      <c r="X113" s="8"/>
    </row>
    <row r="114" spans="1:24">
      <c r="A114" s="8"/>
      <c r="B114" s="10"/>
      <c r="C114" s="8"/>
      <c r="D114" s="8"/>
      <c r="E114" s="8"/>
      <c r="F114" s="8"/>
      <c r="G114" s="8"/>
      <c r="H114" s="13"/>
      <c r="I114" s="13"/>
      <c r="J114" s="8"/>
      <c r="K114" s="8"/>
      <c r="L114" s="8"/>
      <c r="M114" s="8"/>
      <c r="N114" s="14" t="str">
        <f t="shared" si="3"/>
        <v/>
      </c>
      <c r="O114" s="14" t="str">
        <f t="shared" si="4"/>
        <v/>
      </c>
      <c r="P114" s="14" t="str">
        <f>IF(A114="","",Lists!$K$2)</f>
        <v/>
      </c>
      <c r="Q114" s="13"/>
      <c r="R114" s="13"/>
      <c r="S114" s="13"/>
      <c r="T114" s="9" t="str">
        <f t="shared" si="5"/>
        <v/>
      </c>
      <c r="U114" s="8"/>
      <c r="V114" s="8"/>
      <c r="W114" s="10"/>
      <c r="X114" s="8"/>
    </row>
    <row r="115" spans="1:24">
      <c r="A115" s="8"/>
      <c r="B115" s="10"/>
      <c r="C115" s="8"/>
      <c r="D115" s="8"/>
      <c r="E115" s="8"/>
      <c r="F115" s="8"/>
      <c r="G115" s="8"/>
      <c r="H115" s="13"/>
      <c r="I115" s="13"/>
      <c r="J115" s="8"/>
      <c r="K115" s="8"/>
      <c r="L115" s="8"/>
      <c r="M115" s="8"/>
      <c r="N115" s="14" t="str">
        <f t="shared" si="3"/>
        <v/>
      </c>
      <c r="O115" s="14" t="str">
        <f t="shared" si="4"/>
        <v/>
      </c>
      <c r="P115" s="14" t="str">
        <f>IF(A115="","",Lists!$K$2)</f>
        <v/>
      </c>
      <c r="Q115" s="13"/>
      <c r="R115" s="13"/>
      <c r="S115" s="13"/>
      <c r="T115" s="9" t="str">
        <f t="shared" si="5"/>
        <v/>
      </c>
      <c r="U115" s="8"/>
      <c r="V115" s="8"/>
      <c r="W115" s="10"/>
      <c r="X115" s="8"/>
    </row>
    <row r="116" spans="1:24">
      <c r="A116" s="8"/>
      <c r="B116" s="10"/>
      <c r="C116" s="8"/>
      <c r="D116" s="8"/>
      <c r="E116" s="8"/>
      <c r="F116" s="8"/>
      <c r="G116" s="8"/>
      <c r="H116" s="13"/>
      <c r="I116" s="13"/>
      <c r="J116" s="8"/>
      <c r="K116" s="8"/>
      <c r="L116" s="8"/>
      <c r="M116" s="8"/>
      <c r="N116" s="14" t="str">
        <f t="shared" si="3"/>
        <v/>
      </c>
      <c r="O116" s="14" t="str">
        <f t="shared" si="4"/>
        <v/>
      </c>
      <c r="P116" s="14" t="str">
        <f>IF(A116="","",Lists!$K$2)</f>
        <v/>
      </c>
      <c r="Q116" s="13"/>
      <c r="R116" s="13"/>
      <c r="S116" s="13"/>
      <c r="T116" s="9" t="str">
        <f t="shared" si="5"/>
        <v/>
      </c>
      <c r="U116" s="8"/>
      <c r="V116" s="8"/>
      <c r="W116" s="10"/>
      <c r="X116" s="8"/>
    </row>
    <row r="117" spans="1:24">
      <c r="A117" s="8"/>
      <c r="B117" s="10"/>
      <c r="C117" s="8"/>
      <c r="D117" s="8"/>
      <c r="E117" s="8"/>
      <c r="F117" s="8"/>
      <c r="G117" s="8"/>
      <c r="H117" s="13"/>
      <c r="I117" s="13"/>
      <c r="J117" s="8"/>
      <c r="K117" s="8"/>
      <c r="L117" s="8"/>
      <c r="M117" s="8"/>
      <c r="N117" s="14" t="str">
        <f t="shared" si="3"/>
        <v/>
      </c>
      <c r="O117" s="14" t="str">
        <f t="shared" si="4"/>
        <v/>
      </c>
      <c r="P117" s="14" t="str">
        <f>IF(A117="","",Lists!$K$2)</f>
        <v/>
      </c>
      <c r="Q117" s="13"/>
      <c r="R117" s="13"/>
      <c r="S117" s="13"/>
      <c r="T117" s="9" t="str">
        <f t="shared" si="5"/>
        <v/>
      </c>
      <c r="U117" s="8"/>
      <c r="V117" s="8"/>
      <c r="W117" s="10"/>
      <c r="X117" s="8"/>
    </row>
    <row r="118" spans="1:24">
      <c r="A118" s="8"/>
      <c r="B118" s="10"/>
      <c r="C118" s="8"/>
      <c r="D118" s="8"/>
      <c r="E118" s="8"/>
      <c r="F118" s="8"/>
      <c r="G118" s="8"/>
      <c r="H118" s="13"/>
      <c r="I118" s="13"/>
      <c r="J118" s="8"/>
      <c r="K118" s="8"/>
      <c r="L118" s="8"/>
      <c r="M118" s="8"/>
      <c r="N118" s="14" t="str">
        <f t="shared" si="3"/>
        <v/>
      </c>
      <c r="O118" s="14" t="str">
        <f t="shared" si="4"/>
        <v/>
      </c>
      <c r="P118" s="14" t="str">
        <f>IF(A118="","",Lists!$K$2)</f>
        <v/>
      </c>
      <c r="Q118" s="13"/>
      <c r="R118" s="13"/>
      <c r="S118" s="13"/>
      <c r="T118" s="9" t="str">
        <f t="shared" si="5"/>
        <v/>
      </c>
      <c r="U118" s="8"/>
      <c r="V118" s="8"/>
      <c r="W118" s="10"/>
      <c r="X118" s="8"/>
    </row>
    <row r="119" spans="1:24">
      <c r="A119" s="8"/>
      <c r="B119" s="10"/>
      <c r="C119" s="8"/>
      <c r="D119" s="8"/>
      <c r="E119" s="8"/>
      <c r="F119" s="8"/>
      <c r="G119" s="8"/>
      <c r="H119" s="13"/>
      <c r="I119" s="13"/>
      <c r="J119" s="8"/>
      <c r="K119" s="8"/>
      <c r="L119" s="8"/>
      <c r="M119" s="8"/>
      <c r="N119" s="14" t="str">
        <f t="shared" si="3"/>
        <v/>
      </c>
      <c r="O119" s="14" t="str">
        <f t="shared" si="4"/>
        <v/>
      </c>
      <c r="P119" s="14" t="str">
        <f>IF(A119="","",Lists!$K$2)</f>
        <v/>
      </c>
      <c r="Q119" s="13"/>
      <c r="R119" s="13"/>
      <c r="S119" s="13"/>
      <c r="T119" s="9" t="str">
        <f t="shared" si="5"/>
        <v/>
      </c>
      <c r="U119" s="8"/>
      <c r="V119" s="8"/>
      <c r="W119" s="10"/>
      <c r="X119" s="8"/>
    </row>
    <row r="120" spans="1:24">
      <c r="A120" s="8"/>
      <c r="B120" s="10"/>
      <c r="C120" s="8"/>
      <c r="D120" s="8"/>
      <c r="E120" s="8"/>
      <c r="F120" s="8"/>
      <c r="G120" s="8"/>
      <c r="H120" s="13"/>
      <c r="I120" s="13"/>
      <c r="J120" s="8"/>
      <c r="K120" s="8"/>
      <c r="L120" s="8"/>
      <c r="M120" s="8"/>
      <c r="N120" s="14" t="str">
        <f t="shared" si="3"/>
        <v/>
      </c>
      <c r="O120" s="14" t="str">
        <f t="shared" si="4"/>
        <v/>
      </c>
      <c r="P120" s="14" t="str">
        <f>IF(A120="","",Lists!$K$2)</f>
        <v/>
      </c>
      <c r="Q120" s="13"/>
      <c r="R120" s="13"/>
      <c r="S120" s="13"/>
      <c r="T120" s="9" t="str">
        <f t="shared" si="5"/>
        <v/>
      </c>
      <c r="U120" s="8"/>
      <c r="V120" s="8"/>
      <c r="W120" s="10"/>
      <c r="X120" s="8"/>
    </row>
    <row r="121" spans="1:24">
      <c r="A121" s="8"/>
      <c r="B121" s="10"/>
      <c r="C121" s="8"/>
      <c r="D121" s="8"/>
      <c r="E121" s="8"/>
      <c r="F121" s="8"/>
      <c r="G121" s="8"/>
      <c r="H121" s="13"/>
      <c r="I121" s="13"/>
      <c r="J121" s="8"/>
      <c r="K121" s="8"/>
      <c r="L121" s="8"/>
      <c r="M121" s="8"/>
      <c r="N121" s="14" t="str">
        <f t="shared" si="3"/>
        <v/>
      </c>
      <c r="O121" s="14" t="str">
        <f t="shared" si="4"/>
        <v/>
      </c>
      <c r="P121" s="14" t="str">
        <f>IF(A121="","",Lists!$K$2)</f>
        <v/>
      </c>
      <c r="Q121" s="13"/>
      <c r="R121" s="13"/>
      <c r="S121" s="13"/>
      <c r="T121" s="9" t="str">
        <f t="shared" si="5"/>
        <v/>
      </c>
      <c r="U121" s="8"/>
      <c r="V121" s="8"/>
      <c r="W121" s="10"/>
      <c r="X121" s="8"/>
    </row>
    <row r="122" spans="1:24">
      <c r="A122" s="8"/>
      <c r="B122" s="10"/>
      <c r="C122" s="8"/>
      <c r="D122" s="8"/>
      <c r="E122" s="8"/>
      <c r="F122" s="8"/>
      <c r="G122" s="8"/>
      <c r="H122" s="13"/>
      <c r="I122" s="13"/>
      <c r="J122" s="8"/>
      <c r="K122" s="8"/>
      <c r="L122" s="8"/>
      <c r="M122" s="8"/>
      <c r="N122" s="14" t="str">
        <f t="shared" si="3"/>
        <v/>
      </c>
      <c r="O122" s="14" t="str">
        <f t="shared" si="4"/>
        <v/>
      </c>
      <c r="P122" s="14" t="str">
        <f>IF(A122="","",Lists!$K$2)</f>
        <v/>
      </c>
      <c r="Q122" s="13"/>
      <c r="R122" s="13"/>
      <c r="S122" s="13"/>
      <c r="T122" s="9" t="str">
        <f t="shared" si="5"/>
        <v/>
      </c>
      <c r="U122" s="8"/>
      <c r="V122" s="8"/>
      <c r="W122" s="10"/>
      <c r="X122" s="8"/>
    </row>
    <row r="123" spans="1:24">
      <c r="A123" s="8"/>
      <c r="B123" s="10"/>
      <c r="C123" s="8"/>
      <c r="D123" s="8"/>
      <c r="E123" s="8"/>
      <c r="F123" s="8"/>
      <c r="G123" s="8"/>
      <c r="H123" s="13"/>
      <c r="I123" s="13"/>
      <c r="J123" s="8"/>
      <c r="K123" s="8"/>
      <c r="L123" s="8"/>
      <c r="M123" s="8"/>
      <c r="N123" s="14" t="str">
        <f t="shared" si="3"/>
        <v/>
      </c>
      <c r="O123" s="14" t="str">
        <f t="shared" si="4"/>
        <v/>
      </c>
      <c r="P123" s="14" t="str">
        <f>IF(A123="","",Lists!$K$2)</f>
        <v/>
      </c>
      <c r="Q123" s="13"/>
      <c r="R123" s="13"/>
      <c r="S123" s="13"/>
      <c r="T123" s="9" t="str">
        <f t="shared" si="5"/>
        <v/>
      </c>
      <c r="U123" s="8"/>
      <c r="V123" s="8"/>
      <c r="W123" s="10"/>
      <c r="X123" s="8"/>
    </row>
    <row r="124" spans="1:24">
      <c r="A124" s="8"/>
      <c r="B124" s="10"/>
      <c r="C124" s="8"/>
      <c r="D124" s="8"/>
      <c r="E124" s="8"/>
      <c r="F124" s="8"/>
      <c r="G124" s="8"/>
      <c r="H124" s="13"/>
      <c r="I124" s="13"/>
      <c r="J124" s="8"/>
      <c r="K124" s="8"/>
      <c r="L124" s="8"/>
      <c r="M124" s="8"/>
      <c r="N124" s="14" t="str">
        <f t="shared" si="3"/>
        <v/>
      </c>
      <c r="O124" s="14" t="str">
        <f t="shared" si="4"/>
        <v/>
      </c>
      <c r="P124" s="14" t="str">
        <f>IF(A124="","",Lists!$K$2)</f>
        <v/>
      </c>
      <c r="Q124" s="13"/>
      <c r="R124" s="13"/>
      <c r="S124" s="13"/>
      <c r="T124" s="9" t="str">
        <f t="shared" si="5"/>
        <v/>
      </c>
      <c r="U124" s="8"/>
      <c r="V124" s="8"/>
      <c r="W124" s="10"/>
      <c r="X124" s="8"/>
    </row>
    <row r="125" spans="1:24">
      <c r="A125" s="8"/>
      <c r="B125" s="10"/>
      <c r="C125" s="8"/>
      <c r="D125" s="8"/>
      <c r="E125" s="8"/>
      <c r="F125" s="8"/>
      <c r="G125" s="8"/>
      <c r="H125" s="13"/>
      <c r="I125" s="13"/>
      <c r="J125" s="8"/>
      <c r="K125" s="8"/>
      <c r="L125" s="8"/>
      <c r="M125" s="8"/>
      <c r="N125" s="14" t="str">
        <f t="shared" si="3"/>
        <v/>
      </c>
      <c r="O125" s="14" t="str">
        <f t="shared" si="4"/>
        <v/>
      </c>
      <c r="P125" s="14" t="str">
        <f>IF(A125="","",Lists!$K$2)</f>
        <v/>
      </c>
      <c r="Q125" s="13"/>
      <c r="R125" s="13"/>
      <c r="S125" s="13"/>
      <c r="T125" s="9" t="str">
        <f t="shared" si="5"/>
        <v/>
      </c>
      <c r="U125" s="8"/>
      <c r="V125" s="8"/>
      <c r="W125" s="10"/>
      <c r="X125" s="8"/>
    </row>
    <row r="126" spans="1:24">
      <c r="A126" s="8"/>
      <c r="B126" s="10"/>
      <c r="C126" s="8"/>
      <c r="D126" s="8"/>
      <c r="E126" s="8"/>
      <c r="F126" s="8"/>
      <c r="G126" s="8"/>
      <c r="H126" s="13"/>
      <c r="I126" s="13"/>
      <c r="J126" s="8"/>
      <c r="K126" s="8"/>
      <c r="L126" s="8"/>
      <c r="M126" s="8"/>
      <c r="N126" s="14" t="str">
        <f t="shared" si="3"/>
        <v/>
      </c>
      <c r="O126" s="14" t="str">
        <f t="shared" si="4"/>
        <v/>
      </c>
      <c r="P126" s="14" t="str">
        <f>IF(A126="","",Lists!$K$2)</f>
        <v/>
      </c>
      <c r="Q126" s="13"/>
      <c r="R126" s="13"/>
      <c r="S126" s="13"/>
      <c r="T126" s="9" t="str">
        <f t="shared" si="5"/>
        <v/>
      </c>
      <c r="U126" s="8"/>
      <c r="V126" s="8"/>
      <c r="W126" s="10"/>
      <c r="X126" s="8"/>
    </row>
    <row r="127" spans="1:24">
      <c r="A127" s="8"/>
      <c r="B127" s="10"/>
      <c r="C127" s="8"/>
      <c r="D127" s="8"/>
      <c r="E127" s="8"/>
      <c r="F127" s="8"/>
      <c r="G127" s="8"/>
      <c r="H127" s="13"/>
      <c r="I127" s="13"/>
      <c r="J127" s="8"/>
      <c r="K127" s="8"/>
      <c r="L127" s="8"/>
      <c r="M127" s="8"/>
      <c r="N127" s="14" t="str">
        <f t="shared" si="3"/>
        <v/>
      </c>
      <c r="O127" s="14" t="str">
        <f t="shared" si="4"/>
        <v/>
      </c>
      <c r="P127" s="14" t="str">
        <f>IF(A127="","",Lists!$K$2)</f>
        <v/>
      </c>
      <c r="Q127" s="13"/>
      <c r="R127" s="13"/>
      <c r="S127" s="13"/>
      <c r="T127" s="9" t="str">
        <f t="shared" si="5"/>
        <v/>
      </c>
      <c r="U127" s="8"/>
      <c r="V127" s="8"/>
      <c r="W127" s="10"/>
      <c r="X127" s="8"/>
    </row>
    <row r="128" spans="1:24">
      <c r="A128" s="8"/>
      <c r="B128" s="10"/>
      <c r="C128" s="8"/>
      <c r="D128" s="8"/>
      <c r="E128" s="8"/>
      <c r="F128" s="8"/>
      <c r="G128" s="8"/>
      <c r="H128" s="13"/>
      <c r="I128" s="13"/>
      <c r="J128" s="8"/>
      <c r="K128" s="8"/>
      <c r="L128" s="8"/>
      <c r="M128" s="8"/>
      <c r="N128" s="14" t="str">
        <f t="shared" si="3"/>
        <v/>
      </c>
      <c r="O128" s="14" t="str">
        <f t="shared" si="4"/>
        <v/>
      </c>
      <c r="P128" s="14" t="str">
        <f>IF(A128="","",Lists!$K$2)</f>
        <v/>
      </c>
      <c r="Q128" s="13"/>
      <c r="R128" s="13"/>
      <c r="S128" s="13"/>
      <c r="T128" s="9" t="str">
        <f t="shared" si="5"/>
        <v/>
      </c>
      <c r="U128" s="8"/>
      <c r="V128" s="8"/>
      <c r="W128" s="10"/>
      <c r="X128" s="8"/>
    </row>
    <row r="129" spans="1:24">
      <c r="A129" s="8"/>
      <c r="B129" s="10"/>
      <c r="C129" s="8"/>
      <c r="D129" s="8"/>
      <c r="E129" s="8"/>
      <c r="F129" s="8"/>
      <c r="G129" s="8"/>
      <c r="H129" s="13"/>
      <c r="I129" s="13"/>
      <c r="J129" s="8"/>
      <c r="K129" s="8"/>
      <c r="L129" s="8"/>
      <c r="M129" s="8"/>
      <c r="N129" s="14" t="str">
        <f t="shared" si="3"/>
        <v/>
      </c>
      <c r="O129" s="14" t="str">
        <f t="shared" si="4"/>
        <v/>
      </c>
      <c r="P129" s="14" t="str">
        <f>IF(A129="","",Lists!$K$2)</f>
        <v/>
      </c>
      <c r="Q129" s="13"/>
      <c r="R129" s="13"/>
      <c r="S129" s="13"/>
      <c r="T129" s="9" t="str">
        <f t="shared" si="5"/>
        <v/>
      </c>
      <c r="U129" s="8"/>
      <c r="V129" s="8"/>
      <c r="W129" s="10"/>
      <c r="X129" s="8"/>
    </row>
    <row r="130" spans="1:24">
      <c r="A130" s="8"/>
      <c r="B130" s="10"/>
      <c r="C130" s="8"/>
      <c r="D130" s="8"/>
      <c r="E130" s="8"/>
      <c r="F130" s="8"/>
      <c r="G130" s="8"/>
      <c r="H130" s="13"/>
      <c r="I130" s="13"/>
      <c r="J130" s="8"/>
      <c r="K130" s="8"/>
      <c r="L130" s="8"/>
      <c r="M130" s="8"/>
      <c r="N130" s="14" t="str">
        <f t="shared" si="3"/>
        <v/>
      </c>
      <c r="O130" s="14" t="str">
        <f t="shared" si="4"/>
        <v/>
      </c>
      <c r="P130" s="14" t="str">
        <f>IF(A130="","",Lists!$K$2)</f>
        <v/>
      </c>
      <c r="Q130" s="13"/>
      <c r="R130" s="13"/>
      <c r="S130" s="13"/>
      <c r="T130" s="9" t="str">
        <f t="shared" si="5"/>
        <v/>
      </c>
      <c r="U130" s="8"/>
      <c r="V130" s="8"/>
      <c r="W130" s="10"/>
      <c r="X130" s="8"/>
    </row>
    <row r="131" spans="1:24">
      <c r="A131" s="8"/>
      <c r="B131" s="10"/>
      <c r="C131" s="8"/>
      <c r="D131" s="8"/>
      <c r="E131" s="8"/>
      <c r="F131" s="8"/>
      <c r="G131" s="8"/>
      <c r="H131" s="13"/>
      <c r="I131" s="13"/>
      <c r="J131" s="8"/>
      <c r="K131" s="8"/>
      <c r="L131" s="8"/>
      <c r="M131" s="8"/>
      <c r="N131" s="14" t="str">
        <f t="shared" si="3"/>
        <v/>
      </c>
      <c r="O131" s="14" t="str">
        <f t="shared" si="4"/>
        <v/>
      </c>
      <c r="P131" s="14" t="str">
        <f>IF(A131="","",Lists!$K$2)</f>
        <v/>
      </c>
      <c r="Q131" s="13"/>
      <c r="R131" s="13"/>
      <c r="S131" s="13"/>
      <c r="T131" s="9" t="str">
        <f t="shared" si="5"/>
        <v/>
      </c>
      <c r="U131" s="8"/>
      <c r="V131" s="8"/>
      <c r="W131" s="10"/>
      <c r="X131" s="8"/>
    </row>
    <row r="132" spans="1:24">
      <c r="A132" s="8"/>
      <c r="B132" s="10"/>
      <c r="C132" s="8"/>
      <c r="D132" s="8"/>
      <c r="E132" s="8"/>
      <c r="F132" s="8"/>
      <c r="G132" s="8"/>
      <c r="H132" s="13"/>
      <c r="I132" s="13"/>
      <c r="J132" s="8"/>
      <c r="K132" s="8"/>
      <c r="L132" s="8"/>
      <c r="M132" s="8"/>
      <c r="N132" s="14" t="str">
        <f t="shared" si="3"/>
        <v/>
      </c>
      <c r="O132" s="14" t="str">
        <f t="shared" si="4"/>
        <v/>
      </c>
      <c r="P132" s="14" t="str">
        <f>IF(A132="","",Lists!$K$2)</f>
        <v/>
      </c>
      <c r="Q132" s="13"/>
      <c r="R132" s="13"/>
      <c r="S132" s="13"/>
      <c r="T132" s="9" t="str">
        <f t="shared" si="5"/>
        <v/>
      </c>
      <c r="U132" s="8"/>
      <c r="V132" s="8"/>
      <c r="W132" s="10"/>
      <c r="X132" s="8"/>
    </row>
    <row r="133" spans="1:24">
      <c r="A133" s="8"/>
      <c r="B133" s="10"/>
      <c r="C133" s="8"/>
      <c r="D133" s="8"/>
      <c r="E133" s="8"/>
      <c r="F133" s="8"/>
      <c r="G133" s="8"/>
      <c r="H133" s="13"/>
      <c r="I133" s="13"/>
      <c r="J133" s="8"/>
      <c r="K133" s="8"/>
      <c r="L133" s="8"/>
      <c r="M133" s="8"/>
      <c r="N133" s="14" t="str">
        <f t="shared" ref="N133:N196" si="6">IF(A133="","",J133+2*K133+3*L133+4*M133)</f>
        <v/>
      </c>
      <c r="O133" s="14" t="str">
        <f t="shared" ref="O133:O196" si="7">IF(OR(A133="",H133=0,I133=0),"",N133*3600/(H133*I133))</f>
        <v/>
      </c>
      <c r="P133" s="14" t="str">
        <f>IF(A133="","",Lists!$K$2)</f>
        <v/>
      </c>
      <c r="Q133" s="13"/>
      <c r="R133" s="13"/>
      <c r="S133" s="13"/>
      <c r="T133" s="9" t="str">
        <f t="shared" ref="T133:T196" si="8">IF(A133="","",IF(O133&lt;=P133,"Passed","Failed"))</f>
        <v/>
      </c>
      <c r="U133" s="8"/>
      <c r="V133" s="8"/>
      <c r="W133" s="10"/>
      <c r="X133" s="8"/>
    </row>
    <row r="134" spans="1:24">
      <c r="A134" s="8"/>
      <c r="B134" s="10"/>
      <c r="C134" s="8"/>
      <c r="D134" s="8"/>
      <c r="E134" s="8"/>
      <c r="F134" s="8"/>
      <c r="G134" s="8"/>
      <c r="H134" s="13"/>
      <c r="I134" s="13"/>
      <c r="J134" s="8"/>
      <c r="K134" s="8"/>
      <c r="L134" s="8"/>
      <c r="M134" s="8"/>
      <c r="N134" s="14" t="str">
        <f t="shared" si="6"/>
        <v/>
      </c>
      <c r="O134" s="14" t="str">
        <f t="shared" si="7"/>
        <v/>
      </c>
      <c r="P134" s="14" t="str">
        <f>IF(A134="","",Lists!$K$2)</f>
        <v/>
      </c>
      <c r="Q134" s="13"/>
      <c r="R134" s="13"/>
      <c r="S134" s="13"/>
      <c r="T134" s="9" t="str">
        <f t="shared" si="8"/>
        <v/>
      </c>
      <c r="U134" s="8"/>
      <c r="V134" s="8"/>
      <c r="W134" s="10"/>
      <c r="X134" s="8"/>
    </row>
    <row r="135" spans="1:24">
      <c r="A135" s="8"/>
      <c r="B135" s="10"/>
      <c r="C135" s="8"/>
      <c r="D135" s="8"/>
      <c r="E135" s="8"/>
      <c r="F135" s="8"/>
      <c r="G135" s="8"/>
      <c r="H135" s="13"/>
      <c r="I135" s="13"/>
      <c r="J135" s="8"/>
      <c r="K135" s="8"/>
      <c r="L135" s="8"/>
      <c r="M135" s="8"/>
      <c r="N135" s="14" t="str">
        <f t="shared" si="6"/>
        <v/>
      </c>
      <c r="O135" s="14" t="str">
        <f t="shared" si="7"/>
        <v/>
      </c>
      <c r="P135" s="14" t="str">
        <f>IF(A135="","",Lists!$K$2)</f>
        <v/>
      </c>
      <c r="Q135" s="13"/>
      <c r="R135" s="13"/>
      <c r="S135" s="13"/>
      <c r="T135" s="9" t="str">
        <f t="shared" si="8"/>
        <v/>
      </c>
      <c r="U135" s="8"/>
      <c r="V135" s="8"/>
      <c r="W135" s="10"/>
      <c r="X135" s="8"/>
    </row>
    <row r="136" spans="1:24">
      <c r="A136" s="8"/>
      <c r="B136" s="10"/>
      <c r="C136" s="8"/>
      <c r="D136" s="8"/>
      <c r="E136" s="8"/>
      <c r="F136" s="8"/>
      <c r="G136" s="8"/>
      <c r="H136" s="13"/>
      <c r="I136" s="13"/>
      <c r="J136" s="8"/>
      <c r="K136" s="8"/>
      <c r="L136" s="8"/>
      <c r="M136" s="8"/>
      <c r="N136" s="14" t="str">
        <f t="shared" si="6"/>
        <v/>
      </c>
      <c r="O136" s="14" t="str">
        <f t="shared" si="7"/>
        <v/>
      </c>
      <c r="P136" s="14" t="str">
        <f>IF(A136="","",Lists!$K$2)</f>
        <v/>
      </c>
      <c r="Q136" s="13"/>
      <c r="R136" s="13"/>
      <c r="S136" s="13"/>
      <c r="T136" s="9" t="str">
        <f t="shared" si="8"/>
        <v/>
      </c>
      <c r="U136" s="8"/>
      <c r="V136" s="8"/>
      <c r="W136" s="10"/>
      <c r="X136" s="8"/>
    </row>
    <row r="137" spans="1:24">
      <c r="A137" s="8"/>
      <c r="B137" s="10"/>
      <c r="C137" s="8"/>
      <c r="D137" s="8"/>
      <c r="E137" s="8"/>
      <c r="F137" s="8"/>
      <c r="G137" s="8"/>
      <c r="H137" s="13"/>
      <c r="I137" s="13"/>
      <c r="J137" s="8"/>
      <c r="K137" s="8"/>
      <c r="L137" s="8"/>
      <c r="M137" s="8"/>
      <c r="N137" s="14" t="str">
        <f t="shared" si="6"/>
        <v/>
      </c>
      <c r="O137" s="14" t="str">
        <f t="shared" si="7"/>
        <v/>
      </c>
      <c r="P137" s="14" t="str">
        <f>IF(A137="","",Lists!$K$2)</f>
        <v/>
      </c>
      <c r="Q137" s="13"/>
      <c r="R137" s="13"/>
      <c r="S137" s="13"/>
      <c r="T137" s="9" t="str">
        <f t="shared" si="8"/>
        <v/>
      </c>
      <c r="U137" s="8"/>
      <c r="V137" s="8"/>
      <c r="W137" s="10"/>
      <c r="X137" s="8"/>
    </row>
    <row r="138" spans="1:24">
      <c r="A138" s="8"/>
      <c r="B138" s="10"/>
      <c r="C138" s="8"/>
      <c r="D138" s="8"/>
      <c r="E138" s="8"/>
      <c r="F138" s="8"/>
      <c r="G138" s="8"/>
      <c r="H138" s="13"/>
      <c r="I138" s="13"/>
      <c r="J138" s="8"/>
      <c r="K138" s="8"/>
      <c r="L138" s="8"/>
      <c r="M138" s="8"/>
      <c r="N138" s="14" t="str">
        <f t="shared" si="6"/>
        <v/>
      </c>
      <c r="O138" s="14" t="str">
        <f t="shared" si="7"/>
        <v/>
      </c>
      <c r="P138" s="14" t="str">
        <f>IF(A138="","",Lists!$K$2)</f>
        <v/>
      </c>
      <c r="Q138" s="13"/>
      <c r="R138" s="13"/>
      <c r="S138" s="13"/>
      <c r="T138" s="9" t="str">
        <f t="shared" si="8"/>
        <v/>
      </c>
      <c r="U138" s="8"/>
      <c r="V138" s="8"/>
      <c r="W138" s="10"/>
      <c r="X138" s="8"/>
    </row>
    <row r="139" spans="1:24">
      <c r="A139" s="8"/>
      <c r="B139" s="10"/>
      <c r="C139" s="8"/>
      <c r="D139" s="8"/>
      <c r="E139" s="8"/>
      <c r="F139" s="8"/>
      <c r="G139" s="8"/>
      <c r="H139" s="13"/>
      <c r="I139" s="13"/>
      <c r="J139" s="8"/>
      <c r="K139" s="8"/>
      <c r="L139" s="8"/>
      <c r="M139" s="8"/>
      <c r="N139" s="14" t="str">
        <f t="shared" si="6"/>
        <v/>
      </c>
      <c r="O139" s="14" t="str">
        <f t="shared" si="7"/>
        <v/>
      </c>
      <c r="P139" s="14" t="str">
        <f>IF(A139="","",Lists!$K$2)</f>
        <v/>
      </c>
      <c r="Q139" s="13"/>
      <c r="R139" s="13"/>
      <c r="S139" s="13"/>
      <c r="T139" s="9" t="str">
        <f t="shared" si="8"/>
        <v/>
      </c>
      <c r="U139" s="8"/>
      <c r="V139" s="8"/>
      <c r="W139" s="10"/>
      <c r="X139" s="8"/>
    </row>
    <row r="140" spans="1:24">
      <c r="A140" s="8"/>
      <c r="B140" s="10"/>
      <c r="C140" s="8"/>
      <c r="D140" s="8"/>
      <c r="E140" s="8"/>
      <c r="F140" s="8"/>
      <c r="G140" s="8"/>
      <c r="H140" s="13"/>
      <c r="I140" s="13"/>
      <c r="J140" s="8"/>
      <c r="K140" s="8"/>
      <c r="L140" s="8"/>
      <c r="M140" s="8"/>
      <c r="N140" s="14" t="str">
        <f t="shared" si="6"/>
        <v/>
      </c>
      <c r="O140" s="14" t="str">
        <f t="shared" si="7"/>
        <v/>
      </c>
      <c r="P140" s="14" t="str">
        <f>IF(A140="","",Lists!$K$2)</f>
        <v/>
      </c>
      <c r="Q140" s="13"/>
      <c r="R140" s="13"/>
      <c r="S140" s="13"/>
      <c r="T140" s="9" t="str">
        <f t="shared" si="8"/>
        <v/>
      </c>
      <c r="U140" s="8"/>
      <c r="V140" s="8"/>
      <c r="W140" s="10"/>
      <c r="X140" s="8"/>
    </row>
    <row r="141" spans="1:24">
      <c r="A141" s="8"/>
      <c r="B141" s="10"/>
      <c r="C141" s="8"/>
      <c r="D141" s="8"/>
      <c r="E141" s="8"/>
      <c r="F141" s="8"/>
      <c r="G141" s="8"/>
      <c r="H141" s="13"/>
      <c r="I141" s="13"/>
      <c r="J141" s="8"/>
      <c r="K141" s="8"/>
      <c r="L141" s="8"/>
      <c r="M141" s="8"/>
      <c r="N141" s="14" t="str">
        <f t="shared" si="6"/>
        <v/>
      </c>
      <c r="O141" s="14" t="str">
        <f t="shared" si="7"/>
        <v/>
      </c>
      <c r="P141" s="14" t="str">
        <f>IF(A141="","",Lists!$K$2)</f>
        <v/>
      </c>
      <c r="Q141" s="13"/>
      <c r="R141" s="13"/>
      <c r="S141" s="13"/>
      <c r="T141" s="9" t="str">
        <f t="shared" si="8"/>
        <v/>
      </c>
      <c r="U141" s="8"/>
      <c r="V141" s="8"/>
      <c r="W141" s="10"/>
      <c r="X141" s="8"/>
    </row>
    <row r="142" spans="1:24">
      <c r="A142" s="8"/>
      <c r="B142" s="10"/>
      <c r="C142" s="8"/>
      <c r="D142" s="8"/>
      <c r="E142" s="8"/>
      <c r="F142" s="8"/>
      <c r="G142" s="8"/>
      <c r="H142" s="13"/>
      <c r="I142" s="13"/>
      <c r="J142" s="8"/>
      <c r="K142" s="8"/>
      <c r="L142" s="8"/>
      <c r="M142" s="8"/>
      <c r="N142" s="14" t="str">
        <f t="shared" si="6"/>
        <v/>
      </c>
      <c r="O142" s="14" t="str">
        <f t="shared" si="7"/>
        <v/>
      </c>
      <c r="P142" s="14" t="str">
        <f>IF(A142="","",Lists!$K$2)</f>
        <v/>
      </c>
      <c r="Q142" s="13"/>
      <c r="R142" s="13"/>
      <c r="S142" s="13"/>
      <c r="T142" s="9" t="str">
        <f t="shared" si="8"/>
        <v/>
      </c>
      <c r="U142" s="8"/>
      <c r="V142" s="8"/>
      <c r="W142" s="10"/>
      <c r="X142" s="8"/>
    </row>
    <row r="143" spans="1:24">
      <c r="A143" s="8"/>
      <c r="B143" s="10"/>
      <c r="C143" s="8"/>
      <c r="D143" s="8"/>
      <c r="E143" s="8"/>
      <c r="F143" s="8"/>
      <c r="G143" s="8"/>
      <c r="H143" s="13"/>
      <c r="I143" s="13"/>
      <c r="J143" s="8"/>
      <c r="K143" s="8"/>
      <c r="L143" s="8"/>
      <c r="M143" s="8"/>
      <c r="N143" s="14" t="str">
        <f t="shared" si="6"/>
        <v/>
      </c>
      <c r="O143" s="14" t="str">
        <f t="shared" si="7"/>
        <v/>
      </c>
      <c r="P143" s="14" t="str">
        <f>IF(A143="","",Lists!$K$2)</f>
        <v/>
      </c>
      <c r="Q143" s="13"/>
      <c r="R143" s="13"/>
      <c r="S143" s="13"/>
      <c r="T143" s="9" t="str">
        <f t="shared" si="8"/>
        <v/>
      </c>
      <c r="U143" s="8"/>
      <c r="V143" s="8"/>
      <c r="W143" s="10"/>
      <c r="X143" s="8"/>
    </row>
    <row r="144" spans="1:24">
      <c r="A144" s="8"/>
      <c r="B144" s="10"/>
      <c r="C144" s="8"/>
      <c r="D144" s="8"/>
      <c r="E144" s="8"/>
      <c r="F144" s="8"/>
      <c r="G144" s="8"/>
      <c r="H144" s="13"/>
      <c r="I144" s="13"/>
      <c r="J144" s="8"/>
      <c r="K144" s="8"/>
      <c r="L144" s="8"/>
      <c r="M144" s="8"/>
      <c r="N144" s="14" t="str">
        <f t="shared" si="6"/>
        <v/>
      </c>
      <c r="O144" s="14" t="str">
        <f t="shared" si="7"/>
        <v/>
      </c>
      <c r="P144" s="14" t="str">
        <f>IF(A144="","",Lists!$K$2)</f>
        <v/>
      </c>
      <c r="Q144" s="13"/>
      <c r="R144" s="13"/>
      <c r="S144" s="13"/>
      <c r="T144" s="9" t="str">
        <f t="shared" si="8"/>
        <v/>
      </c>
      <c r="U144" s="8"/>
      <c r="V144" s="8"/>
      <c r="W144" s="10"/>
      <c r="X144" s="8"/>
    </row>
    <row r="145" spans="1:24">
      <c r="A145" s="8"/>
      <c r="B145" s="10"/>
      <c r="C145" s="8"/>
      <c r="D145" s="8"/>
      <c r="E145" s="8"/>
      <c r="F145" s="8"/>
      <c r="G145" s="8"/>
      <c r="H145" s="13"/>
      <c r="I145" s="13"/>
      <c r="J145" s="8"/>
      <c r="K145" s="8"/>
      <c r="L145" s="8"/>
      <c r="M145" s="8"/>
      <c r="N145" s="14" t="str">
        <f t="shared" si="6"/>
        <v/>
      </c>
      <c r="O145" s="14" t="str">
        <f t="shared" si="7"/>
        <v/>
      </c>
      <c r="P145" s="14" t="str">
        <f>IF(A145="","",Lists!$K$2)</f>
        <v/>
      </c>
      <c r="Q145" s="13"/>
      <c r="R145" s="13"/>
      <c r="S145" s="13"/>
      <c r="T145" s="9" t="str">
        <f t="shared" si="8"/>
        <v/>
      </c>
      <c r="U145" s="8"/>
      <c r="V145" s="8"/>
      <c r="W145" s="10"/>
      <c r="X145" s="8"/>
    </row>
    <row r="146" spans="1:24">
      <c r="A146" s="8"/>
      <c r="B146" s="10"/>
      <c r="C146" s="8"/>
      <c r="D146" s="8"/>
      <c r="E146" s="8"/>
      <c r="F146" s="8"/>
      <c r="G146" s="8"/>
      <c r="H146" s="13"/>
      <c r="I146" s="13"/>
      <c r="J146" s="8"/>
      <c r="K146" s="8"/>
      <c r="L146" s="8"/>
      <c r="M146" s="8"/>
      <c r="N146" s="14" t="str">
        <f t="shared" si="6"/>
        <v/>
      </c>
      <c r="O146" s="14" t="str">
        <f t="shared" si="7"/>
        <v/>
      </c>
      <c r="P146" s="14" t="str">
        <f>IF(A146="","",Lists!$K$2)</f>
        <v/>
      </c>
      <c r="Q146" s="13"/>
      <c r="R146" s="13"/>
      <c r="S146" s="13"/>
      <c r="T146" s="9" t="str">
        <f t="shared" si="8"/>
        <v/>
      </c>
      <c r="U146" s="8"/>
      <c r="V146" s="8"/>
      <c r="W146" s="10"/>
      <c r="X146" s="8"/>
    </row>
    <row r="147" spans="1:24">
      <c r="A147" s="8"/>
      <c r="B147" s="10"/>
      <c r="C147" s="8"/>
      <c r="D147" s="8"/>
      <c r="E147" s="8"/>
      <c r="F147" s="8"/>
      <c r="G147" s="8"/>
      <c r="H147" s="13"/>
      <c r="I147" s="13"/>
      <c r="J147" s="8"/>
      <c r="K147" s="8"/>
      <c r="L147" s="8"/>
      <c r="M147" s="8"/>
      <c r="N147" s="14" t="str">
        <f t="shared" si="6"/>
        <v/>
      </c>
      <c r="O147" s="14" t="str">
        <f t="shared" si="7"/>
        <v/>
      </c>
      <c r="P147" s="14" t="str">
        <f>IF(A147="","",Lists!$K$2)</f>
        <v/>
      </c>
      <c r="Q147" s="13"/>
      <c r="R147" s="13"/>
      <c r="S147" s="13"/>
      <c r="T147" s="9" t="str">
        <f t="shared" si="8"/>
        <v/>
      </c>
      <c r="U147" s="8"/>
      <c r="V147" s="8"/>
      <c r="W147" s="10"/>
      <c r="X147" s="8"/>
    </row>
    <row r="148" spans="1:24">
      <c r="A148" s="8"/>
      <c r="B148" s="10"/>
      <c r="C148" s="8"/>
      <c r="D148" s="8"/>
      <c r="E148" s="8"/>
      <c r="F148" s="8"/>
      <c r="G148" s="8"/>
      <c r="H148" s="13"/>
      <c r="I148" s="13"/>
      <c r="J148" s="8"/>
      <c r="K148" s="8"/>
      <c r="L148" s="8"/>
      <c r="M148" s="8"/>
      <c r="N148" s="14" t="str">
        <f t="shared" si="6"/>
        <v/>
      </c>
      <c r="O148" s="14" t="str">
        <f t="shared" si="7"/>
        <v/>
      </c>
      <c r="P148" s="14" t="str">
        <f>IF(A148="","",Lists!$K$2)</f>
        <v/>
      </c>
      <c r="Q148" s="13"/>
      <c r="R148" s="13"/>
      <c r="S148" s="13"/>
      <c r="T148" s="9" t="str">
        <f t="shared" si="8"/>
        <v/>
      </c>
      <c r="U148" s="8"/>
      <c r="V148" s="8"/>
      <c r="W148" s="10"/>
      <c r="X148" s="8"/>
    </row>
    <row r="149" spans="1:24">
      <c r="A149" s="8"/>
      <c r="B149" s="10"/>
      <c r="C149" s="8"/>
      <c r="D149" s="8"/>
      <c r="E149" s="8"/>
      <c r="F149" s="8"/>
      <c r="G149" s="8"/>
      <c r="H149" s="13"/>
      <c r="I149" s="13"/>
      <c r="J149" s="8"/>
      <c r="K149" s="8"/>
      <c r="L149" s="8"/>
      <c r="M149" s="8"/>
      <c r="N149" s="14" t="str">
        <f t="shared" si="6"/>
        <v/>
      </c>
      <c r="O149" s="14" t="str">
        <f t="shared" si="7"/>
        <v/>
      </c>
      <c r="P149" s="14" t="str">
        <f>IF(A149="","",Lists!$K$2)</f>
        <v/>
      </c>
      <c r="Q149" s="13"/>
      <c r="R149" s="13"/>
      <c r="S149" s="13"/>
      <c r="T149" s="9" t="str">
        <f t="shared" si="8"/>
        <v/>
      </c>
      <c r="U149" s="8"/>
      <c r="V149" s="8"/>
      <c r="W149" s="10"/>
      <c r="X149" s="8"/>
    </row>
    <row r="150" spans="1:24">
      <c r="A150" s="8"/>
      <c r="B150" s="10"/>
      <c r="C150" s="8"/>
      <c r="D150" s="8"/>
      <c r="E150" s="8"/>
      <c r="F150" s="8"/>
      <c r="G150" s="8"/>
      <c r="H150" s="13"/>
      <c r="I150" s="13"/>
      <c r="J150" s="8"/>
      <c r="K150" s="8"/>
      <c r="L150" s="8"/>
      <c r="M150" s="8"/>
      <c r="N150" s="14" t="str">
        <f t="shared" si="6"/>
        <v/>
      </c>
      <c r="O150" s="14" t="str">
        <f t="shared" si="7"/>
        <v/>
      </c>
      <c r="P150" s="14" t="str">
        <f>IF(A150="","",Lists!$K$2)</f>
        <v/>
      </c>
      <c r="Q150" s="13"/>
      <c r="R150" s="13"/>
      <c r="S150" s="13"/>
      <c r="T150" s="9" t="str">
        <f t="shared" si="8"/>
        <v/>
      </c>
      <c r="U150" s="8"/>
      <c r="V150" s="8"/>
      <c r="W150" s="10"/>
      <c r="X150" s="8"/>
    </row>
    <row r="151" spans="1:24">
      <c r="A151" s="8"/>
      <c r="B151" s="10"/>
      <c r="C151" s="8"/>
      <c r="D151" s="8"/>
      <c r="E151" s="8"/>
      <c r="F151" s="8"/>
      <c r="G151" s="8"/>
      <c r="H151" s="13"/>
      <c r="I151" s="13"/>
      <c r="J151" s="8"/>
      <c r="K151" s="8"/>
      <c r="L151" s="8"/>
      <c r="M151" s="8"/>
      <c r="N151" s="14" t="str">
        <f t="shared" si="6"/>
        <v/>
      </c>
      <c r="O151" s="14" t="str">
        <f t="shared" si="7"/>
        <v/>
      </c>
      <c r="P151" s="14" t="str">
        <f>IF(A151="","",Lists!$K$2)</f>
        <v/>
      </c>
      <c r="Q151" s="13"/>
      <c r="R151" s="13"/>
      <c r="S151" s="13"/>
      <c r="T151" s="9" t="str">
        <f t="shared" si="8"/>
        <v/>
      </c>
      <c r="U151" s="8"/>
      <c r="V151" s="8"/>
      <c r="W151" s="10"/>
      <c r="X151" s="8"/>
    </row>
    <row r="152" spans="1:24">
      <c r="A152" s="8"/>
      <c r="B152" s="10"/>
      <c r="C152" s="8"/>
      <c r="D152" s="8"/>
      <c r="E152" s="8"/>
      <c r="F152" s="8"/>
      <c r="G152" s="8"/>
      <c r="H152" s="13"/>
      <c r="I152" s="13"/>
      <c r="J152" s="8"/>
      <c r="K152" s="8"/>
      <c r="L152" s="8"/>
      <c r="M152" s="8"/>
      <c r="N152" s="14" t="str">
        <f t="shared" si="6"/>
        <v/>
      </c>
      <c r="O152" s="14" t="str">
        <f t="shared" si="7"/>
        <v/>
      </c>
      <c r="P152" s="14" t="str">
        <f>IF(A152="","",Lists!$K$2)</f>
        <v/>
      </c>
      <c r="Q152" s="13"/>
      <c r="R152" s="13"/>
      <c r="S152" s="13"/>
      <c r="T152" s="9" t="str">
        <f t="shared" si="8"/>
        <v/>
      </c>
      <c r="U152" s="8"/>
      <c r="V152" s="8"/>
      <c r="W152" s="10"/>
      <c r="X152" s="8"/>
    </row>
    <row r="153" spans="1:24">
      <c r="A153" s="8"/>
      <c r="B153" s="10"/>
      <c r="C153" s="8"/>
      <c r="D153" s="8"/>
      <c r="E153" s="8"/>
      <c r="F153" s="8"/>
      <c r="G153" s="8"/>
      <c r="H153" s="13"/>
      <c r="I153" s="13"/>
      <c r="J153" s="8"/>
      <c r="K153" s="8"/>
      <c r="L153" s="8"/>
      <c r="M153" s="8"/>
      <c r="N153" s="14" t="str">
        <f t="shared" si="6"/>
        <v/>
      </c>
      <c r="O153" s="14" t="str">
        <f t="shared" si="7"/>
        <v/>
      </c>
      <c r="P153" s="14" t="str">
        <f>IF(A153="","",Lists!$K$2)</f>
        <v/>
      </c>
      <c r="Q153" s="13"/>
      <c r="R153" s="13"/>
      <c r="S153" s="13"/>
      <c r="T153" s="9" t="str">
        <f t="shared" si="8"/>
        <v/>
      </c>
      <c r="U153" s="8"/>
      <c r="V153" s="8"/>
      <c r="W153" s="10"/>
      <c r="X153" s="8"/>
    </row>
    <row r="154" spans="1:24">
      <c r="A154" s="8"/>
      <c r="B154" s="10"/>
      <c r="C154" s="8"/>
      <c r="D154" s="8"/>
      <c r="E154" s="8"/>
      <c r="F154" s="8"/>
      <c r="G154" s="8"/>
      <c r="H154" s="13"/>
      <c r="I154" s="13"/>
      <c r="J154" s="8"/>
      <c r="K154" s="8"/>
      <c r="L154" s="8"/>
      <c r="M154" s="8"/>
      <c r="N154" s="14" t="str">
        <f t="shared" si="6"/>
        <v/>
      </c>
      <c r="O154" s="14" t="str">
        <f t="shared" si="7"/>
        <v/>
      </c>
      <c r="P154" s="14" t="str">
        <f>IF(A154="","",Lists!$K$2)</f>
        <v/>
      </c>
      <c r="Q154" s="13"/>
      <c r="R154" s="13"/>
      <c r="S154" s="13"/>
      <c r="T154" s="9" t="str">
        <f t="shared" si="8"/>
        <v/>
      </c>
      <c r="U154" s="8"/>
      <c r="V154" s="8"/>
      <c r="W154" s="10"/>
      <c r="X154" s="8"/>
    </row>
    <row r="155" spans="1:24">
      <c r="A155" s="8"/>
      <c r="B155" s="10"/>
      <c r="C155" s="8"/>
      <c r="D155" s="8"/>
      <c r="E155" s="8"/>
      <c r="F155" s="8"/>
      <c r="G155" s="8"/>
      <c r="H155" s="13"/>
      <c r="I155" s="13"/>
      <c r="J155" s="8"/>
      <c r="K155" s="8"/>
      <c r="L155" s="8"/>
      <c r="M155" s="8"/>
      <c r="N155" s="14" t="str">
        <f t="shared" si="6"/>
        <v/>
      </c>
      <c r="O155" s="14" t="str">
        <f t="shared" si="7"/>
        <v/>
      </c>
      <c r="P155" s="14" t="str">
        <f>IF(A155="","",Lists!$K$2)</f>
        <v/>
      </c>
      <c r="Q155" s="13"/>
      <c r="R155" s="13"/>
      <c r="S155" s="13"/>
      <c r="T155" s="9" t="str">
        <f t="shared" si="8"/>
        <v/>
      </c>
      <c r="U155" s="8"/>
      <c r="V155" s="8"/>
      <c r="W155" s="10"/>
      <c r="X155" s="8"/>
    </row>
    <row r="156" spans="1:24">
      <c r="A156" s="8"/>
      <c r="B156" s="10"/>
      <c r="C156" s="8"/>
      <c r="D156" s="8"/>
      <c r="E156" s="8"/>
      <c r="F156" s="8"/>
      <c r="G156" s="8"/>
      <c r="H156" s="13"/>
      <c r="I156" s="13"/>
      <c r="J156" s="8"/>
      <c r="K156" s="8"/>
      <c r="L156" s="8"/>
      <c r="M156" s="8"/>
      <c r="N156" s="14" t="str">
        <f t="shared" si="6"/>
        <v/>
      </c>
      <c r="O156" s="14" t="str">
        <f t="shared" si="7"/>
        <v/>
      </c>
      <c r="P156" s="14" t="str">
        <f>IF(A156="","",Lists!$K$2)</f>
        <v/>
      </c>
      <c r="Q156" s="13"/>
      <c r="R156" s="13"/>
      <c r="S156" s="13"/>
      <c r="T156" s="9" t="str">
        <f t="shared" si="8"/>
        <v/>
      </c>
      <c r="U156" s="8"/>
      <c r="V156" s="8"/>
      <c r="W156" s="10"/>
      <c r="X156" s="8"/>
    </row>
    <row r="157" spans="1:24">
      <c r="A157" s="8"/>
      <c r="B157" s="10"/>
      <c r="C157" s="8"/>
      <c r="D157" s="8"/>
      <c r="E157" s="8"/>
      <c r="F157" s="8"/>
      <c r="G157" s="8"/>
      <c r="H157" s="13"/>
      <c r="I157" s="13"/>
      <c r="J157" s="8"/>
      <c r="K157" s="8"/>
      <c r="L157" s="8"/>
      <c r="M157" s="8"/>
      <c r="N157" s="14" t="str">
        <f t="shared" si="6"/>
        <v/>
      </c>
      <c r="O157" s="14" t="str">
        <f t="shared" si="7"/>
        <v/>
      </c>
      <c r="P157" s="14" t="str">
        <f>IF(A157="","",Lists!$K$2)</f>
        <v/>
      </c>
      <c r="Q157" s="13"/>
      <c r="R157" s="13"/>
      <c r="S157" s="13"/>
      <c r="T157" s="9" t="str">
        <f t="shared" si="8"/>
        <v/>
      </c>
      <c r="U157" s="8"/>
      <c r="V157" s="8"/>
      <c r="W157" s="10"/>
      <c r="X157" s="8"/>
    </row>
    <row r="158" spans="1:24">
      <c r="A158" s="8"/>
      <c r="B158" s="10"/>
      <c r="C158" s="8"/>
      <c r="D158" s="8"/>
      <c r="E158" s="8"/>
      <c r="F158" s="8"/>
      <c r="G158" s="8"/>
      <c r="H158" s="13"/>
      <c r="I158" s="13"/>
      <c r="J158" s="8"/>
      <c r="K158" s="8"/>
      <c r="L158" s="8"/>
      <c r="M158" s="8"/>
      <c r="N158" s="14" t="str">
        <f t="shared" si="6"/>
        <v/>
      </c>
      <c r="O158" s="14" t="str">
        <f t="shared" si="7"/>
        <v/>
      </c>
      <c r="P158" s="14" t="str">
        <f>IF(A158="","",Lists!$K$2)</f>
        <v/>
      </c>
      <c r="Q158" s="13"/>
      <c r="R158" s="13"/>
      <c r="S158" s="13"/>
      <c r="T158" s="9" t="str">
        <f t="shared" si="8"/>
        <v/>
      </c>
      <c r="U158" s="8"/>
      <c r="V158" s="8"/>
      <c r="W158" s="10"/>
      <c r="X158" s="8"/>
    </row>
    <row r="159" spans="1:24">
      <c r="A159" s="8"/>
      <c r="B159" s="10"/>
      <c r="C159" s="8"/>
      <c r="D159" s="8"/>
      <c r="E159" s="8"/>
      <c r="F159" s="8"/>
      <c r="G159" s="8"/>
      <c r="H159" s="13"/>
      <c r="I159" s="13"/>
      <c r="J159" s="8"/>
      <c r="K159" s="8"/>
      <c r="L159" s="8"/>
      <c r="M159" s="8"/>
      <c r="N159" s="14" t="str">
        <f t="shared" si="6"/>
        <v/>
      </c>
      <c r="O159" s="14" t="str">
        <f t="shared" si="7"/>
        <v/>
      </c>
      <c r="P159" s="14" t="str">
        <f>IF(A159="","",Lists!$K$2)</f>
        <v/>
      </c>
      <c r="Q159" s="13"/>
      <c r="R159" s="13"/>
      <c r="S159" s="13"/>
      <c r="T159" s="9" t="str">
        <f t="shared" si="8"/>
        <v/>
      </c>
      <c r="U159" s="8"/>
      <c r="V159" s="8"/>
      <c r="W159" s="10"/>
      <c r="X159" s="8"/>
    </row>
    <row r="160" spans="1:24">
      <c r="A160" s="8"/>
      <c r="B160" s="10"/>
      <c r="C160" s="8"/>
      <c r="D160" s="8"/>
      <c r="E160" s="8"/>
      <c r="F160" s="8"/>
      <c r="G160" s="8"/>
      <c r="H160" s="13"/>
      <c r="I160" s="13"/>
      <c r="J160" s="8"/>
      <c r="K160" s="8"/>
      <c r="L160" s="8"/>
      <c r="M160" s="8"/>
      <c r="N160" s="14" t="str">
        <f t="shared" si="6"/>
        <v/>
      </c>
      <c r="O160" s="14" t="str">
        <f t="shared" si="7"/>
        <v/>
      </c>
      <c r="P160" s="14" t="str">
        <f>IF(A160="","",Lists!$K$2)</f>
        <v/>
      </c>
      <c r="Q160" s="13"/>
      <c r="R160" s="13"/>
      <c r="S160" s="13"/>
      <c r="T160" s="9" t="str">
        <f t="shared" si="8"/>
        <v/>
      </c>
      <c r="U160" s="8"/>
      <c r="V160" s="8"/>
      <c r="W160" s="10"/>
      <c r="X160" s="8"/>
    </row>
    <row r="161" spans="1:24">
      <c r="A161" s="8"/>
      <c r="B161" s="10"/>
      <c r="C161" s="8"/>
      <c r="D161" s="8"/>
      <c r="E161" s="8"/>
      <c r="F161" s="8"/>
      <c r="G161" s="8"/>
      <c r="H161" s="13"/>
      <c r="I161" s="13"/>
      <c r="J161" s="8"/>
      <c r="K161" s="8"/>
      <c r="L161" s="8"/>
      <c r="M161" s="8"/>
      <c r="N161" s="14" t="str">
        <f t="shared" si="6"/>
        <v/>
      </c>
      <c r="O161" s="14" t="str">
        <f t="shared" si="7"/>
        <v/>
      </c>
      <c r="P161" s="14" t="str">
        <f>IF(A161="","",Lists!$K$2)</f>
        <v/>
      </c>
      <c r="Q161" s="13"/>
      <c r="R161" s="13"/>
      <c r="S161" s="13"/>
      <c r="T161" s="9" t="str">
        <f t="shared" si="8"/>
        <v/>
      </c>
      <c r="U161" s="8"/>
      <c r="V161" s="8"/>
      <c r="W161" s="10"/>
      <c r="X161" s="8"/>
    </row>
    <row r="162" spans="1:24">
      <c r="A162" s="8"/>
      <c r="B162" s="10"/>
      <c r="C162" s="8"/>
      <c r="D162" s="8"/>
      <c r="E162" s="8"/>
      <c r="F162" s="8"/>
      <c r="G162" s="8"/>
      <c r="H162" s="13"/>
      <c r="I162" s="13"/>
      <c r="J162" s="8"/>
      <c r="K162" s="8"/>
      <c r="L162" s="8"/>
      <c r="M162" s="8"/>
      <c r="N162" s="14" t="str">
        <f t="shared" si="6"/>
        <v/>
      </c>
      <c r="O162" s="14" t="str">
        <f t="shared" si="7"/>
        <v/>
      </c>
      <c r="P162" s="14" t="str">
        <f>IF(A162="","",Lists!$K$2)</f>
        <v/>
      </c>
      <c r="Q162" s="13"/>
      <c r="R162" s="13"/>
      <c r="S162" s="13"/>
      <c r="T162" s="9" t="str">
        <f t="shared" si="8"/>
        <v/>
      </c>
      <c r="U162" s="8"/>
      <c r="V162" s="8"/>
      <c r="W162" s="10"/>
      <c r="X162" s="8"/>
    </row>
    <row r="163" spans="1:24">
      <c r="A163" s="8"/>
      <c r="B163" s="10"/>
      <c r="C163" s="8"/>
      <c r="D163" s="8"/>
      <c r="E163" s="8"/>
      <c r="F163" s="8"/>
      <c r="G163" s="8"/>
      <c r="H163" s="13"/>
      <c r="I163" s="13"/>
      <c r="J163" s="8"/>
      <c r="K163" s="8"/>
      <c r="L163" s="8"/>
      <c r="M163" s="8"/>
      <c r="N163" s="14" t="str">
        <f t="shared" si="6"/>
        <v/>
      </c>
      <c r="O163" s="14" t="str">
        <f t="shared" si="7"/>
        <v/>
      </c>
      <c r="P163" s="14" t="str">
        <f>IF(A163="","",Lists!$K$2)</f>
        <v/>
      </c>
      <c r="Q163" s="13"/>
      <c r="R163" s="13"/>
      <c r="S163" s="13"/>
      <c r="T163" s="9" t="str">
        <f t="shared" si="8"/>
        <v/>
      </c>
      <c r="U163" s="8"/>
      <c r="V163" s="8"/>
      <c r="W163" s="10"/>
      <c r="X163" s="8"/>
    </row>
    <row r="164" spans="1:24">
      <c r="A164" s="8"/>
      <c r="B164" s="10"/>
      <c r="C164" s="8"/>
      <c r="D164" s="8"/>
      <c r="E164" s="8"/>
      <c r="F164" s="8"/>
      <c r="G164" s="8"/>
      <c r="H164" s="13"/>
      <c r="I164" s="13"/>
      <c r="J164" s="8"/>
      <c r="K164" s="8"/>
      <c r="L164" s="8"/>
      <c r="M164" s="8"/>
      <c r="N164" s="14" t="str">
        <f t="shared" si="6"/>
        <v/>
      </c>
      <c r="O164" s="14" t="str">
        <f t="shared" si="7"/>
        <v/>
      </c>
      <c r="P164" s="14" t="str">
        <f>IF(A164="","",Lists!$K$2)</f>
        <v/>
      </c>
      <c r="Q164" s="13"/>
      <c r="R164" s="13"/>
      <c r="S164" s="13"/>
      <c r="T164" s="9" t="str">
        <f t="shared" si="8"/>
        <v/>
      </c>
      <c r="U164" s="8"/>
      <c r="V164" s="8"/>
      <c r="W164" s="10"/>
      <c r="X164" s="8"/>
    </row>
    <row r="165" spans="1:24">
      <c r="A165" s="8"/>
      <c r="B165" s="10"/>
      <c r="C165" s="8"/>
      <c r="D165" s="8"/>
      <c r="E165" s="8"/>
      <c r="F165" s="8"/>
      <c r="G165" s="8"/>
      <c r="H165" s="13"/>
      <c r="I165" s="13"/>
      <c r="J165" s="8"/>
      <c r="K165" s="8"/>
      <c r="L165" s="8"/>
      <c r="M165" s="8"/>
      <c r="N165" s="14" t="str">
        <f t="shared" si="6"/>
        <v/>
      </c>
      <c r="O165" s="14" t="str">
        <f t="shared" si="7"/>
        <v/>
      </c>
      <c r="P165" s="14" t="str">
        <f>IF(A165="","",Lists!$K$2)</f>
        <v/>
      </c>
      <c r="Q165" s="13"/>
      <c r="R165" s="13"/>
      <c r="S165" s="13"/>
      <c r="T165" s="9" t="str">
        <f t="shared" si="8"/>
        <v/>
      </c>
      <c r="U165" s="8"/>
      <c r="V165" s="8"/>
      <c r="W165" s="10"/>
      <c r="X165" s="8"/>
    </row>
    <row r="166" spans="1:24">
      <c r="A166" s="8"/>
      <c r="B166" s="10"/>
      <c r="C166" s="8"/>
      <c r="D166" s="8"/>
      <c r="E166" s="8"/>
      <c r="F166" s="8"/>
      <c r="G166" s="8"/>
      <c r="H166" s="13"/>
      <c r="I166" s="13"/>
      <c r="J166" s="8"/>
      <c r="K166" s="8"/>
      <c r="L166" s="8"/>
      <c r="M166" s="8"/>
      <c r="N166" s="14" t="str">
        <f t="shared" si="6"/>
        <v/>
      </c>
      <c r="O166" s="14" t="str">
        <f t="shared" si="7"/>
        <v/>
      </c>
      <c r="P166" s="14" t="str">
        <f>IF(A166="","",Lists!$K$2)</f>
        <v/>
      </c>
      <c r="Q166" s="13"/>
      <c r="R166" s="13"/>
      <c r="S166" s="13"/>
      <c r="T166" s="9" t="str">
        <f t="shared" si="8"/>
        <v/>
      </c>
      <c r="U166" s="8"/>
      <c r="V166" s="8"/>
      <c r="W166" s="10"/>
      <c r="X166" s="8"/>
    </row>
    <row r="167" spans="1:24">
      <c r="A167" s="8"/>
      <c r="B167" s="10"/>
      <c r="C167" s="8"/>
      <c r="D167" s="8"/>
      <c r="E167" s="8"/>
      <c r="F167" s="8"/>
      <c r="G167" s="8"/>
      <c r="H167" s="13"/>
      <c r="I167" s="13"/>
      <c r="J167" s="8"/>
      <c r="K167" s="8"/>
      <c r="L167" s="8"/>
      <c r="M167" s="8"/>
      <c r="N167" s="14" t="str">
        <f t="shared" si="6"/>
        <v/>
      </c>
      <c r="O167" s="14" t="str">
        <f t="shared" si="7"/>
        <v/>
      </c>
      <c r="P167" s="14" t="str">
        <f>IF(A167="","",Lists!$K$2)</f>
        <v/>
      </c>
      <c r="Q167" s="13"/>
      <c r="R167" s="13"/>
      <c r="S167" s="13"/>
      <c r="T167" s="9" t="str">
        <f t="shared" si="8"/>
        <v/>
      </c>
      <c r="U167" s="8"/>
      <c r="V167" s="8"/>
      <c r="W167" s="10"/>
      <c r="X167" s="8"/>
    </row>
    <row r="168" spans="1:24">
      <c r="A168" s="8"/>
      <c r="B168" s="10"/>
      <c r="C168" s="8"/>
      <c r="D168" s="8"/>
      <c r="E168" s="8"/>
      <c r="F168" s="8"/>
      <c r="G168" s="8"/>
      <c r="H168" s="13"/>
      <c r="I168" s="13"/>
      <c r="J168" s="8"/>
      <c r="K168" s="8"/>
      <c r="L168" s="8"/>
      <c r="M168" s="8"/>
      <c r="N168" s="14" t="str">
        <f t="shared" si="6"/>
        <v/>
      </c>
      <c r="O168" s="14" t="str">
        <f t="shared" si="7"/>
        <v/>
      </c>
      <c r="P168" s="14" t="str">
        <f>IF(A168="","",Lists!$K$2)</f>
        <v/>
      </c>
      <c r="Q168" s="13"/>
      <c r="R168" s="13"/>
      <c r="S168" s="13"/>
      <c r="T168" s="9" t="str">
        <f t="shared" si="8"/>
        <v/>
      </c>
      <c r="U168" s="8"/>
      <c r="V168" s="8"/>
      <c r="W168" s="10"/>
      <c r="X168" s="8"/>
    </row>
    <row r="169" spans="1:24">
      <c r="A169" s="8"/>
      <c r="B169" s="10"/>
      <c r="C169" s="8"/>
      <c r="D169" s="8"/>
      <c r="E169" s="8"/>
      <c r="F169" s="8"/>
      <c r="G169" s="8"/>
      <c r="H169" s="13"/>
      <c r="I169" s="13"/>
      <c r="J169" s="8"/>
      <c r="K169" s="8"/>
      <c r="L169" s="8"/>
      <c r="M169" s="8"/>
      <c r="N169" s="14" t="str">
        <f t="shared" si="6"/>
        <v/>
      </c>
      <c r="O169" s="14" t="str">
        <f t="shared" si="7"/>
        <v/>
      </c>
      <c r="P169" s="14" t="str">
        <f>IF(A169="","",Lists!$K$2)</f>
        <v/>
      </c>
      <c r="Q169" s="13"/>
      <c r="R169" s="13"/>
      <c r="S169" s="13"/>
      <c r="T169" s="9" t="str">
        <f t="shared" si="8"/>
        <v/>
      </c>
      <c r="U169" s="8"/>
      <c r="V169" s="8"/>
      <c r="W169" s="10"/>
      <c r="X169" s="8"/>
    </row>
    <row r="170" spans="1:24">
      <c r="A170" s="8"/>
      <c r="B170" s="10"/>
      <c r="C170" s="8"/>
      <c r="D170" s="8"/>
      <c r="E170" s="8"/>
      <c r="F170" s="8"/>
      <c r="G170" s="8"/>
      <c r="H170" s="13"/>
      <c r="I170" s="13"/>
      <c r="J170" s="8"/>
      <c r="K170" s="8"/>
      <c r="L170" s="8"/>
      <c r="M170" s="8"/>
      <c r="N170" s="14" t="str">
        <f t="shared" si="6"/>
        <v/>
      </c>
      <c r="O170" s="14" t="str">
        <f t="shared" si="7"/>
        <v/>
      </c>
      <c r="P170" s="14" t="str">
        <f>IF(A170="","",Lists!$K$2)</f>
        <v/>
      </c>
      <c r="Q170" s="13"/>
      <c r="R170" s="13"/>
      <c r="S170" s="13"/>
      <c r="T170" s="9" t="str">
        <f t="shared" si="8"/>
        <v/>
      </c>
      <c r="U170" s="8"/>
      <c r="V170" s="8"/>
      <c r="W170" s="10"/>
      <c r="X170" s="8"/>
    </row>
    <row r="171" spans="1:24">
      <c r="A171" s="8"/>
      <c r="B171" s="10"/>
      <c r="C171" s="8"/>
      <c r="D171" s="8"/>
      <c r="E171" s="8"/>
      <c r="F171" s="8"/>
      <c r="G171" s="8"/>
      <c r="H171" s="13"/>
      <c r="I171" s="13"/>
      <c r="J171" s="8"/>
      <c r="K171" s="8"/>
      <c r="L171" s="8"/>
      <c r="M171" s="8"/>
      <c r="N171" s="14" t="str">
        <f t="shared" si="6"/>
        <v/>
      </c>
      <c r="O171" s="14" t="str">
        <f t="shared" si="7"/>
        <v/>
      </c>
      <c r="P171" s="14" t="str">
        <f>IF(A171="","",Lists!$K$2)</f>
        <v/>
      </c>
      <c r="Q171" s="13"/>
      <c r="R171" s="13"/>
      <c r="S171" s="13"/>
      <c r="T171" s="9" t="str">
        <f t="shared" si="8"/>
        <v/>
      </c>
      <c r="U171" s="8"/>
      <c r="V171" s="8"/>
      <c r="W171" s="10"/>
      <c r="X171" s="8"/>
    </row>
    <row r="172" spans="1:24">
      <c r="A172" s="8"/>
      <c r="B172" s="10"/>
      <c r="C172" s="8"/>
      <c r="D172" s="8"/>
      <c r="E172" s="8"/>
      <c r="F172" s="8"/>
      <c r="G172" s="8"/>
      <c r="H172" s="13"/>
      <c r="I172" s="13"/>
      <c r="J172" s="8"/>
      <c r="K172" s="8"/>
      <c r="L172" s="8"/>
      <c r="M172" s="8"/>
      <c r="N172" s="14" t="str">
        <f t="shared" si="6"/>
        <v/>
      </c>
      <c r="O172" s="14" t="str">
        <f t="shared" si="7"/>
        <v/>
      </c>
      <c r="P172" s="14" t="str">
        <f>IF(A172="","",Lists!$K$2)</f>
        <v/>
      </c>
      <c r="Q172" s="13"/>
      <c r="R172" s="13"/>
      <c r="S172" s="13"/>
      <c r="T172" s="9" t="str">
        <f t="shared" si="8"/>
        <v/>
      </c>
      <c r="U172" s="8"/>
      <c r="V172" s="8"/>
      <c r="W172" s="10"/>
      <c r="X172" s="8"/>
    </row>
    <row r="173" spans="1:24">
      <c r="A173" s="8"/>
      <c r="B173" s="10"/>
      <c r="C173" s="8"/>
      <c r="D173" s="8"/>
      <c r="E173" s="8"/>
      <c r="F173" s="8"/>
      <c r="G173" s="8"/>
      <c r="H173" s="13"/>
      <c r="I173" s="13"/>
      <c r="J173" s="8"/>
      <c r="K173" s="8"/>
      <c r="L173" s="8"/>
      <c r="M173" s="8"/>
      <c r="N173" s="14" t="str">
        <f t="shared" si="6"/>
        <v/>
      </c>
      <c r="O173" s="14" t="str">
        <f t="shared" si="7"/>
        <v/>
      </c>
      <c r="P173" s="14" t="str">
        <f>IF(A173="","",Lists!$K$2)</f>
        <v/>
      </c>
      <c r="Q173" s="13"/>
      <c r="R173" s="13"/>
      <c r="S173" s="13"/>
      <c r="T173" s="9" t="str">
        <f t="shared" si="8"/>
        <v/>
      </c>
      <c r="U173" s="8"/>
      <c r="V173" s="8"/>
      <c r="W173" s="10"/>
      <c r="X173" s="8"/>
    </row>
    <row r="174" spans="1:24">
      <c r="A174" s="8"/>
      <c r="B174" s="10"/>
      <c r="C174" s="8"/>
      <c r="D174" s="8"/>
      <c r="E174" s="8"/>
      <c r="F174" s="8"/>
      <c r="G174" s="8"/>
      <c r="H174" s="13"/>
      <c r="I174" s="13"/>
      <c r="J174" s="8"/>
      <c r="K174" s="8"/>
      <c r="L174" s="8"/>
      <c r="M174" s="8"/>
      <c r="N174" s="14" t="str">
        <f t="shared" si="6"/>
        <v/>
      </c>
      <c r="O174" s="14" t="str">
        <f t="shared" si="7"/>
        <v/>
      </c>
      <c r="P174" s="14" t="str">
        <f>IF(A174="","",Lists!$K$2)</f>
        <v/>
      </c>
      <c r="Q174" s="13"/>
      <c r="R174" s="13"/>
      <c r="S174" s="13"/>
      <c r="T174" s="9" t="str">
        <f t="shared" si="8"/>
        <v/>
      </c>
      <c r="U174" s="8"/>
      <c r="V174" s="8"/>
      <c r="W174" s="10"/>
      <c r="X174" s="8"/>
    </row>
    <row r="175" spans="1:24">
      <c r="A175" s="8"/>
      <c r="B175" s="10"/>
      <c r="C175" s="8"/>
      <c r="D175" s="8"/>
      <c r="E175" s="8"/>
      <c r="F175" s="8"/>
      <c r="G175" s="8"/>
      <c r="H175" s="13"/>
      <c r="I175" s="13"/>
      <c r="J175" s="8"/>
      <c r="K175" s="8"/>
      <c r="L175" s="8"/>
      <c r="M175" s="8"/>
      <c r="N175" s="14" t="str">
        <f t="shared" si="6"/>
        <v/>
      </c>
      <c r="O175" s="14" t="str">
        <f t="shared" si="7"/>
        <v/>
      </c>
      <c r="P175" s="14" t="str">
        <f>IF(A175="","",Lists!$K$2)</f>
        <v/>
      </c>
      <c r="Q175" s="13"/>
      <c r="R175" s="13"/>
      <c r="S175" s="13"/>
      <c r="T175" s="9" t="str">
        <f t="shared" si="8"/>
        <v/>
      </c>
      <c r="U175" s="8"/>
      <c r="V175" s="8"/>
      <c r="W175" s="10"/>
      <c r="X175" s="8"/>
    </row>
    <row r="176" spans="1:24">
      <c r="A176" s="8"/>
      <c r="B176" s="10"/>
      <c r="C176" s="8"/>
      <c r="D176" s="8"/>
      <c r="E176" s="8"/>
      <c r="F176" s="8"/>
      <c r="G176" s="8"/>
      <c r="H176" s="13"/>
      <c r="I176" s="13"/>
      <c r="J176" s="8"/>
      <c r="K176" s="8"/>
      <c r="L176" s="8"/>
      <c r="M176" s="8"/>
      <c r="N176" s="14" t="str">
        <f t="shared" si="6"/>
        <v/>
      </c>
      <c r="O176" s="14" t="str">
        <f t="shared" si="7"/>
        <v/>
      </c>
      <c r="P176" s="14" t="str">
        <f>IF(A176="","",Lists!$K$2)</f>
        <v/>
      </c>
      <c r="Q176" s="13"/>
      <c r="R176" s="13"/>
      <c r="S176" s="13"/>
      <c r="T176" s="9" t="str">
        <f t="shared" si="8"/>
        <v/>
      </c>
      <c r="U176" s="8"/>
      <c r="V176" s="8"/>
      <c r="W176" s="10"/>
      <c r="X176" s="8"/>
    </row>
    <row r="177" spans="1:24">
      <c r="A177" s="8"/>
      <c r="B177" s="10"/>
      <c r="C177" s="8"/>
      <c r="D177" s="8"/>
      <c r="E177" s="8"/>
      <c r="F177" s="8"/>
      <c r="G177" s="8"/>
      <c r="H177" s="13"/>
      <c r="I177" s="13"/>
      <c r="J177" s="8"/>
      <c r="K177" s="8"/>
      <c r="L177" s="8"/>
      <c r="M177" s="8"/>
      <c r="N177" s="14" t="str">
        <f t="shared" si="6"/>
        <v/>
      </c>
      <c r="O177" s="14" t="str">
        <f t="shared" si="7"/>
        <v/>
      </c>
      <c r="P177" s="14" t="str">
        <f>IF(A177="","",Lists!$K$2)</f>
        <v/>
      </c>
      <c r="Q177" s="13"/>
      <c r="R177" s="13"/>
      <c r="S177" s="13"/>
      <c r="T177" s="9" t="str">
        <f t="shared" si="8"/>
        <v/>
      </c>
      <c r="U177" s="8"/>
      <c r="V177" s="8"/>
      <c r="W177" s="10"/>
      <c r="X177" s="8"/>
    </row>
    <row r="178" spans="1:24">
      <c r="A178" s="8"/>
      <c r="B178" s="10"/>
      <c r="C178" s="8"/>
      <c r="D178" s="8"/>
      <c r="E178" s="8"/>
      <c r="F178" s="8"/>
      <c r="G178" s="8"/>
      <c r="H178" s="13"/>
      <c r="I178" s="13"/>
      <c r="J178" s="8"/>
      <c r="K178" s="8"/>
      <c r="L178" s="8"/>
      <c r="M178" s="8"/>
      <c r="N178" s="14" t="str">
        <f t="shared" si="6"/>
        <v/>
      </c>
      <c r="O178" s="14" t="str">
        <f t="shared" si="7"/>
        <v/>
      </c>
      <c r="P178" s="14" t="str">
        <f>IF(A178="","",Lists!$K$2)</f>
        <v/>
      </c>
      <c r="Q178" s="13"/>
      <c r="R178" s="13"/>
      <c r="S178" s="13"/>
      <c r="T178" s="9" t="str">
        <f t="shared" si="8"/>
        <v/>
      </c>
      <c r="U178" s="8"/>
      <c r="V178" s="8"/>
      <c r="W178" s="10"/>
      <c r="X178" s="8"/>
    </row>
    <row r="179" spans="1:24">
      <c r="A179" s="8"/>
      <c r="B179" s="10"/>
      <c r="C179" s="8"/>
      <c r="D179" s="8"/>
      <c r="E179" s="8"/>
      <c r="F179" s="8"/>
      <c r="G179" s="8"/>
      <c r="H179" s="13"/>
      <c r="I179" s="13"/>
      <c r="J179" s="8"/>
      <c r="K179" s="8"/>
      <c r="L179" s="8"/>
      <c r="M179" s="8"/>
      <c r="N179" s="14" t="str">
        <f t="shared" si="6"/>
        <v/>
      </c>
      <c r="O179" s="14" t="str">
        <f t="shared" si="7"/>
        <v/>
      </c>
      <c r="P179" s="14" t="str">
        <f>IF(A179="","",Lists!$K$2)</f>
        <v/>
      </c>
      <c r="Q179" s="13"/>
      <c r="R179" s="13"/>
      <c r="S179" s="13"/>
      <c r="T179" s="9" t="str">
        <f t="shared" si="8"/>
        <v/>
      </c>
      <c r="U179" s="8"/>
      <c r="V179" s="8"/>
      <c r="W179" s="10"/>
      <c r="X179" s="8"/>
    </row>
    <row r="180" spans="1:24">
      <c r="A180" s="8"/>
      <c r="B180" s="10"/>
      <c r="C180" s="8"/>
      <c r="D180" s="8"/>
      <c r="E180" s="8"/>
      <c r="F180" s="8"/>
      <c r="G180" s="8"/>
      <c r="H180" s="13"/>
      <c r="I180" s="13"/>
      <c r="J180" s="8"/>
      <c r="K180" s="8"/>
      <c r="L180" s="8"/>
      <c r="M180" s="8"/>
      <c r="N180" s="14" t="str">
        <f t="shared" si="6"/>
        <v/>
      </c>
      <c r="O180" s="14" t="str">
        <f t="shared" si="7"/>
        <v/>
      </c>
      <c r="P180" s="14" t="str">
        <f>IF(A180="","",Lists!$K$2)</f>
        <v/>
      </c>
      <c r="Q180" s="13"/>
      <c r="R180" s="13"/>
      <c r="S180" s="13"/>
      <c r="T180" s="9" t="str">
        <f t="shared" si="8"/>
        <v/>
      </c>
      <c r="U180" s="8"/>
      <c r="V180" s="8"/>
      <c r="W180" s="10"/>
      <c r="X180" s="8"/>
    </row>
    <row r="181" spans="1:24">
      <c r="A181" s="8"/>
      <c r="B181" s="10"/>
      <c r="C181" s="8"/>
      <c r="D181" s="8"/>
      <c r="E181" s="8"/>
      <c r="F181" s="8"/>
      <c r="G181" s="8"/>
      <c r="H181" s="13"/>
      <c r="I181" s="13"/>
      <c r="J181" s="8"/>
      <c r="K181" s="8"/>
      <c r="L181" s="8"/>
      <c r="M181" s="8"/>
      <c r="N181" s="14" t="str">
        <f t="shared" si="6"/>
        <v/>
      </c>
      <c r="O181" s="14" t="str">
        <f t="shared" si="7"/>
        <v/>
      </c>
      <c r="P181" s="14" t="str">
        <f>IF(A181="","",Lists!$K$2)</f>
        <v/>
      </c>
      <c r="Q181" s="13"/>
      <c r="R181" s="13"/>
      <c r="S181" s="13"/>
      <c r="T181" s="9" t="str">
        <f t="shared" si="8"/>
        <v/>
      </c>
      <c r="U181" s="8"/>
      <c r="V181" s="8"/>
      <c r="W181" s="10"/>
      <c r="X181" s="8"/>
    </row>
    <row r="182" spans="1:24">
      <c r="A182" s="8"/>
      <c r="B182" s="10"/>
      <c r="C182" s="8"/>
      <c r="D182" s="8"/>
      <c r="E182" s="8"/>
      <c r="F182" s="8"/>
      <c r="G182" s="8"/>
      <c r="H182" s="13"/>
      <c r="I182" s="13"/>
      <c r="J182" s="8"/>
      <c r="K182" s="8"/>
      <c r="L182" s="8"/>
      <c r="M182" s="8"/>
      <c r="N182" s="14" t="str">
        <f t="shared" si="6"/>
        <v/>
      </c>
      <c r="O182" s="14" t="str">
        <f t="shared" si="7"/>
        <v/>
      </c>
      <c r="P182" s="14" t="str">
        <f>IF(A182="","",Lists!$K$2)</f>
        <v/>
      </c>
      <c r="Q182" s="13"/>
      <c r="R182" s="13"/>
      <c r="S182" s="13"/>
      <c r="T182" s="9" t="str">
        <f t="shared" si="8"/>
        <v/>
      </c>
      <c r="U182" s="8"/>
      <c r="V182" s="8"/>
      <c r="W182" s="10"/>
      <c r="X182" s="8"/>
    </row>
    <row r="183" spans="1:24">
      <c r="A183" s="8"/>
      <c r="B183" s="10"/>
      <c r="C183" s="8"/>
      <c r="D183" s="8"/>
      <c r="E183" s="8"/>
      <c r="F183" s="8"/>
      <c r="G183" s="8"/>
      <c r="H183" s="13"/>
      <c r="I183" s="13"/>
      <c r="J183" s="8"/>
      <c r="K183" s="8"/>
      <c r="L183" s="8"/>
      <c r="M183" s="8"/>
      <c r="N183" s="14" t="str">
        <f t="shared" si="6"/>
        <v/>
      </c>
      <c r="O183" s="14" t="str">
        <f t="shared" si="7"/>
        <v/>
      </c>
      <c r="P183" s="14" t="str">
        <f>IF(A183="","",Lists!$K$2)</f>
        <v/>
      </c>
      <c r="Q183" s="13"/>
      <c r="R183" s="13"/>
      <c r="S183" s="13"/>
      <c r="T183" s="9" t="str">
        <f t="shared" si="8"/>
        <v/>
      </c>
      <c r="U183" s="8"/>
      <c r="V183" s="8"/>
      <c r="W183" s="10"/>
      <c r="X183" s="8"/>
    </row>
    <row r="184" spans="1:24">
      <c r="A184" s="8"/>
      <c r="B184" s="10"/>
      <c r="C184" s="8"/>
      <c r="D184" s="8"/>
      <c r="E184" s="8"/>
      <c r="F184" s="8"/>
      <c r="G184" s="8"/>
      <c r="H184" s="13"/>
      <c r="I184" s="13"/>
      <c r="J184" s="8"/>
      <c r="K184" s="8"/>
      <c r="L184" s="8"/>
      <c r="M184" s="8"/>
      <c r="N184" s="14" t="str">
        <f t="shared" si="6"/>
        <v/>
      </c>
      <c r="O184" s="14" t="str">
        <f t="shared" si="7"/>
        <v/>
      </c>
      <c r="P184" s="14" t="str">
        <f>IF(A184="","",Lists!$K$2)</f>
        <v/>
      </c>
      <c r="Q184" s="13"/>
      <c r="R184" s="13"/>
      <c r="S184" s="13"/>
      <c r="T184" s="9" t="str">
        <f t="shared" si="8"/>
        <v/>
      </c>
      <c r="U184" s="8"/>
      <c r="V184" s="8"/>
      <c r="W184" s="10"/>
      <c r="X184" s="8"/>
    </row>
    <row r="185" spans="1:24">
      <c r="A185" s="8"/>
      <c r="B185" s="10"/>
      <c r="C185" s="8"/>
      <c r="D185" s="8"/>
      <c r="E185" s="8"/>
      <c r="F185" s="8"/>
      <c r="G185" s="8"/>
      <c r="H185" s="13"/>
      <c r="I185" s="13"/>
      <c r="J185" s="8"/>
      <c r="K185" s="8"/>
      <c r="L185" s="8"/>
      <c r="M185" s="8"/>
      <c r="N185" s="14" t="str">
        <f t="shared" si="6"/>
        <v/>
      </c>
      <c r="O185" s="14" t="str">
        <f t="shared" si="7"/>
        <v/>
      </c>
      <c r="P185" s="14" t="str">
        <f>IF(A185="","",Lists!$K$2)</f>
        <v/>
      </c>
      <c r="Q185" s="13"/>
      <c r="R185" s="13"/>
      <c r="S185" s="13"/>
      <c r="T185" s="9" t="str">
        <f t="shared" si="8"/>
        <v/>
      </c>
      <c r="U185" s="8"/>
      <c r="V185" s="8"/>
      <c r="W185" s="10"/>
      <c r="X185" s="8"/>
    </row>
    <row r="186" spans="1:24">
      <c r="A186" s="8"/>
      <c r="B186" s="10"/>
      <c r="C186" s="8"/>
      <c r="D186" s="8"/>
      <c r="E186" s="8"/>
      <c r="F186" s="8"/>
      <c r="G186" s="8"/>
      <c r="H186" s="13"/>
      <c r="I186" s="13"/>
      <c r="J186" s="8"/>
      <c r="K186" s="8"/>
      <c r="L186" s="8"/>
      <c r="M186" s="8"/>
      <c r="N186" s="14" t="str">
        <f t="shared" si="6"/>
        <v/>
      </c>
      <c r="O186" s="14" t="str">
        <f t="shared" si="7"/>
        <v/>
      </c>
      <c r="P186" s="14" t="str">
        <f>IF(A186="","",Lists!$K$2)</f>
        <v/>
      </c>
      <c r="Q186" s="13"/>
      <c r="R186" s="13"/>
      <c r="S186" s="13"/>
      <c r="T186" s="9" t="str">
        <f t="shared" si="8"/>
        <v/>
      </c>
      <c r="U186" s="8"/>
      <c r="V186" s="8"/>
      <c r="W186" s="10"/>
      <c r="X186" s="8"/>
    </row>
    <row r="187" spans="1:24">
      <c r="A187" s="8"/>
      <c r="B187" s="10"/>
      <c r="C187" s="8"/>
      <c r="D187" s="8"/>
      <c r="E187" s="8"/>
      <c r="F187" s="8"/>
      <c r="G187" s="8"/>
      <c r="H187" s="13"/>
      <c r="I187" s="13"/>
      <c r="J187" s="8"/>
      <c r="K187" s="8"/>
      <c r="L187" s="8"/>
      <c r="M187" s="8"/>
      <c r="N187" s="14" t="str">
        <f t="shared" si="6"/>
        <v/>
      </c>
      <c r="O187" s="14" t="str">
        <f t="shared" si="7"/>
        <v/>
      </c>
      <c r="P187" s="14" t="str">
        <f>IF(A187="","",Lists!$K$2)</f>
        <v/>
      </c>
      <c r="Q187" s="13"/>
      <c r="R187" s="13"/>
      <c r="S187" s="13"/>
      <c r="T187" s="9" t="str">
        <f t="shared" si="8"/>
        <v/>
      </c>
      <c r="U187" s="8"/>
      <c r="V187" s="8"/>
      <c r="W187" s="10"/>
      <c r="X187" s="8"/>
    </row>
    <row r="188" spans="1:24">
      <c r="A188" s="8"/>
      <c r="B188" s="10"/>
      <c r="C188" s="8"/>
      <c r="D188" s="8"/>
      <c r="E188" s="8"/>
      <c r="F188" s="8"/>
      <c r="G188" s="8"/>
      <c r="H188" s="13"/>
      <c r="I188" s="13"/>
      <c r="J188" s="8"/>
      <c r="K188" s="8"/>
      <c r="L188" s="8"/>
      <c r="M188" s="8"/>
      <c r="N188" s="14" t="str">
        <f t="shared" si="6"/>
        <v/>
      </c>
      <c r="O188" s="14" t="str">
        <f t="shared" si="7"/>
        <v/>
      </c>
      <c r="P188" s="14" t="str">
        <f>IF(A188="","",Lists!$K$2)</f>
        <v/>
      </c>
      <c r="Q188" s="13"/>
      <c r="R188" s="13"/>
      <c r="S188" s="13"/>
      <c r="T188" s="9" t="str">
        <f t="shared" si="8"/>
        <v/>
      </c>
      <c r="U188" s="8"/>
      <c r="V188" s="8"/>
      <c r="W188" s="10"/>
      <c r="X188" s="8"/>
    </row>
    <row r="189" spans="1:24">
      <c r="A189" s="8"/>
      <c r="B189" s="10"/>
      <c r="C189" s="8"/>
      <c r="D189" s="8"/>
      <c r="E189" s="8"/>
      <c r="F189" s="8"/>
      <c r="G189" s="8"/>
      <c r="H189" s="13"/>
      <c r="I189" s="13"/>
      <c r="J189" s="8"/>
      <c r="K189" s="8"/>
      <c r="L189" s="8"/>
      <c r="M189" s="8"/>
      <c r="N189" s="14" t="str">
        <f t="shared" si="6"/>
        <v/>
      </c>
      <c r="O189" s="14" t="str">
        <f t="shared" si="7"/>
        <v/>
      </c>
      <c r="P189" s="14" t="str">
        <f>IF(A189="","",Lists!$K$2)</f>
        <v/>
      </c>
      <c r="Q189" s="13"/>
      <c r="R189" s="13"/>
      <c r="S189" s="13"/>
      <c r="T189" s="9" t="str">
        <f t="shared" si="8"/>
        <v/>
      </c>
      <c r="U189" s="8"/>
      <c r="V189" s="8"/>
      <c r="W189" s="10"/>
      <c r="X189" s="8"/>
    </row>
    <row r="190" spans="1:24">
      <c r="A190" s="8"/>
      <c r="B190" s="10"/>
      <c r="C190" s="8"/>
      <c r="D190" s="8"/>
      <c r="E190" s="8"/>
      <c r="F190" s="8"/>
      <c r="G190" s="8"/>
      <c r="H190" s="13"/>
      <c r="I190" s="13"/>
      <c r="J190" s="8"/>
      <c r="K190" s="8"/>
      <c r="L190" s="8"/>
      <c r="M190" s="8"/>
      <c r="N190" s="14" t="str">
        <f t="shared" si="6"/>
        <v/>
      </c>
      <c r="O190" s="14" t="str">
        <f t="shared" si="7"/>
        <v/>
      </c>
      <c r="P190" s="14" t="str">
        <f>IF(A190="","",Lists!$K$2)</f>
        <v/>
      </c>
      <c r="Q190" s="13"/>
      <c r="R190" s="13"/>
      <c r="S190" s="13"/>
      <c r="T190" s="9" t="str">
        <f t="shared" si="8"/>
        <v/>
      </c>
      <c r="U190" s="8"/>
      <c r="V190" s="8"/>
      <c r="W190" s="10"/>
      <c r="X190" s="8"/>
    </row>
    <row r="191" spans="1:24">
      <c r="A191" s="8"/>
      <c r="B191" s="10"/>
      <c r="C191" s="8"/>
      <c r="D191" s="8"/>
      <c r="E191" s="8"/>
      <c r="F191" s="8"/>
      <c r="G191" s="8"/>
      <c r="H191" s="13"/>
      <c r="I191" s="13"/>
      <c r="J191" s="8"/>
      <c r="K191" s="8"/>
      <c r="L191" s="8"/>
      <c r="M191" s="8"/>
      <c r="N191" s="14" t="str">
        <f t="shared" si="6"/>
        <v/>
      </c>
      <c r="O191" s="14" t="str">
        <f t="shared" si="7"/>
        <v/>
      </c>
      <c r="P191" s="14" t="str">
        <f>IF(A191="","",Lists!$K$2)</f>
        <v/>
      </c>
      <c r="Q191" s="13"/>
      <c r="R191" s="13"/>
      <c r="S191" s="13"/>
      <c r="T191" s="9" t="str">
        <f t="shared" si="8"/>
        <v/>
      </c>
      <c r="U191" s="8"/>
      <c r="V191" s="8"/>
      <c r="W191" s="10"/>
      <c r="X191" s="8"/>
    </row>
    <row r="192" spans="1:24">
      <c r="A192" s="8"/>
      <c r="B192" s="10"/>
      <c r="C192" s="8"/>
      <c r="D192" s="8"/>
      <c r="E192" s="8"/>
      <c r="F192" s="8"/>
      <c r="G192" s="8"/>
      <c r="H192" s="13"/>
      <c r="I192" s="13"/>
      <c r="J192" s="8"/>
      <c r="K192" s="8"/>
      <c r="L192" s="8"/>
      <c r="M192" s="8"/>
      <c r="N192" s="14" t="str">
        <f t="shared" si="6"/>
        <v/>
      </c>
      <c r="O192" s="14" t="str">
        <f t="shared" si="7"/>
        <v/>
      </c>
      <c r="P192" s="14" t="str">
        <f>IF(A192="","",Lists!$K$2)</f>
        <v/>
      </c>
      <c r="Q192" s="13"/>
      <c r="R192" s="13"/>
      <c r="S192" s="13"/>
      <c r="T192" s="9" t="str">
        <f t="shared" si="8"/>
        <v/>
      </c>
      <c r="U192" s="8"/>
      <c r="V192" s="8"/>
      <c r="W192" s="10"/>
      <c r="X192" s="8"/>
    </row>
    <row r="193" spans="1:24">
      <c r="A193" s="8"/>
      <c r="B193" s="10"/>
      <c r="C193" s="8"/>
      <c r="D193" s="8"/>
      <c r="E193" s="8"/>
      <c r="F193" s="8"/>
      <c r="G193" s="8"/>
      <c r="H193" s="13"/>
      <c r="I193" s="13"/>
      <c r="J193" s="8"/>
      <c r="K193" s="8"/>
      <c r="L193" s="8"/>
      <c r="M193" s="8"/>
      <c r="N193" s="14" t="str">
        <f t="shared" si="6"/>
        <v/>
      </c>
      <c r="O193" s="14" t="str">
        <f t="shared" si="7"/>
        <v/>
      </c>
      <c r="P193" s="14" t="str">
        <f>IF(A193="","",Lists!$K$2)</f>
        <v/>
      </c>
      <c r="Q193" s="13"/>
      <c r="R193" s="13"/>
      <c r="S193" s="13"/>
      <c r="T193" s="9" t="str">
        <f t="shared" si="8"/>
        <v/>
      </c>
      <c r="U193" s="8"/>
      <c r="V193" s="8"/>
      <c r="W193" s="10"/>
      <c r="X193" s="8"/>
    </row>
    <row r="194" spans="1:24">
      <c r="A194" s="8"/>
      <c r="B194" s="10"/>
      <c r="C194" s="8"/>
      <c r="D194" s="8"/>
      <c r="E194" s="8"/>
      <c r="F194" s="8"/>
      <c r="G194" s="8"/>
      <c r="H194" s="13"/>
      <c r="I194" s="13"/>
      <c r="J194" s="8"/>
      <c r="K194" s="8"/>
      <c r="L194" s="8"/>
      <c r="M194" s="8"/>
      <c r="N194" s="14" t="str">
        <f t="shared" si="6"/>
        <v/>
      </c>
      <c r="O194" s="14" t="str">
        <f t="shared" si="7"/>
        <v/>
      </c>
      <c r="P194" s="14" t="str">
        <f>IF(A194="","",Lists!$K$2)</f>
        <v/>
      </c>
      <c r="Q194" s="13"/>
      <c r="R194" s="13"/>
      <c r="S194" s="13"/>
      <c r="T194" s="9" t="str">
        <f t="shared" si="8"/>
        <v/>
      </c>
      <c r="U194" s="8"/>
      <c r="V194" s="8"/>
      <c r="W194" s="10"/>
      <c r="X194" s="8"/>
    </row>
    <row r="195" spans="1:24">
      <c r="A195" s="8"/>
      <c r="B195" s="10"/>
      <c r="C195" s="8"/>
      <c r="D195" s="8"/>
      <c r="E195" s="8"/>
      <c r="F195" s="8"/>
      <c r="G195" s="8"/>
      <c r="H195" s="13"/>
      <c r="I195" s="13"/>
      <c r="J195" s="8"/>
      <c r="K195" s="8"/>
      <c r="L195" s="8"/>
      <c r="M195" s="8"/>
      <c r="N195" s="14" t="str">
        <f t="shared" si="6"/>
        <v/>
      </c>
      <c r="O195" s="14" t="str">
        <f t="shared" si="7"/>
        <v/>
      </c>
      <c r="P195" s="14" t="str">
        <f>IF(A195="","",Lists!$K$2)</f>
        <v/>
      </c>
      <c r="Q195" s="13"/>
      <c r="R195" s="13"/>
      <c r="S195" s="13"/>
      <c r="T195" s="9" t="str">
        <f t="shared" si="8"/>
        <v/>
      </c>
      <c r="U195" s="8"/>
      <c r="V195" s="8"/>
      <c r="W195" s="10"/>
      <c r="X195" s="8"/>
    </row>
    <row r="196" spans="1:24">
      <c r="A196" s="8"/>
      <c r="B196" s="10"/>
      <c r="C196" s="8"/>
      <c r="D196" s="8"/>
      <c r="E196" s="8"/>
      <c r="F196" s="8"/>
      <c r="G196" s="8"/>
      <c r="H196" s="13"/>
      <c r="I196" s="13"/>
      <c r="J196" s="8"/>
      <c r="K196" s="8"/>
      <c r="L196" s="8"/>
      <c r="M196" s="8"/>
      <c r="N196" s="14" t="str">
        <f t="shared" si="6"/>
        <v/>
      </c>
      <c r="O196" s="14" t="str">
        <f t="shared" si="7"/>
        <v/>
      </c>
      <c r="P196" s="14" t="str">
        <f>IF(A196="","",Lists!$K$2)</f>
        <v/>
      </c>
      <c r="Q196" s="13"/>
      <c r="R196" s="13"/>
      <c r="S196" s="13"/>
      <c r="T196" s="9" t="str">
        <f t="shared" si="8"/>
        <v/>
      </c>
      <c r="U196" s="8"/>
      <c r="V196" s="8"/>
      <c r="W196" s="10"/>
      <c r="X196" s="8"/>
    </row>
    <row r="197" spans="1:24">
      <c r="A197" s="8"/>
      <c r="B197" s="10"/>
      <c r="C197" s="8"/>
      <c r="D197" s="8"/>
      <c r="E197" s="8"/>
      <c r="F197" s="8"/>
      <c r="G197" s="8"/>
      <c r="H197" s="13"/>
      <c r="I197" s="13"/>
      <c r="J197" s="8"/>
      <c r="K197" s="8"/>
      <c r="L197" s="8"/>
      <c r="M197" s="8"/>
      <c r="N197" s="14" t="str">
        <f t="shared" ref="N197:N260" si="9">IF(A197="","",J197+2*K197+3*L197+4*M197)</f>
        <v/>
      </c>
      <c r="O197" s="14" t="str">
        <f t="shared" ref="O197:O260" si="10">IF(OR(A197="",H197=0,I197=0),"",N197*3600/(H197*I197))</f>
        <v/>
      </c>
      <c r="P197" s="14" t="str">
        <f>IF(A197="","",Lists!$K$2)</f>
        <v/>
      </c>
      <c r="Q197" s="13"/>
      <c r="R197" s="13"/>
      <c r="S197" s="13"/>
      <c r="T197" s="9" t="str">
        <f t="shared" ref="T197:T260" si="11">IF(A197="","",IF(O197&lt;=P197,"Passed","Failed"))</f>
        <v/>
      </c>
      <c r="U197" s="8"/>
      <c r="V197" s="8"/>
      <c r="W197" s="10"/>
      <c r="X197" s="8"/>
    </row>
    <row r="198" spans="1:24">
      <c r="A198" s="8"/>
      <c r="B198" s="10"/>
      <c r="C198" s="8"/>
      <c r="D198" s="8"/>
      <c r="E198" s="8"/>
      <c r="F198" s="8"/>
      <c r="G198" s="8"/>
      <c r="H198" s="13"/>
      <c r="I198" s="13"/>
      <c r="J198" s="8"/>
      <c r="K198" s="8"/>
      <c r="L198" s="8"/>
      <c r="M198" s="8"/>
      <c r="N198" s="14" t="str">
        <f t="shared" si="9"/>
        <v/>
      </c>
      <c r="O198" s="14" t="str">
        <f t="shared" si="10"/>
        <v/>
      </c>
      <c r="P198" s="14" t="str">
        <f>IF(A198="","",Lists!$K$2)</f>
        <v/>
      </c>
      <c r="Q198" s="13"/>
      <c r="R198" s="13"/>
      <c r="S198" s="13"/>
      <c r="T198" s="9" t="str">
        <f t="shared" si="11"/>
        <v/>
      </c>
      <c r="U198" s="8"/>
      <c r="V198" s="8"/>
      <c r="W198" s="10"/>
      <c r="X198" s="8"/>
    </row>
    <row r="199" spans="1:24">
      <c r="A199" s="8"/>
      <c r="B199" s="10"/>
      <c r="C199" s="8"/>
      <c r="D199" s="8"/>
      <c r="E199" s="8"/>
      <c r="F199" s="8"/>
      <c r="G199" s="8"/>
      <c r="H199" s="13"/>
      <c r="I199" s="13"/>
      <c r="J199" s="8"/>
      <c r="K199" s="8"/>
      <c r="L199" s="8"/>
      <c r="M199" s="8"/>
      <c r="N199" s="14" t="str">
        <f t="shared" si="9"/>
        <v/>
      </c>
      <c r="O199" s="14" t="str">
        <f t="shared" si="10"/>
        <v/>
      </c>
      <c r="P199" s="14" t="str">
        <f>IF(A199="","",Lists!$K$2)</f>
        <v/>
      </c>
      <c r="Q199" s="13"/>
      <c r="R199" s="13"/>
      <c r="S199" s="13"/>
      <c r="T199" s="9" t="str">
        <f t="shared" si="11"/>
        <v/>
      </c>
      <c r="U199" s="8"/>
      <c r="V199" s="8"/>
      <c r="W199" s="10"/>
      <c r="X199" s="8"/>
    </row>
    <row r="200" spans="1:24">
      <c r="A200" s="8"/>
      <c r="B200" s="10"/>
      <c r="C200" s="8"/>
      <c r="D200" s="8"/>
      <c r="E200" s="8"/>
      <c r="F200" s="8"/>
      <c r="G200" s="8"/>
      <c r="H200" s="13"/>
      <c r="I200" s="13"/>
      <c r="J200" s="8"/>
      <c r="K200" s="8"/>
      <c r="L200" s="8"/>
      <c r="M200" s="8"/>
      <c r="N200" s="14" t="str">
        <f t="shared" si="9"/>
        <v/>
      </c>
      <c r="O200" s="14" t="str">
        <f t="shared" si="10"/>
        <v/>
      </c>
      <c r="P200" s="14" t="str">
        <f>IF(A200="","",Lists!$K$2)</f>
        <v/>
      </c>
      <c r="Q200" s="13"/>
      <c r="R200" s="13"/>
      <c r="S200" s="13"/>
      <c r="T200" s="9" t="str">
        <f t="shared" si="11"/>
        <v/>
      </c>
      <c r="U200" s="8"/>
      <c r="V200" s="8"/>
      <c r="W200" s="10"/>
      <c r="X200" s="8"/>
    </row>
    <row r="201" spans="1:24">
      <c r="A201" s="8"/>
      <c r="B201" s="10"/>
      <c r="C201" s="8"/>
      <c r="D201" s="8"/>
      <c r="E201" s="8"/>
      <c r="F201" s="8"/>
      <c r="G201" s="8"/>
      <c r="H201" s="13"/>
      <c r="I201" s="13"/>
      <c r="J201" s="8"/>
      <c r="K201" s="8"/>
      <c r="L201" s="8"/>
      <c r="M201" s="8"/>
      <c r="N201" s="14" t="str">
        <f t="shared" si="9"/>
        <v/>
      </c>
      <c r="O201" s="14" t="str">
        <f t="shared" si="10"/>
        <v/>
      </c>
      <c r="P201" s="14" t="str">
        <f>IF(A201="","",Lists!$K$2)</f>
        <v/>
      </c>
      <c r="Q201" s="13"/>
      <c r="R201" s="13"/>
      <c r="S201" s="13"/>
      <c r="T201" s="9" t="str">
        <f t="shared" si="11"/>
        <v/>
      </c>
      <c r="U201" s="8"/>
      <c r="V201" s="8"/>
      <c r="W201" s="10"/>
      <c r="X201" s="8"/>
    </row>
    <row r="202" spans="1:24">
      <c r="A202" s="8"/>
      <c r="B202" s="10"/>
      <c r="C202" s="8"/>
      <c r="D202" s="8"/>
      <c r="E202" s="8"/>
      <c r="F202" s="8"/>
      <c r="G202" s="8"/>
      <c r="H202" s="13"/>
      <c r="I202" s="13"/>
      <c r="J202" s="8"/>
      <c r="K202" s="8"/>
      <c r="L202" s="8"/>
      <c r="M202" s="8"/>
      <c r="N202" s="14" t="str">
        <f t="shared" si="9"/>
        <v/>
      </c>
      <c r="O202" s="14" t="str">
        <f t="shared" si="10"/>
        <v/>
      </c>
      <c r="P202" s="14" t="str">
        <f>IF(A202="","",Lists!$K$2)</f>
        <v/>
      </c>
      <c r="Q202" s="13"/>
      <c r="R202" s="13"/>
      <c r="S202" s="13"/>
      <c r="T202" s="9" t="str">
        <f t="shared" si="11"/>
        <v/>
      </c>
      <c r="U202" s="8"/>
      <c r="V202" s="8"/>
      <c r="W202" s="10"/>
      <c r="X202" s="8"/>
    </row>
    <row r="203" spans="1:24">
      <c r="A203" s="8"/>
      <c r="B203" s="10"/>
      <c r="C203" s="8"/>
      <c r="D203" s="8"/>
      <c r="E203" s="8"/>
      <c r="F203" s="8"/>
      <c r="G203" s="8"/>
      <c r="H203" s="13"/>
      <c r="I203" s="13"/>
      <c r="J203" s="8"/>
      <c r="K203" s="8"/>
      <c r="L203" s="8"/>
      <c r="M203" s="8"/>
      <c r="N203" s="14" t="str">
        <f t="shared" si="9"/>
        <v/>
      </c>
      <c r="O203" s="14" t="str">
        <f t="shared" si="10"/>
        <v/>
      </c>
      <c r="P203" s="14" t="str">
        <f>IF(A203="","",Lists!$K$2)</f>
        <v/>
      </c>
      <c r="Q203" s="13"/>
      <c r="R203" s="13"/>
      <c r="S203" s="13"/>
      <c r="T203" s="9" t="str">
        <f t="shared" si="11"/>
        <v/>
      </c>
      <c r="U203" s="8"/>
      <c r="V203" s="8"/>
      <c r="W203" s="10"/>
      <c r="X203" s="8"/>
    </row>
    <row r="204" spans="1:24">
      <c r="A204" s="8"/>
      <c r="B204" s="10"/>
      <c r="C204" s="8"/>
      <c r="D204" s="8"/>
      <c r="E204" s="8"/>
      <c r="F204" s="8"/>
      <c r="G204" s="8"/>
      <c r="H204" s="13"/>
      <c r="I204" s="13"/>
      <c r="J204" s="8"/>
      <c r="K204" s="8"/>
      <c r="L204" s="8"/>
      <c r="M204" s="8"/>
      <c r="N204" s="14" t="str">
        <f t="shared" si="9"/>
        <v/>
      </c>
      <c r="O204" s="14" t="str">
        <f t="shared" si="10"/>
        <v/>
      </c>
      <c r="P204" s="14" t="str">
        <f>IF(A204="","",Lists!$K$2)</f>
        <v/>
      </c>
      <c r="Q204" s="13"/>
      <c r="R204" s="13"/>
      <c r="S204" s="13"/>
      <c r="T204" s="9" t="str">
        <f t="shared" si="11"/>
        <v/>
      </c>
      <c r="U204" s="8"/>
      <c r="V204" s="8"/>
      <c r="W204" s="10"/>
      <c r="X204" s="8"/>
    </row>
    <row r="205" spans="1:24">
      <c r="A205" s="8"/>
      <c r="B205" s="10"/>
      <c r="C205" s="8"/>
      <c r="D205" s="8"/>
      <c r="E205" s="8"/>
      <c r="F205" s="8"/>
      <c r="G205" s="8"/>
      <c r="H205" s="13"/>
      <c r="I205" s="13"/>
      <c r="J205" s="8"/>
      <c r="K205" s="8"/>
      <c r="L205" s="8"/>
      <c r="M205" s="8"/>
      <c r="N205" s="14" t="str">
        <f t="shared" si="9"/>
        <v/>
      </c>
      <c r="O205" s="14" t="str">
        <f t="shared" si="10"/>
        <v/>
      </c>
      <c r="P205" s="14" t="str">
        <f>IF(A205="","",Lists!$K$2)</f>
        <v/>
      </c>
      <c r="Q205" s="13"/>
      <c r="R205" s="13"/>
      <c r="S205" s="13"/>
      <c r="T205" s="9" t="str">
        <f t="shared" si="11"/>
        <v/>
      </c>
      <c r="U205" s="8"/>
      <c r="V205" s="8"/>
      <c r="W205" s="10"/>
      <c r="X205" s="8"/>
    </row>
    <row r="206" spans="1:24">
      <c r="A206" s="8"/>
      <c r="B206" s="10"/>
      <c r="C206" s="8"/>
      <c r="D206" s="8"/>
      <c r="E206" s="8"/>
      <c r="F206" s="8"/>
      <c r="G206" s="8"/>
      <c r="H206" s="13"/>
      <c r="I206" s="13"/>
      <c r="J206" s="8"/>
      <c r="K206" s="8"/>
      <c r="L206" s="8"/>
      <c r="M206" s="8"/>
      <c r="N206" s="14" t="str">
        <f t="shared" si="9"/>
        <v/>
      </c>
      <c r="O206" s="14" t="str">
        <f t="shared" si="10"/>
        <v/>
      </c>
      <c r="P206" s="14" t="str">
        <f>IF(A206="","",Lists!$K$2)</f>
        <v/>
      </c>
      <c r="Q206" s="13"/>
      <c r="R206" s="13"/>
      <c r="S206" s="13"/>
      <c r="T206" s="9" t="str">
        <f t="shared" si="11"/>
        <v/>
      </c>
      <c r="U206" s="8"/>
      <c r="V206" s="8"/>
      <c r="W206" s="10"/>
      <c r="X206" s="8"/>
    </row>
    <row r="207" spans="1:24">
      <c r="A207" s="8"/>
      <c r="B207" s="10"/>
      <c r="C207" s="8"/>
      <c r="D207" s="8"/>
      <c r="E207" s="8"/>
      <c r="F207" s="8"/>
      <c r="G207" s="8"/>
      <c r="H207" s="13"/>
      <c r="I207" s="13"/>
      <c r="J207" s="8"/>
      <c r="K207" s="8"/>
      <c r="L207" s="8"/>
      <c r="M207" s="8"/>
      <c r="N207" s="14" t="str">
        <f t="shared" si="9"/>
        <v/>
      </c>
      <c r="O207" s="14" t="str">
        <f t="shared" si="10"/>
        <v/>
      </c>
      <c r="P207" s="14" t="str">
        <f>IF(A207="","",Lists!$K$2)</f>
        <v/>
      </c>
      <c r="Q207" s="13"/>
      <c r="R207" s="13"/>
      <c r="S207" s="13"/>
      <c r="T207" s="9" t="str">
        <f t="shared" si="11"/>
        <v/>
      </c>
      <c r="U207" s="8"/>
      <c r="V207" s="8"/>
      <c r="W207" s="10"/>
      <c r="X207" s="8"/>
    </row>
    <row r="208" spans="1:24">
      <c r="A208" s="8"/>
      <c r="B208" s="10"/>
      <c r="C208" s="8"/>
      <c r="D208" s="8"/>
      <c r="E208" s="8"/>
      <c r="F208" s="8"/>
      <c r="G208" s="8"/>
      <c r="H208" s="13"/>
      <c r="I208" s="13"/>
      <c r="J208" s="8"/>
      <c r="K208" s="8"/>
      <c r="L208" s="8"/>
      <c r="M208" s="8"/>
      <c r="N208" s="14" t="str">
        <f t="shared" si="9"/>
        <v/>
      </c>
      <c r="O208" s="14" t="str">
        <f t="shared" si="10"/>
        <v/>
      </c>
      <c r="P208" s="14" t="str">
        <f>IF(A208="","",Lists!$K$2)</f>
        <v/>
      </c>
      <c r="Q208" s="13"/>
      <c r="R208" s="13"/>
      <c r="S208" s="13"/>
      <c r="T208" s="9" t="str">
        <f t="shared" si="11"/>
        <v/>
      </c>
      <c r="U208" s="8"/>
      <c r="V208" s="8"/>
      <c r="W208" s="10"/>
      <c r="X208" s="8"/>
    </row>
    <row r="209" spans="1:24">
      <c r="A209" s="8"/>
      <c r="B209" s="10"/>
      <c r="C209" s="8"/>
      <c r="D209" s="8"/>
      <c r="E209" s="8"/>
      <c r="F209" s="8"/>
      <c r="G209" s="8"/>
      <c r="H209" s="13"/>
      <c r="I209" s="13"/>
      <c r="J209" s="8"/>
      <c r="K209" s="8"/>
      <c r="L209" s="8"/>
      <c r="M209" s="8"/>
      <c r="N209" s="14" t="str">
        <f t="shared" si="9"/>
        <v/>
      </c>
      <c r="O209" s="14" t="str">
        <f t="shared" si="10"/>
        <v/>
      </c>
      <c r="P209" s="14" t="str">
        <f>IF(A209="","",Lists!$K$2)</f>
        <v/>
      </c>
      <c r="Q209" s="13"/>
      <c r="R209" s="13"/>
      <c r="S209" s="13"/>
      <c r="T209" s="9" t="str">
        <f t="shared" si="11"/>
        <v/>
      </c>
      <c r="U209" s="8"/>
      <c r="V209" s="8"/>
      <c r="W209" s="10"/>
      <c r="X209" s="8"/>
    </row>
    <row r="210" spans="1:24">
      <c r="A210" s="8"/>
      <c r="B210" s="10"/>
      <c r="C210" s="8"/>
      <c r="D210" s="8"/>
      <c r="E210" s="8"/>
      <c r="F210" s="8"/>
      <c r="G210" s="8"/>
      <c r="H210" s="13"/>
      <c r="I210" s="13"/>
      <c r="J210" s="8"/>
      <c r="K210" s="8"/>
      <c r="L210" s="8"/>
      <c r="M210" s="8"/>
      <c r="N210" s="14" t="str">
        <f t="shared" si="9"/>
        <v/>
      </c>
      <c r="O210" s="14" t="str">
        <f t="shared" si="10"/>
        <v/>
      </c>
      <c r="P210" s="14" t="str">
        <f>IF(A210="","",Lists!$K$2)</f>
        <v/>
      </c>
      <c r="Q210" s="13"/>
      <c r="R210" s="13"/>
      <c r="S210" s="13"/>
      <c r="T210" s="9" t="str">
        <f t="shared" si="11"/>
        <v/>
      </c>
      <c r="U210" s="8"/>
      <c r="V210" s="8"/>
      <c r="W210" s="10"/>
      <c r="X210" s="8"/>
    </row>
    <row r="211" spans="1:24">
      <c r="A211" s="8"/>
      <c r="B211" s="10"/>
      <c r="C211" s="8"/>
      <c r="D211" s="8"/>
      <c r="E211" s="8"/>
      <c r="F211" s="8"/>
      <c r="G211" s="8"/>
      <c r="H211" s="13"/>
      <c r="I211" s="13"/>
      <c r="J211" s="8"/>
      <c r="K211" s="8"/>
      <c r="L211" s="8"/>
      <c r="M211" s="8"/>
      <c r="N211" s="14" t="str">
        <f t="shared" si="9"/>
        <v/>
      </c>
      <c r="O211" s="14" t="str">
        <f t="shared" si="10"/>
        <v/>
      </c>
      <c r="P211" s="14" t="str">
        <f>IF(A211="","",Lists!$K$2)</f>
        <v/>
      </c>
      <c r="Q211" s="13"/>
      <c r="R211" s="13"/>
      <c r="S211" s="13"/>
      <c r="T211" s="9" t="str">
        <f t="shared" si="11"/>
        <v/>
      </c>
      <c r="U211" s="8"/>
      <c r="V211" s="8"/>
      <c r="W211" s="10"/>
      <c r="X211" s="8"/>
    </row>
    <row r="212" spans="1:24">
      <c r="A212" s="8"/>
      <c r="B212" s="10"/>
      <c r="C212" s="8"/>
      <c r="D212" s="8"/>
      <c r="E212" s="8"/>
      <c r="F212" s="8"/>
      <c r="G212" s="8"/>
      <c r="H212" s="13"/>
      <c r="I212" s="13"/>
      <c r="J212" s="8"/>
      <c r="K212" s="8"/>
      <c r="L212" s="8"/>
      <c r="M212" s="8"/>
      <c r="N212" s="14" t="str">
        <f t="shared" si="9"/>
        <v/>
      </c>
      <c r="O212" s="14" t="str">
        <f t="shared" si="10"/>
        <v/>
      </c>
      <c r="P212" s="14" t="str">
        <f>IF(A212="","",Lists!$K$2)</f>
        <v/>
      </c>
      <c r="Q212" s="13"/>
      <c r="R212" s="13"/>
      <c r="S212" s="13"/>
      <c r="T212" s="9" t="str">
        <f t="shared" si="11"/>
        <v/>
      </c>
      <c r="U212" s="8"/>
      <c r="V212" s="8"/>
      <c r="W212" s="10"/>
      <c r="X212" s="8"/>
    </row>
    <row r="213" spans="1:24">
      <c r="A213" s="8"/>
      <c r="B213" s="10"/>
      <c r="C213" s="8"/>
      <c r="D213" s="8"/>
      <c r="E213" s="8"/>
      <c r="F213" s="8"/>
      <c r="G213" s="8"/>
      <c r="H213" s="13"/>
      <c r="I213" s="13"/>
      <c r="J213" s="8"/>
      <c r="K213" s="8"/>
      <c r="L213" s="8"/>
      <c r="M213" s="8"/>
      <c r="N213" s="14" t="str">
        <f t="shared" si="9"/>
        <v/>
      </c>
      <c r="O213" s="14" t="str">
        <f t="shared" si="10"/>
        <v/>
      </c>
      <c r="P213" s="14" t="str">
        <f>IF(A213="","",Lists!$K$2)</f>
        <v/>
      </c>
      <c r="Q213" s="13"/>
      <c r="R213" s="13"/>
      <c r="S213" s="13"/>
      <c r="T213" s="9" t="str">
        <f t="shared" si="11"/>
        <v/>
      </c>
      <c r="U213" s="8"/>
      <c r="V213" s="8"/>
      <c r="W213" s="10"/>
      <c r="X213" s="8"/>
    </row>
    <row r="214" spans="1:24">
      <c r="A214" s="8"/>
      <c r="B214" s="10"/>
      <c r="C214" s="8"/>
      <c r="D214" s="8"/>
      <c r="E214" s="8"/>
      <c r="F214" s="8"/>
      <c r="G214" s="8"/>
      <c r="H214" s="13"/>
      <c r="I214" s="13"/>
      <c r="J214" s="8"/>
      <c r="K214" s="8"/>
      <c r="L214" s="8"/>
      <c r="M214" s="8"/>
      <c r="N214" s="14" t="str">
        <f t="shared" si="9"/>
        <v/>
      </c>
      <c r="O214" s="14" t="str">
        <f t="shared" si="10"/>
        <v/>
      </c>
      <c r="P214" s="14" t="str">
        <f>IF(A214="","",Lists!$K$2)</f>
        <v/>
      </c>
      <c r="Q214" s="13"/>
      <c r="R214" s="13"/>
      <c r="S214" s="13"/>
      <c r="T214" s="9" t="str">
        <f t="shared" si="11"/>
        <v/>
      </c>
      <c r="U214" s="8"/>
      <c r="V214" s="8"/>
      <c r="W214" s="10"/>
      <c r="X214" s="8"/>
    </row>
    <row r="215" spans="1:24">
      <c r="A215" s="8"/>
      <c r="B215" s="10"/>
      <c r="C215" s="8"/>
      <c r="D215" s="8"/>
      <c r="E215" s="8"/>
      <c r="F215" s="8"/>
      <c r="G215" s="8"/>
      <c r="H215" s="13"/>
      <c r="I215" s="13"/>
      <c r="J215" s="8"/>
      <c r="K215" s="8"/>
      <c r="L215" s="8"/>
      <c r="M215" s="8"/>
      <c r="N215" s="14" t="str">
        <f t="shared" si="9"/>
        <v/>
      </c>
      <c r="O215" s="14" t="str">
        <f t="shared" si="10"/>
        <v/>
      </c>
      <c r="P215" s="14" t="str">
        <f>IF(A215="","",Lists!$K$2)</f>
        <v/>
      </c>
      <c r="Q215" s="13"/>
      <c r="R215" s="13"/>
      <c r="S215" s="13"/>
      <c r="T215" s="9" t="str">
        <f t="shared" si="11"/>
        <v/>
      </c>
      <c r="U215" s="8"/>
      <c r="V215" s="8"/>
      <c r="W215" s="10"/>
      <c r="X215" s="8"/>
    </row>
    <row r="216" spans="1:24">
      <c r="A216" s="8"/>
      <c r="B216" s="10"/>
      <c r="C216" s="8"/>
      <c r="D216" s="8"/>
      <c r="E216" s="8"/>
      <c r="F216" s="8"/>
      <c r="G216" s="8"/>
      <c r="H216" s="13"/>
      <c r="I216" s="13"/>
      <c r="J216" s="8"/>
      <c r="K216" s="8"/>
      <c r="L216" s="8"/>
      <c r="M216" s="8"/>
      <c r="N216" s="14" t="str">
        <f t="shared" si="9"/>
        <v/>
      </c>
      <c r="O216" s="14" t="str">
        <f t="shared" si="10"/>
        <v/>
      </c>
      <c r="P216" s="14" t="str">
        <f>IF(A216="","",Lists!$K$2)</f>
        <v/>
      </c>
      <c r="Q216" s="13"/>
      <c r="R216" s="13"/>
      <c r="S216" s="13"/>
      <c r="T216" s="9" t="str">
        <f t="shared" si="11"/>
        <v/>
      </c>
      <c r="U216" s="8"/>
      <c r="V216" s="8"/>
      <c r="W216" s="10"/>
      <c r="X216" s="8"/>
    </row>
    <row r="217" spans="1:24">
      <c r="A217" s="8"/>
      <c r="B217" s="10"/>
      <c r="C217" s="8"/>
      <c r="D217" s="8"/>
      <c r="E217" s="8"/>
      <c r="F217" s="8"/>
      <c r="G217" s="8"/>
      <c r="H217" s="13"/>
      <c r="I217" s="13"/>
      <c r="J217" s="8"/>
      <c r="K217" s="8"/>
      <c r="L217" s="8"/>
      <c r="M217" s="8"/>
      <c r="N217" s="14" t="str">
        <f t="shared" si="9"/>
        <v/>
      </c>
      <c r="O217" s="14" t="str">
        <f t="shared" si="10"/>
        <v/>
      </c>
      <c r="P217" s="14" t="str">
        <f>IF(A217="","",Lists!$K$2)</f>
        <v/>
      </c>
      <c r="Q217" s="13"/>
      <c r="R217" s="13"/>
      <c r="S217" s="13"/>
      <c r="T217" s="9" t="str">
        <f t="shared" si="11"/>
        <v/>
      </c>
      <c r="U217" s="8"/>
      <c r="V217" s="8"/>
      <c r="W217" s="10"/>
      <c r="X217" s="8"/>
    </row>
    <row r="218" spans="1:24">
      <c r="A218" s="8"/>
      <c r="B218" s="10"/>
      <c r="C218" s="8"/>
      <c r="D218" s="8"/>
      <c r="E218" s="8"/>
      <c r="F218" s="8"/>
      <c r="G218" s="8"/>
      <c r="H218" s="13"/>
      <c r="I218" s="13"/>
      <c r="J218" s="8"/>
      <c r="K218" s="8"/>
      <c r="L218" s="8"/>
      <c r="M218" s="8"/>
      <c r="N218" s="14" t="str">
        <f t="shared" si="9"/>
        <v/>
      </c>
      <c r="O218" s="14" t="str">
        <f t="shared" si="10"/>
        <v/>
      </c>
      <c r="P218" s="14" t="str">
        <f>IF(A218="","",Lists!$K$2)</f>
        <v/>
      </c>
      <c r="Q218" s="13"/>
      <c r="R218" s="13"/>
      <c r="S218" s="13"/>
      <c r="T218" s="9" t="str">
        <f t="shared" si="11"/>
        <v/>
      </c>
      <c r="U218" s="8"/>
      <c r="V218" s="8"/>
      <c r="W218" s="10"/>
      <c r="X218" s="8"/>
    </row>
    <row r="219" spans="1:24">
      <c r="A219" s="8"/>
      <c r="B219" s="10"/>
      <c r="C219" s="8"/>
      <c r="D219" s="8"/>
      <c r="E219" s="8"/>
      <c r="F219" s="8"/>
      <c r="G219" s="8"/>
      <c r="H219" s="13"/>
      <c r="I219" s="13"/>
      <c r="J219" s="8"/>
      <c r="K219" s="8"/>
      <c r="L219" s="8"/>
      <c r="M219" s="8"/>
      <c r="N219" s="14" t="str">
        <f t="shared" si="9"/>
        <v/>
      </c>
      <c r="O219" s="14" t="str">
        <f t="shared" si="10"/>
        <v/>
      </c>
      <c r="P219" s="14" t="str">
        <f>IF(A219="","",Lists!$K$2)</f>
        <v/>
      </c>
      <c r="Q219" s="13"/>
      <c r="R219" s="13"/>
      <c r="S219" s="13"/>
      <c r="T219" s="9" t="str">
        <f t="shared" si="11"/>
        <v/>
      </c>
      <c r="U219" s="8"/>
      <c r="V219" s="8"/>
      <c r="W219" s="10"/>
      <c r="X219" s="8"/>
    </row>
    <row r="220" spans="1:24">
      <c r="A220" s="8"/>
      <c r="B220" s="10"/>
      <c r="C220" s="8"/>
      <c r="D220" s="8"/>
      <c r="E220" s="8"/>
      <c r="F220" s="8"/>
      <c r="G220" s="8"/>
      <c r="H220" s="13"/>
      <c r="I220" s="13"/>
      <c r="J220" s="8"/>
      <c r="K220" s="8"/>
      <c r="L220" s="8"/>
      <c r="M220" s="8"/>
      <c r="N220" s="14" t="str">
        <f t="shared" si="9"/>
        <v/>
      </c>
      <c r="O220" s="14" t="str">
        <f t="shared" si="10"/>
        <v/>
      </c>
      <c r="P220" s="14" t="str">
        <f>IF(A220="","",Lists!$K$2)</f>
        <v/>
      </c>
      <c r="Q220" s="13"/>
      <c r="R220" s="13"/>
      <c r="S220" s="13"/>
      <c r="T220" s="9" t="str">
        <f t="shared" si="11"/>
        <v/>
      </c>
      <c r="U220" s="8"/>
      <c r="V220" s="8"/>
      <c r="W220" s="10"/>
      <c r="X220" s="8"/>
    </row>
    <row r="221" spans="1:24">
      <c r="A221" s="8"/>
      <c r="B221" s="10"/>
      <c r="C221" s="8"/>
      <c r="D221" s="8"/>
      <c r="E221" s="8"/>
      <c r="F221" s="8"/>
      <c r="G221" s="8"/>
      <c r="H221" s="13"/>
      <c r="I221" s="13"/>
      <c r="J221" s="8"/>
      <c r="K221" s="8"/>
      <c r="L221" s="8"/>
      <c r="M221" s="8"/>
      <c r="N221" s="14" t="str">
        <f t="shared" si="9"/>
        <v/>
      </c>
      <c r="O221" s="14" t="str">
        <f t="shared" si="10"/>
        <v/>
      </c>
      <c r="P221" s="14" t="str">
        <f>IF(A221="","",Lists!$K$2)</f>
        <v/>
      </c>
      <c r="Q221" s="13"/>
      <c r="R221" s="13"/>
      <c r="S221" s="13"/>
      <c r="T221" s="9" t="str">
        <f t="shared" si="11"/>
        <v/>
      </c>
      <c r="U221" s="8"/>
      <c r="V221" s="8"/>
      <c r="W221" s="10"/>
      <c r="X221" s="8"/>
    </row>
    <row r="222" spans="1:24">
      <c r="A222" s="8"/>
      <c r="B222" s="10"/>
      <c r="C222" s="8"/>
      <c r="D222" s="8"/>
      <c r="E222" s="8"/>
      <c r="F222" s="8"/>
      <c r="G222" s="8"/>
      <c r="H222" s="13"/>
      <c r="I222" s="13"/>
      <c r="J222" s="8"/>
      <c r="K222" s="8"/>
      <c r="L222" s="8"/>
      <c r="M222" s="8"/>
      <c r="N222" s="14" t="str">
        <f t="shared" si="9"/>
        <v/>
      </c>
      <c r="O222" s="14" t="str">
        <f t="shared" si="10"/>
        <v/>
      </c>
      <c r="P222" s="14" t="str">
        <f>IF(A222="","",Lists!$K$2)</f>
        <v/>
      </c>
      <c r="Q222" s="13"/>
      <c r="R222" s="13"/>
      <c r="S222" s="13"/>
      <c r="T222" s="9" t="str">
        <f t="shared" si="11"/>
        <v/>
      </c>
      <c r="U222" s="8"/>
      <c r="V222" s="8"/>
      <c r="W222" s="10"/>
      <c r="X222" s="8"/>
    </row>
    <row r="223" spans="1:24">
      <c r="A223" s="8"/>
      <c r="B223" s="10"/>
      <c r="C223" s="8"/>
      <c r="D223" s="8"/>
      <c r="E223" s="8"/>
      <c r="F223" s="8"/>
      <c r="G223" s="8"/>
      <c r="H223" s="13"/>
      <c r="I223" s="13"/>
      <c r="J223" s="8"/>
      <c r="K223" s="8"/>
      <c r="L223" s="8"/>
      <c r="M223" s="8"/>
      <c r="N223" s="14" t="str">
        <f t="shared" si="9"/>
        <v/>
      </c>
      <c r="O223" s="14" t="str">
        <f t="shared" si="10"/>
        <v/>
      </c>
      <c r="P223" s="14" t="str">
        <f>IF(A223="","",Lists!$K$2)</f>
        <v/>
      </c>
      <c r="Q223" s="13"/>
      <c r="R223" s="13"/>
      <c r="S223" s="13"/>
      <c r="T223" s="9" t="str">
        <f t="shared" si="11"/>
        <v/>
      </c>
      <c r="U223" s="8"/>
      <c r="V223" s="8"/>
      <c r="W223" s="10"/>
      <c r="X223" s="8"/>
    </row>
    <row r="224" spans="1:24">
      <c r="A224" s="8"/>
      <c r="B224" s="10"/>
      <c r="C224" s="8"/>
      <c r="D224" s="8"/>
      <c r="E224" s="8"/>
      <c r="F224" s="8"/>
      <c r="G224" s="8"/>
      <c r="H224" s="13"/>
      <c r="I224" s="13"/>
      <c r="J224" s="8"/>
      <c r="K224" s="8"/>
      <c r="L224" s="8"/>
      <c r="M224" s="8"/>
      <c r="N224" s="14" t="str">
        <f t="shared" si="9"/>
        <v/>
      </c>
      <c r="O224" s="14" t="str">
        <f t="shared" si="10"/>
        <v/>
      </c>
      <c r="P224" s="14" t="str">
        <f>IF(A224="","",Lists!$K$2)</f>
        <v/>
      </c>
      <c r="Q224" s="13"/>
      <c r="R224" s="13"/>
      <c r="S224" s="13"/>
      <c r="T224" s="9" t="str">
        <f t="shared" si="11"/>
        <v/>
      </c>
      <c r="U224" s="8"/>
      <c r="V224" s="8"/>
      <c r="W224" s="10"/>
      <c r="X224" s="8"/>
    </row>
    <row r="225" spans="1:24">
      <c r="A225" s="8"/>
      <c r="B225" s="10"/>
      <c r="C225" s="8"/>
      <c r="D225" s="8"/>
      <c r="E225" s="8"/>
      <c r="F225" s="8"/>
      <c r="G225" s="8"/>
      <c r="H225" s="13"/>
      <c r="I225" s="13"/>
      <c r="J225" s="8"/>
      <c r="K225" s="8"/>
      <c r="L225" s="8"/>
      <c r="M225" s="8"/>
      <c r="N225" s="14" t="str">
        <f t="shared" si="9"/>
        <v/>
      </c>
      <c r="O225" s="14" t="str">
        <f t="shared" si="10"/>
        <v/>
      </c>
      <c r="P225" s="14" t="str">
        <f>IF(A225="","",Lists!$K$2)</f>
        <v/>
      </c>
      <c r="Q225" s="13"/>
      <c r="R225" s="13"/>
      <c r="S225" s="13"/>
      <c r="T225" s="9" t="str">
        <f t="shared" si="11"/>
        <v/>
      </c>
      <c r="U225" s="8"/>
      <c r="V225" s="8"/>
      <c r="W225" s="10"/>
      <c r="X225" s="8"/>
    </row>
    <row r="226" spans="1:24">
      <c r="A226" s="8"/>
      <c r="B226" s="10"/>
      <c r="C226" s="8"/>
      <c r="D226" s="8"/>
      <c r="E226" s="8"/>
      <c r="F226" s="8"/>
      <c r="G226" s="8"/>
      <c r="H226" s="13"/>
      <c r="I226" s="13"/>
      <c r="J226" s="8"/>
      <c r="K226" s="8"/>
      <c r="L226" s="8"/>
      <c r="M226" s="8"/>
      <c r="N226" s="14" t="str">
        <f t="shared" si="9"/>
        <v/>
      </c>
      <c r="O226" s="14" t="str">
        <f t="shared" si="10"/>
        <v/>
      </c>
      <c r="P226" s="14" t="str">
        <f>IF(A226="","",Lists!$K$2)</f>
        <v/>
      </c>
      <c r="Q226" s="13"/>
      <c r="R226" s="13"/>
      <c r="S226" s="13"/>
      <c r="T226" s="9" t="str">
        <f t="shared" si="11"/>
        <v/>
      </c>
      <c r="U226" s="8"/>
      <c r="V226" s="8"/>
      <c r="W226" s="10"/>
      <c r="X226" s="8"/>
    </row>
    <row r="227" spans="1:24">
      <c r="A227" s="8"/>
      <c r="B227" s="10"/>
      <c r="C227" s="8"/>
      <c r="D227" s="8"/>
      <c r="E227" s="8"/>
      <c r="F227" s="8"/>
      <c r="G227" s="8"/>
      <c r="H227" s="13"/>
      <c r="I227" s="13"/>
      <c r="J227" s="8"/>
      <c r="K227" s="8"/>
      <c r="L227" s="8"/>
      <c r="M227" s="8"/>
      <c r="N227" s="14" t="str">
        <f t="shared" si="9"/>
        <v/>
      </c>
      <c r="O227" s="14" t="str">
        <f t="shared" si="10"/>
        <v/>
      </c>
      <c r="P227" s="14" t="str">
        <f>IF(A227="","",Lists!$K$2)</f>
        <v/>
      </c>
      <c r="Q227" s="13"/>
      <c r="R227" s="13"/>
      <c r="S227" s="13"/>
      <c r="T227" s="9" t="str">
        <f t="shared" si="11"/>
        <v/>
      </c>
      <c r="U227" s="8"/>
      <c r="V227" s="8"/>
      <c r="W227" s="10"/>
      <c r="X227" s="8"/>
    </row>
    <row r="228" spans="1:24">
      <c r="A228" s="8"/>
      <c r="B228" s="10"/>
      <c r="C228" s="8"/>
      <c r="D228" s="8"/>
      <c r="E228" s="8"/>
      <c r="F228" s="8"/>
      <c r="G228" s="8"/>
      <c r="H228" s="13"/>
      <c r="I228" s="13"/>
      <c r="J228" s="8"/>
      <c r="K228" s="8"/>
      <c r="L228" s="8"/>
      <c r="M228" s="8"/>
      <c r="N228" s="14" t="str">
        <f t="shared" si="9"/>
        <v/>
      </c>
      <c r="O228" s="14" t="str">
        <f t="shared" si="10"/>
        <v/>
      </c>
      <c r="P228" s="14" t="str">
        <f>IF(A228="","",Lists!$K$2)</f>
        <v/>
      </c>
      <c r="Q228" s="13"/>
      <c r="R228" s="13"/>
      <c r="S228" s="13"/>
      <c r="T228" s="9" t="str">
        <f t="shared" si="11"/>
        <v/>
      </c>
      <c r="U228" s="8"/>
      <c r="V228" s="8"/>
      <c r="W228" s="10"/>
      <c r="X228" s="8"/>
    </row>
    <row r="229" spans="1:24">
      <c r="A229" s="8"/>
      <c r="B229" s="10"/>
      <c r="C229" s="8"/>
      <c r="D229" s="8"/>
      <c r="E229" s="8"/>
      <c r="F229" s="8"/>
      <c r="G229" s="8"/>
      <c r="H229" s="13"/>
      <c r="I229" s="13"/>
      <c r="J229" s="8"/>
      <c r="K229" s="8"/>
      <c r="L229" s="8"/>
      <c r="M229" s="8"/>
      <c r="N229" s="14" t="str">
        <f t="shared" si="9"/>
        <v/>
      </c>
      <c r="O229" s="14" t="str">
        <f t="shared" si="10"/>
        <v/>
      </c>
      <c r="P229" s="14" t="str">
        <f>IF(A229="","",Lists!$K$2)</f>
        <v/>
      </c>
      <c r="Q229" s="13"/>
      <c r="R229" s="13"/>
      <c r="S229" s="13"/>
      <c r="T229" s="9" t="str">
        <f t="shared" si="11"/>
        <v/>
      </c>
      <c r="U229" s="8"/>
      <c r="V229" s="8"/>
      <c r="W229" s="10"/>
      <c r="X229" s="8"/>
    </row>
    <row r="230" spans="1:24">
      <c r="A230" s="8"/>
      <c r="B230" s="10"/>
      <c r="C230" s="8"/>
      <c r="D230" s="8"/>
      <c r="E230" s="8"/>
      <c r="F230" s="8"/>
      <c r="G230" s="8"/>
      <c r="H230" s="13"/>
      <c r="I230" s="13"/>
      <c r="J230" s="8"/>
      <c r="K230" s="8"/>
      <c r="L230" s="8"/>
      <c r="M230" s="8"/>
      <c r="N230" s="14" t="str">
        <f t="shared" si="9"/>
        <v/>
      </c>
      <c r="O230" s="14" t="str">
        <f t="shared" si="10"/>
        <v/>
      </c>
      <c r="P230" s="14" t="str">
        <f>IF(A230="","",Lists!$K$2)</f>
        <v/>
      </c>
      <c r="Q230" s="13"/>
      <c r="R230" s="13"/>
      <c r="S230" s="13"/>
      <c r="T230" s="9" t="str">
        <f t="shared" si="11"/>
        <v/>
      </c>
      <c r="U230" s="8"/>
      <c r="V230" s="8"/>
      <c r="W230" s="10"/>
      <c r="X230" s="8"/>
    </row>
    <row r="231" spans="1:24">
      <c r="A231" s="8"/>
      <c r="B231" s="10"/>
      <c r="C231" s="8"/>
      <c r="D231" s="8"/>
      <c r="E231" s="8"/>
      <c r="F231" s="8"/>
      <c r="G231" s="8"/>
      <c r="H231" s="13"/>
      <c r="I231" s="13"/>
      <c r="J231" s="8"/>
      <c r="K231" s="8"/>
      <c r="L231" s="8"/>
      <c r="M231" s="8"/>
      <c r="N231" s="14" t="str">
        <f t="shared" si="9"/>
        <v/>
      </c>
      <c r="O231" s="14" t="str">
        <f t="shared" si="10"/>
        <v/>
      </c>
      <c r="P231" s="14" t="str">
        <f>IF(A231="","",Lists!$K$2)</f>
        <v/>
      </c>
      <c r="Q231" s="13"/>
      <c r="R231" s="13"/>
      <c r="S231" s="13"/>
      <c r="T231" s="9" t="str">
        <f t="shared" si="11"/>
        <v/>
      </c>
      <c r="U231" s="8"/>
      <c r="V231" s="8"/>
      <c r="W231" s="10"/>
      <c r="X231" s="8"/>
    </row>
    <row r="232" spans="1:24">
      <c r="A232" s="8"/>
      <c r="B232" s="10"/>
      <c r="C232" s="8"/>
      <c r="D232" s="8"/>
      <c r="E232" s="8"/>
      <c r="F232" s="8"/>
      <c r="G232" s="8"/>
      <c r="H232" s="13"/>
      <c r="I232" s="13"/>
      <c r="J232" s="8"/>
      <c r="K232" s="8"/>
      <c r="L232" s="8"/>
      <c r="M232" s="8"/>
      <c r="N232" s="14" t="str">
        <f t="shared" si="9"/>
        <v/>
      </c>
      <c r="O232" s="14" t="str">
        <f t="shared" si="10"/>
        <v/>
      </c>
      <c r="P232" s="14" t="str">
        <f>IF(A232="","",Lists!$K$2)</f>
        <v/>
      </c>
      <c r="Q232" s="13"/>
      <c r="R232" s="13"/>
      <c r="S232" s="13"/>
      <c r="T232" s="9" t="str">
        <f t="shared" si="11"/>
        <v/>
      </c>
      <c r="U232" s="8"/>
      <c r="V232" s="8"/>
      <c r="W232" s="10"/>
      <c r="X232" s="8"/>
    </row>
    <row r="233" spans="1:24">
      <c r="A233" s="8"/>
      <c r="B233" s="10"/>
      <c r="C233" s="8"/>
      <c r="D233" s="8"/>
      <c r="E233" s="8"/>
      <c r="F233" s="8"/>
      <c r="G233" s="8"/>
      <c r="H233" s="13"/>
      <c r="I233" s="13"/>
      <c r="J233" s="8"/>
      <c r="K233" s="8"/>
      <c r="L233" s="8"/>
      <c r="M233" s="8"/>
      <c r="N233" s="14" t="str">
        <f t="shared" si="9"/>
        <v/>
      </c>
      <c r="O233" s="14" t="str">
        <f t="shared" si="10"/>
        <v/>
      </c>
      <c r="P233" s="14" t="str">
        <f>IF(A233="","",Lists!$K$2)</f>
        <v/>
      </c>
      <c r="Q233" s="13"/>
      <c r="R233" s="13"/>
      <c r="S233" s="13"/>
      <c r="T233" s="9" t="str">
        <f t="shared" si="11"/>
        <v/>
      </c>
      <c r="U233" s="8"/>
      <c r="V233" s="8"/>
      <c r="W233" s="10"/>
      <c r="X233" s="8"/>
    </row>
    <row r="234" spans="1:24">
      <c r="A234" s="8"/>
      <c r="B234" s="10"/>
      <c r="C234" s="8"/>
      <c r="D234" s="8"/>
      <c r="E234" s="8"/>
      <c r="F234" s="8"/>
      <c r="G234" s="8"/>
      <c r="H234" s="13"/>
      <c r="I234" s="13"/>
      <c r="J234" s="8"/>
      <c r="K234" s="8"/>
      <c r="L234" s="8"/>
      <c r="M234" s="8"/>
      <c r="N234" s="14" t="str">
        <f t="shared" si="9"/>
        <v/>
      </c>
      <c r="O234" s="14" t="str">
        <f t="shared" si="10"/>
        <v/>
      </c>
      <c r="P234" s="14" t="str">
        <f>IF(A234="","",Lists!$K$2)</f>
        <v/>
      </c>
      <c r="Q234" s="13"/>
      <c r="R234" s="13"/>
      <c r="S234" s="13"/>
      <c r="T234" s="9" t="str">
        <f t="shared" si="11"/>
        <v/>
      </c>
      <c r="U234" s="8"/>
      <c r="V234" s="8"/>
      <c r="W234" s="10"/>
      <c r="X234" s="8"/>
    </row>
    <row r="235" spans="1:24">
      <c r="A235" s="8"/>
      <c r="B235" s="10"/>
      <c r="C235" s="8"/>
      <c r="D235" s="8"/>
      <c r="E235" s="8"/>
      <c r="F235" s="8"/>
      <c r="G235" s="8"/>
      <c r="H235" s="13"/>
      <c r="I235" s="13"/>
      <c r="J235" s="8"/>
      <c r="K235" s="8"/>
      <c r="L235" s="8"/>
      <c r="M235" s="8"/>
      <c r="N235" s="14" t="str">
        <f t="shared" si="9"/>
        <v/>
      </c>
      <c r="O235" s="14" t="str">
        <f t="shared" si="10"/>
        <v/>
      </c>
      <c r="P235" s="14" t="str">
        <f>IF(A235="","",Lists!$K$2)</f>
        <v/>
      </c>
      <c r="Q235" s="13"/>
      <c r="R235" s="13"/>
      <c r="S235" s="13"/>
      <c r="T235" s="9" t="str">
        <f t="shared" si="11"/>
        <v/>
      </c>
      <c r="U235" s="8"/>
      <c r="V235" s="8"/>
      <c r="W235" s="10"/>
      <c r="X235" s="8"/>
    </row>
    <row r="236" spans="1:24">
      <c r="A236" s="8"/>
      <c r="B236" s="10"/>
      <c r="C236" s="8"/>
      <c r="D236" s="8"/>
      <c r="E236" s="8"/>
      <c r="F236" s="8"/>
      <c r="G236" s="8"/>
      <c r="H236" s="13"/>
      <c r="I236" s="13"/>
      <c r="J236" s="8"/>
      <c r="K236" s="8"/>
      <c r="L236" s="8"/>
      <c r="M236" s="8"/>
      <c r="N236" s="14" t="str">
        <f t="shared" si="9"/>
        <v/>
      </c>
      <c r="O236" s="14" t="str">
        <f t="shared" si="10"/>
        <v/>
      </c>
      <c r="P236" s="14" t="str">
        <f>IF(A236="","",Lists!$K$2)</f>
        <v/>
      </c>
      <c r="Q236" s="13"/>
      <c r="R236" s="13"/>
      <c r="S236" s="13"/>
      <c r="T236" s="9" t="str">
        <f t="shared" si="11"/>
        <v/>
      </c>
      <c r="U236" s="8"/>
      <c r="V236" s="8"/>
      <c r="W236" s="10"/>
      <c r="X236" s="8"/>
    </row>
    <row r="237" spans="1:24">
      <c r="A237" s="8"/>
      <c r="B237" s="10"/>
      <c r="C237" s="8"/>
      <c r="D237" s="8"/>
      <c r="E237" s="8"/>
      <c r="F237" s="8"/>
      <c r="G237" s="8"/>
      <c r="H237" s="13"/>
      <c r="I237" s="13"/>
      <c r="J237" s="8"/>
      <c r="K237" s="8"/>
      <c r="L237" s="8"/>
      <c r="M237" s="8"/>
      <c r="N237" s="14" t="str">
        <f t="shared" si="9"/>
        <v/>
      </c>
      <c r="O237" s="14" t="str">
        <f t="shared" si="10"/>
        <v/>
      </c>
      <c r="P237" s="14" t="str">
        <f>IF(A237="","",Lists!$K$2)</f>
        <v/>
      </c>
      <c r="Q237" s="13"/>
      <c r="R237" s="13"/>
      <c r="S237" s="13"/>
      <c r="T237" s="9" t="str">
        <f t="shared" si="11"/>
        <v/>
      </c>
      <c r="U237" s="8"/>
      <c r="V237" s="8"/>
      <c r="W237" s="10"/>
      <c r="X237" s="8"/>
    </row>
    <row r="238" spans="1:24">
      <c r="A238" s="8"/>
      <c r="B238" s="10"/>
      <c r="C238" s="8"/>
      <c r="D238" s="8"/>
      <c r="E238" s="8"/>
      <c r="F238" s="8"/>
      <c r="G238" s="8"/>
      <c r="H238" s="13"/>
      <c r="I238" s="13"/>
      <c r="J238" s="8"/>
      <c r="K238" s="8"/>
      <c r="L238" s="8"/>
      <c r="M238" s="8"/>
      <c r="N238" s="14" t="str">
        <f t="shared" si="9"/>
        <v/>
      </c>
      <c r="O238" s="14" t="str">
        <f t="shared" si="10"/>
        <v/>
      </c>
      <c r="P238" s="14" t="str">
        <f>IF(A238="","",Lists!$K$2)</f>
        <v/>
      </c>
      <c r="Q238" s="13"/>
      <c r="R238" s="13"/>
      <c r="S238" s="13"/>
      <c r="T238" s="9" t="str">
        <f t="shared" si="11"/>
        <v/>
      </c>
      <c r="U238" s="8"/>
      <c r="V238" s="8"/>
      <c r="W238" s="10"/>
      <c r="X238" s="8"/>
    </row>
    <row r="239" spans="1:24">
      <c r="A239" s="8"/>
      <c r="B239" s="10"/>
      <c r="C239" s="8"/>
      <c r="D239" s="8"/>
      <c r="E239" s="8"/>
      <c r="F239" s="8"/>
      <c r="G239" s="8"/>
      <c r="H239" s="13"/>
      <c r="I239" s="13"/>
      <c r="J239" s="8"/>
      <c r="K239" s="8"/>
      <c r="L239" s="8"/>
      <c r="M239" s="8"/>
      <c r="N239" s="14" t="str">
        <f t="shared" si="9"/>
        <v/>
      </c>
      <c r="O239" s="14" t="str">
        <f t="shared" si="10"/>
        <v/>
      </c>
      <c r="P239" s="14" t="str">
        <f>IF(A239="","",Lists!$K$2)</f>
        <v/>
      </c>
      <c r="Q239" s="13"/>
      <c r="R239" s="13"/>
      <c r="S239" s="13"/>
      <c r="T239" s="9" t="str">
        <f t="shared" si="11"/>
        <v/>
      </c>
      <c r="U239" s="8"/>
      <c r="V239" s="8"/>
      <c r="W239" s="10"/>
      <c r="X239" s="8"/>
    </row>
    <row r="240" spans="1:24">
      <c r="A240" s="8"/>
      <c r="B240" s="10"/>
      <c r="C240" s="8"/>
      <c r="D240" s="8"/>
      <c r="E240" s="8"/>
      <c r="F240" s="8"/>
      <c r="G240" s="8"/>
      <c r="H240" s="13"/>
      <c r="I240" s="13"/>
      <c r="J240" s="8"/>
      <c r="K240" s="8"/>
      <c r="L240" s="8"/>
      <c r="M240" s="8"/>
      <c r="N240" s="14" t="str">
        <f t="shared" si="9"/>
        <v/>
      </c>
      <c r="O240" s="14" t="str">
        <f t="shared" si="10"/>
        <v/>
      </c>
      <c r="P240" s="14" t="str">
        <f>IF(A240="","",Lists!$K$2)</f>
        <v/>
      </c>
      <c r="Q240" s="13"/>
      <c r="R240" s="13"/>
      <c r="S240" s="13"/>
      <c r="T240" s="9" t="str">
        <f t="shared" si="11"/>
        <v/>
      </c>
      <c r="U240" s="8"/>
      <c r="V240" s="8"/>
      <c r="W240" s="10"/>
      <c r="X240" s="8"/>
    </row>
    <row r="241" spans="1:24">
      <c r="A241" s="8"/>
      <c r="B241" s="10"/>
      <c r="C241" s="8"/>
      <c r="D241" s="8"/>
      <c r="E241" s="8"/>
      <c r="F241" s="8"/>
      <c r="G241" s="8"/>
      <c r="H241" s="13"/>
      <c r="I241" s="13"/>
      <c r="J241" s="8"/>
      <c r="K241" s="8"/>
      <c r="L241" s="8"/>
      <c r="M241" s="8"/>
      <c r="N241" s="14" t="str">
        <f t="shared" si="9"/>
        <v/>
      </c>
      <c r="O241" s="14" t="str">
        <f t="shared" si="10"/>
        <v/>
      </c>
      <c r="P241" s="14" t="str">
        <f>IF(A241="","",Lists!$K$2)</f>
        <v/>
      </c>
      <c r="Q241" s="13"/>
      <c r="R241" s="13"/>
      <c r="S241" s="13"/>
      <c r="T241" s="9" t="str">
        <f t="shared" si="11"/>
        <v/>
      </c>
      <c r="U241" s="8"/>
      <c r="V241" s="8"/>
      <c r="W241" s="10"/>
      <c r="X241" s="8"/>
    </row>
    <row r="242" spans="1:24">
      <c r="A242" s="8"/>
      <c r="B242" s="10"/>
      <c r="C242" s="8"/>
      <c r="D242" s="8"/>
      <c r="E242" s="8"/>
      <c r="F242" s="8"/>
      <c r="G242" s="8"/>
      <c r="H242" s="13"/>
      <c r="I242" s="13"/>
      <c r="J242" s="8"/>
      <c r="K242" s="8"/>
      <c r="L242" s="8"/>
      <c r="M242" s="8"/>
      <c r="N242" s="14" t="str">
        <f t="shared" si="9"/>
        <v/>
      </c>
      <c r="O242" s="14" t="str">
        <f t="shared" si="10"/>
        <v/>
      </c>
      <c r="P242" s="14" t="str">
        <f>IF(A242="","",Lists!$K$2)</f>
        <v/>
      </c>
      <c r="Q242" s="13"/>
      <c r="R242" s="13"/>
      <c r="S242" s="13"/>
      <c r="T242" s="9" t="str">
        <f t="shared" si="11"/>
        <v/>
      </c>
      <c r="U242" s="8"/>
      <c r="V242" s="8"/>
      <c r="W242" s="10"/>
      <c r="X242" s="8"/>
    </row>
    <row r="243" spans="1:24">
      <c r="A243" s="8"/>
      <c r="B243" s="10"/>
      <c r="C243" s="8"/>
      <c r="D243" s="8"/>
      <c r="E243" s="8"/>
      <c r="F243" s="8"/>
      <c r="G243" s="8"/>
      <c r="H243" s="13"/>
      <c r="I243" s="13"/>
      <c r="J243" s="8"/>
      <c r="K243" s="8"/>
      <c r="L243" s="8"/>
      <c r="M243" s="8"/>
      <c r="N243" s="14" t="str">
        <f t="shared" si="9"/>
        <v/>
      </c>
      <c r="O243" s="14" t="str">
        <f t="shared" si="10"/>
        <v/>
      </c>
      <c r="P243" s="14" t="str">
        <f>IF(A243="","",Lists!$K$2)</f>
        <v/>
      </c>
      <c r="Q243" s="13"/>
      <c r="R243" s="13"/>
      <c r="S243" s="13"/>
      <c r="T243" s="9" t="str">
        <f t="shared" si="11"/>
        <v/>
      </c>
      <c r="U243" s="8"/>
      <c r="V243" s="8"/>
      <c r="W243" s="10"/>
      <c r="X243" s="8"/>
    </row>
    <row r="244" spans="1:24">
      <c r="A244" s="8"/>
      <c r="B244" s="10"/>
      <c r="C244" s="8"/>
      <c r="D244" s="8"/>
      <c r="E244" s="8"/>
      <c r="F244" s="8"/>
      <c r="G244" s="8"/>
      <c r="H244" s="13"/>
      <c r="I244" s="13"/>
      <c r="J244" s="8"/>
      <c r="K244" s="8"/>
      <c r="L244" s="8"/>
      <c r="M244" s="8"/>
      <c r="N244" s="14" t="str">
        <f t="shared" si="9"/>
        <v/>
      </c>
      <c r="O244" s="14" t="str">
        <f t="shared" si="10"/>
        <v/>
      </c>
      <c r="P244" s="14" t="str">
        <f>IF(A244="","",Lists!$K$2)</f>
        <v/>
      </c>
      <c r="Q244" s="13"/>
      <c r="R244" s="13"/>
      <c r="S244" s="13"/>
      <c r="T244" s="9" t="str">
        <f t="shared" si="11"/>
        <v/>
      </c>
      <c r="U244" s="8"/>
      <c r="V244" s="8"/>
      <c r="W244" s="10"/>
      <c r="X244" s="8"/>
    </row>
    <row r="245" spans="1:24">
      <c r="A245" s="8"/>
      <c r="B245" s="10"/>
      <c r="C245" s="8"/>
      <c r="D245" s="8"/>
      <c r="E245" s="8"/>
      <c r="F245" s="8"/>
      <c r="G245" s="8"/>
      <c r="H245" s="13"/>
      <c r="I245" s="13"/>
      <c r="J245" s="8"/>
      <c r="K245" s="8"/>
      <c r="L245" s="8"/>
      <c r="M245" s="8"/>
      <c r="N245" s="14" t="str">
        <f t="shared" si="9"/>
        <v/>
      </c>
      <c r="O245" s="14" t="str">
        <f t="shared" si="10"/>
        <v/>
      </c>
      <c r="P245" s="14" t="str">
        <f>IF(A245="","",Lists!$K$2)</f>
        <v/>
      </c>
      <c r="Q245" s="13"/>
      <c r="R245" s="13"/>
      <c r="S245" s="13"/>
      <c r="T245" s="9" t="str">
        <f t="shared" si="11"/>
        <v/>
      </c>
      <c r="U245" s="8"/>
      <c r="V245" s="8"/>
      <c r="W245" s="10"/>
      <c r="X245" s="8"/>
    </row>
    <row r="246" spans="1:24">
      <c r="A246" s="8"/>
      <c r="B246" s="10"/>
      <c r="C246" s="8"/>
      <c r="D246" s="8"/>
      <c r="E246" s="8"/>
      <c r="F246" s="8"/>
      <c r="G246" s="8"/>
      <c r="H246" s="13"/>
      <c r="I246" s="13"/>
      <c r="J246" s="8"/>
      <c r="K246" s="8"/>
      <c r="L246" s="8"/>
      <c r="M246" s="8"/>
      <c r="N246" s="14" t="str">
        <f t="shared" si="9"/>
        <v/>
      </c>
      <c r="O246" s="14" t="str">
        <f t="shared" si="10"/>
        <v/>
      </c>
      <c r="P246" s="14" t="str">
        <f>IF(A246="","",Lists!$K$2)</f>
        <v/>
      </c>
      <c r="Q246" s="13"/>
      <c r="R246" s="13"/>
      <c r="S246" s="13"/>
      <c r="T246" s="9" t="str">
        <f t="shared" si="11"/>
        <v/>
      </c>
      <c r="U246" s="8"/>
      <c r="V246" s="8"/>
      <c r="W246" s="10"/>
      <c r="X246" s="8"/>
    </row>
    <row r="247" spans="1:24">
      <c r="A247" s="8"/>
      <c r="B247" s="10"/>
      <c r="C247" s="8"/>
      <c r="D247" s="8"/>
      <c r="E247" s="8"/>
      <c r="F247" s="8"/>
      <c r="G247" s="8"/>
      <c r="H247" s="13"/>
      <c r="I247" s="13"/>
      <c r="J247" s="8"/>
      <c r="K247" s="8"/>
      <c r="L247" s="8"/>
      <c r="M247" s="8"/>
      <c r="N247" s="14" t="str">
        <f t="shared" si="9"/>
        <v/>
      </c>
      <c r="O247" s="14" t="str">
        <f t="shared" si="10"/>
        <v/>
      </c>
      <c r="P247" s="14" t="str">
        <f>IF(A247="","",Lists!$K$2)</f>
        <v/>
      </c>
      <c r="Q247" s="13"/>
      <c r="R247" s="13"/>
      <c r="S247" s="13"/>
      <c r="T247" s="9" t="str">
        <f t="shared" si="11"/>
        <v/>
      </c>
      <c r="U247" s="8"/>
      <c r="V247" s="8"/>
      <c r="W247" s="10"/>
      <c r="X247" s="8"/>
    </row>
    <row r="248" spans="1:24">
      <c r="A248" s="8"/>
      <c r="B248" s="10"/>
      <c r="C248" s="8"/>
      <c r="D248" s="8"/>
      <c r="E248" s="8"/>
      <c r="F248" s="8"/>
      <c r="G248" s="8"/>
      <c r="H248" s="13"/>
      <c r="I248" s="13"/>
      <c r="J248" s="8"/>
      <c r="K248" s="8"/>
      <c r="L248" s="8"/>
      <c r="M248" s="8"/>
      <c r="N248" s="14" t="str">
        <f t="shared" si="9"/>
        <v/>
      </c>
      <c r="O248" s="14" t="str">
        <f t="shared" si="10"/>
        <v/>
      </c>
      <c r="P248" s="14" t="str">
        <f>IF(A248="","",Lists!$K$2)</f>
        <v/>
      </c>
      <c r="Q248" s="13"/>
      <c r="R248" s="13"/>
      <c r="S248" s="13"/>
      <c r="T248" s="9" t="str">
        <f t="shared" si="11"/>
        <v/>
      </c>
      <c r="U248" s="8"/>
      <c r="V248" s="8"/>
      <c r="W248" s="10"/>
      <c r="X248" s="8"/>
    </row>
    <row r="249" spans="1:24">
      <c r="A249" s="8"/>
      <c r="B249" s="10"/>
      <c r="C249" s="8"/>
      <c r="D249" s="8"/>
      <c r="E249" s="8"/>
      <c r="F249" s="8"/>
      <c r="G249" s="8"/>
      <c r="H249" s="13"/>
      <c r="I249" s="13"/>
      <c r="J249" s="8"/>
      <c r="K249" s="8"/>
      <c r="L249" s="8"/>
      <c r="M249" s="8"/>
      <c r="N249" s="14" t="str">
        <f t="shared" si="9"/>
        <v/>
      </c>
      <c r="O249" s="14" t="str">
        <f t="shared" si="10"/>
        <v/>
      </c>
      <c r="P249" s="14" t="str">
        <f>IF(A249="","",Lists!$K$2)</f>
        <v/>
      </c>
      <c r="Q249" s="13"/>
      <c r="R249" s="13"/>
      <c r="S249" s="13"/>
      <c r="T249" s="9" t="str">
        <f t="shared" si="11"/>
        <v/>
      </c>
      <c r="U249" s="8"/>
      <c r="V249" s="8"/>
      <c r="W249" s="10"/>
      <c r="X249" s="8"/>
    </row>
    <row r="250" spans="1:24">
      <c r="A250" s="8"/>
      <c r="B250" s="10"/>
      <c r="C250" s="8"/>
      <c r="D250" s="8"/>
      <c r="E250" s="8"/>
      <c r="F250" s="8"/>
      <c r="G250" s="8"/>
      <c r="H250" s="13"/>
      <c r="I250" s="13"/>
      <c r="J250" s="8"/>
      <c r="K250" s="8"/>
      <c r="L250" s="8"/>
      <c r="M250" s="8"/>
      <c r="N250" s="14" t="str">
        <f t="shared" si="9"/>
        <v/>
      </c>
      <c r="O250" s="14" t="str">
        <f t="shared" si="10"/>
        <v/>
      </c>
      <c r="P250" s="14" t="str">
        <f>IF(A250="","",Lists!$K$2)</f>
        <v/>
      </c>
      <c r="Q250" s="13"/>
      <c r="R250" s="13"/>
      <c r="S250" s="13"/>
      <c r="T250" s="9" t="str">
        <f t="shared" si="11"/>
        <v/>
      </c>
      <c r="U250" s="8"/>
      <c r="V250" s="8"/>
      <c r="W250" s="10"/>
      <c r="X250" s="8"/>
    </row>
    <row r="251" spans="1:24">
      <c r="A251" s="8"/>
      <c r="B251" s="10"/>
      <c r="C251" s="8"/>
      <c r="D251" s="8"/>
      <c r="E251" s="8"/>
      <c r="F251" s="8"/>
      <c r="G251" s="8"/>
      <c r="H251" s="13"/>
      <c r="I251" s="13"/>
      <c r="J251" s="8"/>
      <c r="K251" s="8"/>
      <c r="L251" s="8"/>
      <c r="M251" s="8"/>
      <c r="N251" s="14" t="str">
        <f t="shared" si="9"/>
        <v/>
      </c>
      <c r="O251" s="14" t="str">
        <f t="shared" si="10"/>
        <v/>
      </c>
      <c r="P251" s="14" t="str">
        <f>IF(A251="","",Lists!$K$2)</f>
        <v/>
      </c>
      <c r="Q251" s="13"/>
      <c r="R251" s="13"/>
      <c r="S251" s="13"/>
      <c r="T251" s="9" t="str">
        <f t="shared" si="11"/>
        <v/>
      </c>
      <c r="U251" s="8"/>
      <c r="V251" s="8"/>
      <c r="W251" s="10"/>
      <c r="X251" s="8"/>
    </row>
    <row r="252" spans="1:24">
      <c r="A252" s="8"/>
      <c r="B252" s="10"/>
      <c r="C252" s="8"/>
      <c r="D252" s="8"/>
      <c r="E252" s="8"/>
      <c r="F252" s="8"/>
      <c r="G252" s="8"/>
      <c r="H252" s="13"/>
      <c r="I252" s="13"/>
      <c r="J252" s="8"/>
      <c r="K252" s="8"/>
      <c r="L252" s="8"/>
      <c r="M252" s="8"/>
      <c r="N252" s="14" t="str">
        <f t="shared" si="9"/>
        <v/>
      </c>
      <c r="O252" s="14" t="str">
        <f t="shared" si="10"/>
        <v/>
      </c>
      <c r="P252" s="14" t="str">
        <f>IF(A252="","",Lists!$K$2)</f>
        <v/>
      </c>
      <c r="Q252" s="13"/>
      <c r="R252" s="13"/>
      <c r="S252" s="13"/>
      <c r="T252" s="9" t="str">
        <f t="shared" si="11"/>
        <v/>
      </c>
      <c r="U252" s="8"/>
      <c r="V252" s="8"/>
      <c r="W252" s="10"/>
      <c r="X252" s="8"/>
    </row>
    <row r="253" spans="1:24">
      <c r="A253" s="8"/>
      <c r="B253" s="10"/>
      <c r="C253" s="8"/>
      <c r="D253" s="8"/>
      <c r="E253" s="8"/>
      <c r="F253" s="8"/>
      <c r="G253" s="8"/>
      <c r="H253" s="13"/>
      <c r="I253" s="13"/>
      <c r="J253" s="8"/>
      <c r="K253" s="8"/>
      <c r="L253" s="8"/>
      <c r="M253" s="8"/>
      <c r="N253" s="14" t="str">
        <f t="shared" si="9"/>
        <v/>
      </c>
      <c r="O253" s="14" t="str">
        <f t="shared" si="10"/>
        <v/>
      </c>
      <c r="P253" s="14" t="str">
        <f>IF(A253="","",Lists!$K$2)</f>
        <v/>
      </c>
      <c r="Q253" s="13"/>
      <c r="R253" s="13"/>
      <c r="S253" s="13"/>
      <c r="T253" s="9" t="str">
        <f t="shared" si="11"/>
        <v/>
      </c>
      <c r="U253" s="8"/>
      <c r="V253" s="8"/>
      <c r="W253" s="10"/>
      <c r="X253" s="8"/>
    </row>
    <row r="254" spans="1:24">
      <c r="A254" s="8"/>
      <c r="B254" s="10"/>
      <c r="C254" s="8"/>
      <c r="D254" s="8"/>
      <c r="E254" s="8"/>
      <c r="F254" s="8"/>
      <c r="G254" s="8"/>
      <c r="H254" s="13"/>
      <c r="I254" s="13"/>
      <c r="J254" s="8"/>
      <c r="K254" s="8"/>
      <c r="L254" s="8"/>
      <c r="M254" s="8"/>
      <c r="N254" s="14" t="str">
        <f t="shared" si="9"/>
        <v/>
      </c>
      <c r="O254" s="14" t="str">
        <f t="shared" si="10"/>
        <v/>
      </c>
      <c r="P254" s="14" t="str">
        <f>IF(A254="","",Lists!$K$2)</f>
        <v/>
      </c>
      <c r="Q254" s="13"/>
      <c r="R254" s="13"/>
      <c r="S254" s="13"/>
      <c r="T254" s="9" t="str">
        <f t="shared" si="11"/>
        <v/>
      </c>
      <c r="U254" s="8"/>
      <c r="V254" s="8"/>
      <c r="W254" s="10"/>
      <c r="X254" s="8"/>
    </row>
    <row r="255" spans="1:24">
      <c r="A255" s="8"/>
      <c r="B255" s="10"/>
      <c r="C255" s="8"/>
      <c r="D255" s="8"/>
      <c r="E255" s="8"/>
      <c r="F255" s="8"/>
      <c r="G255" s="8"/>
      <c r="H255" s="13"/>
      <c r="I255" s="13"/>
      <c r="J255" s="8"/>
      <c r="K255" s="8"/>
      <c r="L255" s="8"/>
      <c r="M255" s="8"/>
      <c r="N255" s="14" t="str">
        <f t="shared" si="9"/>
        <v/>
      </c>
      <c r="O255" s="14" t="str">
        <f t="shared" si="10"/>
        <v/>
      </c>
      <c r="P255" s="14" t="str">
        <f>IF(A255="","",Lists!$K$2)</f>
        <v/>
      </c>
      <c r="Q255" s="13"/>
      <c r="R255" s="13"/>
      <c r="S255" s="13"/>
      <c r="T255" s="9" t="str">
        <f t="shared" si="11"/>
        <v/>
      </c>
      <c r="U255" s="8"/>
      <c r="V255" s="8"/>
      <c r="W255" s="10"/>
      <c r="X255" s="8"/>
    </row>
    <row r="256" spans="1:24">
      <c r="A256" s="8"/>
      <c r="B256" s="10"/>
      <c r="C256" s="8"/>
      <c r="D256" s="8"/>
      <c r="E256" s="8"/>
      <c r="F256" s="8"/>
      <c r="G256" s="8"/>
      <c r="H256" s="13"/>
      <c r="I256" s="13"/>
      <c r="J256" s="8"/>
      <c r="K256" s="8"/>
      <c r="L256" s="8"/>
      <c r="M256" s="8"/>
      <c r="N256" s="14" t="str">
        <f t="shared" si="9"/>
        <v/>
      </c>
      <c r="O256" s="14" t="str">
        <f t="shared" si="10"/>
        <v/>
      </c>
      <c r="P256" s="14" t="str">
        <f>IF(A256="","",Lists!$K$2)</f>
        <v/>
      </c>
      <c r="Q256" s="13"/>
      <c r="R256" s="13"/>
      <c r="S256" s="13"/>
      <c r="T256" s="9" t="str">
        <f t="shared" si="11"/>
        <v/>
      </c>
      <c r="U256" s="8"/>
      <c r="V256" s="8"/>
      <c r="W256" s="10"/>
      <c r="X256" s="8"/>
    </row>
    <row r="257" spans="1:24">
      <c r="A257" s="8"/>
      <c r="B257" s="10"/>
      <c r="C257" s="8"/>
      <c r="D257" s="8"/>
      <c r="E257" s="8"/>
      <c r="F257" s="8"/>
      <c r="G257" s="8"/>
      <c r="H257" s="13"/>
      <c r="I257" s="13"/>
      <c r="J257" s="8"/>
      <c r="K257" s="8"/>
      <c r="L257" s="8"/>
      <c r="M257" s="8"/>
      <c r="N257" s="14" t="str">
        <f t="shared" si="9"/>
        <v/>
      </c>
      <c r="O257" s="14" t="str">
        <f t="shared" si="10"/>
        <v/>
      </c>
      <c r="P257" s="14" t="str">
        <f>IF(A257="","",Lists!$K$2)</f>
        <v/>
      </c>
      <c r="Q257" s="13"/>
      <c r="R257" s="13"/>
      <c r="S257" s="13"/>
      <c r="T257" s="9" t="str">
        <f t="shared" si="11"/>
        <v/>
      </c>
      <c r="U257" s="8"/>
      <c r="V257" s="8"/>
      <c r="W257" s="10"/>
      <c r="X257" s="8"/>
    </row>
    <row r="258" spans="1:24">
      <c r="A258" s="8"/>
      <c r="B258" s="10"/>
      <c r="C258" s="8"/>
      <c r="D258" s="8"/>
      <c r="E258" s="8"/>
      <c r="F258" s="8"/>
      <c r="G258" s="8"/>
      <c r="H258" s="13"/>
      <c r="I258" s="13"/>
      <c r="J258" s="8"/>
      <c r="K258" s="8"/>
      <c r="L258" s="8"/>
      <c r="M258" s="8"/>
      <c r="N258" s="14" t="str">
        <f t="shared" si="9"/>
        <v/>
      </c>
      <c r="O258" s="14" t="str">
        <f t="shared" si="10"/>
        <v/>
      </c>
      <c r="P258" s="14" t="str">
        <f>IF(A258="","",Lists!$K$2)</f>
        <v/>
      </c>
      <c r="Q258" s="13"/>
      <c r="R258" s="13"/>
      <c r="S258" s="13"/>
      <c r="T258" s="9" t="str">
        <f t="shared" si="11"/>
        <v/>
      </c>
      <c r="U258" s="8"/>
      <c r="V258" s="8"/>
      <c r="W258" s="10"/>
      <c r="X258" s="8"/>
    </row>
    <row r="259" spans="1:24">
      <c r="A259" s="8"/>
      <c r="B259" s="10"/>
      <c r="C259" s="8"/>
      <c r="D259" s="8"/>
      <c r="E259" s="8"/>
      <c r="F259" s="8"/>
      <c r="G259" s="8"/>
      <c r="H259" s="13"/>
      <c r="I259" s="13"/>
      <c r="J259" s="8"/>
      <c r="K259" s="8"/>
      <c r="L259" s="8"/>
      <c r="M259" s="8"/>
      <c r="N259" s="14" t="str">
        <f t="shared" si="9"/>
        <v/>
      </c>
      <c r="O259" s="14" t="str">
        <f t="shared" si="10"/>
        <v/>
      </c>
      <c r="P259" s="14" t="str">
        <f>IF(A259="","",Lists!$K$2)</f>
        <v/>
      </c>
      <c r="Q259" s="13"/>
      <c r="R259" s="13"/>
      <c r="S259" s="13"/>
      <c r="T259" s="9" t="str">
        <f t="shared" si="11"/>
        <v/>
      </c>
      <c r="U259" s="8"/>
      <c r="V259" s="8"/>
      <c r="W259" s="10"/>
      <c r="X259" s="8"/>
    </row>
    <row r="260" spans="1:24">
      <c r="A260" s="8"/>
      <c r="B260" s="10"/>
      <c r="C260" s="8"/>
      <c r="D260" s="8"/>
      <c r="E260" s="8"/>
      <c r="F260" s="8"/>
      <c r="G260" s="8"/>
      <c r="H260" s="13"/>
      <c r="I260" s="13"/>
      <c r="J260" s="8"/>
      <c r="K260" s="8"/>
      <c r="L260" s="8"/>
      <c r="M260" s="8"/>
      <c r="N260" s="14" t="str">
        <f t="shared" si="9"/>
        <v/>
      </c>
      <c r="O260" s="14" t="str">
        <f t="shared" si="10"/>
        <v/>
      </c>
      <c r="P260" s="14" t="str">
        <f>IF(A260="","",Lists!$K$2)</f>
        <v/>
      </c>
      <c r="Q260" s="13"/>
      <c r="R260" s="13"/>
      <c r="S260" s="13"/>
      <c r="T260" s="9" t="str">
        <f t="shared" si="11"/>
        <v/>
      </c>
      <c r="U260" s="8"/>
      <c r="V260" s="8"/>
      <c r="W260" s="10"/>
      <c r="X260" s="8"/>
    </row>
    <row r="261" spans="1:24">
      <c r="A261" s="8"/>
      <c r="B261" s="10"/>
      <c r="C261" s="8"/>
      <c r="D261" s="8"/>
      <c r="E261" s="8"/>
      <c r="F261" s="8"/>
      <c r="G261" s="8"/>
      <c r="H261" s="13"/>
      <c r="I261" s="13"/>
      <c r="J261" s="8"/>
      <c r="K261" s="8"/>
      <c r="L261" s="8"/>
      <c r="M261" s="8"/>
      <c r="N261" s="14" t="str">
        <f t="shared" ref="N261:N324" si="12">IF(A261="","",J261+2*K261+3*L261+4*M261)</f>
        <v/>
      </c>
      <c r="O261" s="14" t="str">
        <f t="shared" ref="O261:O324" si="13">IF(OR(A261="",H261=0,I261=0),"",N261*3600/(H261*I261))</f>
        <v/>
      </c>
      <c r="P261" s="14" t="str">
        <f>IF(A261="","",Lists!$K$2)</f>
        <v/>
      </c>
      <c r="Q261" s="13"/>
      <c r="R261" s="13"/>
      <c r="S261" s="13"/>
      <c r="T261" s="9" t="str">
        <f t="shared" ref="T261:T304" si="14">IF(A261="","",IF(O261&lt;=P261,"Passed","Failed"))</f>
        <v/>
      </c>
      <c r="U261" s="8"/>
      <c r="V261" s="8"/>
      <c r="W261" s="10"/>
      <c r="X261" s="8"/>
    </row>
    <row r="262" spans="1:24">
      <c r="A262" s="8"/>
      <c r="B262" s="10"/>
      <c r="C262" s="8"/>
      <c r="D262" s="8"/>
      <c r="E262" s="8"/>
      <c r="F262" s="8"/>
      <c r="G262" s="8"/>
      <c r="H262" s="13"/>
      <c r="I262" s="13"/>
      <c r="J262" s="8"/>
      <c r="K262" s="8"/>
      <c r="L262" s="8"/>
      <c r="M262" s="8"/>
      <c r="N262" s="14" t="str">
        <f t="shared" si="12"/>
        <v/>
      </c>
      <c r="O262" s="14" t="str">
        <f t="shared" si="13"/>
        <v/>
      </c>
      <c r="P262" s="14" t="str">
        <f>IF(A262="","",Lists!$K$2)</f>
        <v/>
      </c>
      <c r="Q262" s="13"/>
      <c r="R262" s="13"/>
      <c r="S262" s="13"/>
      <c r="T262" s="9" t="str">
        <f t="shared" si="14"/>
        <v/>
      </c>
      <c r="U262" s="8"/>
      <c r="V262" s="8"/>
      <c r="W262" s="10"/>
      <c r="X262" s="8"/>
    </row>
    <row r="263" spans="1:24">
      <c r="A263" s="8"/>
      <c r="B263" s="10"/>
      <c r="C263" s="8"/>
      <c r="D263" s="8"/>
      <c r="E263" s="8"/>
      <c r="F263" s="8"/>
      <c r="G263" s="8"/>
      <c r="H263" s="13"/>
      <c r="I263" s="13"/>
      <c r="J263" s="8"/>
      <c r="K263" s="8"/>
      <c r="L263" s="8"/>
      <c r="M263" s="8"/>
      <c r="N263" s="14" t="str">
        <f t="shared" si="12"/>
        <v/>
      </c>
      <c r="O263" s="14" t="str">
        <f t="shared" si="13"/>
        <v/>
      </c>
      <c r="P263" s="14" t="str">
        <f>IF(A263="","",Lists!$K$2)</f>
        <v/>
      </c>
      <c r="Q263" s="13"/>
      <c r="R263" s="13"/>
      <c r="S263" s="13"/>
      <c r="T263" s="9" t="str">
        <f t="shared" si="14"/>
        <v/>
      </c>
      <c r="U263" s="8"/>
      <c r="V263" s="8"/>
      <c r="W263" s="10"/>
      <c r="X263" s="8"/>
    </row>
    <row r="264" spans="1:24">
      <c r="A264" s="8"/>
      <c r="B264" s="10"/>
      <c r="C264" s="8"/>
      <c r="D264" s="8"/>
      <c r="E264" s="8"/>
      <c r="F264" s="8"/>
      <c r="G264" s="8"/>
      <c r="H264" s="13"/>
      <c r="I264" s="13"/>
      <c r="J264" s="8"/>
      <c r="K264" s="8"/>
      <c r="L264" s="8"/>
      <c r="M264" s="8"/>
      <c r="N264" s="14" t="str">
        <f t="shared" si="12"/>
        <v/>
      </c>
      <c r="O264" s="14" t="str">
        <f t="shared" si="13"/>
        <v/>
      </c>
      <c r="P264" s="14" t="str">
        <f>IF(A264="","",Lists!$K$2)</f>
        <v/>
      </c>
      <c r="Q264" s="13"/>
      <c r="R264" s="13"/>
      <c r="S264" s="13"/>
      <c r="T264" s="9" t="str">
        <f t="shared" si="14"/>
        <v/>
      </c>
      <c r="U264" s="8"/>
      <c r="V264" s="8"/>
      <c r="W264" s="10"/>
      <c r="X264" s="8"/>
    </row>
    <row r="265" spans="1:24">
      <c r="A265" s="8"/>
      <c r="B265" s="10"/>
      <c r="C265" s="8"/>
      <c r="D265" s="8"/>
      <c r="E265" s="8"/>
      <c r="F265" s="8"/>
      <c r="G265" s="8"/>
      <c r="H265" s="13"/>
      <c r="I265" s="13"/>
      <c r="J265" s="8"/>
      <c r="K265" s="8"/>
      <c r="L265" s="8"/>
      <c r="M265" s="8"/>
      <c r="N265" s="14" t="str">
        <f t="shared" si="12"/>
        <v/>
      </c>
      <c r="O265" s="14" t="str">
        <f t="shared" si="13"/>
        <v/>
      </c>
      <c r="P265" s="14" t="str">
        <f>IF(A265="","",Lists!$K$2)</f>
        <v/>
      </c>
      <c r="Q265" s="13"/>
      <c r="R265" s="13"/>
      <c r="S265" s="13"/>
      <c r="T265" s="9" t="str">
        <f t="shared" si="14"/>
        <v/>
      </c>
      <c r="U265" s="8"/>
      <c r="V265" s="8"/>
      <c r="W265" s="10"/>
      <c r="X265" s="8"/>
    </row>
    <row r="266" spans="1:24">
      <c r="A266" s="8"/>
      <c r="B266" s="10"/>
      <c r="C266" s="8"/>
      <c r="D266" s="8"/>
      <c r="E266" s="8"/>
      <c r="F266" s="8"/>
      <c r="G266" s="8"/>
      <c r="H266" s="13"/>
      <c r="I266" s="13"/>
      <c r="J266" s="8"/>
      <c r="K266" s="8"/>
      <c r="L266" s="8"/>
      <c r="M266" s="8"/>
      <c r="N266" s="14" t="str">
        <f t="shared" si="12"/>
        <v/>
      </c>
      <c r="O266" s="14" t="str">
        <f t="shared" si="13"/>
        <v/>
      </c>
      <c r="P266" s="14" t="str">
        <f>IF(A266="","",Lists!$K$2)</f>
        <v/>
      </c>
      <c r="Q266" s="13"/>
      <c r="R266" s="13"/>
      <c r="S266" s="13"/>
      <c r="T266" s="9" t="str">
        <f t="shared" si="14"/>
        <v/>
      </c>
      <c r="U266" s="8"/>
      <c r="V266" s="8"/>
      <c r="W266" s="10"/>
      <c r="X266" s="8"/>
    </row>
    <row r="267" spans="1:24">
      <c r="A267" s="8"/>
      <c r="B267" s="10"/>
      <c r="C267" s="8"/>
      <c r="D267" s="8"/>
      <c r="E267" s="8"/>
      <c r="F267" s="8"/>
      <c r="G267" s="8"/>
      <c r="H267" s="13"/>
      <c r="I267" s="13"/>
      <c r="J267" s="8"/>
      <c r="K267" s="8"/>
      <c r="L267" s="8"/>
      <c r="M267" s="8"/>
      <c r="N267" s="14" t="str">
        <f t="shared" si="12"/>
        <v/>
      </c>
      <c r="O267" s="14" t="str">
        <f t="shared" si="13"/>
        <v/>
      </c>
      <c r="P267" s="14" t="str">
        <f>IF(A267="","",Lists!$K$2)</f>
        <v/>
      </c>
      <c r="Q267" s="13"/>
      <c r="R267" s="13"/>
      <c r="S267" s="13"/>
      <c r="T267" s="9" t="str">
        <f t="shared" si="14"/>
        <v/>
      </c>
      <c r="U267" s="8"/>
      <c r="V267" s="8"/>
      <c r="W267" s="10"/>
      <c r="X267" s="8"/>
    </row>
    <row r="268" spans="1:24">
      <c r="A268" s="8"/>
      <c r="B268" s="10"/>
      <c r="C268" s="8"/>
      <c r="D268" s="8"/>
      <c r="E268" s="8"/>
      <c r="F268" s="8"/>
      <c r="G268" s="8"/>
      <c r="H268" s="13"/>
      <c r="I268" s="13"/>
      <c r="J268" s="8"/>
      <c r="K268" s="8"/>
      <c r="L268" s="8"/>
      <c r="M268" s="8"/>
      <c r="N268" s="14" t="str">
        <f t="shared" si="12"/>
        <v/>
      </c>
      <c r="O268" s="14" t="str">
        <f t="shared" si="13"/>
        <v/>
      </c>
      <c r="P268" s="14" t="str">
        <f>IF(A268="","",Lists!$K$2)</f>
        <v/>
      </c>
      <c r="Q268" s="13"/>
      <c r="R268" s="13"/>
      <c r="S268" s="13"/>
      <c r="T268" s="9" t="str">
        <f t="shared" si="14"/>
        <v/>
      </c>
      <c r="U268" s="8"/>
      <c r="V268" s="8"/>
      <c r="W268" s="10"/>
      <c r="X268" s="8"/>
    </row>
    <row r="269" spans="1:24">
      <c r="A269" s="8"/>
      <c r="B269" s="10"/>
      <c r="C269" s="8"/>
      <c r="D269" s="8"/>
      <c r="E269" s="8"/>
      <c r="F269" s="8"/>
      <c r="G269" s="8"/>
      <c r="H269" s="13"/>
      <c r="I269" s="13"/>
      <c r="J269" s="8"/>
      <c r="K269" s="8"/>
      <c r="L269" s="8"/>
      <c r="M269" s="8"/>
      <c r="N269" s="14" t="str">
        <f t="shared" si="12"/>
        <v/>
      </c>
      <c r="O269" s="14" t="str">
        <f t="shared" si="13"/>
        <v/>
      </c>
      <c r="P269" s="14" t="str">
        <f>IF(A269="","",Lists!$K$2)</f>
        <v/>
      </c>
      <c r="Q269" s="13"/>
      <c r="R269" s="13"/>
      <c r="S269" s="13"/>
      <c r="T269" s="9" t="str">
        <f t="shared" si="14"/>
        <v/>
      </c>
      <c r="U269" s="8"/>
      <c r="V269" s="8"/>
      <c r="W269" s="10"/>
      <c r="X269" s="8"/>
    </row>
    <row r="270" spans="1:24">
      <c r="A270" s="8"/>
      <c r="B270" s="10"/>
      <c r="C270" s="8"/>
      <c r="D270" s="8"/>
      <c r="E270" s="8"/>
      <c r="F270" s="8"/>
      <c r="G270" s="8"/>
      <c r="H270" s="13"/>
      <c r="I270" s="13"/>
      <c r="J270" s="8"/>
      <c r="K270" s="8"/>
      <c r="L270" s="8"/>
      <c r="M270" s="8"/>
      <c r="N270" s="14" t="str">
        <f t="shared" si="12"/>
        <v/>
      </c>
      <c r="O270" s="14" t="str">
        <f t="shared" si="13"/>
        <v/>
      </c>
      <c r="P270" s="14" t="str">
        <f>IF(A270="","",Lists!$K$2)</f>
        <v/>
      </c>
      <c r="Q270" s="13"/>
      <c r="R270" s="13"/>
      <c r="S270" s="13"/>
      <c r="T270" s="9" t="str">
        <f t="shared" si="14"/>
        <v/>
      </c>
      <c r="U270" s="8"/>
      <c r="V270" s="8"/>
      <c r="W270" s="10"/>
      <c r="X270" s="8"/>
    </row>
    <row r="271" spans="1:24">
      <c r="A271" s="8"/>
      <c r="B271" s="10"/>
      <c r="C271" s="8"/>
      <c r="D271" s="8"/>
      <c r="E271" s="8"/>
      <c r="F271" s="8"/>
      <c r="G271" s="8"/>
      <c r="H271" s="13"/>
      <c r="I271" s="13"/>
      <c r="J271" s="8"/>
      <c r="K271" s="8"/>
      <c r="L271" s="8"/>
      <c r="M271" s="8"/>
      <c r="N271" s="14" t="str">
        <f t="shared" si="12"/>
        <v/>
      </c>
      <c r="O271" s="14" t="str">
        <f t="shared" si="13"/>
        <v/>
      </c>
      <c r="P271" s="14" t="str">
        <f>IF(A271="","",Lists!$K$2)</f>
        <v/>
      </c>
      <c r="Q271" s="13"/>
      <c r="R271" s="13"/>
      <c r="S271" s="13"/>
      <c r="T271" s="9" t="str">
        <f t="shared" si="14"/>
        <v/>
      </c>
      <c r="U271" s="8"/>
      <c r="V271" s="8"/>
      <c r="W271" s="10"/>
      <c r="X271" s="8"/>
    </row>
    <row r="272" spans="1:24">
      <c r="A272" s="8"/>
      <c r="B272" s="10"/>
      <c r="C272" s="8"/>
      <c r="D272" s="8"/>
      <c r="E272" s="8"/>
      <c r="F272" s="8"/>
      <c r="G272" s="8"/>
      <c r="H272" s="13"/>
      <c r="I272" s="13"/>
      <c r="J272" s="8"/>
      <c r="K272" s="8"/>
      <c r="L272" s="8"/>
      <c r="M272" s="8"/>
      <c r="N272" s="14" t="str">
        <f t="shared" si="12"/>
        <v/>
      </c>
      <c r="O272" s="14" t="str">
        <f t="shared" si="13"/>
        <v/>
      </c>
      <c r="P272" s="14" t="str">
        <f>IF(A272="","",Lists!$K$2)</f>
        <v/>
      </c>
      <c r="Q272" s="13"/>
      <c r="R272" s="13"/>
      <c r="S272" s="13"/>
      <c r="T272" s="9" t="str">
        <f t="shared" si="14"/>
        <v/>
      </c>
      <c r="U272" s="8"/>
      <c r="V272" s="8"/>
      <c r="W272" s="10"/>
      <c r="X272" s="8"/>
    </row>
    <row r="273" spans="1:24">
      <c r="A273" s="8"/>
      <c r="B273" s="10"/>
      <c r="C273" s="8"/>
      <c r="D273" s="8"/>
      <c r="E273" s="8"/>
      <c r="F273" s="8"/>
      <c r="G273" s="8"/>
      <c r="H273" s="13"/>
      <c r="I273" s="13"/>
      <c r="J273" s="8"/>
      <c r="K273" s="8"/>
      <c r="L273" s="8"/>
      <c r="M273" s="8"/>
      <c r="N273" s="14" t="str">
        <f t="shared" si="12"/>
        <v/>
      </c>
      <c r="O273" s="14" t="str">
        <f t="shared" si="13"/>
        <v/>
      </c>
      <c r="P273" s="14" t="str">
        <f>IF(A273="","",Lists!$K$2)</f>
        <v/>
      </c>
      <c r="Q273" s="13"/>
      <c r="R273" s="13"/>
      <c r="S273" s="13"/>
      <c r="T273" s="9" t="str">
        <f t="shared" si="14"/>
        <v/>
      </c>
      <c r="U273" s="8"/>
      <c r="V273" s="8"/>
      <c r="W273" s="10"/>
      <c r="X273" s="8"/>
    </row>
    <row r="274" spans="1:24">
      <c r="A274" s="8"/>
      <c r="B274" s="10"/>
      <c r="C274" s="8"/>
      <c r="D274" s="8"/>
      <c r="E274" s="8"/>
      <c r="F274" s="8"/>
      <c r="G274" s="8"/>
      <c r="H274" s="13"/>
      <c r="I274" s="13"/>
      <c r="J274" s="8"/>
      <c r="K274" s="8"/>
      <c r="L274" s="8"/>
      <c r="M274" s="8"/>
      <c r="N274" s="14" t="str">
        <f t="shared" si="12"/>
        <v/>
      </c>
      <c r="O274" s="14" t="str">
        <f t="shared" si="13"/>
        <v/>
      </c>
      <c r="P274" s="14" t="str">
        <f>IF(A274="","",Lists!$K$2)</f>
        <v/>
      </c>
      <c r="Q274" s="13"/>
      <c r="R274" s="13"/>
      <c r="S274" s="13"/>
      <c r="T274" s="9" t="str">
        <f t="shared" si="14"/>
        <v/>
      </c>
      <c r="U274" s="8"/>
      <c r="V274" s="8"/>
      <c r="W274" s="10"/>
      <c r="X274" s="8"/>
    </row>
    <row r="275" spans="1:24">
      <c r="A275" s="8"/>
      <c r="B275" s="10"/>
      <c r="C275" s="8"/>
      <c r="D275" s="8"/>
      <c r="E275" s="8"/>
      <c r="F275" s="8"/>
      <c r="G275" s="8"/>
      <c r="H275" s="13"/>
      <c r="I275" s="13"/>
      <c r="J275" s="8"/>
      <c r="K275" s="8"/>
      <c r="L275" s="8"/>
      <c r="M275" s="8"/>
      <c r="N275" s="14" t="str">
        <f t="shared" si="12"/>
        <v/>
      </c>
      <c r="O275" s="14" t="str">
        <f t="shared" si="13"/>
        <v/>
      </c>
      <c r="P275" s="14" t="str">
        <f>IF(A275="","",Lists!$K$2)</f>
        <v/>
      </c>
      <c r="Q275" s="13"/>
      <c r="R275" s="13"/>
      <c r="S275" s="13"/>
      <c r="T275" s="9" t="str">
        <f t="shared" si="14"/>
        <v/>
      </c>
      <c r="U275" s="8"/>
      <c r="V275" s="8"/>
      <c r="W275" s="10"/>
      <c r="X275" s="8"/>
    </row>
    <row r="276" spans="1:24">
      <c r="A276" s="8"/>
      <c r="B276" s="10"/>
      <c r="C276" s="8"/>
      <c r="D276" s="8"/>
      <c r="E276" s="8"/>
      <c r="F276" s="8"/>
      <c r="G276" s="8"/>
      <c r="H276" s="13"/>
      <c r="I276" s="13"/>
      <c r="J276" s="8"/>
      <c r="K276" s="8"/>
      <c r="L276" s="8"/>
      <c r="M276" s="8"/>
      <c r="N276" s="14" t="str">
        <f t="shared" si="12"/>
        <v/>
      </c>
      <c r="O276" s="14" t="str">
        <f t="shared" si="13"/>
        <v/>
      </c>
      <c r="P276" s="14" t="str">
        <f>IF(A276="","",Lists!$K$2)</f>
        <v/>
      </c>
      <c r="Q276" s="13"/>
      <c r="R276" s="13"/>
      <c r="S276" s="13"/>
      <c r="T276" s="9" t="str">
        <f t="shared" si="14"/>
        <v/>
      </c>
      <c r="U276" s="8"/>
      <c r="V276" s="8"/>
      <c r="W276" s="10"/>
      <c r="X276" s="8"/>
    </row>
    <row r="277" spans="1:24">
      <c r="A277" s="8"/>
      <c r="B277" s="10"/>
      <c r="C277" s="8"/>
      <c r="D277" s="8"/>
      <c r="E277" s="8"/>
      <c r="F277" s="8"/>
      <c r="G277" s="8"/>
      <c r="H277" s="13"/>
      <c r="I277" s="13"/>
      <c r="J277" s="8"/>
      <c r="K277" s="8"/>
      <c r="L277" s="8"/>
      <c r="M277" s="8"/>
      <c r="N277" s="14" t="str">
        <f t="shared" si="12"/>
        <v/>
      </c>
      <c r="O277" s="14" t="str">
        <f t="shared" si="13"/>
        <v/>
      </c>
      <c r="P277" s="14" t="str">
        <f>IF(A277="","",Lists!$K$2)</f>
        <v/>
      </c>
      <c r="Q277" s="13"/>
      <c r="R277" s="13"/>
      <c r="S277" s="13"/>
      <c r="T277" s="9" t="str">
        <f t="shared" si="14"/>
        <v/>
      </c>
      <c r="U277" s="8"/>
      <c r="V277" s="8"/>
      <c r="W277" s="10"/>
      <c r="X277" s="8"/>
    </row>
    <row r="278" spans="1:24">
      <c r="A278" s="8"/>
      <c r="B278" s="10"/>
      <c r="C278" s="8"/>
      <c r="D278" s="8"/>
      <c r="E278" s="8"/>
      <c r="F278" s="8"/>
      <c r="G278" s="8"/>
      <c r="H278" s="13"/>
      <c r="I278" s="13"/>
      <c r="J278" s="8"/>
      <c r="K278" s="8"/>
      <c r="L278" s="8"/>
      <c r="M278" s="8"/>
      <c r="N278" s="14" t="str">
        <f t="shared" si="12"/>
        <v/>
      </c>
      <c r="O278" s="14" t="str">
        <f t="shared" si="13"/>
        <v/>
      </c>
      <c r="P278" s="14" t="str">
        <f>IF(A278="","",Lists!$K$2)</f>
        <v/>
      </c>
      <c r="Q278" s="13"/>
      <c r="R278" s="13"/>
      <c r="S278" s="13"/>
      <c r="T278" s="9" t="str">
        <f t="shared" si="14"/>
        <v/>
      </c>
      <c r="U278" s="8"/>
      <c r="V278" s="8"/>
      <c r="W278" s="10"/>
      <c r="X278" s="8"/>
    </row>
    <row r="279" spans="1:24">
      <c r="A279" s="8"/>
      <c r="B279" s="10"/>
      <c r="C279" s="8"/>
      <c r="D279" s="8"/>
      <c r="E279" s="8"/>
      <c r="F279" s="8"/>
      <c r="G279" s="8"/>
      <c r="H279" s="13"/>
      <c r="I279" s="13"/>
      <c r="J279" s="8"/>
      <c r="K279" s="8"/>
      <c r="L279" s="8"/>
      <c r="M279" s="8"/>
      <c r="N279" s="14" t="str">
        <f t="shared" si="12"/>
        <v/>
      </c>
      <c r="O279" s="14" t="str">
        <f t="shared" si="13"/>
        <v/>
      </c>
      <c r="P279" s="14" t="str">
        <f>IF(A279="","",Lists!$K$2)</f>
        <v/>
      </c>
      <c r="Q279" s="13"/>
      <c r="R279" s="13"/>
      <c r="S279" s="13"/>
      <c r="T279" s="9" t="str">
        <f t="shared" si="14"/>
        <v/>
      </c>
      <c r="U279" s="8"/>
      <c r="V279" s="8"/>
      <c r="W279" s="10"/>
      <c r="X279" s="8"/>
    </row>
    <row r="280" spans="1:24">
      <c r="A280" s="8"/>
      <c r="B280" s="10"/>
      <c r="C280" s="8"/>
      <c r="D280" s="8"/>
      <c r="E280" s="8"/>
      <c r="F280" s="8"/>
      <c r="G280" s="8"/>
      <c r="H280" s="13"/>
      <c r="I280" s="13"/>
      <c r="J280" s="8"/>
      <c r="K280" s="8"/>
      <c r="L280" s="8"/>
      <c r="M280" s="8"/>
      <c r="N280" s="14" t="str">
        <f t="shared" si="12"/>
        <v/>
      </c>
      <c r="O280" s="14" t="str">
        <f t="shared" si="13"/>
        <v/>
      </c>
      <c r="P280" s="14" t="str">
        <f>IF(A280="","",Lists!$K$2)</f>
        <v/>
      </c>
      <c r="Q280" s="13"/>
      <c r="R280" s="13"/>
      <c r="S280" s="13"/>
      <c r="T280" s="9" t="str">
        <f t="shared" si="14"/>
        <v/>
      </c>
      <c r="U280" s="8"/>
      <c r="V280" s="8"/>
      <c r="W280" s="10"/>
      <c r="X280" s="8"/>
    </row>
    <row r="281" spans="1:24">
      <c r="A281" s="8"/>
      <c r="B281" s="10"/>
      <c r="C281" s="8"/>
      <c r="D281" s="8"/>
      <c r="E281" s="8"/>
      <c r="F281" s="8"/>
      <c r="G281" s="8"/>
      <c r="H281" s="13"/>
      <c r="I281" s="13"/>
      <c r="J281" s="8"/>
      <c r="K281" s="8"/>
      <c r="L281" s="8"/>
      <c r="M281" s="8"/>
      <c r="N281" s="14" t="str">
        <f t="shared" si="12"/>
        <v/>
      </c>
      <c r="O281" s="14" t="str">
        <f t="shared" si="13"/>
        <v/>
      </c>
      <c r="P281" s="14" t="str">
        <f>IF(A281="","",Lists!$K$2)</f>
        <v/>
      </c>
      <c r="Q281" s="13"/>
      <c r="R281" s="13"/>
      <c r="S281" s="13"/>
      <c r="T281" s="9" t="str">
        <f t="shared" si="14"/>
        <v/>
      </c>
      <c r="U281" s="8"/>
      <c r="V281" s="8"/>
      <c r="W281" s="10"/>
      <c r="X281" s="8"/>
    </row>
    <row r="282" spans="1:24">
      <c r="A282" s="8"/>
      <c r="B282" s="10"/>
      <c r="C282" s="8"/>
      <c r="D282" s="8"/>
      <c r="E282" s="8"/>
      <c r="F282" s="8"/>
      <c r="G282" s="8"/>
      <c r="H282" s="13"/>
      <c r="I282" s="13"/>
      <c r="J282" s="8"/>
      <c r="K282" s="8"/>
      <c r="L282" s="8"/>
      <c r="M282" s="8"/>
      <c r="N282" s="14" t="str">
        <f t="shared" si="12"/>
        <v/>
      </c>
      <c r="O282" s="14" t="str">
        <f t="shared" si="13"/>
        <v/>
      </c>
      <c r="P282" s="14" t="str">
        <f>IF(A282="","",Lists!$K$2)</f>
        <v/>
      </c>
      <c r="Q282" s="13"/>
      <c r="R282" s="13"/>
      <c r="S282" s="13"/>
      <c r="T282" s="9" t="str">
        <f t="shared" si="14"/>
        <v/>
      </c>
      <c r="U282" s="8"/>
      <c r="V282" s="8"/>
      <c r="W282" s="10"/>
      <c r="X282" s="8"/>
    </row>
    <row r="283" spans="1:24">
      <c r="A283" s="8"/>
      <c r="B283" s="10"/>
      <c r="C283" s="8"/>
      <c r="D283" s="8"/>
      <c r="E283" s="8"/>
      <c r="F283" s="8"/>
      <c r="G283" s="8"/>
      <c r="H283" s="13"/>
      <c r="I283" s="13"/>
      <c r="J283" s="8"/>
      <c r="K283" s="8"/>
      <c r="L283" s="8"/>
      <c r="M283" s="8"/>
      <c r="N283" s="14" t="str">
        <f t="shared" si="12"/>
        <v/>
      </c>
      <c r="O283" s="14" t="str">
        <f t="shared" si="13"/>
        <v/>
      </c>
      <c r="P283" s="14" t="str">
        <f>IF(A283="","",Lists!$K$2)</f>
        <v/>
      </c>
      <c r="Q283" s="13"/>
      <c r="R283" s="13"/>
      <c r="S283" s="13"/>
      <c r="T283" s="9" t="str">
        <f t="shared" si="14"/>
        <v/>
      </c>
      <c r="U283" s="8"/>
      <c r="V283" s="8"/>
      <c r="W283" s="10"/>
      <c r="X283" s="8"/>
    </row>
    <row r="284" spans="1:24">
      <c r="A284" s="8"/>
      <c r="B284" s="10"/>
      <c r="C284" s="8"/>
      <c r="D284" s="8"/>
      <c r="E284" s="8"/>
      <c r="F284" s="8"/>
      <c r="G284" s="8"/>
      <c r="H284" s="13"/>
      <c r="I284" s="13"/>
      <c r="J284" s="8"/>
      <c r="K284" s="8"/>
      <c r="L284" s="8"/>
      <c r="M284" s="8"/>
      <c r="N284" s="14" t="str">
        <f t="shared" si="12"/>
        <v/>
      </c>
      <c r="O284" s="14" t="str">
        <f t="shared" si="13"/>
        <v/>
      </c>
      <c r="P284" s="14" t="str">
        <f>IF(A284="","",Lists!$K$2)</f>
        <v/>
      </c>
      <c r="Q284" s="13"/>
      <c r="R284" s="13"/>
      <c r="S284" s="13"/>
      <c r="T284" s="9" t="str">
        <f t="shared" si="14"/>
        <v/>
      </c>
      <c r="U284" s="8"/>
      <c r="V284" s="8"/>
      <c r="W284" s="10"/>
      <c r="X284" s="8"/>
    </row>
    <row r="285" spans="1:24">
      <c r="A285" s="8"/>
      <c r="B285" s="10"/>
      <c r="C285" s="8"/>
      <c r="D285" s="8"/>
      <c r="E285" s="8"/>
      <c r="F285" s="8"/>
      <c r="G285" s="8"/>
      <c r="H285" s="13"/>
      <c r="I285" s="13"/>
      <c r="J285" s="8"/>
      <c r="K285" s="8"/>
      <c r="L285" s="8"/>
      <c r="M285" s="8"/>
      <c r="N285" s="14" t="str">
        <f t="shared" si="12"/>
        <v/>
      </c>
      <c r="O285" s="14" t="str">
        <f t="shared" si="13"/>
        <v/>
      </c>
      <c r="P285" s="14" t="str">
        <f>IF(A285="","",Lists!$K$2)</f>
        <v/>
      </c>
      <c r="Q285" s="13"/>
      <c r="R285" s="13"/>
      <c r="S285" s="13"/>
      <c r="T285" s="9" t="str">
        <f t="shared" si="14"/>
        <v/>
      </c>
      <c r="U285" s="8"/>
      <c r="V285" s="8"/>
      <c r="W285" s="10"/>
      <c r="X285" s="8"/>
    </row>
    <row r="286" spans="1:24">
      <c r="A286" s="8"/>
      <c r="B286" s="10"/>
      <c r="C286" s="8"/>
      <c r="D286" s="8"/>
      <c r="E286" s="8"/>
      <c r="F286" s="8"/>
      <c r="G286" s="8"/>
      <c r="H286" s="13"/>
      <c r="I286" s="13"/>
      <c r="J286" s="8"/>
      <c r="K286" s="8"/>
      <c r="L286" s="8"/>
      <c r="M286" s="8"/>
      <c r="N286" s="14" t="str">
        <f t="shared" si="12"/>
        <v/>
      </c>
      <c r="O286" s="14" t="str">
        <f t="shared" si="13"/>
        <v/>
      </c>
      <c r="P286" s="14" t="str">
        <f>IF(A286="","",Lists!$K$2)</f>
        <v/>
      </c>
      <c r="Q286" s="13"/>
      <c r="R286" s="13"/>
      <c r="S286" s="13"/>
      <c r="T286" s="9" t="str">
        <f t="shared" si="14"/>
        <v/>
      </c>
      <c r="U286" s="8"/>
      <c r="V286" s="8"/>
      <c r="W286" s="10"/>
      <c r="X286" s="8"/>
    </row>
    <row r="287" spans="1:24">
      <c r="A287" s="8"/>
      <c r="B287" s="10"/>
      <c r="C287" s="8"/>
      <c r="D287" s="8"/>
      <c r="E287" s="8"/>
      <c r="F287" s="8"/>
      <c r="G287" s="8"/>
      <c r="H287" s="13"/>
      <c r="I287" s="13"/>
      <c r="J287" s="8"/>
      <c r="K287" s="8"/>
      <c r="L287" s="8"/>
      <c r="M287" s="8"/>
      <c r="N287" s="14" t="str">
        <f t="shared" si="12"/>
        <v/>
      </c>
      <c r="O287" s="14" t="str">
        <f t="shared" si="13"/>
        <v/>
      </c>
      <c r="P287" s="14" t="str">
        <f>IF(A287="","",Lists!$K$2)</f>
        <v/>
      </c>
      <c r="Q287" s="13"/>
      <c r="R287" s="13"/>
      <c r="S287" s="13"/>
      <c r="T287" s="9" t="str">
        <f t="shared" si="14"/>
        <v/>
      </c>
      <c r="U287" s="8"/>
      <c r="V287" s="8"/>
      <c r="W287" s="10"/>
      <c r="X287" s="8"/>
    </row>
    <row r="288" spans="1:24">
      <c r="A288" s="8"/>
      <c r="B288" s="10"/>
      <c r="C288" s="8"/>
      <c r="D288" s="8"/>
      <c r="E288" s="8"/>
      <c r="F288" s="8"/>
      <c r="G288" s="8"/>
      <c r="H288" s="13"/>
      <c r="I288" s="13"/>
      <c r="J288" s="8"/>
      <c r="K288" s="8"/>
      <c r="L288" s="8"/>
      <c r="M288" s="8"/>
      <c r="N288" s="14" t="str">
        <f t="shared" si="12"/>
        <v/>
      </c>
      <c r="O288" s="14" t="str">
        <f t="shared" si="13"/>
        <v/>
      </c>
      <c r="P288" s="14" t="str">
        <f>IF(A288="","",Lists!$K$2)</f>
        <v/>
      </c>
      <c r="Q288" s="13"/>
      <c r="R288" s="13"/>
      <c r="S288" s="13"/>
      <c r="T288" s="9" t="str">
        <f t="shared" si="14"/>
        <v/>
      </c>
      <c r="U288" s="8"/>
      <c r="V288" s="8"/>
      <c r="W288" s="10"/>
      <c r="X288" s="8"/>
    </row>
    <row r="289" spans="1:24">
      <c r="A289" s="8"/>
      <c r="B289" s="10"/>
      <c r="C289" s="8"/>
      <c r="D289" s="8"/>
      <c r="E289" s="8"/>
      <c r="F289" s="8"/>
      <c r="G289" s="8"/>
      <c r="H289" s="13"/>
      <c r="I289" s="13"/>
      <c r="J289" s="8"/>
      <c r="K289" s="8"/>
      <c r="L289" s="8"/>
      <c r="M289" s="8"/>
      <c r="N289" s="14" t="str">
        <f t="shared" si="12"/>
        <v/>
      </c>
      <c r="O289" s="14" t="str">
        <f t="shared" si="13"/>
        <v/>
      </c>
      <c r="P289" s="14" t="str">
        <f>IF(A289="","",Lists!$K$2)</f>
        <v/>
      </c>
      <c r="Q289" s="13"/>
      <c r="R289" s="13"/>
      <c r="S289" s="13"/>
      <c r="T289" s="9" t="str">
        <f t="shared" si="14"/>
        <v/>
      </c>
      <c r="U289" s="8"/>
      <c r="V289" s="8"/>
      <c r="W289" s="10"/>
      <c r="X289" s="8"/>
    </row>
    <row r="290" spans="1:24">
      <c r="A290" s="8"/>
      <c r="B290" s="10"/>
      <c r="C290" s="8"/>
      <c r="D290" s="8"/>
      <c r="E290" s="8"/>
      <c r="F290" s="8"/>
      <c r="G290" s="8"/>
      <c r="H290" s="13"/>
      <c r="I290" s="13"/>
      <c r="J290" s="8"/>
      <c r="K290" s="8"/>
      <c r="L290" s="8"/>
      <c r="M290" s="8"/>
      <c r="N290" s="14" t="str">
        <f t="shared" si="12"/>
        <v/>
      </c>
      <c r="O290" s="14" t="str">
        <f t="shared" si="13"/>
        <v/>
      </c>
      <c r="P290" s="14" t="str">
        <f>IF(A290="","",Lists!$K$2)</f>
        <v/>
      </c>
      <c r="Q290" s="13"/>
      <c r="R290" s="13"/>
      <c r="S290" s="13"/>
      <c r="T290" s="9" t="str">
        <f t="shared" si="14"/>
        <v/>
      </c>
      <c r="U290" s="8"/>
      <c r="V290" s="8"/>
      <c r="W290" s="10"/>
      <c r="X290" s="8"/>
    </row>
    <row r="291" spans="1:24">
      <c r="A291" s="8"/>
      <c r="B291" s="10"/>
      <c r="C291" s="8"/>
      <c r="D291" s="8"/>
      <c r="E291" s="8"/>
      <c r="F291" s="8"/>
      <c r="G291" s="8"/>
      <c r="H291" s="13"/>
      <c r="I291" s="13"/>
      <c r="J291" s="8"/>
      <c r="K291" s="8"/>
      <c r="L291" s="8"/>
      <c r="M291" s="8"/>
      <c r="N291" s="14" t="str">
        <f t="shared" si="12"/>
        <v/>
      </c>
      <c r="O291" s="14" t="str">
        <f t="shared" si="13"/>
        <v/>
      </c>
      <c r="P291" s="14" t="str">
        <f>IF(A291="","",Lists!$K$2)</f>
        <v/>
      </c>
      <c r="Q291" s="13"/>
      <c r="R291" s="13"/>
      <c r="S291" s="13"/>
      <c r="T291" s="9" t="str">
        <f t="shared" si="14"/>
        <v/>
      </c>
      <c r="U291" s="8"/>
      <c r="V291" s="8"/>
      <c r="W291" s="10"/>
      <c r="X291" s="8"/>
    </row>
    <row r="292" spans="1:24">
      <c r="A292" s="8"/>
      <c r="B292" s="10"/>
      <c r="C292" s="8"/>
      <c r="D292" s="8"/>
      <c r="E292" s="8"/>
      <c r="F292" s="8"/>
      <c r="G292" s="8"/>
      <c r="H292" s="13"/>
      <c r="I292" s="13"/>
      <c r="J292" s="8"/>
      <c r="K292" s="8"/>
      <c r="L292" s="8"/>
      <c r="M292" s="8"/>
      <c r="N292" s="14" t="str">
        <f t="shared" si="12"/>
        <v/>
      </c>
      <c r="O292" s="14" t="str">
        <f t="shared" si="13"/>
        <v/>
      </c>
      <c r="P292" s="14" t="str">
        <f>IF(A292="","",Lists!$K$2)</f>
        <v/>
      </c>
      <c r="Q292" s="13"/>
      <c r="R292" s="13"/>
      <c r="S292" s="13"/>
      <c r="T292" s="9" t="str">
        <f t="shared" si="14"/>
        <v/>
      </c>
      <c r="U292" s="8"/>
      <c r="V292" s="8"/>
      <c r="W292" s="10"/>
      <c r="X292" s="8"/>
    </row>
    <row r="293" spans="1:24">
      <c r="A293" s="8"/>
      <c r="B293" s="10"/>
      <c r="C293" s="8"/>
      <c r="D293" s="8"/>
      <c r="E293" s="8"/>
      <c r="F293" s="8"/>
      <c r="G293" s="8"/>
      <c r="H293" s="13"/>
      <c r="I293" s="13"/>
      <c r="J293" s="8"/>
      <c r="K293" s="8"/>
      <c r="L293" s="8"/>
      <c r="M293" s="8"/>
      <c r="N293" s="14" t="str">
        <f t="shared" si="12"/>
        <v/>
      </c>
      <c r="O293" s="14" t="str">
        <f t="shared" si="13"/>
        <v/>
      </c>
      <c r="P293" s="14" t="str">
        <f>IF(A293="","",Lists!$K$2)</f>
        <v/>
      </c>
      <c r="Q293" s="13"/>
      <c r="R293" s="13"/>
      <c r="S293" s="13"/>
      <c r="T293" s="9" t="str">
        <f t="shared" si="14"/>
        <v/>
      </c>
      <c r="U293" s="8"/>
      <c r="V293" s="8"/>
      <c r="W293" s="10"/>
      <c r="X293" s="8"/>
    </row>
    <row r="294" spans="1:24">
      <c r="A294" s="8"/>
      <c r="B294" s="10"/>
      <c r="C294" s="8"/>
      <c r="D294" s="8"/>
      <c r="E294" s="8"/>
      <c r="F294" s="8"/>
      <c r="G294" s="8"/>
      <c r="H294" s="13"/>
      <c r="I294" s="13"/>
      <c r="J294" s="8"/>
      <c r="K294" s="8"/>
      <c r="L294" s="8"/>
      <c r="M294" s="8"/>
      <c r="N294" s="14" t="str">
        <f t="shared" si="12"/>
        <v/>
      </c>
      <c r="O294" s="14" t="str">
        <f t="shared" si="13"/>
        <v/>
      </c>
      <c r="P294" s="14" t="str">
        <f>IF(A294="","",Lists!$K$2)</f>
        <v/>
      </c>
      <c r="Q294" s="13"/>
      <c r="R294" s="13"/>
      <c r="S294" s="13"/>
      <c r="T294" s="9" t="str">
        <f t="shared" si="14"/>
        <v/>
      </c>
      <c r="U294" s="8"/>
      <c r="V294" s="8"/>
      <c r="W294" s="10"/>
      <c r="X294" s="8"/>
    </row>
    <row r="295" spans="1:24">
      <c r="A295" s="8"/>
      <c r="B295" s="10"/>
      <c r="C295" s="8"/>
      <c r="D295" s="8"/>
      <c r="E295" s="8"/>
      <c r="F295" s="8"/>
      <c r="G295" s="8"/>
      <c r="H295" s="13"/>
      <c r="I295" s="13"/>
      <c r="J295" s="8"/>
      <c r="K295" s="8"/>
      <c r="L295" s="8"/>
      <c r="M295" s="8"/>
      <c r="N295" s="14" t="str">
        <f t="shared" si="12"/>
        <v/>
      </c>
      <c r="O295" s="14" t="str">
        <f t="shared" si="13"/>
        <v/>
      </c>
      <c r="P295" s="14" t="str">
        <f>IF(A295="","",Lists!$K$2)</f>
        <v/>
      </c>
      <c r="Q295" s="13"/>
      <c r="R295" s="13"/>
      <c r="S295" s="13"/>
      <c r="T295" s="9" t="str">
        <f t="shared" si="14"/>
        <v/>
      </c>
      <c r="U295" s="8"/>
      <c r="V295" s="8"/>
      <c r="W295" s="10"/>
      <c r="X295" s="8"/>
    </row>
    <row r="296" spans="1:24">
      <c r="A296" s="8"/>
      <c r="B296" s="10"/>
      <c r="C296" s="8"/>
      <c r="D296" s="8"/>
      <c r="E296" s="8"/>
      <c r="F296" s="8"/>
      <c r="G296" s="8"/>
      <c r="H296" s="13"/>
      <c r="I296" s="13"/>
      <c r="J296" s="8"/>
      <c r="K296" s="8"/>
      <c r="L296" s="8"/>
      <c r="M296" s="8"/>
      <c r="N296" s="14" t="str">
        <f t="shared" si="12"/>
        <v/>
      </c>
      <c r="O296" s="14" t="str">
        <f t="shared" si="13"/>
        <v/>
      </c>
      <c r="P296" s="14" t="str">
        <f>IF(A296="","",Lists!$K$2)</f>
        <v/>
      </c>
      <c r="Q296" s="13"/>
      <c r="R296" s="13"/>
      <c r="S296" s="13"/>
      <c r="T296" s="9" t="str">
        <f t="shared" si="14"/>
        <v/>
      </c>
      <c r="U296" s="8"/>
      <c r="V296" s="8"/>
      <c r="W296" s="10"/>
      <c r="X296" s="8"/>
    </row>
    <row r="297" spans="1:24">
      <c r="A297" s="8"/>
      <c r="B297" s="10"/>
      <c r="C297" s="8"/>
      <c r="D297" s="8"/>
      <c r="E297" s="8"/>
      <c r="F297" s="8"/>
      <c r="G297" s="8"/>
      <c r="H297" s="13"/>
      <c r="I297" s="13"/>
      <c r="J297" s="8"/>
      <c r="K297" s="8"/>
      <c r="L297" s="8"/>
      <c r="M297" s="8"/>
      <c r="N297" s="14" t="str">
        <f t="shared" si="12"/>
        <v/>
      </c>
      <c r="O297" s="14" t="str">
        <f t="shared" si="13"/>
        <v/>
      </c>
      <c r="P297" s="14" t="str">
        <f>IF(A297="","",Lists!$K$2)</f>
        <v/>
      </c>
      <c r="Q297" s="13"/>
      <c r="R297" s="13"/>
      <c r="S297" s="13"/>
      <c r="T297" s="9" t="str">
        <f t="shared" si="14"/>
        <v/>
      </c>
      <c r="U297" s="8"/>
      <c r="V297" s="8"/>
      <c r="W297" s="10"/>
      <c r="X297" s="8"/>
    </row>
    <row r="298" spans="1:24">
      <c r="A298" s="8"/>
      <c r="B298" s="10"/>
      <c r="C298" s="8"/>
      <c r="D298" s="8"/>
      <c r="E298" s="8"/>
      <c r="F298" s="8"/>
      <c r="G298" s="8"/>
      <c r="H298" s="13"/>
      <c r="I298" s="13"/>
      <c r="J298" s="8"/>
      <c r="K298" s="8"/>
      <c r="L298" s="8"/>
      <c r="M298" s="8"/>
      <c r="N298" s="14" t="str">
        <f t="shared" si="12"/>
        <v/>
      </c>
      <c r="O298" s="14" t="str">
        <f t="shared" si="13"/>
        <v/>
      </c>
      <c r="P298" s="14" t="str">
        <f>IF(A298="","",Lists!$K$2)</f>
        <v/>
      </c>
      <c r="Q298" s="13"/>
      <c r="R298" s="13"/>
      <c r="S298" s="13"/>
      <c r="T298" s="9" t="str">
        <f t="shared" si="14"/>
        <v/>
      </c>
      <c r="U298" s="8"/>
      <c r="V298" s="8"/>
      <c r="W298" s="10"/>
      <c r="X298" s="8"/>
    </row>
    <row r="299" spans="1:24">
      <c r="A299" s="8"/>
      <c r="B299" s="10"/>
      <c r="C299" s="8"/>
      <c r="D299" s="8"/>
      <c r="E299" s="8"/>
      <c r="F299" s="8"/>
      <c r="G299" s="8"/>
      <c r="H299" s="13"/>
      <c r="I299" s="13"/>
      <c r="J299" s="8"/>
      <c r="K299" s="8"/>
      <c r="L299" s="8"/>
      <c r="M299" s="8"/>
      <c r="N299" s="14" t="str">
        <f t="shared" si="12"/>
        <v/>
      </c>
      <c r="O299" s="14" t="str">
        <f t="shared" si="13"/>
        <v/>
      </c>
      <c r="P299" s="14" t="str">
        <f>IF(A299="","",Lists!$K$2)</f>
        <v/>
      </c>
      <c r="Q299" s="13"/>
      <c r="R299" s="13"/>
      <c r="S299" s="13"/>
      <c r="T299" s="9" t="str">
        <f t="shared" si="14"/>
        <v/>
      </c>
      <c r="U299" s="8"/>
      <c r="V299" s="8"/>
      <c r="W299" s="10"/>
      <c r="X299" s="8"/>
    </row>
    <row r="300" spans="1:24">
      <c r="A300" s="8"/>
      <c r="B300" s="10"/>
      <c r="C300" s="8"/>
      <c r="D300" s="8"/>
      <c r="E300" s="8"/>
      <c r="F300" s="8"/>
      <c r="G300" s="8"/>
      <c r="H300" s="13"/>
      <c r="I300" s="13"/>
      <c r="J300" s="8"/>
      <c r="K300" s="8"/>
      <c r="L300" s="8"/>
      <c r="M300" s="8"/>
      <c r="N300" s="14" t="str">
        <f t="shared" si="12"/>
        <v/>
      </c>
      <c r="O300" s="14" t="str">
        <f t="shared" si="13"/>
        <v/>
      </c>
      <c r="P300" s="14" t="str">
        <f>IF(A300="","",Lists!$K$2)</f>
        <v/>
      </c>
      <c r="Q300" s="13"/>
      <c r="R300" s="13"/>
      <c r="S300" s="13"/>
      <c r="T300" s="9" t="str">
        <f t="shared" si="14"/>
        <v/>
      </c>
      <c r="U300" s="8"/>
      <c r="V300" s="8"/>
      <c r="W300" s="10"/>
      <c r="X300" s="8"/>
    </row>
    <row r="301" spans="1:24">
      <c r="A301" s="8"/>
      <c r="B301" s="10"/>
      <c r="C301" s="8"/>
      <c r="D301" s="8"/>
      <c r="E301" s="8"/>
      <c r="F301" s="8"/>
      <c r="G301" s="8"/>
      <c r="H301" s="13"/>
      <c r="I301" s="13"/>
      <c r="J301" s="8"/>
      <c r="K301" s="8"/>
      <c r="L301" s="8"/>
      <c r="M301" s="8"/>
      <c r="N301" s="14" t="str">
        <f t="shared" si="12"/>
        <v/>
      </c>
      <c r="O301" s="14" t="str">
        <f t="shared" si="13"/>
        <v/>
      </c>
      <c r="P301" s="14" t="str">
        <f>IF(A301="","",Lists!$K$2)</f>
        <v/>
      </c>
      <c r="Q301" s="13"/>
      <c r="R301" s="13"/>
      <c r="S301" s="13"/>
      <c r="T301" s="9" t="str">
        <f t="shared" si="14"/>
        <v/>
      </c>
      <c r="U301" s="8"/>
      <c r="V301" s="8"/>
      <c r="W301" s="10"/>
      <c r="X301" s="8"/>
    </row>
    <row r="302" spans="1:24">
      <c r="A302" s="8"/>
      <c r="B302" s="10"/>
      <c r="C302" s="8"/>
      <c r="D302" s="8"/>
      <c r="E302" s="8"/>
      <c r="F302" s="8"/>
      <c r="G302" s="8"/>
      <c r="H302" s="13"/>
      <c r="I302" s="13"/>
      <c r="J302" s="8"/>
      <c r="K302" s="8"/>
      <c r="L302" s="8"/>
      <c r="M302" s="8"/>
      <c r="N302" s="14" t="str">
        <f t="shared" si="12"/>
        <v/>
      </c>
      <c r="O302" s="14" t="str">
        <f t="shared" si="13"/>
        <v/>
      </c>
      <c r="P302" s="14" t="str">
        <f>IF(A302="","",Lists!$K$2)</f>
        <v/>
      </c>
      <c r="Q302" s="13"/>
      <c r="R302" s="13"/>
      <c r="S302" s="13"/>
      <c r="T302" s="9" t="str">
        <f t="shared" si="14"/>
        <v/>
      </c>
      <c r="U302" s="8"/>
      <c r="V302" s="8"/>
      <c r="W302" s="10"/>
      <c r="X302" s="8"/>
    </row>
    <row r="303" spans="1:24">
      <c r="A303" s="8"/>
      <c r="B303" s="10"/>
      <c r="C303" s="8"/>
      <c r="D303" s="8"/>
      <c r="E303" s="8"/>
      <c r="F303" s="8"/>
      <c r="G303" s="8"/>
      <c r="H303" s="13"/>
      <c r="I303" s="13"/>
      <c r="J303" s="8"/>
      <c r="K303" s="8"/>
      <c r="L303" s="8"/>
      <c r="M303" s="8"/>
      <c r="N303" s="14" t="str">
        <f t="shared" si="12"/>
        <v/>
      </c>
      <c r="O303" s="14" t="str">
        <f t="shared" si="13"/>
        <v/>
      </c>
      <c r="P303" s="14" t="str">
        <f>IF(A303="","",Lists!$K$2)</f>
        <v/>
      </c>
      <c r="Q303" s="13"/>
      <c r="R303" s="13"/>
      <c r="S303" s="13"/>
      <c r="T303" s="9" t="str">
        <f t="shared" si="14"/>
        <v/>
      </c>
      <c r="U303" s="8"/>
      <c r="V303" s="8"/>
      <c r="W303" s="10"/>
      <c r="X303" s="8"/>
    </row>
    <row r="304" spans="1:24">
      <c r="A304" s="8"/>
      <c r="B304" s="10"/>
      <c r="C304" s="8"/>
      <c r="D304" s="8"/>
      <c r="E304" s="8"/>
      <c r="F304" s="8"/>
      <c r="G304" s="8"/>
      <c r="H304" s="13"/>
      <c r="I304" s="13"/>
      <c r="J304" s="8"/>
      <c r="K304" s="8"/>
      <c r="L304" s="8"/>
      <c r="M304" s="8"/>
      <c r="N304" s="14" t="str">
        <f t="shared" si="12"/>
        <v/>
      </c>
      <c r="O304" s="14" t="str">
        <f t="shared" si="13"/>
        <v/>
      </c>
      <c r="P304" s="14" t="str">
        <f>IF(A304="","",Lists!$K$2)</f>
        <v/>
      </c>
      <c r="Q304" s="13"/>
      <c r="R304" s="13"/>
      <c r="S304" s="13"/>
      <c r="T304" s="9" t="str">
        <f t="shared" si="14"/>
        <v/>
      </c>
      <c r="U304" s="8"/>
      <c r="V304" s="8"/>
      <c r="W304" s="10"/>
      <c r="X304" s="8"/>
    </row>
  </sheetData>
  <mergeCells count="2">
    <mergeCell ref="A1:X1"/>
    <mergeCell ref="A2:X2"/>
  </mergeCells>
  <conditionalFormatting sqref="A5:A304">
    <cfRule type="duplicateValues" dxfId="88" priority="9"/>
  </conditionalFormatting>
  <conditionalFormatting sqref="T5:T304">
    <cfRule type="containsText" dxfId="87" priority="1" operator="containsText" text="Approved"/>
    <cfRule type="containsText" dxfId="86" priority="4" operator="containsText" text="Failed"/>
    <cfRule type="containsText" dxfId="85" priority="7" operator="containsText" text="On Hold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304"/>
  <sheetViews>
    <sheetView showGridLines="0" workbookViewId="0">
      <selection sqref="A1:AF1"/>
    </sheetView>
  </sheetViews>
  <sheetFormatPr baseColWidth="10" defaultColWidth="8.83203125" defaultRowHeight="14"/>
  <cols>
    <col min="1" max="1" width="16" customWidth="1"/>
    <col min="2" max="2" width="13" customWidth="1"/>
    <col min="3" max="3" width="18" customWidth="1"/>
    <col min="4" max="5" width="14" customWidth="1"/>
    <col min="6" max="7" width="13" customWidth="1"/>
    <col min="8" max="8" width="17" customWidth="1"/>
    <col min="9" max="9" width="15" customWidth="1"/>
    <col min="10" max="10" width="13" customWidth="1"/>
    <col min="11" max="11" width="14" customWidth="1"/>
    <col min="12" max="13" width="13" customWidth="1"/>
    <col min="14" max="14" width="16" customWidth="1"/>
    <col min="15" max="16" width="14" customWidth="1"/>
    <col min="17" max="17" width="17" customWidth="1"/>
    <col min="18" max="19" width="14" customWidth="1"/>
    <col min="20" max="20" width="17" customWidth="1"/>
    <col min="21" max="23" width="12" customWidth="1"/>
    <col min="24" max="24" width="15" customWidth="1"/>
    <col min="25" max="25" width="18" customWidth="1"/>
    <col min="26" max="26" width="14" customWidth="1"/>
    <col min="27" max="27" width="16" customWidth="1"/>
    <col min="28" max="29" width="14" customWidth="1"/>
    <col min="30" max="30" width="20" customWidth="1"/>
    <col min="31" max="31" width="15" customWidth="1"/>
    <col min="32" max="32" width="24" customWidth="1"/>
  </cols>
  <sheetData>
    <row r="1" spans="1:32" ht="30" customHeight="1">
      <c r="A1" s="52" t="s">
        <v>217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4" spans="1:32" ht="44" customHeight="1">
      <c r="A4" s="6" t="s">
        <v>218</v>
      </c>
      <c r="B4" s="6" t="s">
        <v>156</v>
      </c>
      <c r="C4" s="6" t="s">
        <v>118</v>
      </c>
      <c r="D4" s="6" t="s">
        <v>44</v>
      </c>
      <c r="E4" s="6" t="s">
        <v>136</v>
      </c>
      <c r="F4" s="6" t="s">
        <v>46</v>
      </c>
      <c r="G4" s="6" t="s">
        <v>146</v>
      </c>
      <c r="H4" s="6" t="s">
        <v>219</v>
      </c>
      <c r="I4" s="6" t="s">
        <v>220</v>
      </c>
      <c r="J4" s="6" t="s">
        <v>221</v>
      </c>
      <c r="K4" s="6" t="s">
        <v>222</v>
      </c>
      <c r="L4" s="6" t="s">
        <v>223</v>
      </c>
      <c r="M4" s="6" t="s">
        <v>224</v>
      </c>
      <c r="N4" s="6" t="s">
        <v>225</v>
      </c>
      <c r="O4" s="6" t="s">
        <v>226</v>
      </c>
      <c r="P4" s="6" t="s">
        <v>227</v>
      </c>
      <c r="Q4" s="6" t="s">
        <v>148</v>
      </c>
      <c r="R4" s="6" t="s">
        <v>228</v>
      </c>
      <c r="S4" s="6" t="s">
        <v>229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230</v>
      </c>
      <c r="Y4" s="6" t="s">
        <v>154</v>
      </c>
      <c r="Z4" s="6" t="s">
        <v>155</v>
      </c>
      <c r="AA4" s="6" t="s">
        <v>158</v>
      </c>
      <c r="AB4" s="6" t="s">
        <v>157</v>
      </c>
      <c r="AC4" s="6" t="s">
        <v>130</v>
      </c>
      <c r="AD4" s="6" t="s">
        <v>160</v>
      </c>
      <c r="AE4" s="6" t="s">
        <v>63</v>
      </c>
      <c r="AF4" s="6" t="s">
        <v>161</v>
      </c>
    </row>
    <row r="5" spans="1:32">
      <c r="A5" s="8"/>
      <c r="B5" s="10"/>
      <c r="C5" s="8"/>
      <c r="D5" s="8"/>
      <c r="E5" s="8"/>
      <c r="F5" s="8"/>
      <c r="G5" s="13"/>
      <c r="H5" s="13"/>
      <c r="I5" s="13"/>
      <c r="J5" s="14" t="str">
        <f t="shared" ref="J5:J68" si="0">IF(OR(A5="",H5=0),"",I5*10000/H5)</f>
        <v/>
      </c>
      <c r="K5" s="13"/>
      <c r="L5" s="14" t="str">
        <f t="shared" ref="L5:L68" si="1">IF(OR(A5="",H5=0),"",K5*10000/H5)</f>
        <v/>
      </c>
      <c r="M5" s="13"/>
      <c r="N5" s="16" t="str">
        <f t="shared" ref="N5:N68" si="2">IF(OR(A5="",M5=0),"",(L5-M5)/M5)</f>
        <v/>
      </c>
      <c r="O5" s="13"/>
      <c r="P5" s="13"/>
      <c r="Q5" s="16" t="str">
        <f t="shared" ref="Q5:Q68" si="3">IF(OR(A5="",O5=0),"",(O5-P5)/O5)</f>
        <v/>
      </c>
      <c r="R5" s="13"/>
      <c r="S5" s="13"/>
      <c r="T5" s="16" t="str">
        <f t="shared" ref="T5:T68" si="4">IF(OR(A5="",R5=0),"",(R5-S5)/R5)</f>
        <v/>
      </c>
      <c r="U5" s="15"/>
      <c r="V5" s="15"/>
      <c r="W5" s="15"/>
      <c r="X5" s="8"/>
      <c r="Y5" s="8"/>
      <c r="Z5" s="8"/>
      <c r="AA5" s="9" t="str">
        <f>IF(A5="","",IF(OR(ABS(N5)&gt;Lists!$K$6,ABS(Q5)&gt;Lists!$K$3,ABS(T5)&gt;Lists!$K$4,ABS(U5)&gt;Lists!$K$5),"Failed","Passed"))</f>
        <v/>
      </c>
      <c r="AB5" s="8"/>
      <c r="AC5" s="8"/>
      <c r="AD5" s="8"/>
      <c r="AE5" s="10"/>
      <c r="AF5" s="8"/>
    </row>
    <row r="6" spans="1:32">
      <c r="A6" s="8"/>
      <c r="B6" s="10"/>
      <c r="C6" s="8"/>
      <c r="D6" s="8"/>
      <c r="E6" s="8"/>
      <c r="F6" s="8"/>
      <c r="G6" s="13"/>
      <c r="H6" s="13"/>
      <c r="I6" s="13"/>
      <c r="J6" s="14" t="str">
        <f t="shared" si="0"/>
        <v/>
      </c>
      <c r="K6" s="13"/>
      <c r="L6" s="14" t="str">
        <f t="shared" si="1"/>
        <v/>
      </c>
      <c r="M6" s="13"/>
      <c r="N6" s="16" t="str">
        <f t="shared" si="2"/>
        <v/>
      </c>
      <c r="O6" s="13"/>
      <c r="P6" s="13"/>
      <c r="Q6" s="16" t="str">
        <f t="shared" si="3"/>
        <v/>
      </c>
      <c r="R6" s="13"/>
      <c r="S6" s="13"/>
      <c r="T6" s="16" t="str">
        <f t="shared" si="4"/>
        <v/>
      </c>
      <c r="U6" s="15"/>
      <c r="V6" s="15"/>
      <c r="W6" s="15"/>
      <c r="X6" s="8"/>
      <c r="Y6" s="8"/>
      <c r="Z6" s="8"/>
      <c r="AA6" s="9" t="str">
        <f>IF(A6="","",IF(OR(ABS(N6)&gt;Lists!$K$6,ABS(Q6)&gt;Lists!$K$3,ABS(T6)&gt;Lists!$K$4,ABS(U6)&gt;Lists!$K$5),"Failed","Passed"))</f>
        <v/>
      </c>
      <c r="AB6" s="8"/>
      <c r="AC6" s="8"/>
      <c r="AD6" s="8"/>
      <c r="AE6" s="10"/>
      <c r="AF6" s="8"/>
    </row>
    <row r="7" spans="1:32">
      <c r="A7" s="8"/>
      <c r="B7" s="10"/>
      <c r="C7" s="8"/>
      <c r="D7" s="8"/>
      <c r="E7" s="8"/>
      <c r="F7" s="8"/>
      <c r="G7" s="13"/>
      <c r="H7" s="13"/>
      <c r="I7" s="13"/>
      <c r="J7" s="14" t="str">
        <f t="shared" si="0"/>
        <v/>
      </c>
      <c r="K7" s="13"/>
      <c r="L7" s="14" t="str">
        <f t="shared" si="1"/>
        <v/>
      </c>
      <c r="M7" s="13"/>
      <c r="N7" s="16" t="str">
        <f t="shared" si="2"/>
        <v/>
      </c>
      <c r="O7" s="13"/>
      <c r="P7" s="13"/>
      <c r="Q7" s="16" t="str">
        <f t="shared" si="3"/>
        <v/>
      </c>
      <c r="R7" s="13"/>
      <c r="S7" s="13"/>
      <c r="T7" s="16" t="str">
        <f t="shared" si="4"/>
        <v/>
      </c>
      <c r="U7" s="15"/>
      <c r="V7" s="15"/>
      <c r="W7" s="15"/>
      <c r="X7" s="8"/>
      <c r="Y7" s="8"/>
      <c r="Z7" s="8"/>
      <c r="AA7" s="9" t="str">
        <f>IF(A7="","",IF(OR(ABS(N7)&gt;Lists!$K$6,ABS(Q7)&gt;Lists!$K$3,ABS(T7)&gt;Lists!$K$4,ABS(U7)&gt;Lists!$K$5),"Failed","Passed"))</f>
        <v/>
      </c>
      <c r="AB7" s="8"/>
      <c r="AC7" s="8"/>
      <c r="AD7" s="8"/>
      <c r="AE7" s="10"/>
      <c r="AF7" s="8"/>
    </row>
    <row r="8" spans="1:32">
      <c r="A8" s="8"/>
      <c r="B8" s="10"/>
      <c r="C8" s="8"/>
      <c r="D8" s="8"/>
      <c r="E8" s="8"/>
      <c r="F8" s="8"/>
      <c r="G8" s="13"/>
      <c r="H8" s="13"/>
      <c r="I8" s="13"/>
      <c r="J8" s="14" t="str">
        <f t="shared" si="0"/>
        <v/>
      </c>
      <c r="K8" s="13"/>
      <c r="L8" s="14" t="str">
        <f t="shared" si="1"/>
        <v/>
      </c>
      <c r="M8" s="13"/>
      <c r="N8" s="16" t="str">
        <f t="shared" si="2"/>
        <v/>
      </c>
      <c r="O8" s="13"/>
      <c r="P8" s="13"/>
      <c r="Q8" s="16" t="str">
        <f t="shared" si="3"/>
        <v/>
      </c>
      <c r="R8" s="13"/>
      <c r="S8" s="13"/>
      <c r="T8" s="16" t="str">
        <f t="shared" si="4"/>
        <v/>
      </c>
      <c r="U8" s="15"/>
      <c r="V8" s="15"/>
      <c r="W8" s="15"/>
      <c r="X8" s="8"/>
      <c r="Y8" s="8"/>
      <c r="Z8" s="8"/>
      <c r="AA8" s="9" t="str">
        <f>IF(A8="","",IF(OR(ABS(N8)&gt;Lists!$K$6,ABS(Q8)&gt;Lists!$K$3,ABS(T8)&gt;Lists!$K$4,ABS(U8)&gt;Lists!$K$5),"Failed","Passed"))</f>
        <v/>
      </c>
      <c r="AB8" s="8"/>
      <c r="AC8" s="8"/>
      <c r="AD8" s="8"/>
      <c r="AE8" s="10"/>
      <c r="AF8" s="8"/>
    </row>
    <row r="9" spans="1:32">
      <c r="A9" s="8"/>
      <c r="B9" s="10"/>
      <c r="C9" s="8"/>
      <c r="D9" s="8"/>
      <c r="E9" s="8"/>
      <c r="F9" s="8"/>
      <c r="G9" s="13"/>
      <c r="H9" s="13"/>
      <c r="I9" s="13"/>
      <c r="J9" s="14" t="str">
        <f t="shared" si="0"/>
        <v/>
      </c>
      <c r="K9" s="13"/>
      <c r="L9" s="14" t="str">
        <f t="shared" si="1"/>
        <v/>
      </c>
      <c r="M9" s="13"/>
      <c r="N9" s="16" t="str">
        <f t="shared" si="2"/>
        <v/>
      </c>
      <c r="O9" s="13"/>
      <c r="P9" s="13"/>
      <c r="Q9" s="16" t="str">
        <f t="shared" si="3"/>
        <v/>
      </c>
      <c r="R9" s="13"/>
      <c r="S9" s="13"/>
      <c r="T9" s="16" t="str">
        <f t="shared" si="4"/>
        <v/>
      </c>
      <c r="U9" s="15"/>
      <c r="V9" s="15"/>
      <c r="W9" s="15"/>
      <c r="X9" s="8"/>
      <c r="Y9" s="8"/>
      <c r="Z9" s="8"/>
      <c r="AA9" s="9" t="str">
        <f>IF(A9="","",IF(OR(ABS(N9)&gt;Lists!$K$6,ABS(Q9)&gt;Lists!$K$3,ABS(T9)&gt;Lists!$K$4,ABS(U9)&gt;Lists!$K$5),"Failed","Passed"))</f>
        <v/>
      </c>
      <c r="AB9" s="8"/>
      <c r="AC9" s="8"/>
      <c r="AD9" s="8"/>
      <c r="AE9" s="10"/>
      <c r="AF9" s="8"/>
    </row>
    <row r="10" spans="1:32">
      <c r="A10" s="8"/>
      <c r="B10" s="10"/>
      <c r="C10" s="8"/>
      <c r="D10" s="8"/>
      <c r="E10" s="8"/>
      <c r="F10" s="8"/>
      <c r="G10" s="13"/>
      <c r="H10" s="13"/>
      <c r="I10" s="13"/>
      <c r="J10" s="14" t="str">
        <f t="shared" si="0"/>
        <v/>
      </c>
      <c r="K10" s="13"/>
      <c r="L10" s="14" t="str">
        <f t="shared" si="1"/>
        <v/>
      </c>
      <c r="M10" s="13"/>
      <c r="N10" s="16" t="str">
        <f t="shared" si="2"/>
        <v/>
      </c>
      <c r="O10" s="13"/>
      <c r="P10" s="13"/>
      <c r="Q10" s="16" t="str">
        <f t="shared" si="3"/>
        <v/>
      </c>
      <c r="R10" s="13"/>
      <c r="S10" s="13"/>
      <c r="T10" s="16" t="str">
        <f t="shared" si="4"/>
        <v/>
      </c>
      <c r="U10" s="15"/>
      <c r="V10" s="15"/>
      <c r="W10" s="15"/>
      <c r="X10" s="8"/>
      <c r="Y10" s="8"/>
      <c r="Z10" s="8"/>
      <c r="AA10" s="9" t="str">
        <f>IF(A10="","",IF(OR(ABS(N10)&gt;Lists!$K$6,ABS(Q10)&gt;Lists!$K$3,ABS(T10)&gt;Lists!$K$4,ABS(U10)&gt;Lists!$K$5),"Failed","Passed"))</f>
        <v/>
      </c>
      <c r="AB10" s="8"/>
      <c r="AC10" s="8"/>
      <c r="AD10" s="8"/>
      <c r="AE10" s="10"/>
      <c r="AF10" s="8"/>
    </row>
    <row r="11" spans="1:32">
      <c r="A11" s="8"/>
      <c r="B11" s="10"/>
      <c r="C11" s="8"/>
      <c r="D11" s="8"/>
      <c r="E11" s="8"/>
      <c r="F11" s="8"/>
      <c r="G11" s="13"/>
      <c r="H11" s="13"/>
      <c r="I11" s="13"/>
      <c r="J11" s="14" t="str">
        <f t="shared" si="0"/>
        <v/>
      </c>
      <c r="K11" s="13"/>
      <c r="L11" s="14" t="str">
        <f t="shared" si="1"/>
        <v/>
      </c>
      <c r="M11" s="13"/>
      <c r="N11" s="16" t="str">
        <f t="shared" si="2"/>
        <v/>
      </c>
      <c r="O11" s="13"/>
      <c r="P11" s="13"/>
      <c r="Q11" s="16" t="str">
        <f t="shared" si="3"/>
        <v/>
      </c>
      <c r="R11" s="13"/>
      <c r="S11" s="13"/>
      <c r="T11" s="16" t="str">
        <f t="shared" si="4"/>
        <v/>
      </c>
      <c r="U11" s="15"/>
      <c r="V11" s="15"/>
      <c r="W11" s="15"/>
      <c r="X11" s="8"/>
      <c r="Y11" s="8"/>
      <c r="Z11" s="8"/>
      <c r="AA11" s="9" t="str">
        <f>IF(A11="","",IF(OR(ABS(N11)&gt;Lists!$K$6,ABS(Q11)&gt;Lists!$K$3,ABS(T11)&gt;Lists!$K$4,ABS(U11)&gt;Lists!$K$5),"Failed","Passed"))</f>
        <v/>
      </c>
      <c r="AB11" s="8"/>
      <c r="AC11" s="8"/>
      <c r="AD11" s="8"/>
      <c r="AE11" s="10"/>
      <c r="AF11" s="8"/>
    </row>
    <row r="12" spans="1:32">
      <c r="A12" s="8"/>
      <c r="B12" s="10"/>
      <c r="C12" s="8"/>
      <c r="D12" s="8"/>
      <c r="E12" s="8"/>
      <c r="F12" s="8"/>
      <c r="G12" s="13"/>
      <c r="H12" s="13"/>
      <c r="I12" s="13"/>
      <c r="J12" s="14" t="str">
        <f t="shared" si="0"/>
        <v/>
      </c>
      <c r="K12" s="13"/>
      <c r="L12" s="14" t="str">
        <f t="shared" si="1"/>
        <v/>
      </c>
      <c r="M12" s="13"/>
      <c r="N12" s="16" t="str">
        <f t="shared" si="2"/>
        <v/>
      </c>
      <c r="O12" s="13"/>
      <c r="P12" s="13"/>
      <c r="Q12" s="16" t="str">
        <f t="shared" si="3"/>
        <v/>
      </c>
      <c r="R12" s="13"/>
      <c r="S12" s="13"/>
      <c r="T12" s="16" t="str">
        <f t="shared" si="4"/>
        <v/>
      </c>
      <c r="U12" s="15"/>
      <c r="V12" s="15"/>
      <c r="W12" s="15"/>
      <c r="X12" s="8"/>
      <c r="Y12" s="8"/>
      <c r="Z12" s="8"/>
      <c r="AA12" s="9" t="str">
        <f>IF(A12="","",IF(OR(ABS(N12)&gt;Lists!$K$6,ABS(Q12)&gt;Lists!$K$3,ABS(T12)&gt;Lists!$K$4,ABS(U12)&gt;Lists!$K$5),"Failed","Passed"))</f>
        <v/>
      </c>
      <c r="AB12" s="8"/>
      <c r="AC12" s="8"/>
      <c r="AD12" s="8"/>
      <c r="AE12" s="10"/>
      <c r="AF12" s="8"/>
    </row>
    <row r="13" spans="1:32">
      <c r="A13" s="8"/>
      <c r="B13" s="10"/>
      <c r="C13" s="8"/>
      <c r="D13" s="8"/>
      <c r="E13" s="8"/>
      <c r="F13" s="8"/>
      <c r="G13" s="13"/>
      <c r="H13" s="13"/>
      <c r="I13" s="13"/>
      <c r="J13" s="14" t="str">
        <f t="shared" si="0"/>
        <v/>
      </c>
      <c r="K13" s="13"/>
      <c r="L13" s="14" t="str">
        <f t="shared" si="1"/>
        <v/>
      </c>
      <c r="M13" s="13"/>
      <c r="N13" s="16" t="str">
        <f t="shared" si="2"/>
        <v/>
      </c>
      <c r="O13" s="13"/>
      <c r="P13" s="13"/>
      <c r="Q13" s="16" t="str">
        <f t="shared" si="3"/>
        <v/>
      </c>
      <c r="R13" s="13"/>
      <c r="S13" s="13"/>
      <c r="T13" s="16" t="str">
        <f t="shared" si="4"/>
        <v/>
      </c>
      <c r="U13" s="15"/>
      <c r="V13" s="15"/>
      <c r="W13" s="15"/>
      <c r="X13" s="8"/>
      <c r="Y13" s="8"/>
      <c r="Z13" s="8"/>
      <c r="AA13" s="9" t="str">
        <f>IF(A13="","",IF(OR(ABS(N13)&gt;Lists!$K$6,ABS(Q13)&gt;Lists!$K$3,ABS(T13)&gt;Lists!$K$4,ABS(U13)&gt;Lists!$K$5),"Failed","Passed"))</f>
        <v/>
      </c>
      <c r="AB13" s="8"/>
      <c r="AC13" s="8"/>
      <c r="AD13" s="8"/>
      <c r="AE13" s="10"/>
      <c r="AF13" s="8"/>
    </row>
    <row r="14" spans="1:32">
      <c r="A14" s="8"/>
      <c r="B14" s="10"/>
      <c r="C14" s="8"/>
      <c r="D14" s="8"/>
      <c r="E14" s="8"/>
      <c r="F14" s="8"/>
      <c r="G14" s="13"/>
      <c r="H14" s="13"/>
      <c r="I14" s="13"/>
      <c r="J14" s="14" t="str">
        <f t="shared" si="0"/>
        <v/>
      </c>
      <c r="K14" s="13"/>
      <c r="L14" s="14" t="str">
        <f t="shared" si="1"/>
        <v/>
      </c>
      <c r="M14" s="13"/>
      <c r="N14" s="16" t="str">
        <f t="shared" si="2"/>
        <v/>
      </c>
      <c r="O14" s="13"/>
      <c r="P14" s="13"/>
      <c r="Q14" s="16" t="str">
        <f t="shared" si="3"/>
        <v/>
      </c>
      <c r="R14" s="13"/>
      <c r="S14" s="13"/>
      <c r="T14" s="16" t="str">
        <f t="shared" si="4"/>
        <v/>
      </c>
      <c r="U14" s="15"/>
      <c r="V14" s="15"/>
      <c r="W14" s="15"/>
      <c r="X14" s="8"/>
      <c r="Y14" s="8"/>
      <c r="Z14" s="8"/>
      <c r="AA14" s="9" t="str">
        <f>IF(A14="","",IF(OR(ABS(N14)&gt;Lists!$K$6,ABS(Q14)&gt;Lists!$K$3,ABS(T14)&gt;Lists!$K$4,ABS(U14)&gt;Lists!$K$5),"Failed","Passed"))</f>
        <v/>
      </c>
      <c r="AB14" s="8"/>
      <c r="AC14" s="8"/>
      <c r="AD14" s="8"/>
      <c r="AE14" s="10"/>
      <c r="AF14" s="8"/>
    </row>
    <row r="15" spans="1:32">
      <c r="A15" s="8"/>
      <c r="B15" s="10"/>
      <c r="C15" s="8"/>
      <c r="D15" s="8"/>
      <c r="E15" s="8"/>
      <c r="F15" s="8"/>
      <c r="G15" s="13"/>
      <c r="H15" s="13"/>
      <c r="I15" s="13"/>
      <c r="J15" s="14" t="str">
        <f t="shared" si="0"/>
        <v/>
      </c>
      <c r="K15" s="13"/>
      <c r="L15" s="14" t="str">
        <f t="shared" si="1"/>
        <v/>
      </c>
      <c r="M15" s="13"/>
      <c r="N15" s="16" t="str">
        <f t="shared" si="2"/>
        <v/>
      </c>
      <c r="O15" s="13"/>
      <c r="P15" s="13"/>
      <c r="Q15" s="16" t="str">
        <f t="shared" si="3"/>
        <v/>
      </c>
      <c r="R15" s="13"/>
      <c r="S15" s="13"/>
      <c r="T15" s="16" t="str">
        <f t="shared" si="4"/>
        <v/>
      </c>
      <c r="U15" s="15"/>
      <c r="V15" s="15"/>
      <c r="W15" s="15"/>
      <c r="X15" s="8"/>
      <c r="Y15" s="8"/>
      <c r="Z15" s="8"/>
      <c r="AA15" s="9" t="str">
        <f>IF(A15="","",IF(OR(ABS(N15)&gt;Lists!$K$6,ABS(Q15)&gt;Lists!$K$3,ABS(T15)&gt;Lists!$K$4,ABS(U15)&gt;Lists!$K$5),"Failed","Passed"))</f>
        <v/>
      </c>
      <c r="AB15" s="8"/>
      <c r="AC15" s="8"/>
      <c r="AD15" s="8"/>
      <c r="AE15" s="10"/>
      <c r="AF15" s="8"/>
    </row>
    <row r="16" spans="1:32">
      <c r="A16" s="8"/>
      <c r="B16" s="10"/>
      <c r="C16" s="8"/>
      <c r="D16" s="8"/>
      <c r="E16" s="8"/>
      <c r="F16" s="8"/>
      <c r="G16" s="13"/>
      <c r="H16" s="13"/>
      <c r="I16" s="13"/>
      <c r="J16" s="14" t="str">
        <f t="shared" si="0"/>
        <v/>
      </c>
      <c r="K16" s="13"/>
      <c r="L16" s="14" t="str">
        <f t="shared" si="1"/>
        <v/>
      </c>
      <c r="M16" s="13"/>
      <c r="N16" s="16" t="str">
        <f t="shared" si="2"/>
        <v/>
      </c>
      <c r="O16" s="13"/>
      <c r="P16" s="13"/>
      <c r="Q16" s="16" t="str">
        <f t="shared" si="3"/>
        <v/>
      </c>
      <c r="R16" s="13"/>
      <c r="S16" s="13"/>
      <c r="T16" s="16" t="str">
        <f t="shared" si="4"/>
        <v/>
      </c>
      <c r="U16" s="15"/>
      <c r="V16" s="15"/>
      <c r="W16" s="15"/>
      <c r="X16" s="8"/>
      <c r="Y16" s="8"/>
      <c r="Z16" s="8"/>
      <c r="AA16" s="9" t="str">
        <f>IF(A16="","",IF(OR(ABS(N16)&gt;Lists!$K$6,ABS(Q16)&gt;Lists!$K$3,ABS(T16)&gt;Lists!$K$4,ABS(U16)&gt;Lists!$K$5),"Failed","Passed"))</f>
        <v/>
      </c>
      <c r="AB16" s="8"/>
      <c r="AC16" s="8"/>
      <c r="AD16" s="8"/>
      <c r="AE16" s="10"/>
      <c r="AF16" s="8"/>
    </row>
    <row r="17" spans="1:32">
      <c r="A17" s="8"/>
      <c r="B17" s="10"/>
      <c r="C17" s="8"/>
      <c r="D17" s="8"/>
      <c r="E17" s="8"/>
      <c r="F17" s="8"/>
      <c r="G17" s="13"/>
      <c r="H17" s="13"/>
      <c r="I17" s="13"/>
      <c r="J17" s="14" t="str">
        <f t="shared" si="0"/>
        <v/>
      </c>
      <c r="K17" s="13"/>
      <c r="L17" s="14" t="str">
        <f t="shared" si="1"/>
        <v/>
      </c>
      <c r="M17" s="13"/>
      <c r="N17" s="16" t="str">
        <f t="shared" si="2"/>
        <v/>
      </c>
      <c r="O17" s="13"/>
      <c r="P17" s="13"/>
      <c r="Q17" s="16" t="str">
        <f t="shared" si="3"/>
        <v/>
      </c>
      <c r="R17" s="13"/>
      <c r="S17" s="13"/>
      <c r="T17" s="16" t="str">
        <f t="shared" si="4"/>
        <v/>
      </c>
      <c r="U17" s="15"/>
      <c r="V17" s="15"/>
      <c r="W17" s="15"/>
      <c r="X17" s="8"/>
      <c r="Y17" s="8"/>
      <c r="Z17" s="8"/>
      <c r="AA17" s="9" t="str">
        <f>IF(A17="","",IF(OR(ABS(N17)&gt;Lists!$K$6,ABS(Q17)&gt;Lists!$K$3,ABS(T17)&gt;Lists!$K$4,ABS(U17)&gt;Lists!$K$5),"Failed","Passed"))</f>
        <v/>
      </c>
      <c r="AB17" s="8"/>
      <c r="AC17" s="8"/>
      <c r="AD17" s="8"/>
      <c r="AE17" s="10"/>
      <c r="AF17" s="8"/>
    </row>
    <row r="18" spans="1:32">
      <c r="A18" s="8"/>
      <c r="B18" s="10"/>
      <c r="C18" s="8"/>
      <c r="D18" s="8"/>
      <c r="E18" s="8"/>
      <c r="F18" s="8"/>
      <c r="G18" s="13"/>
      <c r="H18" s="13"/>
      <c r="I18" s="13"/>
      <c r="J18" s="14" t="str">
        <f t="shared" si="0"/>
        <v/>
      </c>
      <c r="K18" s="13"/>
      <c r="L18" s="14" t="str">
        <f t="shared" si="1"/>
        <v/>
      </c>
      <c r="M18" s="13"/>
      <c r="N18" s="16" t="str">
        <f t="shared" si="2"/>
        <v/>
      </c>
      <c r="O18" s="13"/>
      <c r="P18" s="13"/>
      <c r="Q18" s="16" t="str">
        <f t="shared" si="3"/>
        <v/>
      </c>
      <c r="R18" s="13"/>
      <c r="S18" s="13"/>
      <c r="T18" s="16" t="str">
        <f t="shared" si="4"/>
        <v/>
      </c>
      <c r="U18" s="15"/>
      <c r="V18" s="15"/>
      <c r="W18" s="15"/>
      <c r="X18" s="8"/>
      <c r="Y18" s="8"/>
      <c r="Z18" s="8"/>
      <c r="AA18" s="9" t="str">
        <f>IF(A18="","",IF(OR(ABS(N18)&gt;Lists!$K$6,ABS(Q18)&gt;Lists!$K$3,ABS(T18)&gt;Lists!$K$4,ABS(U18)&gt;Lists!$K$5),"Failed","Passed"))</f>
        <v/>
      </c>
      <c r="AB18" s="8"/>
      <c r="AC18" s="8"/>
      <c r="AD18" s="8"/>
      <c r="AE18" s="10"/>
      <c r="AF18" s="8"/>
    </row>
    <row r="19" spans="1:32">
      <c r="A19" s="8"/>
      <c r="B19" s="10"/>
      <c r="C19" s="8"/>
      <c r="D19" s="8"/>
      <c r="E19" s="8"/>
      <c r="F19" s="8"/>
      <c r="G19" s="13"/>
      <c r="H19" s="13"/>
      <c r="I19" s="13"/>
      <c r="J19" s="14" t="str">
        <f t="shared" si="0"/>
        <v/>
      </c>
      <c r="K19" s="13"/>
      <c r="L19" s="14" t="str">
        <f t="shared" si="1"/>
        <v/>
      </c>
      <c r="M19" s="13"/>
      <c r="N19" s="16" t="str">
        <f t="shared" si="2"/>
        <v/>
      </c>
      <c r="O19" s="13"/>
      <c r="P19" s="13"/>
      <c r="Q19" s="16" t="str">
        <f t="shared" si="3"/>
        <v/>
      </c>
      <c r="R19" s="13"/>
      <c r="S19" s="13"/>
      <c r="T19" s="16" t="str">
        <f t="shared" si="4"/>
        <v/>
      </c>
      <c r="U19" s="15"/>
      <c r="V19" s="15"/>
      <c r="W19" s="15"/>
      <c r="X19" s="8"/>
      <c r="Y19" s="8"/>
      <c r="Z19" s="8"/>
      <c r="AA19" s="9" t="str">
        <f>IF(A19="","",IF(OR(ABS(N19)&gt;Lists!$K$6,ABS(Q19)&gt;Lists!$K$3,ABS(T19)&gt;Lists!$K$4,ABS(U19)&gt;Lists!$K$5),"Failed","Passed"))</f>
        <v/>
      </c>
      <c r="AB19" s="8"/>
      <c r="AC19" s="8"/>
      <c r="AD19" s="8"/>
      <c r="AE19" s="10"/>
      <c r="AF19" s="8"/>
    </row>
    <row r="20" spans="1:32">
      <c r="A20" s="8"/>
      <c r="B20" s="10"/>
      <c r="C20" s="8"/>
      <c r="D20" s="8"/>
      <c r="E20" s="8"/>
      <c r="F20" s="8"/>
      <c r="G20" s="13"/>
      <c r="H20" s="13"/>
      <c r="I20" s="13"/>
      <c r="J20" s="14" t="str">
        <f t="shared" si="0"/>
        <v/>
      </c>
      <c r="K20" s="13"/>
      <c r="L20" s="14" t="str">
        <f t="shared" si="1"/>
        <v/>
      </c>
      <c r="M20" s="13"/>
      <c r="N20" s="16" t="str">
        <f t="shared" si="2"/>
        <v/>
      </c>
      <c r="O20" s="13"/>
      <c r="P20" s="13"/>
      <c r="Q20" s="16" t="str">
        <f t="shared" si="3"/>
        <v/>
      </c>
      <c r="R20" s="13"/>
      <c r="S20" s="13"/>
      <c r="T20" s="16" t="str">
        <f t="shared" si="4"/>
        <v/>
      </c>
      <c r="U20" s="15"/>
      <c r="V20" s="15"/>
      <c r="W20" s="15"/>
      <c r="X20" s="8"/>
      <c r="Y20" s="8"/>
      <c r="Z20" s="8"/>
      <c r="AA20" s="9" t="str">
        <f>IF(A20="","",IF(OR(ABS(N20)&gt;Lists!$K$6,ABS(Q20)&gt;Lists!$K$3,ABS(T20)&gt;Lists!$K$4,ABS(U20)&gt;Lists!$K$5),"Failed","Passed"))</f>
        <v/>
      </c>
      <c r="AB20" s="8"/>
      <c r="AC20" s="8"/>
      <c r="AD20" s="8"/>
      <c r="AE20" s="10"/>
      <c r="AF20" s="8"/>
    </row>
    <row r="21" spans="1:32">
      <c r="A21" s="8"/>
      <c r="B21" s="10"/>
      <c r="C21" s="8"/>
      <c r="D21" s="8"/>
      <c r="E21" s="8"/>
      <c r="F21" s="8"/>
      <c r="G21" s="13"/>
      <c r="H21" s="13"/>
      <c r="I21" s="13"/>
      <c r="J21" s="14" t="str">
        <f t="shared" si="0"/>
        <v/>
      </c>
      <c r="K21" s="13"/>
      <c r="L21" s="14" t="str">
        <f t="shared" si="1"/>
        <v/>
      </c>
      <c r="M21" s="13"/>
      <c r="N21" s="16" t="str">
        <f t="shared" si="2"/>
        <v/>
      </c>
      <c r="O21" s="13"/>
      <c r="P21" s="13"/>
      <c r="Q21" s="16" t="str">
        <f t="shared" si="3"/>
        <v/>
      </c>
      <c r="R21" s="13"/>
      <c r="S21" s="13"/>
      <c r="T21" s="16" t="str">
        <f t="shared" si="4"/>
        <v/>
      </c>
      <c r="U21" s="15"/>
      <c r="V21" s="15"/>
      <c r="W21" s="15"/>
      <c r="X21" s="8"/>
      <c r="Y21" s="8"/>
      <c r="Z21" s="8"/>
      <c r="AA21" s="9" t="str">
        <f>IF(A21="","",IF(OR(ABS(N21)&gt;Lists!$K$6,ABS(Q21)&gt;Lists!$K$3,ABS(T21)&gt;Lists!$K$4,ABS(U21)&gt;Lists!$K$5),"Failed","Passed"))</f>
        <v/>
      </c>
      <c r="AB21" s="8"/>
      <c r="AC21" s="8"/>
      <c r="AD21" s="8"/>
      <c r="AE21" s="10"/>
      <c r="AF21" s="8"/>
    </row>
    <row r="22" spans="1:32">
      <c r="A22" s="8"/>
      <c r="B22" s="10"/>
      <c r="C22" s="8"/>
      <c r="D22" s="8"/>
      <c r="E22" s="8"/>
      <c r="F22" s="8"/>
      <c r="G22" s="13"/>
      <c r="H22" s="13"/>
      <c r="I22" s="13"/>
      <c r="J22" s="14" t="str">
        <f t="shared" si="0"/>
        <v/>
      </c>
      <c r="K22" s="13"/>
      <c r="L22" s="14" t="str">
        <f t="shared" si="1"/>
        <v/>
      </c>
      <c r="M22" s="13"/>
      <c r="N22" s="16" t="str">
        <f t="shared" si="2"/>
        <v/>
      </c>
      <c r="O22" s="13"/>
      <c r="P22" s="13"/>
      <c r="Q22" s="16" t="str">
        <f t="shared" si="3"/>
        <v/>
      </c>
      <c r="R22" s="13"/>
      <c r="S22" s="13"/>
      <c r="T22" s="16" t="str">
        <f t="shared" si="4"/>
        <v/>
      </c>
      <c r="U22" s="15"/>
      <c r="V22" s="15"/>
      <c r="W22" s="15"/>
      <c r="X22" s="8"/>
      <c r="Y22" s="8"/>
      <c r="Z22" s="8"/>
      <c r="AA22" s="9" t="str">
        <f>IF(A22="","",IF(OR(ABS(N22)&gt;Lists!$K$6,ABS(Q22)&gt;Lists!$K$3,ABS(T22)&gt;Lists!$K$4,ABS(U22)&gt;Lists!$K$5),"Failed","Passed"))</f>
        <v/>
      </c>
      <c r="AB22" s="8"/>
      <c r="AC22" s="8"/>
      <c r="AD22" s="8"/>
      <c r="AE22" s="10"/>
      <c r="AF22" s="8"/>
    </row>
    <row r="23" spans="1:32">
      <c r="A23" s="8"/>
      <c r="B23" s="10"/>
      <c r="C23" s="8"/>
      <c r="D23" s="8"/>
      <c r="E23" s="8"/>
      <c r="F23" s="8"/>
      <c r="G23" s="13"/>
      <c r="H23" s="13"/>
      <c r="I23" s="13"/>
      <c r="J23" s="14" t="str">
        <f t="shared" si="0"/>
        <v/>
      </c>
      <c r="K23" s="13"/>
      <c r="L23" s="14" t="str">
        <f t="shared" si="1"/>
        <v/>
      </c>
      <c r="M23" s="13"/>
      <c r="N23" s="16" t="str">
        <f t="shared" si="2"/>
        <v/>
      </c>
      <c r="O23" s="13"/>
      <c r="P23" s="13"/>
      <c r="Q23" s="16" t="str">
        <f t="shared" si="3"/>
        <v/>
      </c>
      <c r="R23" s="13"/>
      <c r="S23" s="13"/>
      <c r="T23" s="16" t="str">
        <f t="shared" si="4"/>
        <v/>
      </c>
      <c r="U23" s="15"/>
      <c r="V23" s="15"/>
      <c r="W23" s="15"/>
      <c r="X23" s="8"/>
      <c r="Y23" s="8"/>
      <c r="Z23" s="8"/>
      <c r="AA23" s="9" t="str">
        <f>IF(A23="","",IF(OR(ABS(N23)&gt;Lists!$K$6,ABS(Q23)&gt;Lists!$K$3,ABS(T23)&gt;Lists!$K$4,ABS(U23)&gt;Lists!$K$5),"Failed","Passed"))</f>
        <v/>
      </c>
      <c r="AB23" s="8"/>
      <c r="AC23" s="8"/>
      <c r="AD23" s="8"/>
      <c r="AE23" s="10"/>
      <c r="AF23" s="8"/>
    </row>
    <row r="24" spans="1:32">
      <c r="A24" s="8"/>
      <c r="B24" s="10"/>
      <c r="C24" s="8"/>
      <c r="D24" s="8"/>
      <c r="E24" s="8"/>
      <c r="F24" s="8"/>
      <c r="G24" s="13"/>
      <c r="H24" s="13"/>
      <c r="I24" s="13"/>
      <c r="J24" s="14" t="str">
        <f t="shared" si="0"/>
        <v/>
      </c>
      <c r="K24" s="13"/>
      <c r="L24" s="14" t="str">
        <f t="shared" si="1"/>
        <v/>
      </c>
      <c r="M24" s="13"/>
      <c r="N24" s="16" t="str">
        <f t="shared" si="2"/>
        <v/>
      </c>
      <c r="O24" s="13"/>
      <c r="P24" s="13"/>
      <c r="Q24" s="16" t="str">
        <f t="shared" si="3"/>
        <v/>
      </c>
      <c r="R24" s="13"/>
      <c r="S24" s="13"/>
      <c r="T24" s="16" t="str">
        <f t="shared" si="4"/>
        <v/>
      </c>
      <c r="U24" s="15"/>
      <c r="V24" s="15"/>
      <c r="W24" s="15"/>
      <c r="X24" s="8"/>
      <c r="Y24" s="8"/>
      <c r="Z24" s="8"/>
      <c r="AA24" s="9" t="str">
        <f>IF(A24="","",IF(OR(ABS(N24)&gt;Lists!$K$6,ABS(Q24)&gt;Lists!$K$3,ABS(T24)&gt;Lists!$K$4,ABS(U24)&gt;Lists!$K$5),"Failed","Passed"))</f>
        <v/>
      </c>
      <c r="AB24" s="8"/>
      <c r="AC24" s="8"/>
      <c r="AD24" s="8"/>
      <c r="AE24" s="10"/>
      <c r="AF24" s="8"/>
    </row>
    <row r="25" spans="1:32">
      <c r="A25" s="8"/>
      <c r="B25" s="10"/>
      <c r="C25" s="8"/>
      <c r="D25" s="8"/>
      <c r="E25" s="8"/>
      <c r="F25" s="8"/>
      <c r="G25" s="13"/>
      <c r="H25" s="13"/>
      <c r="I25" s="13"/>
      <c r="J25" s="14" t="str">
        <f t="shared" si="0"/>
        <v/>
      </c>
      <c r="K25" s="13"/>
      <c r="L25" s="14" t="str">
        <f t="shared" si="1"/>
        <v/>
      </c>
      <c r="M25" s="13"/>
      <c r="N25" s="16" t="str">
        <f t="shared" si="2"/>
        <v/>
      </c>
      <c r="O25" s="13"/>
      <c r="P25" s="13"/>
      <c r="Q25" s="16" t="str">
        <f t="shared" si="3"/>
        <v/>
      </c>
      <c r="R25" s="13"/>
      <c r="S25" s="13"/>
      <c r="T25" s="16" t="str">
        <f t="shared" si="4"/>
        <v/>
      </c>
      <c r="U25" s="15"/>
      <c r="V25" s="15"/>
      <c r="W25" s="15"/>
      <c r="X25" s="8"/>
      <c r="Y25" s="8"/>
      <c r="Z25" s="8"/>
      <c r="AA25" s="9" t="str">
        <f>IF(A25="","",IF(OR(ABS(N25)&gt;Lists!$K$6,ABS(Q25)&gt;Lists!$K$3,ABS(T25)&gt;Lists!$K$4,ABS(U25)&gt;Lists!$K$5),"Failed","Passed"))</f>
        <v/>
      </c>
      <c r="AB25" s="8"/>
      <c r="AC25" s="8"/>
      <c r="AD25" s="8"/>
      <c r="AE25" s="10"/>
      <c r="AF25" s="8"/>
    </row>
    <row r="26" spans="1:32">
      <c r="A26" s="8"/>
      <c r="B26" s="10"/>
      <c r="C26" s="8"/>
      <c r="D26" s="8"/>
      <c r="E26" s="8"/>
      <c r="F26" s="8"/>
      <c r="G26" s="13"/>
      <c r="H26" s="13"/>
      <c r="I26" s="13"/>
      <c r="J26" s="14" t="str">
        <f t="shared" si="0"/>
        <v/>
      </c>
      <c r="K26" s="13"/>
      <c r="L26" s="14" t="str">
        <f t="shared" si="1"/>
        <v/>
      </c>
      <c r="M26" s="13"/>
      <c r="N26" s="16" t="str">
        <f t="shared" si="2"/>
        <v/>
      </c>
      <c r="O26" s="13"/>
      <c r="P26" s="13"/>
      <c r="Q26" s="16" t="str">
        <f t="shared" si="3"/>
        <v/>
      </c>
      <c r="R26" s="13"/>
      <c r="S26" s="13"/>
      <c r="T26" s="16" t="str">
        <f t="shared" si="4"/>
        <v/>
      </c>
      <c r="U26" s="15"/>
      <c r="V26" s="15"/>
      <c r="W26" s="15"/>
      <c r="X26" s="8"/>
      <c r="Y26" s="8"/>
      <c r="Z26" s="8"/>
      <c r="AA26" s="9" t="str">
        <f>IF(A26="","",IF(OR(ABS(N26)&gt;Lists!$K$6,ABS(Q26)&gt;Lists!$K$3,ABS(T26)&gt;Lists!$K$4,ABS(U26)&gt;Lists!$K$5),"Failed","Passed"))</f>
        <v/>
      </c>
      <c r="AB26" s="8"/>
      <c r="AC26" s="8"/>
      <c r="AD26" s="8"/>
      <c r="AE26" s="10"/>
      <c r="AF26" s="8"/>
    </row>
    <row r="27" spans="1:32">
      <c r="A27" s="8"/>
      <c r="B27" s="10"/>
      <c r="C27" s="8"/>
      <c r="D27" s="8"/>
      <c r="E27" s="8"/>
      <c r="F27" s="8"/>
      <c r="G27" s="13"/>
      <c r="H27" s="13"/>
      <c r="I27" s="13"/>
      <c r="J27" s="14" t="str">
        <f t="shared" si="0"/>
        <v/>
      </c>
      <c r="K27" s="13"/>
      <c r="L27" s="14" t="str">
        <f t="shared" si="1"/>
        <v/>
      </c>
      <c r="M27" s="13"/>
      <c r="N27" s="16" t="str">
        <f t="shared" si="2"/>
        <v/>
      </c>
      <c r="O27" s="13"/>
      <c r="P27" s="13"/>
      <c r="Q27" s="16" t="str">
        <f t="shared" si="3"/>
        <v/>
      </c>
      <c r="R27" s="13"/>
      <c r="S27" s="13"/>
      <c r="T27" s="16" t="str">
        <f t="shared" si="4"/>
        <v/>
      </c>
      <c r="U27" s="15"/>
      <c r="V27" s="15"/>
      <c r="W27" s="15"/>
      <c r="X27" s="8"/>
      <c r="Y27" s="8"/>
      <c r="Z27" s="8"/>
      <c r="AA27" s="9" t="str">
        <f>IF(A27="","",IF(OR(ABS(N27)&gt;Lists!$K$6,ABS(Q27)&gt;Lists!$K$3,ABS(T27)&gt;Lists!$K$4,ABS(U27)&gt;Lists!$K$5),"Failed","Passed"))</f>
        <v/>
      </c>
      <c r="AB27" s="8"/>
      <c r="AC27" s="8"/>
      <c r="AD27" s="8"/>
      <c r="AE27" s="10"/>
      <c r="AF27" s="8"/>
    </row>
    <row r="28" spans="1:32">
      <c r="A28" s="8"/>
      <c r="B28" s="10"/>
      <c r="C28" s="8"/>
      <c r="D28" s="8"/>
      <c r="E28" s="8"/>
      <c r="F28" s="8"/>
      <c r="G28" s="13"/>
      <c r="H28" s="13"/>
      <c r="I28" s="13"/>
      <c r="J28" s="14" t="str">
        <f t="shared" si="0"/>
        <v/>
      </c>
      <c r="K28" s="13"/>
      <c r="L28" s="14" t="str">
        <f t="shared" si="1"/>
        <v/>
      </c>
      <c r="M28" s="13"/>
      <c r="N28" s="16" t="str">
        <f t="shared" si="2"/>
        <v/>
      </c>
      <c r="O28" s="13"/>
      <c r="P28" s="13"/>
      <c r="Q28" s="16" t="str">
        <f t="shared" si="3"/>
        <v/>
      </c>
      <c r="R28" s="13"/>
      <c r="S28" s="13"/>
      <c r="T28" s="16" t="str">
        <f t="shared" si="4"/>
        <v/>
      </c>
      <c r="U28" s="15"/>
      <c r="V28" s="15"/>
      <c r="W28" s="15"/>
      <c r="X28" s="8"/>
      <c r="Y28" s="8"/>
      <c r="Z28" s="8"/>
      <c r="AA28" s="9" t="str">
        <f>IF(A28="","",IF(OR(ABS(N28)&gt;Lists!$K$6,ABS(Q28)&gt;Lists!$K$3,ABS(T28)&gt;Lists!$K$4,ABS(U28)&gt;Lists!$K$5),"Failed","Passed"))</f>
        <v/>
      </c>
      <c r="AB28" s="8"/>
      <c r="AC28" s="8"/>
      <c r="AD28" s="8"/>
      <c r="AE28" s="10"/>
      <c r="AF28" s="8"/>
    </row>
    <row r="29" spans="1:32">
      <c r="A29" s="8"/>
      <c r="B29" s="10"/>
      <c r="C29" s="8"/>
      <c r="D29" s="8"/>
      <c r="E29" s="8"/>
      <c r="F29" s="8"/>
      <c r="G29" s="13"/>
      <c r="H29" s="13"/>
      <c r="I29" s="13"/>
      <c r="J29" s="14" t="str">
        <f t="shared" si="0"/>
        <v/>
      </c>
      <c r="K29" s="13"/>
      <c r="L29" s="14" t="str">
        <f t="shared" si="1"/>
        <v/>
      </c>
      <c r="M29" s="13"/>
      <c r="N29" s="16" t="str">
        <f t="shared" si="2"/>
        <v/>
      </c>
      <c r="O29" s="13"/>
      <c r="P29" s="13"/>
      <c r="Q29" s="16" t="str">
        <f t="shared" si="3"/>
        <v/>
      </c>
      <c r="R29" s="13"/>
      <c r="S29" s="13"/>
      <c r="T29" s="16" t="str">
        <f t="shared" si="4"/>
        <v/>
      </c>
      <c r="U29" s="15"/>
      <c r="V29" s="15"/>
      <c r="W29" s="15"/>
      <c r="X29" s="8"/>
      <c r="Y29" s="8"/>
      <c r="Z29" s="8"/>
      <c r="AA29" s="9" t="str">
        <f>IF(A29="","",IF(OR(ABS(N29)&gt;Lists!$K$6,ABS(Q29)&gt;Lists!$K$3,ABS(T29)&gt;Lists!$K$4,ABS(U29)&gt;Lists!$K$5),"Failed","Passed"))</f>
        <v/>
      </c>
      <c r="AB29" s="8"/>
      <c r="AC29" s="8"/>
      <c r="AD29" s="8"/>
      <c r="AE29" s="10"/>
      <c r="AF29" s="8"/>
    </row>
    <row r="30" spans="1:32">
      <c r="A30" s="8"/>
      <c r="B30" s="10"/>
      <c r="C30" s="8"/>
      <c r="D30" s="8"/>
      <c r="E30" s="8"/>
      <c r="F30" s="8"/>
      <c r="G30" s="13"/>
      <c r="H30" s="13"/>
      <c r="I30" s="13"/>
      <c r="J30" s="14" t="str">
        <f t="shared" si="0"/>
        <v/>
      </c>
      <c r="K30" s="13"/>
      <c r="L30" s="14" t="str">
        <f t="shared" si="1"/>
        <v/>
      </c>
      <c r="M30" s="13"/>
      <c r="N30" s="16" t="str">
        <f t="shared" si="2"/>
        <v/>
      </c>
      <c r="O30" s="13"/>
      <c r="P30" s="13"/>
      <c r="Q30" s="16" t="str">
        <f t="shared" si="3"/>
        <v/>
      </c>
      <c r="R30" s="13"/>
      <c r="S30" s="13"/>
      <c r="T30" s="16" t="str">
        <f t="shared" si="4"/>
        <v/>
      </c>
      <c r="U30" s="15"/>
      <c r="V30" s="15"/>
      <c r="W30" s="15"/>
      <c r="X30" s="8"/>
      <c r="Y30" s="8"/>
      <c r="Z30" s="8"/>
      <c r="AA30" s="9" t="str">
        <f>IF(A30="","",IF(OR(ABS(N30)&gt;Lists!$K$6,ABS(Q30)&gt;Lists!$K$3,ABS(T30)&gt;Lists!$K$4,ABS(U30)&gt;Lists!$K$5),"Failed","Passed"))</f>
        <v/>
      </c>
      <c r="AB30" s="8"/>
      <c r="AC30" s="8"/>
      <c r="AD30" s="8"/>
      <c r="AE30" s="10"/>
      <c r="AF30" s="8"/>
    </row>
    <row r="31" spans="1:32">
      <c r="A31" s="8"/>
      <c r="B31" s="10"/>
      <c r="C31" s="8"/>
      <c r="D31" s="8"/>
      <c r="E31" s="8"/>
      <c r="F31" s="8"/>
      <c r="G31" s="13"/>
      <c r="H31" s="13"/>
      <c r="I31" s="13"/>
      <c r="J31" s="14" t="str">
        <f t="shared" si="0"/>
        <v/>
      </c>
      <c r="K31" s="13"/>
      <c r="L31" s="14" t="str">
        <f t="shared" si="1"/>
        <v/>
      </c>
      <c r="M31" s="13"/>
      <c r="N31" s="16" t="str">
        <f t="shared" si="2"/>
        <v/>
      </c>
      <c r="O31" s="13"/>
      <c r="P31" s="13"/>
      <c r="Q31" s="16" t="str">
        <f t="shared" si="3"/>
        <v/>
      </c>
      <c r="R31" s="13"/>
      <c r="S31" s="13"/>
      <c r="T31" s="16" t="str">
        <f t="shared" si="4"/>
        <v/>
      </c>
      <c r="U31" s="15"/>
      <c r="V31" s="15"/>
      <c r="W31" s="15"/>
      <c r="X31" s="8"/>
      <c r="Y31" s="8"/>
      <c r="Z31" s="8"/>
      <c r="AA31" s="9" t="str">
        <f>IF(A31="","",IF(OR(ABS(N31)&gt;Lists!$K$6,ABS(Q31)&gt;Lists!$K$3,ABS(T31)&gt;Lists!$K$4,ABS(U31)&gt;Lists!$K$5),"Failed","Passed"))</f>
        <v/>
      </c>
      <c r="AB31" s="8"/>
      <c r="AC31" s="8"/>
      <c r="AD31" s="8"/>
      <c r="AE31" s="10"/>
      <c r="AF31" s="8"/>
    </row>
    <row r="32" spans="1:32">
      <c r="A32" s="8"/>
      <c r="B32" s="10"/>
      <c r="C32" s="8"/>
      <c r="D32" s="8"/>
      <c r="E32" s="8"/>
      <c r="F32" s="8"/>
      <c r="G32" s="13"/>
      <c r="H32" s="13"/>
      <c r="I32" s="13"/>
      <c r="J32" s="14" t="str">
        <f t="shared" si="0"/>
        <v/>
      </c>
      <c r="K32" s="13"/>
      <c r="L32" s="14" t="str">
        <f t="shared" si="1"/>
        <v/>
      </c>
      <c r="M32" s="13"/>
      <c r="N32" s="16" t="str">
        <f t="shared" si="2"/>
        <v/>
      </c>
      <c r="O32" s="13"/>
      <c r="P32" s="13"/>
      <c r="Q32" s="16" t="str">
        <f t="shared" si="3"/>
        <v/>
      </c>
      <c r="R32" s="13"/>
      <c r="S32" s="13"/>
      <c r="T32" s="16" t="str">
        <f t="shared" si="4"/>
        <v/>
      </c>
      <c r="U32" s="15"/>
      <c r="V32" s="15"/>
      <c r="W32" s="15"/>
      <c r="X32" s="8"/>
      <c r="Y32" s="8"/>
      <c r="Z32" s="8"/>
      <c r="AA32" s="9" t="str">
        <f>IF(A32="","",IF(OR(ABS(N32)&gt;Lists!$K$6,ABS(Q32)&gt;Lists!$K$3,ABS(T32)&gt;Lists!$K$4,ABS(U32)&gt;Lists!$K$5),"Failed","Passed"))</f>
        <v/>
      </c>
      <c r="AB32" s="8"/>
      <c r="AC32" s="8"/>
      <c r="AD32" s="8"/>
      <c r="AE32" s="10"/>
      <c r="AF32" s="8"/>
    </row>
    <row r="33" spans="1:32">
      <c r="A33" s="8"/>
      <c r="B33" s="10"/>
      <c r="C33" s="8"/>
      <c r="D33" s="8"/>
      <c r="E33" s="8"/>
      <c r="F33" s="8"/>
      <c r="G33" s="13"/>
      <c r="H33" s="13"/>
      <c r="I33" s="13"/>
      <c r="J33" s="14" t="str">
        <f t="shared" si="0"/>
        <v/>
      </c>
      <c r="K33" s="13"/>
      <c r="L33" s="14" t="str">
        <f t="shared" si="1"/>
        <v/>
      </c>
      <c r="M33" s="13"/>
      <c r="N33" s="16" t="str">
        <f t="shared" si="2"/>
        <v/>
      </c>
      <c r="O33" s="13"/>
      <c r="P33" s="13"/>
      <c r="Q33" s="16" t="str">
        <f t="shared" si="3"/>
        <v/>
      </c>
      <c r="R33" s="13"/>
      <c r="S33" s="13"/>
      <c r="T33" s="16" t="str">
        <f t="shared" si="4"/>
        <v/>
      </c>
      <c r="U33" s="15"/>
      <c r="V33" s="15"/>
      <c r="W33" s="15"/>
      <c r="X33" s="8"/>
      <c r="Y33" s="8"/>
      <c r="Z33" s="8"/>
      <c r="AA33" s="9" t="str">
        <f>IF(A33="","",IF(OR(ABS(N33)&gt;Lists!$K$6,ABS(Q33)&gt;Lists!$K$3,ABS(T33)&gt;Lists!$K$4,ABS(U33)&gt;Lists!$K$5),"Failed","Passed"))</f>
        <v/>
      </c>
      <c r="AB33" s="8"/>
      <c r="AC33" s="8"/>
      <c r="AD33" s="8"/>
      <c r="AE33" s="10"/>
      <c r="AF33" s="8"/>
    </row>
    <row r="34" spans="1:32">
      <c r="A34" s="8"/>
      <c r="B34" s="10"/>
      <c r="C34" s="8"/>
      <c r="D34" s="8"/>
      <c r="E34" s="8"/>
      <c r="F34" s="8"/>
      <c r="G34" s="13"/>
      <c r="H34" s="13"/>
      <c r="I34" s="13"/>
      <c r="J34" s="14" t="str">
        <f t="shared" si="0"/>
        <v/>
      </c>
      <c r="K34" s="13"/>
      <c r="L34" s="14" t="str">
        <f t="shared" si="1"/>
        <v/>
      </c>
      <c r="M34" s="13"/>
      <c r="N34" s="16" t="str">
        <f t="shared" si="2"/>
        <v/>
      </c>
      <c r="O34" s="13"/>
      <c r="P34" s="13"/>
      <c r="Q34" s="16" t="str">
        <f t="shared" si="3"/>
        <v/>
      </c>
      <c r="R34" s="13"/>
      <c r="S34" s="13"/>
      <c r="T34" s="16" t="str">
        <f t="shared" si="4"/>
        <v/>
      </c>
      <c r="U34" s="15"/>
      <c r="V34" s="15"/>
      <c r="W34" s="15"/>
      <c r="X34" s="8"/>
      <c r="Y34" s="8"/>
      <c r="Z34" s="8"/>
      <c r="AA34" s="9" t="str">
        <f>IF(A34="","",IF(OR(ABS(N34)&gt;Lists!$K$6,ABS(Q34)&gt;Lists!$K$3,ABS(T34)&gt;Lists!$K$4,ABS(U34)&gt;Lists!$K$5),"Failed","Passed"))</f>
        <v/>
      </c>
      <c r="AB34" s="8"/>
      <c r="AC34" s="8"/>
      <c r="AD34" s="8"/>
      <c r="AE34" s="10"/>
      <c r="AF34" s="8"/>
    </row>
    <row r="35" spans="1:32">
      <c r="A35" s="8"/>
      <c r="B35" s="10"/>
      <c r="C35" s="8"/>
      <c r="D35" s="8"/>
      <c r="E35" s="8"/>
      <c r="F35" s="8"/>
      <c r="G35" s="13"/>
      <c r="H35" s="13"/>
      <c r="I35" s="13"/>
      <c r="J35" s="14" t="str">
        <f t="shared" si="0"/>
        <v/>
      </c>
      <c r="K35" s="13"/>
      <c r="L35" s="14" t="str">
        <f t="shared" si="1"/>
        <v/>
      </c>
      <c r="M35" s="13"/>
      <c r="N35" s="16" t="str">
        <f t="shared" si="2"/>
        <v/>
      </c>
      <c r="O35" s="13"/>
      <c r="P35" s="13"/>
      <c r="Q35" s="16" t="str">
        <f t="shared" si="3"/>
        <v/>
      </c>
      <c r="R35" s="13"/>
      <c r="S35" s="13"/>
      <c r="T35" s="16" t="str">
        <f t="shared" si="4"/>
        <v/>
      </c>
      <c r="U35" s="15"/>
      <c r="V35" s="15"/>
      <c r="W35" s="15"/>
      <c r="X35" s="8"/>
      <c r="Y35" s="8"/>
      <c r="Z35" s="8"/>
      <c r="AA35" s="9" t="str">
        <f>IF(A35="","",IF(OR(ABS(N35)&gt;Lists!$K$6,ABS(Q35)&gt;Lists!$K$3,ABS(T35)&gt;Lists!$K$4,ABS(U35)&gt;Lists!$K$5),"Failed","Passed"))</f>
        <v/>
      </c>
      <c r="AB35" s="8"/>
      <c r="AC35" s="8"/>
      <c r="AD35" s="8"/>
      <c r="AE35" s="10"/>
      <c r="AF35" s="8"/>
    </row>
    <row r="36" spans="1:32">
      <c r="A36" s="8"/>
      <c r="B36" s="10"/>
      <c r="C36" s="8"/>
      <c r="D36" s="8"/>
      <c r="E36" s="8"/>
      <c r="F36" s="8"/>
      <c r="G36" s="13"/>
      <c r="H36" s="13"/>
      <c r="I36" s="13"/>
      <c r="J36" s="14" t="str">
        <f t="shared" si="0"/>
        <v/>
      </c>
      <c r="K36" s="13"/>
      <c r="L36" s="14" t="str">
        <f t="shared" si="1"/>
        <v/>
      </c>
      <c r="M36" s="13"/>
      <c r="N36" s="16" t="str">
        <f t="shared" si="2"/>
        <v/>
      </c>
      <c r="O36" s="13"/>
      <c r="P36" s="13"/>
      <c r="Q36" s="16" t="str">
        <f t="shared" si="3"/>
        <v/>
      </c>
      <c r="R36" s="13"/>
      <c r="S36" s="13"/>
      <c r="T36" s="16" t="str">
        <f t="shared" si="4"/>
        <v/>
      </c>
      <c r="U36" s="15"/>
      <c r="V36" s="15"/>
      <c r="W36" s="15"/>
      <c r="X36" s="8"/>
      <c r="Y36" s="8"/>
      <c r="Z36" s="8"/>
      <c r="AA36" s="9" t="str">
        <f>IF(A36="","",IF(OR(ABS(N36)&gt;Lists!$K$6,ABS(Q36)&gt;Lists!$K$3,ABS(T36)&gt;Lists!$K$4,ABS(U36)&gt;Lists!$K$5),"Failed","Passed"))</f>
        <v/>
      </c>
      <c r="AB36" s="8"/>
      <c r="AC36" s="8"/>
      <c r="AD36" s="8"/>
      <c r="AE36" s="10"/>
      <c r="AF36" s="8"/>
    </row>
    <row r="37" spans="1:32">
      <c r="A37" s="8"/>
      <c r="B37" s="10"/>
      <c r="C37" s="8"/>
      <c r="D37" s="8"/>
      <c r="E37" s="8"/>
      <c r="F37" s="8"/>
      <c r="G37" s="13"/>
      <c r="H37" s="13"/>
      <c r="I37" s="13"/>
      <c r="J37" s="14" t="str">
        <f t="shared" si="0"/>
        <v/>
      </c>
      <c r="K37" s="13"/>
      <c r="L37" s="14" t="str">
        <f t="shared" si="1"/>
        <v/>
      </c>
      <c r="M37" s="13"/>
      <c r="N37" s="16" t="str">
        <f t="shared" si="2"/>
        <v/>
      </c>
      <c r="O37" s="13"/>
      <c r="P37" s="13"/>
      <c r="Q37" s="16" t="str">
        <f t="shared" si="3"/>
        <v/>
      </c>
      <c r="R37" s="13"/>
      <c r="S37" s="13"/>
      <c r="T37" s="16" t="str">
        <f t="shared" si="4"/>
        <v/>
      </c>
      <c r="U37" s="15"/>
      <c r="V37" s="15"/>
      <c r="W37" s="15"/>
      <c r="X37" s="8"/>
      <c r="Y37" s="8"/>
      <c r="Z37" s="8"/>
      <c r="AA37" s="9" t="str">
        <f>IF(A37="","",IF(OR(ABS(N37)&gt;Lists!$K$6,ABS(Q37)&gt;Lists!$K$3,ABS(T37)&gt;Lists!$K$4,ABS(U37)&gt;Lists!$K$5),"Failed","Passed"))</f>
        <v/>
      </c>
      <c r="AB37" s="8"/>
      <c r="AC37" s="8"/>
      <c r="AD37" s="8"/>
      <c r="AE37" s="10"/>
      <c r="AF37" s="8"/>
    </row>
    <row r="38" spans="1:32">
      <c r="A38" s="8"/>
      <c r="B38" s="10"/>
      <c r="C38" s="8"/>
      <c r="D38" s="8"/>
      <c r="E38" s="8"/>
      <c r="F38" s="8"/>
      <c r="G38" s="13"/>
      <c r="H38" s="13"/>
      <c r="I38" s="13"/>
      <c r="J38" s="14" t="str">
        <f t="shared" si="0"/>
        <v/>
      </c>
      <c r="K38" s="13"/>
      <c r="L38" s="14" t="str">
        <f t="shared" si="1"/>
        <v/>
      </c>
      <c r="M38" s="13"/>
      <c r="N38" s="16" t="str">
        <f t="shared" si="2"/>
        <v/>
      </c>
      <c r="O38" s="13"/>
      <c r="P38" s="13"/>
      <c r="Q38" s="16" t="str">
        <f t="shared" si="3"/>
        <v/>
      </c>
      <c r="R38" s="13"/>
      <c r="S38" s="13"/>
      <c r="T38" s="16" t="str">
        <f t="shared" si="4"/>
        <v/>
      </c>
      <c r="U38" s="15"/>
      <c r="V38" s="15"/>
      <c r="W38" s="15"/>
      <c r="X38" s="8"/>
      <c r="Y38" s="8"/>
      <c r="Z38" s="8"/>
      <c r="AA38" s="9" t="str">
        <f>IF(A38="","",IF(OR(ABS(N38)&gt;Lists!$K$6,ABS(Q38)&gt;Lists!$K$3,ABS(T38)&gt;Lists!$K$4,ABS(U38)&gt;Lists!$K$5),"Failed","Passed"))</f>
        <v/>
      </c>
      <c r="AB38" s="8"/>
      <c r="AC38" s="8"/>
      <c r="AD38" s="8"/>
      <c r="AE38" s="10"/>
      <c r="AF38" s="8"/>
    </row>
    <row r="39" spans="1:32">
      <c r="A39" s="8"/>
      <c r="B39" s="10"/>
      <c r="C39" s="8"/>
      <c r="D39" s="8"/>
      <c r="E39" s="8"/>
      <c r="F39" s="8"/>
      <c r="G39" s="13"/>
      <c r="H39" s="13"/>
      <c r="I39" s="13"/>
      <c r="J39" s="14" t="str">
        <f t="shared" si="0"/>
        <v/>
      </c>
      <c r="K39" s="13"/>
      <c r="L39" s="14" t="str">
        <f t="shared" si="1"/>
        <v/>
      </c>
      <c r="M39" s="13"/>
      <c r="N39" s="16" t="str">
        <f t="shared" si="2"/>
        <v/>
      </c>
      <c r="O39" s="13"/>
      <c r="P39" s="13"/>
      <c r="Q39" s="16" t="str">
        <f t="shared" si="3"/>
        <v/>
      </c>
      <c r="R39" s="13"/>
      <c r="S39" s="13"/>
      <c r="T39" s="16" t="str">
        <f t="shared" si="4"/>
        <v/>
      </c>
      <c r="U39" s="15"/>
      <c r="V39" s="15"/>
      <c r="W39" s="15"/>
      <c r="X39" s="8"/>
      <c r="Y39" s="8"/>
      <c r="Z39" s="8"/>
      <c r="AA39" s="9" t="str">
        <f>IF(A39="","",IF(OR(ABS(N39)&gt;Lists!$K$6,ABS(Q39)&gt;Lists!$K$3,ABS(T39)&gt;Lists!$K$4,ABS(U39)&gt;Lists!$K$5),"Failed","Passed"))</f>
        <v/>
      </c>
      <c r="AB39" s="8"/>
      <c r="AC39" s="8"/>
      <c r="AD39" s="8"/>
      <c r="AE39" s="10"/>
      <c r="AF39" s="8"/>
    </row>
    <row r="40" spans="1:32">
      <c r="A40" s="8"/>
      <c r="B40" s="10"/>
      <c r="C40" s="8"/>
      <c r="D40" s="8"/>
      <c r="E40" s="8"/>
      <c r="F40" s="8"/>
      <c r="G40" s="13"/>
      <c r="H40" s="13"/>
      <c r="I40" s="13"/>
      <c r="J40" s="14" t="str">
        <f t="shared" si="0"/>
        <v/>
      </c>
      <c r="K40" s="13"/>
      <c r="L40" s="14" t="str">
        <f t="shared" si="1"/>
        <v/>
      </c>
      <c r="M40" s="13"/>
      <c r="N40" s="16" t="str">
        <f t="shared" si="2"/>
        <v/>
      </c>
      <c r="O40" s="13"/>
      <c r="P40" s="13"/>
      <c r="Q40" s="16" t="str">
        <f t="shared" si="3"/>
        <v/>
      </c>
      <c r="R40" s="13"/>
      <c r="S40" s="13"/>
      <c r="T40" s="16" t="str">
        <f t="shared" si="4"/>
        <v/>
      </c>
      <c r="U40" s="15"/>
      <c r="V40" s="15"/>
      <c r="W40" s="15"/>
      <c r="X40" s="8"/>
      <c r="Y40" s="8"/>
      <c r="Z40" s="8"/>
      <c r="AA40" s="9" t="str">
        <f>IF(A40="","",IF(OR(ABS(N40)&gt;Lists!$K$6,ABS(Q40)&gt;Lists!$K$3,ABS(T40)&gt;Lists!$K$4,ABS(U40)&gt;Lists!$K$5),"Failed","Passed"))</f>
        <v/>
      </c>
      <c r="AB40" s="8"/>
      <c r="AC40" s="8"/>
      <c r="AD40" s="8"/>
      <c r="AE40" s="10"/>
      <c r="AF40" s="8"/>
    </row>
    <row r="41" spans="1:32">
      <c r="A41" s="8"/>
      <c r="B41" s="10"/>
      <c r="C41" s="8"/>
      <c r="D41" s="8"/>
      <c r="E41" s="8"/>
      <c r="F41" s="8"/>
      <c r="G41" s="13"/>
      <c r="H41" s="13"/>
      <c r="I41" s="13"/>
      <c r="J41" s="14" t="str">
        <f t="shared" si="0"/>
        <v/>
      </c>
      <c r="K41" s="13"/>
      <c r="L41" s="14" t="str">
        <f t="shared" si="1"/>
        <v/>
      </c>
      <c r="M41" s="13"/>
      <c r="N41" s="16" t="str">
        <f t="shared" si="2"/>
        <v/>
      </c>
      <c r="O41" s="13"/>
      <c r="P41" s="13"/>
      <c r="Q41" s="16" t="str">
        <f t="shared" si="3"/>
        <v/>
      </c>
      <c r="R41" s="13"/>
      <c r="S41" s="13"/>
      <c r="T41" s="16" t="str">
        <f t="shared" si="4"/>
        <v/>
      </c>
      <c r="U41" s="15"/>
      <c r="V41" s="15"/>
      <c r="W41" s="15"/>
      <c r="X41" s="8"/>
      <c r="Y41" s="8"/>
      <c r="Z41" s="8"/>
      <c r="AA41" s="9" t="str">
        <f>IF(A41="","",IF(OR(ABS(N41)&gt;Lists!$K$6,ABS(Q41)&gt;Lists!$K$3,ABS(T41)&gt;Lists!$K$4,ABS(U41)&gt;Lists!$K$5),"Failed","Passed"))</f>
        <v/>
      </c>
      <c r="AB41" s="8"/>
      <c r="AC41" s="8"/>
      <c r="AD41" s="8"/>
      <c r="AE41" s="10"/>
      <c r="AF41" s="8"/>
    </row>
    <row r="42" spans="1:32">
      <c r="A42" s="8"/>
      <c r="B42" s="10"/>
      <c r="C42" s="8"/>
      <c r="D42" s="8"/>
      <c r="E42" s="8"/>
      <c r="F42" s="8"/>
      <c r="G42" s="13"/>
      <c r="H42" s="13"/>
      <c r="I42" s="13"/>
      <c r="J42" s="14" t="str">
        <f t="shared" si="0"/>
        <v/>
      </c>
      <c r="K42" s="13"/>
      <c r="L42" s="14" t="str">
        <f t="shared" si="1"/>
        <v/>
      </c>
      <c r="M42" s="13"/>
      <c r="N42" s="16" t="str">
        <f t="shared" si="2"/>
        <v/>
      </c>
      <c r="O42" s="13"/>
      <c r="P42" s="13"/>
      <c r="Q42" s="16" t="str">
        <f t="shared" si="3"/>
        <v/>
      </c>
      <c r="R42" s="13"/>
      <c r="S42" s="13"/>
      <c r="T42" s="16" t="str">
        <f t="shared" si="4"/>
        <v/>
      </c>
      <c r="U42" s="15"/>
      <c r="V42" s="15"/>
      <c r="W42" s="15"/>
      <c r="X42" s="8"/>
      <c r="Y42" s="8"/>
      <c r="Z42" s="8"/>
      <c r="AA42" s="9" t="str">
        <f>IF(A42="","",IF(OR(ABS(N42)&gt;Lists!$K$6,ABS(Q42)&gt;Lists!$K$3,ABS(T42)&gt;Lists!$K$4,ABS(U42)&gt;Lists!$K$5),"Failed","Passed"))</f>
        <v/>
      </c>
      <c r="AB42" s="8"/>
      <c r="AC42" s="8"/>
      <c r="AD42" s="8"/>
      <c r="AE42" s="10"/>
      <c r="AF42" s="8"/>
    </row>
    <row r="43" spans="1:32">
      <c r="A43" s="8"/>
      <c r="B43" s="10"/>
      <c r="C43" s="8"/>
      <c r="D43" s="8"/>
      <c r="E43" s="8"/>
      <c r="F43" s="8"/>
      <c r="G43" s="13"/>
      <c r="H43" s="13"/>
      <c r="I43" s="13"/>
      <c r="J43" s="14" t="str">
        <f t="shared" si="0"/>
        <v/>
      </c>
      <c r="K43" s="13"/>
      <c r="L43" s="14" t="str">
        <f t="shared" si="1"/>
        <v/>
      </c>
      <c r="M43" s="13"/>
      <c r="N43" s="16" t="str">
        <f t="shared" si="2"/>
        <v/>
      </c>
      <c r="O43" s="13"/>
      <c r="P43" s="13"/>
      <c r="Q43" s="16" t="str">
        <f t="shared" si="3"/>
        <v/>
      </c>
      <c r="R43" s="13"/>
      <c r="S43" s="13"/>
      <c r="T43" s="16" t="str">
        <f t="shared" si="4"/>
        <v/>
      </c>
      <c r="U43" s="15"/>
      <c r="V43" s="15"/>
      <c r="W43" s="15"/>
      <c r="X43" s="8"/>
      <c r="Y43" s="8"/>
      <c r="Z43" s="8"/>
      <c r="AA43" s="9" t="str">
        <f>IF(A43="","",IF(OR(ABS(N43)&gt;Lists!$K$6,ABS(Q43)&gt;Lists!$K$3,ABS(T43)&gt;Lists!$K$4,ABS(U43)&gt;Lists!$K$5),"Failed","Passed"))</f>
        <v/>
      </c>
      <c r="AB43" s="8"/>
      <c r="AC43" s="8"/>
      <c r="AD43" s="8"/>
      <c r="AE43" s="10"/>
      <c r="AF43" s="8"/>
    </row>
    <row r="44" spans="1:32">
      <c r="A44" s="8"/>
      <c r="B44" s="10"/>
      <c r="C44" s="8"/>
      <c r="D44" s="8"/>
      <c r="E44" s="8"/>
      <c r="F44" s="8"/>
      <c r="G44" s="13"/>
      <c r="H44" s="13"/>
      <c r="I44" s="13"/>
      <c r="J44" s="14" t="str">
        <f t="shared" si="0"/>
        <v/>
      </c>
      <c r="K44" s="13"/>
      <c r="L44" s="14" t="str">
        <f t="shared" si="1"/>
        <v/>
      </c>
      <c r="M44" s="13"/>
      <c r="N44" s="16" t="str">
        <f t="shared" si="2"/>
        <v/>
      </c>
      <c r="O44" s="13"/>
      <c r="P44" s="13"/>
      <c r="Q44" s="16" t="str">
        <f t="shared" si="3"/>
        <v/>
      </c>
      <c r="R44" s="13"/>
      <c r="S44" s="13"/>
      <c r="T44" s="16" t="str">
        <f t="shared" si="4"/>
        <v/>
      </c>
      <c r="U44" s="15"/>
      <c r="V44" s="15"/>
      <c r="W44" s="15"/>
      <c r="X44" s="8"/>
      <c r="Y44" s="8"/>
      <c r="Z44" s="8"/>
      <c r="AA44" s="9" t="str">
        <f>IF(A44="","",IF(OR(ABS(N44)&gt;Lists!$K$6,ABS(Q44)&gt;Lists!$K$3,ABS(T44)&gt;Lists!$K$4,ABS(U44)&gt;Lists!$K$5),"Failed","Passed"))</f>
        <v/>
      </c>
      <c r="AB44" s="8"/>
      <c r="AC44" s="8"/>
      <c r="AD44" s="8"/>
      <c r="AE44" s="10"/>
      <c r="AF44" s="8"/>
    </row>
    <row r="45" spans="1:32">
      <c r="A45" s="8"/>
      <c r="B45" s="10"/>
      <c r="C45" s="8"/>
      <c r="D45" s="8"/>
      <c r="E45" s="8"/>
      <c r="F45" s="8"/>
      <c r="G45" s="13"/>
      <c r="H45" s="13"/>
      <c r="I45" s="13"/>
      <c r="J45" s="14" t="str">
        <f t="shared" si="0"/>
        <v/>
      </c>
      <c r="K45" s="13"/>
      <c r="L45" s="14" t="str">
        <f t="shared" si="1"/>
        <v/>
      </c>
      <c r="M45" s="13"/>
      <c r="N45" s="16" t="str">
        <f t="shared" si="2"/>
        <v/>
      </c>
      <c r="O45" s="13"/>
      <c r="P45" s="13"/>
      <c r="Q45" s="16" t="str">
        <f t="shared" si="3"/>
        <v/>
      </c>
      <c r="R45" s="13"/>
      <c r="S45" s="13"/>
      <c r="T45" s="16" t="str">
        <f t="shared" si="4"/>
        <v/>
      </c>
      <c r="U45" s="15"/>
      <c r="V45" s="15"/>
      <c r="W45" s="15"/>
      <c r="X45" s="8"/>
      <c r="Y45" s="8"/>
      <c r="Z45" s="8"/>
      <c r="AA45" s="9" t="str">
        <f>IF(A45="","",IF(OR(ABS(N45)&gt;Lists!$K$6,ABS(Q45)&gt;Lists!$K$3,ABS(T45)&gt;Lists!$K$4,ABS(U45)&gt;Lists!$K$5),"Failed","Passed"))</f>
        <v/>
      </c>
      <c r="AB45" s="8"/>
      <c r="AC45" s="8"/>
      <c r="AD45" s="8"/>
      <c r="AE45" s="10"/>
      <c r="AF45" s="8"/>
    </row>
    <row r="46" spans="1:32">
      <c r="A46" s="8"/>
      <c r="B46" s="10"/>
      <c r="C46" s="8"/>
      <c r="D46" s="8"/>
      <c r="E46" s="8"/>
      <c r="F46" s="8"/>
      <c r="G46" s="13"/>
      <c r="H46" s="13"/>
      <c r="I46" s="13"/>
      <c r="J46" s="14" t="str">
        <f t="shared" si="0"/>
        <v/>
      </c>
      <c r="K46" s="13"/>
      <c r="L46" s="14" t="str">
        <f t="shared" si="1"/>
        <v/>
      </c>
      <c r="M46" s="13"/>
      <c r="N46" s="16" t="str">
        <f t="shared" si="2"/>
        <v/>
      </c>
      <c r="O46" s="13"/>
      <c r="P46" s="13"/>
      <c r="Q46" s="16" t="str">
        <f t="shared" si="3"/>
        <v/>
      </c>
      <c r="R46" s="13"/>
      <c r="S46" s="13"/>
      <c r="T46" s="16" t="str">
        <f t="shared" si="4"/>
        <v/>
      </c>
      <c r="U46" s="15"/>
      <c r="V46" s="15"/>
      <c r="W46" s="15"/>
      <c r="X46" s="8"/>
      <c r="Y46" s="8"/>
      <c r="Z46" s="8"/>
      <c r="AA46" s="9" t="str">
        <f>IF(A46="","",IF(OR(ABS(N46)&gt;Lists!$K$6,ABS(Q46)&gt;Lists!$K$3,ABS(T46)&gt;Lists!$K$4,ABS(U46)&gt;Lists!$K$5),"Failed","Passed"))</f>
        <v/>
      </c>
      <c r="AB46" s="8"/>
      <c r="AC46" s="8"/>
      <c r="AD46" s="8"/>
      <c r="AE46" s="10"/>
      <c r="AF46" s="8"/>
    </row>
    <row r="47" spans="1:32">
      <c r="A47" s="8"/>
      <c r="B47" s="10"/>
      <c r="C47" s="8"/>
      <c r="D47" s="8"/>
      <c r="E47" s="8"/>
      <c r="F47" s="8"/>
      <c r="G47" s="13"/>
      <c r="H47" s="13"/>
      <c r="I47" s="13"/>
      <c r="J47" s="14" t="str">
        <f t="shared" si="0"/>
        <v/>
      </c>
      <c r="K47" s="13"/>
      <c r="L47" s="14" t="str">
        <f t="shared" si="1"/>
        <v/>
      </c>
      <c r="M47" s="13"/>
      <c r="N47" s="16" t="str">
        <f t="shared" si="2"/>
        <v/>
      </c>
      <c r="O47" s="13"/>
      <c r="P47" s="13"/>
      <c r="Q47" s="16" t="str">
        <f t="shared" si="3"/>
        <v/>
      </c>
      <c r="R47" s="13"/>
      <c r="S47" s="13"/>
      <c r="T47" s="16" t="str">
        <f t="shared" si="4"/>
        <v/>
      </c>
      <c r="U47" s="15"/>
      <c r="V47" s="15"/>
      <c r="W47" s="15"/>
      <c r="X47" s="8"/>
      <c r="Y47" s="8"/>
      <c r="Z47" s="8"/>
      <c r="AA47" s="9" t="str">
        <f>IF(A47="","",IF(OR(ABS(N47)&gt;Lists!$K$6,ABS(Q47)&gt;Lists!$K$3,ABS(T47)&gt;Lists!$K$4,ABS(U47)&gt;Lists!$K$5),"Failed","Passed"))</f>
        <v/>
      </c>
      <c r="AB47" s="8"/>
      <c r="AC47" s="8"/>
      <c r="AD47" s="8"/>
      <c r="AE47" s="10"/>
      <c r="AF47" s="8"/>
    </row>
    <row r="48" spans="1:32">
      <c r="A48" s="8"/>
      <c r="B48" s="10"/>
      <c r="C48" s="8"/>
      <c r="D48" s="8"/>
      <c r="E48" s="8"/>
      <c r="F48" s="8"/>
      <c r="G48" s="13"/>
      <c r="H48" s="13"/>
      <c r="I48" s="13"/>
      <c r="J48" s="14" t="str">
        <f t="shared" si="0"/>
        <v/>
      </c>
      <c r="K48" s="13"/>
      <c r="L48" s="14" t="str">
        <f t="shared" si="1"/>
        <v/>
      </c>
      <c r="M48" s="13"/>
      <c r="N48" s="16" t="str">
        <f t="shared" si="2"/>
        <v/>
      </c>
      <c r="O48" s="13"/>
      <c r="P48" s="13"/>
      <c r="Q48" s="16" t="str">
        <f t="shared" si="3"/>
        <v/>
      </c>
      <c r="R48" s="13"/>
      <c r="S48" s="13"/>
      <c r="T48" s="16" t="str">
        <f t="shared" si="4"/>
        <v/>
      </c>
      <c r="U48" s="15"/>
      <c r="V48" s="15"/>
      <c r="W48" s="15"/>
      <c r="X48" s="8"/>
      <c r="Y48" s="8"/>
      <c r="Z48" s="8"/>
      <c r="AA48" s="9" t="str">
        <f>IF(A48="","",IF(OR(ABS(N48)&gt;Lists!$K$6,ABS(Q48)&gt;Lists!$K$3,ABS(T48)&gt;Lists!$K$4,ABS(U48)&gt;Lists!$K$5),"Failed","Passed"))</f>
        <v/>
      </c>
      <c r="AB48" s="8"/>
      <c r="AC48" s="8"/>
      <c r="AD48" s="8"/>
      <c r="AE48" s="10"/>
      <c r="AF48" s="8"/>
    </row>
    <row r="49" spans="1:32">
      <c r="A49" s="8"/>
      <c r="B49" s="10"/>
      <c r="C49" s="8"/>
      <c r="D49" s="8"/>
      <c r="E49" s="8"/>
      <c r="F49" s="8"/>
      <c r="G49" s="13"/>
      <c r="H49" s="13"/>
      <c r="I49" s="13"/>
      <c r="J49" s="14" t="str">
        <f t="shared" si="0"/>
        <v/>
      </c>
      <c r="K49" s="13"/>
      <c r="L49" s="14" t="str">
        <f t="shared" si="1"/>
        <v/>
      </c>
      <c r="M49" s="13"/>
      <c r="N49" s="16" t="str">
        <f t="shared" si="2"/>
        <v/>
      </c>
      <c r="O49" s="13"/>
      <c r="P49" s="13"/>
      <c r="Q49" s="16" t="str">
        <f t="shared" si="3"/>
        <v/>
      </c>
      <c r="R49" s="13"/>
      <c r="S49" s="13"/>
      <c r="T49" s="16" t="str">
        <f t="shared" si="4"/>
        <v/>
      </c>
      <c r="U49" s="15"/>
      <c r="V49" s="15"/>
      <c r="W49" s="15"/>
      <c r="X49" s="8"/>
      <c r="Y49" s="8"/>
      <c r="Z49" s="8"/>
      <c r="AA49" s="9" t="str">
        <f>IF(A49="","",IF(OR(ABS(N49)&gt;Lists!$K$6,ABS(Q49)&gt;Lists!$K$3,ABS(T49)&gt;Lists!$K$4,ABS(U49)&gt;Lists!$K$5),"Failed","Passed"))</f>
        <v/>
      </c>
      <c r="AB49" s="8"/>
      <c r="AC49" s="8"/>
      <c r="AD49" s="8"/>
      <c r="AE49" s="10"/>
      <c r="AF49" s="8"/>
    </row>
    <row r="50" spans="1:32">
      <c r="A50" s="8"/>
      <c r="B50" s="10"/>
      <c r="C50" s="8"/>
      <c r="D50" s="8"/>
      <c r="E50" s="8"/>
      <c r="F50" s="8"/>
      <c r="G50" s="13"/>
      <c r="H50" s="13"/>
      <c r="I50" s="13"/>
      <c r="J50" s="14" t="str">
        <f t="shared" si="0"/>
        <v/>
      </c>
      <c r="K50" s="13"/>
      <c r="L50" s="14" t="str">
        <f t="shared" si="1"/>
        <v/>
      </c>
      <c r="M50" s="13"/>
      <c r="N50" s="16" t="str">
        <f t="shared" si="2"/>
        <v/>
      </c>
      <c r="O50" s="13"/>
      <c r="P50" s="13"/>
      <c r="Q50" s="16" t="str">
        <f t="shared" si="3"/>
        <v/>
      </c>
      <c r="R50" s="13"/>
      <c r="S50" s="13"/>
      <c r="T50" s="16" t="str">
        <f t="shared" si="4"/>
        <v/>
      </c>
      <c r="U50" s="15"/>
      <c r="V50" s="15"/>
      <c r="W50" s="15"/>
      <c r="X50" s="8"/>
      <c r="Y50" s="8"/>
      <c r="Z50" s="8"/>
      <c r="AA50" s="9" t="str">
        <f>IF(A50="","",IF(OR(ABS(N50)&gt;Lists!$K$6,ABS(Q50)&gt;Lists!$K$3,ABS(T50)&gt;Lists!$K$4,ABS(U50)&gt;Lists!$K$5),"Failed","Passed"))</f>
        <v/>
      </c>
      <c r="AB50" s="8"/>
      <c r="AC50" s="8"/>
      <c r="AD50" s="8"/>
      <c r="AE50" s="10"/>
      <c r="AF50" s="8"/>
    </row>
    <row r="51" spans="1:32">
      <c r="A51" s="8"/>
      <c r="B51" s="10"/>
      <c r="C51" s="8"/>
      <c r="D51" s="8"/>
      <c r="E51" s="8"/>
      <c r="F51" s="8"/>
      <c r="G51" s="13"/>
      <c r="H51" s="13"/>
      <c r="I51" s="13"/>
      <c r="J51" s="14" t="str">
        <f t="shared" si="0"/>
        <v/>
      </c>
      <c r="K51" s="13"/>
      <c r="L51" s="14" t="str">
        <f t="shared" si="1"/>
        <v/>
      </c>
      <c r="M51" s="13"/>
      <c r="N51" s="16" t="str">
        <f t="shared" si="2"/>
        <v/>
      </c>
      <c r="O51" s="13"/>
      <c r="P51" s="13"/>
      <c r="Q51" s="16" t="str">
        <f t="shared" si="3"/>
        <v/>
      </c>
      <c r="R51" s="13"/>
      <c r="S51" s="13"/>
      <c r="T51" s="16" t="str">
        <f t="shared" si="4"/>
        <v/>
      </c>
      <c r="U51" s="15"/>
      <c r="V51" s="15"/>
      <c r="W51" s="15"/>
      <c r="X51" s="8"/>
      <c r="Y51" s="8"/>
      <c r="Z51" s="8"/>
      <c r="AA51" s="9" t="str">
        <f>IF(A51="","",IF(OR(ABS(N51)&gt;Lists!$K$6,ABS(Q51)&gt;Lists!$K$3,ABS(T51)&gt;Lists!$K$4,ABS(U51)&gt;Lists!$K$5),"Failed","Passed"))</f>
        <v/>
      </c>
      <c r="AB51" s="8"/>
      <c r="AC51" s="8"/>
      <c r="AD51" s="8"/>
      <c r="AE51" s="10"/>
      <c r="AF51" s="8"/>
    </row>
    <row r="52" spans="1:32">
      <c r="A52" s="8"/>
      <c r="B52" s="10"/>
      <c r="C52" s="8"/>
      <c r="D52" s="8"/>
      <c r="E52" s="8"/>
      <c r="F52" s="8"/>
      <c r="G52" s="13"/>
      <c r="H52" s="13"/>
      <c r="I52" s="13"/>
      <c r="J52" s="14" t="str">
        <f t="shared" si="0"/>
        <v/>
      </c>
      <c r="K52" s="13"/>
      <c r="L52" s="14" t="str">
        <f t="shared" si="1"/>
        <v/>
      </c>
      <c r="M52" s="13"/>
      <c r="N52" s="16" t="str">
        <f t="shared" si="2"/>
        <v/>
      </c>
      <c r="O52" s="13"/>
      <c r="P52" s="13"/>
      <c r="Q52" s="16" t="str">
        <f t="shared" si="3"/>
        <v/>
      </c>
      <c r="R52" s="13"/>
      <c r="S52" s="13"/>
      <c r="T52" s="16" t="str">
        <f t="shared" si="4"/>
        <v/>
      </c>
      <c r="U52" s="15"/>
      <c r="V52" s="15"/>
      <c r="W52" s="15"/>
      <c r="X52" s="8"/>
      <c r="Y52" s="8"/>
      <c r="Z52" s="8"/>
      <c r="AA52" s="9" t="str">
        <f>IF(A52="","",IF(OR(ABS(N52)&gt;Lists!$K$6,ABS(Q52)&gt;Lists!$K$3,ABS(T52)&gt;Lists!$K$4,ABS(U52)&gt;Lists!$K$5),"Failed","Passed"))</f>
        <v/>
      </c>
      <c r="AB52" s="8"/>
      <c r="AC52" s="8"/>
      <c r="AD52" s="8"/>
      <c r="AE52" s="10"/>
      <c r="AF52" s="8"/>
    </row>
    <row r="53" spans="1:32">
      <c r="A53" s="8"/>
      <c r="B53" s="10"/>
      <c r="C53" s="8"/>
      <c r="D53" s="8"/>
      <c r="E53" s="8"/>
      <c r="F53" s="8"/>
      <c r="G53" s="13"/>
      <c r="H53" s="13"/>
      <c r="I53" s="13"/>
      <c r="J53" s="14" t="str">
        <f t="shared" si="0"/>
        <v/>
      </c>
      <c r="K53" s="13"/>
      <c r="L53" s="14" t="str">
        <f t="shared" si="1"/>
        <v/>
      </c>
      <c r="M53" s="13"/>
      <c r="N53" s="16" t="str">
        <f t="shared" si="2"/>
        <v/>
      </c>
      <c r="O53" s="13"/>
      <c r="P53" s="13"/>
      <c r="Q53" s="16" t="str">
        <f t="shared" si="3"/>
        <v/>
      </c>
      <c r="R53" s="13"/>
      <c r="S53" s="13"/>
      <c r="T53" s="16" t="str">
        <f t="shared" si="4"/>
        <v/>
      </c>
      <c r="U53" s="15"/>
      <c r="V53" s="15"/>
      <c r="W53" s="15"/>
      <c r="X53" s="8"/>
      <c r="Y53" s="8"/>
      <c r="Z53" s="8"/>
      <c r="AA53" s="9" t="str">
        <f>IF(A53="","",IF(OR(ABS(N53)&gt;Lists!$K$6,ABS(Q53)&gt;Lists!$K$3,ABS(T53)&gt;Lists!$K$4,ABS(U53)&gt;Lists!$K$5),"Failed","Passed"))</f>
        <v/>
      </c>
      <c r="AB53" s="8"/>
      <c r="AC53" s="8"/>
      <c r="AD53" s="8"/>
      <c r="AE53" s="10"/>
      <c r="AF53" s="8"/>
    </row>
    <row r="54" spans="1:32">
      <c r="A54" s="8"/>
      <c r="B54" s="10"/>
      <c r="C54" s="8"/>
      <c r="D54" s="8"/>
      <c r="E54" s="8"/>
      <c r="F54" s="8"/>
      <c r="G54" s="13"/>
      <c r="H54" s="13"/>
      <c r="I54" s="13"/>
      <c r="J54" s="14" t="str">
        <f t="shared" si="0"/>
        <v/>
      </c>
      <c r="K54" s="13"/>
      <c r="L54" s="14" t="str">
        <f t="shared" si="1"/>
        <v/>
      </c>
      <c r="M54" s="13"/>
      <c r="N54" s="16" t="str">
        <f t="shared" si="2"/>
        <v/>
      </c>
      <c r="O54" s="13"/>
      <c r="P54" s="13"/>
      <c r="Q54" s="16" t="str">
        <f t="shared" si="3"/>
        <v/>
      </c>
      <c r="R54" s="13"/>
      <c r="S54" s="13"/>
      <c r="T54" s="16" t="str">
        <f t="shared" si="4"/>
        <v/>
      </c>
      <c r="U54" s="15"/>
      <c r="V54" s="15"/>
      <c r="W54" s="15"/>
      <c r="X54" s="8"/>
      <c r="Y54" s="8"/>
      <c r="Z54" s="8"/>
      <c r="AA54" s="9" t="str">
        <f>IF(A54="","",IF(OR(ABS(N54)&gt;Lists!$K$6,ABS(Q54)&gt;Lists!$K$3,ABS(T54)&gt;Lists!$K$4,ABS(U54)&gt;Lists!$K$5),"Failed","Passed"))</f>
        <v/>
      </c>
      <c r="AB54" s="8"/>
      <c r="AC54" s="8"/>
      <c r="AD54" s="8"/>
      <c r="AE54" s="10"/>
      <c r="AF54" s="8"/>
    </row>
    <row r="55" spans="1:32">
      <c r="A55" s="8"/>
      <c r="B55" s="10"/>
      <c r="C55" s="8"/>
      <c r="D55" s="8"/>
      <c r="E55" s="8"/>
      <c r="F55" s="8"/>
      <c r="G55" s="13"/>
      <c r="H55" s="13"/>
      <c r="I55" s="13"/>
      <c r="J55" s="14" t="str">
        <f t="shared" si="0"/>
        <v/>
      </c>
      <c r="K55" s="13"/>
      <c r="L55" s="14" t="str">
        <f t="shared" si="1"/>
        <v/>
      </c>
      <c r="M55" s="13"/>
      <c r="N55" s="16" t="str">
        <f t="shared" si="2"/>
        <v/>
      </c>
      <c r="O55" s="13"/>
      <c r="P55" s="13"/>
      <c r="Q55" s="16" t="str">
        <f t="shared" si="3"/>
        <v/>
      </c>
      <c r="R55" s="13"/>
      <c r="S55" s="13"/>
      <c r="T55" s="16" t="str">
        <f t="shared" si="4"/>
        <v/>
      </c>
      <c r="U55" s="15"/>
      <c r="V55" s="15"/>
      <c r="W55" s="15"/>
      <c r="X55" s="8"/>
      <c r="Y55" s="8"/>
      <c r="Z55" s="8"/>
      <c r="AA55" s="9" t="str">
        <f>IF(A55="","",IF(OR(ABS(N55)&gt;Lists!$K$6,ABS(Q55)&gt;Lists!$K$3,ABS(T55)&gt;Lists!$K$4,ABS(U55)&gt;Lists!$K$5),"Failed","Passed"))</f>
        <v/>
      </c>
      <c r="AB55" s="8"/>
      <c r="AC55" s="8"/>
      <c r="AD55" s="8"/>
      <c r="AE55" s="10"/>
      <c r="AF55" s="8"/>
    </row>
    <row r="56" spans="1:32">
      <c r="A56" s="8"/>
      <c r="B56" s="10"/>
      <c r="C56" s="8"/>
      <c r="D56" s="8"/>
      <c r="E56" s="8"/>
      <c r="F56" s="8"/>
      <c r="G56" s="13"/>
      <c r="H56" s="13"/>
      <c r="I56" s="13"/>
      <c r="J56" s="14" t="str">
        <f t="shared" si="0"/>
        <v/>
      </c>
      <c r="K56" s="13"/>
      <c r="L56" s="14" t="str">
        <f t="shared" si="1"/>
        <v/>
      </c>
      <c r="M56" s="13"/>
      <c r="N56" s="16" t="str">
        <f t="shared" si="2"/>
        <v/>
      </c>
      <c r="O56" s="13"/>
      <c r="P56" s="13"/>
      <c r="Q56" s="16" t="str">
        <f t="shared" si="3"/>
        <v/>
      </c>
      <c r="R56" s="13"/>
      <c r="S56" s="13"/>
      <c r="T56" s="16" t="str">
        <f t="shared" si="4"/>
        <v/>
      </c>
      <c r="U56" s="15"/>
      <c r="V56" s="15"/>
      <c r="W56" s="15"/>
      <c r="X56" s="8"/>
      <c r="Y56" s="8"/>
      <c r="Z56" s="8"/>
      <c r="AA56" s="9" t="str">
        <f>IF(A56="","",IF(OR(ABS(N56)&gt;Lists!$K$6,ABS(Q56)&gt;Lists!$K$3,ABS(T56)&gt;Lists!$K$4,ABS(U56)&gt;Lists!$K$5),"Failed","Passed"))</f>
        <v/>
      </c>
      <c r="AB56" s="8"/>
      <c r="AC56" s="8"/>
      <c r="AD56" s="8"/>
      <c r="AE56" s="10"/>
      <c r="AF56" s="8"/>
    </row>
    <row r="57" spans="1:32">
      <c r="A57" s="8"/>
      <c r="B57" s="10"/>
      <c r="C57" s="8"/>
      <c r="D57" s="8"/>
      <c r="E57" s="8"/>
      <c r="F57" s="8"/>
      <c r="G57" s="13"/>
      <c r="H57" s="13"/>
      <c r="I57" s="13"/>
      <c r="J57" s="14" t="str">
        <f t="shared" si="0"/>
        <v/>
      </c>
      <c r="K57" s="13"/>
      <c r="L57" s="14" t="str">
        <f t="shared" si="1"/>
        <v/>
      </c>
      <c r="M57" s="13"/>
      <c r="N57" s="16" t="str">
        <f t="shared" si="2"/>
        <v/>
      </c>
      <c r="O57" s="13"/>
      <c r="P57" s="13"/>
      <c r="Q57" s="16" t="str">
        <f t="shared" si="3"/>
        <v/>
      </c>
      <c r="R57" s="13"/>
      <c r="S57" s="13"/>
      <c r="T57" s="16" t="str">
        <f t="shared" si="4"/>
        <v/>
      </c>
      <c r="U57" s="15"/>
      <c r="V57" s="15"/>
      <c r="W57" s="15"/>
      <c r="X57" s="8"/>
      <c r="Y57" s="8"/>
      <c r="Z57" s="8"/>
      <c r="AA57" s="9" t="str">
        <f>IF(A57="","",IF(OR(ABS(N57)&gt;Lists!$K$6,ABS(Q57)&gt;Lists!$K$3,ABS(T57)&gt;Lists!$K$4,ABS(U57)&gt;Lists!$K$5),"Failed","Passed"))</f>
        <v/>
      </c>
      <c r="AB57" s="8"/>
      <c r="AC57" s="8"/>
      <c r="AD57" s="8"/>
      <c r="AE57" s="10"/>
      <c r="AF57" s="8"/>
    </row>
    <row r="58" spans="1:32">
      <c r="A58" s="8"/>
      <c r="B58" s="10"/>
      <c r="C58" s="8"/>
      <c r="D58" s="8"/>
      <c r="E58" s="8"/>
      <c r="F58" s="8"/>
      <c r="G58" s="13"/>
      <c r="H58" s="13"/>
      <c r="I58" s="13"/>
      <c r="J58" s="14" t="str">
        <f t="shared" si="0"/>
        <v/>
      </c>
      <c r="K58" s="13"/>
      <c r="L58" s="14" t="str">
        <f t="shared" si="1"/>
        <v/>
      </c>
      <c r="M58" s="13"/>
      <c r="N58" s="16" t="str">
        <f t="shared" si="2"/>
        <v/>
      </c>
      <c r="O58" s="13"/>
      <c r="P58" s="13"/>
      <c r="Q58" s="16" t="str">
        <f t="shared" si="3"/>
        <v/>
      </c>
      <c r="R58" s="13"/>
      <c r="S58" s="13"/>
      <c r="T58" s="16" t="str">
        <f t="shared" si="4"/>
        <v/>
      </c>
      <c r="U58" s="15"/>
      <c r="V58" s="15"/>
      <c r="W58" s="15"/>
      <c r="X58" s="8"/>
      <c r="Y58" s="8"/>
      <c r="Z58" s="8"/>
      <c r="AA58" s="9" t="str">
        <f>IF(A58="","",IF(OR(ABS(N58)&gt;Lists!$K$6,ABS(Q58)&gt;Lists!$K$3,ABS(T58)&gt;Lists!$K$4,ABS(U58)&gt;Lists!$K$5),"Failed","Passed"))</f>
        <v/>
      </c>
      <c r="AB58" s="8"/>
      <c r="AC58" s="8"/>
      <c r="AD58" s="8"/>
      <c r="AE58" s="10"/>
      <c r="AF58" s="8"/>
    </row>
    <row r="59" spans="1:32">
      <c r="A59" s="8"/>
      <c r="B59" s="10"/>
      <c r="C59" s="8"/>
      <c r="D59" s="8"/>
      <c r="E59" s="8"/>
      <c r="F59" s="8"/>
      <c r="G59" s="13"/>
      <c r="H59" s="13"/>
      <c r="I59" s="13"/>
      <c r="J59" s="14" t="str">
        <f t="shared" si="0"/>
        <v/>
      </c>
      <c r="K59" s="13"/>
      <c r="L59" s="14" t="str">
        <f t="shared" si="1"/>
        <v/>
      </c>
      <c r="M59" s="13"/>
      <c r="N59" s="16" t="str">
        <f t="shared" si="2"/>
        <v/>
      </c>
      <c r="O59" s="13"/>
      <c r="P59" s="13"/>
      <c r="Q59" s="16" t="str">
        <f t="shared" si="3"/>
        <v/>
      </c>
      <c r="R59" s="13"/>
      <c r="S59" s="13"/>
      <c r="T59" s="16" t="str">
        <f t="shared" si="4"/>
        <v/>
      </c>
      <c r="U59" s="15"/>
      <c r="V59" s="15"/>
      <c r="W59" s="15"/>
      <c r="X59" s="8"/>
      <c r="Y59" s="8"/>
      <c r="Z59" s="8"/>
      <c r="AA59" s="9" t="str">
        <f>IF(A59="","",IF(OR(ABS(N59)&gt;Lists!$K$6,ABS(Q59)&gt;Lists!$K$3,ABS(T59)&gt;Lists!$K$4,ABS(U59)&gt;Lists!$K$5),"Failed","Passed"))</f>
        <v/>
      </c>
      <c r="AB59" s="8"/>
      <c r="AC59" s="8"/>
      <c r="AD59" s="8"/>
      <c r="AE59" s="10"/>
      <c r="AF59" s="8"/>
    </row>
    <row r="60" spans="1:32">
      <c r="A60" s="8"/>
      <c r="B60" s="10"/>
      <c r="C60" s="8"/>
      <c r="D60" s="8"/>
      <c r="E60" s="8"/>
      <c r="F60" s="8"/>
      <c r="G60" s="13"/>
      <c r="H60" s="13"/>
      <c r="I60" s="13"/>
      <c r="J60" s="14" t="str">
        <f t="shared" si="0"/>
        <v/>
      </c>
      <c r="K60" s="13"/>
      <c r="L60" s="14" t="str">
        <f t="shared" si="1"/>
        <v/>
      </c>
      <c r="M60" s="13"/>
      <c r="N60" s="16" t="str">
        <f t="shared" si="2"/>
        <v/>
      </c>
      <c r="O60" s="13"/>
      <c r="P60" s="13"/>
      <c r="Q60" s="16" t="str">
        <f t="shared" si="3"/>
        <v/>
      </c>
      <c r="R60" s="13"/>
      <c r="S60" s="13"/>
      <c r="T60" s="16" t="str">
        <f t="shared" si="4"/>
        <v/>
      </c>
      <c r="U60" s="15"/>
      <c r="V60" s="15"/>
      <c r="W60" s="15"/>
      <c r="X60" s="8"/>
      <c r="Y60" s="8"/>
      <c r="Z60" s="8"/>
      <c r="AA60" s="9" t="str">
        <f>IF(A60="","",IF(OR(ABS(N60)&gt;Lists!$K$6,ABS(Q60)&gt;Lists!$K$3,ABS(T60)&gt;Lists!$K$4,ABS(U60)&gt;Lists!$K$5),"Failed","Passed"))</f>
        <v/>
      </c>
      <c r="AB60" s="8"/>
      <c r="AC60" s="8"/>
      <c r="AD60" s="8"/>
      <c r="AE60" s="10"/>
      <c r="AF60" s="8"/>
    </row>
    <row r="61" spans="1:32">
      <c r="A61" s="8"/>
      <c r="B61" s="10"/>
      <c r="C61" s="8"/>
      <c r="D61" s="8"/>
      <c r="E61" s="8"/>
      <c r="F61" s="8"/>
      <c r="G61" s="13"/>
      <c r="H61" s="13"/>
      <c r="I61" s="13"/>
      <c r="J61" s="14" t="str">
        <f t="shared" si="0"/>
        <v/>
      </c>
      <c r="K61" s="13"/>
      <c r="L61" s="14" t="str">
        <f t="shared" si="1"/>
        <v/>
      </c>
      <c r="M61" s="13"/>
      <c r="N61" s="16" t="str">
        <f t="shared" si="2"/>
        <v/>
      </c>
      <c r="O61" s="13"/>
      <c r="P61" s="13"/>
      <c r="Q61" s="16" t="str">
        <f t="shared" si="3"/>
        <v/>
      </c>
      <c r="R61" s="13"/>
      <c r="S61" s="13"/>
      <c r="T61" s="16" t="str">
        <f t="shared" si="4"/>
        <v/>
      </c>
      <c r="U61" s="15"/>
      <c r="V61" s="15"/>
      <c r="W61" s="15"/>
      <c r="X61" s="8"/>
      <c r="Y61" s="8"/>
      <c r="Z61" s="8"/>
      <c r="AA61" s="9" t="str">
        <f>IF(A61="","",IF(OR(ABS(N61)&gt;Lists!$K$6,ABS(Q61)&gt;Lists!$K$3,ABS(T61)&gt;Lists!$K$4,ABS(U61)&gt;Lists!$K$5),"Failed","Passed"))</f>
        <v/>
      </c>
      <c r="AB61" s="8"/>
      <c r="AC61" s="8"/>
      <c r="AD61" s="8"/>
      <c r="AE61" s="10"/>
      <c r="AF61" s="8"/>
    </row>
    <row r="62" spans="1:32">
      <c r="A62" s="8"/>
      <c r="B62" s="10"/>
      <c r="C62" s="8"/>
      <c r="D62" s="8"/>
      <c r="E62" s="8"/>
      <c r="F62" s="8"/>
      <c r="G62" s="13"/>
      <c r="H62" s="13"/>
      <c r="I62" s="13"/>
      <c r="J62" s="14" t="str">
        <f t="shared" si="0"/>
        <v/>
      </c>
      <c r="K62" s="13"/>
      <c r="L62" s="14" t="str">
        <f t="shared" si="1"/>
        <v/>
      </c>
      <c r="M62" s="13"/>
      <c r="N62" s="16" t="str">
        <f t="shared" si="2"/>
        <v/>
      </c>
      <c r="O62" s="13"/>
      <c r="P62" s="13"/>
      <c r="Q62" s="16" t="str">
        <f t="shared" si="3"/>
        <v/>
      </c>
      <c r="R62" s="13"/>
      <c r="S62" s="13"/>
      <c r="T62" s="16" t="str">
        <f t="shared" si="4"/>
        <v/>
      </c>
      <c r="U62" s="15"/>
      <c r="V62" s="15"/>
      <c r="W62" s="15"/>
      <c r="X62" s="8"/>
      <c r="Y62" s="8"/>
      <c r="Z62" s="8"/>
      <c r="AA62" s="9" t="str">
        <f>IF(A62="","",IF(OR(ABS(N62)&gt;Lists!$K$6,ABS(Q62)&gt;Lists!$K$3,ABS(T62)&gt;Lists!$K$4,ABS(U62)&gt;Lists!$K$5),"Failed","Passed"))</f>
        <v/>
      </c>
      <c r="AB62" s="8"/>
      <c r="AC62" s="8"/>
      <c r="AD62" s="8"/>
      <c r="AE62" s="10"/>
      <c r="AF62" s="8"/>
    </row>
    <row r="63" spans="1:32">
      <c r="A63" s="8"/>
      <c r="B63" s="10"/>
      <c r="C63" s="8"/>
      <c r="D63" s="8"/>
      <c r="E63" s="8"/>
      <c r="F63" s="8"/>
      <c r="G63" s="13"/>
      <c r="H63" s="13"/>
      <c r="I63" s="13"/>
      <c r="J63" s="14" t="str">
        <f t="shared" si="0"/>
        <v/>
      </c>
      <c r="K63" s="13"/>
      <c r="L63" s="14" t="str">
        <f t="shared" si="1"/>
        <v/>
      </c>
      <c r="M63" s="13"/>
      <c r="N63" s="16" t="str">
        <f t="shared" si="2"/>
        <v/>
      </c>
      <c r="O63" s="13"/>
      <c r="P63" s="13"/>
      <c r="Q63" s="16" t="str">
        <f t="shared" si="3"/>
        <v/>
      </c>
      <c r="R63" s="13"/>
      <c r="S63" s="13"/>
      <c r="T63" s="16" t="str">
        <f t="shared" si="4"/>
        <v/>
      </c>
      <c r="U63" s="15"/>
      <c r="V63" s="15"/>
      <c r="W63" s="15"/>
      <c r="X63" s="8"/>
      <c r="Y63" s="8"/>
      <c r="Z63" s="8"/>
      <c r="AA63" s="9" t="str">
        <f>IF(A63="","",IF(OR(ABS(N63)&gt;Lists!$K$6,ABS(Q63)&gt;Lists!$K$3,ABS(T63)&gt;Lists!$K$4,ABS(U63)&gt;Lists!$K$5),"Failed","Passed"))</f>
        <v/>
      </c>
      <c r="AB63" s="8"/>
      <c r="AC63" s="8"/>
      <c r="AD63" s="8"/>
      <c r="AE63" s="10"/>
      <c r="AF63" s="8"/>
    </row>
    <row r="64" spans="1:32">
      <c r="A64" s="8"/>
      <c r="B64" s="10"/>
      <c r="C64" s="8"/>
      <c r="D64" s="8"/>
      <c r="E64" s="8"/>
      <c r="F64" s="8"/>
      <c r="G64" s="13"/>
      <c r="H64" s="13"/>
      <c r="I64" s="13"/>
      <c r="J64" s="14" t="str">
        <f t="shared" si="0"/>
        <v/>
      </c>
      <c r="K64" s="13"/>
      <c r="L64" s="14" t="str">
        <f t="shared" si="1"/>
        <v/>
      </c>
      <c r="M64" s="13"/>
      <c r="N64" s="16" t="str">
        <f t="shared" si="2"/>
        <v/>
      </c>
      <c r="O64" s="13"/>
      <c r="P64" s="13"/>
      <c r="Q64" s="16" t="str">
        <f t="shared" si="3"/>
        <v/>
      </c>
      <c r="R64" s="13"/>
      <c r="S64" s="13"/>
      <c r="T64" s="16" t="str">
        <f t="shared" si="4"/>
        <v/>
      </c>
      <c r="U64" s="15"/>
      <c r="V64" s="15"/>
      <c r="W64" s="15"/>
      <c r="X64" s="8"/>
      <c r="Y64" s="8"/>
      <c r="Z64" s="8"/>
      <c r="AA64" s="9" t="str">
        <f>IF(A64="","",IF(OR(ABS(N64)&gt;Lists!$K$6,ABS(Q64)&gt;Lists!$K$3,ABS(T64)&gt;Lists!$K$4,ABS(U64)&gt;Lists!$K$5),"Failed","Passed"))</f>
        <v/>
      </c>
      <c r="AB64" s="8"/>
      <c r="AC64" s="8"/>
      <c r="AD64" s="8"/>
      <c r="AE64" s="10"/>
      <c r="AF64" s="8"/>
    </row>
    <row r="65" spans="1:32">
      <c r="A65" s="8"/>
      <c r="B65" s="10"/>
      <c r="C65" s="8"/>
      <c r="D65" s="8"/>
      <c r="E65" s="8"/>
      <c r="F65" s="8"/>
      <c r="G65" s="13"/>
      <c r="H65" s="13"/>
      <c r="I65" s="13"/>
      <c r="J65" s="14" t="str">
        <f t="shared" si="0"/>
        <v/>
      </c>
      <c r="K65" s="13"/>
      <c r="L65" s="14" t="str">
        <f t="shared" si="1"/>
        <v/>
      </c>
      <c r="M65" s="13"/>
      <c r="N65" s="16" t="str">
        <f t="shared" si="2"/>
        <v/>
      </c>
      <c r="O65" s="13"/>
      <c r="P65" s="13"/>
      <c r="Q65" s="16" t="str">
        <f t="shared" si="3"/>
        <v/>
      </c>
      <c r="R65" s="13"/>
      <c r="S65" s="13"/>
      <c r="T65" s="16" t="str">
        <f t="shared" si="4"/>
        <v/>
      </c>
      <c r="U65" s="15"/>
      <c r="V65" s="15"/>
      <c r="W65" s="15"/>
      <c r="X65" s="8"/>
      <c r="Y65" s="8"/>
      <c r="Z65" s="8"/>
      <c r="AA65" s="9" t="str">
        <f>IF(A65="","",IF(OR(ABS(N65)&gt;Lists!$K$6,ABS(Q65)&gt;Lists!$K$3,ABS(T65)&gt;Lists!$K$4,ABS(U65)&gt;Lists!$K$5),"Failed","Passed"))</f>
        <v/>
      </c>
      <c r="AB65" s="8"/>
      <c r="AC65" s="8"/>
      <c r="AD65" s="8"/>
      <c r="AE65" s="10"/>
      <c r="AF65" s="8"/>
    </row>
    <row r="66" spans="1:32">
      <c r="A66" s="8"/>
      <c r="B66" s="10"/>
      <c r="C66" s="8"/>
      <c r="D66" s="8"/>
      <c r="E66" s="8"/>
      <c r="F66" s="8"/>
      <c r="G66" s="13"/>
      <c r="H66" s="13"/>
      <c r="I66" s="13"/>
      <c r="J66" s="14" t="str">
        <f t="shared" si="0"/>
        <v/>
      </c>
      <c r="K66" s="13"/>
      <c r="L66" s="14" t="str">
        <f t="shared" si="1"/>
        <v/>
      </c>
      <c r="M66" s="13"/>
      <c r="N66" s="16" t="str">
        <f t="shared" si="2"/>
        <v/>
      </c>
      <c r="O66" s="13"/>
      <c r="P66" s="13"/>
      <c r="Q66" s="16" t="str">
        <f t="shared" si="3"/>
        <v/>
      </c>
      <c r="R66" s="13"/>
      <c r="S66" s="13"/>
      <c r="T66" s="16" t="str">
        <f t="shared" si="4"/>
        <v/>
      </c>
      <c r="U66" s="15"/>
      <c r="V66" s="15"/>
      <c r="W66" s="15"/>
      <c r="X66" s="8"/>
      <c r="Y66" s="8"/>
      <c r="Z66" s="8"/>
      <c r="AA66" s="9" t="str">
        <f>IF(A66="","",IF(OR(ABS(N66)&gt;Lists!$K$6,ABS(Q66)&gt;Lists!$K$3,ABS(T66)&gt;Lists!$K$4,ABS(U66)&gt;Lists!$K$5),"Failed","Passed"))</f>
        <v/>
      </c>
      <c r="AB66" s="8"/>
      <c r="AC66" s="8"/>
      <c r="AD66" s="8"/>
      <c r="AE66" s="10"/>
      <c r="AF66" s="8"/>
    </row>
    <row r="67" spans="1:32">
      <c r="A67" s="8"/>
      <c r="B67" s="10"/>
      <c r="C67" s="8"/>
      <c r="D67" s="8"/>
      <c r="E67" s="8"/>
      <c r="F67" s="8"/>
      <c r="G67" s="13"/>
      <c r="H67" s="13"/>
      <c r="I67" s="13"/>
      <c r="J67" s="14" t="str">
        <f t="shared" si="0"/>
        <v/>
      </c>
      <c r="K67" s="13"/>
      <c r="L67" s="14" t="str">
        <f t="shared" si="1"/>
        <v/>
      </c>
      <c r="M67" s="13"/>
      <c r="N67" s="16" t="str">
        <f t="shared" si="2"/>
        <v/>
      </c>
      <c r="O67" s="13"/>
      <c r="P67" s="13"/>
      <c r="Q67" s="16" t="str">
        <f t="shared" si="3"/>
        <v/>
      </c>
      <c r="R67" s="13"/>
      <c r="S67" s="13"/>
      <c r="T67" s="16" t="str">
        <f t="shared" si="4"/>
        <v/>
      </c>
      <c r="U67" s="15"/>
      <c r="V67" s="15"/>
      <c r="W67" s="15"/>
      <c r="X67" s="8"/>
      <c r="Y67" s="8"/>
      <c r="Z67" s="8"/>
      <c r="AA67" s="9" t="str">
        <f>IF(A67="","",IF(OR(ABS(N67)&gt;Lists!$K$6,ABS(Q67)&gt;Lists!$K$3,ABS(T67)&gt;Lists!$K$4,ABS(U67)&gt;Lists!$K$5),"Failed","Passed"))</f>
        <v/>
      </c>
      <c r="AB67" s="8"/>
      <c r="AC67" s="8"/>
      <c r="AD67" s="8"/>
      <c r="AE67" s="10"/>
      <c r="AF67" s="8"/>
    </row>
    <row r="68" spans="1:32">
      <c r="A68" s="8"/>
      <c r="B68" s="10"/>
      <c r="C68" s="8"/>
      <c r="D68" s="8"/>
      <c r="E68" s="8"/>
      <c r="F68" s="8"/>
      <c r="G68" s="13"/>
      <c r="H68" s="13"/>
      <c r="I68" s="13"/>
      <c r="J68" s="14" t="str">
        <f t="shared" si="0"/>
        <v/>
      </c>
      <c r="K68" s="13"/>
      <c r="L68" s="14" t="str">
        <f t="shared" si="1"/>
        <v/>
      </c>
      <c r="M68" s="13"/>
      <c r="N68" s="16" t="str">
        <f t="shared" si="2"/>
        <v/>
      </c>
      <c r="O68" s="13"/>
      <c r="P68" s="13"/>
      <c r="Q68" s="16" t="str">
        <f t="shared" si="3"/>
        <v/>
      </c>
      <c r="R68" s="13"/>
      <c r="S68" s="13"/>
      <c r="T68" s="16" t="str">
        <f t="shared" si="4"/>
        <v/>
      </c>
      <c r="U68" s="15"/>
      <c r="V68" s="15"/>
      <c r="W68" s="15"/>
      <c r="X68" s="8"/>
      <c r="Y68" s="8"/>
      <c r="Z68" s="8"/>
      <c r="AA68" s="9" t="str">
        <f>IF(A68="","",IF(OR(ABS(N68)&gt;Lists!$K$6,ABS(Q68)&gt;Lists!$K$3,ABS(T68)&gt;Lists!$K$4,ABS(U68)&gt;Lists!$K$5),"Failed","Passed"))</f>
        <v/>
      </c>
      <c r="AB68" s="8"/>
      <c r="AC68" s="8"/>
      <c r="AD68" s="8"/>
      <c r="AE68" s="10"/>
      <c r="AF68" s="8"/>
    </row>
    <row r="69" spans="1:32">
      <c r="A69" s="8"/>
      <c r="B69" s="10"/>
      <c r="C69" s="8"/>
      <c r="D69" s="8"/>
      <c r="E69" s="8"/>
      <c r="F69" s="8"/>
      <c r="G69" s="13"/>
      <c r="H69" s="13"/>
      <c r="I69" s="13"/>
      <c r="J69" s="14" t="str">
        <f t="shared" ref="J69:J132" si="5">IF(OR(A69="",H69=0),"",I69*10000/H69)</f>
        <v/>
      </c>
      <c r="K69" s="13"/>
      <c r="L69" s="14" t="str">
        <f t="shared" ref="L69:L132" si="6">IF(OR(A69="",H69=0),"",K69*10000/H69)</f>
        <v/>
      </c>
      <c r="M69" s="13"/>
      <c r="N69" s="16" t="str">
        <f t="shared" ref="N69:N132" si="7">IF(OR(A69="",M69=0),"",(L69-M69)/M69)</f>
        <v/>
      </c>
      <c r="O69" s="13"/>
      <c r="P69" s="13"/>
      <c r="Q69" s="16" t="str">
        <f t="shared" ref="Q69:Q132" si="8">IF(OR(A69="",O69=0),"",(O69-P69)/O69)</f>
        <v/>
      </c>
      <c r="R69" s="13"/>
      <c r="S69" s="13"/>
      <c r="T69" s="16" t="str">
        <f t="shared" ref="T69:T132" si="9">IF(OR(A69="",R69=0),"",(R69-S69)/R69)</f>
        <v/>
      </c>
      <c r="U69" s="15"/>
      <c r="V69" s="15"/>
      <c r="W69" s="15"/>
      <c r="X69" s="8"/>
      <c r="Y69" s="8"/>
      <c r="Z69" s="8"/>
      <c r="AA69" s="9" t="str">
        <f>IF(A69="","",IF(OR(ABS(N69)&gt;Lists!$K$6,ABS(Q69)&gt;Lists!$K$3,ABS(T69)&gt;Lists!$K$4,ABS(U69)&gt;Lists!$K$5),"Failed","Passed"))</f>
        <v/>
      </c>
      <c r="AB69" s="8"/>
      <c r="AC69" s="8"/>
      <c r="AD69" s="8"/>
      <c r="AE69" s="10"/>
      <c r="AF69" s="8"/>
    </row>
    <row r="70" spans="1:32">
      <c r="A70" s="8"/>
      <c r="B70" s="10"/>
      <c r="C70" s="8"/>
      <c r="D70" s="8"/>
      <c r="E70" s="8"/>
      <c r="F70" s="8"/>
      <c r="G70" s="13"/>
      <c r="H70" s="13"/>
      <c r="I70" s="13"/>
      <c r="J70" s="14" t="str">
        <f t="shared" si="5"/>
        <v/>
      </c>
      <c r="K70" s="13"/>
      <c r="L70" s="14" t="str">
        <f t="shared" si="6"/>
        <v/>
      </c>
      <c r="M70" s="13"/>
      <c r="N70" s="16" t="str">
        <f t="shared" si="7"/>
        <v/>
      </c>
      <c r="O70" s="13"/>
      <c r="P70" s="13"/>
      <c r="Q70" s="16" t="str">
        <f t="shared" si="8"/>
        <v/>
      </c>
      <c r="R70" s="13"/>
      <c r="S70" s="13"/>
      <c r="T70" s="16" t="str">
        <f t="shared" si="9"/>
        <v/>
      </c>
      <c r="U70" s="15"/>
      <c r="V70" s="15"/>
      <c r="W70" s="15"/>
      <c r="X70" s="8"/>
      <c r="Y70" s="8"/>
      <c r="Z70" s="8"/>
      <c r="AA70" s="9" t="str">
        <f>IF(A70="","",IF(OR(ABS(N70)&gt;Lists!$K$6,ABS(Q70)&gt;Lists!$K$3,ABS(T70)&gt;Lists!$K$4,ABS(U70)&gt;Lists!$K$5),"Failed","Passed"))</f>
        <v/>
      </c>
      <c r="AB70" s="8"/>
      <c r="AC70" s="8"/>
      <c r="AD70" s="8"/>
      <c r="AE70" s="10"/>
      <c r="AF70" s="8"/>
    </row>
    <row r="71" spans="1:32">
      <c r="A71" s="8"/>
      <c r="B71" s="10"/>
      <c r="C71" s="8"/>
      <c r="D71" s="8"/>
      <c r="E71" s="8"/>
      <c r="F71" s="8"/>
      <c r="G71" s="13"/>
      <c r="H71" s="13"/>
      <c r="I71" s="13"/>
      <c r="J71" s="14" t="str">
        <f t="shared" si="5"/>
        <v/>
      </c>
      <c r="K71" s="13"/>
      <c r="L71" s="14" t="str">
        <f t="shared" si="6"/>
        <v/>
      </c>
      <c r="M71" s="13"/>
      <c r="N71" s="16" t="str">
        <f t="shared" si="7"/>
        <v/>
      </c>
      <c r="O71" s="13"/>
      <c r="P71" s="13"/>
      <c r="Q71" s="16" t="str">
        <f t="shared" si="8"/>
        <v/>
      </c>
      <c r="R71" s="13"/>
      <c r="S71" s="13"/>
      <c r="T71" s="16" t="str">
        <f t="shared" si="9"/>
        <v/>
      </c>
      <c r="U71" s="15"/>
      <c r="V71" s="15"/>
      <c r="W71" s="15"/>
      <c r="X71" s="8"/>
      <c r="Y71" s="8"/>
      <c r="Z71" s="8"/>
      <c r="AA71" s="9" t="str">
        <f>IF(A71="","",IF(OR(ABS(N71)&gt;Lists!$K$6,ABS(Q71)&gt;Lists!$K$3,ABS(T71)&gt;Lists!$K$4,ABS(U71)&gt;Lists!$K$5),"Failed","Passed"))</f>
        <v/>
      </c>
      <c r="AB71" s="8"/>
      <c r="AC71" s="8"/>
      <c r="AD71" s="8"/>
      <c r="AE71" s="10"/>
      <c r="AF71" s="8"/>
    </row>
    <row r="72" spans="1:32">
      <c r="A72" s="8"/>
      <c r="B72" s="10"/>
      <c r="C72" s="8"/>
      <c r="D72" s="8"/>
      <c r="E72" s="8"/>
      <c r="F72" s="8"/>
      <c r="G72" s="13"/>
      <c r="H72" s="13"/>
      <c r="I72" s="13"/>
      <c r="J72" s="14" t="str">
        <f t="shared" si="5"/>
        <v/>
      </c>
      <c r="K72" s="13"/>
      <c r="L72" s="14" t="str">
        <f t="shared" si="6"/>
        <v/>
      </c>
      <c r="M72" s="13"/>
      <c r="N72" s="16" t="str">
        <f t="shared" si="7"/>
        <v/>
      </c>
      <c r="O72" s="13"/>
      <c r="P72" s="13"/>
      <c r="Q72" s="16" t="str">
        <f t="shared" si="8"/>
        <v/>
      </c>
      <c r="R72" s="13"/>
      <c r="S72" s="13"/>
      <c r="T72" s="16" t="str">
        <f t="shared" si="9"/>
        <v/>
      </c>
      <c r="U72" s="15"/>
      <c r="V72" s="15"/>
      <c r="W72" s="15"/>
      <c r="X72" s="8"/>
      <c r="Y72" s="8"/>
      <c r="Z72" s="8"/>
      <c r="AA72" s="9" t="str">
        <f>IF(A72="","",IF(OR(ABS(N72)&gt;Lists!$K$6,ABS(Q72)&gt;Lists!$K$3,ABS(T72)&gt;Lists!$K$4,ABS(U72)&gt;Lists!$K$5),"Failed","Passed"))</f>
        <v/>
      </c>
      <c r="AB72" s="8"/>
      <c r="AC72" s="8"/>
      <c r="AD72" s="8"/>
      <c r="AE72" s="10"/>
      <c r="AF72" s="8"/>
    </row>
    <row r="73" spans="1:32">
      <c r="A73" s="8"/>
      <c r="B73" s="10"/>
      <c r="C73" s="8"/>
      <c r="D73" s="8"/>
      <c r="E73" s="8"/>
      <c r="F73" s="8"/>
      <c r="G73" s="13"/>
      <c r="H73" s="13"/>
      <c r="I73" s="13"/>
      <c r="J73" s="14" t="str">
        <f t="shared" si="5"/>
        <v/>
      </c>
      <c r="K73" s="13"/>
      <c r="L73" s="14" t="str">
        <f t="shared" si="6"/>
        <v/>
      </c>
      <c r="M73" s="13"/>
      <c r="N73" s="16" t="str">
        <f t="shared" si="7"/>
        <v/>
      </c>
      <c r="O73" s="13"/>
      <c r="P73" s="13"/>
      <c r="Q73" s="16" t="str">
        <f t="shared" si="8"/>
        <v/>
      </c>
      <c r="R73" s="13"/>
      <c r="S73" s="13"/>
      <c r="T73" s="16" t="str">
        <f t="shared" si="9"/>
        <v/>
      </c>
      <c r="U73" s="15"/>
      <c r="V73" s="15"/>
      <c r="W73" s="15"/>
      <c r="X73" s="8"/>
      <c r="Y73" s="8"/>
      <c r="Z73" s="8"/>
      <c r="AA73" s="9" t="str">
        <f>IF(A73="","",IF(OR(ABS(N73)&gt;Lists!$K$6,ABS(Q73)&gt;Lists!$K$3,ABS(T73)&gt;Lists!$K$4,ABS(U73)&gt;Lists!$K$5),"Failed","Passed"))</f>
        <v/>
      </c>
      <c r="AB73" s="8"/>
      <c r="AC73" s="8"/>
      <c r="AD73" s="8"/>
      <c r="AE73" s="10"/>
      <c r="AF73" s="8"/>
    </row>
    <row r="74" spans="1:32">
      <c r="A74" s="8"/>
      <c r="B74" s="10"/>
      <c r="C74" s="8"/>
      <c r="D74" s="8"/>
      <c r="E74" s="8"/>
      <c r="F74" s="8"/>
      <c r="G74" s="13"/>
      <c r="H74" s="13"/>
      <c r="I74" s="13"/>
      <c r="J74" s="14" t="str">
        <f t="shared" si="5"/>
        <v/>
      </c>
      <c r="K74" s="13"/>
      <c r="L74" s="14" t="str">
        <f t="shared" si="6"/>
        <v/>
      </c>
      <c r="M74" s="13"/>
      <c r="N74" s="16" t="str">
        <f t="shared" si="7"/>
        <v/>
      </c>
      <c r="O74" s="13"/>
      <c r="P74" s="13"/>
      <c r="Q74" s="16" t="str">
        <f t="shared" si="8"/>
        <v/>
      </c>
      <c r="R74" s="13"/>
      <c r="S74" s="13"/>
      <c r="T74" s="16" t="str">
        <f t="shared" si="9"/>
        <v/>
      </c>
      <c r="U74" s="15"/>
      <c r="V74" s="15"/>
      <c r="W74" s="15"/>
      <c r="X74" s="8"/>
      <c r="Y74" s="8"/>
      <c r="Z74" s="8"/>
      <c r="AA74" s="9" t="str">
        <f>IF(A74="","",IF(OR(ABS(N74)&gt;Lists!$K$6,ABS(Q74)&gt;Lists!$K$3,ABS(T74)&gt;Lists!$K$4,ABS(U74)&gt;Lists!$K$5),"Failed","Passed"))</f>
        <v/>
      </c>
      <c r="AB74" s="8"/>
      <c r="AC74" s="8"/>
      <c r="AD74" s="8"/>
      <c r="AE74" s="10"/>
      <c r="AF74" s="8"/>
    </row>
    <row r="75" spans="1:32">
      <c r="A75" s="8"/>
      <c r="B75" s="10"/>
      <c r="C75" s="8"/>
      <c r="D75" s="8"/>
      <c r="E75" s="8"/>
      <c r="F75" s="8"/>
      <c r="G75" s="13"/>
      <c r="H75" s="13"/>
      <c r="I75" s="13"/>
      <c r="J75" s="14" t="str">
        <f t="shared" si="5"/>
        <v/>
      </c>
      <c r="K75" s="13"/>
      <c r="L75" s="14" t="str">
        <f t="shared" si="6"/>
        <v/>
      </c>
      <c r="M75" s="13"/>
      <c r="N75" s="16" t="str">
        <f t="shared" si="7"/>
        <v/>
      </c>
      <c r="O75" s="13"/>
      <c r="P75" s="13"/>
      <c r="Q75" s="16" t="str">
        <f t="shared" si="8"/>
        <v/>
      </c>
      <c r="R75" s="13"/>
      <c r="S75" s="13"/>
      <c r="T75" s="16" t="str">
        <f t="shared" si="9"/>
        <v/>
      </c>
      <c r="U75" s="15"/>
      <c r="V75" s="15"/>
      <c r="W75" s="15"/>
      <c r="X75" s="8"/>
      <c r="Y75" s="8"/>
      <c r="Z75" s="8"/>
      <c r="AA75" s="9" t="str">
        <f>IF(A75="","",IF(OR(ABS(N75)&gt;Lists!$K$6,ABS(Q75)&gt;Lists!$K$3,ABS(T75)&gt;Lists!$K$4,ABS(U75)&gt;Lists!$K$5),"Failed","Passed"))</f>
        <v/>
      </c>
      <c r="AB75" s="8"/>
      <c r="AC75" s="8"/>
      <c r="AD75" s="8"/>
      <c r="AE75" s="10"/>
      <c r="AF75" s="8"/>
    </row>
    <row r="76" spans="1:32">
      <c r="A76" s="8"/>
      <c r="B76" s="10"/>
      <c r="C76" s="8"/>
      <c r="D76" s="8"/>
      <c r="E76" s="8"/>
      <c r="F76" s="8"/>
      <c r="G76" s="13"/>
      <c r="H76" s="13"/>
      <c r="I76" s="13"/>
      <c r="J76" s="14" t="str">
        <f t="shared" si="5"/>
        <v/>
      </c>
      <c r="K76" s="13"/>
      <c r="L76" s="14" t="str">
        <f t="shared" si="6"/>
        <v/>
      </c>
      <c r="M76" s="13"/>
      <c r="N76" s="16" t="str">
        <f t="shared" si="7"/>
        <v/>
      </c>
      <c r="O76" s="13"/>
      <c r="P76" s="13"/>
      <c r="Q76" s="16" t="str">
        <f t="shared" si="8"/>
        <v/>
      </c>
      <c r="R76" s="13"/>
      <c r="S76" s="13"/>
      <c r="T76" s="16" t="str">
        <f t="shared" si="9"/>
        <v/>
      </c>
      <c r="U76" s="15"/>
      <c r="V76" s="15"/>
      <c r="W76" s="15"/>
      <c r="X76" s="8"/>
      <c r="Y76" s="8"/>
      <c r="Z76" s="8"/>
      <c r="AA76" s="9" t="str">
        <f>IF(A76="","",IF(OR(ABS(N76)&gt;Lists!$K$6,ABS(Q76)&gt;Lists!$K$3,ABS(T76)&gt;Lists!$K$4,ABS(U76)&gt;Lists!$K$5),"Failed","Passed"))</f>
        <v/>
      </c>
      <c r="AB76" s="8"/>
      <c r="AC76" s="8"/>
      <c r="AD76" s="8"/>
      <c r="AE76" s="10"/>
      <c r="AF76" s="8"/>
    </row>
    <row r="77" spans="1:32">
      <c r="A77" s="8"/>
      <c r="B77" s="10"/>
      <c r="C77" s="8"/>
      <c r="D77" s="8"/>
      <c r="E77" s="8"/>
      <c r="F77" s="8"/>
      <c r="G77" s="13"/>
      <c r="H77" s="13"/>
      <c r="I77" s="13"/>
      <c r="J77" s="14" t="str">
        <f t="shared" si="5"/>
        <v/>
      </c>
      <c r="K77" s="13"/>
      <c r="L77" s="14" t="str">
        <f t="shared" si="6"/>
        <v/>
      </c>
      <c r="M77" s="13"/>
      <c r="N77" s="16" t="str">
        <f t="shared" si="7"/>
        <v/>
      </c>
      <c r="O77" s="13"/>
      <c r="P77" s="13"/>
      <c r="Q77" s="16" t="str">
        <f t="shared" si="8"/>
        <v/>
      </c>
      <c r="R77" s="13"/>
      <c r="S77" s="13"/>
      <c r="T77" s="16" t="str">
        <f t="shared" si="9"/>
        <v/>
      </c>
      <c r="U77" s="15"/>
      <c r="V77" s="15"/>
      <c r="W77" s="15"/>
      <c r="X77" s="8"/>
      <c r="Y77" s="8"/>
      <c r="Z77" s="8"/>
      <c r="AA77" s="9" t="str">
        <f>IF(A77="","",IF(OR(ABS(N77)&gt;Lists!$K$6,ABS(Q77)&gt;Lists!$K$3,ABS(T77)&gt;Lists!$K$4,ABS(U77)&gt;Lists!$K$5),"Failed","Passed"))</f>
        <v/>
      </c>
      <c r="AB77" s="8"/>
      <c r="AC77" s="8"/>
      <c r="AD77" s="8"/>
      <c r="AE77" s="10"/>
      <c r="AF77" s="8"/>
    </row>
    <row r="78" spans="1:32">
      <c r="A78" s="8"/>
      <c r="B78" s="10"/>
      <c r="C78" s="8"/>
      <c r="D78" s="8"/>
      <c r="E78" s="8"/>
      <c r="F78" s="8"/>
      <c r="G78" s="13"/>
      <c r="H78" s="13"/>
      <c r="I78" s="13"/>
      <c r="J78" s="14" t="str">
        <f t="shared" si="5"/>
        <v/>
      </c>
      <c r="K78" s="13"/>
      <c r="L78" s="14" t="str">
        <f t="shared" si="6"/>
        <v/>
      </c>
      <c r="M78" s="13"/>
      <c r="N78" s="16" t="str">
        <f t="shared" si="7"/>
        <v/>
      </c>
      <c r="O78" s="13"/>
      <c r="P78" s="13"/>
      <c r="Q78" s="16" t="str">
        <f t="shared" si="8"/>
        <v/>
      </c>
      <c r="R78" s="13"/>
      <c r="S78" s="13"/>
      <c r="T78" s="16" t="str">
        <f t="shared" si="9"/>
        <v/>
      </c>
      <c r="U78" s="15"/>
      <c r="V78" s="15"/>
      <c r="W78" s="15"/>
      <c r="X78" s="8"/>
      <c r="Y78" s="8"/>
      <c r="Z78" s="8"/>
      <c r="AA78" s="9" t="str">
        <f>IF(A78="","",IF(OR(ABS(N78)&gt;Lists!$K$6,ABS(Q78)&gt;Lists!$K$3,ABS(T78)&gt;Lists!$K$4,ABS(U78)&gt;Lists!$K$5),"Failed","Passed"))</f>
        <v/>
      </c>
      <c r="AB78" s="8"/>
      <c r="AC78" s="8"/>
      <c r="AD78" s="8"/>
      <c r="AE78" s="10"/>
      <c r="AF78" s="8"/>
    </row>
    <row r="79" spans="1:32">
      <c r="A79" s="8"/>
      <c r="B79" s="10"/>
      <c r="C79" s="8"/>
      <c r="D79" s="8"/>
      <c r="E79" s="8"/>
      <c r="F79" s="8"/>
      <c r="G79" s="13"/>
      <c r="H79" s="13"/>
      <c r="I79" s="13"/>
      <c r="J79" s="14" t="str">
        <f t="shared" si="5"/>
        <v/>
      </c>
      <c r="K79" s="13"/>
      <c r="L79" s="14" t="str">
        <f t="shared" si="6"/>
        <v/>
      </c>
      <c r="M79" s="13"/>
      <c r="N79" s="16" t="str">
        <f t="shared" si="7"/>
        <v/>
      </c>
      <c r="O79" s="13"/>
      <c r="P79" s="13"/>
      <c r="Q79" s="16" t="str">
        <f t="shared" si="8"/>
        <v/>
      </c>
      <c r="R79" s="13"/>
      <c r="S79" s="13"/>
      <c r="T79" s="16" t="str">
        <f t="shared" si="9"/>
        <v/>
      </c>
      <c r="U79" s="15"/>
      <c r="V79" s="15"/>
      <c r="W79" s="15"/>
      <c r="X79" s="8"/>
      <c r="Y79" s="8"/>
      <c r="Z79" s="8"/>
      <c r="AA79" s="9" t="str">
        <f>IF(A79="","",IF(OR(ABS(N79)&gt;Lists!$K$6,ABS(Q79)&gt;Lists!$K$3,ABS(T79)&gt;Lists!$K$4,ABS(U79)&gt;Lists!$K$5),"Failed","Passed"))</f>
        <v/>
      </c>
      <c r="AB79" s="8"/>
      <c r="AC79" s="8"/>
      <c r="AD79" s="8"/>
      <c r="AE79" s="10"/>
      <c r="AF79" s="8"/>
    </row>
    <row r="80" spans="1:32">
      <c r="A80" s="8"/>
      <c r="B80" s="10"/>
      <c r="C80" s="8"/>
      <c r="D80" s="8"/>
      <c r="E80" s="8"/>
      <c r="F80" s="8"/>
      <c r="G80" s="13"/>
      <c r="H80" s="13"/>
      <c r="I80" s="13"/>
      <c r="J80" s="14" t="str">
        <f t="shared" si="5"/>
        <v/>
      </c>
      <c r="K80" s="13"/>
      <c r="L80" s="14" t="str">
        <f t="shared" si="6"/>
        <v/>
      </c>
      <c r="M80" s="13"/>
      <c r="N80" s="16" t="str">
        <f t="shared" si="7"/>
        <v/>
      </c>
      <c r="O80" s="13"/>
      <c r="P80" s="13"/>
      <c r="Q80" s="16" t="str">
        <f t="shared" si="8"/>
        <v/>
      </c>
      <c r="R80" s="13"/>
      <c r="S80" s="13"/>
      <c r="T80" s="16" t="str">
        <f t="shared" si="9"/>
        <v/>
      </c>
      <c r="U80" s="15"/>
      <c r="V80" s="15"/>
      <c r="W80" s="15"/>
      <c r="X80" s="8"/>
      <c r="Y80" s="8"/>
      <c r="Z80" s="8"/>
      <c r="AA80" s="9" t="str">
        <f>IF(A80="","",IF(OR(ABS(N80)&gt;Lists!$K$6,ABS(Q80)&gt;Lists!$K$3,ABS(T80)&gt;Lists!$K$4,ABS(U80)&gt;Lists!$K$5),"Failed","Passed"))</f>
        <v/>
      </c>
      <c r="AB80" s="8"/>
      <c r="AC80" s="8"/>
      <c r="AD80" s="8"/>
      <c r="AE80" s="10"/>
      <c r="AF80" s="8"/>
    </row>
    <row r="81" spans="1:32">
      <c r="A81" s="8"/>
      <c r="B81" s="10"/>
      <c r="C81" s="8"/>
      <c r="D81" s="8"/>
      <c r="E81" s="8"/>
      <c r="F81" s="8"/>
      <c r="G81" s="13"/>
      <c r="H81" s="13"/>
      <c r="I81" s="13"/>
      <c r="J81" s="14" t="str">
        <f t="shared" si="5"/>
        <v/>
      </c>
      <c r="K81" s="13"/>
      <c r="L81" s="14" t="str">
        <f t="shared" si="6"/>
        <v/>
      </c>
      <c r="M81" s="13"/>
      <c r="N81" s="16" t="str">
        <f t="shared" si="7"/>
        <v/>
      </c>
      <c r="O81" s="13"/>
      <c r="P81" s="13"/>
      <c r="Q81" s="16" t="str">
        <f t="shared" si="8"/>
        <v/>
      </c>
      <c r="R81" s="13"/>
      <c r="S81" s="13"/>
      <c r="T81" s="16" t="str">
        <f t="shared" si="9"/>
        <v/>
      </c>
      <c r="U81" s="15"/>
      <c r="V81" s="15"/>
      <c r="W81" s="15"/>
      <c r="X81" s="8"/>
      <c r="Y81" s="8"/>
      <c r="Z81" s="8"/>
      <c r="AA81" s="9" t="str">
        <f>IF(A81="","",IF(OR(ABS(N81)&gt;Lists!$K$6,ABS(Q81)&gt;Lists!$K$3,ABS(T81)&gt;Lists!$K$4,ABS(U81)&gt;Lists!$K$5),"Failed","Passed"))</f>
        <v/>
      </c>
      <c r="AB81" s="8"/>
      <c r="AC81" s="8"/>
      <c r="AD81" s="8"/>
      <c r="AE81" s="10"/>
      <c r="AF81" s="8"/>
    </row>
    <row r="82" spans="1:32">
      <c r="A82" s="8"/>
      <c r="B82" s="10"/>
      <c r="C82" s="8"/>
      <c r="D82" s="8"/>
      <c r="E82" s="8"/>
      <c r="F82" s="8"/>
      <c r="G82" s="13"/>
      <c r="H82" s="13"/>
      <c r="I82" s="13"/>
      <c r="J82" s="14" t="str">
        <f t="shared" si="5"/>
        <v/>
      </c>
      <c r="K82" s="13"/>
      <c r="L82" s="14" t="str">
        <f t="shared" si="6"/>
        <v/>
      </c>
      <c r="M82" s="13"/>
      <c r="N82" s="16" t="str">
        <f t="shared" si="7"/>
        <v/>
      </c>
      <c r="O82" s="13"/>
      <c r="P82" s="13"/>
      <c r="Q82" s="16" t="str">
        <f t="shared" si="8"/>
        <v/>
      </c>
      <c r="R82" s="13"/>
      <c r="S82" s="13"/>
      <c r="T82" s="16" t="str">
        <f t="shared" si="9"/>
        <v/>
      </c>
      <c r="U82" s="15"/>
      <c r="V82" s="15"/>
      <c r="W82" s="15"/>
      <c r="X82" s="8"/>
      <c r="Y82" s="8"/>
      <c r="Z82" s="8"/>
      <c r="AA82" s="9" t="str">
        <f>IF(A82="","",IF(OR(ABS(N82)&gt;Lists!$K$6,ABS(Q82)&gt;Lists!$K$3,ABS(T82)&gt;Lists!$K$4,ABS(U82)&gt;Lists!$K$5),"Failed","Passed"))</f>
        <v/>
      </c>
      <c r="AB82" s="8"/>
      <c r="AC82" s="8"/>
      <c r="AD82" s="8"/>
      <c r="AE82" s="10"/>
      <c r="AF82" s="8"/>
    </row>
    <row r="83" spans="1:32">
      <c r="A83" s="8"/>
      <c r="B83" s="10"/>
      <c r="C83" s="8"/>
      <c r="D83" s="8"/>
      <c r="E83" s="8"/>
      <c r="F83" s="8"/>
      <c r="G83" s="13"/>
      <c r="H83" s="13"/>
      <c r="I83" s="13"/>
      <c r="J83" s="14" t="str">
        <f t="shared" si="5"/>
        <v/>
      </c>
      <c r="K83" s="13"/>
      <c r="L83" s="14" t="str">
        <f t="shared" si="6"/>
        <v/>
      </c>
      <c r="M83" s="13"/>
      <c r="N83" s="16" t="str">
        <f t="shared" si="7"/>
        <v/>
      </c>
      <c r="O83" s="13"/>
      <c r="P83" s="13"/>
      <c r="Q83" s="16" t="str">
        <f t="shared" si="8"/>
        <v/>
      </c>
      <c r="R83" s="13"/>
      <c r="S83" s="13"/>
      <c r="T83" s="16" t="str">
        <f t="shared" si="9"/>
        <v/>
      </c>
      <c r="U83" s="15"/>
      <c r="V83" s="15"/>
      <c r="W83" s="15"/>
      <c r="X83" s="8"/>
      <c r="Y83" s="8"/>
      <c r="Z83" s="8"/>
      <c r="AA83" s="9" t="str">
        <f>IF(A83="","",IF(OR(ABS(N83)&gt;Lists!$K$6,ABS(Q83)&gt;Lists!$K$3,ABS(T83)&gt;Lists!$K$4,ABS(U83)&gt;Lists!$K$5),"Failed","Passed"))</f>
        <v/>
      </c>
      <c r="AB83" s="8"/>
      <c r="AC83" s="8"/>
      <c r="AD83" s="8"/>
      <c r="AE83" s="10"/>
      <c r="AF83" s="8"/>
    </row>
    <row r="84" spans="1:32">
      <c r="A84" s="8"/>
      <c r="B84" s="10"/>
      <c r="C84" s="8"/>
      <c r="D84" s="8"/>
      <c r="E84" s="8"/>
      <c r="F84" s="8"/>
      <c r="G84" s="13"/>
      <c r="H84" s="13"/>
      <c r="I84" s="13"/>
      <c r="J84" s="14" t="str">
        <f t="shared" si="5"/>
        <v/>
      </c>
      <c r="K84" s="13"/>
      <c r="L84" s="14" t="str">
        <f t="shared" si="6"/>
        <v/>
      </c>
      <c r="M84" s="13"/>
      <c r="N84" s="16" t="str">
        <f t="shared" si="7"/>
        <v/>
      </c>
      <c r="O84" s="13"/>
      <c r="P84" s="13"/>
      <c r="Q84" s="16" t="str">
        <f t="shared" si="8"/>
        <v/>
      </c>
      <c r="R84" s="13"/>
      <c r="S84" s="13"/>
      <c r="T84" s="16" t="str">
        <f t="shared" si="9"/>
        <v/>
      </c>
      <c r="U84" s="15"/>
      <c r="V84" s="15"/>
      <c r="W84" s="15"/>
      <c r="X84" s="8"/>
      <c r="Y84" s="8"/>
      <c r="Z84" s="8"/>
      <c r="AA84" s="9" t="str">
        <f>IF(A84="","",IF(OR(ABS(N84)&gt;Lists!$K$6,ABS(Q84)&gt;Lists!$K$3,ABS(T84)&gt;Lists!$K$4,ABS(U84)&gt;Lists!$K$5),"Failed","Passed"))</f>
        <v/>
      </c>
      <c r="AB84" s="8"/>
      <c r="AC84" s="8"/>
      <c r="AD84" s="8"/>
      <c r="AE84" s="10"/>
      <c r="AF84" s="8"/>
    </row>
    <row r="85" spans="1:32">
      <c r="A85" s="8"/>
      <c r="B85" s="10"/>
      <c r="C85" s="8"/>
      <c r="D85" s="8"/>
      <c r="E85" s="8"/>
      <c r="F85" s="8"/>
      <c r="G85" s="13"/>
      <c r="H85" s="13"/>
      <c r="I85" s="13"/>
      <c r="J85" s="14" t="str">
        <f t="shared" si="5"/>
        <v/>
      </c>
      <c r="K85" s="13"/>
      <c r="L85" s="14" t="str">
        <f t="shared" si="6"/>
        <v/>
      </c>
      <c r="M85" s="13"/>
      <c r="N85" s="16" t="str">
        <f t="shared" si="7"/>
        <v/>
      </c>
      <c r="O85" s="13"/>
      <c r="P85" s="13"/>
      <c r="Q85" s="16" t="str">
        <f t="shared" si="8"/>
        <v/>
      </c>
      <c r="R85" s="13"/>
      <c r="S85" s="13"/>
      <c r="T85" s="16" t="str">
        <f t="shared" si="9"/>
        <v/>
      </c>
      <c r="U85" s="15"/>
      <c r="V85" s="15"/>
      <c r="W85" s="15"/>
      <c r="X85" s="8"/>
      <c r="Y85" s="8"/>
      <c r="Z85" s="8"/>
      <c r="AA85" s="9" t="str">
        <f>IF(A85="","",IF(OR(ABS(N85)&gt;Lists!$K$6,ABS(Q85)&gt;Lists!$K$3,ABS(T85)&gt;Lists!$K$4,ABS(U85)&gt;Lists!$K$5),"Failed","Passed"))</f>
        <v/>
      </c>
      <c r="AB85" s="8"/>
      <c r="AC85" s="8"/>
      <c r="AD85" s="8"/>
      <c r="AE85" s="10"/>
      <c r="AF85" s="8"/>
    </row>
    <row r="86" spans="1:32">
      <c r="A86" s="8"/>
      <c r="B86" s="10"/>
      <c r="C86" s="8"/>
      <c r="D86" s="8"/>
      <c r="E86" s="8"/>
      <c r="F86" s="8"/>
      <c r="G86" s="13"/>
      <c r="H86" s="13"/>
      <c r="I86" s="13"/>
      <c r="J86" s="14" t="str">
        <f t="shared" si="5"/>
        <v/>
      </c>
      <c r="K86" s="13"/>
      <c r="L86" s="14" t="str">
        <f t="shared" si="6"/>
        <v/>
      </c>
      <c r="M86" s="13"/>
      <c r="N86" s="16" t="str">
        <f t="shared" si="7"/>
        <v/>
      </c>
      <c r="O86" s="13"/>
      <c r="P86" s="13"/>
      <c r="Q86" s="16" t="str">
        <f t="shared" si="8"/>
        <v/>
      </c>
      <c r="R86" s="13"/>
      <c r="S86" s="13"/>
      <c r="T86" s="16" t="str">
        <f t="shared" si="9"/>
        <v/>
      </c>
      <c r="U86" s="15"/>
      <c r="V86" s="15"/>
      <c r="W86" s="15"/>
      <c r="X86" s="8"/>
      <c r="Y86" s="8"/>
      <c r="Z86" s="8"/>
      <c r="AA86" s="9" t="str">
        <f>IF(A86="","",IF(OR(ABS(N86)&gt;Lists!$K$6,ABS(Q86)&gt;Lists!$K$3,ABS(T86)&gt;Lists!$K$4,ABS(U86)&gt;Lists!$K$5),"Failed","Passed"))</f>
        <v/>
      </c>
      <c r="AB86" s="8"/>
      <c r="AC86" s="8"/>
      <c r="AD86" s="8"/>
      <c r="AE86" s="10"/>
      <c r="AF86" s="8"/>
    </row>
    <row r="87" spans="1:32">
      <c r="A87" s="8"/>
      <c r="B87" s="10"/>
      <c r="C87" s="8"/>
      <c r="D87" s="8"/>
      <c r="E87" s="8"/>
      <c r="F87" s="8"/>
      <c r="G87" s="13"/>
      <c r="H87" s="13"/>
      <c r="I87" s="13"/>
      <c r="J87" s="14" t="str">
        <f t="shared" si="5"/>
        <v/>
      </c>
      <c r="K87" s="13"/>
      <c r="L87" s="14" t="str">
        <f t="shared" si="6"/>
        <v/>
      </c>
      <c r="M87" s="13"/>
      <c r="N87" s="16" t="str">
        <f t="shared" si="7"/>
        <v/>
      </c>
      <c r="O87" s="13"/>
      <c r="P87" s="13"/>
      <c r="Q87" s="16" t="str">
        <f t="shared" si="8"/>
        <v/>
      </c>
      <c r="R87" s="13"/>
      <c r="S87" s="13"/>
      <c r="T87" s="16" t="str">
        <f t="shared" si="9"/>
        <v/>
      </c>
      <c r="U87" s="15"/>
      <c r="V87" s="15"/>
      <c r="W87" s="15"/>
      <c r="X87" s="8"/>
      <c r="Y87" s="8"/>
      <c r="Z87" s="8"/>
      <c r="AA87" s="9" t="str">
        <f>IF(A87="","",IF(OR(ABS(N87)&gt;Lists!$K$6,ABS(Q87)&gt;Lists!$K$3,ABS(T87)&gt;Lists!$K$4,ABS(U87)&gt;Lists!$K$5),"Failed","Passed"))</f>
        <v/>
      </c>
      <c r="AB87" s="8"/>
      <c r="AC87" s="8"/>
      <c r="AD87" s="8"/>
      <c r="AE87" s="10"/>
      <c r="AF87" s="8"/>
    </row>
    <row r="88" spans="1:32">
      <c r="A88" s="8"/>
      <c r="B88" s="10"/>
      <c r="C88" s="8"/>
      <c r="D88" s="8"/>
      <c r="E88" s="8"/>
      <c r="F88" s="8"/>
      <c r="G88" s="13"/>
      <c r="H88" s="13"/>
      <c r="I88" s="13"/>
      <c r="J88" s="14" t="str">
        <f t="shared" si="5"/>
        <v/>
      </c>
      <c r="K88" s="13"/>
      <c r="L88" s="14" t="str">
        <f t="shared" si="6"/>
        <v/>
      </c>
      <c r="M88" s="13"/>
      <c r="N88" s="16" t="str">
        <f t="shared" si="7"/>
        <v/>
      </c>
      <c r="O88" s="13"/>
      <c r="P88" s="13"/>
      <c r="Q88" s="16" t="str">
        <f t="shared" si="8"/>
        <v/>
      </c>
      <c r="R88" s="13"/>
      <c r="S88" s="13"/>
      <c r="T88" s="16" t="str">
        <f t="shared" si="9"/>
        <v/>
      </c>
      <c r="U88" s="15"/>
      <c r="V88" s="15"/>
      <c r="W88" s="15"/>
      <c r="X88" s="8"/>
      <c r="Y88" s="8"/>
      <c r="Z88" s="8"/>
      <c r="AA88" s="9" t="str">
        <f>IF(A88="","",IF(OR(ABS(N88)&gt;Lists!$K$6,ABS(Q88)&gt;Lists!$K$3,ABS(T88)&gt;Lists!$K$4,ABS(U88)&gt;Lists!$K$5),"Failed","Passed"))</f>
        <v/>
      </c>
      <c r="AB88" s="8"/>
      <c r="AC88" s="8"/>
      <c r="AD88" s="8"/>
      <c r="AE88" s="10"/>
      <c r="AF88" s="8"/>
    </row>
    <row r="89" spans="1:32">
      <c r="A89" s="8"/>
      <c r="B89" s="10"/>
      <c r="C89" s="8"/>
      <c r="D89" s="8"/>
      <c r="E89" s="8"/>
      <c r="F89" s="8"/>
      <c r="G89" s="13"/>
      <c r="H89" s="13"/>
      <c r="I89" s="13"/>
      <c r="J89" s="14" t="str">
        <f t="shared" si="5"/>
        <v/>
      </c>
      <c r="K89" s="13"/>
      <c r="L89" s="14" t="str">
        <f t="shared" si="6"/>
        <v/>
      </c>
      <c r="M89" s="13"/>
      <c r="N89" s="16" t="str">
        <f t="shared" si="7"/>
        <v/>
      </c>
      <c r="O89" s="13"/>
      <c r="P89" s="13"/>
      <c r="Q89" s="16" t="str">
        <f t="shared" si="8"/>
        <v/>
      </c>
      <c r="R89" s="13"/>
      <c r="S89" s="13"/>
      <c r="T89" s="16" t="str">
        <f t="shared" si="9"/>
        <v/>
      </c>
      <c r="U89" s="15"/>
      <c r="V89" s="15"/>
      <c r="W89" s="15"/>
      <c r="X89" s="8"/>
      <c r="Y89" s="8"/>
      <c r="Z89" s="8"/>
      <c r="AA89" s="9" t="str">
        <f>IF(A89="","",IF(OR(ABS(N89)&gt;Lists!$K$6,ABS(Q89)&gt;Lists!$K$3,ABS(T89)&gt;Lists!$K$4,ABS(U89)&gt;Lists!$K$5),"Failed","Passed"))</f>
        <v/>
      </c>
      <c r="AB89" s="8"/>
      <c r="AC89" s="8"/>
      <c r="AD89" s="8"/>
      <c r="AE89" s="10"/>
      <c r="AF89" s="8"/>
    </row>
    <row r="90" spans="1:32">
      <c r="A90" s="8"/>
      <c r="B90" s="10"/>
      <c r="C90" s="8"/>
      <c r="D90" s="8"/>
      <c r="E90" s="8"/>
      <c r="F90" s="8"/>
      <c r="G90" s="13"/>
      <c r="H90" s="13"/>
      <c r="I90" s="13"/>
      <c r="J90" s="14" t="str">
        <f t="shared" si="5"/>
        <v/>
      </c>
      <c r="K90" s="13"/>
      <c r="L90" s="14" t="str">
        <f t="shared" si="6"/>
        <v/>
      </c>
      <c r="M90" s="13"/>
      <c r="N90" s="16" t="str">
        <f t="shared" si="7"/>
        <v/>
      </c>
      <c r="O90" s="13"/>
      <c r="P90" s="13"/>
      <c r="Q90" s="16" t="str">
        <f t="shared" si="8"/>
        <v/>
      </c>
      <c r="R90" s="13"/>
      <c r="S90" s="13"/>
      <c r="T90" s="16" t="str">
        <f t="shared" si="9"/>
        <v/>
      </c>
      <c r="U90" s="15"/>
      <c r="V90" s="15"/>
      <c r="W90" s="15"/>
      <c r="X90" s="8"/>
      <c r="Y90" s="8"/>
      <c r="Z90" s="8"/>
      <c r="AA90" s="9" t="str">
        <f>IF(A90="","",IF(OR(ABS(N90)&gt;Lists!$K$6,ABS(Q90)&gt;Lists!$K$3,ABS(T90)&gt;Lists!$K$4,ABS(U90)&gt;Lists!$K$5),"Failed","Passed"))</f>
        <v/>
      </c>
      <c r="AB90" s="8"/>
      <c r="AC90" s="8"/>
      <c r="AD90" s="8"/>
      <c r="AE90" s="10"/>
      <c r="AF90" s="8"/>
    </row>
    <row r="91" spans="1:32">
      <c r="A91" s="8"/>
      <c r="B91" s="10"/>
      <c r="C91" s="8"/>
      <c r="D91" s="8"/>
      <c r="E91" s="8"/>
      <c r="F91" s="8"/>
      <c r="G91" s="13"/>
      <c r="H91" s="13"/>
      <c r="I91" s="13"/>
      <c r="J91" s="14" t="str">
        <f t="shared" si="5"/>
        <v/>
      </c>
      <c r="K91" s="13"/>
      <c r="L91" s="14" t="str">
        <f t="shared" si="6"/>
        <v/>
      </c>
      <c r="M91" s="13"/>
      <c r="N91" s="16" t="str">
        <f t="shared" si="7"/>
        <v/>
      </c>
      <c r="O91" s="13"/>
      <c r="P91" s="13"/>
      <c r="Q91" s="16" t="str">
        <f t="shared" si="8"/>
        <v/>
      </c>
      <c r="R91" s="13"/>
      <c r="S91" s="13"/>
      <c r="T91" s="16" t="str">
        <f t="shared" si="9"/>
        <v/>
      </c>
      <c r="U91" s="15"/>
      <c r="V91" s="15"/>
      <c r="W91" s="15"/>
      <c r="X91" s="8"/>
      <c r="Y91" s="8"/>
      <c r="Z91" s="8"/>
      <c r="AA91" s="9" t="str">
        <f>IF(A91="","",IF(OR(ABS(N91)&gt;Lists!$K$6,ABS(Q91)&gt;Lists!$K$3,ABS(T91)&gt;Lists!$K$4,ABS(U91)&gt;Lists!$K$5),"Failed","Passed"))</f>
        <v/>
      </c>
      <c r="AB91" s="8"/>
      <c r="AC91" s="8"/>
      <c r="AD91" s="8"/>
      <c r="AE91" s="10"/>
      <c r="AF91" s="8"/>
    </row>
    <row r="92" spans="1:32">
      <c r="A92" s="8"/>
      <c r="B92" s="10"/>
      <c r="C92" s="8"/>
      <c r="D92" s="8"/>
      <c r="E92" s="8"/>
      <c r="F92" s="8"/>
      <c r="G92" s="13"/>
      <c r="H92" s="13"/>
      <c r="I92" s="13"/>
      <c r="J92" s="14" t="str">
        <f t="shared" si="5"/>
        <v/>
      </c>
      <c r="K92" s="13"/>
      <c r="L92" s="14" t="str">
        <f t="shared" si="6"/>
        <v/>
      </c>
      <c r="M92" s="13"/>
      <c r="N92" s="16" t="str">
        <f t="shared" si="7"/>
        <v/>
      </c>
      <c r="O92" s="13"/>
      <c r="P92" s="13"/>
      <c r="Q92" s="16" t="str">
        <f t="shared" si="8"/>
        <v/>
      </c>
      <c r="R92" s="13"/>
      <c r="S92" s="13"/>
      <c r="T92" s="16" t="str">
        <f t="shared" si="9"/>
        <v/>
      </c>
      <c r="U92" s="15"/>
      <c r="V92" s="15"/>
      <c r="W92" s="15"/>
      <c r="X92" s="8"/>
      <c r="Y92" s="8"/>
      <c r="Z92" s="8"/>
      <c r="AA92" s="9" t="str">
        <f>IF(A92="","",IF(OR(ABS(N92)&gt;Lists!$K$6,ABS(Q92)&gt;Lists!$K$3,ABS(T92)&gt;Lists!$K$4,ABS(U92)&gt;Lists!$K$5),"Failed","Passed"))</f>
        <v/>
      </c>
      <c r="AB92" s="8"/>
      <c r="AC92" s="8"/>
      <c r="AD92" s="8"/>
      <c r="AE92" s="10"/>
      <c r="AF92" s="8"/>
    </row>
    <row r="93" spans="1:32">
      <c r="A93" s="8"/>
      <c r="B93" s="10"/>
      <c r="C93" s="8"/>
      <c r="D93" s="8"/>
      <c r="E93" s="8"/>
      <c r="F93" s="8"/>
      <c r="G93" s="13"/>
      <c r="H93" s="13"/>
      <c r="I93" s="13"/>
      <c r="J93" s="14" t="str">
        <f t="shared" si="5"/>
        <v/>
      </c>
      <c r="K93" s="13"/>
      <c r="L93" s="14" t="str">
        <f t="shared" si="6"/>
        <v/>
      </c>
      <c r="M93" s="13"/>
      <c r="N93" s="16" t="str">
        <f t="shared" si="7"/>
        <v/>
      </c>
      <c r="O93" s="13"/>
      <c r="P93" s="13"/>
      <c r="Q93" s="16" t="str">
        <f t="shared" si="8"/>
        <v/>
      </c>
      <c r="R93" s="13"/>
      <c r="S93" s="13"/>
      <c r="T93" s="16" t="str">
        <f t="shared" si="9"/>
        <v/>
      </c>
      <c r="U93" s="15"/>
      <c r="V93" s="15"/>
      <c r="W93" s="15"/>
      <c r="X93" s="8"/>
      <c r="Y93" s="8"/>
      <c r="Z93" s="8"/>
      <c r="AA93" s="9" t="str">
        <f>IF(A93="","",IF(OR(ABS(N93)&gt;Lists!$K$6,ABS(Q93)&gt;Lists!$K$3,ABS(T93)&gt;Lists!$K$4,ABS(U93)&gt;Lists!$K$5),"Failed","Passed"))</f>
        <v/>
      </c>
      <c r="AB93" s="8"/>
      <c r="AC93" s="8"/>
      <c r="AD93" s="8"/>
      <c r="AE93" s="10"/>
      <c r="AF93" s="8"/>
    </row>
    <row r="94" spans="1:32">
      <c r="A94" s="8"/>
      <c r="B94" s="10"/>
      <c r="C94" s="8"/>
      <c r="D94" s="8"/>
      <c r="E94" s="8"/>
      <c r="F94" s="8"/>
      <c r="G94" s="13"/>
      <c r="H94" s="13"/>
      <c r="I94" s="13"/>
      <c r="J94" s="14" t="str">
        <f t="shared" si="5"/>
        <v/>
      </c>
      <c r="K94" s="13"/>
      <c r="L94" s="14" t="str">
        <f t="shared" si="6"/>
        <v/>
      </c>
      <c r="M94" s="13"/>
      <c r="N94" s="16" t="str">
        <f t="shared" si="7"/>
        <v/>
      </c>
      <c r="O94" s="13"/>
      <c r="P94" s="13"/>
      <c r="Q94" s="16" t="str">
        <f t="shared" si="8"/>
        <v/>
      </c>
      <c r="R94" s="13"/>
      <c r="S94" s="13"/>
      <c r="T94" s="16" t="str">
        <f t="shared" si="9"/>
        <v/>
      </c>
      <c r="U94" s="15"/>
      <c r="V94" s="15"/>
      <c r="W94" s="15"/>
      <c r="X94" s="8"/>
      <c r="Y94" s="8"/>
      <c r="Z94" s="8"/>
      <c r="AA94" s="9" t="str">
        <f>IF(A94="","",IF(OR(ABS(N94)&gt;Lists!$K$6,ABS(Q94)&gt;Lists!$K$3,ABS(T94)&gt;Lists!$K$4,ABS(U94)&gt;Lists!$K$5),"Failed","Passed"))</f>
        <v/>
      </c>
      <c r="AB94" s="8"/>
      <c r="AC94" s="8"/>
      <c r="AD94" s="8"/>
      <c r="AE94" s="10"/>
      <c r="AF94" s="8"/>
    </row>
    <row r="95" spans="1:32">
      <c r="A95" s="8"/>
      <c r="B95" s="10"/>
      <c r="C95" s="8"/>
      <c r="D95" s="8"/>
      <c r="E95" s="8"/>
      <c r="F95" s="8"/>
      <c r="G95" s="13"/>
      <c r="H95" s="13"/>
      <c r="I95" s="13"/>
      <c r="J95" s="14" t="str">
        <f t="shared" si="5"/>
        <v/>
      </c>
      <c r="K95" s="13"/>
      <c r="L95" s="14" t="str">
        <f t="shared" si="6"/>
        <v/>
      </c>
      <c r="M95" s="13"/>
      <c r="N95" s="16" t="str">
        <f t="shared" si="7"/>
        <v/>
      </c>
      <c r="O95" s="13"/>
      <c r="P95" s="13"/>
      <c r="Q95" s="16" t="str">
        <f t="shared" si="8"/>
        <v/>
      </c>
      <c r="R95" s="13"/>
      <c r="S95" s="13"/>
      <c r="T95" s="16" t="str">
        <f t="shared" si="9"/>
        <v/>
      </c>
      <c r="U95" s="15"/>
      <c r="V95" s="15"/>
      <c r="W95" s="15"/>
      <c r="X95" s="8"/>
      <c r="Y95" s="8"/>
      <c r="Z95" s="8"/>
      <c r="AA95" s="9" t="str">
        <f>IF(A95="","",IF(OR(ABS(N95)&gt;Lists!$K$6,ABS(Q95)&gt;Lists!$K$3,ABS(T95)&gt;Lists!$K$4,ABS(U95)&gt;Lists!$K$5),"Failed","Passed"))</f>
        <v/>
      </c>
      <c r="AB95" s="8"/>
      <c r="AC95" s="8"/>
      <c r="AD95" s="8"/>
      <c r="AE95" s="10"/>
      <c r="AF95" s="8"/>
    </row>
    <row r="96" spans="1:32">
      <c r="A96" s="8"/>
      <c r="B96" s="10"/>
      <c r="C96" s="8"/>
      <c r="D96" s="8"/>
      <c r="E96" s="8"/>
      <c r="F96" s="8"/>
      <c r="G96" s="13"/>
      <c r="H96" s="13"/>
      <c r="I96" s="13"/>
      <c r="J96" s="14" t="str">
        <f t="shared" si="5"/>
        <v/>
      </c>
      <c r="K96" s="13"/>
      <c r="L96" s="14" t="str">
        <f t="shared" si="6"/>
        <v/>
      </c>
      <c r="M96" s="13"/>
      <c r="N96" s="16" t="str">
        <f t="shared" si="7"/>
        <v/>
      </c>
      <c r="O96" s="13"/>
      <c r="P96" s="13"/>
      <c r="Q96" s="16" t="str">
        <f t="shared" si="8"/>
        <v/>
      </c>
      <c r="R96" s="13"/>
      <c r="S96" s="13"/>
      <c r="T96" s="16" t="str">
        <f t="shared" si="9"/>
        <v/>
      </c>
      <c r="U96" s="15"/>
      <c r="V96" s="15"/>
      <c r="W96" s="15"/>
      <c r="X96" s="8"/>
      <c r="Y96" s="8"/>
      <c r="Z96" s="8"/>
      <c r="AA96" s="9" t="str">
        <f>IF(A96="","",IF(OR(ABS(N96)&gt;Lists!$K$6,ABS(Q96)&gt;Lists!$K$3,ABS(T96)&gt;Lists!$K$4,ABS(U96)&gt;Lists!$K$5),"Failed","Passed"))</f>
        <v/>
      </c>
      <c r="AB96" s="8"/>
      <c r="AC96" s="8"/>
      <c r="AD96" s="8"/>
      <c r="AE96" s="10"/>
      <c r="AF96" s="8"/>
    </row>
    <row r="97" spans="1:32">
      <c r="A97" s="8"/>
      <c r="B97" s="10"/>
      <c r="C97" s="8"/>
      <c r="D97" s="8"/>
      <c r="E97" s="8"/>
      <c r="F97" s="8"/>
      <c r="G97" s="13"/>
      <c r="H97" s="13"/>
      <c r="I97" s="13"/>
      <c r="J97" s="14" t="str">
        <f t="shared" si="5"/>
        <v/>
      </c>
      <c r="K97" s="13"/>
      <c r="L97" s="14" t="str">
        <f t="shared" si="6"/>
        <v/>
      </c>
      <c r="M97" s="13"/>
      <c r="N97" s="16" t="str">
        <f t="shared" si="7"/>
        <v/>
      </c>
      <c r="O97" s="13"/>
      <c r="P97" s="13"/>
      <c r="Q97" s="16" t="str">
        <f t="shared" si="8"/>
        <v/>
      </c>
      <c r="R97" s="13"/>
      <c r="S97" s="13"/>
      <c r="T97" s="16" t="str">
        <f t="shared" si="9"/>
        <v/>
      </c>
      <c r="U97" s="15"/>
      <c r="V97" s="15"/>
      <c r="W97" s="15"/>
      <c r="X97" s="8"/>
      <c r="Y97" s="8"/>
      <c r="Z97" s="8"/>
      <c r="AA97" s="9" t="str">
        <f>IF(A97="","",IF(OR(ABS(N97)&gt;Lists!$K$6,ABS(Q97)&gt;Lists!$K$3,ABS(T97)&gt;Lists!$K$4,ABS(U97)&gt;Lists!$K$5),"Failed","Passed"))</f>
        <v/>
      </c>
      <c r="AB97" s="8"/>
      <c r="AC97" s="8"/>
      <c r="AD97" s="8"/>
      <c r="AE97" s="10"/>
      <c r="AF97" s="8"/>
    </row>
    <row r="98" spans="1:32">
      <c r="A98" s="8"/>
      <c r="B98" s="10"/>
      <c r="C98" s="8"/>
      <c r="D98" s="8"/>
      <c r="E98" s="8"/>
      <c r="F98" s="8"/>
      <c r="G98" s="13"/>
      <c r="H98" s="13"/>
      <c r="I98" s="13"/>
      <c r="J98" s="14" t="str">
        <f t="shared" si="5"/>
        <v/>
      </c>
      <c r="K98" s="13"/>
      <c r="L98" s="14" t="str">
        <f t="shared" si="6"/>
        <v/>
      </c>
      <c r="M98" s="13"/>
      <c r="N98" s="16" t="str">
        <f t="shared" si="7"/>
        <v/>
      </c>
      <c r="O98" s="13"/>
      <c r="P98" s="13"/>
      <c r="Q98" s="16" t="str">
        <f t="shared" si="8"/>
        <v/>
      </c>
      <c r="R98" s="13"/>
      <c r="S98" s="13"/>
      <c r="T98" s="16" t="str">
        <f t="shared" si="9"/>
        <v/>
      </c>
      <c r="U98" s="15"/>
      <c r="V98" s="15"/>
      <c r="W98" s="15"/>
      <c r="X98" s="8"/>
      <c r="Y98" s="8"/>
      <c r="Z98" s="8"/>
      <c r="AA98" s="9" t="str">
        <f>IF(A98="","",IF(OR(ABS(N98)&gt;Lists!$K$6,ABS(Q98)&gt;Lists!$K$3,ABS(T98)&gt;Lists!$K$4,ABS(U98)&gt;Lists!$K$5),"Failed","Passed"))</f>
        <v/>
      </c>
      <c r="AB98" s="8"/>
      <c r="AC98" s="8"/>
      <c r="AD98" s="8"/>
      <c r="AE98" s="10"/>
      <c r="AF98" s="8"/>
    </row>
    <row r="99" spans="1:32">
      <c r="A99" s="8"/>
      <c r="B99" s="10"/>
      <c r="C99" s="8"/>
      <c r="D99" s="8"/>
      <c r="E99" s="8"/>
      <c r="F99" s="8"/>
      <c r="G99" s="13"/>
      <c r="H99" s="13"/>
      <c r="I99" s="13"/>
      <c r="J99" s="14" t="str">
        <f t="shared" si="5"/>
        <v/>
      </c>
      <c r="K99" s="13"/>
      <c r="L99" s="14" t="str">
        <f t="shared" si="6"/>
        <v/>
      </c>
      <c r="M99" s="13"/>
      <c r="N99" s="16" t="str">
        <f t="shared" si="7"/>
        <v/>
      </c>
      <c r="O99" s="13"/>
      <c r="P99" s="13"/>
      <c r="Q99" s="16" t="str">
        <f t="shared" si="8"/>
        <v/>
      </c>
      <c r="R99" s="13"/>
      <c r="S99" s="13"/>
      <c r="T99" s="16" t="str">
        <f t="shared" si="9"/>
        <v/>
      </c>
      <c r="U99" s="15"/>
      <c r="V99" s="15"/>
      <c r="W99" s="15"/>
      <c r="X99" s="8"/>
      <c r="Y99" s="8"/>
      <c r="Z99" s="8"/>
      <c r="AA99" s="9" t="str">
        <f>IF(A99="","",IF(OR(ABS(N99)&gt;Lists!$K$6,ABS(Q99)&gt;Lists!$K$3,ABS(T99)&gt;Lists!$K$4,ABS(U99)&gt;Lists!$K$5),"Failed","Passed"))</f>
        <v/>
      </c>
      <c r="AB99" s="8"/>
      <c r="AC99" s="8"/>
      <c r="AD99" s="8"/>
      <c r="AE99" s="10"/>
      <c r="AF99" s="8"/>
    </row>
    <row r="100" spans="1:32">
      <c r="A100" s="8"/>
      <c r="B100" s="10"/>
      <c r="C100" s="8"/>
      <c r="D100" s="8"/>
      <c r="E100" s="8"/>
      <c r="F100" s="8"/>
      <c r="G100" s="13"/>
      <c r="H100" s="13"/>
      <c r="I100" s="13"/>
      <c r="J100" s="14" t="str">
        <f t="shared" si="5"/>
        <v/>
      </c>
      <c r="K100" s="13"/>
      <c r="L100" s="14" t="str">
        <f t="shared" si="6"/>
        <v/>
      </c>
      <c r="M100" s="13"/>
      <c r="N100" s="16" t="str">
        <f t="shared" si="7"/>
        <v/>
      </c>
      <c r="O100" s="13"/>
      <c r="P100" s="13"/>
      <c r="Q100" s="16" t="str">
        <f t="shared" si="8"/>
        <v/>
      </c>
      <c r="R100" s="13"/>
      <c r="S100" s="13"/>
      <c r="T100" s="16" t="str">
        <f t="shared" si="9"/>
        <v/>
      </c>
      <c r="U100" s="15"/>
      <c r="V100" s="15"/>
      <c r="W100" s="15"/>
      <c r="X100" s="8"/>
      <c r="Y100" s="8"/>
      <c r="Z100" s="8"/>
      <c r="AA100" s="9" t="str">
        <f>IF(A100="","",IF(OR(ABS(N100)&gt;Lists!$K$6,ABS(Q100)&gt;Lists!$K$3,ABS(T100)&gt;Lists!$K$4,ABS(U100)&gt;Lists!$K$5),"Failed","Passed"))</f>
        <v/>
      </c>
      <c r="AB100" s="8"/>
      <c r="AC100" s="8"/>
      <c r="AD100" s="8"/>
      <c r="AE100" s="10"/>
      <c r="AF100" s="8"/>
    </row>
    <row r="101" spans="1:32">
      <c r="A101" s="8"/>
      <c r="B101" s="10"/>
      <c r="C101" s="8"/>
      <c r="D101" s="8"/>
      <c r="E101" s="8"/>
      <c r="F101" s="8"/>
      <c r="G101" s="13"/>
      <c r="H101" s="13"/>
      <c r="I101" s="13"/>
      <c r="J101" s="14" t="str">
        <f t="shared" si="5"/>
        <v/>
      </c>
      <c r="K101" s="13"/>
      <c r="L101" s="14" t="str">
        <f t="shared" si="6"/>
        <v/>
      </c>
      <c r="M101" s="13"/>
      <c r="N101" s="16" t="str">
        <f t="shared" si="7"/>
        <v/>
      </c>
      <c r="O101" s="13"/>
      <c r="P101" s="13"/>
      <c r="Q101" s="16" t="str">
        <f t="shared" si="8"/>
        <v/>
      </c>
      <c r="R101" s="13"/>
      <c r="S101" s="13"/>
      <c r="T101" s="16" t="str">
        <f t="shared" si="9"/>
        <v/>
      </c>
      <c r="U101" s="15"/>
      <c r="V101" s="15"/>
      <c r="W101" s="15"/>
      <c r="X101" s="8"/>
      <c r="Y101" s="8"/>
      <c r="Z101" s="8"/>
      <c r="AA101" s="9" t="str">
        <f>IF(A101="","",IF(OR(ABS(N101)&gt;Lists!$K$6,ABS(Q101)&gt;Lists!$K$3,ABS(T101)&gt;Lists!$K$4,ABS(U101)&gt;Lists!$K$5),"Failed","Passed"))</f>
        <v/>
      </c>
      <c r="AB101" s="8"/>
      <c r="AC101" s="8"/>
      <c r="AD101" s="8"/>
      <c r="AE101" s="10"/>
      <c r="AF101" s="8"/>
    </row>
    <row r="102" spans="1:32">
      <c r="A102" s="8"/>
      <c r="B102" s="10"/>
      <c r="C102" s="8"/>
      <c r="D102" s="8"/>
      <c r="E102" s="8"/>
      <c r="F102" s="8"/>
      <c r="G102" s="13"/>
      <c r="H102" s="13"/>
      <c r="I102" s="13"/>
      <c r="J102" s="14" t="str">
        <f t="shared" si="5"/>
        <v/>
      </c>
      <c r="K102" s="13"/>
      <c r="L102" s="14" t="str">
        <f t="shared" si="6"/>
        <v/>
      </c>
      <c r="M102" s="13"/>
      <c r="N102" s="16" t="str">
        <f t="shared" si="7"/>
        <v/>
      </c>
      <c r="O102" s="13"/>
      <c r="P102" s="13"/>
      <c r="Q102" s="16" t="str">
        <f t="shared" si="8"/>
        <v/>
      </c>
      <c r="R102" s="13"/>
      <c r="S102" s="13"/>
      <c r="T102" s="16" t="str">
        <f t="shared" si="9"/>
        <v/>
      </c>
      <c r="U102" s="15"/>
      <c r="V102" s="15"/>
      <c r="W102" s="15"/>
      <c r="X102" s="8"/>
      <c r="Y102" s="8"/>
      <c r="Z102" s="8"/>
      <c r="AA102" s="9" t="str">
        <f>IF(A102="","",IF(OR(ABS(N102)&gt;Lists!$K$6,ABS(Q102)&gt;Lists!$K$3,ABS(T102)&gt;Lists!$K$4,ABS(U102)&gt;Lists!$K$5),"Failed","Passed"))</f>
        <v/>
      </c>
      <c r="AB102" s="8"/>
      <c r="AC102" s="8"/>
      <c r="AD102" s="8"/>
      <c r="AE102" s="10"/>
      <c r="AF102" s="8"/>
    </row>
    <row r="103" spans="1:32">
      <c r="A103" s="8"/>
      <c r="B103" s="10"/>
      <c r="C103" s="8"/>
      <c r="D103" s="8"/>
      <c r="E103" s="8"/>
      <c r="F103" s="8"/>
      <c r="G103" s="13"/>
      <c r="H103" s="13"/>
      <c r="I103" s="13"/>
      <c r="J103" s="14" t="str">
        <f t="shared" si="5"/>
        <v/>
      </c>
      <c r="K103" s="13"/>
      <c r="L103" s="14" t="str">
        <f t="shared" si="6"/>
        <v/>
      </c>
      <c r="M103" s="13"/>
      <c r="N103" s="16" t="str">
        <f t="shared" si="7"/>
        <v/>
      </c>
      <c r="O103" s="13"/>
      <c r="P103" s="13"/>
      <c r="Q103" s="16" t="str">
        <f t="shared" si="8"/>
        <v/>
      </c>
      <c r="R103" s="13"/>
      <c r="S103" s="13"/>
      <c r="T103" s="16" t="str">
        <f t="shared" si="9"/>
        <v/>
      </c>
      <c r="U103" s="15"/>
      <c r="V103" s="15"/>
      <c r="W103" s="15"/>
      <c r="X103" s="8"/>
      <c r="Y103" s="8"/>
      <c r="Z103" s="8"/>
      <c r="AA103" s="9" t="str">
        <f>IF(A103="","",IF(OR(ABS(N103)&gt;Lists!$K$6,ABS(Q103)&gt;Lists!$K$3,ABS(T103)&gt;Lists!$K$4,ABS(U103)&gt;Lists!$K$5),"Failed","Passed"))</f>
        <v/>
      </c>
      <c r="AB103" s="8"/>
      <c r="AC103" s="8"/>
      <c r="AD103" s="8"/>
      <c r="AE103" s="10"/>
      <c r="AF103" s="8"/>
    </row>
    <row r="104" spans="1:32">
      <c r="A104" s="8"/>
      <c r="B104" s="10"/>
      <c r="C104" s="8"/>
      <c r="D104" s="8"/>
      <c r="E104" s="8"/>
      <c r="F104" s="8"/>
      <c r="G104" s="13"/>
      <c r="H104" s="13"/>
      <c r="I104" s="13"/>
      <c r="J104" s="14" t="str">
        <f t="shared" si="5"/>
        <v/>
      </c>
      <c r="K104" s="13"/>
      <c r="L104" s="14" t="str">
        <f t="shared" si="6"/>
        <v/>
      </c>
      <c r="M104" s="13"/>
      <c r="N104" s="16" t="str">
        <f t="shared" si="7"/>
        <v/>
      </c>
      <c r="O104" s="13"/>
      <c r="P104" s="13"/>
      <c r="Q104" s="16" t="str">
        <f t="shared" si="8"/>
        <v/>
      </c>
      <c r="R104" s="13"/>
      <c r="S104" s="13"/>
      <c r="T104" s="16" t="str">
        <f t="shared" si="9"/>
        <v/>
      </c>
      <c r="U104" s="15"/>
      <c r="V104" s="15"/>
      <c r="W104" s="15"/>
      <c r="X104" s="8"/>
      <c r="Y104" s="8"/>
      <c r="Z104" s="8"/>
      <c r="AA104" s="9" t="str">
        <f>IF(A104="","",IF(OR(ABS(N104)&gt;Lists!$K$6,ABS(Q104)&gt;Lists!$K$3,ABS(T104)&gt;Lists!$K$4,ABS(U104)&gt;Lists!$K$5),"Failed","Passed"))</f>
        <v/>
      </c>
      <c r="AB104" s="8"/>
      <c r="AC104" s="8"/>
      <c r="AD104" s="8"/>
      <c r="AE104" s="10"/>
      <c r="AF104" s="8"/>
    </row>
    <row r="105" spans="1:32">
      <c r="A105" s="8"/>
      <c r="B105" s="10"/>
      <c r="C105" s="8"/>
      <c r="D105" s="8"/>
      <c r="E105" s="8"/>
      <c r="F105" s="8"/>
      <c r="G105" s="13"/>
      <c r="H105" s="13"/>
      <c r="I105" s="13"/>
      <c r="J105" s="14" t="str">
        <f t="shared" si="5"/>
        <v/>
      </c>
      <c r="K105" s="13"/>
      <c r="L105" s="14" t="str">
        <f t="shared" si="6"/>
        <v/>
      </c>
      <c r="M105" s="13"/>
      <c r="N105" s="16" t="str">
        <f t="shared" si="7"/>
        <v/>
      </c>
      <c r="O105" s="13"/>
      <c r="P105" s="13"/>
      <c r="Q105" s="16" t="str">
        <f t="shared" si="8"/>
        <v/>
      </c>
      <c r="R105" s="13"/>
      <c r="S105" s="13"/>
      <c r="T105" s="16" t="str">
        <f t="shared" si="9"/>
        <v/>
      </c>
      <c r="U105" s="15"/>
      <c r="V105" s="15"/>
      <c r="W105" s="15"/>
      <c r="X105" s="8"/>
      <c r="Y105" s="8"/>
      <c r="Z105" s="8"/>
      <c r="AA105" s="9" t="str">
        <f>IF(A105="","",IF(OR(ABS(N105)&gt;Lists!$K$6,ABS(Q105)&gt;Lists!$K$3,ABS(T105)&gt;Lists!$K$4,ABS(U105)&gt;Lists!$K$5),"Failed","Passed"))</f>
        <v/>
      </c>
      <c r="AB105" s="8"/>
      <c r="AC105" s="8"/>
      <c r="AD105" s="8"/>
      <c r="AE105" s="10"/>
      <c r="AF105" s="8"/>
    </row>
    <row r="106" spans="1:32">
      <c r="A106" s="8"/>
      <c r="B106" s="10"/>
      <c r="C106" s="8"/>
      <c r="D106" s="8"/>
      <c r="E106" s="8"/>
      <c r="F106" s="8"/>
      <c r="G106" s="13"/>
      <c r="H106" s="13"/>
      <c r="I106" s="13"/>
      <c r="J106" s="14" t="str">
        <f t="shared" si="5"/>
        <v/>
      </c>
      <c r="K106" s="13"/>
      <c r="L106" s="14" t="str">
        <f t="shared" si="6"/>
        <v/>
      </c>
      <c r="M106" s="13"/>
      <c r="N106" s="16" t="str">
        <f t="shared" si="7"/>
        <v/>
      </c>
      <c r="O106" s="13"/>
      <c r="P106" s="13"/>
      <c r="Q106" s="16" t="str">
        <f t="shared" si="8"/>
        <v/>
      </c>
      <c r="R106" s="13"/>
      <c r="S106" s="13"/>
      <c r="T106" s="16" t="str">
        <f t="shared" si="9"/>
        <v/>
      </c>
      <c r="U106" s="15"/>
      <c r="V106" s="15"/>
      <c r="W106" s="15"/>
      <c r="X106" s="8"/>
      <c r="Y106" s="8"/>
      <c r="Z106" s="8"/>
      <c r="AA106" s="9" t="str">
        <f>IF(A106="","",IF(OR(ABS(N106)&gt;Lists!$K$6,ABS(Q106)&gt;Lists!$K$3,ABS(T106)&gt;Lists!$K$4,ABS(U106)&gt;Lists!$K$5),"Failed","Passed"))</f>
        <v/>
      </c>
      <c r="AB106" s="8"/>
      <c r="AC106" s="8"/>
      <c r="AD106" s="8"/>
      <c r="AE106" s="10"/>
      <c r="AF106" s="8"/>
    </row>
    <row r="107" spans="1:32">
      <c r="A107" s="8"/>
      <c r="B107" s="10"/>
      <c r="C107" s="8"/>
      <c r="D107" s="8"/>
      <c r="E107" s="8"/>
      <c r="F107" s="8"/>
      <c r="G107" s="13"/>
      <c r="H107" s="13"/>
      <c r="I107" s="13"/>
      <c r="J107" s="14" t="str">
        <f t="shared" si="5"/>
        <v/>
      </c>
      <c r="K107" s="13"/>
      <c r="L107" s="14" t="str">
        <f t="shared" si="6"/>
        <v/>
      </c>
      <c r="M107" s="13"/>
      <c r="N107" s="16" t="str">
        <f t="shared" si="7"/>
        <v/>
      </c>
      <c r="O107" s="13"/>
      <c r="P107" s="13"/>
      <c r="Q107" s="16" t="str">
        <f t="shared" si="8"/>
        <v/>
      </c>
      <c r="R107" s="13"/>
      <c r="S107" s="13"/>
      <c r="T107" s="16" t="str">
        <f t="shared" si="9"/>
        <v/>
      </c>
      <c r="U107" s="15"/>
      <c r="V107" s="15"/>
      <c r="W107" s="15"/>
      <c r="X107" s="8"/>
      <c r="Y107" s="8"/>
      <c r="Z107" s="8"/>
      <c r="AA107" s="9" t="str">
        <f>IF(A107="","",IF(OR(ABS(N107)&gt;Lists!$K$6,ABS(Q107)&gt;Lists!$K$3,ABS(T107)&gt;Lists!$K$4,ABS(U107)&gt;Lists!$K$5),"Failed","Passed"))</f>
        <v/>
      </c>
      <c r="AB107" s="8"/>
      <c r="AC107" s="8"/>
      <c r="AD107" s="8"/>
      <c r="AE107" s="10"/>
      <c r="AF107" s="8"/>
    </row>
    <row r="108" spans="1:32">
      <c r="A108" s="8"/>
      <c r="B108" s="10"/>
      <c r="C108" s="8"/>
      <c r="D108" s="8"/>
      <c r="E108" s="8"/>
      <c r="F108" s="8"/>
      <c r="G108" s="13"/>
      <c r="H108" s="13"/>
      <c r="I108" s="13"/>
      <c r="J108" s="14" t="str">
        <f t="shared" si="5"/>
        <v/>
      </c>
      <c r="K108" s="13"/>
      <c r="L108" s="14" t="str">
        <f t="shared" si="6"/>
        <v/>
      </c>
      <c r="M108" s="13"/>
      <c r="N108" s="16" t="str">
        <f t="shared" si="7"/>
        <v/>
      </c>
      <c r="O108" s="13"/>
      <c r="P108" s="13"/>
      <c r="Q108" s="16" t="str">
        <f t="shared" si="8"/>
        <v/>
      </c>
      <c r="R108" s="13"/>
      <c r="S108" s="13"/>
      <c r="T108" s="16" t="str">
        <f t="shared" si="9"/>
        <v/>
      </c>
      <c r="U108" s="15"/>
      <c r="V108" s="15"/>
      <c r="W108" s="15"/>
      <c r="X108" s="8"/>
      <c r="Y108" s="8"/>
      <c r="Z108" s="8"/>
      <c r="AA108" s="9" t="str">
        <f>IF(A108="","",IF(OR(ABS(N108)&gt;Lists!$K$6,ABS(Q108)&gt;Lists!$K$3,ABS(T108)&gt;Lists!$K$4,ABS(U108)&gt;Lists!$K$5),"Failed","Passed"))</f>
        <v/>
      </c>
      <c r="AB108" s="8"/>
      <c r="AC108" s="8"/>
      <c r="AD108" s="8"/>
      <c r="AE108" s="10"/>
      <c r="AF108" s="8"/>
    </row>
    <row r="109" spans="1:32">
      <c r="A109" s="8"/>
      <c r="B109" s="10"/>
      <c r="C109" s="8"/>
      <c r="D109" s="8"/>
      <c r="E109" s="8"/>
      <c r="F109" s="8"/>
      <c r="G109" s="13"/>
      <c r="H109" s="13"/>
      <c r="I109" s="13"/>
      <c r="J109" s="14" t="str">
        <f t="shared" si="5"/>
        <v/>
      </c>
      <c r="K109" s="13"/>
      <c r="L109" s="14" t="str">
        <f t="shared" si="6"/>
        <v/>
      </c>
      <c r="M109" s="13"/>
      <c r="N109" s="16" t="str">
        <f t="shared" si="7"/>
        <v/>
      </c>
      <c r="O109" s="13"/>
      <c r="P109" s="13"/>
      <c r="Q109" s="16" t="str">
        <f t="shared" si="8"/>
        <v/>
      </c>
      <c r="R109" s="13"/>
      <c r="S109" s="13"/>
      <c r="T109" s="16" t="str">
        <f t="shared" si="9"/>
        <v/>
      </c>
      <c r="U109" s="15"/>
      <c r="V109" s="15"/>
      <c r="W109" s="15"/>
      <c r="X109" s="8"/>
      <c r="Y109" s="8"/>
      <c r="Z109" s="8"/>
      <c r="AA109" s="9" t="str">
        <f>IF(A109="","",IF(OR(ABS(N109)&gt;Lists!$K$6,ABS(Q109)&gt;Lists!$K$3,ABS(T109)&gt;Lists!$K$4,ABS(U109)&gt;Lists!$K$5),"Failed","Passed"))</f>
        <v/>
      </c>
      <c r="AB109" s="8"/>
      <c r="AC109" s="8"/>
      <c r="AD109" s="8"/>
      <c r="AE109" s="10"/>
      <c r="AF109" s="8"/>
    </row>
    <row r="110" spans="1:32">
      <c r="A110" s="8"/>
      <c r="B110" s="10"/>
      <c r="C110" s="8"/>
      <c r="D110" s="8"/>
      <c r="E110" s="8"/>
      <c r="F110" s="8"/>
      <c r="G110" s="13"/>
      <c r="H110" s="13"/>
      <c r="I110" s="13"/>
      <c r="J110" s="14" t="str">
        <f t="shared" si="5"/>
        <v/>
      </c>
      <c r="K110" s="13"/>
      <c r="L110" s="14" t="str">
        <f t="shared" si="6"/>
        <v/>
      </c>
      <c r="M110" s="13"/>
      <c r="N110" s="16" t="str">
        <f t="shared" si="7"/>
        <v/>
      </c>
      <c r="O110" s="13"/>
      <c r="P110" s="13"/>
      <c r="Q110" s="16" t="str">
        <f t="shared" si="8"/>
        <v/>
      </c>
      <c r="R110" s="13"/>
      <c r="S110" s="13"/>
      <c r="T110" s="16" t="str">
        <f t="shared" si="9"/>
        <v/>
      </c>
      <c r="U110" s="15"/>
      <c r="V110" s="15"/>
      <c r="W110" s="15"/>
      <c r="X110" s="8"/>
      <c r="Y110" s="8"/>
      <c r="Z110" s="8"/>
      <c r="AA110" s="9" t="str">
        <f>IF(A110="","",IF(OR(ABS(N110)&gt;Lists!$K$6,ABS(Q110)&gt;Lists!$K$3,ABS(T110)&gt;Lists!$K$4,ABS(U110)&gt;Lists!$K$5),"Failed","Passed"))</f>
        <v/>
      </c>
      <c r="AB110" s="8"/>
      <c r="AC110" s="8"/>
      <c r="AD110" s="8"/>
      <c r="AE110" s="10"/>
      <c r="AF110" s="8"/>
    </row>
    <row r="111" spans="1:32">
      <c r="A111" s="8"/>
      <c r="B111" s="10"/>
      <c r="C111" s="8"/>
      <c r="D111" s="8"/>
      <c r="E111" s="8"/>
      <c r="F111" s="8"/>
      <c r="G111" s="13"/>
      <c r="H111" s="13"/>
      <c r="I111" s="13"/>
      <c r="J111" s="14" t="str">
        <f t="shared" si="5"/>
        <v/>
      </c>
      <c r="K111" s="13"/>
      <c r="L111" s="14" t="str">
        <f t="shared" si="6"/>
        <v/>
      </c>
      <c r="M111" s="13"/>
      <c r="N111" s="16" t="str">
        <f t="shared" si="7"/>
        <v/>
      </c>
      <c r="O111" s="13"/>
      <c r="P111" s="13"/>
      <c r="Q111" s="16" t="str">
        <f t="shared" si="8"/>
        <v/>
      </c>
      <c r="R111" s="13"/>
      <c r="S111" s="13"/>
      <c r="T111" s="16" t="str">
        <f t="shared" si="9"/>
        <v/>
      </c>
      <c r="U111" s="15"/>
      <c r="V111" s="15"/>
      <c r="W111" s="15"/>
      <c r="X111" s="8"/>
      <c r="Y111" s="8"/>
      <c r="Z111" s="8"/>
      <c r="AA111" s="9" t="str">
        <f>IF(A111="","",IF(OR(ABS(N111)&gt;Lists!$K$6,ABS(Q111)&gt;Lists!$K$3,ABS(T111)&gt;Lists!$K$4,ABS(U111)&gt;Lists!$K$5),"Failed","Passed"))</f>
        <v/>
      </c>
      <c r="AB111" s="8"/>
      <c r="AC111" s="8"/>
      <c r="AD111" s="8"/>
      <c r="AE111" s="10"/>
      <c r="AF111" s="8"/>
    </row>
    <row r="112" spans="1:32">
      <c r="A112" s="8"/>
      <c r="B112" s="10"/>
      <c r="C112" s="8"/>
      <c r="D112" s="8"/>
      <c r="E112" s="8"/>
      <c r="F112" s="8"/>
      <c r="G112" s="13"/>
      <c r="H112" s="13"/>
      <c r="I112" s="13"/>
      <c r="J112" s="14" t="str">
        <f t="shared" si="5"/>
        <v/>
      </c>
      <c r="K112" s="13"/>
      <c r="L112" s="14" t="str">
        <f t="shared" si="6"/>
        <v/>
      </c>
      <c r="M112" s="13"/>
      <c r="N112" s="16" t="str">
        <f t="shared" si="7"/>
        <v/>
      </c>
      <c r="O112" s="13"/>
      <c r="P112" s="13"/>
      <c r="Q112" s="16" t="str">
        <f t="shared" si="8"/>
        <v/>
      </c>
      <c r="R112" s="13"/>
      <c r="S112" s="13"/>
      <c r="T112" s="16" t="str">
        <f t="shared" si="9"/>
        <v/>
      </c>
      <c r="U112" s="15"/>
      <c r="V112" s="15"/>
      <c r="W112" s="15"/>
      <c r="X112" s="8"/>
      <c r="Y112" s="8"/>
      <c r="Z112" s="8"/>
      <c r="AA112" s="9" t="str">
        <f>IF(A112="","",IF(OR(ABS(N112)&gt;Lists!$K$6,ABS(Q112)&gt;Lists!$K$3,ABS(T112)&gt;Lists!$K$4,ABS(U112)&gt;Lists!$K$5),"Failed","Passed"))</f>
        <v/>
      </c>
      <c r="AB112" s="8"/>
      <c r="AC112" s="8"/>
      <c r="AD112" s="8"/>
      <c r="AE112" s="10"/>
      <c r="AF112" s="8"/>
    </row>
    <row r="113" spans="1:32">
      <c r="A113" s="8"/>
      <c r="B113" s="10"/>
      <c r="C113" s="8"/>
      <c r="D113" s="8"/>
      <c r="E113" s="8"/>
      <c r="F113" s="8"/>
      <c r="G113" s="13"/>
      <c r="H113" s="13"/>
      <c r="I113" s="13"/>
      <c r="J113" s="14" t="str">
        <f t="shared" si="5"/>
        <v/>
      </c>
      <c r="K113" s="13"/>
      <c r="L113" s="14" t="str">
        <f t="shared" si="6"/>
        <v/>
      </c>
      <c r="M113" s="13"/>
      <c r="N113" s="16" t="str">
        <f t="shared" si="7"/>
        <v/>
      </c>
      <c r="O113" s="13"/>
      <c r="P113" s="13"/>
      <c r="Q113" s="16" t="str">
        <f t="shared" si="8"/>
        <v/>
      </c>
      <c r="R113" s="13"/>
      <c r="S113" s="13"/>
      <c r="T113" s="16" t="str">
        <f t="shared" si="9"/>
        <v/>
      </c>
      <c r="U113" s="15"/>
      <c r="V113" s="15"/>
      <c r="W113" s="15"/>
      <c r="X113" s="8"/>
      <c r="Y113" s="8"/>
      <c r="Z113" s="8"/>
      <c r="AA113" s="9" t="str">
        <f>IF(A113="","",IF(OR(ABS(N113)&gt;Lists!$K$6,ABS(Q113)&gt;Lists!$K$3,ABS(T113)&gt;Lists!$K$4,ABS(U113)&gt;Lists!$K$5),"Failed","Passed"))</f>
        <v/>
      </c>
      <c r="AB113" s="8"/>
      <c r="AC113" s="8"/>
      <c r="AD113" s="8"/>
      <c r="AE113" s="10"/>
      <c r="AF113" s="8"/>
    </row>
    <row r="114" spans="1:32">
      <c r="A114" s="8"/>
      <c r="B114" s="10"/>
      <c r="C114" s="8"/>
      <c r="D114" s="8"/>
      <c r="E114" s="8"/>
      <c r="F114" s="8"/>
      <c r="G114" s="13"/>
      <c r="H114" s="13"/>
      <c r="I114" s="13"/>
      <c r="J114" s="14" t="str">
        <f t="shared" si="5"/>
        <v/>
      </c>
      <c r="K114" s="13"/>
      <c r="L114" s="14" t="str">
        <f t="shared" si="6"/>
        <v/>
      </c>
      <c r="M114" s="13"/>
      <c r="N114" s="16" t="str">
        <f t="shared" si="7"/>
        <v/>
      </c>
      <c r="O114" s="13"/>
      <c r="P114" s="13"/>
      <c r="Q114" s="16" t="str">
        <f t="shared" si="8"/>
        <v/>
      </c>
      <c r="R114" s="13"/>
      <c r="S114" s="13"/>
      <c r="T114" s="16" t="str">
        <f t="shared" si="9"/>
        <v/>
      </c>
      <c r="U114" s="15"/>
      <c r="V114" s="15"/>
      <c r="W114" s="15"/>
      <c r="X114" s="8"/>
      <c r="Y114" s="8"/>
      <c r="Z114" s="8"/>
      <c r="AA114" s="9" t="str">
        <f>IF(A114="","",IF(OR(ABS(N114)&gt;Lists!$K$6,ABS(Q114)&gt;Lists!$K$3,ABS(T114)&gt;Lists!$K$4,ABS(U114)&gt;Lists!$K$5),"Failed","Passed"))</f>
        <v/>
      </c>
      <c r="AB114" s="8"/>
      <c r="AC114" s="8"/>
      <c r="AD114" s="8"/>
      <c r="AE114" s="10"/>
      <c r="AF114" s="8"/>
    </row>
    <row r="115" spans="1:32">
      <c r="A115" s="8"/>
      <c r="B115" s="10"/>
      <c r="C115" s="8"/>
      <c r="D115" s="8"/>
      <c r="E115" s="8"/>
      <c r="F115" s="8"/>
      <c r="G115" s="13"/>
      <c r="H115" s="13"/>
      <c r="I115" s="13"/>
      <c r="J115" s="14" t="str">
        <f t="shared" si="5"/>
        <v/>
      </c>
      <c r="K115" s="13"/>
      <c r="L115" s="14" t="str">
        <f t="shared" si="6"/>
        <v/>
      </c>
      <c r="M115" s="13"/>
      <c r="N115" s="16" t="str">
        <f t="shared" si="7"/>
        <v/>
      </c>
      <c r="O115" s="13"/>
      <c r="P115" s="13"/>
      <c r="Q115" s="16" t="str">
        <f t="shared" si="8"/>
        <v/>
      </c>
      <c r="R115" s="13"/>
      <c r="S115" s="13"/>
      <c r="T115" s="16" t="str">
        <f t="shared" si="9"/>
        <v/>
      </c>
      <c r="U115" s="15"/>
      <c r="V115" s="15"/>
      <c r="W115" s="15"/>
      <c r="X115" s="8"/>
      <c r="Y115" s="8"/>
      <c r="Z115" s="8"/>
      <c r="AA115" s="9" t="str">
        <f>IF(A115="","",IF(OR(ABS(N115)&gt;Lists!$K$6,ABS(Q115)&gt;Lists!$K$3,ABS(T115)&gt;Lists!$K$4,ABS(U115)&gt;Lists!$K$5),"Failed","Passed"))</f>
        <v/>
      </c>
      <c r="AB115" s="8"/>
      <c r="AC115" s="8"/>
      <c r="AD115" s="8"/>
      <c r="AE115" s="10"/>
      <c r="AF115" s="8"/>
    </row>
    <row r="116" spans="1:32">
      <c r="A116" s="8"/>
      <c r="B116" s="10"/>
      <c r="C116" s="8"/>
      <c r="D116" s="8"/>
      <c r="E116" s="8"/>
      <c r="F116" s="8"/>
      <c r="G116" s="13"/>
      <c r="H116" s="13"/>
      <c r="I116" s="13"/>
      <c r="J116" s="14" t="str">
        <f t="shared" si="5"/>
        <v/>
      </c>
      <c r="K116" s="13"/>
      <c r="L116" s="14" t="str">
        <f t="shared" si="6"/>
        <v/>
      </c>
      <c r="M116" s="13"/>
      <c r="N116" s="16" t="str">
        <f t="shared" si="7"/>
        <v/>
      </c>
      <c r="O116" s="13"/>
      <c r="P116" s="13"/>
      <c r="Q116" s="16" t="str">
        <f t="shared" si="8"/>
        <v/>
      </c>
      <c r="R116" s="13"/>
      <c r="S116" s="13"/>
      <c r="T116" s="16" t="str">
        <f t="shared" si="9"/>
        <v/>
      </c>
      <c r="U116" s="15"/>
      <c r="V116" s="15"/>
      <c r="W116" s="15"/>
      <c r="X116" s="8"/>
      <c r="Y116" s="8"/>
      <c r="Z116" s="8"/>
      <c r="AA116" s="9" t="str">
        <f>IF(A116="","",IF(OR(ABS(N116)&gt;Lists!$K$6,ABS(Q116)&gt;Lists!$K$3,ABS(T116)&gt;Lists!$K$4,ABS(U116)&gt;Lists!$K$5),"Failed","Passed"))</f>
        <v/>
      </c>
      <c r="AB116" s="8"/>
      <c r="AC116" s="8"/>
      <c r="AD116" s="8"/>
      <c r="AE116" s="10"/>
      <c r="AF116" s="8"/>
    </row>
    <row r="117" spans="1:32">
      <c r="A117" s="8"/>
      <c r="B117" s="10"/>
      <c r="C117" s="8"/>
      <c r="D117" s="8"/>
      <c r="E117" s="8"/>
      <c r="F117" s="8"/>
      <c r="G117" s="13"/>
      <c r="H117" s="13"/>
      <c r="I117" s="13"/>
      <c r="J117" s="14" t="str">
        <f t="shared" si="5"/>
        <v/>
      </c>
      <c r="K117" s="13"/>
      <c r="L117" s="14" t="str">
        <f t="shared" si="6"/>
        <v/>
      </c>
      <c r="M117" s="13"/>
      <c r="N117" s="16" t="str">
        <f t="shared" si="7"/>
        <v/>
      </c>
      <c r="O117" s="13"/>
      <c r="P117" s="13"/>
      <c r="Q117" s="16" t="str">
        <f t="shared" si="8"/>
        <v/>
      </c>
      <c r="R117" s="13"/>
      <c r="S117" s="13"/>
      <c r="T117" s="16" t="str">
        <f t="shared" si="9"/>
        <v/>
      </c>
      <c r="U117" s="15"/>
      <c r="V117" s="15"/>
      <c r="W117" s="15"/>
      <c r="X117" s="8"/>
      <c r="Y117" s="8"/>
      <c r="Z117" s="8"/>
      <c r="AA117" s="9" t="str">
        <f>IF(A117="","",IF(OR(ABS(N117)&gt;Lists!$K$6,ABS(Q117)&gt;Lists!$K$3,ABS(T117)&gt;Lists!$K$4,ABS(U117)&gt;Lists!$K$5),"Failed","Passed"))</f>
        <v/>
      </c>
      <c r="AB117" s="8"/>
      <c r="AC117" s="8"/>
      <c r="AD117" s="8"/>
      <c r="AE117" s="10"/>
      <c r="AF117" s="8"/>
    </row>
    <row r="118" spans="1:32">
      <c r="A118" s="8"/>
      <c r="B118" s="10"/>
      <c r="C118" s="8"/>
      <c r="D118" s="8"/>
      <c r="E118" s="8"/>
      <c r="F118" s="8"/>
      <c r="G118" s="13"/>
      <c r="H118" s="13"/>
      <c r="I118" s="13"/>
      <c r="J118" s="14" t="str">
        <f t="shared" si="5"/>
        <v/>
      </c>
      <c r="K118" s="13"/>
      <c r="L118" s="14" t="str">
        <f t="shared" si="6"/>
        <v/>
      </c>
      <c r="M118" s="13"/>
      <c r="N118" s="16" t="str">
        <f t="shared" si="7"/>
        <v/>
      </c>
      <c r="O118" s="13"/>
      <c r="P118" s="13"/>
      <c r="Q118" s="16" t="str">
        <f t="shared" si="8"/>
        <v/>
      </c>
      <c r="R118" s="13"/>
      <c r="S118" s="13"/>
      <c r="T118" s="16" t="str">
        <f t="shared" si="9"/>
        <v/>
      </c>
      <c r="U118" s="15"/>
      <c r="V118" s="15"/>
      <c r="W118" s="15"/>
      <c r="X118" s="8"/>
      <c r="Y118" s="8"/>
      <c r="Z118" s="8"/>
      <c r="AA118" s="9" t="str">
        <f>IF(A118="","",IF(OR(ABS(N118)&gt;Lists!$K$6,ABS(Q118)&gt;Lists!$K$3,ABS(T118)&gt;Lists!$K$4,ABS(U118)&gt;Lists!$K$5),"Failed","Passed"))</f>
        <v/>
      </c>
      <c r="AB118" s="8"/>
      <c r="AC118" s="8"/>
      <c r="AD118" s="8"/>
      <c r="AE118" s="10"/>
      <c r="AF118" s="8"/>
    </row>
    <row r="119" spans="1:32">
      <c r="A119" s="8"/>
      <c r="B119" s="10"/>
      <c r="C119" s="8"/>
      <c r="D119" s="8"/>
      <c r="E119" s="8"/>
      <c r="F119" s="8"/>
      <c r="G119" s="13"/>
      <c r="H119" s="13"/>
      <c r="I119" s="13"/>
      <c r="J119" s="14" t="str">
        <f t="shared" si="5"/>
        <v/>
      </c>
      <c r="K119" s="13"/>
      <c r="L119" s="14" t="str">
        <f t="shared" si="6"/>
        <v/>
      </c>
      <c r="M119" s="13"/>
      <c r="N119" s="16" t="str">
        <f t="shared" si="7"/>
        <v/>
      </c>
      <c r="O119" s="13"/>
      <c r="P119" s="13"/>
      <c r="Q119" s="16" t="str">
        <f t="shared" si="8"/>
        <v/>
      </c>
      <c r="R119" s="13"/>
      <c r="S119" s="13"/>
      <c r="T119" s="16" t="str">
        <f t="shared" si="9"/>
        <v/>
      </c>
      <c r="U119" s="15"/>
      <c r="V119" s="15"/>
      <c r="W119" s="15"/>
      <c r="X119" s="8"/>
      <c r="Y119" s="8"/>
      <c r="Z119" s="8"/>
      <c r="AA119" s="9" t="str">
        <f>IF(A119="","",IF(OR(ABS(N119)&gt;Lists!$K$6,ABS(Q119)&gt;Lists!$K$3,ABS(T119)&gt;Lists!$K$4,ABS(U119)&gt;Lists!$K$5),"Failed","Passed"))</f>
        <v/>
      </c>
      <c r="AB119" s="8"/>
      <c r="AC119" s="8"/>
      <c r="AD119" s="8"/>
      <c r="AE119" s="10"/>
      <c r="AF119" s="8"/>
    </row>
    <row r="120" spans="1:32">
      <c r="A120" s="8"/>
      <c r="B120" s="10"/>
      <c r="C120" s="8"/>
      <c r="D120" s="8"/>
      <c r="E120" s="8"/>
      <c r="F120" s="8"/>
      <c r="G120" s="13"/>
      <c r="H120" s="13"/>
      <c r="I120" s="13"/>
      <c r="J120" s="14" t="str">
        <f t="shared" si="5"/>
        <v/>
      </c>
      <c r="K120" s="13"/>
      <c r="L120" s="14" t="str">
        <f t="shared" si="6"/>
        <v/>
      </c>
      <c r="M120" s="13"/>
      <c r="N120" s="16" t="str">
        <f t="shared" si="7"/>
        <v/>
      </c>
      <c r="O120" s="13"/>
      <c r="P120" s="13"/>
      <c r="Q120" s="16" t="str">
        <f t="shared" si="8"/>
        <v/>
      </c>
      <c r="R120" s="13"/>
      <c r="S120" s="13"/>
      <c r="T120" s="16" t="str">
        <f t="shared" si="9"/>
        <v/>
      </c>
      <c r="U120" s="15"/>
      <c r="V120" s="15"/>
      <c r="W120" s="15"/>
      <c r="X120" s="8"/>
      <c r="Y120" s="8"/>
      <c r="Z120" s="8"/>
      <c r="AA120" s="9" t="str">
        <f>IF(A120="","",IF(OR(ABS(N120)&gt;Lists!$K$6,ABS(Q120)&gt;Lists!$K$3,ABS(T120)&gt;Lists!$K$4,ABS(U120)&gt;Lists!$K$5),"Failed","Passed"))</f>
        <v/>
      </c>
      <c r="AB120" s="8"/>
      <c r="AC120" s="8"/>
      <c r="AD120" s="8"/>
      <c r="AE120" s="10"/>
      <c r="AF120" s="8"/>
    </row>
    <row r="121" spans="1:32">
      <c r="A121" s="8"/>
      <c r="B121" s="10"/>
      <c r="C121" s="8"/>
      <c r="D121" s="8"/>
      <c r="E121" s="8"/>
      <c r="F121" s="8"/>
      <c r="G121" s="13"/>
      <c r="H121" s="13"/>
      <c r="I121" s="13"/>
      <c r="J121" s="14" t="str">
        <f t="shared" si="5"/>
        <v/>
      </c>
      <c r="K121" s="13"/>
      <c r="L121" s="14" t="str">
        <f t="shared" si="6"/>
        <v/>
      </c>
      <c r="M121" s="13"/>
      <c r="N121" s="16" t="str">
        <f t="shared" si="7"/>
        <v/>
      </c>
      <c r="O121" s="13"/>
      <c r="P121" s="13"/>
      <c r="Q121" s="16" t="str">
        <f t="shared" si="8"/>
        <v/>
      </c>
      <c r="R121" s="13"/>
      <c r="S121" s="13"/>
      <c r="T121" s="16" t="str">
        <f t="shared" si="9"/>
        <v/>
      </c>
      <c r="U121" s="15"/>
      <c r="V121" s="15"/>
      <c r="W121" s="15"/>
      <c r="X121" s="8"/>
      <c r="Y121" s="8"/>
      <c r="Z121" s="8"/>
      <c r="AA121" s="9" t="str">
        <f>IF(A121="","",IF(OR(ABS(N121)&gt;Lists!$K$6,ABS(Q121)&gt;Lists!$K$3,ABS(T121)&gt;Lists!$K$4,ABS(U121)&gt;Lists!$K$5),"Failed","Passed"))</f>
        <v/>
      </c>
      <c r="AB121" s="8"/>
      <c r="AC121" s="8"/>
      <c r="AD121" s="8"/>
      <c r="AE121" s="10"/>
      <c r="AF121" s="8"/>
    </row>
    <row r="122" spans="1:32">
      <c r="A122" s="8"/>
      <c r="B122" s="10"/>
      <c r="C122" s="8"/>
      <c r="D122" s="8"/>
      <c r="E122" s="8"/>
      <c r="F122" s="8"/>
      <c r="G122" s="13"/>
      <c r="H122" s="13"/>
      <c r="I122" s="13"/>
      <c r="J122" s="14" t="str">
        <f t="shared" si="5"/>
        <v/>
      </c>
      <c r="K122" s="13"/>
      <c r="L122" s="14" t="str">
        <f t="shared" si="6"/>
        <v/>
      </c>
      <c r="M122" s="13"/>
      <c r="N122" s="16" t="str">
        <f t="shared" si="7"/>
        <v/>
      </c>
      <c r="O122" s="13"/>
      <c r="P122" s="13"/>
      <c r="Q122" s="16" t="str">
        <f t="shared" si="8"/>
        <v/>
      </c>
      <c r="R122" s="13"/>
      <c r="S122" s="13"/>
      <c r="T122" s="16" t="str">
        <f t="shared" si="9"/>
        <v/>
      </c>
      <c r="U122" s="15"/>
      <c r="V122" s="15"/>
      <c r="W122" s="15"/>
      <c r="X122" s="8"/>
      <c r="Y122" s="8"/>
      <c r="Z122" s="8"/>
      <c r="AA122" s="9" t="str">
        <f>IF(A122="","",IF(OR(ABS(N122)&gt;Lists!$K$6,ABS(Q122)&gt;Lists!$K$3,ABS(T122)&gt;Lists!$K$4,ABS(U122)&gt;Lists!$K$5),"Failed","Passed"))</f>
        <v/>
      </c>
      <c r="AB122" s="8"/>
      <c r="AC122" s="8"/>
      <c r="AD122" s="8"/>
      <c r="AE122" s="10"/>
      <c r="AF122" s="8"/>
    </row>
    <row r="123" spans="1:32">
      <c r="A123" s="8"/>
      <c r="B123" s="10"/>
      <c r="C123" s="8"/>
      <c r="D123" s="8"/>
      <c r="E123" s="8"/>
      <c r="F123" s="8"/>
      <c r="G123" s="13"/>
      <c r="H123" s="13"/>
      <c r="I123" s="13"/>
      <c r="J123" s="14" t="str">
        <f t="shared" si="5"/>
        <v/>
      </c>
      <c r="K123" s="13"/>
      <c r="L123" s="14" t="str">
        <f t="shared" si="6"/>
        <v/>
      </c>
      <c r="M123" s="13"/>
      <c r="N123" s="16" t="str">
        <f t="shared" si="7"/>
        <v/>
      </c>
      <c r="O123" s="13"/>
      <c r="P123" s="13"/>
      <c r="Q123" s="16" t="str">
        <f t="shared" si="8"/>
        <v/>
      </c>
      <c r="R123" s="13"/>
      <c r="S123" s="13"/>
      <c r="T123" s="16" t="str">
        <f t="shared" si="9"/>
        <v/>
      </c>
      <c r="U123" s="15"/>
      <c r="V123" s="15"/>
      <c r="W123" s="15"/>
      <c r="X123" s="8"/>
      <c r="Y123" s="8"/>
      <c r="Z123" s="8"/>
      <c r="AA123" s="9" t="str">
        <f>IF(A123="","",IF(OR(ABS(N123)&gt;Lists!$K$6,ABS(Q123)&gt;Lists!$K$3,ABS(T123)&gt;Lists!$K$4,ABS(U123)&gt;Lists!$K$5),"Failed","Passed"))</f>
        <v/>
      </c>
      <c r="AB123" s="8"/>
      <c r="AC123" s="8"/>
      <c r="AD123" s="8"/>
      <c r="AE123" s="10"/>
      <c r="AF123" s="8"/>
    </row>
    <row r="124" spans="1:32">
      <c r="A124" s="8"/>
      <c r="B124" s="10"/>
      <c r="C124" s="8"/>
      <c r="D124" s="8"/>
      <c r="E124" s="8"/>
      <c r="F124" s="8"/>
      <c r="G124" s="13"/>
      <c r="H124" s="13"/>
      <c r="I124" s="13"/>
      <c r="J124" s="14" t="str">
        <f t="shared" si="5"/>
        <v/>
      </c>
      <c r="K124" s="13"/>
      <c r="L124" s="14" t="str">
        <f t="shared" si="6"/>
        <v/>
      </c>
      <c r="M124" s="13"/>
      <c r="N124" s="16" t="str">
        <f t="shared" si="7"/>
        <v/>
      </c>
      <c r="O124" s="13"/>
      <c r="P124" s="13"/>
      <c r="Q124" s="16" t="str">
        <f t="shared" si="8"/>
        <v/>
      </c>
      <c r="R124" s="13"/>
      <c r="S124" s="13"/>
      <c r="T124" s="16" t="str">
        <f t="shared" si="9"/>
        <v/>
      </c>
      <c r="U124" s="15"/>
      <c r="V124" s="15"/>
      <c r="W124" s="15"/>
      <c r="X124" s="8"/>
      <c r="Y124" s="8"/>
      <c r="Z124" s="8"/>
      <c r="AA124" s="9" t="str">
        <f>IF(A124="","",IF(OR(ABS(N124)&gt;Lists!$K$6,ABS(Q124)&gt;Lists!$K$3,ABS(T124)&gt;Lists!$K$4,ABS(U124)&gt;Lists!$K$5),"Failed","Passed"))</f>
        <v/>
      </c>
      <c r="AB124" s="8"/>
      <c r="AC124" s="8"/>
      <c r="AD124" s="8"/>
      <c r="AE124" s="10"/>
      <c r="AF124" s="8"/>
    </row>
    <row r="125" spans="1:32">
      <c r="A125" s="8"/>
      <c r="B125" s="10"/>
      <c r="C125" s="8"/>
      <c r="D125" s="8"/>
      <c r="E125" s="8"/>
      <c r="F125" s="8"/>
      <c r="G125" s="13"/>
      <c r="H125" s="13"/>
      <c r="I125" s="13"/>
      <c r="J125" s="14" t="str">
        <f t="shared" si="5"/>
        <v/>
      </c>
      <c r="K125" s="13"/>
      <c r="L125" s="14" t="str">
        <f t="shared" si="6"/>
        <v/>
      </c>
      <c r="M125" s="13"/>
      <c r="N125" s="16" t="str">
        <f t="shared" si="7"/>
        <v/>
      </c>
      <c r="O125" s="13"/>
      <c r="P125" s="13"/>
      <c r="Q125" s="16" t="str">
        <f t="shared" si="8"/>
        <v/>
      </c>
      <c r="R125" s="13"/>
      <c r="S125" s="13"/>
      <c r="T125" s="16" t="str">
        <f t="shared" si="9"/>
        <v/>
      </c>
      <c r="U125" s="15"/>
      <c r="V125" s="15"/>
      <c r="W125" s="15"/>
      <c r="X125" s="8"/>
      <c r="Y125" s="8"/>
      <c r="Z125" s="8"/>
      <c r="AA125" s="9" t="str">
        <f>IF(A125="","",IF(OR(ABS(N125)&gt;Lists!$K$6,ABS(Q125)&gt;Lists!$K$3,ABS(T125)&gt;Lists!$K$4,ABS(U125)&gt;Lists!$K$5),"Failed","Passed"))</f>
        <v/>
      </c>
      <c r="AB125" s="8"/>
      <c r="AC125" s="8"/>
      <c r="AD125" s="8"/>
      <c r="AE125" s="10"/>
      <c r="AF125" s="8"/>
    </row>
    <row r="126" spans="1:32">
      <c r="A126" s="8"/>
      <c r="B126" s="10"/>
      <c r="C126" s="8"/>
      <c r="D126" s="8"/>
      <c r="E126" s="8"/>
      <c r="F126" s="8"/>
      <c r="G126" s="13"/>
      <c r="H126" s="13"/>
      <c r="I126" s="13"/>
      <c r="J126" s="14" t="str">
        <f t="shared" si="5"/>
        <v/>
      </c>
      <c r="K126" s="13"/>
      <c r="L126" s="14" t="str">
        <f t="shared" si="6"/>
        <v/>
      </c>
      <c r="M126" s="13"/>
      <c r="N126" s="16" t="str">
        <f t="shared" si="7"/>
        <v/>
      </c>
      <c r="O126" s="13"/>
      <c r="P126" s="13"/>
      <c r="Q126" s="16" t="str">
        <f t="shared" si="8"/>
        <v/>
      </c>
      <c r="R126" s="13"/>
      <c r="S126" s="13"/>
      <c r="T126" s="16" t="str">
        <f t="shared" si="9"/>
        <v/>
      </c>
      <c r="U126" s="15"/>
      <c r="V126" s="15"/>
      <c r="W126" s="15"/>
      <c r="X126" s="8"/>
      <c r="Y126" s="8"/>
      <c r="Z126" s="8"/>
      <c r="AA126" s="9" t="str">
        <f>IF(A126="","",IF(OR(ABS(N126)&gt;Lists!$K$6,ABS(Q126)&gt;Lists!$K$3,ABS(T126)&gt;Lists!$K$4,ABS(U126)&gt;Lists!$K$5),"Failed","Passed"))</f>
        <v/>
      </c>
      <c r="AB126" s="8"/>
      <c r="AC126" s="8"/>
      <c r="AD126" s="8"/>
      <c r="AE126" s="10"/>
      <c r="AF126" s="8"/>
    </row>
    <row r="127" spans="1:32">
      <c r="A127" s="8"/>
      <c r="B127" s="10"/>
      <c r="C127" s="8"/>
      <c r="D127" s="8"/>
      <c r="E127" s="8"/>
      <c r="F127" s="8"/>
      <c r="G127" s="13"/>
      <c r="H127" s="13"/>
      <c r="I127" s="13"/>
      <c r="J127" s="14" t="str">
        <f t="shared" si="5"/>
        <v/>
      </c>
      <c r="K127" s="13"/>
      <c r="L127" s="14" t="str">
        <f t="shared" si="6"/>
        <v/>
      </c>
      <c r="M127" s="13"/>
      <c r="N127" s="16" t="str">
        <f t="shared" si="7"/>
        <v/>
      </c>
      <c r="O127" s="13"/>
      <c r="P127" s="13"/>
      <c r="Q127" s="16" t="str">
        <f t="shared" si="8"/>
        <v/>
      </c>
      <c r="R127" s="13"/>
      <c r="S127" s="13"/>
      <c r="T127" s="16" t="str">
        <f t="shared" si="9"/>
        <v/>
      </c>
      <c r="U127" s="15"/>
      <c r="V127" s="15"/>
      <c r="W127" s="15"/>
      <c r="X127" s="8"/>
      <c r="Y127" s="8"/>
      <c r="Z127" s="8"/>
      <c r="AA127" s="9" t="str">
        <f>IF(A127="","",IF(OR(ABS(N127)&gt;Lists!$K$6,ABS(Q127)&gt;Lists!$K$3,ABS(T127)&gt;Lists!$K$4,ABS(U127)&gt;Lists!$K$5),"Failed","Passed"))</f>
        <v/>
      </c>
      <c r="AB127" s="8"/>
      <c r="AC127" s="8"/>
      <c r="AD127" s="8"/>
      <c r="AE127" s="10"/>
      <c r="AF127" s="8"/>
    </row>
    <row r="128" spans="1:32">
      <c r="A128" s="8"/>
      <c r="B128" s="10"/>
      <c r="C128" s="8"/>
      <c r="D128" s="8"/>
      <c r="E128" s="8"/>
      <c r="F128" s="8"/>
      <c r="G128" s="13"/>
      <c r="H128" s="13"/>
      <c r="I128" s="13"/>
      <c r="J128" s="14" t="str">
        <f t="shared" si="5"/>
        <v/>
      </c>
      <c r="K128" s="13"/>
      <c r="L128" s="14" t="str">
        <f t="shared" si="6"/>
        <v/>
      </c>
      <c r="M128" s="13"/>
      <c r="N128" s="16" t="str">
        <f t="shared" si="7"/>
        <v/>
      </c>
      <c r="O128" s="13"/>
      <c r="P128" s="13"/>
      <c r="Q128" s="16" t="str">
        <f t="shared" si="8"/>
        <v/>
      </c>
      <c r="R128" s="13"/>
      <c r="S128" s="13"/>
      <c r="T128" s="16" t="str">
        <f t="shared" si="9"/>
        <v/>
      </c>
      <c r="U128" s="15"/>
      <c r="V128" s="15"/>
      <c r="W128" s="15"/>
      <c r="X128" s="8"/>
      <c r="Y128" s="8"/>
      <c r="Z128" s="8"/>
      <c r="AA128" s="9" t="str">
        <f>IF(A128="","",IF(OR(ABS(N128)&gt;Lists!$K$6,ABS(Q128)&gt;Lists!$K$3,ABS(T128)&gt;Lists!$K$4,ABS(U128)&gt;Lists!$K$5),"Failed","Passed"))</f>
        <v/>
      </c>
      <c r="AB128" s="8"/>
      <c r="AC128" s="8"/>
      <c r="AD128" s="8"/>
      <c r="AE128" s="10"/>
      <c r="AF128" s="8"/>
    </row>
    <row r="129" spans="1:32">
      <c r="A129" s="8"/>
      <c r="B129" s="10"/>
      <c r="C129" s="8"/>
      <c r="D129" s="8"/>
      <c r="E129" s="8"/>
      <c r="F129" s="8"/>
      <c r="G129" s="13"/>
      <c r="H129" s="13"/>
      <c r="I129" s="13"/>
      <c r="J129" s="14" t="str">
        <f t="shared" si="5"/>
        <v/>
      </c>
      <c r="K129" s="13"/>
      <c r="L129" s="14" t="str">
        <f t="shared" si="6"/>
        <v/>
      </c>
      <c r="M129" s="13"/>
      <c r="N129" s="16" t="str">
        <f t="shared" si="7"/>
        <v/>
      </c>
      <c r="O129" s="13"/>
      <c r="P129" s="13"/>
      <c r="Q129" s="16" t="str">
        <f t="shared" si="8"/>
        <v/>
      </c>
      <c r="R129" s="13"/>
      <c r="S129" s="13"/>
      <c r="T129" s="16" t="str">
        <f t="shared" si="9"/>
        <v/>
      </c>
      <c r="U129" s="15"/>
      <c r="V129" s="15"/>
      <c r="W129" s="15"/>
      <c r="X129" s="8"/>
      <c r="Y129" s="8"/>
      <c r="Z129" s="8"/>
      <c r="AA129" s="9" t="str">
        <f>IF(A129="","",IF(OR(ABS(N129)&gt;Lists!$K$6,ABS(Q129)&gt;Lists!$K$3,ABS(T129)&gt;Lists!$K$4,ABS(U129)&gt;Lists!$K$5),"Failed","Passed"))</f>
        <v/>
      </c>
      <c r="AB129" s="8"/>
      <c r="AC129" s="8"/>
      <c r="AD129" s="8"/>
      <c r="AE129" s="10"/>
      <c r="AF129" s="8"/>
    </row>
    <row r="130" spans="1:32">
      <c r="A130" s="8"/>
      <c r="B130" s="10"/>
      <c r="C130" s="8"/>
      <c r="D130" s="8"/>
      <c r="E130" s="8"/>
      <c r="F130" s="8"/>
      <c r="G130" s="13"/>
      <c r="H130" s="13"/>
      <c r="I130" s="13"/>
      <c r="J130" s="14" t="str">
        <f t="shared" si="5"/>
        <v/>
      </c>
      <c r="K130" s="13"/>
      <c r="L130" s="14" t="str">
        <f t="shared" si="6"/>
        <v/>
      </c>
      <c r="M130" s="13"/>
      <c r="N130" s="16" t="str">
        <f t="shared" si="7"/>
        <v/>
      </c>
      <c r="O130" s="13"/>
      <c r="P130" s="13"/>
      <c r="Q130" s="16" t="str">
        <f t="shared" si="8"/>
        <v/>
      </c>
      <c r="R130" s="13"/>
      <c r="S130" s="13"/>
      <c r="T130" s="16" t="str">
        <f t="shared" si="9"/>
        <v/>
      </c>
      <c r="U130" s="15"/>
      <c r="V130" s="15"/>
      <c r="W130" s="15"/>
      <c r="X130" s="8"/>
      <c r="Y130" s="8"/>
      <c r="Z130" s="8"/>
      <c r="AA130" s="9" t="str">
        <f>IF(A130="","",IF(OR(ABS(N130)&gt;Lists!$K$6,ABS(Q130)&gt;Lists!$K$3,ABS(T130)&gt;Lists!$K$4,ABS(U130)&gt;Lists!$K$5),"Failed","Passed"))</f>
        <v/>
      </c>
      <c r="AB130" s="8"/>
      <c r="AC130" s="8"/>
      <c r="AD130" s="8"/>
      <c r="AE130" s="10"/>
      <c r="AF130" s="8"/>
    </row>
    <row r="131" spans="1:32">
      <c r="A131" s="8"/>
      <c r="B131" s="10"/>
      <c r="C131" s="8"/>
      <c r="D131" s="8"/>
      <c r="E131" s="8"/>
      <c r="F131" s="8"/>
      <c r="G131" s="13"/>
      <c r="H131" s="13"/>
      <c r="I131" s="13"/>
      <c r="J131" s="14" t="str">
        <f t="shared" si="5"/>
        <v/>
      </c>
      <c r="K131" s="13"/>
      <c r="L131" s="14" t="str">
        <f t="shared" si="6"/>
        <v/>
      </c>
      <c r="M131" s="13"/>
      <c r="N131" s="16" t="str">
        <f t="shared" si="7"/>
        <v/>
      </c>
      <c r="O131" s="13"/>
      <c r="P131" s="13"/>
      <c r="Q131" s="16" t="str">
        <f t="shared" si="8"/>
        <v/>
      </c>
      <c r="R131" s="13"/>
      <c r="S131" s="13"/>
      <c r="T131" s="16" t="str">
        <f t="shared" si="9"/>
        <v/>
      </c>
      <c r="U131" s="15"/>
      <c r="V131" s="15"/>
      <c r="W131" s="15"/>
      <c r="X131" s="8"/>
      <c r="Y131" s="8"/>
      <c r="Z131" s="8"/>
      <c r="AA131" s="9" t="str">
        <f>IF(A131="","",IF(OR(ABS(N131)&gt;Lists!$K$6,ABS(Q131)&gt;Lists!$K$3,ABS(T131)&gt;Lists!$K$4,ABS(U131)&gt;Lists!$K$5),"Failed","Passed"))</f>
        <v/>
      </c>
      <c r="AB131" s="8"/>
      <c r="AC131" s="8"/>
      <c r="AD131" s="8"/>
      <c r="AE131" s="10"/>
      <c r="AF131" s="8"/>
    </row>
    <row r="132" spans="1:32">
      <c r="A132" s="8"/>
      <c r="B132" s="10"/>
      <c r="C132" s="8"/>
      <c r="D132" s="8"/>
      <c r="E132" s="8"/>
      <c r="F132" s="8"/>
      <c r="G132" s="13"/>
      <c r="H132" s="13"/>
      <c r="I132" s="13"/>
      <c r="J132" s="14" t="str">
        <f t="shared" si="5"/>
        <v/>
      </c>
      <c r="K132" s="13"/>
      <c r="L132" s="14" t="str">
        <f t="shared" si="6"/>
        <v/>
      </c>
      <c r="M132" s="13"/>
      <c r="N132" s="16" t="str">
        <f t="shared" si="7"/>
        <v/>
      </c>
      <c r="O132" s="13"/>
      <c r="P132" s="13"/>
      <c r="Q132" s="16" t="str">
        <f t="shared" si="8"/>
        <v/>
      </c>
      <c r="R132" s="13"/>
      <c r="S132" s="13"/>
      <c r="T132" s="16" t="str">
        <f t="shared" si="9"/>
        <v/>
      </c>
      <c r="U132" s="15"/>
      <c r="V132" s="15"/>
      <c r="W132" s="15"/>
      <c r="X132" s="8"/>
      <c r="Y132" s="8"/>
      <c r="Z132" s="8"/>
      <c r="AA132" s="9" t="str">
        <f>IF(A132="","",IF(OR(ABS(N132)&gt;Lists!$K$6,ABS(Q132)&gt;Lists!$K$3,ABS(T132)&gt;Lists!$K$4,ABS(U132)&gt;Lists!$K$5),"Failed","Passed"))</f>
        <v/>
      </c>
      <c r="AB132" s="8"/>
      <c r="AC132" s="8"/>
      <c r="AD132" s="8"/>
      <c r="AE132" s="10"/>
      <c r="AF132" s="8"/>
    </row>
    <row r="133" spans="1:32">
      <c r="A133" s="8"/>
      <c r="B133" s="10"/>
      <c r="C133" s="8"/>
      <c r="D133" s="8"/>
      <c r="E133" s="8"/>
      <c r="F133" s="8"/>
      <c r="G133" s="13"/>
      <c r="H133" s="13"/>
      <c r="I133" s="13"/>
      <c r="J133" s="14" t="str">
        <f t="shared" ref="J133:J196" si="10">IF(OR(A133="",H133=0),"",I133*10000/H133)</f>
        <v/>
      </c>
      <c r="K133" s="13"/>
      <c r="L133" s="14" t="str">
        <f t="shared" ref="L133:L196" si="11">IF(OR(A133="",H133=0),"",K133*10000/H133)</f>
        <v/>
      </c>
      <c r="M133" s="13"/>
      <c r="N133" s="16" t="str">
        <f t="shared" ref="N133:N196" si="12">IF(OR(A133="",M133=0),"",(L133-M133)/M133)</f>
        <v/>
      </c>
      <c r="O133" s="13"/>
      <c r="P133" s="13"/>
      <c r="Q133" s="16" t="str">
        <f t="shared" ref="Q133:Q196" si="13">IF(OR(A133="",O133=0),"",(O133-P133)/O133)</f>
        <v/>
      </c>
      <c r="R133" s="13"/>
      <c r="S133" s="13"/>
      <c r="T133" s="16" t="str">
        <f t="shared" ref="T133:T196" si="14">IF(OR(A133="",R133=0),"",(R133-S133)/R133)</f>
        <v/>
      </c>
      <c r="U133" s="15"/>
      <c r="V133" s="15"/>
      <c r="W133" s="15"/>
      <c r="X133" s="8"/>
      <c r="Y133" s="8"/>
      <c r="Z133" s="8"/>
      <c r="AA133" s="9" t="str">
        <f>IF(A133="","",IF(OR(ABS(N133)&gt;Lists!$K$6,ABS(Q133)&gt;Lists!$K$3,ABS(T133)&gt;Lists!$K$4,ABS(U133)&gt;Lists!$K$5),"Failed","Passed"))</f>
        <v/>
      </c>
      <c r="AB133" s="8"/>
      <c r="AC133" s="8"/>
      <c r="AD133" s="8"/>
      <c r="AE133" s="10"/>
      <c r="AF133" s="8"/>
    </row>
    <row r="134" spans="1:32">
      <c r="A134" s="8"/>
      <c r="B134" s="10"/>
      <c r="C134" s="8"/>
      <c r="D134" s="8"/>
      <c r="E134" s="8"/>
      <c r="F134" s="8"/>
      <c r="G134" s="13"/>
      <c r="H134" s="13"/>
      <c r="I134" s="13"/>
      <c r="J134" s="14" t="str">
        <f t="shared" si="10"/>
        <v/>
      </c>
      <c r="K134" s="13"/>
      <c r="L134" s="14" t="str">
        <f t="shared" si="11"/>
        <v/>
      </c>
      <c r="M134" s="13"/>
      <c r="N134" s="16" t="str">
        <f t="shared" si="12"/>
        <v/>
      </c>
      <c r="O134" s="13"/>
      <c r="P134" s="13"/>
      <c r="Q134" s="16" t="str">
        <f t="shared" si="13"/>
        <v/>
      </c>
      <c r="R134" s="13"/>
      <c r="S134" s="13"/>
      <c r="T134" s="16" t="str">
        <f t="shared" si="14"/>
        <v/>
      </c>
      <c r="U134" s="15"/>
      <c r="V134" s="15"/>
      <c r="W134" s="15"/>
      <c r="X134" s="8"/>
      <c r="Y134" s="8"/>
      <c r="Z134" s="8"/>
      <c r="AA134" s="9" t="str">
        <f>IF(A134="","",IF(OR(ABS(N134)&gt;Lists!$K$6,ABS(Q134)&gt;Lists!$K$3,ABS(T134)&gt;Lists!$K$4,ABS(U134)&gt;Lists!$K$5),"Failed","Passed"))</f>
        <v/>
      </c>
      <c r="AB134" s="8"/>
      <c r="AC134" s="8"/>
      <c r="AD134" s="8"/>
      <c r="AE134" s="10"/>
      <c r="AF134" s="8"/>
    </row>
    <row r="135" spans="1:32">
      <c r="A135" s="8"/>
      <c r="B135" s="10"/>
      <c r="C135" s="8"/>
      <c r="D135" s="8"/>
      <c r="E135" s="8"/>
      <c r="F135" s="8"/>
      <c r="G135" s="13"/>
      <c r="H135" s="13"/>
      <c r="I135" s="13"/>
      <c r="J135" s="14" t="str">
        <f t="shared" si="10"/>
        <v/>
      </c>
      <c r="K135" s="13"/>
      <c r="L135" s="14" t="str">
        <f t="shared" si="11"/>
        <v/>
      </c>
      <c r="M135" s="13"/>
      <c r="N135" s="16" t="str">
        <f t="shared" si="12"/>
        <v/>
      </c>
      <c r="O135" s="13"/>
      <c r="P135" s="13"/>
      <c r="Q135" s="16" t="str">
        <f t="shared" si="13"/>
        <v/>
      </c>
      <c r="R135" s="13"/>
      <c r="S135" s="13"/>
      <c r="T135" s="16" t="str">
        <f t="shared" si="14"/>
        <v/>
      </c>
      <c r="U135" s="15"/>
      <c r="V135" s="15"/>
      <c r="W135" s="15"/>
      <c r="X135" s="8"/>
      <c r="Y135" s="8"/>
      <c r="Z135" s="8"/>
      <c r="AA135" s="9" t="str">
        <f>IF(A135="","",IF(OR(ABS(N135)&gt;Lists!$K$6,ABS(Q135)&gt;Lists!$K$3,ABS(T135)&gt;Lists!$K$4,ABS(U135)&gt;Lists!$K$5),"Failed","Passed"))</f>
        <v/>
      </c>
      <c r="AB135" s="8"/>
      <c r="AC135" s="8"/>
      <c r="AD135" s="8"/>
      <c r="AE135" s="10"/>
      <c r="AF135" s="8"/>
    </row>
    <row r="136" spans="1:32">
      <c r="A136" s="8"/>
      <c r="B136" s="10"/>
      <c r="C136" s="8"/>
      <c r="D136" s="8"/>
      <c r="E136" s="8"/>
      <c r="F136" s="8"/>
      <c r="G136" s="13"/>
      <c r="H136" s="13"/>
      <c r="I136" s="13"/>
      <c r="J136" s="14" t="str">
        <f t="shared" si="10"/>
        <v/>
      </c>
      <c r="K136" s="13"/>
      <c r="L136" s="14" t="str">
        <f t="shared" si="11"/>
        <v/>
      </c>
      <c r="M136" s="13"/>
      <c r="N136" s="16" t="str">
        <f t="shared" si="12"/>
        <v/>
      </c>
      <c r="O136" s="13"/>
      <c r="P136" s="13"/>
      <c r="Q136" s="16" t="str">
        <f t="shared" si="13"/>
        <v/>
      </c>
      <c r="R136" s="13"/>
      <c r="S136" s="13"/>
      <c r="T136" s="16" t="str">
        <f t="shared" si="14"/>
        <v/>
      </c>
      <c r="U136" s="15"/>
      <c r="V136" s="15"/>
      <c r="W136" s="15"/>
      <c r="X136" s="8"/>
      <c r="Y136" s="8"/>
      <c r="Z136" s="8"/>
      <c r="AA136" s="9" t="str">
        <f>IF(A136="","",IF(OR(ABS(N136)&gt;Lists!$K$6,ABS(Q136)&gt;Lists!$K$3,ABS(T136)&gt;Lists!$K$4,ABS(U136)&gt;Lists!$K$5),"Failed","Passed"))</f>
        <v/>
      </c>
      <c r="AB136" s="8"/>
      <c r="AC136" s="8"/>
      <c r="AD136" s="8"/>
      <c r="AE136" s="10"/>
      <c r="AF136" s="8"/>
    </row>
    <row r="137" spans="1:32">
      <c r="A137" s="8"/>
      <c r="B137" s="10"/>
      <c r="C137" s="8"/>
      <c r="D137" s="8"/>
      <c r="E137" s="8"/>
      <c r="F137" s="8"/>
      <c r="G137" s="13"/>
      <c r="H137" s="13"/>
      <c r="I137" s="13"/>
      <c r="J137" s="14" t="str">
        <f t="shared" si="10"/>
        <v/>
      </c>
      <c r="K137" s="13"/>
      <c r="L137" s="14" t="str">
        <f t="shared" si="11"/>
        <v/>
      </c>
      <c r="M137" s="13"/>
      <c r="N137" s="16" t="str">
        <f t="shared" si="12"/>
        <v/>
      </c>
      <c r="O137" s="13"/>
      <c r="P137" s="13"/>
      <c r="Q137" s="16" t="str">
        <f t="shared" si="13"/>
        <v/>
      </c>
      <c r="R137" s="13"/>
      <c r="S137" s="13"/>
      <c r="T137" s="16" t="str">
        <f t="shared" si="14"/>
        <v/>
      </c>
      <c r="U137" s="15"/>
      <c r="V137" s="15"/>
      <c r="W137" s="15"/>
      <c r="X137" s="8"/>
      <c r="Y137" s="8"/>
      <c r="Z137" s="8"/>
      <c r="AA137" s="9" t="str">
        <f>IF(A137="","",IF(OR(ABS(N137)&gt;Lists!$K$6,ABS(Q137)&gt;Lists!$K$3,ABS(T137)&gt;Lists!$K$4,ABS(U137)&gt;Lists!$K$5),"Failed","Passed"))</f>
        <v/>
      </c>
      <c r="AB137" s="8"/>
      <c r="AC137" s="8"/>
      <c r="AD137" s="8"/>
      <c r="AE137" s="10"/>
      <c r="AF137" s="8"/>
    </row>
    <row r="138" spans="1:32">
      <c r="A138" s="8"/>
      <c r="B138" s="10"/>
      <c r="C138" s="8"/>
      <c r="D138" s="8"/>
      <c r="E138" s="8"/>
      <c r="F138" s="8"/>
      <c r="G138" s="13"/>
      <c r="H138" s="13"/>
      <c r="I138" s="13"/>
      <c r="J138" s="14" t="str">
        <f t="shared" si="10"/>
        <v/>
      </c>
      <c r="K138" s="13"/>
      <c r="L138" s="14" t="str">
        <f t="shared" si="11"/>
        <v/>
      </c>
      <c r="M138" s="13"/>
      <c r="N138" s="16" t="str">
        <f t="shared" si="12"/>
        <v/>
      </c>
      <c r="O138" s="13"/>
      <c r="P138" s="13"/>
      <c r="Q138" s="16" t="str">
        <f t="shared" si="13"/>
        <v/>
      </c>
      <c r="R138" s="13"/>
      <c r="S138" s="13"/>
      <c r="T138" s="16" t="str">
        <f t="shared" si="14"/>
        <v/>
      </c>
      <c r="U138" s="15"/>
      <c r="V138" s="15"/>
      <c r="W138" s="15"/>
      <c r="X138" s="8"/>
      <c r="Y138" s="8"/>
      <c r="Z138" s="8"/>
      <c r="AA138" s="9" t="str">
        <f>IF(A138="","",IF(OR(ABS(N138)&gt;Lists!$K$6,ABS(Q138)&gt;Lists!$K$3,ABS(T138)&gt;Lists!$K$4,ABS(U138)&gt;Lists!$K$5),"Failed","Passed"))</f>
        <v/>
      </c>
      <c r="AB138" s="8"/>
      <c r="AC138" s="8"/>
      <c r="AD138" s="8"/>
      <c r="AE138" s="10"/>
      <c r="AF138" s="8"/>
    </row>
    <row r="139" spans="1:32">
      <c r="A139" s="8"/>
      <c r="B139" s="10"/>
      <c r="C139" s="8"/>
      <c r="D139" s="8"/>
      <c r="E139" s="8"/>
      <c r="F139" s="8"/>
      <c r="G139" s="13"/>
      <c r="H139" s="13"/>
      <c r="I139" s="13"/>
      <c r="J139" s="14" t="str">
        <f t="shared" si="10"/>
        <v/>
      </c>
      <c r="K139" s="13"/>
      <c r="L139" s="14" t="str">
        <f t="shared" si="11"/>
        <v/>
      </c>
      <c r="M139" s="13"/>
      <c r="N139" s="16" t="str">
        <f t="shared" si="12"/>
        <v/>
      </c>
      <c r="O139" s="13"/>
      <c r="P139" s="13"/>
      <c r="Q139" s="16" t="str">
        <f t="shared" si="13"/>
        <v/>
      </c>
      <c r="R139" s="13"/>
      <c r="S139" s="13"/>
      <c r="T139" s="16" t="str">
        <f t="shared" si="14"/>
        <v/>
      </c>
      <c r="U139" s="15"/>
      <c r="V139" s="15"/>
      <c r="W139" s="15"/>
      <c r="X139" s="8"/>
      <c r="Y139" s="8"/>
      <c r="Z139" s="8"/>
      <c r="AA139" s="9" t="str">
        <f>IF(A139="","",IF(OR(ABS(N139)&gt;Lists!$K$6,ABS(Q139)&gt;Lists!$K$3,ABS(T139)&gt;Lists!$K$4,ABS(U139)&gt;Lists!$K$5),"Failed","Passed"))</f>
        <v/>
      </c>
      <c r="AB139" s="8"/>
      <c r="AC139" s="8"/>
      <c r="AD139" s="8"/>
      <c r="AE139" s="10"/>
      <c r="AF139" s="8"/>
    </row>
    <row r="140" spans="1:32">
      <c r="A140" s="8"/>
      <c r="B140" s="10"/>
      <c r="C140" s="8"/>
      <c r="D140" s="8"/>
      <c r="E140" s="8"/>
      <c r="F140" s="8"/>
      <c r="G140" s="13"/>
      <c r="H140" s="13"/>
      <c r="I140" s="13"/>
      <c r="J140" s="14" t="str">
        <f t="shared" si="10"/>
        <v/>
      </c>
      <c r="K140" s="13"/>
      <c r="L140" s="14" t="str">
        <f t="shared" si="11"/>
        <v/>
      </c>
      <c r="M140" s="13"/>
      <c r="N140" s="16" t="str">
        <f t="shared" si="12"/>
        <v/>
      </c>
      <c r="O140" s="13"/>
      <c r="P140" s="13"/>
      <c r="Q140" s="16" t="str">
        <f t="shared" si="13"/>
        <v/>
      </c>
      <c r="R140" s="13"/>
      <c r="S140" s="13"/>
      <c r="T140" s="16" t="str">
        <f t="shared" si="14"/>
        <v/>
      </c>
      <c r="U140" s="15"/>
      <c r="V140" s="15"/>
      <c r="W140" s="15"/>
      <c r="X140" s="8"/>
      <c r="Y140" s="8"/>
      <c r="Z140" s="8"/>
      <c r="AA140" s="9" t="str">
        <f>IF(A140="","",IF(OR(ABS(N140)&gt;Lists!$K$6,ABS(Q140)&gt;Lists!$K$3,ABS(T140)&gt;Lists!$K$4,ABS(U140)&gt;Lists!$K$5),"Failed","Passed"))</f>
        <v/>
      </c>
      <c r="AB140" s="8"/>
      <c r="AC140" s="8"/>
      <c r="AD140" s="8"/>
      <c r="AE140" s="10"/>
      <c r="AF140" s="8"/>
    </row>
    <row r="141" spans="1:32">
      <c r="A141" s="8"/>
      <c r="B141" s="10"/>
      <c r="C141" s="8"/>
      <c r="D141" s="8"/>
      <c r="E141" s="8"/>
      <c r="F141" s="8"/>
      <c r="G141" s="13"/>
      <c r="H141" s="13"/>
      <c r="I141" s="13"/>
      <c r="J141" s="14" t="str">
        <f t="shared" si="10"/>
        <v/>
      </c>
      <c r="K141" s="13"/>
      <c r="L141" s="14" t="str">
        <f t="shared" si="11"/>
        <v/>
      </c>
      <c r="M141" s="13"/>
      <c r="N141" s="16" t="str">
        <f t="shared" si="12"/>
        <v/>
      </c>
      <c r="O141" s="13"/>
      <c r="P141" s="13"/>
      <c r="Q141" s="16" t="str">
        <f t="shared" si="13"/>
        <v/>
      </c>
      <c r="R141" s="13"/>
      <c r="S141" s="13"/>
      <c r="T141" s="16" t="str">
        <f t="shared" si="14"/>
        <v/>
      </c>
      <c r="U141" s="15"/>
      <c r="V141" s="15"/>
      <c r="W141" s="15"/>
      <c r="X141" s="8"/>
      <c r="Y141" s="8"/>
      <c r="Z141" s="8"/>
      <c r="AA141" s="9" t="str">
        <f>IF(A141="","",IF(OR(ABS(N141)&gt;Lists!$K$6,ABS(Q141)&gt;Lists!$K$3,ABS(T141)&gt;Lists!$K$4,ABS(U141)&gt;Lists!$K$5),"Failed","Passed"))</f>
        <v/>
      </c>
      <c r="AB141" s="8"/>
      <c r="AC141" s="8"/>
      <c r="AD141" s="8"/>
      <c r="AE141" s="10"/>
      <c r="AF141" s="8"/>
    </row>
    <row r="142" spans="1:32">
      <c r="A142" s="8"/>
      <c r="B142" s="10"/>
      <c r="C142" s="8"/>
      <c r="D142" s="8"/>
      <c r="E142" s="8"/>
      <c r="F142" s="8"/>
      <c r="G142" s="13"/>
      <c r="H142" s="13"/>
      <c r="I142" s="13"/>
      <c r="J142" s="14" t="str">
        <f t="shared" si="10"/>
        <v/>
      </c>
      <c r="K142" s="13"/>
      <c r="L142" s="14" t="str">
        <f t="shared" si="11"/>
        <v/>
      </c>
      <c r="M142" s="13"/>
      <c r="N142" s="16" t="str">
        <f t="shared" si="12"/>
        <v/>
      </c>
      <c r="O142" s="13"/>
      <c r="P142" s="13"/>
      <c r="Q142" s="16" t="str">
        <f t="shared" si="13"/>
        <v/>
      </c>
      <c r="R142" s="13"/>
      <c r="S142" s="13"/>
      <c r="T142" s="16" t="str">
        <f t="shared" si="14"/>
        <v/>
      </c>
      <c r="U142" s="15"/>
      <c r="V142" s="15"/>
      <c r="W142" s="15"/>
      <c r="X142" s="8"/>
      <c r="Y142" s="8"/>
      <c r="Z142" s="8"/>
      <c r="AA142" s="9" t="str">
        <f>IF(A142="","",IF(OR(ABS(N142)&gt;Lists!$K$6,ABS(Q142)&gt;Lists!$K$3,ABS(T142)&gt;Lists!$K$4,ABS(U142)&gt;Lists!$K$5),"Failed","Passed"))</f>
        <v/>
      </c>
      <c r="AB142" s="8"/>
      <c r="AC142" s="8"/>
      <c r="AD142" s="8"/>
      <c r="AE142" s="10"/>
      <c r="AF142" s="8"/>
    </row>
    <row r="143" spans="1:32">
      <c r="A143" s="8"/>
      <c r="B143" s="10"/>
      <c r="C143" s="8"/>
      <c r="D143" s="8"/>
      <c r="E143" s="8"/>
      <c r="F143" s="8"/>
      <c r="G143" s="13"/>
      <c r="H143" s="13"/>
      <c r="I143" s="13"/>
      <c r="J143" s="14" t="str">
        <f t="shared" si="10"/>
        <v/>
      </c>
      <c r="K143" s="13"/>
      <c r="L143" s="14" t="str">
        <f t="shared" si="11"/>
        <v/>
      </c>
      <c r="M143" s="13"/>
      <c r="N143" s="16" t="str">
        <f t="shared" si="12"/>
        <v/>
      </c>
      <c r="O143" s="13"/>
      <c r="P143" s="13"/>
      <c r="Q143" s="16" t="str">
        <f t="shared" si="13"/>
        <v/>
      </c>
      <c r="R143" s="13"/>
      <c r="S143" s="13"/>
      <c r="T143" s="16" t="str">
        <f t="shared" si="14"/>
        <v/>
      </c>
      <c r="U143" s="15"/>
      <c r="V143" s="15"/>
      <c r="W143" s="15"/>
      <c r="X143" s="8"/>
      <c r="Y143" s="8"/>
      <c r="Z143" s="8"/>
      <c r="AA143" s="9" t="str">
        <f>IF(A143="","",IF(OR(ABS(N143)&gt;Lists!$K$6,ABS(Q143)&gt;Lists!$K$3,ABS(T143)&gt;Lists!$K$4,ABS(U143)&gt;Lists!$K$5),"Failed","Passed"))</f>
        <v/>
      </c>
      <c r="AB143" s="8"/>
      <c r="AC143" s="8"/>
      <c r="AD143" s="8"/>
      <c r="AE143" s="10"/>
      <c r="AF143" s="8"/>
    </row>
    <row r="144" spans="1:32">
      <c r="A144" s="8"/>
      <c r="B144" s="10"/>
      <c r="C144" s="8"/>
      <c r="D144" s="8"/>
      <c r="E144" s="8"/>
      <c r="F144" s="8"/>
      <c r="G144" s="13"/>
      <c r="H144" s="13"/>
      <c r="I144" s="13"/>
      <c r="J144" s="14" t="str">
        <f t="shared" si="10"/>
        <v/>
      </c>
      <c r="K144" s="13"/>
      <c r="L144" s="14" t="str">
        <f t="shared" si="11"/>
        <v/>
      </c>
      <c r="M144" s="13"/>
      <c r="N144" s="16" t="str">
        <f t="shared" si="12"/>
        <v/>
      </c>
      <c r="O144" s="13"/>
      <c r="P144" s="13"/>
      <c r="Q144" s="16" t="str">
        <f t="shared" si="13"/>
        <v/>
      </c>
      <c r="R144" s="13"/>
      <c r="S144" s="13"/>
      <c r="T144" s="16" t="str">
        <f t="shared" si="14"/>
        <v/>
      </c>
      <c r="U144" s="15"/>
      <c r="V144" s="15"/>
      <c r="W144" s="15"/>
      <c r="X144" s="8"/>
      <c r="Y144" s="8"/>
      <c r="Z144" s="8"/>
      <c r="AA144" s="9" t="str">
        <f>IF(A144="","",IF(OR(ABS(N144)&gt;Lists!$K$6,ABS(Q144)&gt;Lists!$K$3,ABS(T144)&gt;Lists!$K$4,ABS(U144)&gt;Lists!$K$5),"Failed","Passed"))</f>
        <v/>
      </c>
      <c r="AB144" s="8"/>
      <c r="AC144" s="8"/>
      <c r="AD144" s="8"/>
      <c r="AE144" s="10"/>
      <c r="AF144" s="8"/>
    </row>
    <row r="145" spans="1:32">
      <c r="A145" s="8"/>
      <c r="B145" s="10"/>
      <c r="C145" s="8"/>
      <c r="D145" s="8"/>
      <c r="E145" s="8"/>
      <c r="F145" s="8"/>
      <c r="G145" s="13"/>
      <c r="H145" s="13"/>
      <c r="I145" s="13"/>
      <c r="J145" s="14" t="str">
        <f t="shared" si="10"/>
        <v/>
      </c>
      <c r="K145" s="13"/>
      <c r="L145" s="14" t="str">
        <f t="shared" si="11"/>
        <v/>
      </c>
      <c r="M145" s="13"/>
      <c r="N145" s="16" t="str">
        <f t="shared" si="12"/>
        <v/>
      </c>
      <c r="O145" s="13"/>
      <c r="P145" s="13"/>
      <c r="Q145" s="16" t="str">
        <f t="shared" si="13"/>
        <v/>
      </c>
      <c r="R145" s="13"/>
      <c r="S145" s="13"/>
      <c r="T145" s="16" t="str">
        <f t="shared" si="14"/>
        <v/>
      </c>
      <c r="U145" s="15"/>
      <c r="V145" s="15"/>
      <c r="W145" s="15"/>
      <c r="X145" s="8"/>
      <c r="Y145" s="8"/>
      <c r="Z145" s="8"/>
      <c r="AA145" s="9" t="str">
        <f>IF(A145="","",IF(OR(ABS(N145)&gt;Lists!$K$6,ABS(Q145)&gt;Lists!$K$3,ABS(T145)&gt;Lists!$K$4,ABS(U145)&gt;Lists!$K$5),"Failed","Passed"))</f>
        <v/>
      </c>
      <c r="AB145" s="8"/>
      <c r="AC145" s="8"/>
      <c r="AD145" s="8"/>
      <c r="AE145" s="10"/>
      <c r="AF145" s="8"/>
    </row>
    <row r="146" spans="1:32">
      <c r="A146" s="8"/>
      <c r="B146" s="10"/>
      <c r="C146" s="8"/>
      <c r="D146" s="8"/>
      <c r="E146" s="8"/>
      <c r="F146" s="8"/>
      <c r="G146" s="13"/>
      <c r="H146" s="13"/>
      <c r="I146" s="13"/>
      <c r="J146" s="14" t="str">
        <f t="shared" si="10"/>
        <v/>
      </c>
      <c r="K146" s="13"/>
      <c r="L146" s="14" t="str">
        <f t="shared" si="11"/>
        <v/>
      </c>
      <c r="M146" s="13"/>
      <c r="N146" s="16" t="str">
        <f t="shared" si="12"/>
        <v/>
      </c>
      <c r="O146" s="13"/>
      <c r="P146" s="13"/>
      <c r="Q146" s="16" t="str">
        <f t="shared" si="13"/>
        <v/>
      </c>
      <c r="R146" s="13"/>
      <c r="S146" s="13"/>
      <c r="T146" s="16" t="str">
        <f t="shared" si="14"/>
        <v/>
      </c>
      <c r="U146" s="15"/>
      <c r="V146" s="15"/>
      <c r="W146" s="15"/>
      <c r="X146" s="8"/>
      <c r="Y146" s="8"/>
      <c r="Z146" s="8"/>
      <c r="AA146" s="9" t="str">
        <f>IF(A146="","",IF(OR(ABS(N146)&gt;Lists!$K$6,ABS(Q146)&gt;Lists!$K$3,ABS(T146)&gt;Lists!$K$4,ABS(U146)&gt;Lists!$K$5),"Failed","Passed"))</f>
        <v/>
      </c>
      <c r="AB146" s="8"/>
      <c r="AC146" s="8"/>
      <c r="AD146" s="8"/>
      <c r="AE146" s="10"/>
      <c r="AF146" s="8"/>
    </row>
    <row r="147" spans="1:32">
      <c r="A147" s="8"/>
      <c r="B147" s="10"/>
      <c r="C147" s="8"/>
      <c r="D147" s="8"/>
      <c r="E147" s="8"/>
      <c r="F147" s="8"/>
      <c r="G147" s="13"/>
      <c r="H147" s="13"/>
      <c r="I147" s="13"/>
      <c r="J147" s="14" t="str">
        <f t="shared" si="10"/>
        <v/>
      </c>
      <c r="K147" s="13"/>
      <c r="L147" s="14" t="str">
        <f t="shared" si="11"/>
        <v/>
      </c>
      <c r="M147" s="13"/>
      <c r="N147" s="16" t="str">
        <f t="shared" si="12"/>
        <v/>
      </c>
      <c r="O147" s="13"/>
      <c r="P147" s="13"/>
      <c r="Q147" s="16" t="str">
        <f t="shared" si="13"/>
        <v/>
      </c>
      <c r="R147" s="13"/>
      <c r="S147" s="13"/>
      <c r="T147" s="16" t="str">
        <f t="shared" si="14"/>
        <v/>
      </c>
      <c r="U147" s="15"/>
      <c r="V147" s="15"/>
      <c r="W147" s="15"/>
      <c r="X147" s="8"/>
      <c r="Y147" s="8"/>
      <c r="Z147" s="8"/>
      <c r="AA147" s="9" t="str">
        <f>IF(A147="","",IF(OR(ABS(N147)&gt;Lists!$K$6,ABS(Q147)&gt;Lists!$K$3,ABS(T147)&gt;Lists!$K$4,ABS(U147)&gt;Lists!$K$5),"Failed","Passed"))</f>
        <v/>
      </c>
      <c r="AB147" s="8"/>
      <c r="AC147" s="8"/>
      <c r="AD147" s="8"/>
      <c r="AE147" s="10"/>
      <c r="AF147" s="8"/>
    </row>
    <row r="148" spans="1:32">
      <c r="A148" s="8"/>
      <c r="B148" s="10"/>
      <c r="C148" s="8"/>
      <c r="D148" s="8"/>
      <c r="E148" s="8"/>
      <c r="F148" s="8"/>
      <c r="G148" s="13"/>
      <c r="H148" s="13"/>
      <c r="I148" s="13"/>
      <c r="J148" s="14" t="str">
        <f t="shared" si="10"/>
        <v/>
      </c>
      <c r="K148" s="13"/>
      <c r="L148" s="14" t="str">
        <f t="shared" si="11"/>
        <v/>
      </c>
      <c r="M148" s="13"/>
      <c r="N148" s="16" t="str">
        <f t="shared" si="12"/>
        <v/>
      </c>
      <c r="O148" s="13"/>
      <c r="P148" s="13"/>
      <c r="Q148" s="16" t="str">
        <f t="shared" si="13"/>
        <v/>
      </c>
      <c r="R148" s="13"/>
      <c r="S148" s="13"/>
      <c r="T148" s="16" t="str">
        <f t="shared" si="14"/>
        <v/>
      </c>
      <c r="U148" s="15"/>
      <c r="V148" s="15"/>
      <c r="W148" s="15"/>
      <c r="X148" s="8"/>
      <c r="Y148" s="8"/>
      <c r="Z148" s="8"/>
      <c r="AA148" s="9" t="str">
        <f>IF(A148="","",IF(OR(ABS(N148)&gt;Lists!$K$6,ABS(Q148)&gt;Lists!$K$3,ABS(T148)&gt;Lists!$K$4,ABS(U148)&gt;Lists!$K$5),"Failed","Passed"))</f>
        <v/>
      </c>
      <c r="AB148" s="8"/>
      <c r="AC148" s="8"/>
      <c r="AD148" s="8"/>
      <c r="AE148" s="10"/>
      <c r="AF148" s="8"/>
    </row>
    <row r="149" spans="1:32">
      <c r="A149" s="8"/>
      <c r="B149" s="10"/>
      <c r="C149" s="8"/>
      <c r="D149" s="8"/>
      <c r="E149" s="8"/>
      <c r="F149" s="8"/>
      <c r="G149" s="13"/>
      <c r="H149" s="13"/>
      <c r="I149" s="13"/>
      <c r="J149" s="14" t="str">
        <f t="shared" si="10"/>
        <v/>
      </c>
      <c r="K149" s="13"/>
      <c r="L149" s="14" t="str">
        <f t="shared" si="11"/>
        <v/>
      </c>
      <c r="M149" s="13"/>
      <c r="N149" s="16" t="str">
        <f t="shared" si="12"/>
        <v/>
      </c>
      <c r="O149" s="13"/>
      <c r="P149" s="13"/>
      <c r="Q149" s="16" t="str">
        <f t="shared" si="13"/>
        <v/>
      </c>
      <c r="R149" s="13"/>
      <c r="S149" s="13"/>
      <c r="T149" s="16" t="str">
        <f t="shared" si="14"/>
        <v/>
      </c>
      <c r="U149" s="15"/>
      <c r="V149" s="15"/>
      <c r="W149" s="15"/>
      <c r="X149" s="8"/>
      <c r="Y149" s="8"/>
      <c r="Z149" s="8"/>
      <c r="AA149" s="9" t="str">
        <f>IF(A149="","",IF(OR(ABS(N149)&gt;Lists!$K$6,ABS(Q149)&gt;Lists!$K$3,ABS(T149)&gt;Lists!$K$4,ABS(U149)&gt;Lists!$K$5),"Failed","Passed"))</f>
        <v/>
      </c>
      <c r="AB149" s="8"/>
      <c r="AC149" s="8"/>
      <c r="AD149" s="8"/>
      <c r="AE149" s="10"/>
      <c r="AF149" s="8"/>
    </row>
    <row r="150" spans="1:32">
      <c r="A150" s="8"/>
      <c r="B150" s="10"/>
      <c r="C150" s="8"/>
      <c r="D150" s="8"/>
      <c r="E150" s="8"/>
      <c r="F150" s="8"/>
      <c r="G150" s="13"/>
      <c r="H150" s="13"/>
      <c r="I150" s="13"/>
      <c r="J150" s="14" t="str">
        <f t="shared" si="10"/>
        <v/>
      </c>
      <c r="K150" s="13"/>
      <c r="L150" s="14" t="str">
        <f t="shared" si="11"/>
        <v/>
      </c>
      <c r="M150" s="13"/>
      <c r="N150" s="16" t="str">
        <f t="shared" si="12"/>
        <v/>
      </c>
      <c r="O150" s="13"/>
      <c r="P150" s="13"/>
      <c r="Q150" s="16" t="str">
        <f t="shared" si="13"/>
        <v/>
      </c>
      <c r="R150" s="13"/>
      <c r="S150" s="13"/>
      <c r="T150" s="16" t="str">
        <f t="shared" si="14"/>
        <v/>
      </c>
      <c r="U150" s="15"/>
      <c r="V150" s="15"/>
      <c r="W150" s="15"/>
      <c r="X150" s="8"/>
      <c r="Y150" s="8"/>
      <c r="Z150" s="8"/>
      <c r="AA150" s="9" t="str">
        <f>IF(A150="","",IF(OR(ABS(N150)&gt;Lists!$K$6,ABS(Q150)&gt;Lists!$K$3,ABS(T150)&gt;Lists!$K$4,ABS(U150)&gt;Lists!$K$5),"Failed","Passed"))</f>
        <v/>
      </c>
      <c r="AB150" s="8"/>
      <c r="AC150" s="8"/>
      <c r="AD150" s="8"/>
      <c r="AE150" s="10"/>
      <c r="AF150" s="8"/>
    </row>
    <row r="151" spans="1:32">
      <c r="A151" s="8"/>
      <c r="B151" s="10"/>
      <c r="C151" s="8"/>
      <c r="D151" s="8"/>
      <c r="E151" s="8"/>
      <c r="F151" s="8"/>
      <c r="G151" s="13"/>
      <c r="H151" s="13"/>
      <c r="I151" s="13"/>
      <c r="J151" s="14" t="str">
        <f t="shared" si="10"/>
        <v/>
      </c>
      <c r="K151" s="13"/>
      <c r="L151" s="14" t="str">
        <f t="shared" si="11"/>
        <v/>
      </c>
      <c r="M151" s="13"/>
      <c r="N151" s="16" t="str">
        <f t="shared" si="12"/>
        <v/>
      </c>
      <c r="O151" s="13"/>
      <c r="P151" s="13"/>
      <c r="Q151" s="16" t="str">
        <f t="shared" si="13"/>
        <v/>
      </c>
      <c r="R151" s="13"/>
      <c r="S151" s="13"/>
      <c r="T151" s="16" t="str">
        <f t="shared" si="14"/>
        <v/>
      </c>
      <c r="U151" s="15"/>
      <c r="V151" s="15"/>
      <c r="W151" s="15"/>
      <c r="X151" s="8"/>
      <c r="Y151" s="8"/>
      <c r="Z151" s="8"/>
      <c r="AA151" s="9" t="str">
        <f>IF(A151="","",IF(OR(ABS(N151)&gt;Lists!$K$6,ABS(Q151)&gt;Lists!$K$3,ABS(T151)&gt;Lists!$K$4,ABS(U151)&gt;Lists!$K$5),"Failed","Passed"))</f>
        <v/>
      </c>
      <c r="AB151" s="8"/>
      <c r="AC151" s="8"/>
      <c r="AD151" s="8"/>
      <c r="AE151" s="10"/>
      <c r="AF151" s="8"/>
    </row>
    <row r="152" spans="1:32">
      <c r="A152" s="8"/>
      <c r="B152" s="10"/>
      <c r="C152" s="8"/>
      <c r="D152" s="8"/>
      <c r="E152" s="8"/>
      <c r="F152" s="8"/>
      <c r="G152" s="13"/>
      <c r="H152" s="13"/>
      <c r="I152" s="13"/>
      <c r="J152" s="14" t="str">
        <f t="shared" si="10"/>
        <v/>
      </c>
      <c r="K152" s="13"/>
      <c r="L152" s="14" t="str">
        <f t="shared" si="11"/>
        <v/>
      </c>
      <c r="M152" s="13"/>
      <c r="N152" s="16" t="str">
        <f t="shared" si="12"/>
        <v/>
      </c>
      <c r="O152" s="13"/>
      <c r="P152" s="13"/>
      <c r="Q152" s="16" t="str">
        <f t="shared" si="13"/>
        <v/>
      </c>
      <c r="R152" s="13"/>
      <c r="S152" s="13"/>
      <c r="T152" s="16" t="str">
        <f t="shared" si="14"/>
        <v/>
      </c>
      <c r="U152" s="15"/>
      <c r="V152" s="15"/>
      <c r="W152" s="15"/>
      <c r="X152" s="8"/>
      <c r="Y152" s="8"/>
      <c r="Z152" s="8"/>
      <c r="AA152" s="9" t="str">
        <f>IF(A152="","",IF(OR(ABS(N152)&gt;Lists!$K$6,ABS(Q152)&gt;Lists!$K$3,ABS(T152)&gt;Lists!$K$4,ABS(U152)&gt;Lists!$K$5),"Failed","Passed"))</f>
        <v/>
      </c>
      <c r="AB152" s="8"/>
      <c r="AC152" s="8"/>
      <c r="AD152" s="8"/>
      <c r="AE152" s="10"/>
      <c r="AF152" s="8"/>
    </row>
    <row r="153" spans="1:32">
      <c r="A153" s="8"/>
      <c r="B153" s="10"/>
      <c r="C153" s="8"/>
      <c r="D153" s="8"/>
      <c r="E153" s="8"/>
      <c r="F153" s="8"/>
      <c r="G153" s="13"/>
      <c r="H153" s="13"/>
      <c r="I153" s="13"/>
      <c r="J153" s="14" t="str">
        <f t="shared" si="10"/>
        <v/>
      </c>
      <c r="K153" s="13"/>
      <c r="L153" s="14" t="str">
        <f t="shared" si="11"/>
        <v/>
      </c>
      <c r="M153" s="13"/>
      <c r="N153" s="16" t="str">
        <f t="shared" si="12"/>
        <v/>
      </c>
      <c r="O153" s="13"/>
      <c r="P153" s="13"/>
      <c r="Q153" s="16" t="str">
        <f t="shared" si="13"/>
        <v/>
      </c>
      <c r="R153" s="13"/>
      <c r="S153" s="13"/>
      <c r="T153" s="16" t="str">
        <f t="shared" si="14"/>
        <v/>
      </c>
      <c r="U153" s="15"/>
      <c r="V153" s="15"/>
      <c r="W153" s="15"/>
      <c r="X153" s="8"/>
      <c r="Y153" s="8"/>
      <c r="Z153" s="8"/>
      <c r="AA153" s="9" t="str">
        <f>IF(A153="","",IF(OR(ABS(N153)&gt;Lists!$K$6,ABS(Q153)&gt;Lists!$K$3,ABS(T153)&gt;Lists!$K$4,ABS(U153)&gt;Lists!$K$5),"Failed","Passed"))</f>
        <v/>
      </c>
      <c r="AB153" s="8"/>
      <c r="AC153" s="8"/>
      <c r="AD153" s="8"/>
      <c r="AE153" s="10"/>
      <c r="AF153" s="8"/>
    </row>
    <row r="154" spans="1:32">
      <c r="A154" s="8"/>
      <c r="B154" s="10"/>
      <c r="C154" s="8"/>
      <c r="D154" s="8"/>
      <c r="E154" s="8"/>
      <c r="F154" s="8"/>
      <c r="G154" s="13"/>
      <c r="H154" s="13"/>
      <c r="I154" s="13"/>
      <c r="J154" s="14" t="str">
        <f t="shared" si="10"/>
        <v/>
      </c>
      <c r="K154" s="13"/>
      <c r="L154" s="14" t="str">
        <f t="shared" si="11"/>
        <v/>
      </c>
      <c r="M154" s="13"/>
      <c r="N154" s="16" t="str">
        <f t="shared" si="12"/>
        <v/>
      </c>
      <c r="O154" s="13"/>
      <c r="P154" s="13"/>
      <c r="Q154" s="16" t="str">
        <f t="shared" si="13"/>
        <v/>
      </c>
      <c r="R154" s="13"/>
      <c r="S154" s="13"/>
      <c r="T154" s="16" t="str">
        <f t="shared" si="14"/>
        <v/>
      </c>
      <c r="U154" s="15"/>
      <c r="V154" s="15"/>
      <c r="W154" s="15"/>
      <c r="X154" s="8"/>
      <c r="Y154" s="8"/>
      <c r="Z154" s="8"/>
      <c r="AA154" s="9" t="str">
        <f>IF(A154="","",IF(OR(ABS(N154)&gt;Lists!$K$6,ABS(Q154)&gt;Lists!$K$3,ABS(T154)&gt;Lists!$K$4,ABS(U154)&gt;Lists!$K$5),"Failed","Passed"))</f>
        <v/>
      </c>
      <c r="AB154" s="8"/>
      <c r="AC154" s="8"/>
      <c r="AD154" s="8"/>
      <c r="AE154" s="10"/>
      <c r="AF154" s="8"/>
    </row>
    <row r="155" spans="1:32">
      <c r="A155" s="8"/>
      <c r="B155" s="10"/>
      <c r="C155" s="8"/>
      <c r="D155" s="8"/>
      <c r="E155" s="8"/>
      <c r="F155" s="8"/>
      <c r="G155" s="13"/>
      <c r="H155" s="13"/>
      <c r="I155" s="13"/>
      <c r="J155" s="14" t="str">
        <f t="shared" si="10"/>
        <v/>
      </c>
      <c r="K155" s="13"/>
      <c r="L155" s="14" t="str">
        <f t="shared" si="11"/>
        <v/>
      </c>
      <c r="M155" s="13"/>
      <c r="N155" s="16" t="str">
        <f t="shared" si="12"/>
        <v/>
      </c>
      <c r="O155" s="13"/>
      <c r="P155" s="13"/>
      <c r="Q155" s="16" t="str">
        <f t="shared" si="13"/>
        <v/>
      </c>
      <c r="R155" s="13"/>
      <c r="S155" s="13"/>
      <c r="T155" s="16" t="str">
        <f t="shared" si="14"/>
        <v/>
      </c>
      <c r="U155" s="15"/>
      <c r="V155" s="15"/>
      <c r="W155" s="15"/>
      <c r="X155" s="8"/>
      <c r="Y155" s="8"/>
      <c r="Z155" s="8"/>
      <c r="AA155" s="9" t="str">
        <f>IF(A155="","",IF(OR(ABS(N155)&gt;Lists!$K$6,ABS(Q155)&gt;Lists!$K$3,ABS(T155)&gt;Lists!$K$4,ABS(U155)&gt;Lists!$K$5),"Failed","Passed"))</f>
        <v/>
      </c>
      <c r="AB155" s="8"/>
      <c r="AC155" s="8"/>
      <c r="AD155" s="8"/>
      <c r="AE155" s="10"/>
      <c r="AF155" s="8"/>
    </row>
    <row r="156" spans="1:32">
      <c r="A156" s="8"/>
      <c r="B156" s="10"/>
      <c r="C156" s="8"/>
      <c r="D156" s="8"/>
      <c r="E156" s="8"/>
      <c r="F156" s="8"/>
      <c r="G156" s="13"/>
      <c r="H156" s="13"/>
      <c r="I156" s="13"/>
      <c r="J156" s="14" t="str">
        <f t="shared" si="10"/>
        <v/>
      </c>
      <c r="K156" s="13"/>
      <c r="L156" s="14" t="str">
        <f t="shared" si="11"/>
        <v/>
      </c>
      <c r="M156" s="13"/>
      <c r="N156" s="16" t="str">
        <f t="shared" si="12"/>
        <v/>
      </c>
      <c r="O156" s="13"/>
      <c r="P156" s="13"/>
      <c r="Q156" s="16" t="str">
        <f t="shared" si="13"/>
        <v/>
      </c>
      <c r="R156" s="13"/>
      <c r="S156" s="13"/>
      <c r="T156" s="16" t="str">
        <f t="shared" si="14"/>
        <v/>
      </c>
      <c r="U156" s="15"/>
      <c r="V156" s="15"/>
      <c r="W156" s="15"/>
      <c r="X156" s="8"/>
      <c r="Y156" s="8"/>
      <c r="Z156" s="8"/>
      <c r="AA156" s="9" t="str">
        <f>IF(A156="","",IF(OR(ABS(N156)&gt;Lists!$K$6,ABS(Q156)&gt;Lists!$K$3,ABS(T156)&gt;Lists!$K$4,ABS(U156)&gt;Lists!$K$5),"Failed","Passed"))</f>
        <v/>
      </c>
      <c r="AB156" s="8"/>
      <c r="AC156" s="8"/>
      <c r="AD156" s="8"/>
      <c r="AE156" s="10"/>
      <c r="AF156" s="8"/>
    </row>
    <row r="157" spans="1:32">
      <c r="A157" s="8"/>
      <c r="B157" s="10"/>
      <c r="C157" s="8"/>
      <c r="D157" s="8"/>
      <c r="E157" s="8"/>
      <c r="F157" s="8"/>
      <c r="G157" s="13"/>
      <c r="H157" s="13"/>
      <c r="I157" s="13"/>
      <c r="J157" s="14" t="str">
        <f t="shared" si="10"/>
        <v/>
      </c>
      <c r="K157" s="13"/>
      <c r="L157" s="14" t="str">
        <f t="shared" si="11"/>
        <v/>
      </c>
      <c r="M157" s="13"/>
      <c r="N157" s="16" t="str">
        <f t="shared" si="12"/>
        <v/>
      </c>
      <c r="O157" s="13"/>
      <c r="P157" s="13"/>
      <c r="Q157" s="16" t="str">
        <f t="shared" si="13"/>
        <v/>
      </c>
      <c r="R157" s="13"/>
      <c r="S157" s="13"/>
      <c r="T157" s="16" t="str">
        <f t="shared" si="14"/>
        <v/>
      </c>
      <c r="U157" s="15"/>
      <c r="V157" s="15"/>
      <c r="W157" s="15"/>
      <c r="X157" s="8"/>
      <c r="Y157" s="8"/>
      <c r="Z157" s="8"/>
      <c r="AA157" s="9" t="str">
        <f>IF(A157="","",IF(OR(ABS(N157)&gt;Lists!$K$6,ABS(Q157)&gt;Lists!$K$3,ABS(T157)&gt;Lists!$K$4,ABS(U157)&gt;Lists!$K$5),"Failed","Passed"))</f>
        <v/>
      </c>
      <c r="AB157" s="8"/>
      <c r="AC157" s="8"/>
      <c r="AD157" s="8"/>
      <c r="AE157" s="10"/>
      <c r="AF157" s="8"/>
    </row>
    <row r="158" spans="1:32">
      <c r="A158" s="8"/>
      <c r="B158" s="10"/>
      <c r="C158" s="8"/>
      <c r="D158" s="8"/>
      <c r="E158" s="8"/>
      <c r="F158" s="8"/>
      <c r="G158" s="13"/>
      <c r="H158" s="13"/>
      <c r="I158" s="13"/>
      <c r="J158" s="14" t="str">
        <f t="shared" si="10"/>
        <v/>
      </c>
      <c r="K158" s="13"/>
      <c r="L158" s="14" t="str">
        <f t="shared" si="11"/>
        <v/>
      </c>
      <c r="M158" s="13"/>
      <c r="N158" s="16" t="str">
        <f t="shared" si="12"/>
        <v/>
      </c>
      <c r="O158" s="13"/>
      <c r="P158" s="13"/>
      <c r="Q158" s="16" t="str">
        <f t="shared" si="13"/>
        <v/>
      </c>
      <c r="R158" s="13"/>
      <c r="S158" s="13"/>
      <c r="T158" s="16" t="str">
        <f t="shared" si="14"/>
        <v/>
      </c>
      <c r="U158" s="15"/>
      <c r="V158" s="15"/>
      <c r="W158" s="15"/>
      <c r="X158" s="8"/>
      <c r="Y158" s="8"/>
      <c r="Z158" s="8"/>
      <c r="AA158" s="9" t="str">
        <f>IF(A158="","",IF(OR(ABS(N158)&gt;Lists!$K$6,ABS(Q158)&gt;Lists!$K$3,ABS(T158)&gt;Lists!$K$4,ABS(U158)&gt;Lists!$K$5),"Failed","Passed"))</f>
        <v/>
      </c>
      <c r="AB158" s="8"/>
      <c r="AC158" s="8"/>
      <c r="AD158" s="8"/>
      <c r="AE158" s="10"/>
      <c r="AF158" s="8"/>
    </row>
    <row r="159" spans="1:32">
      <c r="A159" s="8"/>
      <c r="B159" s="10"/>
      <c r="C159" s="8"/>
      <c r="D159" s="8"/>
      <c r="E159" s="8"/>
      <c r="F159" s="8"/>
      <c r="G159" s="13"/>
      <c r="H159" s="13"/>
      <c r="I159" s="13"/>
      <c r="J159" s="14" t="str">
        <f t="shared" si="10"/>
        <v/>
      </c>
      <c r="K159" s="13"/>
      <c r="L159" s="14" t="str">
        <f t="shared" si="11"/>
        <v/>
      </c>
      <c r="M159" s="13"/>
      <c r="N159" s="16" t="str">
        <f t="shared" si="12"/>
        <v/>
      </c>
      <c r="O159" s="13"/>
      <c r="P159" s="13"/>
      <c r="Q159" s="16" t="str">
        <f t="shared" si="13"/>
        <v/>
      </c>
      <c r="R159" s="13"/>
      <c r="S159" s="13"/>
      <c r="T159" s="16" t="str">
        <f t="shared" si="14"/>
        <v/>
      </c>
      <c r="U159" s="15"/>
      <c r="V159" s="15"/>
      <c r="W159" s="15"/>
      <c r="X159" s="8"/>
      <c r="Y159" s="8"/>
      <c r="Z159" s="8"/>
      <c r="AA159" s="9" t="str">
        <f>IF(A159="","",IF(OR(ABS(N159)&gt;Lists!$K$6,ABS(Q159)&gt;Lists!$K$3,ABS(T159)&gt;Lists!$K$4,ABS(U159)&gt;Lists!$K$5),"Failed","Passed"))</f>
        <v/>
      </c>
      <c r="AB159" s="8"/>
      <c r="AC159" s="8"/>
      <c r="AD159" s="8"/>
      <c r="AE159" s="10"/>
      <c r="AF159" s="8"/>
    </row>
    <row r="160" spans="1:32">
      <c r="A160" s="8"/>
      <c r="B160" s="10"/>
      <c r="C160" s="8"/>
      <c r="D160" s="8"/>
      <c r="E160" s="8"/>
      <c r="F160" s="8"/>
      <c r="G160" s="13"/>
      <c r="H160" s="13"/>
      <c r="I160" s="13"/>
      <c r="J160" s="14" t="str">
        <f t="shared" si="10"/>
        <v/>
      </c>
      <c r="K160" s="13"/>
      <c r="L160" s="14" t="str">
        <f t="shared" si="11"/>
        <v/>
      </c>
      <c r="M160" s="13"/>
      <c r="N160" s="16" t="str">
        <f t="shared" si="12"/>
        <v/>
      </c>
      <c r="O160" s="13"/>
      <c r="P160" s="13"/>
      <c r="Q160" s="16" t="str">
        <f t="shared" si="13"/>
        <v/>
      </c>
      <c r="R160" s="13"/>
      <c r="S160" s="13"/>
      <c r="T160" s="16" t="str">
        <f t="shared" si="14"/>
        <v/>
      </c>
      <c r="U160" s="15"/>
      <c r="V160" s="15"/>
      <c r="W160" s="15"/>
      <c r="X160" s="8"/>
      <c r="Y160" s="8"/>
      <c r="Z160" s="8"/>
      <c r="AA160" s="9" t="str">
        <f>IF(A160="","",IF(OR(ABS(N160)&gt;Lists!$K$6,ABS(Q160)&gt;Lists!$K$3,ABS(T160)&gt;Lists!$K$4,ABS(U160)&gt;Lists!$K$5),"Failed","Passed"))</f>
        <v/>
      </c>
      <c r="AB160" s="8"/>
      <c r="AC160" s="8"/>
      <c r="AD160" s="8"/>
      <c r="AE160" s="10"/>
      <c r="AF160" s="8"/>
    </row>
    <row r="161" spans="1:32">
      <c r="A161" s="8"/>
      <c r="B161" s="10"/>
      <c r="C161" s="8"/>
      <c r="D161" s="8"/>
      <c r="E161" s="8"/>
      <c r="F161" s="8"/>
      <c r="G161" s="13"/>
      <c r="H161" s="13"/>
      <c r="I161" s="13"/>
      <c r="J161" s="14" t="str">
        <f t="shared" si="10"/>
        <v/>
      </c>
      <c r="K161" s="13"/>
      <c r="L161" s="14" t="str">
        <f t="shared" si="11"/>
        <v/>
      </c>
      <c r="M161" s="13"/>
      <c r="N161" s="16" t="str">
        <f t="shared" si="12"/>
        <v/>
      </c>
      <c r="O161" s="13"/>
      <c r="P161" s="13"/>
      <c r="Q161" s="16" t="str">
        <f t="shared" si="13"/>
        <v/>
      </c>
      <c r="R161" s="13"/>
      <c r="S161" s="13"/>
      <c r="T161" s="16" t="str">
        <f t="shared" si="14"/>
        <v/>
      </c>
      <c r="U161" s="15"/>
      <c r="V161" s="15"/>
      <c r="W161" s="15"/>
      <c r="X161" s="8"/>
      <c r="Y161" s="8"/>
      <c r="Z161" s="8"/>
      <c r="AA161" s="9" t="str">
        <f>IF(A161="","",IF(OR(ABS(N161)&gt;Lists!$K$6,ABS(Q161)&gt;Lists!$K$3,ABS(T161)&gt;Lists!$K$4,ABS(U161)&gt;Lists!$K$5),"Failed","Passed"))</f>
        <v/>
      </c>
      <c r="AB161" s="8"/>
      <c r="AC161" s="8"/>
      <c r="AD161" s="8"/>
      <c r="AE161" s="10"/>
      <c r="AF161" s="8"/>
    </row>
    <row r="162" spans="1:32">
      <c r="A162" s="8"/>
      <c r="B162" s="10"/>
      <c r="C162" s="8"/>
      <c r="D162" s="8"/>
      <c r="E162" s="8"/>
      <c r="F162" s="8"/>
      <c r="G162" s="13"/>
      <c r="H162" s="13"/>
      <c r="I162" s="13"/>
      <c r="J162" s="14" t="str">
        <f t="shared" si="10"/>
        <v/>
      </c>
      <c r="K162" s="13"/>
      <c r="L162" s="14" t="str">
        <f t="shared" si="11"/>
        <v/>
      </c>
      <c r="M162" s="13"/>
      <c r="N162" s="16" t="str">
        <f t="shared" si="12"/>
        <v/>
      </c>
      <c r="O162" s="13"/>
      <c r="P162" s="13"/>
      <c r="Q162" s="16" t="str">
        <f t="shared" si="13"/>
        <v/>
      </c>
      <c r="R162" s="13"/>
      <c r="S162" s="13"/>
      <c r="T162" s="16" t="str">
        <f t="shared" si="14"/>
        <v/>
      </c>
      <c r="U162" s="15"/>
      <c r="V162" s="15"/>
      <c r="W162" s="15"/>
      <c r="X162" s="8"/>
      <c r="Y162" s="8"/>
      <c r="Z162" s="8"/>
      <c r="AA162" s="9" t="str">
        <f>IF(A162="","",IF(OR(ABS(N162)&gt;Lists!$K$6,ABS(Q162)&gt;Lists!$K$3,ABS(T162)&gt;Lists!$K$4,ABS(U162)&gt;Lists!$K$5),"Failed","Passed"))</f>
        <v/>
      </c>
      <c r="AB162" s="8"/>
      <c r="AC162" s="8"/>
      <c r="AD162" s="8"/>
      <c r="AE162" s="10"/>
      <c r="AF162" s="8"/>
    </row>
    <row r="163" spans="1:32">
      <c r="A163" s="8"/>
      <c r="B163" s="10"/>
      <c r="C163" s="8"/>
      <c r="D163" s="8"/>
      <c r="E163" s="8"/>
      <c r="F163" s="8"/>
      <c r="G163" s="13"/>
      <c r="H163" s="13"/>
      <c r="I163" s="13"/>
      <c r="J163" s="14" t="str">
        <f t="shared" si="10"/>
        <v/>
      </c>
      <c r="K163" s="13"/>
      <c r="L163" s="14" t="str">
        <f t="shared" si="11"/>
        <v/>
      </c>
      <c r="M163" s="13"/>
      <c r="N163" s="16" t="str">
        <f t="shared" si="12"/>
        <v/>
      </c>
      <c r="O163" s="13"/>
      <c r="P163" s="13"/>
      <c r="Q163" s="16" t="str">
        <f t="shared" si="13"/>
        <v/>
      </c>
      <c r="R163" s="13"/>
      <c r="S163" s="13"/>
      <c r="T163" s="16" t="str">
        <f t="shared" si="14"/>
        <v/>
      </c>
      <c r="U163" s="15"/>
      <c r="V163" s="15"/>
      <c r="W163" s="15"/>
      <c r="X163" s="8"/>
      <c r="Y163" s="8"/>
      <c r="Z163" s="8"/>
      <c r="AA163" s="9" t="str">
        <f>IF(A163="","",IF(OR(ABS(N163)&gt;Lists!$K$6,ABS(Q163)&gt;Lists!$K$3,ABS(T163)&gt;Lists!$K$4,ABS(U163)&gt;Lists!$K$5),"Failed","Passed"))</f>
        <v/>
      </c>
      <c r="AB163" s="8"/>
      <c r="AC163" s="8"/>
      <c r="AD163" s="8"/>
      <c r="AE163" s="10"/>
      <c r="AF163" s="8"/>
    </row>
    <row r="164" spans="1:32">
      <c r="A164" s="8"/>
      <c r="B164" s="10"/>
      <c r="C164" s="8"/>
      <c r="D164" s="8"/>
      <c r="E164" s="8"/>
      <c r="F164" s="8"/>
      <c r="G164" s="13"/>
      <c r="H164" s="13"/>
      <c r="I164" s="13"/>
      <c r="J164" s="14" t="str">
        <f t="shared" si="10"/>
        <v/>
      </c>
      <c r="K164" s="13"/>
      <c r="L164" s="14" t="str">
        <f t="shared" si="11"/>
        <v/>
      </c>
      <c r="M164" s="13"/>
      <c r="N164" s="16" t="str">
        <f t="shared" si="12"/>
        <v/>
      </c>
      <c r="O164" s="13"/>
      <c r="P164" s="13"/>
      <c r="Q164" s="16" t="str">
        <f t="shared" si="13"/>
        <v/>
      </c>
      <c r="R164" s="13"/>
      <c r="S164" s="13"/>
      <c r="T164" s="16" t="str">
        <f t="shared" si="14"/>
        <v/>
      </c>
      <c r="U164" s="15"/>
      <c r="V164" s="15"/>
      <c r="W164" s="15"/>
      <c r="X164" s="8"/>
      <c r="Y164" s="8"/>
      <c r="Z164" s="8"/>
      <c r="AA164" s="9" t="str">
        <f>IF(A164="","",IF(OR(ABS(N164)&gt;Lists!$K$6,ABS(Q164)&gt;Lists!$K$3,ABS(T164)&gt;Lists!$K$4,ABS(U164)&gt;Lists!$K$5),"Failed","Passed"))</f>
        <v/>
      </c>
      <c r="AB164" s="8"/>
      <c r="AC164" s="8"/>
      <c r="AD164" s="8"/>
      <c r="AE164" s="10"/>
      <c r="AF164" s="8"/>
    </row>
    <row r="165" spans="1:32">
      <c r="A165" s="8"/>
      <c r="B165" s="10"/>
      <c r="C165" s="8"/>
      <c r="D165" s="8"/>
      <c r="E165" s="8"/>
      <c r="F165" s="8"/>
      <c r="G165" s="13"/>
      <c r="H165" s="13"/>
      <c r="I165" s="13"/>
      <c r="J165" s="14" t="str">
        <f t="shared" si="10"/>
        <v/>
      </c>
      <c r="K165" s="13"/>
      <c r="L165" s="14" t="str">
        <f t="shared" si="11"/>
        <v/>
      </c>
      <c r="M165" s="13"/>
      <c r="N165" s="16" t="str">
        <f t="shared" si="12"/>
        <v/>
      </c>
      <c r="O165" s="13"/>
      <c r="P165" s="13"/>
      <c r="Q165" s="16" t="str">
        <f t="shared" si="13"/>
        <v/>
      </c>
      <c r="R165" s="13"/>
      <c r="S165" s="13"/>
      <c r="T165" s="16" t="str">
        <f t="shared" si="14"/>
        <v/>
      </c>
      <c r="U165" s="15"/>
      <c r="V165" s="15"/>
      <c r="W165" s="15"/>
      <c r="X165" s="8"/>
      <c r="Y165" s="8"/>
      <c r="Z165" s="8"/>
      <c r="AA165" s="9" t="str">
        <f>IF(A165="","",IF(OR(ABS(N165)&gt;Lists!$K$6,ABS(Q165)&gt;Lists!$K$3,ABS(T165)&gt;Lists!$K$4,ABS(U165)&gt;Lists!$K$5),"Failed","Passed"))</f>
        <v/>
      </c>
      <c r="AB165" s="8"/>
      <c r="AC165" s="8"/>
      <c r="AD165" s="8"/>
      <c r="AE165" s="10"/>
      <c r="AF165" s="8"/>
    </row>
    <row r="166" spans="1:32">
      <c r="A166" s="8"/>
      <c r="B166" s="10"/>
      <c r="C166" s="8"/>
      <c r="D166" s="8"/>
      <c r="E166" s="8"/>
      <c r="F166" s="8"/>
      <c r="G166" s="13"/>
      <c r="H166" s="13"/>
      <c r="I166" s="13"/>
      <c r="J166" s="14" t="str">
        <f t="shared" si="10"/>
        <v/>
      </c>
      <c r="K166" s="13"/>
      <c r="L166" s="14" t="str">
        <f t="shared" si="11"/>
        <v/>
      </c>
      <c r="M166" s="13"/>
      <c r="N166" s="16" t="str">
        <f t="shared" si="12"/>
        <v/>
      </c>
      <c r="O166" s="13"/>
      <c r="P166" s="13"/>
      <c r="Q166" s="16" t="str">
        <f t="shared" si="13"/>
        <v/>
      </c>
      <c r="R166" s="13"/>
      <c r="S166" s="13"/>
      <c r="T166" s="16" t="str">
        <f t="shared" si="14"/>
        <v/>
      </c>
      <c r="U166" s="15"/>
      <c r="V166" s="15"/>
      <c r="W166" s="15"/>
      <c r="X166" s="8"/>
      <c r="Y166" s="8"/>
      <c r="Z166" s="8"/>
      <c r="AA166" s="9" t="str">
        <f>IF(A166="","",IF(OR(ABS(N166)&gt;Lists!$K$6,ABS(Q166)&gt;Lists!$K$3,ABS(T166)&gt;Lists!$K$4,ABS(U166)&gt;Lists!$K$5),"Failed","Passed"))</f>
        <v/>
      </c>
      <c r="AB166" s="8"/>
      <c r="AC166" s="8"/>
      <c r="AD166" s="8"/>
      <c r="AE166" s="10"/>
      <c r="AF166" s="8"/>
    </row>
    <row r="167" spans="1:32">
      <c r="A167" s="8"/>
      <c r="B167" s="10"/>
      <c r="C167" s="8"/>
      <c r="D167" s="8"/>
      <c r="E167" s="8"/>
      <c r="F167" s="8"/>
      <c r="G167" s="13"/>
      <c r="H167" s="13"/>
      <c r="I167" s="13"/>
      <c r="J167" s="14" t="str">
        <f t="shared" si="10"/>
        <v/>
      </c>
      <c r="K167" s="13"/>
      <c r="L167" s="14" t="str">
        <f t="shared" si="11"/>
        <v/>
      </c>
      <c r="M167" s="13"/>
      <c r="N167" s="16" t="str">
        <f t="shared" si="12"/>
        <v/>
      </c>
      <c r="O167" s="13"/>
      <c r="P167" s="13"/>
      <c r="Q167" s="16" t="str">
        <f t="shared" si="13"/>
        <v/>
      </c>
      <c r="R167" s="13"/>
      <c r="S167" s="13"/>
      <c r="T167" s="16" t="str">
        <f t="shared" si="14"/>
        <v/>
      </c>
      <c r="U167" s="15"/>
      <c r="V167" s="15"/>
      <c r="W167" s="15"/>
      <c r="X167" s="8"/>
      <c r="Y167" s="8"/>
      <c r="Z167" s="8"/>
      <c r="AA167" s="9" t="str">
        <f>IF(A167="","",IF(OR(ABS(N167)&gt;Lists!$K$6,ABS(Q167)&gt;Lists!$K$3,ABS(T167)&gt;Lists!$K$4,ABS(U167)&gt;Lists!$K$5),"Failed","Passed"))</f>
        <v/>
      </c>
      <c r="AB167" s="8"/>
      <c r="AC167" s="8"/>
      <c r="AD167" s="8"/>
      <c r="AE167" s="10"/>
      <c r="AF167" s="8"/>
    </row>
    <row r="168" spans="1:32">
      <c r="A168" s="8"/>
      <c r="B168" s="10"/>
      <c r="C168" s="8"/>
      <c r="D168" s="8"/>
      <c r="E168" s="8"/>
      <c r="F168" s="8"/>
      <c r="G168" s="13"/>
      <c r="H168" s="13"/>
      <c r="I168" s="13"/>
      <c r="J168" s="14" t="str">
        <f t="shared" si="10"/>
        <v/>
      </c>
      <c r="K168" s="13"/>
      <c r="L168" s="14" t="str">
        <f t="shared" si="11"/>
        <v/>
      </c>
      <c r="M168" s="13"/>
      <c r="N168" s="16" t="str">
        <f t="shared" si="12"/>
        <v/>
      </c>
      <c r="O168" s="13"/>
      <c r="P168" s="13"/>
      <c r="Q168" s="16" t="str">
        <f t="shared" si="13"/>
        <v/>
      </c>
      <c r="R168" s="13"/>
      <c r="S168" s="13"/>
      <c r="T168" s="16" t="str">
        <f t="shared" si="14"/>
        <v/>
      </c>
      <c r="U168" s="15"/>
      <c r="V168" s="15"/>
      <c r="W168" s="15"/>
      <c r="X168" s="8"/>
      <c r="Y168" s="8"/>
      <c r="Z168" s="8"/>
      <c r="AA168" s="9" t="str">
        <f>IF(A168="","",IF(OR(ABS(N168)&gt;Lists!$K$6,ABS(Q168)&gt;Lists!$K$3,ABS(T168)&gt;Lists!$K$4,ABS(U168)&gt;Lists!$K$5),"Failed","Passed"))</f>
        <v/>
      </c>
      <c r="AB168" s="8"/>
      <c r="AC168" s="8"/>
      <c r="AD168" s="8"/>
      <c r="AE168" s="10"/>
      <c r="AF168" s="8"/>
    </row>
    <row r="169" spans="1:32">
      <c r="A169" s="8"/>
      <c r="B169" s="10"/>
      <c r="C169" s="8"/>
      <c r="D169" s="8"/>
      <c r="E169" s="8"/>
      <c r="F169" s="8"/>
      <c r="G169" s="13"/>
      <c r="H169" s="13"/>
      <c r="I169" s="13"/>
      <c r="J169" s="14" t="str">
        <f t="shared" si="10"/>
        <v/>
      </c>
      <c r="K169" s="13"/>
      <c r="L169" s="14" t="str">
        <f t="shared" si="11"/>
        <v/>
      </c>
      <c r="M169" s="13"/>
      <c r="N169" s="16" t="str">
        <f t="shared" si="12"/>
        <v/>
      </c>
      <c r="O169" s="13"/>
      <c r="P169" s="13"/>
      <c r="Q169" s="16" t="str">
        <f t="shared" si="13"/>
        <v/>
      </c>
      <c r="R169" s="13"/>
      <c r="S169" s="13"/>
      <c r="T169" s="16" t="str">
        <f t="shared" si="14"/>
        <v/>
      </c>
      <c r="U169" s="15"/>
      <c r="V169" s="15"/>
      <c r="W169" s="15"/>
      <c r="X169" s="8"/>
      <c r="Y169" s="8"/>
      <c r="Z169" s="8"/>
      <c r="AA169" s="9" t="str">
        <f>IF(A169="","",IF(OR(ABS(N169)&gt;Lists!$K$6,ABS(Q169)&gt;Lists!$K$3,ABS(T169)&gt;Lists!$K$4,ABS(U169)&gt;Lists!$K$5),"Failed","Passed"))</f>
        <v/>
      </c>
      <c r="AB169" s="8"/>
      <c r="AC169" s="8"/>
      <c r="AD169" s="8"/>
      <c r="AE169" s="10"/>
      <c r="AF169" s="8"/>
    </row>
    <row r="170" spans="1:32">
      <c r="A170" s="8"/>
      <c r="B170" s="10"/>
      <c r="C170" s="8"/>
      <c r="D170" s="8"/>
      <c r="E170" s="8"/>
      <c r="F170" s="8"/>
      <c r="G170" s="13"/>
      <c r="H170" s="13"/>
      <c r="I170" s="13"/>
      <c r="J170" s="14" t="str">
        <f t="shared" si="10"/>
        <v/>
      </c>
      <c r="K170" s="13"/>
      <c r="L170" s="14" t="str">
        <f t="shared" si="11"/>
        <v/>
      </c>
      <c r="M170" s="13"/>
      <c r="N170" s="16" t="str">
        <f t="shared" si="12"/>
        <v/>
      </c>
      <c r="O170" s="13"/>
      <c r="P170" s="13"/>
      <c r="Q170" s="16" t="str">
        <f t="shared" si="13"/>
        <v/>
      </c>
      <c r="R170" s="13"/>
      <c r="S170" s="13"/>
      <c r="T170" s="16" t="str">
        <f t="shared" si="14"/>
        <v/>
      </c>
      <c r="U170" s="15"/>
      <c r="V170" s="15"/>
      <c r="W170" s="15"/>
      <c r="X170" s="8"/>
      <c r="Y170" s="8"/>
      <c r="Z170" s="8"/>
      <c r="AA170" s="9" t="str">
        <f>IF(A170="","",IF(OR(ABS(N170)&gt;Lists!$K$6,ABS(Q170)&gt;Lists!$K$3,ABS(T170)&gt;Lists!$K$4,ABS(U170)&gt;Lists!$K$5),"Failed","Passed"))</f>
        <v/>
      </c>
      <c r="AB170" s="8"/>
      <c r="AC170" s="8"/>
      <c r="AD170" s="8"/>
      <c r="AE170" s="10"/>
      <c r="AF170" s="8"/>
    </row>
    <row r="171" spans="1:32">
      <c r="A171" s="8"/>
      <c r="B171" s="10"/>
      <c r="C171" s="8"/>
      <c r="D171" s="8"/>
      <c r="E171" s="8"/>
      <c r="F171" s="8"/>
      <c r="G171" s="13"/>
      <c r="H171" s="13"/>
      <c r="I171" s="13"/>
      <c r="J171" s="14" t="str">
        <f t="shared" si="10"/>
        <v/>
      </c>
      <c r="K171" s="13"/>
      <c r="L171" s="14" t="str">
        <f t="shared" si="11"/>
        <v/>
      </c>
      <c r="M171" s="13"/>
      <c r="N171" s="16" t="str">
        <f t="shared" si="12"/>
        <v/>
      </c>
      <c r="O171" s="13"/>
      <c r="P171" s="13"/>
      <c r="Q171" s="16" t="str">
        <f t="shared" si="13"/>
        <v/>
      </c>
      <c r="R171" s="13"/>
      <c r="S171" s="13"/>
      <c r="T171" s="16" t="str">
        <f t="shared" si="14"/>
        <v/>
      </c>
      <c r="U171" s="15"/>
      <c r="V171" s="15"/>
      <c r="W171" s="15"/>
      <c r="X171" s="8"/>
      <c r="Y171" s="8"/>
      <c r="Z171" s="8"/>
      <c r="AA171" s="9" t="str">
        <f>IF(A171="","",IF(OR(ABS(N171)&gt;Lists!$K$6,ABS(Q171)&gt;Lists!$K$3,ABS(T171)&gt;Lists!$K$4,ABS(U171)&gt;Lists!$K$5),"Failed","Passed"))</f>
        <v/>
      </c>
      <c r="AB171" s="8"/>
      <c r="AC171" s="8"/>
      <c r="AD171" s="8"/>
      <c r="AE171" s="10"/>
      <c r="AF171" s="8"/>
    </row>
    <row r="172" spans="1:32">
      <c r="A172" s="8"/>
      <c r="B172" s="10"/>
      <c r="C172" s="8"/>
      <c r="D172" s="8"/>
      <c r="E172" s="8"/>
      <c r="F172" s="8"/>
      <c r="G172" s="13"/>
      <c r="H172" s="13"/>
      <c r="I172" s="13"/>
      <c r="J172" s="14" t="str">
        <f t="shared" si="10"/>
        <v/>
      </c>
      <c r="K172" s="13"/>
      <c r="L172" s="14" t="str">
        <f t="shared" si="11"/>
        <v/>
      </c>
      <c r="M172" s="13"/>
      <c r="N172" s="16" t="str">
        <f t="shared" si="12"/>
        <v/>
      </c>
      <c r="O172" s="13"/>
      <c r="P172" s="13"/>
      <c r="Q172" s="16" t="str">
        <f t="shared" si="13"/>
        <v/>
      </c>
      <c r="R172" s="13"/>
      <c r="S172" s="13"/>
      <c r="T172" s="16" t="str">
        <f t="shared" si="14"/>
        <v/>
      </c>
      <c r="U172" s="15"/>
      <c r="V172" s="15"/>
      <c r="W172" s="15"/>
      <c r="X172" s="8"/>
      <c r="Y172" s="8"/>
      <c r="Z172" s="8"/>
      <c r="AA172" s="9" t="str">
        <f>IF(A172="","",IF(OR(ABS(N172)&gt;Lists!$K$6,ABS(Q172)&gt;Lists!$K$3,ABS(T172)&gt;Lists!$K$4,ABS(U172)&gt;Lists!$K$5),"Failed","Passed"))</f>
        <v/>
      </c>
      <c r="AB172" s="8"/>
      <c r="AC172" s="8"/>
      <c r="AD172" s="8"/>
      <c r="AE172" s="10"/>
      <c r="AF172" s="8"/>
    </row>
    <row r="173" spans="1:32">
      <c r="A173" s="8"/>
      <c r="B173" s="10"/>
      <c r="C173" s="8"/>
      <c r="D173" s="8"/>
      <c r="E173" s="8"/>
      <c r="F173" s="8"/>
      <c r="G173" s="13"/>
      <c r="H173" s="13"/>
      <c r="I173" s="13"/>
      <c r="J173" s="14" t="str">
        <f t="shared" si="10"/>
        <v/>
      </c>
      <c r="K173" s="13"/>
      <c r="L173" s="14" t="str">
        <f t="shared" si="11"/>
        <v/>
      </c>
      <c r="M173" s="13"/>
      <c r="N173" s="16" t="str">
        <f t="shared" si="12"/>
        <v/>
      </c>
      <c r="O173" s="13"/>
      <c r="P173" s="13"/>
      <c r="Q173" s="16" t="str">
        <f t="shared" si="13"/>
        <v/>
      </c>
      <c r="R173" s="13"/>
      <c r="S173" s="13"/>
      <c r="T173" s="16" t="str">
        <f t="shared" si="14"/>
        <v/>
      </c>
      <c r="U173" s="15"/>
      <c r="V173" s="15"/>
      <c r="W173" s="15"/>
      <c r="X173" s="8"/>
      <c r="Y173" s="8"/>
      <c r="Z173" s="8"/>
      <c r="AA173" s="9" t="str">
        <f>IF(A173="","",IF(OR(ABS(N173)&gt;Lists!$K$6,ABS(Q173)&gt;Lists!$K$3,ABS(T173)&gt;Lists!$K$4,ABS(U173)&gt;Lists!$K$5),"Failed","Passed"))</f>
        <v/>
      </c>
      <c r="AB173" s="8"/>
      <c r="AC173" s="8"/>
      <c r="AD173" s="8"/>
      <c r="AE173" s="10"/>
      <c r="AF173" s="8"/>
    </row>
    <row r="174" spans="1:32">
      <c r="A174" s="8"/>
      <c r="B174" s="10"/>
      <c r="C174" s="8"/>
      <c r="D174" s="8"/>
      <c r="E174" s="8"/>
      <c r="F174" s="8"/>
      <c r="G174" s="13"/>
      <c r="H174" s="13"/>
      <c r="I174" s="13"/>
      <c r="J174" s="14" t="str">
        <f t="shared" si="10"/>
        <v/>
      </c>
      <c r="K174" s="13"/>
      <c r="L174" s="14" t="str">
        <f t="shared" si="11"/>
        <v/>
      </c>
      <c r="M174" s="13"/>
      <c r="N174" s="16" t="str">
        <f t="shared" si="12"/>
        <v/>
      </c>
      <c r="O174" s="13"/>
      <c r="P174" s="13"/>
      <c r="Q174" s="16" t="str">
        <f t="shared" si="13"/>
        <v/>
      </c>
      <c r="R174" s="13"/>
      <c r="S174" s="13"/>
      <c r="T174" s="16" t="str">
        <f t="shared" si="14"/>
        <v/>
      </c>
      <c r="U174" s="15"/>
      <c r="V174" s="15"/>
      <c r="W174" s="15"/>
      <c r="X174" s="8"/>
      <c r="Y174" s="8"/>
      <c r="Z174" s="8"/>
      <c r="AA174" s="9" t="str">
        <f>IF(A174="","",IF(OR(ABS(N174)&gt;Lists!$K$6,ABS(Q174)&gt;Lists!$K$3,ABS(T174)&gt;Lists!$K$4,ABS(U174)&gt;Lists!$K$5),"Failed","Passed"))</f>
        <v/>
      </c>
      <c r="AB174" s="8"/>
      <c r="AC174" s="8"/>
      <c r="AD174" s="8"/>
      <c r="AE174" s="10"/>
      <c r="AF174" s="8"/>
    </row>
    <row r="175" spans="1:32">
      <c r="A175" s="8"/>
      <c r="B175" s="10"/>
      <c r="C175" s="8"/>
      <c r="D175" s="8"/>
      <c r="E175" s="8"/>
      <c r="F175" s="8"/>
      <c r="G175" s="13"/>
      <c r="H175" s="13"/>
      <c r="I175" s="13"/>
      <c r="J175" s="14" t="str">
        <f t="shared" si="10"/>
        <v/>
      </c>
      <c r="K175" s="13"/>
      <c r="L175" s="14" t="str">
        <f t="shared" si="11"/>
        <v/>
      </c>
      <c r="M175" s="13"/>
      <c r="N175" s="16" t="str">
        <f t="shared" si="12"/>
        <v/>
      </c>
      <c r="O175" s="13"/>
      <c r="P175" s="13"/>
      <c r="Q175" s="16" t="str">
        <f t="shared" si="13"/>
        <v/>
      </c>
      <c r="R175" s="13"/>
      <c r="S175" s="13"/>
      <c r="T175" s="16" t="str">
        <f t="shared" si="14"/>
        <v/>
      </c>
      <c r="U175" s="15"/>
      <c r="V175" s="15"/>
      <c r="W175" s="15"/>
      <c r="X175" s="8"/>
      <c r="Y175" s="8"/>
      <c r="Z175" s="8"/>
      <c r="AA175" s="9" t="str">
        <f>IF(A175="","",IF(OR(ABS(N175)&gt;Lists!$K$6,ABS(Q175)&gt;Lists!$K$3,ABS(T175)&gt;Lists!$K$4,ABS(U175)&gt;Lists!$K$5),"Failed","Passed"))</f>
        <v/>
      </c>
      <c r="AB175" s="8"/>
      <c r="AC175" s="8"/>
      <c r="AD175" s="8"/>
      <c r="AE175" s="10"/>
      <c r="AF175" s="8"/>
    </row>
    <row r="176" spans="1:32">
      <c r="A176" s="8"/>
      <c r="B176" s="10"/>
      <c r="C176" s="8"/>
      <c r="D176" s="8"/>
      <c r="E176" s="8"/>
      <c r="F176" s="8"/>
      <c r="G176" s="13"/>
      <c r="H176" s="13"/>
      <c r="I176" s="13"/>
      <c r="J176" s="14" t="str">
        <f t="shared" si="10"/>
        <v/>
      </c>
      <c r="K176" s="13"/>
      <c r="L176" s="14" t="str">
        <f t="shared" si="11"/>
        <v/>
      </c>
      <c r="M176" s="13"/>
      <c r="N176" s="16" t="str">
        <f t="shared" si="12"/>
        <v/>
      </c>
      <c r="O176" s="13"/>
      <c r="P176" s="13"/>
      <c r="Q176" s="16" t="str">
        <f t="shared" si="13"/>
        <v/>
      </c>
      <c r="R176" s="13"/>
      <c r="S176" s="13"/>
      <c r="T176" s="16" t="str">
        <f t="shared" si="14"/>
        <v/>
      </c>
      <c r="U176" s="15"/>
      <c r="V176" s="15"/>
      <c r="W176" s="15"/>
      <c r="X176" s="8"/>
      <c r="Y176" s="8"/>
      <c r="Z176" s="8"/>
      <c r="AA176" s="9" t="str">
        <f>IF(A176="","",IF(OR(ABS(N176)&gt;Lists!$K$6,ABS(Q176)&gt;Lists!$K$3,ABS(T176)&gt;Lists!$K$4,ABS(U176)&gt;Lists!$K$5),"Failed","Passed"))</f>
        <v/>
      </c>
      <c r="AB176" s="8"/>
      <c r="AC176" s="8"/>
      <c r="AD176" s="8"/>
      <c r="AE176" s="10"/>
      <c r="AF176" s="8"/>
    </row>
    <row r="177" spans="1:32">
      <c r="A177" s="8"/>
      <c r="B177" s="10"/>
      <c r="C177" s="8"/>
      <c r="D177" s="8"/>
      <c r="E177" s="8"/>
      <c r="F177" s="8"/>
      <c r="G177" s="13"/>
      <c r="H177" s="13"/>
      <c r="I177" s="13"/>
      <c r="J177" s="14" t="str">
        <f t="shared" si="10"/>
        <v/>
      </c>
      <c r="K177" s="13"/>
      <c r="L177" s="14" t="str">
        <f t="shared" si="11"/>
        <v/>
      </c>
      <c r="M177" s="13"/>
      <c r="N177" s="16" t="str">
        <f t="shared" si="12"/>
        <v/>
      </c>
      <c r="O177" s="13"/>
      <c r="P177" s="13"/>
      <c r="Q177" s="16" t="str">
        <f t="shared" si="13"/>
        <v/>
      </c>
      <c r="R177" s="13"/>
      <c r="S177" s="13"/>
      <c r="T177" s="16" t="str">
        <f t="shared" si="14"/>
        <v/>
      </c>
      <c r="U177" s="15"/>
      <c r="V177" s="15"/>
      <c r="W177" s="15"/>
      <c r="X177" s="8"/>
      <c r="Y177" s="8"/>
      <c r="Z177" s="8"/>
      <c r="AA177" s="9" t="str">
        <f>IF(A177="","",IF(OR(ABS(N177)&gt;Lists!$K$6,ABS(Q177)&gt;Lists!$K$3,ABS(T177)&gt;Lists!$K$4,ABS(U177)&gt;Lists!$K$5),"Failed","Passed"))</f>
        <v/>
      </c>
      <c r="AB177" s="8"/>
      <c r="AC177" s="8"/>
      <c r="AD177" s="8"/>
      <c r="AE177" s="10"/>
      <c r="AF177" s="8"/>
    </row>
    <row r="178" spans="1:32">
      <c r="A178" s="8"/>
      <c r="B178" s="10"/>
      <c r="C178" s="8"/>
      <c r="D178" s="8"/>
      <c r="E178" s="8"/>
      <c r="F178" s="8"/>
      <c r="G178" s="13"/>
      <c r="H178" s="13"/>
      <c r="I178" s="13"/>
      <c r="J178" s="14" t="str">
        <f t="shared" si="10"/>
        <v/>
      </c>
      <c r="K178" s="13"/>
      <c r="L178" s="14" t="str">
        <f t="shared" si="11"/>
        <v/>
      </c>
      <c r="M178" s="13"/>
      <c r="N178" s="16" t="str">
        <f t="shared" si="12"/>
        <v/>
      </c>
      <c r="O178" s="13"/>
      <c r="P178" s="13"/>
      <c r="Q178" s="16" t="str">
        <f t="shared" si="13"/>
        <v/>
      </c>
      <c r="R178" s="13"/>
      <c r="S178" s="13"/>
      <c r="T178" s="16" t="str">
        <f t="shared" si="14"/>
        <v/>
      </c>
      <c r="U178" s="15"/>
      <c r="V178" s="15"/>
      <c r="W178" s="15"/>
      <c r="X178" s="8"/>
      <c r="Y178" s="8"/>
      <c r="Z178" s="8"/>
      <c r="AA178" s="9" t="str">
        <f>IF(A178="","",IF(OR(ABS(N178)&gt;Lists!$K$6,ABS(Q178)&gt;Lists!$K$3,ABS(T178)&gt;Lists!$K$4,ABS(U178)&gt;Lists!$K$5),"Failed","Passed"))</f>
        <v/>
      </c>
      <c r="AB178" s="8"/>
      <c r="AC178" s="8"/>
      <c r="AD178" s="8"/>
      <c r="AE178" s="10"/>
      <c r="AF178" s="8"/>
    </row>
    <row r="179" spans="1:32">
      <c r="A179" s="8"/>
      <c r="B179" s="10"/>
      <c r="C179" s="8"/>
      <c r="D179" s="8"/>
      <c r="E179" s="8"/>
      <c r="F179" s="8"/>
      <c r="G179" s="13"/>
      <c r="H179" s="13"/>
      <c r="I179" s="13"/>
      <c r="J179" s="14" t="str">
        <f t="shared" si="10"/>
        <v/>
      </c>
      <c r="K179" s="13"/>
      <c r="L179" s="14" t="str">
        <f t="shared" si="11"/>
        <v/>
      </c>
      <c r="M179" s="13"/>
      <c r="N179" s="16" t="str">
        <f t="shared" si="12"/>
        <v/>
      </c>
      <c r="O179" s="13"/>
      <c r="P179" s="13"/>
      <c r="Q179" s="16" t="str">
        <f t="shared" si="13"/>
        <v/>
      </c>
      <c r="R179" s="13"/>
      <c r="S179" s="13"/>
      <c r="T179" s="16" t="str">
        <f t="shared" si="14"/>
        <v/>
      </c>
      <c r="U179" s="15"/>
      <c r="V179" s="15"/>
      <c r="W179" s="15"/>
      <c r="X179" s="8"/>
      <c r="Y179" s="8"/>
      <c r="Z179" s="8"/>
      <c r="AA179" s="9" t="str">
        <f>IF(A179="","",IF(OR(ABS(N179)&gt;Lists!$K$6,ABS(Q179)&gt;Lists!$K$3,ABS(T179)&gt;Lists!$K$4,ABS(U179)&gt;Lists!$K$5),"Failed","Passed"))</f>
        <v/>
      </c>
      <c r="AB179" s="8"/>
      <c r="AC179" s="8"/>
      <c r="AD179" s="8"/>
      <c r="AE179" s="10"/>
      <c r="AF179" s="8"/>
    </row>
    <row r="180" spans="1:32">
      <c r="A180" s="8"/>
      <c r="B180" s="10"/>
      <c r="C180" s="8"/>
      <c r="D180" s="8"/>
      <c r="E180" s="8"/>
      <c r="F180" s="8"/>
      <c r="G180" s="13"/>
      <c r="H180" s="13"/>
      <c r="I180" s="13"/>
      <c r="J180" s="14" t="str">
        <f t="shared" si="10"/>
        <v/>
      </c>
      <c r="K180" s="13"/>
      <c r="L180" s="14" t="str">
        <f t="shared" si="11"/>
        <v/>
      </c>
      <c r="M180" s="13"/>
      <c r="N180" s="16" t="str">
        <f t="shared" si="12"/>
        <v/>
      </c>
      <c r="O180" s="13"/>
      <c r="P180" s="13"/>
      <c r="Q180" s="16" t="str">
        <f t="shared" si="13"/>
        <v/>
      </c>
      <c r="R180" s="13"/>
      <c r="S180" s="13"/>
      <c r="T180" s="16" t="str">
        <f t="shared" si="14"/>
        <v/>
      </c>
      <c r="U180" s="15"/>
      <c r="V180" s="15"/>
      <c r="W180" s="15"/>
      <c r="X180" s="8"/>
      <c r="Y180" s="8"/>
      <c r="Z180" s="8"/>
      <c r="AA180" s="9" t="str">
        <f>IF(A180="","",IF(OR(ABS(N180)&gt;Lists!$K$6,ABS(Q180)&gt;Lists!$K$3,ABS(T180)&gt;Lists!$K$4,ABS(U180)&gt;Lists!$K$5),"Failed","Passed"))</f>
        <v/>
      </c>
      <c r="AB180" s="8"/>
      <c r="AC180" s="8"/>
      <c r="AD180" s="8"/>
      <c r="AE180" s="10"/>
      <c r="AF180" s="8"/>
    </row>
    <row r="181" spans="1:32">
      <c r="A181" s="8"/>
      <c r="B181" s="10"/>
      <c r="C181" s="8"/>
      <c r="D181" s="8"/>
      <c r="E181" s="8"/>
      <c r="F181" s="8"/>
      <c r="G181" s="13"/>
      <c r="H181" s="13"/>
      <c r="I181" s="13"/>
      <c r="J181" s="14" t="str">
        <f t="shared" si="10"/>
        <v/>
      </c>
      <c r="K181" s="13"/>
      <c r="L181" s="14" t="str">
        <f t="shared" si="11"/>
        <v/>
      </c>
      <c r="M181" s="13"/>
      <c r="N181" s="16" t="str">
        <f t="shared" si="12"/>
        <v/>
      </c>
      <c r="O181" s="13"/>
      <c r="P181" s="13"/>
      <c r="Q181" s="16" t="str">
        <f t="shared" si="13"/>
        <v/>
      </c>
      <c r="R181" s="13"/>
      <c r="S181" s="13"/>
      <c r="T181" s="16" t="str">
        <f t="shared" si="14"/>
        <v/>
      </c>
      <c r="U181" s="15"/>
      <c r="V181" s="15"/>
      <c r="W181" s="15"/>
      <c r="X181" s="8"/>
      <c r="Y181" s="8"/>
      <c r="Z181" s="8"/>
      <c r="AA181" s="9" t="str">
        <f>IF(A181="","",IF(OR(ABS(N181)&gt;Lists!$K$6,ABS(Q181)&gt;Lists!$K$3,ABS(T181)&gt;Lists!$K$4,ABS(U181)&gt;Lists!$K$5),"Failed","Passed"))</f>
        <v/>
      </c>
      <c r="AB181" s="8"/>
      <c r="AC181" s="8"/>
      <c r="AD181" s="8"/>
      <c r="AE181" s="10"/>
      <c r="AF181" s="8"/>
    </row>
    <row r="182" spans="1:32">
      <c r="A182" s="8"/>
      <c r="B182" s="10"/>
      <c r="C182" s="8"/>
      <c r="D182" s="8"/>
      <c r="E182" s="8"/>
      <c r="F182" s="8"/>
      <c r="G182" s="13"/>
      <c r="H182" s="13"/>
      <c r="I182" s="13"/>
      <c r="J182" s="14" t="str">
        <f t="shared" si="10"/>
        <v/>
      </c>
      <c r="K182" s="13"/>
      <c r="L182" s="14" t="str">
        <f t="shared" si="11"/>
        <v/>
      </c>
      <c r="M182" s="13"/>
      <c r="N182" s="16" t="str">
        <f t="shared" si="12"/>
        <v/>
      </c>
      <c r="O182" s="13"/>
      <c r="P182" s="13"/>
      <c r="Q182" s="16" t="str">
        <f t="shared" si="13"/>
        <v/>
      </c>
      <c r="R182" s="13"/>
      <c r="S182" s="13"/>
      <c r="T182" s="16" t="str">
        <f t="shared" si="14"/>
        <v/>
      </c>
      <c r="U182" s="15"/>
      <c r="V182" s="15"/>
      <c r="W182" s="15"/>
      <c r="X182" s="8"/>
      <c r="Y182" s="8"/>
      <c r="Z182" s="8"/>
      <c r="AA182" s="9" t="str">
        <f>IF(A182="","",IF(OR(ABS(N182)&gt;Lists!$K$6,ABS(Q182)&gt;Lists!$K$3,ABS(T182)&gt;Lists!$K$4,ABS(U182)&gt;Lists!$K$5),"Failed","Passed"))</f>
        <v/>
      </c>
      <c r="AB182" s="8"/>
      <c r="AC182" s="8"/>
      <c r="AD182" s="8"/>
      <c r="AE182" s="10"/>
      <c r="AF182" s="8"/>
    </row>
    <row r="183" spans="1:32">
      <c r="A183" s="8"/>
      <c r="B183" s="10"/>
      <c r="C183" s="8"/>
      <c r="D183" s="8"/>
      <c r="E183" s="8"/>
      <c r="F183" s="8"/>
      <c r="G183" s="13"/>
      <c r="H183" s="13"/>
      <c r="I183" s="13"/>
      <c r="J183" s="14" t="str">
        <f t="shared" si="10"/>
        <v/>
      </c>
      <c r="K183" s="13"/>
      <c r="L183" s="14" t="str">
        <f t="shared" si="11"/>
        <v/>
      </c>
      <c r="M183" s="13"/>
      <c r="N183" s="16" t="str">
        <f t="shared" si="12"/>
        <v/>
      </c>
      <c r="O183" s="13"/>
      <c r="P183" s="13"/>
      <c r="Q183" s="16" t="str">
        <f t="shared" si="13"/>
        <v/>
      </c>
      <c r="R183" s="13"/>
      <c r="S183" s="13"/>
      <c r="T183" s="16" t="str">
        <f t="shared" si="14"/>
        <v/>
      </c>
      <c r="U183" s="15"/>
      <c r="V183" s="15"/>
      <c r="W183" s="15"/>
      <c r="X183" s="8"/>
      <c r="Y183" s="8"/>
      <c r="Z183" s="8"/>
      <c r="AA183" s="9" t="str">
        <f>IF(A183="","",IF(OR(ABS(N183)&gt;Lists!$K$6,ABS(Q183)&gt;Lists!$K$3,ABS(T183)&gt;Lists!$K$4,ABS(U183)&gt;Lists!$K$5),"Failed","Passed"))</f>
        <v/>
      </c>
      <c r="AB183" s="8"/>
      <c r="AC183" s="8"/>
      <c r="AD183" s="8"/>
      <c r="AE183" s="10"/>
      <c r="AF183" s="8"/>
    </row>
    <row r="184" spans="1:32">
      <c r="A184" s="8"/>
      <c r="B184" s="10"/>
      <c r="C184" s="8"/>
      <c r="D184" s="8"/>
      <c r="E184" s="8"/>
      <c r="F184" s="8"/>
      <c r="G184" s="13"/>
      <c r="H184" s="13"/>
      <c r="I184" s="13"/>
      <c r="J184" s="14" t="str">
        <f t="shared" si="10"/>
        <v/>
      </c>
      <c r="K184" s="13"/>
      <c r="L184" s="14" t="str">
        <f t="shared" si="11"/>
        <v/>
      </c>
      <c r="M184" s="13"/>
      <c r="N184" s="16" t="str">
        <f t="shared" si="12"/>
        <v/>
      </c>
      <c r="O184" s="13"/>
      <c r="P184" s="13"/>
      <c r="Q184" s="16" t="str">
        <f t="shared" si="13"/>
        <v/>
      </c>
      <c r="R184" s="13"/>
      <c r="S184" s="13"/>
      <c r="T184" s="16" t="str">
        <f t="shared" si="14"/>
        <v/>
      </c>
      <c r="U184" s="15"/>
      <c r="V184" s="15"/>
      <c r="W184" s="15"/>
      <c r="X184" s="8"/>
      <c r="Y184" s="8"/>
      <c r="Z184" s="8"/>
      <c r="AA184" s="9" t="str">
        <f>IF(A184="","",IF(OR(ABS(N184)&gt;Lists!$K$6,ABS(Q184)&gt;Lists!$K$3,ABS(T184)&gt;Lists!$K$4,ABS(U184)&gt;Lists!$K$5),"Failed","Passed"))</f>
        <v/>
      </c>
      <c r="AB184" s="8"/>
      <c r="AC184" s="8"/>
      <c r="AD184" s="8"/>
      <c r="AE184" s="10"/>
      <c r="AF184" s="8"/>
    </row>
    <row r="185" spans="1:32">
      <c r="A185" s="8"/>
      <c r="B185" s="10"/>
      <c r="C185" s="8"/>
      <c r="D185" s="8"/>
      <c r="E185" s="8"/>
      <c r="F185" s="8"/>
      <c r="G185" s="13"/>
      <c r="H185" s="13"/>
      <c r="I185" s="13"/>
      <c r="J185" s="14" t="str">
        <f t="shared" si="10"/>
        <v/>
      </c>
      <c r="K185" s="13"/>
      <c r="L185" s="14" t="str">
        <f t="shared" si="11"/>
        <v/>
      </c>
      <c r="M185" s="13"/>
      <c r="N185" s="16" t="str">
        <f t="shared" si="12"/>
        <v/>
      </c>
      <c r="O185" s="13"/>
      <c r="P185" s="13"/>
      <c r="Q185" s="16" t="str">
        <f t="shared" si="13"/>
        <v/>
      </c>
      <c r="R185" s="13"/>
      <c r="S185" s="13"/>
      <c r="T185" s="16" t="str">
        <f t="shared" si="14"/>
        <v/>
      </c>
      <c r="U185" s="15"/>
      <c r="V185" s="15"/>
      <c r="W185" s="15"/>
      <c r="X185" s="8"/>
      <c r="Y185" s="8"/>
      <c r="Z185" s="8"/>
      <c r="AA185" s="9" t="str">
        <f>IF(A185="","",IF(OR(ABS(N185)&gt;Lists!$K$6,ABS(Q185)&gt;Lists!$K$3,ABS(T185)&gt;Lists!$K$4,ABS(U185)&gt;Lists!$K$5),"Failed","Passed"))</f>
        <v/>
      </c>
      <c r="AB185" s="8"/>
      <c r="AC185" s="8"/>
      <c r="AD185" s="8"/>
      <c r="AE185" s="10"/>
      <c r="AF185" s="8"/>
    </row>
    <row r="186" spans="1:32">
      <c r="A186" s="8"/>
      <c r="B186" s="10"/>
      <c r="C186" s="8"/>
      <c r="D186" s="8"/>
      <c r="E186" s="8"/>
      <c r="F186" s="8"/>
      <c r="G186" s="13"/>
      <c r="H186" s="13"/>
      <c r="I186" s="13"/>
      <c r="J186" s="14" t="str">
        <f t="shared" si="10"/>
        <v/>
      </c>
      <c r="K186" s="13"/>
      <c r="L186" s="14" t="str">
        <f t="shared" si="11"/>
        <v/>
      </c>
      <c r="M186" s="13"/>
      <c r="N186" s="16" t="str">
        <f t="shared" si="12"/>
        <v/>
      </c>
      <c r="O186" s="13"/>
      <c r="P186" s="13"/>
      <c r="Q186" s="16" t="str">
        <f t="shared" si="13"/>
        <v/>
      </c>
      <c r="R186" s="13"/>
      <c r="S186" s="13"/>
      <c r="T186" s="16" t="str">
        <f t="shared" si="14"/>
        <v/>
      </c>
      <c r="U186" s="15"/>
      <c r="V186" s="15"/>
      <c r="W186" s="15"/>
      <c r="X186" s="8"/>
      <c r="Y186" s="8"/>
      <c r="Z186" s="8"/>
      <c r="AA186" s="9" t="str">
        <f>IF(A186="","",IF(OR(ABS(N186)&gt;Lists!$K$6,ABS(Q186)&gt;Lists!$K$3,ABS(T186)&gt;Lists!$K$4,ABS(U186)&gt;Lists!$K$5),"Failed","Passed"))</f>
        <v/>
      </c>
      <c r="AB186" s="8"/>
      <c r="AC186" s="8"/>
      <c r="AD186" s="8"/>
      <c r="AE186" s="10"/>
      <c r="AF186" s="8"/>
    </row>
    <row r="187" spans="1:32">
      <c r="A187" s="8"/>
      <c r="B187" s="10"/>
      <c r="C187" s="8"/>
      <c r="D187" s="8"/>
      <c r="E187" s="8"/>
      <c r="F187" s="8"/>
      <c r="G187" s="13"/>
      <c r="H187" s="13"/>
      <c r="I187" s="13"/>
      <c r="J187" s="14" t="str">
        <f t="shared" si="10"/>
        <v/>
      </c>
      <c r="K187" s="13"/>
      <c r="L187" s="14" t="str">
        <f t="shared" si="11"/>
        <v/>
      </c>
      <c r="M187" s="13"/>
      <c r="N187" s="16" t="str">
        <f t="shared" si="12"/>
        <v/>
      </c>
      <c r="O187" s="13"/>
      <c r="P187" s="13"/>
      <c r="Q187" s="16" t="str">
        <f t="shared" si="13"/>
        <v/>
      </c>
      <c r="R187" s="13"/>
      <c r="S187" s="13"/>
      <c r="T187" s="16" t="str">
        <f t="shared" si="14"/>
        <v/>
      </c>
      <c r="U187" s="15"/>
      <c r="V187" s="15"/>
      <c r="W187" s="15"/>
      <c r="X187" s="8"/>
      <c r="Y187" s="8"/>
      <c r="Z187" s="8"/>
      <c r="AA187" s="9" t="str">
        <f>IF(A187="","",IF(OR(ABS(N187)&gt;Lists!$K$6,ABS(Q187)&gt;Lists!$K$3,ABS(T187)&gt;Lists!$K$4,ABS(U187)&gt;Lists!$K$5),"Failed","Passed"))</f>
        <v/>
      </c>
      <c r="AB187" s="8"/>
      <c r="AC187" s="8"/>
      <c r="AD187" s="8"/>
      <c r="AE187" s="10"/>
      <c r="AF187" s="8"/>
    </row>
    <row r="188" spans="1:32">
      <c r="A188" s="8"/>
      <c r="B188" s="10"/>
      <c r="C188" s="8"/>
      <c r="D188" s="8"/>
      <c r="E188" s="8"/>
      <c r="F188" s="8"/>
      <c r="G188" s="13"/>
      <c r="H188" s="13"/>
      <c r="I188" s="13"/>
      <c r="J188" s="14" t="str">
        <f t="shared" si="10"/>
        <v/>
      </c>
      <c r="K188" s="13"/>
      <c r="L188" s="14" t="str">
        <f t="shared" si="11"/>
        <v/>
      </c>
      <c r="M188" s="13"/>
      <c r="N188" s="16" t="str">
        <f t="shared" si="12"/>
        <v/>
      </c>
      <c r="O188" s="13"/>
      <c r="P188" s="13"/>
      <c r="Q188" s="16" t="str">
        <f t="shared" si="13"/>
        <v/>
      </c>
      <c r="R188" s="13"/>
      <c r="S188" s="13"/>
      <c r="T188" s="16" t="str">
        <f t="shared" si="14"/>
        <v/>
      </c>
      <c r="U188" s="15"/>
      <c r="V188" s="15"/>
      <c r="W188" s="15"/>
      <c r="X188" s="8"/>
      <c r="Y188" s="8"/>
      <c r="Z188" s="8"/>
      <c r="AA188" s="9" t="str">
        <f>IF(A188="","",IF(OR(ABS(N188)&gt;Lists!$K$6,ABS(Q188)&gt;Lists!$K$3,ABS(T188)&gt;Lists!$K$4,ABS(U188)&gt;Lists!$K$5),"Failed","Passed"))</f>
        <v/>
      </c>
      <c r="AB188" s="8"/>
      <c r="AC188" s="8"/>
      <c r="AD188" s="8"/>
      <c r="AE188" s="10"/>
      <c r="AF188" s="8"/>
    </row>
    <row r="189" spans="1:32">
      <c r="A189" s="8"/>
      <c r="B189" s="10"/>
      <c r="C189" s="8"/>
      <c r="D189" s="8"/>
      <c r="E189" s="8"/>
      <c r="F189" s="8"/>
      <c r="G189" s="13"/>
      <c r="H189" s="13"/>
      <c r="I189" s="13"/>
      <c r="J189" s="14" t="str">
        <f t="shared" si="10"/>
        <v/>
      </c>
      <c r="K189" s="13"/>
      <c r="L189" s="14" t="str">
        <f t="shared" si="11"/>
        <v/>
      </c>
      <c r="M189" s="13"/>
      <c r="N189" s="16" t="str">
        <f t="shared" si="12"/>
        <v/>
      </c>
      <c r="O189" s="13"/>
      <c r="P189" s="13"/>
      <c r="Q189" s="16" t="str">
        <f t="shared" si="13"/>
        <v/>
      </c>
      <c r="R189" s="13"/>
      <c r="S189" s="13"/>
      <c r="T189" s="16" t="str">
        <f t="shared" si="14"/>
        <v/>
      </c>
      <c r="U189" s="15"/>
      <c r="V189" s="15"/>
      <c r="W189" s="15"/>
      <c r="X189" s="8"/>
      <c r="Y189" s="8"/>
      <c r="Z189" s="8"/>
      <c r="AA189" s="9" t="str">
        <f>IF(A189="","",IF(OR(ABS(N189)&gt;Lists!$K$6,ABS(Q189)&gt;Lists!$K$3,ABS(T189)&gt;Lists!$K$4,ABS(U189)&gt;Lists!$K$5),"Failed","Passed"))</f>
        <v/>
      </c>
      <c r="AB189" s="8"/>
      <c r="AC189" s="8"/>
      <c r="AD189" s="8"/>
      <c r="AE189" s="10"/>
      <c r="AF189" s="8"/>
    </row>
    <row r="190" spans="1:32">
      <c r="A190" s="8"/>
      <c r="B190" s="10"/>
      <c r="C190" s="8"/>
      <c r="D190" s="8"/>
      <c r="E190" s="8"/>
      <c r="F190" s="8"/>
      <c r="G190" s="13"/>
      <c r="H190" s="13"/>
      <c r="I190" s="13"/>
      <c r="J190" s="14" t="str">
        <f t="shared" si="10"/>
        <v/>
      </c>
      <c r="K190" s="13"/>
      <c r="L190" s="14" t="str">
        <f t="shared" si="11"/>
        <v/>
      </c>
      <c r="M190" s="13"/>
      <c r="N190" s="16" t="str">
        <f t="shared" si="12"/>
        <v/>
      </c>
      <c r="O190" s="13"/>
      <c r="P190" s="13"/>
      <c r="Q190" s="16" t="str">
        <f t="shared" si="13"/>
        <v/>
      </c>
      <c r="R190" s="13"/>
      <c r="S190" s="13"/>
      <c r="T190" s="16" t="str">
        <f t="shared" si="14"/>
        <v/>
      </c>
      <c r="U190" s="15"/>
      <c r="V190" s="15"/>
      <c r="W190" s="15"/>
      <c r="X190" s="8"/>
      <c r="Y190" s="8"/>
      <c r="Z190" s="8"/>
      <c r="AA190" s="9" t="str">
        <f>IF(A190="","",IF(OR(ABS(N190)&gt;Lists!$K$6,ABS(Q190)&gt;Lists!$K$3,ABS(T190)&gt;Lists!$K$4,ABS(U190)&gt;Lists!$K$5),"Failed","Passed"))</f>
        <v/>
      </c>
      <c r="AB190" s="8"/>
      <c r="AC190" s="8"/>
      <c r="AD190" s="8"/>
      <c r="AE190" s="10"/>
      <c r="AF190" s="8"/>
    </row>
    <row r="191" spans="1:32">
      <c r="A191" s="8"/>
      <c r="B191" s="10"/>
      <c r="C191" s="8"/>
      <c r="D191" s="8"/>
      <c r="E191" s="8"/>
      <c r="F191" s="8"/>
      <c r="G191" s="13"/>
      <c r="H191" s="13"/>
      <c r="I191" s="13"/>
      <c r="J191" s="14" t="str">
        <f t="shared" si="10"/>
        <v/>
      </c>
      <c r="K191" s="13"/>
      <c r="L191" s="14" t="str">
        <f t="shared" si="11"/>
        <v/>
      </c>
      <c r="M191" s="13"/>
      <c r="N191" s="16" t="str">
        <f t="shared" si="12"/>
        <v/>
      </c>
      <c r="O191" s="13"/>
      <c r="P191" s="13"/>
      <c r="Q191" s="16" t="str">
        <f t="shared" si="13"/>
        <v/>
      </c>
      <c r="R191" s="13"/>
      <c r="S191" s="13"/>
      <c r="T191" s="16" t="str">
        <f t="shared" si="14"/>
        <v/>
      </c>
      <c r="U191" s="15"/>
      <c r="V191" s="15"/>
      <c r="W191" s="15"/>
      <c r="X191" s="8"/>
      <c r="Y191" s="8"/>
      <c r="Z191" s="8"/>
      <c r="AA191" s="9" t="str">
        <f>IF(A191="","",IF(OR(ABS(N191)&gt;Lists!$K$6,ABS(Q191)&gt;Lists!$K$3,ABS(T191)&gt;Lists!$K$4,ABS(U191)&gt;Lists!$K$5),"Failed","Passed"))</f>
        <v/>
      </c>
      <c r="AB191" s="8"/>
      <c r="AC191" s="8"/>
      <c r="AD191" s="8"/>
      <c r="AE191" s="10"/>
      <c r="AF191" s="8"/>
    </row>
    <row r="192" spans="1:32">
      <c r="A192" s="8"/>
      <c r="B192" s="10"/>
      <c r="C192" s="8"/>
      <c r="D192" s="8"/>
      <c r="E192" s="8"/>
      <c r="F192" s="8"/>
      <c r="G192" s="13"/>
      <c r="H192" s="13"/>
      <c r="I192" s="13"/>
      <c r="J192" s="14" t="str">
        <f t="shared" si="10"/>
        <v/>
      </c>
      <c r="K192" s="13"/>
      <c r="L192" s="14" t="str">
        <f t="shared" si="11"/>
        <v/>
      </c>
      <c r="M192" s="13"/>
      <c r="N192" s="16" t="str">
        <f t="shared" si="12"/>
        <v/>
      </c>
      <c r="O192" s="13"/>
      <c r="P192" s="13"/>
      <c r="Q192" s="16" t="str">
        <f t="shared" si="13"/>
        <v/>
      </c>
      <c r="R192" s="13"/>
      <c r="S192" s="13"/>
      <c r="T192" s="16" t="str">
        <f t="shared" si="14"/>
        <v/>
      </c>
      <c r="U192" s="15"/>
      <c r="V192" s="15"/>
      <c r="W192" s="15"/>
      <c r="X192" s="8"/>
      <c r="Y192" s="8"/>
      <c r="Z192" s="8"/>
      <c r="AA192" s="9" t="str">
        <f>IF(A192="","",IF(OR(ABS(N192)&gt;Lists!$K$6,ABS(Q192)&gt;Lists!$K$3,ABS(T192)&gt;Lists!$K$4,ABS(U192)&gt;Lists!$K$5),"Failed","Passed"))</f>
        <v/>
      </c>
      <c r="AB192" s="8"/>
      <c r="AC192" s="8"/>
      <c r="AD192" s="8"/>
      <c r="AE192" s="10"/>
      <c r="AF192" s="8"/>
    </row>
    <row r="193" spans="1:32">
      <c r="A193" s="8"/>
      <c r="B193" s="10"/>
      <c r="C193" s="8"/>
      <c r="D193" s="8"/>
      <c r="E193" s="8"/>
      <c r="F193" s="8"/>
      <c r="G193" s="13"/>
      <c r="H193" s="13"/>
      <c r="I193" s="13"/>
      <c r="J193" s="14" t="str">
        <f t="shared" si="10"/>
        <v/>
      </c>
      <c r="K193" s="13"/>
      <c r="L193" s="14" t="str">
        <f t="shared" si="11"/>
        <v/>
      </c>
      <c r="M193" s="13"/>
      <c r="N193" s="16" t="str">
        <f t="shared" si="12"/>
        <v/>
      </c>
      <c r="O193" s="13"/>
      <c r="P193" s="13"/>
      <c r="Q193" s="16" t="str">
        <f t="shared" si="13"/>
        <v/>
      </c>
      <c r="R193" s="13"/>
      <c r="S193" s="13"/>
      <c r="T193" s="16" t="str">
        <f t="shared" si="14"/>
        <v/>
      </c>
      <c r="U193" s="15"/>
      <c r="V193" s="15"/>
      <c r="W193" s="15"/>
      <c r="X193" s="8"/>
      <c r="Y193" s="8"/>
      <c r="Z193" s="8"/>
      <c r="AA193" s="9" t="str">
        <f>IF(A193="","",IF(OR(ABS(N193)&gt;Lists!$K$6,ABS(Q193)&gt;Lists!$K$3,ABS(T193)&gt;Lists!$K$4,ABS(U193)&gt;Lists!$K$5),"Failed","Passed"))</f>
        <v/>
      </c>
      <c r="AB193" s="8"/>
      <c r="AC193" s="8"/>
      <c r="AD193" s="8"/>
      <c r="AE193" s="10"/>
      <c r="AF193" s="8"/>
    </row>
    <row r="194" spans="1:32">
      <c r="A194" s="8"/>
      <c r="B194" s="10"/>
      <c r="C194" s="8"/>
      <c r="D194" s="8"/>
      <c r="E194" s="8"/>
      <c r="F194" s="8"/>
      <c r="G194" s="13"/>
      <c r="H194" s="13"/>
      <c r="I194" s="13"/>
      <c r="J194" s="14" t="str">
        <f t="shared" si="10"/>
        <v/>
      </c>
      <c r="K194" s="13"/>
      <c r="L194" s="14" t="str">
        <f t="shared" si="11"/>
        <v/>
      </c>
      <c r="M194" s="13"/>
      <c r="N194" s="16" t="str">
        <f t="shared" si="12"/>
        <v/>
      </c>
      <c r="O194" s="13"/>
      <c r="P194" s="13"/>
      <c r="Q194" s="16" t="str">
        <f t="shared" si="13"/>
        <v/>
      </c>
      <c r="R194" s="13"/>
      <c r="S194" s="13"/>
      <c r="T194" s="16" t="str">
        <f t="shared" si="14"/>
        <v/>
      </c>
      <c r="U194" s="15"/>
      <c r="V194" s="15"/>
      <c r="W194" s="15"/>
      <c r="X194" s="8"/>
      <c r="Y194" s="8"/>
      <c r="Z194" s="8"/>
      <c r="AA194" s="9" t="str">
        <f>IF(A194="","",IF(OR(ABS(N194)&gt;Lists!$K$6,ABS(Q194)&gt;Lists!$K$3,ABS(T194)&gt;Lists!$K$4,ABS(U194)&gt;Lists!$K$5),"Failed","Passed"))</f>
        <v/>
      </c>
      <c r="AB194" s="8"/>
      <c r="AC194" s="8"/>
      <c r="AD194" s="8"/>
      <c r="AE194" s="10"/>
      <c r="AF194" s="8"/>
    </row>
    <row r="195" spans="1:32">
      <c r="A195" s="8"/>
      <c r="B195" s="10"/>
      <c r="C195" s="8"/>
      <c r="D195" s="8"/>
      <c r="E195" s="8"/>
      <c r="F195" s="8"/>
      <c r="G195" s="13"/>
      <c r="H195" s="13"/>
      <c r="I195" s="13"/>
      <c r="J195" s="14" t="str">
        <f t="shared" si="10"/>
        <v/>
      </c>
      <c r="K195" s="13"/>
      <c r="L195" s="14" t="str">
        <f t="shared" si="11"/>
        <v/>
      </c>
      <c r="M195" s="13"/>
      <c r="N195" s="16" t="str">
        <f t="shared" si="12"/>
        <v/>
      </c>
      <c r="O195" s="13"/>
      <c r="P195" s="13"/>
      <c r="Q195" s="16" t="str">
        <f t="shared" si="13"/>
        <v/>
      </c>
      <c r="R195" s="13"/>
      <c r="S195" s="13"/>
      <c r="T195" s="16" t="str">
        <f t="shared" si="14"/>
        <v/>
      </c>
      <c r="U195" s="15"/>
      <c r="V195" s="15"/>
      <c r="W195" s="15"/>
      <c r="X195" s="8"/>
      <c r="Y195" s="8"/>
      <c r="Z195" s="8"/>
      <c r="AA195" s="9" t="str">
        <f>IF(A195="","",IF(OR(ABS(N195)&gt;Lists!$K$6,ABS(Q195)&gt;Lists!$K$3,ABS(T195)&gt;Lists!$K$4,ABS(U195)&gt;Lists!$K$5),"Failed","Passed"))</f>
        <v/>
      </c>
      <c r="AB195" s="8"/>
      <c r="AC195" s="8"/>
      <c r="AD195" s="8"/>
      <c r="AE195" s="10"/>
      <c r="AF195" s="8"/>
    </row>
    <row r="196" spans="1:32">
      <c r="A196" s="8"/>
      <c r="B196" s="10"/>
      <c r="C196" s="8"/>
      <c r="D196" s="8"/>
      <c r="E196" s="8"/>
      <c r="F196" s="8"/>
      <c r="G196" s="13"/>
      <c r="H196" s="13"/>
      <c r="I196" s="13"/>
      <c r="J196" s="14" t="str">
        <f t="shared" si="10"/>
        <v/>
      </c>
      <c r="K196" s="13"/>
      <c r="L196" s="14" t="str">
        <f t="shared" si="11"/>
        <v/>
      </c>
      <c r="M196" s="13"/>
      <c r="N196" s="16" t="str">
        <f t="shared" si="12"/>
        <v/>
      </c>
      <c r="O196" s="13"/>
      <c r="P196" s="13"/>
      <c r="Q196" s="16" t="str">
        <f t="shared" si="13"/>
        <v/>
      </c>
      <c r="R196" s="13"/>
      <c r="S196" s="13"/>
      <c r="T196" s="16" t="str">
        <f t="shared" si="14"/>
        <v/>
      </c>
      <c r="U196" s="15"/>
      <c r="V196" s="15"/>
      <c r="W196" s="15"/>
      <c r="X196" s="8"/>
      <c r="Y196" s="8"/>
      <c r="Z196" s="8"/>
      <c r="AA196" s="9" t="str">
        <f>IF(A196="","",IF(OR(ABS(N196)&gt;Lists!$K$6,ABS(Q196)&gt;Lists!$K$3,ABS(T196)&gt;Lists!$K$4,ABS(U196)&gt;Lists!$K$5),"Failed","Passed"))</f>
        <v/>
      </c>
      <c r="AB196" s="8"/>
      <c r="AC196" s="8"/>
      <c r="AD196" s="8"/>
      <c r="AE196" s="10"/>
      <c r="AF196" s="8"/>
    </row>
    <row r="197" spans="1:32">
      <c r="A197" s="8"/>
      <c r="B197" s="10"/>
      <c r="C197" s="8"/>
      <c r="D197" s="8"/>
      <c r="E197" s="8"/>
      <c r="F197" s="8"/>
      <c r="G197" s="13"/>
      <c r="H197" s="13"/>
      <c r="I197" s="13"/>
      <c r="J197" s="14" t="str">
        <f t="shared" ref="J197:J260" si="15">IF(OR(A197="",H197=0),"",I197*10000/H197)</f>
        <v/>
      </c>
      <c r="K197" s="13"/>
      <c r="L197" s="14" t="str">
        <f t="shared" ref="L197:L260" si="16">IF(OR(A197="",H197=0),"",K197*10000/H197)</f>
        <v/>
      </c>
      <c r="M197" s="13"/>
      <c r="N197" s="16" t="str">
        <f t="shared" ref="N197:N260" si="17">IF(OR(A197="",M197=0),"",(L197-M197)/M197)</f>
        <v/>
      </c>
      <c r="O197" s="13"/>
      <c r="P197" s="13"/>
      <c r="Q197" s="16" t="str">
        <f t="shared" ref="Q197:Q260" si="18">IF(OR(A197="",O197=0),"",(O197-P197)/O197)</f>
        <v/>
      </c>
      <c r="R197" s="13"/>
      <c r="S197" s="13"/>
      <c r="T197" s="16" t="str">
        <f t="shared" ref="T197:T260" si="19">IF(OR(A197="",R197=0),"",(R197-S197)/R197)</f>
        <v/>
      </c>
      <c r="U197" s="15"/>
      <c r="V197" s="15"/>
      <c r="W197" s="15"/>
      <c r="X197" s="8"/>
      <c r="Y197" s="8"/>
      <c r="Z197" s="8"/>
      <c r="AA197" s="9" t="str">
        <f>IF(A197="","",IF(OR(ABS(N197)&gt;Lists!$K$6,ABS(Q197)&gt;Lists!$K$3,ABS(T197)&gt;Lists!$K$4,ABS(U197)&gt;Lists!$K$5),"Failed","Passed"))</f>
        <v/>
      </c>
      <c r="AB197" s="8"/>
      <c r="AC197" s="8"/>
      <c r="AD197" s="8"/>
      <c r="AE197" s="10"/>
      <c r="AF197" s="8"/>
    </row>
    <row r="198" spans="1:32">
      <c r="A198" s="8"/>
      <c r="B198" s="10"/>
      <c r="C198" s="8"/>
      <c r="D198" s="8"/>
      <c r="E198" s="8"/>
      <c r="F198" s="8"/>
      <c r="G198" s="13"/>
      <c r="H198" s="13"/>
      <c r="I198" s="13"/>
      <c r="J198" s="14" t="str">
        <f t="shared" si="15"/>
        <v/>
      </c>
      <c r="K198" s="13"/>
      <c r="L198" s="14" t="str">
        <f t="shared" si="16"/>
        <v/>
      </c>
      <c r="M198" s="13"/>
      <c r="N198" s="16" t="str">
        <f t="shared" si="17"/>
        <v/>
      </c>
      <c r="O198" s="13"/>
      <c r="P198" s="13"/>
      <c r="Q198" s="16" t="str">
        <f t="shared" si="18"/>
        <v/>
      </c>
      <c r="R198" s="13"/>
      <c r="S198" s="13"/>
      <c r="T198" s="16" t="str">
        <f t="shared" si="19"/>
        <v/>
      </c>
      <c r="U198" s="15"/>
      <c r="V198" s="15"/>
      <c r="W198" s="15"/>
      <c r="X198" s="8"/>
      <c r="Y198" s="8"/>
      <c r="Z198" s="8"/>
      <c r="AA198" s="9" t="str">
        <f>IF(A198="","",IF(OR(ABS(N198)&gt;Lists!$K$6,ABS(Q198)&gt;Lists!$K$3,ABS(T198)&gt;Lists!$K$4,ABS(U198)&gt;Lists!$K$5),"Failed","Passed"))</f>
        <v/>
      </c>
      <c r="AB198" s="8"/>
      <c r="AC198" s="8"/>
      <c r="AD198" s="8"/>
      <c r="AE198" s="10"/>
      <c r="AF198" s="8"/>
    </row>
    <row r="199" spans="1:32">
      <c r="A199" s="8"/>
      <c r="B199" s="10"/>
      <c r="C199" s="8"/>
      <c r="D199" s="8"/>
      <c r="E199" s="8"/>
      <c r="F199" s="8"/>
      <c r="G199" s="13"/>
      <c r="H199" s="13"/>
      <c r="I199" s="13"/>
      <c r="J199" s="14" t="str">
        <f t="shared" si="15"/>
        <v/>
      </c>
      <c r="K199" s="13"/>
      <c r="L199" s="14" t="str">
        <f t="shared" si="16"/>
        <v/>
      </c>
      <c r="M199" s="13"/>
      <c r="N199" s="16" t="str">
        <f t="shared" si="17"/>
        <v/>
      </c>
      <c r="O199" s="13"/>
      <c r="P199" s="13"/>
      <c r="Q199" s="16" t="str">
        <f t="shared" si="18"/>
        <v/>
      </c>
      <c r="R199" s="13"/>
      <c r="S199" s="13"/>
      <c r="T199" s="16" t="str">
        <f t="shared" si="19"/>
        <v/>
      </c>
      <c r="U199" s="15"/>
      <c r="V199" s="15"/>
      <c r="W199" s="15"/>
      <c r="X199" s="8"/>
      <c r="Y199" s="8"/>
      <c r="Z199" s="8"/>
      <c r="AA199" s="9" t="str">
        <f>IF(A199="","",IF(OR(ABS(N199)&gt;Lists!$K$6,ABS(Q199)&gt;Lists!$K$3,ABS(T199)&gt;Lists!$K$4,ABS(U199)&gt;Lists!$K$5),"Failed","Passed"))</f>
        <v/>
      </c>
      <c r="AB199" s="8"/>
      <c r="AC199" s="8"/>
      <c r="AD199" s="8"/>
      <c r="AE199" s="10"/>
      <c r="AF199" s="8"/>
    </row>
    <row r="200" spans="1:32">
      <c r="A200" s="8"/>
      <c r="B200" s="10"/>
      <c r="C200" s="8"/>
      <c r="D200" s="8"/>
      <c r="E200" s="8"/>
      <c r="F200" s="8"/>
      <c r="G200" s="13"/>
      <c r="H200" s="13"/>
      <c r="I200" s="13"/>
      <c r="J200" s="14" t="str">
        <f t="shared" si="15"/>
        <v/>
      </c>
      <c r="K200" s="13"/>
      <c r="L200" s="14" t="str">
        <f t="shared" si="16"/>
        <v/>
      </c>
      <c r="M200" s="13"/>
      <c r="N200" s="16" t="str">
        <f t="shared" si="17"/>
        <v/>
      </c>
      <c r="O200" s="13"/>
      <c r="P200" s="13"/>
      <c r="Q200" s="16" t="str">
        <f t="shared" si="18"/>
        <v/>
      </c>
      <c r="R200" s="13"/>
      <c r="S200" s="13"/>
      <c r="T200" s="16" t="str">
        <f t="shared" si="19"/>
        <v/>
      </c>
      <c r="U200" s="15"/>
      <c r="V200" s="15"/>
      <c r="W200" s="15"/>
      <c r="X200" s="8"/>
      <c r="Y200" s="8"/>
      <c r="Z200" s="8"/>
      <c r="AA200" s="9" t="str">
        <f>IF(A200="","",IF(OR(ABS(N200)&gt;Lists!$K$6,ABS(Q200)&gt;Lists!$K$3,ABS(T200)&gt;Lists!$K$4,ABS(U200)&gt;Lists!$K$5),"Failed","Passed"))</f>
        <v/>
      </c>
      <c r="AB200" s="8"/>
      <c r="AC200" s="8"/>
      <c r="AD200" s="8"/>
      <c r="AE200" s="10"/>
      <c r="AF200" s="8"/>
    </row>
    <row r="201" spans="1:32">
      <c r="A201" s="8"/>
      <c r="B201" s="10"/>
      <c r="C201" s="8"/>
      <c r="D201" s="8"/>
      <c r="E201" s="8"/>
      <c r="F201" s="8"/>
      <c r="G201" s="13"/>
      <c r="H201" s="13"/>
      <c r="I201" s="13"/>
      <c r="J201" s="14" t="str">
        <f t="shared" si="15"/>
        <v/>
      </c>
      <c r="K201" s="13"/>
      <c r="L201" s="14" t="str">
        <f t="shared" si="16"/>
        <v/>
      </c>
      <c r="M201" s="13"/>
      <c r="N201" s="16" t="str">
        <f t="shared" si="17"/>
        <v/>
      </c>
      <c r="O201" s="13"/>
      <c r="P201" s="13"/>
      <c r="Q201" s="16" t="str">
        <f t="shared" si="18"/>
        <v/>
      </c>
      <c r="R201" s="13"/>
      <c r="S201" s="13"/>
      <c r="T201" s="16" t="str">
        <f t="shared" si="19"/>
        <v/>
      </c>
      <c r="U201" s="15"/>
      <c r="V201" s="15"/>
      <c r="W201" s="15"/>
      <c r="X201" s="8"/>
      <c r="Y201" s="8"/>
      <c r="Z201" s="8"/>
      <c r="AA201" s="9" t="str">
        <f>IF(A201="","",IF(OR(ABS(N201)&gt;Lists!$K$6,ABS(Q201)&gt;Lists!$K$3,ABS(T201)&gt;Lists!$K$4,ABS(U201)&gt;Lists!$K$5),"Failed","Passed"))</f>
        <v/>
      </c>
      <c r="AB201" s="8"/>
      <c r="AC201" s="8"/>
      <c r="AD201" s="8"/>
      <c r="AE201" s="10"/>
      <c r="AF201" s="8"/>
    </row>
    <row r="202" spans="1:32">
      <c r="A202" s="8"/>
      <c r="B202" s="10"/>
      <c r="C202" s="8"/>
      <c r="D202" s="8"/>
      <c r="E202" s="8"/>
      <c r="F202" s="8"/>
      <c r="G202" s="13"/>
      <c r="H202" s="13"/>
      <c r="I202" s="13"/>
      <c r="J202" s="14" t="str">
        <f t="shared" si="15"/>
        <v/>
      </c>
      <c r="K202" s="13"/>
      <c r="L202" s="14" t="str">
        <f t="shared" si="16"/>
        <v/>
      </c>
      <c r="M202" s="13"/>
      <c r="N202" s="16" t="str">
        <f t="shared" si="17"/>
        <v/>
      </c>
      <c r="O202" s="13"/>
      <c r="P202" s="13"/>
      <c r="Q202" s="16" t="str">
        <f t="shared" si="18"/>
        <v/>
      </c>
      <c r="R202" s="13"/>
      <c r="S202" s="13"/>
      <c r="T202" s="16" t="str">
        <f t="shared" si="19"/>
        <v/>
      </c>
      <c r="U202" s="15"/>
      <c r="V202" s="15"/>
      <c r="W202" s="15"/>
      <c r="X202" s="8"/>
      <c r="Y202" s="8"/>
      <c r="Z202" s="8"/>
      <c r="AA202" s="9" t="str">
        <f>IF(A202="","",IF(OR(ABS(N202)&gt;Lists!$K$6,ABS(Q202)&gt;Lists!$K$3,ABS(T202)&gt;Lists!$K$4,ABS(U202)&gt;Lists!$K$5),"Failed","Passed"))</f>
        <v/>
      </c>
      <c r="AB202" s="8"/>
      <c r="AC202" s="8"/>
      <c r="AD202" s="8"/>
      <c r="AE202" s="10"/>
      <c r="AF202" s="8"/>
    </row>
    <row r="203" spans="1:32">
      <c r="A203" s="8"/>
      <c r="B203" s="10"/>
      <c r="C203" s="8"/>
      <c r="D203" s="8"/>
      <c r="E203" s="8"/>
      <c r="F203" s="8"/>
      <c r="G203" s="13"/>
      <c r="H203" s="13"/>
      <c r="I203" s="13"/>
      <c r="J203" s="14" t="str">
        <f t="shared" si="15"/>
        <v/>
      </c>
      <c r="K203" s="13"/>
      <c r="L203" s="14" t="str">
        <f t="shared" si="16"/>
        <v/>
      </c>
      <c r="M203" s="13"/>
      <c r="N203" s="16" t="str">
        <f t="shared" si="17"/>
        <v/>
      </c>
      <c r="O203" s="13"/>
      <c r="P203" s="13"/>
      <c r="Q203" s="16" t="str">
        <f t="shared" si="18"/>
        <v/>
      </c>
      <c r="R203" s="13"/>
      <c r="S203" s="13"/>
      <c r="T203" s="16" t="str">
        <f t="shared" si="19"/>
        <v/>
      </c>
      <c r="U203" s="15"/>
      <c r="V203" s="15"/>
      <c r="W203" s="15"/>
      <c r="X203" s="8"/>
      <c r="Y203" s="8"/>
      <c r="Z203" s="8"/>
      <c r="AA203" s="9" t="str">
        <f>IF(A203="","",IF(OR(ABS(N203)&gt;Lists!$K$6,ABS(Q203)&gt;Lists!$K$3,ABS(T203)&gt;Lists!$K$4,ABS(U203)&gt;Lists!$K$5),"Failed","Passed"))</f>
        <v/>
      </c>
      <c r="AB203" s="8"/>
      <c r="AC203" s="8"/>
      <c r="AD203" s="8"/>
      <c r="AE203" s="10"/>
      <c r="AF203" s="8"/>
    </row>
    <row r="204" spans="1:32">
      <c r="A204" s="8"/>
      <c r="B204" s="10"/>
      <c r="C204" s="8"/>
      <c r="D204" s="8"/>
      <c r="E204" s="8"/>
      <c r="F204" s="8"/>
      <c r="G204" s="13"/>
      <c r="H204" s="13"/>
      <c r="I204" s="13"/>
      <c r="J204" s="14" t="str">
        <f t="shared" si="15"/>
        <v/>
      </c>
      <c r="K204" s="13"/>
      <c r="L204" s="14" t="str">
        <f t="shared" si="16"/>
        <v/>
      </c>
      <c r="M204" s="13"/>
      <c r="N204" s="16" t="str">
        <f t="shared" si="17"/>
        <v/>
      </c>
      <c r="O204" s="13"/>
      <c r="P204" s="13"/>
      <c r="Q204" s="16" t="str">
        <f t="shared" si="18"/>
        <v/>
      </c>
      <c r="R204" s="13"/>
      <c r="S204" s="13"/>
      <c r="T204" s="16" t="str">
        <f t="shared" si="19"/>
        <v/>
      </c>
      <c r="U204" s="15"/>
      <c r="V204" s="15"/>
      <c r="W204" s="15"/>
      <c r="X204" s="8"/>
      <c r="Y204" s="8"/>
      <c r="Z204" s="8"/>
      <c r="AA204" s="9" t="str">
        <f>IF(A204="","",IF(OR(ABS(N204)&gt;Lists!$K$6,ABS(Q204)&gt;Lists!$K$3,ABS(T204)&gt;Lists!$K$4,ABS(U204)&gt;Lists!$K$5),"Failed","Passed"))</f>
        <v/>
      </c>
      <c r="AB204" s="8"/>
      <c r="AC204" s="8"/>
      <c r="AD204" s="8"/>
      <c r="AE204" s="10"/>
      <c r="AF204" s="8"/>
    </row>
    <row r="205" spans="1:32">
      <c r="A205" s="8"/>
      <c r="B205" s="10"/>
      <c r="C205" s="8"/>
      <c r="D205" s="8"/>
      <c r="E205" s="8"/>
      <c r="F205" s="8"/>
      <c r="G205" s="13"/>
      <c r="H205" s="13"/>
      <c r="I205" s="13"/>
      <c r="J205" s="14" t="str">
        <f t="shared" si="15"/>
        <v/>
      </c>
      <c r="K205" s="13"/>
      <c r="L205" s="14" t="str">
        <f t="shared" si="16"/>
        <v/>
      </c>
      <c r="M205" s="13"/>
      <c r="N205" s="16" t="str">
        <f t="shared" si="17"/>
        <v/>
      </c>
      <c r="O205" s="13"/>
      <c r="P205" s="13"/>
      <c r="Q205" s="16" t="str">
        <f t="shared" si="18"/>
        <v/>
      </c>
      <c r="R205" s="13"/>
      <c r="S205" s="13"/>
      <c r="T205" s="16" t="str">
        <f t="shared" si="19"/>
        <v/>
      </c>
      <c r="U205" s="15"/>
      <c r="V205" s="15"/>
      <c r="W205" s="15"/>
      <c r="X205" s="8"/>
      <c r="Y205" s="8"/>
      <c r="Z205" s="8"/>
      <c r="AA205" s="9" t="str">
        <f>IF(A205="","",IF(OR(ABS(N205)&gt;Lists!$K$6,ABS(Q205)&gt;Lists!$K$3,ABS(T205)&gt;Lists!$K$4,ABS(U205)&gt;Lists!$K$5),"Failed","Passed"))</f>
        <v/>
      </c>
      <c r="AB205" s="8"/>
      <c r="AC205" s="8"/>
      <c r="AD205" s="8"/>
      <c r="AE205" s="10"/>
      <c r="AF205" s="8"/>
    </row>
    <row r="206" spans="1:32">
      <c r="A206" s="8"/>
      <c r="B206" s="10"/>
      <c r="C206" s="8"/>
      <c r="D206" s="8"/>
      <c r="E206" s="8"/>
      <c r="F206" s="8"/>
      <c r="G206" s="13"/>
      <c r="H206" s="13"/>
      <c r="I206" s="13"/>
      <c r="J206" s="14" t="str">
        <f t="shared" si="15"/>
        <v/>
      </c>
      <c r="K206" s="13"/>
      <c r="L206" s="14" t="str">
        <f t="shared" si="16"/>
        <v/>
      </c>
      <c r="M206" s="13"/>
      <c r="N206" s="16" t="str">
        <f t="shared" si="17"/>
        <v/>
      </c>
      <c r="O206" s="13"/>
      <c r="P206" s="13"/>
      <c r="Q206" s="16" t="str">
        <f t="shared" si="18"/>
        <v/>
      </c>
      <c r="R206" s="13"/>
      <c r="S206" s="13"/>
      <c r="T206" s="16" t="str">
        <f t="shared" si="19"/>
        <v/>
      </c>
      <c r="U206" s="15"/>
      <c r="V206" s="15"/>
      <c r="W206" s="15"/>
      <c r="X206" s="8"/>
      <c r="Y206" s="8"/>
      <c r="Z206" s="8"/>
      <c r="AA206" s="9" t="str">
        <f>IF(A206="","",IF(OR(ABS(N206)&gt;Lists!$K$6,ABS(Q206)&gt;Lists!$K$3,ABS(T206)&gt;Lists!$K$4,ABS(U206)&gt;Lists!$K$5),"Failed","Passed"))</f>
        <v/>
      </c>
      <c r="AB206" s="8"/>
      <c r="AC206" s="8"/>
      <c r="AD206" s="8"/>
      <c r="AE206" s="10"/>
      <c r="AF206" s="8"/>
    </row>
    <row r="207" spans="1:32">
      <c r="A207" s="8"/>
      <c r="B207" s="10"/>
      <c r="C207" s="8"/>
      <c r="D207" s="8"/>
      <c r="E207" s="8"/>
      <c r="F207" s="8"/>
      <c r="G207" s="13"/>
      <c r="H207" s="13"/>
      <c r="I207" s="13"/>
      <c r="J207" s="14" t="str">
        <f t="shared" si="15"/>
        <v/>
      </c>
      <c r="K207" s="13"/>
      <c r="L207" s="14" t="str">
        <f t="shared" si="16"/>
        <v/>
      </c>
      <c r="M207" s="13"/>
      <c r="N207" s="16" t="str">
        <f t="shared" si="17"/>
        <v/>
      </c>
      <c r="O207" s="13"/>
      <c r="P207" s="13"/>
      <c r="Q207" s="16" t="str">
        <f t="shared" si="18"/>
        <v/>
      </c>
      <c r="R207" s="13"/>
      <c r="S207" s="13"/>
      <c r="T207" s="16" t="str">
        <f t="shared" si="19"/>
        <v/>
      </c>
      <c r="U207" s="15"/>
      <c r="V207" s="15"/>
      <c r="W207" s="15"/>
      <c r="X207" s="8"/>
      <c r="Y207" s="8"/>
      <c r="Z207" s="8"/>
      <c r="AA207" s="9" t="str">
        <f>IF(A207="","",IF(OR(ABS(N207)&gt;Lists!$K$6,ABS(Q207)&gt;Lists!$K$3,ABS(T207)&gt;Lists!$K$4,ABS(U207)&gt;Lists!$K$5),"Failed","Passed"))</f>
        <v/>
      </c>
      <c r="AB207" s="8"/>
      <c r="AC207" s="8"/>
      <c r="AD207" s="8"/>
      <c r="AE207" s="10"/>
      <c r="AF207" s="8"/>
    </row>
    <row r="208" spans="1:32">
      <c r="A208" s="8"/>
      <c r="B208" s="10"/>
      <c r="C208" s="8"/>
      <c r="D208" s="8"/>
      <c r="E208" s="8"/>
      <c r="F208" s="8"/>
      <c r="G208" s="13"/>
      <c r="H208" s="13"/>
      <c r="I208" s="13"/>
      <c r="J208" s="14" t="str">
        <f t="shared" si="15"/>
        <v/>
      </c>
      <c r="K208" s="13"/>
      <c r="L208" s="14" t="str">
        <f t="shared" si="16"/>
        <v/>
      </c>
      <c r="M208" s="13"/>
      <c r="N208" s="16" t="str">
        <f t="shared" si="17"/>
        <v/>
      </c>
      <c r="O208" s="13"/>
      <c r="P208" s="13"/>
      <c r="Q208" s="16" t="str">
        <f t="shared" si="18"/>
        <v/>
      </c>
      <c r="R208" s="13"/>
      <c r="S208" s="13"/>
      <c r="T208" s="16" t="str">
        <f t="shared" si="19"/>
        <v/>
      </c>
      <c r="U208" s="15"/>
      <c r="V208" s="15"/>
      <c r="W208" s="15"/>
      <c r="X208" s="8"/>
      <c r="Y208" s="8"/>
      <c r="Z208" s="8"/>
      <c r="AA208" s="9" t="str">
        <f>IF(A208="","",IF(OR(ABS(N208)&gt;Lists!$K$6,ABS(Q208)&gt;Lists!$K$3,ABS(T208)&gt;Lists!$K$4,ABS(U208)&gt;Lists!$K$5),"Failed","Passed"))</f>
        <v/>
      </c>
      <c r="AB208" s="8"/>
      <c r="AC208" s="8"/>
      <c r="AD208" s="8"/>
      <c r="AE208" s="10"/>
      <c r="AF208" s="8"/>
    </row>
    <row r="209" spans="1:32">
      <c r="A209" s="8"/>
      <c r="B209" s="10"/>
      <c r="C209" s="8"/>
      <c r="D209" s="8"/>
      <c r="E209" s="8"/>
      <c r="F209" s="8"/>
      <c r="G209" s="13"/>
      <c r="H209" s="13"/>
      <c r="I209" s="13"/>
      <c r="J209" s="14" t="str">
        <f t="shared" si="15"/>
        <v/>
      </c>
      <c r="K209" s="13"/>
      <c r="L209" s="14" t="str">
        <f t="shared" si="16"/>
        <v/>
      </c>
      <c r="M209" s="13"/>
      <c r="N209" s="16" t="str">
        <f t="shared" si="17"/>
        <v/>
      </c>
      <c r="O209" s="13"/>
      <c r="P209" s="13"/>
      <c r="Q209" s="16" t="str">
        <f t="shared" si="18"/>
        <v/>
      </c>
      <c r="R209" s="13"/>
      <c r="S209" s="13"/>
      <c r="T209" s="16" t="str">
        <f t="shared" si="19"/>
        <v/>
      </c>
      <c r="U209" s="15"/>
      <c r="V209" s="15"/>
      <c r="W209" s="15"/>
      <c r="X209" s="8"/>
      <c r="Y209" s="8"/>
      <c r="Z209" s="8"/>
      <c r="AA209" s="9" t="str">
        <f>IF(A209="","",IF(OR(ABS(N209)&gt;Lists!$K$6,ABS(Q209)&gt;Lists!$K$3,ABS(T209)&gt;Lists!$K$4,ABS(U209)&gt;Lists!$K$5),"Failed","Passed"))</f>
        <v/>
      </c>
      <c r="AB209" s="8"/>
      <c r="AC209" s="8"/>
      <c r="AD209" s="8"/>
      <c r="AE209" s="10"/>
      <c r="AF209" s="8"/>
    </row>
    <row r="210" spans="1:32">
      <c r="A210" s="8"/>
      <c r="B210" s="10"/>
      <c r="C210" s="8"/>
      <c r="D210" s="8"/>
      <c r="E210" s="8"/>
      <c r="F210" s="8"/>
      <c r="G210" s="13"/>
      <c r="H210" s="13"/>
      <c r="I210" s="13"/>
      <c r="J210" s="14" t="str">
        <f t="shared" si="15"/>
        <v/>
      </c>
      <c r="K210" s="13"/>
      <c r="L210" s="14" t="str">
        <f t="shared" si="16"/>
        <v/>
      </c>
      <c r="M210" s="13"/>
      <c r="N210" s="16" t="str">
        <f t="shared" si="17"/>
        <v/>
      </c>
      <c r="O210" s="13"/>
      <c r="P210" s="13"/>
      <c r="Q210" s="16" t="str">
        <f t="shared" si="18"/>
        <v/>
      </c>
      <c r="R210" s="13"/>
      <c r="S210" s="13"/>
      <c r="T210" s="16" t="str">
        <f t="shared" si="19"/>
        <v/>
      </c>
      <c r="U210" s="15"/>
      <c r="V210" s="15"/>
      <c r="W210" s="15"/>
      <c r="X210" s="8"/>
      <c r="Y210" s="8"/>
      <c r="Z210" s="8"/>
      <c r="AA210" s="9" t="str">
        <f>IF(A210="","",IF(OR(ABS(N210)&gt;Lists!$K$6,ABS(Q210)&gt;Lists!$K$3,ABS(T210)&gt;Lists!$K$4,ABS(U210)&gt;Lists!$K$5),"Failed","Passed"))</f>
        <v/>
      </c>
      <c r="AB210" s="8"/>
      <c r="AC210" s="8"/>
      <c r="AD210" s="8"/>
      <c r="AE210" s="10"/>
      <c r="AF210" s="8"/>
    </row>
    <row r="211" spans="1:32">
      <c r="A211" s="8"/>
      <c r="B211" s="10"/>
      <c r="C211" s="8"/>
      <c r="D211" s="8"/>
      <c r="E211" s="8"/>
      <c r="F211" s="8"/>
      <c r="G211" s="13"/>
      <c r="H211" s="13"/>
      <c r="I211" s="13"/>
      <c r="J211" s="14" t="str">
        <f t="shared" si="15"/>
        <v/>
      </c>
      <c r="K211" s="13"/>
      <c r="L211" s="14" t="str">
        <f t="shared" si="16"/>
        <v/>
      </c>
      <c r="M211" s="13"/>
      <c r="N211" s="16" t="str">
        <f t="shared" si="17"/>
        <v/>
      </c>
      <c r="O211" s="13"/>
      <c r="P211" s="13"/>
      <c r="Q211" s="16" t="str">
        <f t="shared" si="18"/>
        <v/>
      </c>
      <c r="R211" s="13"/>
      <c r="S211" s="13"/>
      <c r="T211" s="16" t="str">
        <f t="shared" si="19"/>
        <v/>
      </c>
      <c r="U211" s="15"/>
      <c r="V211" s="15"/>
      <c r="W211" s="15"/>
      <c r="X211" s="8"/>
      <c r="Y211" s="8"/>
      <c r="Z211" s="8"/>
      <c r="AA211" s="9" t="str">
        <f>IF(A211="","",IF(OR(ABS(N211)&gt;Lists!$K$6,ABS(Q211)&gt;Lists!$K$3,ABS(T211)&gt;Lists!$K$4,ABS(U211)&gt;Lists!$K$5),"Failed","Passed"))</f>
        <v/>
      </c>
      <c r="AB211" s="8"/>
      <c r="AC211" s="8"/>
      <c r="AD211" s="8"/>
      <c r="AE211" s="10"/>
      <c r="AF211" s="8"/>
    </row>
    <row r="212" spans="1:32">
      <c r="A212" s="8"/>
      <c r="B212" s="10"/>
      <c r="C212" s="8"/>
      <c r="D212" s="8"/>
      <c r="E212" s="8"/>
      <c r="F212" s="8"/>
      <c r="G212" s="13"/>
      <c r="H212" s="13"/>
      <c r="I212" s="13"/>
      <c r="J212" s="14" t="str">
        <f t="shared" si="15"/>
        <v/>
      </c>
      <c r="K212" s="13"/>
      <c r="L212" s="14" t="str">
        <f t="shared" si="16"/>
        <v/>
      </c>
      <c r="M212" s="13"/>
      <c r="N212" s="16" t="str">
        <f t="shared" si="17"/>
        <v/>
      </c>
      <c r="O212" s="13"/>
      <c r="P212" s="13"/>
      <c r="Q212" s="16" t="str">
        <f t="shared" si="18"/>
        <v/>
      </c>
      <c r="R212" s="13"/>
      <c r="S212" s="13"/>
      <c r="T212" s="16" t="str">
        <f t="shared" si="19"/>
        <v/>
      </c>
      <c r="U212" s="15"/>
      <c r="V212" s="15"/>
      <c r="W212" s="15"/>
      <c r="X212" s="8"/>
      <c r="Y212" s="8"/>
      <c r="Z212" s="8"/>
      <c r="AA212" s="9" t="str">
        <f>IF(A212="","",IF(OR(ABS(N212)&gt;Lists!$K$6,ABS(Q212)&gt;Lists!$K$3,ABS(T212)&gt;Lists!$K$4,ABS(U212)&gt;Lists!$K$5),"Failed","Passed"))</f>
        <v/>
      </c>
      <c r="AB212" s="8"/>
      <c r="AC212" s="8"/>
      <c r="AD212" s="8"/>
      <c r="AE212" s="10"/>
      <c r="AF212" s="8"/>
    </row>
    <row r="213" spans="1:32">
      <c r="A213" s="8"/>
      <c r="B213" s="10"/>
      <c r="C213" s="8"/>
      <c r="D213" s="8"/>
      <c r="E213" s="8"/>
      <c r="F213" s="8"/>
      <c r="G213" s="13"/>
      <c r="H213" s="13"/>
      <c r="I213" s="13"/>
      <c r="J213" s="14" t="str">
        <f t="shared" si="15"/>
        <v/>
      </c>
      <c r="K213" s="13"/>
      <c r="L213" s="14" t="str">
        <f t="shared" si="16"/>
        <v/>
      </c>
      <c r="M213" s="13"/>
      <c r="N213" s="16" t="str">
        <f t="shared" si="17"/>
        <v/>
      </c>
      <c r="O213" s="13"/>
      <c r="P213" s="13"/>
      <c r="Q213" s="16" t="str">
        <f t="shared" si="18"/>
        <v/>
      </c>
      <c r="R213" s="13"/>
      <c r="S213" s="13"/>
      <c r="T213" s="16" t="str">
        <f t="shared" si="19"/>
        <v/>
      </c>
      <c r="U213" s="15"/>
      <c r="V213" s="15"/>
      <c r="W213" s="15"/>
      <c r="X213" s="8"/>
      <c r="Y213" s="8"/>
      <c r="Z213" s="8"/>
      <c r="AA213" s="9" t="str">
        <f>IF(A213="","",IF(OR(ABS(N213)&gt;Lists!$K$6,ABS(Q213)&gt;Lists!$K$3,ABS(T213)&gt;Lists!$K$4,ABS(U213)&gt;Lists!$K$5),"Failed","Passed"))</f>
        <v/>
      </c>
      <c r="AB213" s="8"/>
      <c r="AC213" s="8"/>
      <c r="AD213" s="8"/>
      <c r="AE213" s="10"/>
      <c r="AF213" s="8"/>
    </row>
    <row r="214" spans="1:32">
      <c r="A214" s="8"/>
      <c r="B214" s="10"/>
      <c r="C214" s="8"/>
      <c r="D214" s="8"/>
      <c r="E214" s="8"/>
      <c r="F214" s="8"/>
      <c r="G214" s="13"/>
      <c r="H214" s="13"/>
      <c r="I214" s="13"/>
      <c r="J214" s="14" t="str">
        <f t="shared" si="15"/>
        <v/>
      </c>
      <c r="K214" s="13"/>
      <c r="L214" s="14" t="str">
        <f t="shared" si="16"/>
        <v/>
      </c>
      <c r="M214" s="13"/>
      <c r="N214" s="16" t="str">
        <f t="shared" si="17"/>
        <v/>
      </c>
      <c r="O214" s="13"/>
      <c r="P214" s="13"/>
      <c r="Q214" s="16" t="str">
        <f t="shared" si="18"/>
        <v/>
      </c>
      <c r="R214" s="13"/>
      <c r="S214" s="13"/>
      <c r="T214" s="16" t="str">
        <f t="shared" si="19"/>
        <v/>
      </c>
      <c r="U214" s="15"/>
      <c r="V214" s="15"/>
      <c r="W214" s="15"/>
      <c r="X214" s="8"/>
      <c r="Y214" s="8"/>
      <c r="Z214" s="8"/>
      <c r="AA214" s="9" t="str">
        <f>IF(A214="","",IF(OR(ABS(N214)&gt;Lists!$K$6,ABS(Q214)&gt;Lists!$K$3,ABS(T214)&gt;Lists!$K$4,ABS(U214)&gt;Lists!$K$5),"Failed","Passed"))</f>
        <v/>
      </c>
      <c r="AB214" s="8"/>
      <c r="AC214" s="8"/>
      <c r="AD214" s="8"/>
      <c r="AE214" s="10"/>
      <c r="AF214" s="8"/>
    </row>
    <row r="215" spans="1:32">
      <c r="A215" s="8"/>
      <c r="B215" s="10"/>
      <c r="C215" s="8"/>
      <c r="D215" s="8"/>
      <c r="E215" s="8"/>
      <c r="F215" s="8"/>
      <c r="G215" s="13"/>
      <c r="H215" s="13"/>
      <c r="I215" s="13"/>
      <c r="J215" s="14" t="str">
        <f t="shared" si="15"/>
        <v/>
      </c>
      <c r="K215" s="13"/>
      <c r="L215" s="14" t="str">
        <f t="shared" si="16"/>
        <v/>
      </c>
      <c r="M215" s="13"/>
      <c r="N215" s="16" t="str">
        <f t="shared" si="17"/>
        <v/>
      </c>
      <c r="O215" s="13"/>
      <c r="P215" s="13"/>
      <c r="Q215" s="16" t="str">
        <f t="shared" si="18"/>
        <v/>
      </c>
      <c r="R215" s="13"/>
      <c r="S215" s="13"/>
      <c r="T215" s="16" t="str">
        <f t="shared" si="19"/>
        <v/>
      </c>
      <c r="U215" s="15"/>
      <c r="V215" s="15"/>
      <c r="W215" s="15"/>
      <c r="X215" s="8"/>
      <c r="Y215" s="8"/>
      <c r="Z215" s="8"/>
      <c r="AA215" s="9" t="str">
        <f>IF(A215="","",IF(OR(ABS(N215)&gt;Lists!$K$6,ABS(Q215)&gt;Lists!$K$3,ABS(T215)&gt;Lists!$K$4,ABS(U215)&gt;Lists!$K$5),"Failed","Passed"))</f>
        <v/>
      </c>
      <c r="AB215" s="8"/>
      <c r="AC215" s="8"/>
      <c r="AD215" s="8"/>
      <c r="AE215" s="10"/>
      <c r="AF215" s="8"/>
    </row>
    <row r="216" spans="1:32">
      <c r="A216" s="8"/>
      <c r="B216" s="10"/>
      <c r="C216" s="8"/>
      <c r="D216" s="8"/>
      <c r="E216" s="8"/>
      <c r="F216" s="8"/>
      <c r="G216" s="13"/>
      <c r="H216" s="13"/>
      <c r="I216" s="13"/>
      <c r="J216" s="14" t="str">
        <f t="shared" si="15"/>
        <v/>
      </c>
      <c r="K216" s="13"/>
      <c r="L216" s="14" t="str">
        <f t="shared" si="16"/>
        <v/>
      </c>
      <c r="M216" s="13"/>
      <c r="N216" s="16" t="str">
        <f t="shared" si="17"/>
        <v/>
      </c>
      <c r="O216" s="13"/>
      <c r="P216" s="13"/>
      <c r="Q216" s="16" t="str">
        <f t="shared" si="18"/>
        <v/>
      </c>
      <c r="R216" s="13"/>
      <c r="S216" s="13"/>
      <c r="T216" s="16" t="str">
        <f t="shared" si="19"/>
        <v/>
      </c>
      <c r="U216" s="15"/>
      <c r="V216" s="15"/>
      <c r="W216" s="15"/>
      <c r="X216" s="8"/>
      <c r="Y216" s="8"/>
      <c r="Z216" s="8"/>
      <c r="AA216" s="9" t="str">
        <f>IF(A216="","",IF(OR(ABS(N216)&gt;Lists!$K$6,ABS(Q216)&gt;Lists!$K$3,ABS(T216)&gt;Lists!$K$4,ABS(U216)&gt;Lists!$K$5),"Failed","Passed"))</f>
        <v/>
      </c>
      <c r="AB216" s="8"/>
      <c r="AC216" s="8"/>
      <c r="AD216" s="8"/>
      <c r="AE216" s="10"/>
      <c r="AF216" s="8"/>
    </row>
    <row r="217" spans="1:32">
      <c r="A217" s="8"/>
      <c r="B217" s="10"/>
      <c r="C217" s="8"/>
      <c r="D217" s="8"/>
      <c r="E217" s="8"/>
      <c r="F217" s="8"/>
      <c r="G217" s="13"/>
      <c r="H217" s="13"/>
      <c r="I217" s="13"/>
      <c r="J217" s="14" t="str">
        <f t="shared" si="15"/>
        <v/>
      </c>
      <c r="K217" s="13"/>
      <c r="L217" s="14" t="str">
        <f t="shared" si="16"/>
        <v/>
      </c>
      <c r="M217" s="13"/>
      <c r="N217" s="16" t="str">
        <f t="shared" si="17"/>
        <v/>
      </c>
      <c r="O217" s="13"/>
      <c r="P217" s="13"/>
      <c r="Q217" s="16" t="str">
        <f t="shared" si="18"/>
        <v/>
      </c>
      <c r="R217" s="13"/>
      <c r="S217" s="13"/>
      <c r="T217" s="16" t="str">
        <f t="shared" si="19"/>
        <v/>
      </c>
      <c r="U217" s="15"/>
      <c r="V217" s="15"/>
      <c r="W217" s="15"/>
      <c r="X217" s="8"/>
      <c r="Y217" s="8"/>
      <c r="Z217" s="8"/>
      <c r="AA217" s="9" t="str">
        <f>IF(A217="","",IF(OR(ABS(N217)&gt;Lists!$K$6,ABS(Q217)&gt;Lists!$K$3,ABS(T217)&gt;Lists!$K$4,ABS(U217)&gt;Lists!$K$5),"Failed","Passed"))</f>
        <v/>
      </c>
      <c r="AB217" s="8"/>
      <c r="AC217" s="8"/>
      <c r="AD217" s="8"/>
      <c r="AE217" s="10"/>
      <c r="AF217" s="8"/>
    </row>
    <row r="218" spans="1:32">
      <c r="A218" s="8"/>
      <c r="B218" s="10"/>
      <c r="C218" s="8"/>
      <c r="D218" s="8"/>
      <c r="E218" s="8"/>
      <c r="F218" s="8"/>
      <c r="G218" s="13"/>
      <c r="H218" s="13"/>
      <c r="I218" s="13"/>
      <c r="J218" s="14" t="str">
        <f t="shared" si="15"/>
        <v/>
      </c>
      <c r="K218" s="13"/>
      <c r="L218" s="14" t="str">
        <f t="shared" si="16"/>
        <v/>
      </c>
      <c r="M218" s="13"/>
      <c r="N218" s="16" t="str">
        <f t="shared" si="17"/>
        <v/>
      </c>
      <c r="O218" s="13"/>
      <c r="P218" s="13"/>
      <c r="Q218" s="16" t="str">
        <f t="shared" si="18"/>
        <v/>
      </c>
      <c r="R218" s="13"/>
      <c r="S218" s="13"/>
      <c r="T218" s="16" t="str">
        <f t="shared" si="19"/>
        <v/>
      </c>
      <c r="U218" s="15"/>
      <c r="V218" s="15"/>
      <c r="W218" s="15"/>
      <c r="X218" s="8"/>
      <c r="Y218" s="8"/>
      <c r="Z218" s="8"/>
      <c r="AA218" s="9" t="str">
        <f>IF(A218="","",IF(OR(ABS(N218)&gt;Lists!$K$6,ABS(Q218)&gt;Lists!$K$3,ABS(T218)&gt;Lists!$K$4,ABS(U218)&gt;Lists!$K$5),"Failed","Passed"))</f>
        <v/>
      </c>
      <c r="AB218" s="8"/>
      <c r="AC218" s="8"/>
      <c r="AD218" s="8"/>
      <c r="AE218" s="10"/>
      <c r="AF218" s="8"/>
    </row>
    <row r="219" spans="1:32">
      <c r="A219" s="8"/>
      <c r="B219" s="10"/>
      <c r="C219" s="8"/>
      <c r="D219" s="8"/>
      <c r="E219" s="8"/>
      <c r="F219" s="8"/>
      <c r="G219" s="13"/>
      <c r="H219" s="13"/>
      <c r="I219" s="13"/>
      <c r="J219" s="14" t="str">
        <f t="shared" si="15"/>
        <v/>
      </c>
      <c r="K219" s="13"/>
      <c r="L219" s="14" t="str">
        <f t="shared" si="16"/>
        <v/>
      </c>
      <c r="M219" s="13"/>
      <c r="N219" s="16" t="str">
        <f t="shared" si="17"/>
        <v/>
      </c>
      <c r="O219" s="13"/>
      <c r="P219" s="13"/>
      <c r="Q219" s="16" t="str">
        <f t="shared" si="18"/>
        <v/>
      </c>
      <c r="R219" s="13"/>
      <c r="S219" s="13"/>
      <c r="T219" s="16" t="str">
        <f t="shared" si="19"/>
        <v/>
      </c>
      <c r="U219" s="15"/>
      <c r="V219" s="15"/>
      <c r="W219" s="15"/>
      <c r="X219" s="8"/>
      <c r="Y219" s="8"/>
      <c r="Z219" s="8"/>
      <c r="AA219" s="9" t="str">
        <f>IF(A219="","",IF(OR(ABS(N219)&gt;Lists!$K$6,ABS(Q219)&gt;Lists!$K$3,ABS(T219)&gt;Lists!$K$4,ABS(U219)&gt;Lists!$K$5),"Failed","Passed"))</f>
        <v/>
      </c>
      <c r="AB219" s="8"/>
      <c r="AC219" s="8"/>
      <c r="AD219" s="8"/>
      <c r="AE219" s="10"/>
      <c r="AF219" s="8"/>
    </row>
    <row r="220" spans="1:32">
      <c r="A220" s="8"/>
      <c r="B220" s="10"/>
      <c r="C220" s="8"/>
      <c r="D220" s="8"/>
      <c r="E220" s="8"/>
      <c r="F220" s="8"/>
      <c r="G220" s="13"/>
      <c r="H220" s="13"/>
      <c r="I220" s="13"/>
      <c r="J220" s="14" t="str">
        <f t="shared" si="15"/>
        <v/>
      </c>
      <c r="K220" s="13"/>
      <c r="L220" s="14" t="str">
        <f t="shared" si="16"/>
        <v/>
      </c>
      <c r="M220" s="13"/>
      <c r="N220" s="16" t="str">
        <f t="shared" si="17"/>
        <v/>
      </c>
      <c r="O220" s="13"/>
      <c r="P220" s="13"/>
      <c r="Q220" s="16" t="str">
        <f t="shared" si="18"/>
        <v/>
      </c>
      <c r="R220" s="13"/>
      <c r="S220" s="13"/>
      <c r="T220" s="16" t="str">
        <f t="shared" si="19"/>
        <v/>
      </c>
      <c r="U220" s="15"/>
      <c r="V220" s="15"/>
      <c r="W220" s="15"/>
      <c r="X220" s="8"/>
      <c r="Y220" s="8"/>
      <c r="Z220" s="8"/>
      <c r="AA220" s="9" t="str">
        <f>IF(A220="","",IF(OR(ABS(N220)&gt;Lists!$K$6,ABS(Q220)&gt;Lists!$K$3,ABS(T220)&gt;Lists!$K$4,ABS(U220)&gt;Lists!$K$5),"Failed","Passed"))</f>
        <v/>
      </c>
      <c r="AB220" s="8"/>
      <c r="AC220" s="8"/>
      <c r="AD220" s="8"/>
      <c r="AE220" s="10"/>
      <c r="AF220" s="8"/>
    </row>
    <row r="221" spans="1:32">
      <c r="A221" s="8"/>
      <c r="B221" s="10"/>
      <c r="C221" s="8"/>
      <c r="D221" s="8"/>
      <c r="E221" s="8"/>
      <c r="F221" s="8"/>
      <c r="G221" s="13"/>
      <c r="H221" s="13"/>
      <c r="I221" s="13"/>
      <c r="J221" s="14" t="str">
        <f t="shared" si="15"/>
        <v/>
      </c>
      <c r="K221" s="13"/>
      <c r="L221" s="14" t="str">
        <f t="shared" si="16"/>
        <v/>
      </c>
      <c r="M221" s="13"/>
      <c r="N221" s="16" t="str">
        <f t="shared" si="17"/>
        <v/>
      </c>
      <c r="O221" s="13"/>
      <c r="P221" s="13"/>
      <c r="Q221" s="16" t="str">
        <f t="shared" si="18"/>
        <v/>
      </c>
      <c r="R221" s="13"/>
      <c r="S221" s="13"/>
      <c r="T221" s="16" t="str">
        <f t="shared" si="19"/>
        <v/>
      </c>
      <c r="U221" s="15"/>
      <c r="V221" s="15"/>
      <c r="W221" s="15"/>
      <c r="X221" s="8"/>
      <c r="Y221" s="8"/>
      <c r="Z221" s="8"/>
      <c r="AA221" s="9" t="str">
        <f>IF(A221="","",IF(OR(ABS(N221)&gt;Lists!$K$6,ABS(Q221)&gt;Lists!$K$3,ABS(T221)&gt;Lists!$K$4,ABS(U221)&gt;Lists!$K$5),"Failed","Passed"))</f>
        <v/>
      </c>
      <c r="AB221" s="8"/>
      <c r="AC221" s="8"/>
      <c r="AD221" s="8"/>
      <c r="AE221" s="10"/>
      <c r="AF221" s="8"/>
    </row>
    <row r="222" spans="1:32">
      <c r="A222" s="8"/>
      <c r="B222" s="10"/>
      <c r="C222" s="8"/>
      <c r="D222" s="8"/>
      <c r="E222" s="8"/>
      <c r="F222" s="8"/>
      <c r="G222" s="13"/>
      <c r="H222" s="13"/>
      <c r="I222" s="13"/>
      <c r="J222" s="14" t="str">
        <f t="shared" si="15"/>
        <v/>
      </c>
      <c r="K222" s="13"/>
      <c r="L222" s="14" t="str">
        <f t="shared" si="16"/>
        <v/>
      </c>
      <c r="M222" s="13"/>
      <c r="N222" s="16" t="str">
        <f t="shared" si="17"/>
        <v/>
      </c>
      <c r="O222" s="13"/>
      <c r="P222" s="13"/>
      <c r="Q222" s="16" t="str">
        <f t="shared" si="18"/>
        <v/>
      </c>
      <c r="R222" s="13"/>
      <c r="S222" s="13"/>
      <c r="T222" s="16" t="str">
        <f t="shared" si="19"/>
        <v/>
      </c>
      <c r="U222" s="15"/>
      <c r="V222" s="15"/>
      <c r="W222" s="15"/>
      <c r="X222" s="8"/>
      <c r="Y222" s="8"/>
      <c r="Z222" s="8"/>
      <c r="AA222" s="9" t="str">
        <f>IF(A222="","",IF(OR(ABS(N222)&gt;Lists!$K$6,ABS(Q222)&gt;Lists!$K$3,ABS(T222)&gt;Lists!$K$4,ABS(U222)&gt;Lists!$K$5),"Failed","Passed"))</f>
        <v/>
      </c>
      <c r="AB222" s="8"/>
      <c r="AC222" s="8"/>
      <c r="AD222" s="8"/>
      <c r="AE222" s="10"/>
      <c r="AF222" s="8"/>
    </row>
    <row r="223" spans="1:32">
      <c r="A223" s="8"/>
      <c r="B223" s="10"/>
      <c r="C223" s="8"/>
      <c r="D223" s="8"/>
      <c r="E223" s="8"/>
      <c r="F223" s="8"/>
      <c r="G223" s="13"/>
      <c r="H223" s="13"/>
      <c r="I223" s="13"/>
      <c r="J223" s="14" t="str">
        <f t="shared" si="15"/>
        <v/>
      </c>
      <c r="K223" s="13"/>
      <c r="L223" s="14" t="str">
        <f t="shared" si="16"/>
        <v/>
      </c>
      <c r="M223" s="13"/>
      <c r="N223" s="16" t="str">
        <f t="shared" si="17"/>
        <v/>
      </c>
      <c r="O223" s="13"/>
      <c r="P223" s="13"/>
      <c r="Q223" s="16" t="str">
        <f t="shared" si="18"/>
        <v/>
      </c>
      <c r="R223" s="13"/>
      <c r="S223" s="13"/>
      <c r="T223" s="16" t="str">
        <f t="shared" si="19"/>
        <v/>
      </c>
      <c r="U223" s="15"/>
      <c r="V223" s="15"/>
      <c r="W223" s="15"/>
      <c r="X223" s="8"/>
      <c r="Y223" s="8"/>
      <c r="Z223" s="8"/>
      <c r="AA223" s="9" t="str">
        <f>IF(A223="","",IF(OR(ABS(N223)&gt;Lists!$K$6,ABS(Q223)&gt;Lists!$K$3,ABS(T223)&gt;Lists!$K$4,ABS(U223)&gt;Lists!$K$5),"Failed","Passed"))</f>
        <v/>
      </c>
      <c r="AB223" s="8"/>
      <c r="AC223" s="8"/>
      <c r="AD223" s="8"/>
      <c r="AE223" s="10"/>
      <c r="AF223" s="8"/>
    </row>
    <row r="224" spans="1:32">
      <c r="A224" s="8"/>
      <c r="B224" s="10"/>
      <c r="C224" s="8"/>
      <c r="D224" s="8"/>
      <c r="E224" s="8"/>
      <c r="F224" s="8"/>
      <c r="G224" s="13"/>
      <c r="H224" s="13"/>
      <c r="I224" s="13"/>
      <c r="J224" s="14" t="str">
        <f t="shared" si="15"/>
        <v/>
      </c>
      <c r="K224" s="13"/>
      <c r="L224" s="14" t="str">
        <f t="shared" si="16"/>
        <v/>
      </c>
      <c r="M224" s="13"/>
      <c r="N224" s="16" t="str">
        <f t="shared" si="17"/>
        <v/>
      </c>
      <c r="O224" s="13"/>
      <c r="P224" s="13"/>
      <c r="Q224" s="16" t="str">
        <f t="shared" si="18"/>
        <v/>
      </c>
      <c r="R224" s="13"/>
      <c r="S224" s="13"/>
      <c r="T224" s="16" t="str">
        <f t="shared" si="19"/>
        <v/>
      </c>
      <c r="U224" s="15"/>
      <c r="V224" s="15"/>
      <c r="W224" s="15"/>
      <c r="X224" s="8"/>
      <c r="Y224" s="8"/>
      <c r="Z224" s="8"/>
      <c r="AA224" s="9" t="str">
        <f>IF(A224="","",IF(OR(ABS(N224)&gt;Lists!$K$6,ABS(Q224)&gt;Lists!$K$3,ABS(T224)&gt;Lists!$K$4,ABS(U224)&gt;Lists!$K$5),"Failed","Passed"))</f>
        <v/>
      </c>
      <c r="AB224" s="8"/>
      <c r="AC224" s="8"/>
      <c r="AD224" s="8"/>
      <c r="AE224" s="10"/>
      <c r="AF224" s="8"/>
    </row>
    <row r="225" spans="1:32">
      <c r="A225" s="8"/>
      <c r="B225" s="10"/>
      <c r="C225" s="8"/>
      <c r="D225" s="8"/>
      <c r="E225" s="8"/>
      <c r="F225" s="8"/>
      <c r="G225" s="13"/>
      <c r="H225" s="13"/>
      <c r="I225" s="13"/>
      <c r="J225" s="14" t="str">
        <f t="shared" si="15"/>
        <v/>
      </c>
      <c r="K225" s="13"/>
      <c r="L225" s="14" t="str">
        <f t="shared" si="16"/>
        <v/>
      </c>
      <c r="M225" s="13"/>
      <c r="N225" s="16" t="str">
        <f t="shared" si="17"/>
        <v/>
      </c>
      <c r="O225" s="13"/>
      <c r="P225" s="13"/>
      <c r="Q225" s="16" t="str">
        <f t="shared" si="18"/>
        <v/>
      </c>
      <c r="R225" s="13"/>
      <c r="S225" s="13"/>
      <c r="T225" s="16" t="str">
        <f t="shared" si="19"/>
        <v/>
      </c>
      <c r="U225" s="15"/>
      <c r="V225" s="15"/>
      <c r="W225" s="15"/>
      <c r="X225" s="8"/>
      <c r="Y225" s="8"/>
      <c r="Z225" s="8"/>
      <c r="AA225" s="9" t="str">
        <f>IF(A225="","",IF(OR(ABS(N225)&gt;Lists!$K$6,ABS(Q225)&gt;Lists!$K$3,ABS(T225)&gt;Lists!$K$4,ABS(U225)&gt;Lists!$K$5),"Failed","Passed"))</f>
        <v/>
      </c>
      <c r="AB225" s="8"/>
      <c r="AC225" s="8"/>
      <c r="AD225" s="8"/>
      <c r="AE225" s="10"/>
      <c r="AF225" s="8"/>
    </row>
    <row r="226" spans="1:32">
      <c r="A226" s="8"/>
      <c r="B226" s="10"/>
      <c r="C226" s="8"/>
      <c r="D226" s="8"/>
      <c r="E226" s="8"/>
      <c r="F226" s="8"/>
      <c r="G226" s="13"/>
      <c r="H226" s="13"/>
      <c r="I226" s="13"/>
      <c r="J226" s="14" t="str">
        <f t="shared" si="15"/>
        <v/>
      </c>
      <c r="K226" s="13"/>
      <c r="L226" s="14" t="str">
        <f t="shared" si="16"/>
        <v/>
      </c>
      <c r="M226" s="13"/>
      <c r="N226" s="16" t="str">
        <f t="shared" si="17"/>
        <v/>
      </c>
      <c r="O226" s="13"/>
      <c r="P226" s="13"/>
      <c r="Q226" s="16" t="str">
        <f t="shared" si="18"/>
        <v/>
      </c>
      <c r="R226" s="13"/>
      <c r="S226" s="13"/>
      <c r="T226" s="16" t="str">
        <f t="shared" si="19"/>
        <v/>
      </c>
      <c r="U226" s="15"/>
      <c r="V226" s="15"/>
      <c r="W226" s="15"/>
      <c r="X226" s="8"/>
      <c r="Y226" s="8"/>
      <c r="Z226" s="8"/>
      <c r="AA226" s="9" t="str">
        <f>IF(A226="","",IF(OR(ABS(N226)&gt;Lists!$K$6,ABS(Q226)&gt;Lists!$K$3,ABS(T226)&gt;Lists!$K$4,ABS(U226)&gt;Lists!$K$5),"Failed","Passed"))</f>
        <v/>
      </c>
      <c r="AB226" s="8"/>
      <c r="AC226" s="8"/>
      <c r="AD226" s="8"/>
      <c r="AE226" s="10"/>
      <c r="AF226" s="8"/>
    </row>
    <row r="227" spans="1:32">
      <c r="A227" s="8"/>
      <c r="B227" s="10"/>
      <c r="C227" s="8"/>
      <c r="D227" s="8"/>
      <c r="E227" s="8"/>
      <c r="F227" s="8"/>
      <c r="G227" s="13"/>
      <c r="H227" s="13"/>
      <c r="I227" s="13"/>
      <c r="J227" s="14" t="str">
        <f t="shared" si="15"/>
        <v/>
      </c>
      <c r="K227" s="13"/>
      <c r="L227" s="14" t="str">
        <f t="shared" si="16"/>
        <v/>
      </c>
      <c r="M227" s="13"/>
      <c r="N227" s="16" t="str">
        <f t="shared" si="17"/>
        <v/>
      </c>
      <c r="O227" s="13"/>
      <c r="P227" s="13"/>
      <c r="Q227" s="16" t="str">
        <f t="shared" si="18"/>
        <v/>
      </c>
      <c r="R227" s="13"/>
      <c r="S227" s="13"/>
      <c r="T227" s="16" t="str">
        <f t="shared" si="19"/>
        <v/>
      </c>
      <c r="U227" s="15"/>
      <c r="V227" s="15"/>
      <c r="W227" s="15"/>
      <c r="X227" s="8"/>
      <c r="Y227" s="8"/>
      <c r="Z227" s="8"/>
      <c r="AA227" s="9" t="str">
        <f>IF(A227="","",IF(OR(ABS(N227)&gt;Lists!$K$6,ABS(Q227)&gt;Lists!$K$3,ABS(T227)&gt;Lists!$K$4,ABS(U227)&gt;Lists!$K$5),"Failed","Passed"))</f>
        <v/>
      </c>
      <c r="AB227" s="8"/>
      <c r="AC227" s="8"/>
      <c r="AD227" s="8"/>
      <c r="AE227" s="10"/>
      <c r="AF227" s="8"/>
    </row>
    <row r="228" spans="1:32">
      <c r="A228" s="8"/>
      <c r="B228" s="10"/>
      <c r="C228" s="8"/>
      <c r="D228" s="8"/>
      <c r="E228" s="8"/>
      <c r="F228" s="8"/>
      <c r="G228" s="13"/>
      <c r="H228" s="13"/>
      <c r="I228" s="13"/>
      <c r="J228" s="14" t="str">
        <f t="shared" si="15"/>
        <v/>
      </c>
      <c r="K228" s="13"/>
      <c r="L228" s="14" t="str">
        <f t="shared" si="16"/>
        <v/>
      </c>
      <c r="M228" s="13"/>
      <c r="N228" s="16" t="str">
        <f t="shared" si="17"/>
        <v/>
      </c>
      <c r="O228" s="13"/>
      <c r="P228" s="13"/>
      <c r="Q228" s="16" t="str">
        <f t="shared" si="18"/>
        <v/>
      </c>
      <c r="R228" s="13"/>
      <c r="S228" s="13"/>
      <c r="T228" s="16" t="str">
        <f t="shared" si="19"/>
        <v/>
      </c>
      <c r="U228" s="15"/>
      <c r="V228" s="15"/>
      <c r="W228" s="15"/>
      <c r="X228" s="8"/>
      <c r="Y228" s="8"/>
      <c r="Z228" s="8"/>
      <c r="AA228" s="9" t="str">
        <f>IF(A228="","",IF(OR(ABS(N228)&gt;Lists!$K$6,ABS(Q228)&gt;Lists!$K$3,ABS(T228)&gt;Lists!$K$4,ABS(U228)&gt;Lists!$K$5),"Failed","Passed"))</f>
        <v/>
      </c>
      <c r="AB228" s="8"/>
      <c r="AC228" s="8"/>
      <c r="AD228" s="8"/>
      <c r="AE228" s="10"/>
      <c r="AF228" s="8"/>
    </row>
    <row r="229" spans="1:32">
      <c r="A229" s="8"/>
      <c r="B229" s="10"/>
      <c r="C229" s="8"/>
      <c r="D229" s="8"/>
      <c r="E229" s="8"/>
      <c r="F229" s="8"/>
      <c r="G229" s="13"/>
      <c r="H229" s="13"/>
      <c r="I229" s="13"/>
      <c r="J229" s="14" t="str">
        <f t="shared" si="15"/>
        <v/>
      </c>
      <c r="K229" s="13"/>
      <c r="L229" s="14" t="str">
        <f t="shared" si="16"/>
        <v/>
      </c>
      <c r="M229" s="13"/>
      <c r="N229" s="16" t="str">
        <f t="shared" si="17"/>
        <v/>
      </c>
      <c r="O229" s="13"/>
      <c r="P229" s="13"/>
      <c r="Q229" s="16" t="str">
        <f t="shared" si="18"/>
        <v/>
      </c>
      <c r="R229" s="13"/>
      <c r="S229" s="13"/>
      <c r="T229" s="16" t="str">
        <f t="shared" si="19"/>
        <v/>
      </c>
      <c r="U229" s="15"/>
      <c r="V229" s="15"/>
      <c r="W229" s="15"/>
      <c r="X229" s="8"/>
      <c r="Y229" s="8"/>
      <c r="Z229" s="8"/>
      <c r="AA229" s="9" t="str">
        <f>IF(A229="","",IF(OR(ABS(N229)&gt;Lists!$K$6,ABS(Q229)&gt;Lists!$K$3,ABS(T229)&gt;Lists!$K$4,ABS(U229)&gt;Lists!$K$5),"Failed","Passed"))</f>
        <v/>
      </c>
      <c r="AB229" s="8"/>
      <c r="AC229" s="8"/>
      <c r="AD229" s="8"/>
      <c r="AE229" s="10"/>
      <c r="AF229" s="8"/>
    </row>
    <row r="230" spans="1:32">
      <c r="A230" s="8"/>
      <c r="B230" s="10"/>
      <c r="C230" s="8"/>
      <c r="D230" s="8"/>
      <c r="E230" s="8"/>
      <c r="F230" s="8"/>
      <c r="G230" s="13"/>
      <c r="H230" s="13"/>
      <c r="I230" s="13"/>
      <c r="J230" s="14" t="str">
        <f t="shared" si="15"/>
        <v/>
      </c>
      <c r="K230" s="13"/>
      <c r="L230" s="14" t="str">
        <f t="shared" si="16"/>
        <v/>
      </c>
      <c r="M230" s="13"/>
      <c r="N230" s="16" t="str">
        <f t="shared" si="17"/>
        <v/>
      </c>
      <c r="O230" s="13"/>
      <c r="P230" s="13"/>
      <c r="Q230" s="16" t="str">
        <f t="shared" si="18"/>
        <v/>
      </c>
      <c r="R230" s="13"/>
      <c r="S230" s="13"/>
      <c r="T230" s="16" t="str">
        <f t="shared" si="19"/>
        <v/>
      </c>
      <c r="U230" s="15"/>
      <c r="V230" s="15"/>
      <c r="W230" s="15"/>
      <c r="X230" s="8"/>
      <c r="Y230" s="8"/>
      <c r="Z230" s="8"/>
      <c r="AA230" s="9" t="str">
        <f>IF(A230="","",IF(OR(ABS(N230)&gt;Lists!$K$6,ABS(Q230)&gt;Lists!$K$3,ABS(T230)&gt;Lists!$K$4,ABS(U230)&gt;Lists!$K$5),"Failed","Passed"))</f>
        <v/>
      </c>
      <c r="AB230" s="8"/>
      <c r="AC230" s="8"/>
      <c r="AD230" s="8"/>
      <c r="AE230" s="10"/>
      <c r="AF230" s="8"/>
    </row>
    <row r="231" spans="1:32">
      <c r="A231" s="8"/>
      <c r="B231" s="10"/>
      <c r="C231" s="8"/>
      <c r="D231" s="8"/>
      <c r="E231" s="8"/>
      <c r="F231" s="8"/>
      <c r="G231" s="13"/>
      <c r="H231" s="13"/>
      <c r="I231" s="13"/>
      <c r="J231" s="14" t="str">
        <f t="shared" si="15"/>
        <v/>
      </c>
      <c r="K231" s="13"/>
      <c r="L231" s="14" t="str">
        <f t="shared" si="16"/>
        <v/>
      </c>
      <c r="M231" s="13"/>
      <c r="N231" s="16" t="str">
        <f t="shared" si="17"/>
        <v/>
      </c>
      <c r="O231" s="13"/>
      <c r="P231" s="13"/>
      <c r="Q231" s="16" t="str">
        <f t="shared" si="18"/>
        <v/>
      </c>
      <c r="R231" s="13"/>
      <c r="S231" s="13"/>
      <c r="T231" s="16" t="str">
        <f t="shared" si="19"/>
        <v/>
      </c>
      <c r="U231" s="15"/>
      <c r="V231" s="15"/>
      <c r="W231" s="15"/>
      <c r="X231" s="8"/>
      <c r="Y231" s="8"/>
      <c r="Z231" s="8"/>
      <c r="AA231" s="9" t="str">
        <f>IF(A231="","",IF(OR(ABS(N231)&gt;Lists!$K$6,ABS(Q231)&gt;Lists!$K$3,ABS(T231)&gt;Lists!$K$4,ABS(U231)&gt;Lists!$K$5),"Failed","Passed"))</f>
        <v/>
      </c>
      <c r="AB231" s="8"/>
      <c r="AC231" s="8"/>
      <c r="AD231" s="8"/>
      <c r="AE231" s="10"/>
      <c r="AF231" s="8"/>
    </row>
    <row r="232" spans="1:32">
      <c r="A232" s="8"/>
      <c r="B232" s="10"/>
      <c r="C232" s="8"/>
      <c r="D232" s="8"/>
      <c r="E232" s="8"/>
      <c r="F232" s="8"/>
      <c r="G232" s="13"/>
      <c r="H232" s="13"/>
      <c r="I232" s="13"/>
      <c r="J232" s="14" t="str">
        <f t="shared" si="15"/>
        <v/>
      </c>
      <c r="K232" s="13"/>
      <c r="L232" s="14" t="str">
        <f t="shared" si="16"/>
        <v/>
      </c>
      <c r="M232" s="13"/>
      <c r="N232" s="16" t="str">
        <f t="shared" si="17"/>
        <v/>
      </c>
      <c r="O232" s="13"/>
      <c r="P232" s="13"/>
      <c r="Q232" s="16" t="str">
        <f t="shared" si="18"/>
        <v/>
      </c>
      <c r="R232" s="13"/>
      <c r="S232" s="13"/>
      <c r="T232" s="16" t="str">
        <f t="shared" si="19"/>
        <v/>
      </c>
      <c r="U232" s="15"/>
      <c r="V232" s="15"/>
      <c r="W232" s="15"/>
      <c r="X232" s="8"/>
      <c r="Y232" s="8"/>
      <c r="Z232" s="8"/>
      <c r="AA232" s="9" t="str">
        <f>IF(A232="","",IF(OR(ABS(N232)&gt;Lists!$K$6,ABS(Q232)&gt;Lists!$K$3,ABS(T232)&gt;Lists!$K$4,ABS(U232)&gt;Lists!$K$5),"Failed","Passed"))</f>
        <v/>
      </c>
      <c r="AB232" s="8"/>
      <c r="AC232" s="8"/>
      <c r="AD232" s="8"/>
      <c r="AE232" s="10"/>
      <c r="AF232" s="8"/>
    </row>
    <row r="233" spans="1:32">
      <c r="A233" s="8"/>
      <c r="B233" s="10"/>
      <c r="C233" s="8"/>
      <c r="D233" s="8"/>
      <c r="E233" s="8"/>
      <c r="F233" s="8"/>
      <c r="G233" s="13"/>
      <c r="H233" s="13"/>
      <c r="I233" s="13"/>
      <c r="J233" s="14" t="str">
        <f t="shared" si="15"/>
        <v/>
      </c>
      <c r="K233" s="13"/>
      <c r="L233" s="14" t="str">
        <f t="shared" si="16"/>
        <v/>
      </c>
      <c r="M233" s="13"/>
      <c r="N233" s="16" t="str">
        <f t="shared" si="17"/>
        <v/>
      </c>
      <c r="O233" s="13"/>
      <c r="P233" s="13"/>
      <c r="Q233" s="16" t="str">
        <f t="shared" si="18"/>
        <v/>
      </c>
      <c r="R233" s="13"/>
      <c r="S233" s="13"/>
      <c r="T233" s="16" t="str">
        <f t="shared" si="19"/>
        <v/>
      </c>
      <c r="U233" s="15"/>
      <c r="V233" s="15"/>
      <c r="W233" s="15"/>
      <c r="X233" s="8"/>
      <c r="Y233" s="8"/>
      <c r="Z233" s="8"/>
      <c r="AA233" s="9" t="str">
        <f>IF(A233="","",IF(OR(ABS(N233)&gt;Lists!$K$6,ABS(Q233)&gt;Lists!$K$3,ABS(T233)&gt;Lists!$K$4,ABS(U233)&gt;Lists!$K$5),"Failed","Passed"))</f>
        <v/>
      </c>
      <c r="AB233" s="8"/>
      <c r="AC233" s="8"/>
      <c r="AD233" s="8"/>
      <c r="AE233" s="10"/>
      <c r="AF233" s="8"/>
    </row>
    <row r="234" spans="1:32">
      <c r="A234" s="8"/>
      <c r="B234" s="10"/>
      <c r="C234" s="8"/>
      <c r="D234" s="8"/>
      <c r="E234" s="8"/>
      <c r="F234" s="8"/>
      <c r="G234" s="13"/>
      <c r="H234" s="13"/>
      <c r="I234" s="13"/>
      <c r="J234" s="14" t="str">
        <f t="shared" si="15"/>
        <v/>
      </c>
      <c r="K234" s="13"/>
      <c r="L234" s="14" t="str">
        <f t="shared" si="16"/>
        <v/>
      </c>
      <c r="M234" s="13"/>
      <c r="N234" s="16" t="str">
        <f t="shared" si="17"/>
        <v/>
      </c>
      <c r="O234" s="13"/>
      <c r="P234" s="13"/>
      <c r="Q234" s="16" t="str">
        <f t="shared" si="18"/>
        <v/>
      </c>
      <c r="R234" s="13"/>
      <c r="S234" s="13"/>
      <c r="T234" s="16" t="str">
        <f t="shared" si="19"/>
        <v/>
      </c>
      <c r="U234" s="15"/>
      <c r="V234" s="15"/>
      <c r="W234" s="15"/>
      <c r="X234" s="8"/>
      <c r="Y234" s="8"/>
      <c r="Z234" s="8"/>
      <c r="AA234" s="9" t="str">
        <f>IF(A234="","",IF(OR(ABS(N234)&gt;Lists!$K$6,ABS(Q234)&gt;Lists!$K$3,ABS(T234)&gt;Lists!$K$4,ABS(U234)&gt;Lists!$K$5),"Failed","Passed"))</f>
        <v/>
      </c>
      <c r="AB234" s="8"/>
      <c r="AC234" s="8"/>
      <c r="AD234" s="8"/>
      <c r="AE234" s="10"/>
      <c r="AF234" s="8"/>
    </row>
    <row r="235" spans="1:32">
      <c r="A235" s="8"/>
      <c r="B235" s="10"/>
      <c r="C235" s="8"/>
      <c r="D235" s="8"/>
      <c r="E235" s="8"/>
      <c r="F235" s="8"/>
      <c r="G235" s="13"/>
      <c r="H235" s="13"/>
      <c r="I235" s="13"/>
      <c r="J235" s="14" t="str">
        <f t="shared" si="15"/>
        <v/>
      </c>
      <c r="K235" s="13"/>
      <c r="L235" s="14" t="str">
        <f t="shared" si="16"/>
        <v/>
      </c>
      <c r="M235" s="13"/>
      <c r="N235" s="16" t="str">
        <f t="shared" si="17"/>
        <v/>
      </c>
      <c r="O235" s="13"/>
      <c r="P235" s="13"/>
      <c r="Q235" s="16" t="str">
        <f t="shared" si="18"/>
        <v/>
      </c>
      <c r="R235" s="13"/>
      <c r="S235" s="13"/>
      <c r="T235" s="16" t="str">
        <f t="shared" si="19"/>
        <v/>
      </c>
      <c r="U235" s="15"/>
      <c r="V235" s="15"/>
      <c r="W235" s="15"/>
      <c r="X235" s="8"/>
      <c r="Y235" s="8"/>
      <c r="Z235" s="8"/>
      <c r="AA235" s="9" t="str">
        <f>IF(A235="","",IF(OR(ABS(N235)&gt;Lists!$K$6,ABS(Q235)&gt;Lists!$K$3,ABS(T235)&gt;Lists!$K$4,ABS(U235)&gt;Lists!$K$5),"Failed","Passed"))</f>
        <v/>
      </c>
      <c r="AB235" s="8"/>
      <c r="AC235" s="8"/>
      <c r="AD235" s="8"/>
      <c r="AE235" s="10"/>
      <c r="AF235" s="8"/>
    </row>
    <row r="236" spans="1:32">
      <c r="A236" s="8"/>
      <c r="B236" s="10"/>
      <c r="C236" s="8"/>
      <c r="D236" s="8"/>
      <c r="E236" s="8"/>
      <c r="F236" s="8"/>
      <c r="G236" s="13"/>
      <c r="H236" s="13"/>
      <c r="I236" s="13"/>
      <c r="J236" s="14" t="str">
        <f t="shared" si="15"/>
        <v/>
      </c>
      <c r="K236" s="13"/>
      <c r="L236" s="14" t="str">
        <f t="shared" si="16"/>
        <v/>
      </c>
      <c r="M236" s="13"/>
      <c r="N236" s="16" t="str">
        <f t="shared" si="17"/>
        <v/>
      </c>
      <c r="O236" s="13"/>
      <c r="P236" s="13"/>
      <c r="Q236" s="16" t="str">
        <f t="shared" si="18"/>
        <v/>
      </c>
      <c r="R236" s="13"/>
      <c r="S236" s="13"/>
      <c r="T236" s="16" t="str">
        <f t="shared" si="19"/>
        <v/>
      </c>
      <c r="U236" s="15"/>
      <c r="V236" s="15"/>
      <c r="W236" s="15"/>
      <c r="X236" s="8"/>
      <c r="Y236" s="8"/>
      <c r="Z236" s="8"/>
      <c r="AA236" s="9" t="str">
        <f>IF(A236="","",IF(OR(ABS(N236)&gt;Lists!$K$6,ABS(Q236)&gt;Lists!$K$3,ABS(T236)&gt;Lists!$K$4,ABS(U236)&gt;Lists!$K$5),"Failed","Passed"))</f>
        <v/>
      </c>
      <c r="AB236" s="8"/>
      <c r="AC236" s="8"/>
      <c r="AD236" s="8"/>
      <c r="AE236" s="10"/>
      <c r="AF236" s="8"/>
    </row>
    <row r="237" spans="1:32">
      <c r="A237" s="8"/>
      <c r="B237" s="10"/>
      <c r="C237" s="8"/>
      <c r="D237" s="8"/>
      <c r="E237" s="8"/>
      <c r="F237" s="8"/>
      <c r="G237" s="13"/>
      <c r="H237" s="13"/>
      <c r="I237" s="13"/>
      <c r="J237" s="14" t="str">
        <f t="shared" si="15"/>
        <v/>
      </c>
      <c r="K237" s="13"/>
      <c r="L237" s="14" t="str">
        <f t="shared" si="16"/>
        <v/>
      </c>
      <c r="M237" s="13"/>
      <c r="N237" s="16" t="str">
        <f t="shared" si="17"/>
        <v/>
      </c>
      <c r="O237" s="13"/>
      <c r="P237" s="13"/>
      <c r="Q237" s="16" t="str">
        <f t="shared" si="18"/>
        <v/>
      </c>
      <c r="R237" s="13"/>
      <c r="S237" s="13"/>
      <c r="T237" s="16" t="str">
        <f t="shared" si="19"/>
        <v/>
      </c>
      <c r="U237" s="15"/>
      <c r="V237" s="15"/>
      <c r="W237" s="15"/>
      <c r="X237" s="8"/>
      <c r="Y237" s="8"/>
      <c r="Z237" s="8"/>
      <c r="AA237" s="9" t="str">
        <f>IF(A237="","",IF(OR(ABS(N237)&gt;Lists!$K$6,ABS(Q237)&gt;Lists!$K$3,ABS(T237)&gt;Lists!$K$4,ABS(U237)&gt;Lists!$K$5),"Failed","Passed"))</f>
        <v/>
      </c>
      <c r="AB237" s="8"/>
      <c r="AC237" s="8"/>
      <c r="AD237" s="8"/>
      <c r="AE237" s="10"/>
      <c r="AF237" s="8"/>
    </row>
    <row r="238" spans="1:32">
      <c r="A238" s="8"/>
      <c r="B238" s="10"/>
      <c r="C238" s="8"/>
      <c r="D238" s="8"/>
      <c r="E238" s="8"/>
      <c r="F238" s="8"/>
      <c r="G238" s="13"/>
      <c r="H238" s="13"/>
      <c r="I238" s="13"/>
      <c r="J238" s="14" t="str">
        <f t="shared" si="15"/>
        <v/>
      </c>
      <c r="K238" s="13"/>
      <c r="L238" s="14" t="str">
        <f t="shared" si="16"/>
        <v/>
      </c>
      <c r="M238" s="13"/>
      <c r="N238" s="16" t="str">
        <f t="shared" si="17"/>
        <v/>
      </c>
      <c r="O238" s="13"/>
      <c r="P238" s="13"/>
      <c r="Q238" s="16" t="str">
        <f t="shared" si="18"/>
        <v/>
      </c>
      <c r="R238" s="13"/>
      <c r="S238" s="13"/>
      <c r="T238" s="16" t="str">
        <f t="shared" si="19"/>
        <v/>
      </c>
      <c r="U238" s="15"/>
      <c r="V238" s="15"/>
      <c r="W238" s="15"/>
      <c r="X238" s="8"/>
      <c r="Y238" s="8"/>
      <c r="Z238" s="8"/>
      <c r="AA238" s="9" t="str">
        <f>IF(A238="","",IF(OR(ABS(N238)&gt;Lists!$K$6,ABS(Q238)&gt;Lists!$K$3,ABS(T238)&gt;Lists!$K$4,ABS(U238)&gt;Lists!$K$5),"Failed","Passed"))</f>
        <v/>
      </c>
      <c r="AB238" s="8"/>
      <c r="AC238" s="8"/>
      <c r="AD238" s="8"/>
      <c r="AE238" s="10"/>
      <c r="AF238" s="8"/>
    </row>
    <row r="239" spans="1:32">
      <c r="A239" s="8"/>
      <c r="B239" s="10"/>
      <c r="C239" s="8"/>
      <c r="D239" s="8"/>
      <c r="E239" s="8"/>
      <c r="F239" s="8"/>
      <c r="G239" s="13"/>
      <c r="H239" s="13"/>
      <c r="I239" s="13"/>
      <c r="J239" s="14" t="str">
        <f t="shared" si="15"/>
        <v/>
      </c>
      <c r="K239" s="13"/>
      <c r="L239" s="14" t="str">
        <f t="shared" si="16"/>
        <v/>
      </c>
      <c r="M239" s="13"/>
      <c r="N239" s="16" t="str">
        <f t="shared" si="17"/>
        <v/>
      </c>
      <c r="O239" s="13"/>
      <c r="P239" s="13"/>
      <c r="Q239" s="16" t="str">
        <f t="shared" si="18"/>
        <v/>
      </c>
      <c r="R239" s="13"/>
      <c r="S239" s="13"/>
      <c r="T239" s="16" t="str">
        <f t="shared" si="19"/>
        <v/>
      </c>
      <c r="U239" s="15"/>
      <c r="V239" s="15"/>
      <c r="W239" s="15"/>
      <c r="X239" s="8"/>
      <c r="Y239" s="8"/>
      <c r="Z239" s="8"/>
      <c r="AA239" s="9" t="str">
        <f>IF(A239="","",IF(OR(ABS(N239)&gt;Lists!$K$6,ABS(Q239)&gt;Lists!$K$3,ABS(T239)&gt;Lists!$K$4,ABS(U239)&gt;Lists!$K$5),"Failed","Passed"))</f>
        <v/>
      </c>
      <c r="AB239" s="8"/>
      <c r="AC239" s="8"/>
      <c r="AD239" s="8"/>
      <c r="AE239" s="10"/>
      <c r="AF239" s="8"/>
    </row>
    <row r="240" spans="1:32">
      <c r="A240" s="8"/>
      <c r="B240" s="10"/>
      <c r="C240" s="8"/>
      <c r="D240" s="8"/>
      <c r="E240" s="8"/>
      <c r="F240" s="8"/>
      <c r="G240" s="13"/>
      <c r="H240" s="13"/>
      <c r="I240" s="13"/>
      <c r="J240" s="14" t="str">
        <f t="shared" si="15"/>
        <v/>
      </c>
      <c r="K240" s="13"/>
      <c r="L240" s="14" t="str">
        <f t="shared" si="16"/>
        <v/>
      </c>
      <c r="M240" s="13"/>
      <c r="N240" s="16" t="str">
        <f t="shared" si="17"/>
        <v/>
      </c>
      <c r="O240" s="13"/>
      <c r="P240" s="13"/>
      <c r="Q240" s="16" t="str">
        <f t="shared" si="18"/>
        <v/>
      </c>
      <c r="R240" s="13"/>
      <c r="S240" s="13"/>
      <c r="T240" s="16" t="str">
        <f t="shared" si="19"/>
        <v/>
      </c>
      <c r="U240" s="15"/>
      <c r="V240" s="15"/>
      <c r="W240" s="15"/>
      <c r="X240" s="8"/>
      <c r="Y240" s="8"/>
      <c r="Z240" s="8"/>
      <c r="AA240" s="9" t="str">
        <f>IF(A240="","",IF(OR(ABS(N240)&gt;Lists!$K$6,ABS(Q240)&gt;Lists!$K$3,ABS(T240)&gt;Lists!$K$4,ABS(U240)&gt;Lists!$K$5),"Failed","Passed"))</f>
        <v/>
      </c>
      <c r="AB240" s="8"/>
      <c r="AC240" s="8"/>
      <c r="AD240" s="8"/>
      <c r="AE240" s="10"/>
      <c r="AF240" s="8"/>
    </row>
    <row r="241" spans="1:32">
      <c r="A241" s="8"/>
      <c r="B241" s="10"/>
      <c r="C241" s="8"/>
      <c r="D241" s="8"/>
      <c r="E241" s="8"/>
      <c r="F241" s="8"/>
      <c r="G241" s="13"/>
      <c r="H241" s="13"/>
      <c r="I241" s="13"/>
      <c r="J241" s="14" t="str">
        <f t="shared" si="15"/>
        <v/>
      </c>
      <c r="K241" s="13"/>
      <c r="L241" s="14" t="str">
        <f t="shared" si="16"/>
        <v/>
      </c>
      <c r="M241" s="13"/>
      <c r="N241" s="16" t="str">
        <f t="shared" si="17"/>
        <v/>
      </c>
      <c r="O241" s="13"/>
      <c r="P241" s="13"/>
      <c r="Q241" s="16" t="str">
        <f t="shared" si="18"/>
        <v/>
      </c>
      <c r="R241" s="13"/>
      <c r="S241" s="13"/>
      <c r="T241" s="16" t="str">
        <f t="shared" si="19"/>
        <v/>
      </c>
      <c r="U241" s="15"/>
      <c r="V241" s="15"/>
      <c r="W241" s="15"/>
      <c r="X241" s="8"/>
      <c r="Y241" s="8"/>
      <c r="Z241" s="8"/>
      <c r="AA241" s="9" t="str">
        <f>IF(A241="","",IF(OR(ABS(N241)&gt;Lists!$K$6,ABS(Q241)&gt;Lists!$K$3,ABS(T241)&gt;Lists!$K$4,ABS(U241)&gt;Lists!$K$5),"Failed","Passed"))</f>
        <v/>
      </c>
      <c r="AB241" s="8"/>
      <c r="AC241" s="8"/>
      <c r="AD241" s="8"/>
      <c r="AE241" s="10"/>
      <c r="AF241" s="8"/>
    </row>
    <row r="242" spans="1:32">
      <c r="A242" s="8"/>
      <c r="B242" s="10"/>
      <c r="C242" s="8"/>
      <c r="D242" s="8"/>
      <c r="E242" s="8"/>
      <c r="F242" s="8"/>
      <c r="G242" s="13"/>
      <c r="H242" s="13"/>
      <c r="I242" s="13"/>
      <c r="J242" s="14" t="str">
        <f t="shared" si="15"/>
        <v/>
      </c>
      <c r="K242" s="13"/>
      <c r="L242" s="14" t="str">
        <f t="shared" si="16"/>
        <v/>
      </c>
      <c r="M242" s="13"/>
      <c r="N242" s="16" t="str">
        <f t="shared" si="17"/>
        <v/>
      </c>
      <c r="O242" s="13"/>
      <c r="P242" s="13"/>
      <c r="Q242" s="16" t="str">
        <f t="shared" si="18"/>
        <v/>
      </c>
      <c r="R242" s="13"/>
      <c r="S242" s="13"/>
      <c r="T242" s="16" t="str">
        <f t="shared" si="19"/>
        <v/>
      </c>
      <c r="U242" s="15"/>
      <c r="V242" s="15"/>
      <c r="W242" s="15"/>
      <c r="X242" s="8"/>
      <c r="Y242" s="8"/>
      <c r="Z242" s="8"/>
      <c r="AA242" s="9" t="str">
        <f>IF(A242="","",IF(OR(ABS(N242)&gt;Lists!$K$6,ABS(Q242)&gt;Lists!$K$3,ABS(T242)&gt;Lists!$K$4,ABS(U242)&gt;Lists!$K$5),"Failed","Passed"))</f>
        <v/>
      </c>
      <c r="AB242" s="8"/>
      <c r="AC242" s="8"/>
      <c r="AD242" s="8"/>
      <c r="AE242" s="10"/>
      <c r="AF242" s="8"/>
    </row>
    <row r="243" spans="1:32">
      <c r="A243" s="8"/>
      <c r="B243" s="10"/>
      <c r="C243" s="8"/>
      <c r="D243" s="8"/>
      <c r="E243" s="8"/>
      <c r="F243" s="8"/>
      <c r="G243" s="13"/>
      <c r="H243" s="13"/>
      <c r="I243" s="13"/>
      <c r="J243" s="14" t="str">
        <f t="shared" si="15"/>
        <v/>
      </c>
      <c r="K243" s="13"/>
      <c r="L243" s="14" t="str">
        <f t="shared" si="16"/>
        <v/>
      </c>
      <c r="M243" s="13"/>
      <c r="N243" s="16" t="str">
        <f t="shared" si="17"/>
        <v/>
      </c>
      <c r="O243" s="13"/>
      <c r="P243" s="13"/>
      <c r="Q243" s="16" t="str">
        <f t="shared" si="18"/>
        <v/>
      </c>
      <c r="R243" s="13"/>
      <c r="S243" s="13"/>
      <c r="T243" s="16" t="str">
        <f t="shared" si="19"/>
        <v/>
      </c>
      <c r="U243" s="15"/>
      <c r="V243" s="15"/>
      <c r="W243" s="15"/>
      <c r="X243" s="8"/>
      <c r="Y243" s="8"/>
      <c r="Z243" s="8"/>
      <c r="AA243" s="9" t="str">
        <f>IF(A243="","",IF(OR(ABS(N243)&gt;Lists!$K$6,ABS(Q243)&gt;Lists!$K$3,ABS(T243)&gt;Lists!$K$4,ABS(U243)&gt;Lists!$K$5),"Failed","Passed"))</f>
        <v/>
      </c>
      <c r="AB243" s="8"/>
      <c r="AC243" s="8"/>
      <c r="AD243" s="8"/>
      <c r="AE243" s="10"/>
      <c r="AF243" s="8"/>
    </row>
    <row r="244" spans="1:32">
      <c r="A244" s="8"/>
      <c r="B244" s="10"/>
      <c r="C244" s="8"/>
      <c r="D244" s="8"/>
      <c r="E244" s="8"/>
      <c r="F244" s="8"/>
      <c r="G244" s="13"/>
      <c r="H244" s="13"/>
      <c r="I244" s="13"/>
      <c r="J244" s="14" t="str">
        <f t="shared" si="15"/>
        <v/>
      </c>
      <c r="K244" s="13"/>
      <c r="L244" s="14" t="str">
        <f t="shared" si="16"/>
        <v/>
      </c>
      <c r="M244" s="13"/>
      <c r="N244" s="16" t="str">
        <f t="shared" si="17"/>
        <v/>
      </c>
      <c r="O244" s="13"/>
      <c r="P244" s="13"/>
      <c r="Q244" s="16" t="str">
        <f t="shared" si="18"/>
        <v/>
      </c>
      <c r="R244" s="13"/>
      <c r="S244" s="13"/>
      <c r="T244" s="16" t="str">
        <f t="shared" si="19"/>
        <v/>
      </c>
      <c r="U244" s="15"/>
      <c r="V244" s="15"/>
      <c r="W244" s="15"/>
      <c r="X244" s="8"/>
      <c r="Y244" s="8"/>
      <c r="Z244" s="8"/>
      <c r="AA244" s="9" t="str">
        <f>IF(A244="","",IF(OR(ABS(N244)&gt;Lists!$K$6,ABS(Q244)&gt;Lists!$K$3,ABS(T244)&gt;Lists!$K$4,ABS(U244)&gt;Lists!$K$5),"Failed","Passed"))</f>
        <v/>
      </c>
      <c r="AB244" s="8"/>
      <c r="AC244" s="8"/>
      <c r="AD244" s="8"/>
      <c r="AE244" s="10"/>
      <c r="AF244" s="8"/>
    </row>
    <row r="245" spans="1:32">
      <c r="A245" s="8"/>
      <c r="B245" s="10"/>
      <c r="C245" s="8"/>
      <c r="D245" s="8"/>
      <c r="E245" s="8"/>
      <c r="F245" s="8"/>
      <c r="G245" s="13"/>
      <c r="H245" s="13"/>
      <c r="I245" s="13"/>
      <c r="J245" s="14" t="str">
        <f t="shared" si="15"/>
        <v/>
      </c>
      <c r="K245" s="13"/>
      <c r="L245" s="14" t="str">
        <f t="shared" si="16"/>
        <v/>
      </c>
      <c r="M245" s="13"/>
      <c r="N245" s="16" t="str">
        <f t="shared" si="17"/>
        <v/>
      </c>
      <c r="O245" s="13"/>
      <c r="P245" s="13"/>
      <c r="Q245" s="16" t="str">
        <f t="shared" si="18"/>
        <v/>
      </c>
      <c r="R245" s="13"/>
      <c r="S245" s="13"/>
      <c r="T245" s="16" t="str">
        <f t="shared" si="19"/>
        <v/>
      </c>
      <c r="U245" s="15"/>
      <c r="V245" s="15"/>
      <c r="W245" s="15"/>
      <c r="X245" s="8"/>
      <c r="Y245" s="8"/>
      <c r="Z245" s="8"/>
      <c r="AA245" s="9" t="str">
        <f>IF(A245="","",IF(OR(ABS(N245)&gt;Lists!$K$6,ABS(Q245)&gt;Lists!$K$3,ABS(T245)&gt;Lists!$K$4,ABS(U245)&gt;Lists!$K$5),"Failed","Passed"))</f>
        <v/>
      </c>
      <c r="AB245" s="8"/>
      <c r="AC245" s="8"/>
      <c r="AD245" s="8"/>
      <c r="AE245" s="10"/>
      <c r="AF245" s="8"/>
    </row>
    <row r="246" spans="1:32">
      <c r="A246" s="8"/>
      <c r="B246" s="10"/>
      <c r="C246" s="8"/>
      <c r="D246" s="8"/>
      <c r="E246" s="8"/>
      <c r="F246" s="8"/>
      <c r="G246" s="13"/>
      <c r="H246" s="13"/>
      <c r="I246" s="13"/>
      <c r="J246" s="14" t="str">
        <f t="shared" si="15"/>
        <v/>
      </c>
      <c r="K246" s="13"/>
      <c r="L246" s="14" t="str">
        <f t="shared" si="16"/>
        <v/>
      </c>
      <c r="M246" s="13"/>
      <c r="N246" s="16" t="str">
        <f t="shared" si="17"/>
        <v/>
      </c>
      <c r="O246" s="13"/>
      <c r="P246" s="13"/>
      <c r="Q246" s="16" t="str">
        <f t="shared" si="18"/>
        <v/>
      </c>
      <c r="R246" s="13"/>
      <c r="S246" s="13"/>
      <c r="T246" s="16" t="str">
        <f t="shared" si="19"/>
        <v/>
      </c>
      <c r="U246" s="15"/>
      <c r="V246" s="15"/>
      <c r="W246" s="15"/>
      <c r="X246" s="8"/>
      <c r="Y246" s="8"/>
      <c r="Z246" s="8"/>
      <c r="AA246" s="9" t="str">
        <f>IF(A246="","",IF(OR(ABS(N246)&gt;Lists!$K$6,ABS(Q246)&gt;Lists!$K$3,ABS(T246)&gt;Lists!$K$4,ABS(U246)&gt;Lists!$K$5),"Failed","Passed"))</f>
        <v/>
      </c>
      <c r="AB246" s="8"/>
      <c r="AC246" s="8"/>
      <c r="AD246" s="8"/>
      <c r="AE246" s="10"/>
      <c r="AF246" s="8"/>
    </row>
    <row r="247" spans="1:32">
      <c r="A247" s="8"/>
      <c r="B247" s="10"/>
      <c r="C247" s="8"/>
      <c r="D247" s="8"/>
      <c r="E247" s="8"/>
      <c r="F247" s="8"/>
      <c r="G247" s="13"/>
      <c r="H247" s="13"/>
      <c r="I247" s="13"/>
      <c r="J247" s="14" t="str">
        <f t="shared" si="15"/>
        <v/>
      </c>
      <c r="K247" s="13"/>
      <c r="L247" s="14" t="str">
        <f t="shared" si="16"/>
        <v/>
      </c>
      <c r="M247" s="13"/>
      <c r="N247" s="16" t="str">
        <f t="shared" si="17"/>
        <v/>
      </c>
      <c r="O247" s="13"/>
      <c r="P247" s="13"/>
      <c r="Q247" s="16" t="str">
        <f t="shared" si="18"/>
        <v/>
      </c>
      <c r="R247" s="13"/>
      <c r="S247" s="13"/>
      <c r="T247" s="16" t="str">
        <f t="shared" si="19"/>
        <v/>
      </c>
      <c r="U247" s="15"/>
      <c r="V247" s="15"/>
      <c r="W247" s="15"/>
      <c r="X247" s="8"/>
      <c r="Y247" s="8"/>
      <c r="Z247" s="8"/>
      <c r="AA247" s="9" t="str">
        <f>IF(A247="","",IF(OR(ABS(N247)&gt;Lists!$K$6,ABS(Q247)&gt;Lists!$K$3,ABS(T247)&gt;Lists!$K$4,ABS(U247)&gt;Lists!$K$5),"Failed","Passed"))</f>
        <v/>
      </c>
      <c r="AB247" s="8"/>
      <c r="AC247" s="8"/>
      <c r="AD247" s="8"/>
      <c r="AE247" s="10"/>
      <c r="AF247" s="8"/>
    </row>
    <row r="248" spans="1:32">
      <c r="A248" s="8"/>
      <c r="B248" s="10"/>
      <c r="C248" s="8"/>
      <c r="D248" s="8"/>
      <c r="E248" s="8"/>
      <c r="F248" s="8"/>
      <c r="G248" s="13"/>
      <c r="H248" s="13"/>
      <c r="I248" s="13"/>
      <c r="J248" s="14" t="str">
        <f t="shared" si="15"/>
        <v/>
      </c>
      <c r="K248" s="13"/>
      <c r="L248" s="14" t="str">
        <f t="shared" si="16"/>
        <v/>
      </c>
      <c r="M248" s="13"/>
      <c r="N248" s="16" t="str">
        <f t="shared" si="17"/>
        <v/>
      </c>
      <c r="O248" s="13"/>
      <c r="P248" s="13"/>
      <c r="Q248" s="16" t="str">
        <f t="shared" si="18"/>
        <v/>
      </c>
      <c r="R248" s="13"/>
      <c r="S248" s="13"/>
      <c r="T248" s="16" t="str">
        <f t="shared" si="19"/>
        <v/>
      </c>
      <c r="U248" s="15"/>
      <c r="V248" s="15"/>
      <c r="W248" s="15"/>
      <c r="X248" s="8"/>
      <c r="Y248" s="8"/>
      <c r="Z248" s="8"/>
      <c r="AA248" s="9" t="str">
        <f>IF(A248="","",IF(OR(ABS(N248)&gt;Lists!$K$6,ABS(Q248)&gt;Lists!$K$3,ABS(T248)&gt;Lists!$K$4,ABS(U248)&gt;Lists!$K$5),"Failed","Passed"))</f>
        <v/>
      </c>
      <c r="AB248" s="8"/>
      <c r="AC248" s="8"/>
      <c r="AD248" s="8"/>
      <c r="AE248" s="10"/>
      <c r="AF248" s="8"/>
    </row>
    <row r="249" spans="1:32">
      <c r="A249" s="8"/>
      <c r="B249" s="10"/>
      <c r="C249" s="8"/>
      <c r="D249" s="8"/>
      <c r="E249" s="8"/>
      <c r="F249" s="8"/>
      <c r="G249" s="13"/>
      <c r="H249" s="13"/>
      <c r="I249" s="13"/>
      <c r="J249" s="14" t="str">
        <f t="shared" si="15"/>
        <v/>
      </c>
      <c r="K249" s="13"/>
      <c r="L249" s="14" t="str">
        <f t="shared" si="16"/>
        <v/>
      </c>
      <c r="M249" s="13"/>
      <c r="N249" s="16" t="str">
        <f t="shared" si="17"/>
        <v/>
      </c>
      <c r="O249" s="13"/>
      <c r="P249" s="13"/>
      <c r="Q249" s="16" t="str">
        <f t="shared" si="18"/>
        <v/>
      </c>
      <c r="R249" s="13"/>
      <c r="S249" s="13"/>
      <c r="T249" s="16" t="str">
        <f t="shared" si="19"/>
        <v/>
      </c>
      <c r="U249" s="15"/>
      <c r="V249" s="15"/>
      <c r="W249" s="15"/>
      <c r="X249" s="8"/>
      <c r="Y249" s="8"/>
      <c r="Z249" s="8"/>
      <c r="AA249" s="9" t="str">
        <f>IF(A249="","",IF(OR(ABS(N249)&gt;Lists!$K$6,ABS(Q249)&gt;Lists!$K$3,ABS(T249)&gt;Lists!$K$4,ABS(U249)&gt;Lists!$K$5),"Failed","Passed"))</f>
        <v/>
      </c>
      <c r="AB249" s="8"/>
      <c r="AC249" s="8"/>
      <c r="AD249" s="8"/>
      <c r="AE249" s="10"/>
      <c r="AF249" s="8"/>
    </row>
    <row r="250" spans="1:32">
      <c r="A250" s="8"/>
      <c r="B250" s="10"/>
      <c r="C250" s="8"/>
      <c r="D250" s="8"/>
      <c r="E250" s="8"/>
      <c r="F250" s="8"/>
      <c r="G250" s="13"/>
      <c r="H250" s="13"/>
      <c r="I250" s="13"/>
      <c r="J250" s="14" t="str">
        <f t="shared" si="15"/>
        <v/>
      </c>
      <c r="K250" s="13"/>
      <c r="L250" s="14" t="str">
        <f t="shared" si="16"/>
        <v/>
      </c>
      <c r="M250" s="13"/>
      <c r="N250" s="16" t="str">
        <f t="shared" si="17"/>
        <v/>
      </c>
      <c r="O250" s="13"/>
      <c r="P250" s="13"/>
      <c r="Q250" s="16" t="str">
        <f t="shared" si="18"/>
        <v/>
      </c>
      <c r="R250" s="13"/>
      <c r="S250" s="13"/>
      <c r="T250" s="16" t="str">
        <f t="shared" si="19"/>
        <v/>
      </c>
      <c r="U250" s="15"/>
      <c r="V250" s="15"/>
      <c r="W250" s="15"/>
      <c r="X250" s="8"/>
      <c r="Y250" s="8"/>
      <c r="Z250" s="8"/>
      <c r="AA250" s="9" t="str">
        <f>IF(A250="","",IF(OR(ABS(N250)&gt;Lists!$K$6,ABS(Q250)&gt;Lists!$K$3,ABS(T250)&gt;Lists!$K$4,ABS(U250)&gt;Lists!$K$5),"Failed","Passed"))</f>
        <v/>
      </c>
      <c r="AB250" s="8"/>
      <c r="AC250" s="8"/>
      <c r="AD250" s="8"/>
      <c r="AE250" s="10"/>
      <c r="AF250" s="8"/>
    </row>
    <row r="251" spans="1:32">
      <c r="A251" s="8"/>
      <c r="B251" s="10"/>
      <c r="C251" s="8"/>
      <c r="D251" s="8"/>
      <c r="E251" s="8"/>
      <c r="F251" s="8"/>
      <c r="G251" s="13"/>
      <c r="H251" s="13"/>
      <c r="I251" s="13"/>
      <c r="J251" s="14" t="str">
        <f t="shared" si="15"/>
        <v/>
      </c>
      <c r="K251" s="13"/>
      <c r="L251" s="14" t="str">
        <f t="shared" si="16"/>
        <v/>
      </c>
      <c r="M251" s="13"/>
      <c r="N251" s="16" t="str">
        <f t="shared" si="17"/>
        <v/>
      </c>
      <c r="O251" s="13"/>
      <c r="P251" s="13"/>
      <c r="Q251" s="16" t="str">
        <f t="shared" si="18"/>
        <v/>
      </c>
      <c r="R251" s="13"/>
      <c r="S251" s="13"/>
      <c r="T251" s="16" t="str">
        <f t="shared" si="19"/>
        <v/>
      </c>
      <c r="U251" s="15"/>
      <c r="V251" s="15"/>
      <c r="W251" s="15"/>
      <c r="X251" s="8"/>
      <c r="Y251" s="8"/>
      <c r="Z251" s="8"/>
      <c r="AA251" s="9" t="str">
        <f>IF(A251="","",IF(OR(ABS(N251)&gt;Lists!$K$6,ABS(Q251)&gt;Lists!$K$3,ABS(T251)&gt;Lists!$K$4,ABS(U251)&gt;Lists!$K$5),"Failed","Passed"))</f>
        <v/>
      </c>
      <c r="AB251" s="8"/>
      <c r="AC251" s="8"/>
      <c r="AD251" s="8"/>
      <c r="AE251" s="10"/>
      <c r="AF251" s="8"/>
    </row>
    <row r="252" spans="1:32">
      <c r="A252" s="8"/>
      <c r="B252" s="10"/>
      <c r="C252" s="8"/>
      <c r="D252" s="8"/>
      <c r="E252" s="8"/>
      <c r="F252" s="8"/>
      <c r="G252" s="13"/>
      <c r="H252" s="13"/>
      <c r="I252" s="13"/>
      <c r="J252" s="14" t="str">
        <f t="shared" si="15"/>
        <v/>
      </c>
      <c r="K252" s="13"/>
      <c r="L252" s="14" t="str">
        <f t="shared" si="16"/>
        <v/>
      </c>
      <c r="M252" s="13"/>
      <c r="N252" s="16" t="str">
        <f t="shared" si="17"/>
        <v/>
      </c>
      <c r="O252" s="13"/>
      <c r="P252" s="13"/>
      <c r="Q252" s="16" t="str">
        <f t="shared" si="18"/>
        <v/>
      </c>
      <c r="R252" s="13"/>
      <c r="S252" s="13"/>
      <c r="T252" s="16" t="str">
        <f t="shared" si="19"/>
        <v/>
      </c>
      <c r="U252" s="15"/>
      <c r="V252" s="15"/>
      <c r="W252" s="15"/>
      <c r="X252" s="8"/>
      <c r="Y252" s="8"/>
      <c r="Z252" s="8"/>
      <c r="AA252" s="9" t="str">
        <f>IF(A252="","",IF(OR(ABS(N252)&gt;Lists!$K$6,ABS(Q252)&gt;Lists!$K$3,ABS(T252)&gt;Lists!$K$4,ABS(U252)&gt;Lists!$K$5),"Failed","Passed"))</f>
        <v/>
      </c>
      <c r="AB252" s="8"/>
      <c r="AC252" s="8"/>
      <c r="AD252" s="8"/>
      <c r="AE252" s="10"/>
      <c r="AF252" s="8"/>
    </row>
    <row r="253" spans="1:32">
      <c r="A253" s="8"/>
      <c r="B253" s="10"/>
      <c r="C253" s="8"/>
      <c r="D253" s="8"/>
      <c r="E253" s="8"/>
      <c r="F253" s="8"/>
      <c r="G253" s="13"/>
      <c r="H253" s="13"/>
      <c r="I253" s="13"/>
      <c r="J253" s="14" t="str">
        <f t="shared" si="15"/>
        <v/>
      </c>
      <c r="K253" s="13"/>
      <c r="L253" s="14" t="str">
        <f t="shared" si="16"/>
        <v/>
      </c>
      <c r="M253" s="13"/>
      <c r="N253" s="16" t="str">
        <f t="shared" si="17"/>
        <v/>
      </c>
      <c r="O253" s="13"/>
      <c r="P253" s="13"/>
      <c r="Q253" s="16" t="str">
        <f t="shared" si="18"/>
        <v/>
      </c>
      <c r="R253" s="13"/>
      <c r="S253" s="13"/>
      <c r="T253" s="16" t="str">
        <f t="shared" si="19"/>
        <v/>
      </c>
      <c r="U253" s="15"/>
      <c r="V253" s="15"/>
      <c r="W253" s="15"/>
      <c r="X253" s="8"/>
      <c r="Y253" s="8"/>
      <c r="Z253" s="8"/>
      <c r="AA253" s="9" t="str">
        <f>IF(A253="","",IF(OR(ABS(N253)&gt;Lists!$K$6,ABS(Q253)&gt;Lists!$K$3,ABS(T253)&gt;Lists!$K$4,ABS(U253)&gt;Lists!$K$5),"Failed","Passed"))</f>
        <v/>
      </c>
      <c r="AB253" s="8"/>
      <c r="AC253" s="8"/>
      <c r="AD253" s="8"/>
      <c r="AE253" s="10"/>
      <c r="AF253" s="8"/>
    </row>
    <row r="254" spans="1:32">
      <c r="A254" s="8"/>
      <c r="B254" s="10"/>
      <c r="C254" s="8"/>
      <c r="D254" s="8"/>
      <c r="E254" s="8"/>
      <c r="F254" s="8"/>
      <c r="G254" s="13"/>
      <c r="H254" s="13"/>
      <c r="I254" s="13"/>
      <c r="J254" s="14" t="str">
        <f t="shared" si="15"/>
        <v/>
      </c>
      <c r="K254" s="13"/>
      <c r="L254" s="14" t="str">
        <f t="shared" si="16"/>
        <v/>
      </c>
      <c r="M254" s="13"/>
      <c r="N254" s="16" t="str">
        <f t="shared" si="17"/>
        <v/>
      </c>
      <c r="O254" s="13"/>
      <c r="P254" s="13"/>
      <c r="Q254" s="16" t="str">
        <f t="shared" si="18"/>
        <v/>
      </c>
      <c r="R254" s="13"/>
      <c r="S254" s="13"/>
      <c r="T254" s="16" t="str">
        <f t="shared" si="19"/>
        <v/>
      </c>
      <c r="U254" s="15"/>
      <c r="V254" s="15"/>
      <c r="W254" s="15"/>
      <c r="X254" s="8"/>
      <c r="Y254" s="8"/>
      <c r="Z254" s="8"/>
      <c r="AA254" s="9" t="str">
        <f>IF(A254="","",IF(OR(ABS(N254)&gt;Lists!$K$6,ABS(Q254)&gt;Lists!$K$3,ABS(T254)&gt;Lists!$K$4,ABS(U254)&gt;Lists!$K$5),"Failed","Passed"))</f>
        <v/>
      </c>
      <c r="AB254" s="8"/>
      <c r="AC254" s="8"/>
      <c r="AD254" s="8"/>
      <c r="AE254" s="10"/>
      <c r="AF254" s="8"/>
    </row>
    <row r="255" spans="1:32">
      <c r="A255" s="8"/>
      <c r="B255" s="10"/>
      <c r="C255" s="8"/>
      <c r="D255" s="8"/>
      <c r="E255" s="8"/>
      <c r="F255" s="8"/>
      <c r="G255" s="13"/>
      <c r="H255" s="13"/>
      <c r="I255" s="13"/>
      <c r="J255" s="14" t="str">
        <f t="shared" si="15"/>
        <v/>
      </c>
      <c r="K255" s="13"/>
      <c r="L255" s="14" t="str">
        <f t="shared" si="16"/>
        <v/>
      </c>
      <c r="M255" s="13"/>
      <c r="N255" s="16" t="str">
        <f t="shared" si="17"/>
        <v/>
      </c>
      <c r="O255" s="13"/>
      <c r="P255" s="13"/>
      <c r="Q255" s="16" t="str">
        <f t="shared" si="18"/>
        <v/>
      </c>
      <c r="R255" s="13"/>
      <c r="S255" s="13"/>
      <c r="T255" s="16" t="str">
        <f t="shared" si="19"/>
        <v/>
      </c>
      <c r="U255" s="15"/>
      <c r="V255" s="15"/>
      <c r="W255" s="15"/>
      <c r="X255" s="8"/>
      <c r="Y255" s="8"/>
      <c r="Z255" s="8"/>
      <c r="AA255" s="9" t="str">
        <f>IF(A255="","",IF(OR(ABS(N255)&gt;Lists!$K$6,ABS(Q255)&gt;Lists!$K$3,ABS(T255)&gt;Lists!$K$4,ABS(U255)&gt;Lists!$K$5),"Failed","Passed"))</f>
        <v/>
      </c>
      <c r="AB255" s="8"/>
      <c r="AC255" s="8"/>
      <c r="AD255" s="8"/>
      <c r="AE255" s="10"/>
      <c r="AF255" s="8"/>
    </row>
    <row r="256" spans="1:32">
      <c r="A256" s="8"/>
      <c r="B256" s="10"/>
      <c r="C256" s="8"/>
      <c r="D256" s="8"/>
      <c r="E256" s="8"/>
      <c r="F256" s="8"/>
      <c r="G256" s="13"/>
      <c r="H256" s="13"/>
      <c r="I256" s="13"/>
      <c r="J256" s="14" t="str">
        <f t="shared" si="15"/>
        <v/>
      </c>
      <c r="K256" s="13"/>
      <c r="L256" s="14" t="str">
        <f t="shared" si="16"/>
        <v/>
      </c>
      <c r="M256" s="13"/>
      <c r="N256" s="16" t="str">
        <f t="shared" si="17"/>
        <v/>
      </c>
      <c r="O256" s="13"/>
      <c r="P256" s="13"/>
      <c r="Q256" s="16" t="str">
        <f t="shared" si="18"/>
        <v/>
      </c>
      <c r="R256" s="13"/>
      <c r="S256" s="13"/>
      <c r="T256" s="16" t="str">
        <f t="shared" si="19"/>
        <v/>
      </c>
      <c r="U256" s="15"/>
      <c r="V256" s="15"/>
      <c r="W256" s="15"/>
      <c r="X256" s="8"/>
      <c r="Y256" s="8"/>
      <c r="Z256" s="8"/>
      <c r="AA256" s="9" t="str">
        <f>IF(A256="","",IF(OR(ABS(N256)&gt;Lists!$K$6,ABS(Q256)&gt;Lists!$K$3,ABS(T256)&gt;Lists!$K$4,ABS(U256)&gt;Lists!$K$5),"Failed","Passed"))</f>
        <v/>
      </c>
      <c r="AB256" s="8"/>
      <c r="AC256" s="8"/>
      <c r="AD256" s="8"/>
      <c r="AE256" s="10"/>
      <c r="AF256" s="8"/>
    </row>
    <row r="257" spans="1:32">
      <c r="A257" s="8"/>
      <c r="B257" s="10"/>
      <c r="C257" s="8"/>
      <c r="D257" s="8"/>
      <c r="E257" s="8"/>
      <c r="F257" s="8"/>
      <c r="G257" s="13"/>
      <c r="H257" s="13"/>
      <c r="I257" s="13"/>
      <c r="J257" s="14" t="str">
        <f t="shared" si="15"/>
        <v/>
      </c>
      <c r="K257" s="13"/>
      <c r="L257" s="14" t="str">
        <f t="shared" si="16"/>
        <v/>
      </c>
      <c r="M257" s="13"/>
      <c r="N257" s="16" t="str">
        <f t="shared" si="17"/>
        <v/>
      </c>
      <c r="O257" s="13"/>
      <c r="P257" s="13"/>
      <c r="Q257" s="16" t="str">
        <f t="shared" si="18"/>
        <v/>
      </c>
      <c r="R257" s="13"/>
      <c r="S257" s="13"/>
      <c r="T257" s="16" t="str">
        <f t="shared" si="19"/>
        <v/>
      </c>
      <c r="U257" s="15"/>
      <c r="V257" s="15"/>
      <c r="W257" s="15"/>
      <c r="X257" s="8"/>
      <c r="Y257" s="8"/>
      <c r="Z257" s="8"/>
      <c r="AA257" s="9" t="str">
        <f>IF(A257="","",IF(OR(ABS(N257)&gt;Lists!$K$6,ABS(Q257)&gt;Lists!$K$3,ABS(T257)&gt;Lists!$K$4,ABS(U257)&gt;Lists!$K$5),"Failed","Passed"))</f>
        <v/>
      </c>
      <c r="AB257" s="8"/>
      <c r="AC257" s="8"/>
      <c r="AD257" s="8"/>
      <c r="AE257" s="10"/>
      <c r="AF257" s="8"/>
    </row>
    <row r="258" spans="1:32">
      <c r="A258" s="8"/>
      <c r="B258" s="10"/>
      <c r="C258" s="8"/>
      <c r="D258" s="8"/>
      <c r="E258" s="8"/>
      <c r="F258" s="8"/>
      <c r="G258" s="13"/>
      <c r="H258" s="13"/>
      <c r="I258" s="13"/>
      <c r="J258" s="14" t="str">
        <f t="shared" si="15"/>
        <v/>
      </c>
      <c r="K258" s="13"/>
      <c r="L258" s="14" t="str">
        <f t="shared" si="16"/>
        <v/>
      </c>
      <c r="M258" s="13"/>
      <c r="N258" s="16" t="str">
        <f t="shared" si="17"/>
        <v/>
      </c>
      <c r="O258" s="13"/>
      <c r="P258" s="13"/>
      <c r="Q258" s="16" t="str">
        <f t="shared" si="18"/>
        <v/>
      </c>
      <c r="R258" s="13"/>
      <c r="S258" s="13"/>
      <c r="T258" s="16" t="str">
        <f t="shared" si="19"/>
        <v/>
      </c>
      <c r="U258" s="15"/>
      <c r="V258" s="15"/>
      <c r="W258" s="15"/>
      <c r="X258" s="8"/>
      <c r="Y258" s="8"/>
      <c r="Z258" s="8"/>
      <c r="AA258" s="9" t="str">
        <f>IF(A258="","",IF(OR(ABS(N258)&gt;Lists!$K$6,ABS(Q258)&gt;Lists!$K$3,ABS(T258)&gt;Lists!$K$4,ABS(U258)&gt;Lists!$K$5),"Failed","Passed"))</f>
        <v/>
      </c>
      <c r="AB258" s="8"/>
      <c r="AC258" s="8"/>
      <c r="AD258" s="8"/>
      <c r="AE258" s="10"/>
      <c r="AF258" s="8"/>
    </row>
    <row r="259" spans="1:32">
      <c r="A259" s="8"/>
      <c r="B259" s="10"/>
      <c r="C259" s="8"/>
      <c r="D259" s="8"/>
      <c r="E259" s="8"/>
      <c r="F259" s="8"/>
      <c r="G259" s="13"/>
      <c r="H259" s="13"/>
      <c r="I259" s="13"/>
      <c r="J259" s="14" t="str">
        <f t="shared" si="15"/>
        <v/>
      </c>
      <c r="K259" s="13"/>
      <c r="L259" s="14" t="str">
        <f t="shared" si="16"/>
        <v/>
      </c>
      <c r="M259" s="13"/>
      <c r="N259" s="16" t="str">
        <f t="shared" si="17"/>
        <v/>
      </c>
      <c r="O259" s="13"/>
      <c r="P259" s="13"/>
      <c r="Q259" s="16" t="str">
        <f t="shared" si="18"/>
        <v/>
      </c>
      <c r="R259" s="13"/>
      <c r="S259" s="13"/>
      <c r="T259" s="16" t="str">
        <f t="shared" si="19"/>
        <v/>
      </c>
      <c r="U259" s="15"/>
      <c r="V259" s="15"/>
      <c r="W259" s="15"/>
      <c r="X259" s="8"/>
      <c r="Y259" s="8"/>
      <c r="Z259" s="8"/>
      <c r="AA259" s="9" t="str">
        <f>IF(A259="","",IF(OR(ABS(N259)&gt;Lists!$K$6,ABS(Q259)&gt;Lists!$K$3,ABS(T259)&gt;Lists!$K$4,ABS(U259)&gt;Lists!$K$5),"Failed","Passed"))</f>
        <v/>
      </c>
      <c r="AB259" s="8"/>
      <c r="AC259" s="8"/>
      <c r="AD259" s="8"/>
      <c r="AE259" s="10"/>
      <c r="AF259" s="8"/>
    </row>
    <row r="260" spans="1:32">
      <c r="A260" s="8"/>
      <c r="B260" s="10"/>
      <c r="C260" s="8"/>
      <c r="D260" s="8"/>
      <c r="E260" s="8"/>
      <c r="F260" s="8"/>
      <c r="G260" s="13"/>
      <c r="H260" s="13"/>
      <c r="I260" s="13"/>
      <c r="J260" s="14" t="str">
        <f t="shared" si="15"/>
        <v/>
      </c>
      <c r="K260" s="13"/>
      <c r="L260" s="14" t="str">
        <f t="shared" si="16"/>
        <v/>
      </c>
      <c r="M260" s="13"/>
      <c r="N260" s="16" t="str">
        <f t="shared" si="17"/>
        <v/>
      </c>
      <c r="O260" s="13"/>
      <c r="P260" s="13"/>
      <c r="Q260" s="16" t="str">
        <f t="shared" si="18"/>
        <v/>
      </c>
      <c r="R260" s="13"/>
      <c r="S260" s="13"/>
      <c r="T260" s="16" t="str">
        <f t="shared" si="19"/>
        <v/>
      </c>
      <c r="U260" s="15"/>
      <c r="V260" s="15"/>
      <c r="W260" s="15"/>
      <c r="X260" s="8"/>
      <c r="Y260" s="8"/>
      <c r="Z260" s="8"/>
      <c r="AA260" s="9" t="str">
        <f>IF(A260="","",IF(OR(ABS(N260)&gt;Lists!$K$6,ABS(Q260)&gt;Lists!$K$3,ABS(T260)&gt;Lists!$K$4,ABS(U260)&gt;Lists!$K$5),"Failed","Passed"))</f>
        <v/>
      </c>
      <c r="AB260" s="8"/>
      <c r="AC260" s="8"/>
      <c r="AD260" s="8"/>
      <c r="AE260" s="10"/>
      <c r="AF260" s="8"/>
    </row>
    <row r="261" spans="1:32">
      <c r="A261" s="8"/>
      <c r="B261" s="10"/>
      <c r="C261" s="8"/>
      <c r="D261" s="8"/>
      <c r="E261" s="8"/>
      <c r="F261" s="8"/>
      <c r="G261" s="13"/>
      <c r="H261" s="13"/>
      <c r="I261" s="13"/>
      <c r="J261" s="14" t="str">
        <f t="shared" ref="J261:J324" si="20">IF(OR(A261="",H261=0),"",I261*10000/H261)</f>
        <v/>
      </c>
      <c r="K261" s="13"/>
      <c r="L261" s="14" t="str">
        <f t="shared" ref="L261:L324" si="21">IF(OR(A261="",H261=0),"",K261*10000/H261)</f>
        <v/>
      </c>
      <c r="M261" s="13"/>
      <c r="N261" s="16" t="str">
        <f t="shared" ref="N261:N324" si="22">IF(OR(A261="",M261=0),"",(L261-M261)/M261)</f>
        <v/>
      </c>
      <c r="O261" s="13"/>
      <c r="P261" s="13"/>
      <c r="Q261" s="16" t="str">
        <f t="shared" ref="Q261:Q324" si="23">IF(OR(A261="",O261=0),"",(O261-P261)/O261)</f>
        <v/>
      </c>
      <c r="R261" s="13"/>
      <c r="S261" s="13"/>
      <c r="T261" s="16" t="str">
        <f t="shared" ref="T261:T324" si="24">IF(OR(A261="",R261=0),"",(R261-S261)/R261)</f>
        <v/>
      </c>
      <c r="U261" s="15"/>
      <c r="V261" s="15"/>
      <c r="W261" s="15"/>
      <c r="X261" s="8"/>
      <c r="Y261" s="8"/>
      <c r="Z261" s="8"/>
      <c r="AA261" s="9" t="str">
        <f>IF(A261="","",IF(OR(ABS(N261)&gt;Lists!$K$6,ABS(Q261)&gt;Lists!$K$3,ABS(T261)&gt;Lists!$K$4,ABS(U261)&gt;Lists!$K$5),"Failed","Passed"))</f>
        <v/>
      </c>
      <c r="AB261" s="8"/>
      <c r="AC261" s="8"/>
      <c r="AD261" s="8"/>
      <c r="AE261" s="10"/>
      <c r="AF261" s="8"/>
    </row>
    <row r="262" spans="1:32">
      <c r="A262" s="8"/>
      <c r="B262" s="10"/>
      <c r="C262" s="8"/>
      <c r="D262" s="8"/>
      <c r="E262" s="8"/>
      <c r="F262" s="8"/>
      <c r="G262" s="13"/>
      <c r="H262" s="13"/>
      <c r="I262" s="13"/>
      <c r="J262" s="14" t="str">
        <f t="shared" si="20"/>
        <v/>
      </c>
      <c r="K262" s="13"/>
      <c r="L262" s="14" t="str">
        <f t="shared" si="21"/>
        <v/>
      </c>
      <c r="M262" s="13"/>
      <c r="N262" s="16" t="str">
        <f t="shared" si="22"/>
        <v/>
      </c>
      <c r="O262" s="13"/>
      <c r="P262" s="13"/>
      <c r="Q262" s="16" t="str">
        <f t="shared" si="23"/>
        <v/>
      </c>
      <c r="R262" s="13"/>
      <c r="S262" s="13"/>
      <c r="T262" s="16" t="str">
        <f t="shared" si="24"/>
        <v/>
      </c>
      <c r="U262" s="15"/>
      <c r="V262" s="15"/>
      <c r="W262" s="15"/>
      <c r="X262" s="8"/>
      <c r="Y262" s="8"/>
      <c r="Z262" s="8"/>
      <c r="AA262" s="9" t="str">
        <f>IF(A262="","",IF(OR(ABS(N262)&gt;Lists!$K$6,ABS(Q262)&gt;Lists!$K$3,ABS(T262)&gt;Lists!$K$4,ABS(U262)&gt;Lists!$K$5),"Failed","Passed"))</f>
        <v/>
      </c>
      <c r="AB262" s="8"/>
      <c r="AC262" s="8"/>
      <c r="AD262" s="8"/>
      <c r="AE262" s="10"/>
      <c r="AF262" s="8"/>
    </row>
    <row r="263" spans="1:32">
      <c r="A263" s="8"/>
      <c r="B263" s="10"/>
      <c r="C263" s="8"/>
      <c r="D263" s="8"/>
      <c r="E263" s="8"/>
      <c r="F263" s="8"/>
      <c r="G263" s="13"/>
      <c r="H263" s="13"/>
      <c r="I263" s="13"/>
      <c r="J263" s="14" t="str">
        <f t="shared" si="20"/>
        <v/>
      </c>
      <c r="K263" s="13"/>
      <c r="L263" s="14" t="str">
        <f t="shared" si="21"/>
        <v/>
      </c>
      <c r="M263" s="13"/>
      <c r="N263" s="16" t="str">
        <f t="shared" si="22"/>
        <v/>
      </c>
      <c r="O263" s="13"/>
      <c r="P263" s="13"/>
      <c r="Q263" s="16" t="str">
        <f t="shared" si="23"/>
        <v/>
      </c>
      <c r="R263" s="13"/>
      <c r="S263" s="13"/>
      <c r="T263" s="16" t="str">
        <f t="shared" si="24"/>
        <v/>
      </c>
      <c r="U263" s="15"/>
      <c r="V263" s="15"/>
      <c r="W263" s="15"/>
      <c r="X263" s="8"/>
      <c r="Y263" s="8"/>
      <c r="Z263" s="8"/>
      <c r="AA263" s="9" t="str">
        <f>IF(A263="","",IF(OR(ABS(N263)&gt;Lists!$K$6,ABS(Q263)&gt;Lists!$K$3,ABS(T263)&gt;Lists!$K$4,ABS(U263)&gt;Lists!$K$5),"Failed","Passed"))</f>
        <v/>
      </c>
      <c r="AB263" s="8"/>
      <c r="AC263" s="8"/>
      <c r="AD263" s="8"/>
      <c r="AE263" s="10"/>
      <c r="AF263" s="8"/>
    </row>
    <row r="264" spans="1:32">
      <c r="A264" s="8"/>
      <c r="B264" s="10"/>
      <c r="C264" s="8"/>
      <c r="D264" s="8"/>
      <c r="E264" s="8"/>
      <c r="F264" s="8"/>
      <c r="G264" s="13"/>
      <c r="H264" s="13"/>
      <c r="I264" s="13"/>
      <c r="J264" s="14" t="str">
        <f t="shared" si="20"/>
        <v/>
      </c>
      <c r="K264" s="13"/>
      <c r="L264" s="14" t="str">
        <f t="shared" si="21"/>
        <v/>
      </c>
      <c r="M264" s="13"/>
      <c r="N264" s="16" t="str">
        <f t="shared" si="22"/>
        <v/>
      </c>
      <c r="O264" s="13"/>
      <c r="P264" s="13"/>
      <c r="Q264" s="16" t="str">
        <f t="shared" si="23"/>
        <v/>
      </c>
      <c r="R264" s="13"/>
      <c r="S264" s="13"/>
      <c r="T264" s="16" t="str">
        <f t="shared" si="24"/>
        <v/>
      </c>
      <c r="U264" s="15"/>
      <c r="V264" s="15"/>
      <c r="W264" s="15"/>
      <c r="X264" s="8"/>
      <c r="Y264" s="8"/>
      <c r="Z264" s="8"/>
      <c r="AA264" s="9" t="str">
        <f>IF(A264="","",IF(OR(ABS(N264)&gt;Lists!$K$6,ABS(Q264)&gt;Lists!$K$3,ABS(T264)&gt;Lists!$K$4,ABS(U264)&gt;Lists!$K$5),"Failed","Passed"))</f>
        <v/>
      </c>
      <c r="AB264" s="8"/>
      <c r="AC264" s="8"/>
      <c r="AD264" s="8"/>
      <c r="AE264" s="10"/>
      <c r="AF264" s="8"/>
    </row>
    <row r="265" spans="1:32">
      <c r="A265" s="8"/>
      <c r="B265" s="10"/>
      <c r="C265" s="8"/>
      <c r="D265" s="8"/>
      <c r="E265" s="8"/>
      <c r="F265" s="8"/>
      <c r="G265" s="13"/>
      <c r="H265" s="13"/>
      <c r="I265" s="13"/>
      <c r="J265" s="14" t="str">
        <f t="shared" si="20"/>
        <v/>
      </c>
      <c r="K265" s="13"/>
      <c r="L265" s="14" t="str">
        <f t="shared" si="21"/>
        <v/>
      </c>
      <c r="M265" s="13"/>
      <c r="N265" s="16" t="str">
        <f t="shared" si="22"/>
        <v/>
      </c>
      <c r="O265" s="13"/>
      <c r="P265" s="13"/>
      <c r="Q265" s="16" t="str">
        <f t="shared" si="23"/>
        <v/>
      </c>
      <c r="R265" s="13"/>
      <c r="S265" s="13"/>
      <c r="T265" s="16" t="str">
        <f t="shared" si="24"/>
        <v/>
      </c>
      <c r="U265" s="15"/>
      <c r="V265" s="15"/>
      <c r="W265" s="15"/>
      <c r="X265" s="8"/>
      <c r="Y265" s="8"/>
      <c r="Z265" s="8"/>
      <c r="AA265" s="9" t="str">
        <f>IF(A265="","",IF(OR(ABS(N265)&gt;Lists!$K$6,ABS(Q265)&gt;Lists!$K$3,ABS(T265)&gt;Lists!$K$4,ABS(U265)&gt;Lists!$K$5),"Failed","Passed"))</f>
        <v/>
      </c>
      <c r="AB265" s="8"/>
      <c r="AC265" s="8"/>
      <c r="AD265" s="8"/>
      <c r="AE265" s="10"/>
      <c r="AF265" s="8"/>
    </row>
    <row r="266" spans="1:32">
      <c r="A266" s="8"/>
      <c r="B266" s="10"/>
      <c r="C266" s="8"/>
      <c r="D266" s="8"/>
      <c r="E266" s="8"/>
      <c r="F266" s="8"/>
      <c r="G266" s="13"/>
      <c r="H266" s="13"/>
      <c r="I266" s="13"/>
      <c r="J266" s="14" t="str">
        <f t="shared" si="20"/>
        <v/>
      </c>
      <c r="K266" s="13"/>
      <c r="L266" s="14" t="str">
        <f t="shared" si="21"/>
        <v/>
      </c>
      <c r="M266" s="13"/>
      <c r="N266" s="16" t="str">
        <f t="shared" si="22"/>
        <v/>
      </c>
      <c r="O266" s="13"/>
      <c r="P266" s="13"/>
      <c r="Q266" s="16" t="str">
        <f t="shared" si="23"/>
        <v/>
      </c>
      <c r="R266" s="13"/>
      <c r="S266" s="13"/>
      <c r="T266" s="16" t="str">
        <f t="shared" si="24"/>
        <v/>
      </c>
      <c r="U266" s="15"/>
      <c r="V266" s="15"/>
      <c r="W266" s="15"/>
      <c r="X266" s="8"/>
      <c r="Y266" s="8"/>
      <c r="Z266" s="8"/>
      <c r="AA266" s="9" t="str">
        <f>IF(A266="","",IF(OR(ABS(N266)&gt;Lists!$K$6,ABS(Q266)&gt;Lists!$K$3,ABS(T266)&gt;Lists!$K$4,ABS(U266)&gt;Lists!$K$5),"Failed","Passed"))</f>
        <v/>
      </c>
      <c r="AB266" s="8"/>
      <c r="AC266" s="8"/>
      <c r="AD266" s="8"/>
      <c r="AE266" s="10"/>
      <c r="AF266" s="8"/>
    </row>
    <row r="267" spans="1:32">
      <c r="A267" s="8"/>
      <c r="B267" s="10"/>
      <c r="C267" s="8"/>
      <c r="D267" s="8"/>
      <c r="E267" s="8"/>
      <c r="F267" s="8"/>
      <c r="G267" s="13"/>
      <c r="H267" s="13"/>
      <c r="I267" s="13"/>
      <c r="J267" s="14" t="str">
        <f t="shared" si="20"/>
        <v/>
      </c>
      <c r="K267" s="13"/>
      <c r="L267" s="14" t="str">
        <f t="shared" si="21"/>
        <v/>
      </c>
      <c r="M267" s="13"/>
      <c r="N267" s="16" t="str">
        <f t="shared" si="22"/>
        <v/>
      </c>
      <c r="O267" s="13"/>
      <c r="P267" s="13"/>
      <c r="Q267" s="16" t="str">
        <f t="shared" si="23"/>
        <v/>
      </c>
      <c r="R267" s="13"/>
      <c r="S267" s="13"/>
      <c r="T267" s="16" t="str">
        <f t="shared" si="24"/>
        <v/>
      </c>
      <c r="U267" s="15"/>
      <c r="V267" s="15"/>
      <c r="W267" s="15"/>
      <c r="X267" s="8"/>
      <c r="Y267" s="8"/>
      <c r="Z267" s="8"/>
      <c r="AA267" s="9" t="str">
        <f>IF(A267="","",IF(OR(ABS(N267)&gt;Lists!$K$6,ABS(Q267)&gt;Lists!$K$3,ABS(T267)&gt;Lists!$K$4,ABS(U267)&gt;Lists!$K$5),"Failed","Passed"))</f>
        <v/>
      </c>
      <c r="AB267" s="8"/>
      <c r="AC267" s="8"/>
      <c r="AD267" s="8"/>
      <c r="AE267" s="10"/>
      <c r="AF267" s="8"/>
    </row>
    <row r="268" spans="1:32">
      <c r="A268" s="8"/>
      <c r="B268" s="10"/>
      <c r="C268" s="8"/>
      <c r="D268" s="8"/>
      <c r="E268" s="8"/>
      <c r="F268" s="8"/>
      <c r="G268" s="13"/>
      <c r="H268" s="13"/>
      <c r="I268" s="13"/>
      <c r="J268" s="14" t="str">
        <f t="shared" si="20"/>
        <v/>
      </c>
      <c r="K268" s="13"/>
      <c r="L268" s="14" t="str">
        <f t="shared" si="21"/>
        <v/>
      </c>
      <c r="M268" s="13"/>
      <c r="N268" s="16" t="str">
        <f t="shared" si="22"/>
        <v/>
      </c>
      <c r="O268" s="13"/>
      <c r="P268" s="13"/>
      <c r="Q268" s="16" t="str">
        <f t="shared" si="23"/>
        <v/>
      </c>
      <c r="R268" s="13"/>
      <c r="S268" s="13"/>
      <c r="T268" s="16" t="str">
        <f t="shared" si="24"/>
        <v/>
      </c>
      <c r="U268" s="15"/>
      <c r="V268" s="15"/>
      <c r="W268" s="15"/>
      <c r="X268" s="8"/>
      <c r="Y268" s="8"/>
      <c r="Z268" s="8"/>
      <c r="AA268" s="9" t="str">
        <f>IF(A268="","",IF(OR(ABS(N268)&gt;Lists!$K$6,ABS(Q268)&gt;Lists!$K$3,ABS(T268)&gt;Lists!$K$4,ABS(U268)&gt;Lists!$K$5),"Failed","Passed"))</f>
        <v/>
      </c>
      <c r="AB268" s="8"/>
      <c r="AC268" s="8"/>
      <c r="AD268" s="8"/>
      <c r="AE268" s="10"/>
      <c r="AF268" s="8"/>
    </row>
    <row r="269" spans="1:32">
      <c r="A269" s="8"/>
      <c r="B269" s="10"/>
      <c r="C269" s="8"/>
      <c r="D269" s="8"/>
      <c r="E269" s="8"/>
      <c r="F269" s="8"/>
      <c r="G269" s="13"/>
      <c r="H269" s="13"/>
      <c r="I269" s="13"/>
      <c r="J269" s="14" t="str">
        <f t="shared" si="20"/>
        <v/>
      </c>
      <c r="K269" s="13"/>
      <c r="L269" s="14" t="str">
        <f t="shared" si="21"/>
        <v/>
      </c>
      <c r="M269" s="13"/>
      <c r="N269" s="16" t="str">
        <f t="shared" si="22"/>
        <v/>
      </c>
      <c r="O269" s="13"/>
      <c r="P269" s="13"/>
      <c r="Q269" s="16" t="str">
        <f t="shared" si="23"/>
        <v/>
      </c>
      <c r="R269" s="13"/>
      <c r="S269" s="13"/>
      <c r="T269" s="16" t="str">
        <f t="shared" si="24"/>
        <v/>
      </c>
      <c r="U269" s="15"/>
      <c r="V269" s="15"/>
      <c r="W269" s="15"/>
      <c r="X269" s="8"/>
      <c r="Y269" s="8"/>
      <c r="Z269" s="8"/>
      <c r="AA269" s="9" t="str">
        <f>IF(A269="","",IF(OR(ABS(N269)&gt;Lists!$K$6,ABS(Q269)&gt;Lists!$K$3,ABS(T269)&gt;Lists!$K$4,ABS(U269)&gt;Lists!$K$5),"Failed","Passed"))</f>
        <v/>
      </c>
      <c r="AB269" s="8"/>
      <c r="AC269" s="8"/>
      <c r="AD269" s="8"/>
      <c r="AE269" s="10"/>
      <c r="AF269" s="8"/>
    </row>
    <row r="270" spans="1:32">
      <c r="A270" s="8"/>
      <c r="B270" s="10"/>
      <c r="C270" s="8"/>
      <c r="D270" s="8"/>
      <c r="E270" s="8"/>
      <c r="F270" s="8"/>
      <c r="G270" s="13"/>
      <c r="H270" s="13"/>
      <c r="I270" s="13"/>
      <c r="J270" s="14" t="str">
        <f t="shared" si="20"/>
        <v/>
      </c>
      <c r="K270" s="13"/>
      <c r="L270" s="14" t="str">
        <f t="shared" si="21"/>
        <v/>
      </c>
      <c r="M270" s="13"/>
      <c r="N270" s="16" t="str">
        <f t="shared" si="22"/>
        <v/>
      </c>
      <c r="O270" s="13"/>
      <c r="P270" s="13"/>
      <c r="Q270" s="16" t="str">
        <f t="shared" si="23"/>
        <v/>
      </c>
      <c r="R270" s="13"/>
      <c r="S270" s="13"/>
      <c r="T270" s="16" t="str">
        <f t="shared" si="24"/>
        <v/>
      </c>
      <c r="U270" s="15"/>
      <c r="V270" s="15"/>
      <c r="W270" s="15"/>
      <c r="X270" s="8"/>
      <c r="Y270" s="8"/>
      <c r="Z270" s="8"/>
      <c r="AA270" s="9" t="str">
        <f>IF(A270="","",IF(OR(ABS(N270)&gt;Lists!$K$6,ABS(Q270)&gt;Lists!$K$3,ABS(T270)&gt;Lists!$K$4,ABS(U270)&gt;Lists!$K$5),"Failed","Passed"))</f>
        <v/>
      </c>
      <c r="AB270" s="8"/>
      <c r="AC270" s="8"/>
      <c r="AD270" s="8"/>
      <c r="AE270" s="10"/>
      <c r="AF270" s="8"/>
    </row>
    <row r="271" spans="1:32">
      <c r="A271" s="8"/>
      <c r="B271" s="10"/>
      <c r="C271" s="8"/>
      <c r="D271" s="8"/>
      <c r="E271" s="8"/>
      <c r="F271" s="8"/>
      <c r="G271" s="13"/>
      <c r="H271" s="13"/>
      <c r="I271" s="13"/>
      <c r="J271" s="14" t="str">
        <f t="shared" si="20"/>
        <v/>
      </c>
      <c r="K271" s="13"/>
      <c r="L271" s="14" t="str">
        <f t="shared" si="21"/>
        <v/>
      </c>
      <c r="M271" s="13"/>
      <c r="N271" s="16" t="str">
        <f t="shared" si="22"/>
        <v/>
      </c>
      <c r="O271" s="13"/>
      <c r="P271" s="13"/>
      <c r="Q271" s="16" t="str">
        <f t="shared" si="23"/>
        <v/>
      </c>
      <c r="R271" s="13"/>
      <c r="S271" s="13"/>
      <c r="T271" s="16" t="str">
        <f t="shared" si="24"/>
        <v/>
      </c>
      <c r="U271" s="15"/>
      <c r="V271" s="15"/>
      <c r="W271" s="15"/>
      <c r="X271" s="8"/>
      <c r="Y271" s="8"/>
      <c r="Z271" s="8"/>
      <c r="AA271" s="9" t="str">
        <f>IF(A271="","",IF(OR(ABS(N271)&gt;Lists!$K$6,ABS(Q271)&gt;Lists!$K$3,ABS(T271)&gt;Lists!$K$4,ABS(U271)&gt;Lists!$K$5),"Failed","Passed"))</f>
        <v/>
      </c>
      <c r="AB271" s="8"/>
      <c r="AC271" s="8"/>
      <c r="AD271" s="8"/>
      <c r="AE271" s="10"/>
      <c r="AF271" s="8"/>
    </row>
    <row r="272" spans="1:32">
      <c r="A272" s="8"/>
      <c r="B272" s="10"/>
      <c r="C272" s="8"/>
      <c r="D272" s="8"/>
      <c r="E272" s="8"/>
      <c r="F272" s="8"/>
      <c r="G272" s="13"/>
      <c r="H272" s="13"/>
      <c r="I272" s="13"/>
      <c r="J272" s="14" t="str">
        <f t="shared" si="20"/>
        <v/>
      </c>
      <c r="K272" s="13"/>
      <c r="L272" s="14" t="str">
        <f t="shared" si="21"/>
        <v/>
      </c>
      <c r="M272" s="13"/>
      <c r="N272" s="16" t="str">
        <f t="shared" si="22"/>
        <v/>
      </c>
      <c r="O272" s="13"/>
      <c r="P272" s="13"/>
      <c r="Q272" s="16" t="str">
        <f t="shared" si="23"/>
        <v/>
      </c>
      <c r="R272" s="13"/>
      <c r="S272" s="13"/>
      <c r="T272" s="16" t="str">
        <f t="shared" si="24"/>
        <v/>
      </c>
      <c r="U272" s="15"/>
      <c r="V272" s="15"/>
      <c r="W272" s="15"/>
      <c r="X272" s="8"/>
      <c r="Y272" s="8"/>
      <c r="Z272" s="8"/>
      <c r="AA272" s="9" t="str">
        <f>IF(A272="","",IF(OR(ABS(N272)&gt;Lists!$K$6,ABS(Q272)&gt;Lists!$K$3,ABS(T272)&gt;Lists!$K$4,ABS(U272)&gt;Lists!$K$5),"Failed","Passed"))</f>
        <v/>
      </c>
      <c r="AB272" s="8"/>
      <c r="AC272" s="8"/>
      <c r="AD272" s="8"/>
      <c r="AE272" s="10"/>
      <c r="AF272" s="8"/>
    </row>
    <row r="273" spans="1:32">
      <c r="A273" s="8"/>
      <c r="B273" s="10"/>
      <c r="C273" s="8"/>
      <c r="D273" s="8"/>
      <c r="E273" s="8"/>
      <c r="F273" s="8"/>
      <c r="G273" s="13"/>
      <c r="H273" s="13"/>
      <c r="I273" s="13"/>
      <c r="J273" s="14" t="str">
        <f t="shared" si="20"/>
        <v/>
      </c>
      <c r="K273" s="13"/>
      <c r="L273" s="14" t="str">
        <f t="shared" si="21"/>
        <v/>
      </c>
      <c r="M273" s="13"/>
      <c r="N273" s="16" t="str">
        <f t="shared" si="22"/>
        <v/>
      </c>
      <c r="O273" s="13"/>
      <c r="P273" s="13"/>
      <c r="Q273" s="16" t="str">
        <f t="shared" si="23"/>
        <v/>
      </c>
      <c r="R273" s="13"/>
      <c r="S273" s="13"/>
      <c r="T273" s="16" t="str">
        <f t="shared" si="24"/>
        <v/>
      </c>
      <c r="U273" s="15"/>
      <c r="V273" s="15"/>
      <c r="W273" s="15"/>
      <c r="X273" s="8"/>
      <c r="Y273" s="8"/>
      <c r="Z273" s="8"/>
      <c r="AA273" s="9" t="str">
        <f>IF(A273="","",IF(OR(ABS(N273)&gt;Lists!$K$6,ABS(Q273)&gt;Lists!$K$3,ABS(T273)&gt;Lists!$K$4,ABS(U273)&gt;Lists!$K$5),"Failed","Passed"))</f>
        <v/>
      </c>
      <c r="AB273" s="8"/>
      <c r="AC273" s="8"/>
      <c r="AD273" s="8"/>
      <c r="AE273" s="10"/>
      <c r="AF273" s="8"/>
    </row>
    <row r="274" spans="1:32">
      <c r="A274" s="8"/>
      <c r="B274" s="10"/>
      <c r="C274" s="8"/>
      <c r="D274" s="8"/>
      <c r="E274" s="8"/>
      <c r="F274" s="8"/>
      <c r="G274" s="13"/>
      <c r="H274" s="13"/>
      <c r="I274" s="13"/>
      <c r="J274" s="14" t="str">
        <f t="shared" si="20"/>
        <v/>
      </c>
      <c r="K274" s="13"/>
      <c r="L274" s="14" t="str">
        <f t="shared" si="21"/>
        <v/>
      </c>
      <c r="M274" s="13"/>
      <c r="N274" s="16" t="str">
        <f t="shared" si="22"/>
        <v/>
      </c>
      <c r="O274" s="13"/>
      <c r="P274" s="13"/>
      <c r="Q274" s="16" t="str">
        <f t="shared" si="23"/>
        <v/>
      </c>
      <c r="R274" s="13"/>
      <c r="S274" s="13"/>
      <c r="T274" s="16" t="str">
        <f t="shared" si="24"/>
        <v/>
      </c>
      <c r="U274" s="15"/>
      <c r="V274" s="15"/>
      <c r="W274" s="15"/>
      <c r="X274" s="8"/>
      <c r="Y274" s="8"/>
      <c r="Z274" s="8"/>
      <c r="AA274" s="9" t="str">
        <f>IF(A274="","",IF(OR(ABS(N274)&gt;Lists!$K$6,ABS(Q274)&gt;Lists!$K$3,ABS(T274)&gt;Lists!$K$4,ABS(U274)&gt;Lists!$K$5),"Failed","Passed"))</f>
        <v/>
      </c>
      <c r="AB274" s="8"/>
      <c r="AC274" s="8"/>
      <c r="AD274" s="8"/>
      <c r="AE274" s="10"/>
      <c r="AF274" s="8"/>
    </row>
    <row r="275" spans="1:32">
      <c r="A275" s="8"/>
      <c r="B275" s="10"/>
      <c r="C275" s="8"/>
      <c r="D275" s="8"/>
      <c r="E275" s="8"/>
      <c r="F275" s="8"/>
      <c r="G275" s="13"/>
      <c r="H275" s="13"/>
      <c r="I275" s="13"/>
      <c r="J275" s="14" t="str">
        <f t="shared" si="20"/>
        <v/>
      </c>
      <c r="K275" s="13"/>
      <c r="L275" s="14" t="str">
        <f t="shared" si="21"/>
        <v/>
      </c>
      <c r="M275" s="13"/>
      <c r="N275" s="16" t="str">
        <f t="shared" si="22"/>
        <v/>
      </c>
      <c r="O275" s="13"/>
      <c r="P275" s="13"/>
      <c r="Q275" s="16" t="str">
        <f t="shared" si="23"/>
        <v/>
      </c>
      <c r="R275" s="13"/>
      <c r="S275" s="13"/>
      <c r="T275" s="16" t="str">
        <f t="shared" si="24"/>
        <v/>
      </c>
      <c r="U275" s="15"/>
      <c r="V275" s="15"/>
      <c r="W275" s="15"/>
      <c r="X275" s="8"/>
      <c r="Y275" s="8"/>
      <c r="Z275" s="8"/>
      <c r="AA275" s="9" t="str">
        <f>IF(A275="","",IF(OR(ABS(N275)&gt;Lists!$K$6,ABS(Q275)&gt;Lists!$K$3,ABS(T275)&gt;Lists!$K$4,ABS(U275)&gt;Lists!$K$5),"Failed","Passed"))</f>
        <v/>
      </c>
      <c r="AB275" s="8"/>
      <c r="AC275" s="8"/>
      <c r="AD275" s="8"/>
      <c r="AE275" s="10"/>
      <c r="AF275" s="8"/>
    </row>
    <row r="276" spans="1:32">
      <c r="A276" s="8"/>
      <c r="B276" s="10"/>
      <c r="C276" s="8"/>
      <c r="D276" s="8"/>
      <c r="E276" s="8"/>
      <c r="F276" s="8"/>
      <c r="G276" s="13"/>
      <c r="H276" s="13"/>
      <c r="I276" s="13"/>
      <c r="J276" s="14" t="str">
        <f t="shared" si="20"/>
        <v/>
      </c>
      <c r="K276" s="13"/>
      <c r="L276" s="14" t="str">
        <f t="shared" si="21"/>
        <v/>
      </c>
      <c r="M276" s="13"/>
      <c r="N276" s="16" t="str">
        <f t="shared" si="22"/>
        <v/>
      </c>
      <c r="O276" s="13"/>
      <c r="P276" s="13"/>
      <c r="Q276" s="16" t="str">
        <f t="shared" si="23"/>
        <v/>
      </c>
      <c r="R276" s="13"/>
      <c r="S276" s="13"/>
      <c r="T276" s="16" t="str">
        <f t="shared" si="24"/>
        <v/>
      </c>
      <c r="U276" s="15"/>
      <c r="V276" s="15"/>
      <c r="W276" s="15"/>
      <c r="X276" s="8"/>
      <c r="Y276" s="8"/>
      <c r="Z276" s="8"/>
      <c r="AA276" s="9" t="str">
        <f>IF(A276="","",IF(OR(ABS(N276)&gt;Lists!$K$6,ABS(Q276)&gt;Lists!$K$3,ABS(T276)&gt;Lists!$K$4,ABS(U276)&gt;Lists!$K$5),"Failed","Passed"))</f>
        <v/>
      </c>
      <c r="AB276" s="8"/>
      <c r="AC276" s="8"/>
      <c r="AD276" s="8"/>
      <c r="AE276" s="10"/>
      <c r="AF276" s="8"/>
    </row>
    <row r="277" spans="1:32">
      <c r="A277" s="8"/>
      <c r="B277" s="10"/>
      <c r="C277" s="8"/>
      <c r="D277" s="8"/>
      <c r="E277" s="8"/>
      <c r="F277" s="8"/>
      <c r="G277" s="13"/>
      <c r="H277" s="13"/>
      <c r="I277" s="13"/>
      <c r="J277" s="14" t="str">
        <f t="shared" si="20"/>
        <v/>
      </c>
      <c r="K277" s="13"/>
      <c r="L277" s="14" t="str">
        <f t="shared" si="21"/>
        <v/>
      </c>
      <c r="M277" s="13"/>
      <c r="N277" s="16" t="str">
        <f t="shared" si="22"/>
        <v/>
      </c>
      <c r="O277" s="13"/>
      <c r="P277" s="13"/>
      <c r="Q277" s="16" t="str">
        <f t="shared" si="23"/>
        <v/>
      </c>
      <c r="R277" s="13"/>
      <c r="S277" s="13"/>
      <c r="T277" s="16" t="str">
        <f t="shared" si="24"/>
        <v/>
      </c>
      <c r="U277" s="15"/>
      <c r="V277" s="15"/>
      <c r="W277" s="15"/>
      <c r="X277" s="8"/>
      <c r="Y277" s="8"/>
      <c r="Z277" s="8"/>
      <c r="AA277" s="9" t="str">
        <f>IF(A277="","",IF(OR(ABS(N277)&gt;Lists!$K$6,ABS(Q277)&gt;Lists!$K$3,ABS(T277)&gt;Lists!$K$4,ABS(U277)&gt;Lists!$K$5),"Failed","Passed"))</f>
        <v/>
      </c>
      <c r="AB277" s="8"/>
      <c r="AC277" s="8"/>
      <c r="AD277" s="8"/>
      <c r="AE277" s="10"/>
      <c r="AF277" s="8"/>
    </row>
    <row r="278" spans="1:32">
      <c r="A278" s="8"/>
      <c r="B278" s="10"/>
      <c r="C278" s="8"/>
      <c r="D278" s="8"/>
      <c r="E278" s="8"/>
      <c r="F278" s="8"/>
      <c r="G278" s="13"/>
      <c r="H278" s="13"/>
      <c r="I278" s="13"/>
      <c r="J278" s="14" t="str">
        <f t="shared" si="20"/>
        <v/>
      </c>
      <c r="K278" s="13"/>
      <c r="L278" s="14" t="str">
        <f t="shared" si="21"/>
        <v/>
      </c>
      <c r="M278" s="13"/>
      <c r="N278" s="16" t="str">
        <f t="shared" si="22"/>
        <v/>
      </c>
      <c r="O278" s="13"/>
      <c r="P278" s="13"/>
      <c r="Q278" s="16" t="str">
        <f t="shared" si="23"/>
        <v/>
      </c>
      <c r="R278" s="13"/>
      <c r="S278" s="13"/>
      <c r="T278" s="16" t="str">
        <f t="shared" si="24"/>
        <v/>
      </c>
      <c r="U278" s="15"/>
      <c r="V278" s="15"/>
      <c r="W278" s="15"/>
      <c r="X278" s="8"/>
      <c r="Y278" s="8"/>
      <c r="Z278" s="8"/>
      <c r="AA278" s="9" t="str">
        <f>IF(A278="","",IF(OR(ABS(N278)&gt;Lists!$K$6,ABS(Q278)&gt;Lists!$K$3,ABS(T278)&gt;Lists!$K$4,ABS(U278)&gt;Lists!$K$5),"Failed","Passed"))</f>
        <v/>
      </c>
      <c r="AB278" s="8"/>
      <c r="AC278" s="8"/>
      <c r="AD278" s="8"/>
      <c r="AE278" s="10"/>
      <c r="AF278" s="8"/>
    </row>
    <row r="279" spans="1:32">
      <c r="A279" s="8"/>
      <c r="B279" s="10"/>
      <c r="C279" s="8"/>
      <c r="D279" s="8"/>
      <c r="E279" s="8"/>
      <c r="F279" s="8"/>
      <c r="G279" s="13"/>
      <c r="H279" s="13"/>
      <c r="I279" s="13"/>
      <c r="J279" s="14" t="str">
        <f t="shared" si="20"/>
        <v/>
      </c>
      <c r="K279" s="13"/>
      <c r="L279" s="14" t="str">
        <f t="shared" si="21"/>
        <v/>
      </c>
      <c r="M279" s="13"/>
      <c r="N279" s="16" t="str">
        <f t="shared" si="22"/>
        <v/>
      </c>
      <c r="O279" s="13"/>
      <c r="P279" s="13"/>
      <c r="Q279" s="16" t="str">
        <f t="shared" si="23"/>
        <v/>
      </c>
      <c r="R279" s="13"/>
      <c r="S279" s="13"/>
      <c r="T279" s="16" t="str">
        <f t="shared" si="24"/>
        <v/>
      </c>
      <c r="U279" s="15"/>
      <c r="V279" s="15"/>
      <c r="W279" s="15"/>
      <c r="X279" s="8"/>
      <c r="Y279" s="8"/>
      <c r="Z279" s="8"/>
      <c r="AA279" s="9" t="str">
        <f>IF(A279="","",IF(OR(ABS(N279)&gt;Lists!$K$6,ABS(Q279)&gt;Lists!$K$3,ABS(T279)&gt;Lists!$K$4,ABS(U279)&gt;Lists!$K$5),"Failed","Passed"))</f>
        <v/>
      </c>
      <c r="AB279" s="8"/>
      <c r="AC279" s="8"/>
      <c r="AD279" s="8"/>
      <c r="AE279" s="10"/>
      <c r="AF279" s="8"/>
    </row>
    <row r="280" spans="1:32">
      <c r="A280" s="8"/>
      <c r="B280" s="10"/>
      <c r="C280" s="8"/>
      <c r="D280" s="8"/>
      <c r="E280" s="8"/>
      <c r="F280" s="8"/>
      <c r="G280" s="13"/>
      <c r="H280" s="13"/>
      <c r="I280" s="13"/>
      <c r="J280" s="14" t="str">
        <f t="shared" si="20"/>
        <v/>
      </c>
      <c r="K280" s="13"/>
      <c r="L280" s="14" t="str">
        <f t="shared" si="21"/>
        <v/>
      </c>
      <c r="M280" s="13"/>
      <c r="N280" s="16" t="str">
        <f t="shared" si="22"/>
        <v/>
      </c>
      <c r="O280" s="13"/>
      <c r="P280" s="13"/>
      <c r="Q280" s="16" t="str">
        <f t="shared" si="23"/>
        <v/>
      </c>
      <c r="R280" s="13"/>
      <c r="S280" s="13"/>
      <c r="T280" s="16" t="str">
        <f t="shared" si="24"/>
        <v/>
      </c>
      <c r="U280" s="15"/>
      <c r="V280" s="15"/>
      <c r="W280" s="15"/>
      <c r="X280" s="8"/>
      <c r="Y280" s="8"/>
      <c r="Z280" s="8"/>
      <c r="AA280" s="9" t="str">
        <f>IF(A280="","",IF(OR(ABS(N280)&gt;Lists!$K$6,ABS(Q280)&gt;Lists!$K$3,ABS(T280)&gt;Lists!$K$4,ABS(U280)&gt;Lists!$K$5),"Failed","Passed"))</f>
        <v/>
      </c>
      <c r="AB280" s="8"/>
      <c r="AC280" s="8"/>
      <c r="AD280" s="8"/>
      <c r="AE280" s="10"/>
      <c r="AF280" s="8"/>
    </row>
    <row r="281" spans="1:32">
      <c r="A281" s="8"/>
      <c r="B281" s="10"/>
      <c r="C281" s="8"/>
      <c r="D281" s="8"/>
      <c r="E281" s="8"/>
      <c r="F281" s="8"/>
      <c r="G281" s="13"/>
      <c r="H281" s="13"/>
      <c r="I281" s="13"/>
      <c r="J281" s="14" t="str">
        <f t="shared" si="20"/>
        <v/>
      </c>
      <c r="K281" s="13"/>
      <c r="L281" s="14" t="str">
        <f t="shared" si="21"/>
        <v/>
      </c>
      <c r="M281" s="13"/>
      <c r="N281" s="16" t="str">
        <f t="shared" si="22"/>
        <v/>
      </c>
      <c r="O281" s="13"/>
      <c r="P281" s="13"/>
      <c r="Q281" s="16" t="str">
        <f t="shared" si="23"/>
        <v/>
      </c>
      <c r="R281" s="13"/>
      <c r="S281" s="13"/>
      <c r="T281" s="16" t="str">
        <f t="shared" si="24"/>
        <v/>
      </c>
      <c r="U281" s="15"/>
      <c r="V281" s="15"/>
      <c r="W281" s="15"/>
      <c r="X281" s="8"/>
      <c r="Y281" s="8"/>
      <c r="Z281" s="8"/>
      <c r="AA281" s="9" t="str">
        <f>IF(A281="","",IF(OR(ABS(N281)&gt;Lists!$K$6,ABS(Q281)&gt;Lists!$K$3,ABS(T281)&gt;Lists!$K$4,ABS(U281)&gt;Lists!$K$5),"Failed","Passed"))</f>
        <v/>
      </c>
      <c r="AB281" s="8"/>
      <c r="AC281" s="8"/>
      <c r="AD281" s="8"/>
      <c r="AE281" s="10"/>
      <c r="AF281" s="8"/>
    </row>
    <row r="282" spans="1:32">
      <c r="A282" s="8"/>
      <c r="B282" s="10"/>
      <c r="C282" s="8"/>
      <c r="D282" s="8"/>
      <c r="E282" s="8"/>
      <c r="F282" s="8"/>
      <c r="G282" s="13"/>
      <c r="H282" s="13"/>
      <c r="I282" s="13"/>
      <c r="J282" s="14" t="str">
        <f t="shared" si="20"/>
        <v/>
      </c>
      <c r="K282" s="13"/>
      <c r="L282" s="14" t="str">
        <f t="shared" si="21"/>
        <v/>
      </c>
      <c r="M282" s="13"/>
      <c r="N282" s="16" t="str">
        <f t="shared" si="22"/>
        <v/>
      </c>
      <c r="O282" s="13"/>
      <c r="P282" s="13"/>
      <c r="Q282" s="16" t="str">
        <f t="shared" si="23"/>
        <v/>
      </c>
      <c r="R282" s="13"/>
      <c r="S282" s="13"/>
      <c r="T282" s="16" t="str">
        <f t="shared" si="24"/>
        <v/>
      </c>
      <c r="U282" s="15"/>
      <c r="V282" s="15"/>
      <c r="W282" s="15"/>
      <c r="X282" s="8"/>
      <c r="Y282" s="8"/>
      <c r="Z282" s="8"/>
      <c r="AA282" s="9" t="str">
        <f>IF(A282="","",IF(OR(ABS(N282)&gt;Lists!$K$6,ABS(Q282)&gt;Lists!$K$3,ABS(T282)&gt;Lists!$K$4,ABS(U282)&gt;Lists!$K$5),"Failed","Passed"))</f>
        <v/>
      </c>
      <c r="AB282" s="8"/>
      <c r="AC282" s="8"/>
      <c r="AD282" s="8"/>
      <c r="AE282" s="10"/>
      <c r="AF282" s="8"/>
    </row>
    <row r="283" spans="1:32">
      <c r="A283" s="8"/>
      <c r="B283" s="10"/>
      <c r="C283" s="8"/>
      <c r="D283" s="8"/>
      <c r="E283" s="8"/>
      <c r="F283" s="8"/>
      <c r="G283" s="13"/>
      <c r="H283" s="13"/>
      <c r="I283" s="13"/>
      <c r="J283" s="14" t="str">
        <f t="shared" si="20"/>
        <v/>
      </c>
      <c r="K283" s="13"/>
      <c r="L283" s="14" t="str">
        <f t="shared" si="21"/>
        <v/>
      </c>
      <c r="M283" s="13"/>
      <c r="N283" s="16" t="str">
        <f t="shared" si="22"/>
        <v/>
      </c>
      <c r="O283" s="13"/>
      <c r="P283" s="13"/>
      <c r="Q283" s="16" t="str">
        <f t="shared" si="23"/>
        <v/>
      </c>
      <c r="R283" s="13"/>
      <c r="S283" s="13"/>
      <c r="T283" s="16" t="str">
        <f t="shared" si="24"/>
        <v/>
      </c>
      <c r="U283" s="15"/>
      <c r="V283" s="15"/>
      <c r="W283" s="15"/>
      <c r="X283" s="8"/>
      <c r="Y283" s="8"/>
      <c r="Z283" s="8"/>
      <c r="AA283" s="9" t="str">
        <f>IF(A283="","",IF(OR(ABS(N283)&gt;Lists!$K$6,ABS(Q283)&gt;Lists!$K$3,ABS(T283)&gt;Lists!$K$4,ABS(U283)&gt;Lists!$K$5),"Failed","Passed"))</f>
        <v/>
      </c>
      <c r="AB283" s="8"/>
      <c r="AC283" s="8"/>
      <c r="AD283" s="8"/>
      <c r="AE283" s="10"/>
      <c r="AF283" s="8"/>
    </row>
    <row r="284" spans="1:32">
      <c r="A284" s="8"/>
      <c r="B284" s="10"/>
      <c r="C284" s="8"/>
      <c r="D284" s="8"/>
      <c r="E284" s="8"/>
      <c r="F284" s="8"/>
      <c r="G284" s="13"/>
      <c r="H284" s="13"/>
      <c r="I284" s="13"/>
      <c r="J284" s="14" t="str">
        <f t="shared" si="20"/>
        <v/>
      </c>
      <c r="K284" s="13"/>
      <c r="L284" s="14" t="str">
        <f t="shared" si="21"/>
        <v/>
      </c>
      <c r="M284" s="13"/>
      <c r="N284" s="16" t="str">
        <f t="shared" si="22"/>
        <v/>
      </c>
      <c r="O284" s="13"/>
      <c r="P284" s="13"/>
      <c r="Q284" s="16" t="str">
        <f t="shared" si="23"/>
        <v/>
      </c>
      <c r="R284" s="13"/>
      <c r="S284" s="13"/>
      <c r="T284" s="16" t="str">
        <f t="shared" si="24"/>
        <v/>
      </c>
      <c r="U284" s="15"/>
      <c r="V284" s="15"/>
      <c r="W284" s="15"/>
      <c r="X284" s="8"/>
      <c r="Y284" s="8"/>
      <c r="Z284" s="8"/>
      <c r="AA284" s="9" t="str">
        <f>IF(A284="","",IF(OR(ABS(N284)&gt;Lists!$K$6,ABS(Q284)&gt;Lists!$K$3,ABS(T284)&gt;Lists!$K$4,ABS(U284)&gt;Lists!$K$5),"Failed","Passed"))</f>
        <v/>
      </c>
      <c r="AB284" s="8"/>
      <c r="AC284" s="8"/>
      <c r="AD284" s="8"/>
      <c r="AE284" s="10"/>
      <c r="AF284" s="8"/>
    </row>
    <row r="285" spans="1:32">
      <c r="A285" s="8"/>
      <c r="B285" s="10"/>
      <c r="C285" s="8"/>
      <c r="D285" s="8"/>
      <c r="E285" s="8"/>
      <c r="F285" s="8"/>
      <c r="G285" s="13"/>
      <c r="H285" s="13"/>
      <c r="I285" s="13"/>
      <c r="J285" s="14" t="str">
        <f t="shared" si="20"/>
        <v/>
      </c>
      <c r="K285" s="13"/>
      <c r="L285" s="14" t="str">
        <f t="shared" si="21"/>
        <v/>
      </c>
      <c r="M285" s="13"/>
      <c r="N285" s="16" t="str">
        <f t="shared" si="22"/>
        <v/>
      </c>
      <c r="O285" s="13"/>
      <c r="P285" s="13"/>
      <c r="Q285" s="16" t="str">
        <f t="shared" si="23"/>
        <v/>
      </c>
      <c r="R285" s="13"/>
      <c r="S285" s="13"/>
      <c r="T285" s="16" t="str">
        <f t="shared" si="24"/>
        <v/>
      </c>
      <c r="U285" s="15"/>
      <c r="V285" s="15"/>
      <c r="W285" s="15"/>
      <c r="X285" s="8"/>
      <c r="Y285" s="8"/>
      <c r="Z285" s="8"/>
      <c r="AA285" s="9" t="str">
        <f>IF(A285="","",IF(OR(ABS(N285)&gt;Lists!$K$6,ABS(Q285)&gt;Lists!$K$3,ABS(T285)&gt;Lists!$K$4,ABS(U285)&gt;Lists!$K$5),"Failed","Passed"))</f>
        <v/>
      </c>
      <c r="AB285" s="8"/>
      <c r="AC285" s="8"/>
      <c r="AD285" s="8"/>
      <c r="AE285" s="10"/>
      <c r="AF285" s="8"/>
    </row>
    <row r="286" spans="1:32">
      <c r="A286" s="8"/>
      <c r="B286" s="10"/>
      <c r="C286" s="8"/>
      <c r="D286" s="8"/>
      <c r="E286" s="8"/>
      <c r="F286" s="8"/>
      <c r="G286" s="13"/>
      <c r="H286" s="13"/>
      <c r="I286" s="13"/>
      <c r="J286" s="14" t="str">
        <f t="shared" si="20"/>
        <v/>
      </c>
      <c r="K286" s="13"/>
      <c r="L286" s="14" t="str">
        <f t="shared" si="21"/>
        <v/>
      </c>
      <c r="M286" s="13"/>
      <c r="N286" s="16" t="str">
        <f t="shared" si="22"/>
        <v/>
      </c>
      <c r="O286" s="13"/>
      <c r="P286" s="13"/>
      <c r="Q286" s="16" t="str">
        <f t="shared" si="23"/>
        <v/>
      </c>
      <c r="R286" s="13"/>
      <c r="S286" s="13"/>
      <c r="T286" s="16" t="str">
        <f t="shared" si="24"/>
        <v/>
      </c>
      <c r="U286" s="15"/>
      <c r="V286" s="15"/>
      <c r="W286" s="15"/>
      <c r="X286" s="8"/>
      <c r="Y286" s="8"/>
      <c r="Z286" s="8"/>
      <c r="AA286" s="9" t="str">
        <f>IF(A286="","",IF(OR(ABS(N286)&gt;Lists!$K$6,ABS(Q286)&gt;Lists!$K$3,ABS(T286)&gt;Lists!$K$4,ABS(U286)&gt;Lists!$K$5),"Failed","Passed"))</f>
        <v/>
      </c>
      <c r="AB286" s="8"/>
      <c r="AC286" s="8"/>
      <c r="AD286" s="8"/>
      <c r="AE286" s="10"/>
      <c r="AF286" s="8"/>
    </row>
    <row r="287" spans="1:32">
      <c r="A287" s="8"/>
      <c r="B287" s="10"/>
      <c r="C287" s="8"/>
      <c r="D287" s="8"/>
      <c r="E287" s="8"/>
      <c r="F287" s="8"/>
      <c r="G287" s="13"/>
      <c r="H287" s="13"/>
      <c r="I287" s="13"/>
      <c r="J287" s="14" t="str">
        <f t="shared" si="20"/>
        <v/>
      </c>
      <c r="K287" s="13"/>
      <c r="L287" s="14" t="str">
        <f t="shared" si="21"/>
        <v/>
      </c>
      <c r="M287" s="13"/>
      <c r="N287" s="16" t="str">
        <f t="shared" si="22"/>
        <v/>
      </c>
      <c r="O287" s="13"/>
      <c r="P287" s="13"/>
      <c r="Q287" s="16" t="str">
        <f t="shared" si="23"/>
        <v/>
      </c>
      <c r="R287" s="13"/>
      <c r="S287" s="13"/>
      <c r="T287" s="16" t="str">
        <f t="shared" si="24"/>
        <v/>
      </c>
      <c r="U287" s="15"/>
      <c r="V287" s="15"/>
      <c r="W287" s="15"/>
      <c r="X287" s="8"/>
      <c r="Y287" s="8"/>
      <c r="Z287" s="8"/>
      <c r="AA287" s="9" t="str">
        <f>IF(A287="","",IF(OR(ABS(N287)&gt;Lists!$K$6,ABS(Q287)&gt;Lists!$K$3,ABS(T287)&gt;Lists!$K$4,ABS(U287)&gt;Lists!$K$5),"Failed","Passed"))</f>
        <v/>
      </c>
      <c r="AB287" s="8"/>
      <c r="AC287" s="8"/>
      <c r="AD287" s="8"/>
      <c r="AE287" s="10"/>
      <c r="AF287" s="8"/>
    </row>
    <row r="288" spans="1:32">
      <c r="A288" s="8"/>
      <c r="B288" s="10"/>
      <c r="C288" s="8"/>
      <c r="D288" s="8"/>
      <c r="E288" s="8"/>
      <c r="F288" s="8"/>
      <c r="G288" s="13"/>
      <c r="H288" s="13"/>
      <c r="I288" s="13"/>
      <c r="J288" s="14" t="str">
        <f t="shared" si="20"/>
        <v/>
      </c>
      <c r="K288" s="13"/>
      <c r="L288" s="14" t="str">
        <f t="shared" si="21"/>
        <v/>
      </c>
      <c r="M288" s="13"/>
      <c r="N288" s="16" t="str">
        <f t="shared" si="22"/>
        <v/>
      </c>
      <c r="O288" s="13"/>
      <c r="P288" s="13"/>
      <c r="Q288" s="16" t="str">
        <f t="shared" si="23"/>
        <v/>
      </c>
      <c r="R288" s="13"/>
      <c r="S288" s="13"/>
      <c r="T288" s="16" t="str">
        <f t="shared" si="24"/>
        <v/>
      </c>
      <c r="U288" s="15"/>
      <c r="V288" s="15"/>
      <c r="W288" s="15"/>
      <c r="X288" s="8"/>
      <c r="Y288" s="8"/>
      <c r="Z288" s="8"/>
      <c r="AA288" s="9" t="str">
        <f>IF(A288="","",IF(OR(ABS(N288)&gt;Lists!$K$6,ABS(Q288)&gt;Lists!$K$3,ABS(T288)&gt;Lists!$K$4,ABS(U288)&gt;Lists!$K$5),"Failed","Passed"))</f>
        <v/>
      </c>
      <c r="AB288" s="8"/>
      <c r="AC288" s="8"/>
      <c r="AD288" s="8"/>
      <c r="AE288" s="10"/>
      <c r="AF288" s="8"/>
    </row>
    <row r="289" spans="1:32">
      <c r="A289" s="8"/>
      <c r="B289" s="10"/>
      <c r="C289" s="8"/>
      <c r="D289" s="8"/>
      <c r="E289" s="8"/>
      <c r="F289" s="8"/>
      <c r="G289" s="13"/>
      <c r="H289" s="13"/>
      <c r="I289" s="13"/>
      <c r="J289" s="14" t="str">
        <f t="shared" si="20"/>
        <v/>
      </c>
      <c r="K289" s="13"/>
      <c r="L289" s="14" t="str">
        <f t="shared" si="21"/>
        <v/>
      </c>
      <c r="M289" s="13"/>
      <c r="N289" s="16" t="str">
        <f t="shared" si="22"/>
        <v/>
      </c>
      <c r="O289" s="13"/>
      <c r="P289" s="13"/>
      <c r="Q289" s="16" t="str">
        <f t="shared" si="23"/>
        <v/>
      </c>
      <c r="R289" s="13"/>
      <c r="S289" s="13"/>
      <c r="T289" s="16" t="str">
        <f t="shared" si="24"/>
        <v/>
      </c>
      <c r="U289" s="15"/>
      <c r="V289" s="15"/>
      <c r="W289" s="15"/>
      <c r="X289" s="8"/>
      <c r="Y289" s="8"/>
      <c r="Z289" s="8"/>
      <c r="AA289" s="9" t="str">
        <f>IF(A289="","",IF(OR(ABS(N289)&gt;Lists!$K$6,ABS(Q289)&gt;Lists!$K$3,ABS(T289)&gt;Lists!$K$4,ABS(U289)&gt;Lists!$K$5),"Failed","Passed"))</f>
        <v/>
      </c>
      <c r="AB289" s="8"/>
      <c r="AC289" s="8"/>
      <c r="AD289" s="8"/>
      <c r="AE289" s="10"/>
      <c r="AF289" s="8"/>
    </row>
    <row r="290" spans="1:32">
      <c r="A290" s="8"/>
      <c r="B290" s="10"/>
      <c r="C290" s="8"/>
      <c r="D290" s="8"/>
      <c r="E290" s="8"/>
      <c r="F290" s="8"/>
      <c r="G290" s="13"/>
      <c r="H290" s="13"/>
      <c r="I290" s="13"/>
      <c r="J290" s="14" t="str">
        <f t="shared" si="20"/>
        <v/>
      </c>
      <c r="K290" s="13"/>
      <c r="L290" s="14" t="str">
        <f t="shared" si="21"/>
        <v/>
      </c>
      <c r="M290" s="13"/>
      <c r="N290" s="16" t="str">
        <f t="shared" si="22"/>
        <v/>
      </c>
      <c r="O290" s="13"/>
      <c r="P290" s="13"/>
      <c r="Q290" s="16" t="str">
        <f t="shared" si="23"/>
        <v/>
      </c>
      <c r="R290" s="13"/>
      <c r="S290" s="13"/>
      <c r="T290" s="16" t="str">
        <f t="shared" si="24"/>
        <v/>
      </c>
      <c r="U290" s="15"/>
      <c r="V290" s="15"/>
      <c r="W290" s="15"/>
      <c r="X290" s="8"/>
      <c r="Y290" s="8"/>
      <c r="Z290" s="8"/>
      <c r="AA290" s="9" t="str">
        <f>IF(A290="","",IF(OR(ABS(N290)&gt;Lists!$K$6,ABS(Q290)&gt;Lists!$K$3,ABS(T290)&gt;Lists!$K$4,ABS(U290)&gt;Lists!$K$5),"Failed","Passed"))</f>
        <v/>
      </c>
      <c r="AB290" s="8"/>
      <c r="AC290" s="8"/>
      <c r="AD290" s="8"/>
      <c r="AE290" s="10"/>
      <c r="AF290" s="8"/>
    </row>
    <row r="291" spans="1:32">
      <c r="A291" s="8"/>
      <c r="B291" s="10"/>
      <c r="C291" s="8"/>
      <c r="D291" s="8"/>
      <c r="E291" s="8"/>
      <c r="F291" s="8"/>
      <c r="G291" s="13"/>
      <c r="H291" s="13"/>
      <c r="I291" s="13"/>
      <c r="J291" s="14" t="str">
        <f t="shared" si="20"/>
        <v/>
      </c>
      <c r="K291" s="13"/>
      <c r="L291" s="14" t="str">
        <f t="shared" si="21"/>
        <v/>
      </c>
      <c r="M291" s="13"/>
      <c r="N291" s="16" t="str">
        <f t="shared" si="22"/>
        <v/>
      </c>
      <c r="O291" s="13"/>
      <c r="P291" s="13"/>
      <c r="Q291" s="16" t="str">
        <f t="shared" si="23"/>
        <v/>
      </c>
      <c r="R291" s="13"/>
      <c r="S291" s="13"/>
      <c r="T291" s="16" t="str">
        <f t="shared" si="24"/>
        <v/>
      </c>
      <c r="U291" s="15"/>
      <c r="V291" s="15"/>
      <c r="W291" s="15"/>
      <c r="X291" s="8"/>
      <c r="Y291" s="8"/>
      <c r="Z291" s="8"/>
      <c r="AA291" s="9" t="str">
        <f>IF(A291="","",IF(OR(ABS(N291)&gt;Lists!$K$6,ABS(Q291)&gt;Lists!$K$3,ABS(T291)&gt;Lists!$K$4,ABS(U291)&gt;Lists!$K$5),"Failed","Passed"))</f>
        <v/>
      </c>
      <c r="AB291" s="8"/>
      <c r="AC291" s="8"/>
      <c r="AD291" s="8"/>
      <c r="AE291" s="10"/>
      <c r="AF291" s="8"/>
    </row>
    <row r="292" spans="1:32">
      <c r="A292" s="8"/>
      <c r="B292" s="10"/>
      <c r="C292" s="8"/>
      <c r="D292" s="8"/>
      <c r="E292" s="8"/>
      <c r="F292" s="8"/>
      <c r="G292" s="13"/>
      <c r="H292" s="13"/>
      <c r="I292" s="13"/>
      <c r="J292" s="14" t="str">
        <f t="shared" si="20"/>
        <v/>
      </c>
      <c r="K292" s="13"/>
      <c r="L292" s="14" t="str">
        <f t="shared" si="21"/>
        <v/>
      </c>
      <c r="M292" s="13"/>
      <c r="N292" s="16" t="str">
        <f t="shared" si="22"/>
        <v/>
      </c>
      <c r="O292" s="13"/>
      <c r="P292" s="13"/>
      <c r="Q292" s="16" t="str">
        <f t="shared" si="23"/>
        <v/>
      </c>
      <c r="R292" s="13"/>
      <c r="S292" s="13"/>
      <c r="T292" s="16" t="str">
        <f t="shared" si="24"/>
        <v/>
      </c>
      <c r="U292" s="15"/>
      <c r="V292" s="15"/>
      <c r="W292" s="15"/>
      <c r="X292" s="8"/>
      <c r="Y292" s="8"/>
      <c r="Z292" s="8"/>
      <c r="AA292" s="9" t="str">
        <f>IF(A292="","",IF(OR(ABS(N292)&gt;Lists!$K$6,ABS(Q292)&gt;Lists!$K$3,ABS(T292)&gt;Lists!$K$4,ABS(U292)&gt;Lists!$K$5),"Failed","Passed"))</f>
        <v/>
      </c>
      <c r="AB292" s="8"/>
      <c r="AC292" s="8"/>
      <c r="AD292" s="8"/>
      <c r="AE292" s="10"/>
      <c r="AF292" s="8"/>
    </row>
    <row r="293" spans="1:32">
      <c r="A293" s="8"/>
      <c r="B293" s="10"/>
      <c r="C293" s="8"/>
      <c r="D293" s="8"/>
      <c r="E293" s="8"/>
      <c r="F293" s="8"/>
      <c r="G293" s="13"/>
      <c r="H293" s="13"/>
      <c r="I293" s="13"/>
      <c r="J293" s="14" t="str">
        <f t="shared" si="20"/>
        <v/>
      </c>
      <c r="K293" s="13"/>
      <c r="L293" s="14" t="str">
        <f t="shared" si="21"/>
        <v/>
      </c>
      <c r="M293" s="13"/>
      <c r="N293" s="16" t="str">
        <f t="shared" si="22"/>
        <v/>
      </c>
      <c r="O293" s="13"/>
      <c r="P293" s="13"/>
      <c r="Q293" s="16" t="str">
        <f t="shared" si="23"/>
        <v/>
      </c>
      <c r="R293" s="13"/>
      <c r="S293" s="13"/>
      <c r="T293" s="16" t="str">
        <f t="shared" si="24"/>
        <v/>
      </c>
      <c r="U293" s="15"/>
      <c r="V293" s="15"/>
      <c r="W293" s="15"/>
      <c r="X293" s="8"/>
      <c r="Y293" s="8"/>
      <c r="Z293" s="8"/>
      <c r="AA293" s="9" t="str">
        <f>IF(A293="","",IF(OR(ABS(N293)&gt;Lists!$K$6,ABS(Q293)&gt;Lists!$K$3,ABS(T293)&gt;Lists!$K$4,ABS(U293)&gt;Lists!$K$5),"Failed","Passed"))</f>
        <v/>
      </c>
      <c r="AB293" s="8"/>
      <c r="AC293" s="8"/>
      <c r="AD293" s="8"/>
      <c r="AE293" s="10"/>
      <c r="AF293" s="8"/>
    </row>
    <row r="294" spans="1:32">
      <c r="A294" s="8"/>
      <c r="B294" s="10"/>
      <c r="C294" s="8"/>
      <c r="D294" s="8"/>
      <c r="E294" s="8"/>
      <c r="F294" s="8"/>
      <c r="G294" s="13"/>
      <c r="H294" s="13"/>
      <c r="I294" s="13"/>
      <c r="J294" s="14" t="str">
        <f t="shared" si="20"/>
        <v/>
      </c>
      <c r="K294" s="13"/>
      <c r="L294" s="14" t="str">
        <f t="shared" si="21"/>
        <v/>
      </c>
      <c r="M294" s="13"/>
      <c r="N294" s="16" t="str">
        <f t="shared" si="22"/>
        <v/>
      </c>
      <c r="O294" s="13"/>
      <c r="P294" s="13"/>
      <c r="Q294" s="16" t="str">
        <f t="shared" si="23"/>
        <v/>
      </c>
      <c r="R294" s="13"/>
      <c r="S294" s="13"/>
      <c r="T294" s="16" t="str">
        <f t="shared" si="24"/>
        <v/>
      </c>
      <c r="U294" s="15"/>
      <c r="V294" s="15"/>
      <c r="W294" s="15"/>
      <c r="X294" s="8"/>
      <c r="Y294" s="8"/>
      <c r="Z294" s="8"/>
      <c r="AA294" s="9" t="str">
        <f>IF(A294="","",IF(OR(ABS(N294)&gt;Lists!$K$6,ABS(Q294)&gt;Lists!$K$3,ABS(T294)&gt;Lists!$K$4,ABS(U294)&gt;Lists!$K$5),"Failed","Passed"))</f>
        <v/>
      </c>
      <c r="AB294" s="8"/>
      <c r="AC294" s="8"/>
      <c r="AD294" s="8"/>
      <c r="AE294" s="10"/>
      <c r="AF294" s="8"/>
    </row>
    <row r="295" spans="1:32">
      <c r="A295" s="8"/>
      <c r="B295" s="10"/>
      <c r="C295" s="8"/>
      <c r="D295" s="8"/>
      <c r="E295" s="8"/>
      <c r="F295" s="8"/>
      <c r="G295" s="13"/>
      <c r="H295" s="13"/>
      <c r="I295" s="13"/>
      <c r="J295" s="14" t="str">
        <f t="shared" si="20"/>
        <v/>
      </c>
      <c r="K295" s="13"/>
      <c r="L295" s="14" t="str">
        <f t="shared" si="21"/>
        <v/>
      </c>
      <c r="M295" s="13"/>
      <c r="N295" s="16" t="str">
        <f t="shared" si="22"/>
        <v/>
      </c>
      <c r="O295" s="13"/>
      <c r="P295" s="13"/>
      <c r="Q295" s="16" t="str">
        <f t="shared" si="23"/>
        <v/>
      </c>
      <c r="R295" s="13"/>
      <c r="S295" s="13"/>
      <c r="T295" s="16" t="str">
        <f t="shared" si="24"/>
        <v/>
      </c>
      <c r="U295" s="15"/>
      <c r="V295" s="15"/>
      <c r="W295" s="15"/>
      <c r="X295" s="8"/>
      <c r="Y295" s="8"/>
      <c r="Z295" s="8"/>
      <c r="AA295" s="9" t="str">
        <f>IF(A295="","",IF(OR(ABS(N295)&gt;Lists!$K$6,ABS(Q295)&gt;Lists!$K$3,ABS(T295)&gt;Lists!$K$4,ABS(U295)&gt;Lists!$K$5),"Failed","Passed"))</f>
        <v/>
      </c>
      <c r="AB295" s="8"/>
      <c r="AC295" s="8"/>
      <c r="AD295" s="8"/>
      <c r="AE295" s="10"/>
      <c r="AF295" s="8"/>
    </row>
    <row r="296" spans="1:32">
      <c r="A296" s="8"/>
      <c r="B296" s="10"/>
      <c r="C296" s="8"/>
      <c r="D296" s="8"/>
      <c r="E296" s="8"/>
      <c r="F296" s="8"/>
      <c r="G296" s="13"/>
      <c r="H296" s="13"/>
      <c r="I296" s="13"/>
      <c r="J296" s="14" t="str">
        <f t="shared" si="20"/>
        <v/>
      </c>
      <c r="K296" s="13"/>
      <c r="L296" s="14" t="str">
        <f t="shared" si="21"/>
        <v/>
      </c>
      <c r="M296" s="13"/>
      <c r="N296" s="16" t="str">
        <f t="shared" si="22"/>
        <v/>
      </c>
      <c r="O296" s="13"/>
      <c r="P296" s="13"/>
      <c r="Q296" s="16" t="str">
        <f t="shared" si="23"/>
        <v/>
      </c>
      <c r="R296" s="13"/>
      <c r="S296" s="13"/>
      <c r="T296" s="16" t="str">
        <f t="shared" si="24"/>
        <v/>
      </c>
      <c r="U296" s="15"/>
      <c r="V296" s="15"/>
      <c r="W296" s="15"/>
      <c r="X296" s="8"/>
      <c r="Y296" s="8"/>
      <c r="Z296" s="8"/>
      <c r="AA296" s="9" t="str">
        <f>IF(A296="","",IF(OR(ABS(N296)&gt;Lists!$K$6,ABS(Q296)&gt;Lists!$K$3,ABS(T296)&gt;Lists!$K$4,ABS(U296)&gt;Lists!$K$5),"Failed","Passed"))</f>
        <v/>
      </c>
      <c r="AB296" s="8"/>
      <c r="AC296" s="8"/>
      <c r="AD296" s="8"/>
      <c r="AE296" s="10"/>
      <c r="AF296" s="8"/>
    </row>
    <row r="297" spans="1:32">
      <c r="A297" s="8"/>
      <c r="B297" s="10"/>
      <c r="C297" s="8"/>
      <c r="D297" s="8"/>
      <c r="E297" s="8"/>
      <c r="F297" s="8"/>
      <c r="G297" s="13"/>
      <c r="H297" s="13"/>
      <c r="I297" s="13"/>
      <c r="J297" s="14" t="str">
        <f t="shared" si="20"/>
        <v/>
      </c>
      <c r="K297" s="13"/>
      <c r="L297" s="14" t="str">
        <f t="shared" si="21"/>
        <v/>
      </c>
      <c r="M297" s="13"/>
      <c r="N297" s="16" t="str">
        <f t="shared" si="22"/>
        <v/>
      </c>
      <c r="O297" s="13"/>
      <c r="P297" s="13"/>
      <c r="Q297" s="16" t="str">
        <f t="shared" si="23"/>
        <v/>
      </c>
      <c r="R297" s="13"/>
      <c r="S297" s="13"/>
      <c r="T297" s="16" t="str">
        <f t="shared" si="24"/>
        <v/>
      </c>
      <c r="U297" s="15"/>
      <c r="V297" s="15"/>
      <c r="W297" s="15"/>
      <c r="X297" s="8"/>
      <c r="Y297" s="8"/>
      <c r="Z297" s="8"/>
      <c r="AA297" s="9" t="str">
        <f>IF(A297="","",IF(OR(ABS(N297)&gt;Lists!$K$6,ABS(Q297)&gt;Lists!$K$3,ABS(T297)&gt;Lists!$K$4,ABS(U297)&gt;Lists!$K$5),"Failed","Passed"))</f>
        <v/>
      </c>
      <c r="AB297" s="8"/>
      <c r="AC297" s="8"/>
      <c r="AD297" s="8"/>
      <c r="AE297" s="10"/>
      <c r="AF297" s="8"/>
    </row>
    <row r="298" spans="1:32">
      <c r="A298" s="8"/>
      <c r="B298" s="10"/>
      <c r="C298" s="8"/>
      <c r="D298" s="8"/>
      <c r="E298" s="8"/>
      <c r="F298" s="8"/>
      <c r="G298" s="13"/>
      <c r="H298" s="13"/>
      <c r="I298" s="13"/>
      <c r="J298" s="14" t="str">
        <f t="shared" si="20"/>
        <v/>
      </c>
      <c r="K298" s="13"/>
      <c r="L298" s="14" t="str">
        <f t="shared" si="21"/>
        <v/>
      </c>
      <c r="M298" s="13"/>
      <c r="N298" s="16" t="str">
        <f t="shared" si="22"/>
        <v/>
      </c>
      <c r="O298" s="13"/>
      <c r="P298" s="13"/>
      <c r="Q298" s="16" t="str">
        <f t="shared" si="23"/>
        <v/>
      </c>
      <c r="R298" s="13"/>
      <c r="S298" s="13"/>
      <c r="T298" s="16" t="str">
        <f t="shared" si="24"/>
        <v/>
      </c>
      <c r="U298" s="15"/>
      <c r="V298" s="15"/>
      <c r="W298" s="15"/>
      <c r="X298" s="8"/>
      <c r="Y298" s="8"/>
      <c r="Z298" s="8"/>
      <c r="AA298" s="9" t="str">
        <f>IF(A298="","",IF(OR(ABS(N298)&gt;Lists!$K$6,ABS(Q298)&gt;Lists!$K$3,ABS(T298)&gt;Lists!$K$4,ABS(U298)&gt;Lists!$K$5),"Failed","Passed"))</f>
        <v/>
      </c>
      <c r="AB298" s="8"/>
      <c r="AC298" s="8"/>
      <c r="AD298" s="8"/>
      <c r="AE298" s="10"/>
      <c r="AF298" s="8"/>
    </row>
    <row r="299" spans="1:32">
      <c r="A299" s="8"/>
      <c r="B299" s="10"/>
      <c r="C299" s="8"/>
      <c r="D299" s="8"/>
      <c r="E299" s="8"/>
      <c r="F299" s="8"/>
      <c r="G299" s="13"/>
      <c r="H299" s="13"/>
      <c r="I299" s="13"/>
      <c r="J299" s="14" t="str">
        <f t="shared" si="20"/>
        <v/>
      </c>
      <c r="K299" s="13"/>
      <c r="L299" s="14" t="str">
        <f t="shared" si="21"/>
        <v/>
      </c>
      <c r="M299" s="13"/>
      <c r="N299" s="16" t="str">
        <f t="shared" si="22"/>
        <v/>
      </c>
      <c r="O299" s="13"/>
      <c r="P299" s="13"/>
      <c r="Q299" s="16" t="str">
        <f t="shared" si="23"/>
        <v/>
      </c>
      <c r="R299" s="13"/>
      <c r="S299" s="13"/>
      <c r="T299" s="16" t="str">
        <f t="shared" si="24"/>
        <v/>
      </c>
      <c r="U299" s="15"/>
      <c r="V299" s="15"/>
      <c r="W299" s="15"/>
      <c r="X299" s="8"/>
      <c r="Y299" s="8"/>
      <c r="Z299" s="8"/>
      <c r="AA299" s="9" t="str">
        <f>IF(A299="","",IF(OR(ABS(N299)&gt;Lists!$K$6,ABS(Q299)&gt;Lists!$K$3,ABS(T299)&gt;Lists!$K$4,ABS(U299)&gt;Lists!$K$5),"Failed","Passed"))</f>
        <v/>
      </c>
      <c r="AB299" s="8"/>
      <c r="AC299" s="8"/>
      <c r="AD299" s="8"/>
      <c r="AE299" s="10"/>
      <c r="AF299" s="8"/>
    </row>
    <row r="300" spans="1:32">
      <c r="A300" s="8"/>
      <c r="B300" s="10"/>
      <c r="C300" s="8"/>
      <c r="D300" s="8"/>
      <c r="E300" s="8"/>
      <c r="F300" s="8"/>
      <c r="G300" s="13"/>
      <c r="H300" s="13"/>
      <c r="I300" s="13"/>
      <c r="J300" s="14" t="str">
        <f t="shared" si="20"/>
        <v/>
      </c>
      <c r="K300" s="13"/>
      <c r="L300" s="14" t="str">
        <f t="shared" si="21"/>
        <v/>
      </c>
      <c r="M300" s="13"/>
      <c r="N300" s="16" t="str">
        <f t="shared" si="22"/>
        <v/>
      </c>
      <c r="O300" s="13"/>
      <c r="P300" s="13"/>
      <c r="Q300" s="16" t="str">
        <f t="shared" si="23"/>
        <v/>
      </c>
      <c r="R300" s="13"/>
      <c r="S300" s="13"/>
      <c r="T300" s="16" t="str">
        <f t="shared" si="24"/>
        <v/>
      </c>
      <c r="U300" s="15"/>
      <c r="V300" s="15"/>
      <c r="W300" s="15"/>
      <c r="X300" s="8"/>
      <c r="Y300" s="8"/>
      <c r="Z300" s="8"/>
      <c r="AA300" s="9" t="str">
        <f>IF(A300="","",IF(OR(ABS(N300)&gt;Lists!$K$6,ABS(Q300)&gt;Lists!$K$3,ABS(T300)&gt;Lists!$K$4,ABS(U300)&gt;Lists!$K$5),"Failed","Passed"))</f>
        <v/>
      </c>
      <c r="AB300" s="8"/>
      <c r="AC300" s="8"/>
      <c r="AD300" s="8"/>
      <c r="AE300" s="10"/>
      <c r="AF300" s="8"/>
    </row>
    <row r="301" spans="1:32">
      <c r="A301" s="8"/>
      <c r="B301" s="10"/>
      <c r="C301" s="8"/>
      <c r="D301" s="8"/>
      <c r="E301" s="8"/>
      <c r="F301" s="8"/>
      <c r="G301" s="13"/>
      <c r="H301" s="13"/>
      <c r="I301" s="13"/>
      <c r="J301" s="14" t="str">
        <f t="shared" si="20"/>
        <v/>
      </c>
      <c r="K301" s="13"/>
      <c r="L301" s="14" t="str">
        <f t="shared" si="21"/>
        <v/>
      </c>
      <c r="M301" s="13"/>
      <c r="N301" s="16" t="str">
        <f t="shared" si="22"/>
        <v/>
      </c>
      <c r="O301" s="13"/>
      <c r="P301" s="13"/>
      <c r="Q301" s="16" t="str">
        <f t="shared" si="23"/>
        <v/>
      </c>
      <c r="R301" s="13"/>
      <c r="S301" s="13"/>
      <c r="T301" s="16" t="str">
        <f t="shared" si="24"/>
        <v/>
      </c>
      <c r="U301" s="15"/>
      <c r="V301" s="15"/>
      <c r="W301" s="15"/>
      <c r="X301" s="8"/>
      <c r="Y301" s="8"/>
      <c r="Z301" s="8"/>
      <c r="AA301" s="9" t="str">
        <f>IF(A301="","",IF(OR(ABS(N301)&gt;Lists!$K$6,ABS(Q301)&gt;Lists!$K$3,ABS(T301)&gt;Lists!$K$4,ABS(U301)&gt;Lists!$K$5),"Failed","Passed"))</f>
        <v/>
      </c>
      <c r="AB301" s="8"/>
      <c r="AC301" s="8"/>
      <c r="AD301" s="8"/>
      <c r="AE301" s="10"/>
      <c r="AF301" s="8"/>
    </row>
    <row r="302" spans="1:32">
      <c r="A302" s="8"/>
      <c r="B302" s="10"/>
      <c r="C302" s="8"/>
      <c r="D302" s="8"/>
      <c r="E302" s="8"/>
      <c r="F302" s="8"/>
      <c r="G302" s="13"/>
      <c r="H302" s="13"/>
      <c r="I302" s="13"/>
      <c r="J302" s="14" t="str">
        <f t="shared" si="20"/>
        <v/>
      </c>
      <c r="K302" s="13"/>
      <c r="L302" s="14" t="str">
        <f t="shared" si="21"/>
        <v/>
      </c>
      <c r="M302" s="13"/>
      <c r="N302" s="16" t="str">
        <f t="shared" si="22"/>
        <v/>
      </c>
      <c r="O302" s="13"/>
      <c r="P302" s="13"/>
      <c r="Q302" s="16" t="str">
        <f t="shared" si="23"/>
        <v/>
      </c>
      <c r="R302" s="13"/>
      <c r="S302" s="13"/>
      <c r="T302" s="16" t="str">
        <f t="shared" si="24"/>
        <v/>
      </c>
      <c r="U302" s="15"/>
      <c r="V302" s="15"/>
      <c r="W302" s="15"/>
      <c r="X302" s="8"/>
      <c r="Y302" s="8"/>
      <c r="Z302" s="8"/>
      <c r="AA302" s="9" t="str">
        <f>IF(A302="","",IF(OR(ABS(N302)&gt;Lists!$K$6,ABS(Q302)&gt;Lists!$K$3,ABS(T302)&gt;Lists!$K$4,ABS(U302)&gt;Lists!$K$5),"Failed","Passed"))</f>
        <v/>
      </c>
      <c r="AB302" s="8"/>
      <c r="AC302" s="8"/>
      <c r="AD302" s="8"/>
      <c r="AE302" s="10"/>
      <c r="AF302" s="8"/>
    </row>
    <row r="303" spans="1:32">
      <c r="A303" s="8"/>
      <c r="B303" s="10"/>
      <c r="C303" s="8"/>
      <c r="D303" s="8"/>
      <c r="E303" s="8"/>
      <c r="F303" s="8"/>
      <c r="G303" s="13"/>
      <c r="H303" s="13"/>
      <c r="I303" s="13"/>
      <c r="J303" s="14" t="str">
        <f t="shared" si="20"/>
        <v/>
      </c>
      <c r="K303" s="13"/>
      <c r="L303" s="14" t="str">
        <f t="shared" si="21"/>
        <v/>
      </c>
      <c r="M303" s="13"/>
      <c r="N303" s="16" t="str">
        <f t="shared" si="22"/>
        <v/>
      </c>
      <c r="O303" s="13"/>
      <c r="P303" s="13"/>
      <c r="Q303" s="16" t="str">
        <f t="shared" si="23"/>
        <v/>
      </c>
      <c r="R303" s="13"/>
      <c r="S303" s="13"/>
      <c r="T303" s="16" t="str">
        <f t="shared" si="24"/>
        <v/>
      </c>
      <c r="U303" s="15"/>
      <c r="V303" s="15"/>
      <c r="W303" s="15"/>
      <c r="X303" s="8"/>
      <c r="Y303" s="8"/>
      <c r="Z303" s="8"/>
      <c r="AA303" s="9" t="str">
        <f>IF(A303="","",IF(OR(ABS(N303)&gt;Lists!$K$6,ABS(Q303)&gt;Lists!$K$3,ABS(T303)&gt;Lists!$K$4,ABS(U303)&gt;Lists!$K$5),"Failed","Passed"))</f>
        <v/>
      </c>
      <c r="AB303" s="8"/>
      <c r="AC303" s="8"/>
      <c r="AD303" s="8"/>
      <c r="AE303" s="10"/>
      <c r="AF303" s="8"/>
    </row>
    <row r="304" spans="1:32">
      <c r="A304" s="8"/>
      <c r="B304" s="10"/>
      <c r="C304" s="8"/>
      <c r="D304" s="8"/>
      <c r="E304" s="8"/>
      <c r="F304" s="8"/>
      <c r="G304" s="13"/>
      <c r="H304" s="13"/>
      <c r="I304" s="13"/>
      <c r="J304" s="14" t="str">
        <f t="shared" si="20"/>
        <v/>
      </c>
      <c r="K304" s="13"/>
      <c r="L304" s="14" t="str">
        <f t="shared" si="21"/>
        <v/>
      </c>
      <c r="M304" s="13"/>
      <c r="N304" s="16" t="str">
        <f t="shared" si="22"/>
        <v/>
      </c>
      <c r="O304" s="13"/>
      <c r="P304" s="13"/>
      <c r="Q304" s="16" t="str">
        <f t="shared" si="23"/>
        <v/>
      </c>
      <c r="R304" s="13"/>
      <c r="S304" s="13"/>
      <c r="T304" s="16" t="str">
        <f t="shared" si="24"/>
        <v/>
      </c>
      <c r="U304" s="15"/>
      <c r="V304" s="15"/>
      <c r="W304" s="15"/>
      <c r="X304" s="8"/>
      <c r="Y304" s="8"/>
      <c r="Z304" s="8"/>
      <c r="AA304" s="9" t="str">
        <f>IF(A304="","",IF(OR(ABS(N304)&gt;Lists!$K$6,ABS(Q304)&gt;Lists!$K$3,ABS(T304)&gt;Lists!$K$4,ABS(U304)&gt;Lists!$K$5),"Failed","Passed"))</f>
        <v/>
      </c>
      <c r="AB304" s="8"/>
      <c r="AC304" s="8"/>
      <c r="AD304" s="8"/>
      <c r="AE304" s="10"/>
      <c r="AF304" s="8"/>
    </row>
  </sheetData>
  <mergeCells count="2">
    <mergeCell ref="A1:AF1"/>
    <mergeCell ref="A2:AF2"/>
  </mergeCells>
  <conditionalFormatting sqref="A5:A304">
    <cfRule type="duplicateValues" dxfId="84" priority="9"/>
  </conditionalFormatting>
  <conditionalFormatting sqref="AA5:AA304">
    <cfRule type="containsText" dxfId="83" priority="1" operator="containsText" text="Approved"/>
    <cfRule type="containsText" dxfId="82" priority="4" operator="containsText" text="Failed"/>
    <cfRule type="containsText" dxfId="81" priority="7" operator="containsText" text="On Hold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04"/>
  <sheetViews>
    <sheetView showGridLines="0" workbookViewId="0">
      <selection sqref="A1:U1"/>
    </sheetView>
  </sheetViews>
  <sheetFormatPr baseColWidth="10" defaultColWidth="8.83203125" defaultRowHeight="14"/>
  <cols>
    <col min="1" max="3" width="14" customWidth="1"/>
    <col min="4" max="5" width="13" customWidth="1"/>
    <col min="6" max="6" width="16" customWidth="1"/>
    <col min="7" max="7" width="14" customWidth="1"/>
    <col min="8" max="8" width="18" customWidth="1"/>
    <col min="9" max="9" width="17" customWidth="1"/>
    <col min="10" max="10" width="15" customWidth="1"/>
    <col min="11" max="11" width="16" customWidth="1"/>
    <col min="12" max="13" width="14" customWidth="1"/>
    <col min="14" max="14" width="15" customWidth="1"/>
    <col min="15" max="16" width="17" customWidth="1"/>
    <col min="17" max="17" width="15" customWidth="1"/>
    <col min="18" max="18" width="14" customWidth="1"/>
    <col min="19" max="19" width="20" customWidth="1"/>
    <col min="20" max="20" width="15" customWidth="1"/>
    <col min="21" max="21" width="24" customWidth="1"/>
  </cols>
  <sheetData>
    <row r="1" spans="1:21" ht="30" customHeight="1">
      <c r="A1" s="52" t="s">
        <v>231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4" spans="1:21" ht="44" customHeight="1">
      <c r="A4" s="6" t="s">
        <v>232</v>
      </c>
      <c r="B4" s="6" t="s">
        <v>233</v>
      </c>
      <c r="C4" s="6" t="s">
        <v>44</v>
      </c>
      <c r="D4" s="6" t="s">
        <v>45</v>
      </c>
      <c r="E4" s="6" t="s">
        <v>46</v>
      </c>
      <c r="F4" s="6" t="s">
        <v>234</v>
      </c>
      <c r="G4" s="6" t="s">
        <v>235</v>
      </c>
      <c r="H4" s="6" t="s">
        <v>236</v>
      </c>
      <c r="I4" s="6" t="s">
        <v>237</v>
      </c>
      <c r="J4" s="6" t="s">
        <v>238</v>
      </c>
      <c r="K4" s="6" t="s">
        <v>239</v>
      </c>
      <c r="L4" s="6" t="s">
        <v>240</v>
      </c>
      <c r="M4" s="6" t="s">
        <v>241</v>
      </c>
      <c r="N4" s="6" t="s">
        <v>242</v>
      </c>
      <c r="O4" s="6" t="s">
        <v>243</v>
      </c>
      <c r="P4" s="6" t="s">
        <v>244</v>
      </c>
      <c r="Q4" s="6" t="s">
        <v>245</v>
      </c>
      <c r="R4" s="6" t="s">
        <v>130</v>
      </c>
      <c r="S4" s="6" t="s">
        <v>160</v>
      </c>
      <c r="T4" s="6" t="s">
        <v>63</v>
      </c>
      <c r="U4" s="6" t="s">
        <v>161</v>
      </c>
    </row>
    <row r="5" spans="1:21">
      <c r="A5" s="8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tr">
        <f t="shared" ref="Q5:Q68" si="0">IF(A5="","",IF(OR(L5="Failed",M5="Failed",O5="Failed",P5="Failed"),"Failed",IF(OR(L5="On Hold",M5="On Hold",O5="On Hold",P5="On Hold"),"On Hold","Approved")))</f>
        <v/>
      </c>
      <c r="R5" s="8"/>
      <c r="S5" s="8"/>
      <c r="T5" s="10"/>
      <c r="U5" s="8"/>
    </row>
    <row r="6" spans="1:21">
      <c r="A6" s="8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 t="str">
        <f t="shared" si="0"/>
        <v/>
      </c>
      <c r="R6" s="8"/>
      <c r="S6" s="8"/>
      <c r="T6" s="10"/>
      <c r="U6" s="8"/>
    </row>
    <row r="7" spans="1:21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 t="str">
        <f t="shared" si="0"/>
        <v/>
      </c>
      <c r="R7" s="8"/>
      <c r="S7" s="8"/>
      <c r="T7" s="10"/>
      <c r="U7" s="8"/>
    </row>
    <row r="8" spans="1:21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 t="str">
        <f t="shared" si="0"/>
        <v/>
      </c>
      <c r="R8" s="8"/>
      <c r="S8" s="8"/>
      <c r="T8" s="10"/>
      <c r="U8" s="8"/>
    </row>
    <row r="9" spans="1:21">
      <c r="A9" s="8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 t="str">
        <f t="shared" si="0"/>
        <v/>
      </c>
      <c r="R9" s="8"/>
      <c r="S9" s="8"/>
      <c r="T9" s="10"/>
      <c r="U9" s="8"/>
    </row>
    <row r="10" spans="1:21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 t="str">
        <f t="shared" si="0"/>
        <v/>
      </c>
      <c r="R10" s="8"/>
      <c r="S10" s="8"/>
      <c r="T10" s="10"/>
      <c r="U10" s="8"/>
    </row>
    <row r="11" spans="1:21">
      <c r="A11" s="8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 t="str">
        <f t="shared" si="0"/>
        <v/>
      </c>
      <c r="R11" s="8"/>
      <c r="S11" s="8"/>
      <c r="T11" s="10"/>
      <c r="U11" s="8"/>
    </row>
    <row r="12" spans="1:21">
      <c r="A12" s="8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 t="str">
        <f t="shared" si="0"/>
        <v/>
      </c>
      <c r="R12" s="8"/>
      <c r="S12" s="8"/>
      <c r="T12" s="10"/>
      <c r="U12" s="8"/>
    </row>
    <row r="13" spans="1:21">
      <c r="A13" s="8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 t="str">
        <f t="shared" si="0"/>
        <v/>
      </c>
      <c r="R13" s="8"/>
      <c r="S13" s="8"/>
      <c r="T13" s="10"/>
      <c r="U13" s="8"/>
    </row>
    <row r="14" spans="1:21">
      <c r="A14" s="8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 t="str">
        <f t="shared" si="0"/>
        <v/>
      </c>
      <c r="R14" s="8"/>
      <c r="S14" s="8"/>
      <c r="T14" s="10"/>
      <c r="U14" s="8"/>
    </row>
    <row r="15" spans="1:21">
      <c r="A15" s="8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 t="str">
        <f t="shared" si="0"/>
        <v/>
      </c>
      <c r="R15" s="8"/>
      <c r="S15" s="8"/>
      <c r="T15" s="10"/>
      <c r="U15" s="8"/>
    </row>
    <row r="16" spans="1:21">
      <c r="A16" s="8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 t="str">
        <f t="shared" si="0"/>
        <v/>
      </c>
      <c r="R16" s="8"/>
      <c r="S16" s="8"/>
      <c r="T16" s="10"/>
      <c r="U16" s="8"/>
    </row>
    <row r="17" spans="1:21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 t="str">
        <f t="shared" si="0"/>
        <v/>
      </c>
      <c r="R17" s="8"/>
      <c r="S17" s="8"/>
      <c r="T17" s="10"/>
      <c r="U17" s="8"/>
    </row>
    <row r="18" spans="1:21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 t="str">
        <f t="shared" si="0"/>
        <v/>
      </c>
      <c r="R18" s="8"/>
      <c r="S18" s="8"/>
      <c r="T18" s="10"/>
      <c r="U18" s="8"/>
    </row>
    <row r="19" spans="1:21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 t="str">
        <f t="shared" si="0"/>
        <v/>
      </c>
      <c r="R19" s="8"/>
      <c r="S19" s="8"/>
      <c r="T19" s="10"/>
      <c r="U19" s="8"/>
    </row>
    <row r="20" spans="1:21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 t="str">
        <f t="shared" si="0"/>
        <v/>
      </c>
      <c r="R20" s="8"/>
      <c r="S20" s="8"/>
      <c r="T20" s="10"/>
      <c r="U20" s="8"/>
    </row>
    <row r="21" spans="1:21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 t="str">
        <f t="shared" si="0"/>
        <v/>
      </c>
      <c r="R21" s="8"/>
      <c r="S21" s="8"/>
      <c r="T21" s="10"/>
      <c r="U21" s="8"/>
    </row>
    <row r="22" spans="1:21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 t="str">
        <f t="shared" si="0"/>
        <v/>
      </c>
      <c r="R22" s="8"/>
      <c r="S22" s="8"/>
      <c r="T22" s="10"/>
      <c r="U22" s="8"/>
    </row>
    <row r="23" spans="1:21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 t="str">
        <f t="shared" si="0"/>
        <v/>
      </c>
      <c r="R23" s="8"/>
      <c r="S23" s="8"/>
      <c r="T23" s="10"/>
      <c r="U23" s="8"/>
    </row>
    <row r="24" spans="1:21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 t="str">
        <f t="shared" si="0"/>
        <v/>
      </c>
      <c r="R24" s="8"/>
      <c r="S24" s="8"/>
      <c r="T24" s="10"/>
      <c r="U24" s="8"/>
    </row>
    <row r="25" spans="1:21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 t="str">
        <f t="shared" si="0"/>
        <v/>
      </c>
      <c r="R25" s="8"/>
      <c r="S25" s="8"/>
      <c r="T25" s="10"/>
      <c r="U25" s="8"/>
    </row>
    <row r="26" spans="1:21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 t="str">
        <f t="shared" si="0"/>
        <v/>
      </c>
      <c r="R26" s="8"/>
      <c r="S26" s="8"/>
      <c r="T26" s="10"/>
      <c r="U26" s="8"/>
    </row>
    <row r="27" spans="1:21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 t="str">
        <f t="shared" si="0"/>
        <v/>
      </c>
      <c r="R27" s="8"/>
      <c r="S27" s="8"/>
      <c r="T27" s="10"/>
      <c r="U27" s="8"/>
    </row>
    <row r="28" spans="1:21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 t="str">
        <f t="shared" si="0"/>
        <v/>
      </c>
      <c r="R28" s="8"/>
      <c r="S28" s="8"/>
      <c r="T28" s="10"/>
      <c r="U28" s="8"/>
    </row>
    <row r="29" spans="1:21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 t="str">
        <f t="shared" si="0"/>
        <v/>
      </c>
      <c r="R29" s="8"/>
      <c r="S29" s="8"/>
      <c r="T29" s="10"/>
      <c r="U29" s="8"/>
    </row>
    <row r="30" spans="1:21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 t="str">
        <f t="shared" si="0"/>
        <v/>
      </c>
      <c r="R30" s="8"/>
      <c r="S30" s="8"/>
      <c r="T30" s="10"/>
      <c r="U30" s="8"/>
    </row>
    <row r="31" spans="1:21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 t="str">
        <f t="shared" si="0"/>
        <v/>
      </c>
      <c r="R31" s="8"/>
      <c r="S31" s="8"/>
      <c r="T31" s="10"/>
      <c r="U31" s="8"/>
    </row>
    <row r="32" spans="1:21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 t="str">
        <f t="shared" si="0"/>
        <v/>
      </c>
      <c r="R32" s="8"/>
      <c r="S32" s="8"/>
      <c r="T32" s="10"/>
      <c r="U32" s="8"/>
    </row>
    <row r="33" spans="1:21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 t="str">
        <f t="shared" si="0"/>
        <v/>
      </c>
      <c r="R33" s="8"/>
      <c r="S33" s="8"/>
      <c r="T33" s="10"/>
      <c r="U33" s="8"/>
    </row>
    <row r="34" spans="1:21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 t="str">
        <f t="shared" si="0"/>
        <v/>
      </c>
      <c r="R34" s="8"/>
      <c r="S34" s="8"/>
      <c r="T34" s="10"/>
      <c r="U34" s="8"/>
    </row>
    <row r="35" spans="1:21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 t="str">
        <f t="shared" si="0"/>
        <v/>
      </c>
      <c r="R35" s="8"/>
      <c r="S35" s="8"/>
      <c r="T35" s="10"/>
      <c r="U35" s="8"/>
    </row>
    <row r="36" spans="1:21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 t="str">
        <f t="shared" si="0"/>
        <v/>
      </c>
      <c r="R36" s="8"/>
      <c r="S36" s="8"/>
      <c r="T36" s="10"/>
      <c r="U36" s="8"/>
    </row>
    <row r="37" spans="1:21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 t="str">
        <f t="shared" si="0"/>
        <v/>
      </c>
      <c r="R37" s="8"/>
      <c r="S37" s="8"/>
      <c r="T37" s="10"/>
      <c r="U37" s="8"/>
    </row>
    <row r="38" spans="1:21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 t="str">
        <f t="shared" si="0"/>
        <v/>
      </c>
      <c r="R38" s="8"/>
      <c r="S38" s="8"/>
      <c r="T38" s="10"/>
      <c r="U38" s="8"/>
    </row>
    <row r="39" spans="1:21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 t="str">
        <f t="shared" si="0"/>
        <v/>
      </c>
      <c r="R39" s="8"/>
      <c r="S39" s="8"/>
      <c r="T39" s="10"/>
      <c r="U39" s="8"/>
    </row>
    <row r="40" spans="1:21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 t="str">
        <f t="shared" si="0"/>
        <v/>
      </c>
      <c r="R40" s="8"/>
      <c r="S40" s="8"/>
      <c r="T40" s="10"/>
      <c r="U40" s="8"/>
    </row>
    <row r="41" spans="1:21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 t="str">
        <f t="shared" si="0"/>
        <v/>
      </c>
      <c r="R41" s="8"/>
      <c r="S41" s="8"/>
      <c r="T41" s="10"/>
      <c r="U41" s="8"/>
    </row>
    <row r="42" spans="1:21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 t="str">
        <f t="shared" si="0"/>
        <v/>
      </c>
      <c r="R42" s="8"/>
      <c r="S42" s="8"/>
      <c r="T42" s="10"/>
      <c r="U42" s="8"/>
    </row>
    <row r="43" spans="1:21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9" t="str">
        <f t="shared" si="0"/>
        <v/>
      </c>
      <c r="R43" s="8"/>
      <c r="S43" s="8"/>
      <c r="T43" s="10"/>
      <c r="U43" s="8"/>
    </row>
    <row r="44" spans="1:21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9" t="str">
        <f t="shared" si="0"/>
        <v/>
      </c>
      <c r="R44" s="8"/>
      <c r="S44" s="8"/>
      <c r="T44" s="10"/>
      <c r="U44" s="8"/>
    </row>
    <row r="45" spans="1:21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 t="str">
        <f t="shared" si="0"/>
        <v/>
      </c>
      <c r="R45" s="8"/>
      <c r="S45" s="8"/>
      <c r="T45" s="10"/>
      <c r="U45" s="8"/>
    </row>
    <row r="46" spans="1:21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 t="str">
        <f t="shared" si="0"/>
        <v/>
      </c>
      <c r="R46" s="8"/>
      <c r="S46" s="8"/>
      <c r="T46" s="10"/>
      <c r="U46" s="8"/>
    </row>
    <row r="47" spans="1:21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9" t="str">
        <f t="shared" si="0"/>
        <v/>
      </c>
      <c r="R47" s="8"/>
      <c r="S47" s="8"/>
      <c r="T47" s="10"/>
      <c r="U47" s="8"/>
    </row>
    <row r="48" spans="1:21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9" t="str">
        <f t="shared" si="0"/>
        <v/>
      </c>
      <c r="R48" s="8"/>
      <c r="S48" s="8"/>
      <c r="T48" s="10"/>
      <c r="U48" s="8"/>
    </row>
    <row r="49" spans="1:21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9" t="str">
        <f t="shared" si="0"/>
        <v/>
      </c>
      <c r="R49" s="8"/>
      <c r="S49" s="8"/>
      <c r="T49" s="10"/>
      <c r="U49" s="8"/>
    </row>
    <row r="50" spans="1:21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9" t="str">
        <f t="shared" si="0"/>
        <v/>
      </c>
      <c r="R50" s="8"/>
      <c r="S50" s="8"/>
      <c r="T50" s="10"/>
      <c r="U50" s="8"/>
    </row>
    <row r="51" spans="1:21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9" t="str">
        <f t="shared" si="0"/>
        <v/>
      </c>
      <c r="R51" s="8"/>
      <c r="S51" s="8"/>
      <c r="T51" s="10"/>
      <c r="U51" s="8"/>
    </row>
    <row r="52" spans="1:21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" t="str">
        <f t="shared" si="0"/>
        <v/>
      </c>
      <c r="R52" s="8"/>
      <c r="S52" s="8"/>
      <c r="T52" s="10"/>
      <c r="U52" s="8"/>
    </row>
    <row r="53" spans="1:21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 t="str">
        <f t="shared" si="0"/>
        <v/>
      </c>
      <c r="R53" s="8"/>
      <c r="S53" s="8"/>
      <c r="T53" s="10"/>
      <c r="U53" s="8"/>
    </row>
    <row r="54" spans="1:21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 t="str">
        <f t="shared" si="0"/>
        <v/>
      </c>
      <c r="R54" s="8"/>
      <c r="S54" s="8"/>
      <c r="T54" s="10"/>
      <c r="U54" s="8"/>
    </row>
    <row r="55" spans="1:21">
      <c r="A55" s="8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9" t="str">
        <f t="shared" si="0"/>
        <v/>
      </c>
      <c r="R55" s="8"/>
      <c r="S55" s="8"/>
      <c r="T55" s="10"/>
      <c r="U55" s="8"/>
    </row>
    <row r="56" spans="1:21">
      <c r="A56" s="8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9" t="str">
        <f t="shared" si="0"/>
        <v/>
      </c>
      <c r="R56" s="8"/>
      <c r="S56" s="8"/>
      <c r="T56" s="10"/>
      <c r="U56" s="8"/>
    </row>
    <row r="57" spans="1:21">
      <c r="A57" s="8"/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9" t="str">
        <f t="shared" si="0"/>
        <v/>
      </c>
      <c r="R57" s="8"/>
      <c r="S57" s="8"/>
      <c r="T57" s="10"/>
      <c r="U57" s="8"/>
    </row>
    <row r="58" spans="1:21">
      <c r="A58" s="8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9" t="str">
        <f t="shared" si="0"/>
        <v/>
      </c>
      <c r="R58" s="8"/>
      <c r="S58" s="8"/>
      <c r="T58" s="10"/>
      <c r="U58" s="8"/>
    </row>
    <row r="59" spans="1:21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 t="str">
        <f t="shared" si="0"/>
        <v/>
      </c>
      <c r="R59" s="8"/>
      <c r="S59" s="8"/>
      <c r="T59" s="10"/>
      <c r="U59" s="8"/>
    </row>
    <row r="60" spans="1:21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 t="str">
        <f t="shared" si="0"/>
        <v/>
      </c>
      <c r="R60" s="8"/>
      <c r="S60" s="8"/>
      <c r="T60" s="10"/>
      <c r="U60" s="8"/>
    </row>
    <row r="61" spans="1:21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9" t="str">
        <f t="shared" si="0"/>
        <v/>
      </c>
      <c r="R61" s="8"/>
      <c r="S61" s="8"/>
      <c r="T61" s="10"/>
      <c r="U61" s="8"/>
    </row>
    <row r="62" spans="1:21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9" t="str">
        <f t="shared" si="0"/>
        <v/>
      </c>
      <c r="R62" s="8"/>
      <c r="S62" s="8"/>
      <c r="T62" s="10"/>
      <c r="U62" s="8"/>
    </row>
    <row r="63" spans="1:21">
      <c r="A63" s="8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9" t="str">
        <f t="shared" si="0"/>
        <v/>
      </c>
      <c r="R63" s="8"/>
      <c r="S63" s="8"/>
      <c r="T63" s="10"/>
      <c r="U63" s="8"/>
    </row>
    <row r="64" spans="1:21">
      <c r="A64" s="8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9" t="str">
        <f t="shared" si="0"/>
        <v/>
      </c>
      <c r="R64" s="8"/>
      <c r="S64" s="8"/>
      <c r="T64" s="10"/>
      <c r="U64" s="8"/>
    </row>
    <row r="65" spans="1:21">
      <c r="A65" s="8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9" t="str">
        <f t="shared" si="0"/>
        <v/>
      </c>
      <c r="R65" s="8"/>
      <c r="S65" s="8"/>
      <c r="T65" s="10"/>
      <c r="U65" s="8"/>
    </row>
    <row r="66" spans="1:21">
      <c r="A66" s="8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9" t="str">
        <f t="shared" si="0"/>
        <v/>
      </c>
      <c r="R66" s="8"/>
      <c r="S66" s="8"/>
      <c r="T66" s="10"/>
      <c r="U66" s="8"/>
    </row>
    <row r="67" spans="1:21">
      <c r="A67" s="8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9" t="str">
        <f t="shared" si="0"/>
        <v/>
      </c>
      <c r="R67" s="8"/>
      <c r="S67" s="8"/>
      <c r="T67" s="10"/>
      <c r="U67" s="8"/>
    </row>
    <row r="68" spans="1:21">
      <c r="A68" s="8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9" t="str">
        <f t="shared" si="0"/>
        <v/>
      </c>
      <c r="R68" s="8"/>
      <c r="S68" s="8"/>
      <c r="T68" s="10"/>
      <c r="U68" s="8"/>
    </row>
    <row r="69" spans="1:21">
      <c r="A69" s="8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9" t="str">
        <f t="shared" ref="Q69:Q132" si="1">IF(A69="","",IF(OR(L69="Failed",M69="Failed",O69="Failed",P69="Failed"),"Failed",IF(OR(L69="On Hold",M69="On Hold",O69="On Hold",P69="On Hold"),"On Hold","Approved")))</f>
        <v/>
      </c>
      <c r="R69" s="8"/>
      <c r="S69" s="8"/>
      <c r="T69" s="10"/>
      <c r="U69" s="8"/>
    </row>
    <row r="70" spans="1:21">
      <c r="A70" s="8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9" t="str">
        <f t="shared" si="1"/>
        <v/>
      </c>
      <c r="R70" s="8"/>
      <c r="S70" s="8"/>
      <c r="T70" s="10"/>
      <c r="U70" s="8"/>
    </row>
    <row r="71" spans="1:21">
      <c r="A71" s="8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9" t="str">
        <f t="shared" si="1"/>
        <v/>
      </c>
      <c r="R71" s="8"/>
      <c r="S71" s="8"/>
      <c r="T71" s="10"/>
      <c r="U71" s="8"/>
    </row>
    <row r="72" spans="1:21">
      <c r="A72" s="8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9" t="str">
        <f t="shared" si="1"/>
        <v/>
      </c>
      <c r="R72" s="8"/>
      <c r="S72" s="8"/>
      <c r="T72" s="10"/>
      <c r="U72" s="8"/>
    </row>
    <row r="73" spans="1:21">
      <c r="A73" s="8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9" t="str">
        <f t="shared" si="1"/>
        <v/>
      </c>
      <c r="R73" s="8"/>
      <c r="S73" s="8"/>
      <c r="T73" s="10"/>
      <c r="U73" s="8"/>
    </row>
    <row r="74" spans="1:21">
      <c r="A74" s="8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 t="str">
        <f t="shared" si="1"/>
        <v/>
      </c>
      <c r="R74" s="8"/>
      <c r="S74" s="8"/>
      <c r="T74" s="10"/>
      <c r="U74" s="8"/>
    </row>
    <row r="75" spans="1:21">
      <c r="A75" s="8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9" t="str">
        <f t="shared" si="1"/>
        <v/>
      </c>
      <c r="R75" s="8"/>
      <c r="S75" s="8"/>
      <c r="T75" s="10"/>
      <c r="U75" s="8"/>
    </row>
    <row r="76" spans="1:21">
      <c r="A76" s="8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9" t="str">
        <f t="shared" si="1"/>
        <v/>
      </c>
      <c r="R76" s="8"/>
      <c r="S76" s="8"/>
      <c r="T76" s="10"/>
      <c r="U76" s="8"/>
    </row>
    <row r="77" spans="1:21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9" t="str">
        <f t="shared" si="1"/>
        <v/>
      </c>
      <c r="R77" s="8"/>
      <c r="S77" s="8"/>
      <c r="T77" s="10"/>
      <c r="U77" s="8"/>
    </row>
    <row r="78" spans="1:21">
      <c r="A78" s="8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 t="str">
        <f t="shared" si="1"/>
        <v/>
      </c>
      <c r="R78" s="8"/>
      <c r="S78" s="8"/>
      <c r="T78" s="10"/>
      <c r="U78" s="8"/>
    </row>
    <row r="79" spans="1:21">
      <c r="A79" s="8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9" t="str">
        <f t="shared" si="1"/>
        <v/>
      </c>
      <c r="R79" s="8"/>
      <c r="S79" s="8"/>
      <c r="T79" s="10"/>
      <c r="U79" s="8"/>
    </row>
    <row r="80" spans="1:21">
      <c r="A80" s="8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9" t="str">
        <f t="shared" si="1"/>
        <v/>
      </c>
      <c r="R80" s="8"/>
      <c r="S80" s="8"/>
      <c r="T80" s="10"/>
      <c r="U80" s="8"/>
    </row>
    <row r="81" spans="1:21">
      <c r="A81" s="8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9" t="str">
        <f t="shared" si="1"/>
        <v/>
      </c>
      <c r="R81" s="8"/>
      <c r="S81" s="8"/>
      <c r="T81" s="10"/>
      <c r="U81" s="8"/>
    </row>
    <row r="82" spans="1:21">
      <c r="A82" s="8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9" t="str">
        <f t="shared" si="1"/>
        <v/>
      </c>
      <c r="R82" s="8"/>
      <c r="S82" s="8"/>
      <c r="T82" s="10"/>
      <c r="U82" s="8"/>
    </row>
    <row r="83" spans="1:21">
      <c r="A83" s="8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9" t="str">
        <f t="shared" si="1"/>
        <v/>
      </c>
      <c r="R83" s="8"/>
      <c r="S83" s="8"/>
      <c r="T83" s="10"/>
      <c r="U83" s="8"/>
    </row>
    <row r="84" spans="1:21">
      <c r="A84" s="8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9" t="str">
        <f t="shared" si="1"/>
        <v/>
      </c>
      <c r="R84" s="8"/>
      <c r="S84" s="8"/>
      <c r="T84" s="10"/>
      <c r="U84" s="8"/>
    </row>
    <row r="85" spans="1:21">
      <c r="A85" s="8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9" t="str">
        <f t="shared" si="1"/>
        <v/>
      </c>
      <c r="R85" s="8"/>
      <c r="S85" s="8"/>
      <c r="T85" s="10"/>
      <c r="U85" s="8"/>
    </row>
    <row r="86" spans="1:21">
      <c r="A86" s="8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9" t="str">
        <f t="shared" si="1"/>
        <v/>
      </c>
      <c r="R86" s="8"/>
      <c r="S86" s="8"/>
      <c r="T86" s="10"/>
      <c r="U86" s="8"/>
    </row>
    <row r="87" spans="1:21">
      <c r="A87" s="8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9" t="str">
        <f t="shared" si="1"/>
        <v/>
      </c>
      <c r="R87" s="8"/>
      <c r="S87" s="8"/>
      <c r="T87" s="10"/>
      <c r="U87" s="8"/>
    </row>
    <row r="88" spans="1:21">
      <c r="A88" s="8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9" t="str">
        <f t="shared" si="1"/>
        <v/>
      </c>
      <c r="R88" s="8"/>
      <c r="S88" s="8"/>
      <c r="T88" s="10"/>
      <c r="U88" s="8"/>
    </row>
    <row r="89" spans="1:21">
      <c r="A89" s="8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9" t="str">
        <f t="shared" si="1"/>
        <v/>
      </c>
      <c r="R89" s="8"/>
      <c r="S89" s="8"/>
      <c r="T89" s="10"/>
      <c r="U89" s="8"/>
    </row>
    <row r="90" spans="1:21">
      <c r="A90" s="8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9" t="str">
        <f t="shared" si="1"/>
        <v/>
      </c>
      <c r="R90" s="8"/>
      <c r="S90" s="8"/>
      <c r="T90" s="10"/>
      <c r="U90" s="8"/>
    </row>
    <row r="91" spans="1:21">
      <c r="A91" s="8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9" t="str">
        <f t="shared" si="1"/>
        <v/>
      </c>
      <c r="R91" s="8"/>
      <c r="S91" s="8"/>
      <c r="T91" s="10"/>
      <c r="U91" s="8"/>
    </row>
    <row r="92" spans="1:21">
      <c r="A92" s="8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9" t="str">
        <f t="shared" si="1"/>
        <v/>
      </c>
      <c r="R92" s="8"/>
      <c r="S92" s="8"/>
      <c r="T92" s="10"/>
      <c r="U92" s="8"/>
    </row>
    <row r="93" spans="1:21">
      <c r="A93" s="8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9" t="str">
        <f t="shared" si="1"/>
        <v/>
      </c>
      <c r="R93" s="8"/>
      <c r="S93" s="8"/>
      <c r="T93" s="10"/>
      <c r="U93" s="8"/>
    </row>
    <row r="94" spans="1:21">
      <c r="A94" s="8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9" t="str">
        <f t="shared" si="1"/>
        <v/>
      </c>
      <c r="R94" s="8"/>
      <c r="S94" s="8"/>
      <c r="T94" s="10"/>
      <c r="U94" s="8"/>
    </row>
    <row r="95" spans="1:21">
      <c r="A95" s="8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9" t="str">
        <f t="shared" si="1"/>
        <v/>
      </c>
      <c r="R95" s="8"/>
      <c r="S95" s="8"/>
      <c r="T95" s="10"/>
      <c r="U95" s="8"/>
    </row>
    <row r="96" spans="1:21">
      <c r="A96" s="8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9" t="str">
        <f t="shared" si="1"/>
        <v/>
      </c>
      <c r="R96" s="8"/>
      <c r="S96" s="8"/>
      <c r="T96" s="10"/>
      <c r="U96" s="8"/>
    </row>
    <row r="97" spans="1:21">
      <c r="A97" s="8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9" t="str">
        <f t="shared" si="1"/>
        <v/>
      </c>
      <c r="R97" s="8"/>
      <c r="S97" s="8"/>
      <c r="T97" s="10"/>
      <c r="U97" s="8"/>
    </row>
    <row r="98" spans="1:21">
      <c r="A98" s="8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9" t="str">
        <f t="shared" si="1"/>
        <v/>
      </c>
      <c r="R98" s="8"/>
      <c r="S98" s="8"/>
      <c r="T98" s="10"/>
      <c r="U98" s="8"/>
    </row>
    <row r="99" spans="1:21">
      <c r="A99" s="8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9" t="str">
        <f t="shared" si="1"/>
        <v/>
      </c>
      <c r="R99" s="8"/>
      <c r="S99" s="8"/>
      <c r="T99" s="10"/>
      <c r="U99" s="8"/>
    </row>
    <row r="100" spans="1:21">
      <c r="A100" s="8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9" t="str">
        <f t="shared" si="1"/>
        <v/>
      </c>
      <c r="R100" s="8"/>
      <c r="S100" s="8"/>
      <c r="T100" s="10"/>
      <c r="U100" s="8"/>
    </row>
    <row r="101" spans="1:21">
      <c r="A101" s="8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 t="str">
        <f t="shared" si="1"/>
        <v/>
      </c>
      <c r="R101" s="8"/>
      <c r="S101" s="8"/>
      <c r="T101" s="10"/>
      <c r="U101" s="8"/>
    </row>
    <row r="102" spans="1:21">
      <c r="A102" s="8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 t="str">
        <f t="shared" si="1"/>
        <v/>
      </c>
      <c r="R102" s="8"/>
      <c r="S102" s="8"/>
      <c r="T102" s="10"/>
      <c r="U102" s="8"/>
    </row>
    <row r="103" spans="1:21">
      <c r="A103" s="8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9" t="str">
        <f t="shared" si="1"/>
        <v/>
      </c>
      <c r="R103" s="8"/>
      <c r="S103" s="8"/>
      <c r="T103" s="10"/>
      <c r="U103" s="8"/>
    </row>
    <row r="104" spans="1:21">
      <c r="A104" s="8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9" t="str">
        <f t="shared" si="1"/>
        <v/>
      </c>
      <c r="R104" s="8"/>
      <c r="S104" s="8"/>
      <c r="T104" s="10"/>
      <c r="U104" s="8"/>
    </row>
    <row r="105" spans="1:21">
      <c r="A105" s="8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9" t="str">
        <f t="shared" si="1"/>
        <v/>
      </c>
      <c r="R105" s="8"/>
      <c r="S105" s="8"/>
      <c r="T105" s="10"/>
      <c r="U105" s="8"/>
    </row>
    <row r="106" spans="1:21">
      <c r="A106" s="8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9" t="str">
        <f t="shared" si="1"/>
        <v/>
      </c>
      <c r="R106" s="8"/>
      <c r="S106" s="8"/>
      <c r="T106" s="10"/>
      <c r="U106" s="8"/>
    </row>
    <row r="107" spans="1:21">
      <c r="A107" s="8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9" t="str">
        <f t="shared" si="1"/>
        <v/>
      </c>
      <c r="R107" s="8"/>
      <c r="S107" s="8"/>
      <c r="T107" s="10"/>
      <c r="U107" s="8"/>
    </row>
    <row r="108" spans="1:21">
      <c r="A108" s="8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9" t="str">
        <f t="shared" si="1"/>
        <v/>
      </c>
      <c r="R108" s="8"/>
      <c r="S108" s="8"/>
      <c r="T108" s="10"/>
      <c r="U108" s="8"/>
    </row>
    <row r="109" spans="1:21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9" t="str">
        <f t="shared" si="1"/>
        <v/>
      </c>
      <c r="R109" s="8"/>
      <c r="S109" s="8"/>
      <c r="T109" s="10"/>
      <c r="U109" s="8"/>
    </row>
    <row r="110" spans="1:21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9" t="str">
        <f t="shared" si="1"/>
        <v/>
      </c>
      <c r="R110" s="8"/>
      <c r="S110" s="8"/>
      <c r="T110" s="10"/>
      <c r="U110" s="8"/>
    </row>
    <row r="111" spans="1:21">
      <c r="A111" s="8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9" t="str">
        <f t="shared" si="1"/>
        <v/>
      </c>
      <c r="R111" s="8"/>
      <c r="S111" s="8"/>
      <c r="T111" s="10"/>
      <c r="U111" s="8"/>
    </row>
    <row r="112" spans="1:21">
      <c r="A112" s="8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9" t="str">
        <f t="shared" si="1"/>
        <v/>
      </c>
      <c r="R112" s="8"/>
      <c r="S112" s="8"/>
      <c r="T112" s="10"/>
      <c r="U112" s="8"/>
    </row>
    <row r="113" spans="1:21">
      <c r="A113" s="8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9" t="str">
        <f t="shared" si="1"/>
        <v/>
      </c>
      <c r="R113" s="8"/>
      <c r="S113" s="8"/>
      <c r="T113" s="10"/>
      <c r="U113" s="8"/>
    </row>
    <row r="114" spans="1:21">
      <c r="A114" s="8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9" t="str">
        <f t="shared" si="1"/>
        <v/>
      </c>
      <c r="R114" s="8"/>
      <c r="S114" s="8"/>
      <c r="T114" s="10"/>
      <c r="U114" s="8"/>
    </row>
    <row r="115" spans="1:21">
      <c r="A115" s="8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9" t="str">
        <f t="shared" si="1"/>
        <v/>
      </c>
      <c r="R115" s="8"/>
      <c r="S115" s="8"/>
      <c r="T115" s="10"/>
      <c r="U115" s="8"/>
    </row>
    <row r="116" spans="1:21">
      <c r="A116" s="8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9" t="str">
        <f t="shared" si="1"/>
        <v/>
      </c>
      <c r="R116" s="8"/>
      <c r="S116" s="8"/>
      <c r="T116" s="10"/>
      <c r="U116" s="8"/>
    </row>
    <row r="117" spans="1:21">
      <c r="A117" s="8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9" t="str">
        <f t="shared" si="1"/>
        <v/>
      </c>
      <c r="R117" s="8"/>
      <c r="S117" s="8"/>
      <c r="T117" s="10"/>
      <c r="U117" s="8"/>
    </row>
    <row r="118" spans="1:21">
      <c r="A118" s="8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9" t="str">
        <f t="shared" si="1"/>
        <v/>
      </c>
      <c r="R118" s="8"/>
      <c r="S118" s="8"/>
      <c r="T118" s="10"/>
      <c r="U118" s="8"/>
    </row>
    <row r="119" spans="1:21">
      <c r="A119" s="8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9" t="str">
        <f t="shared" si="1"/>
        <v/>
      </c>
      <c r="R119" s="8"/>
      <c r="S119" s="8"/>
      <c r="T119" s="10"/>
      <c r="U119" s="8"/>
    </row>
    <row r="120" spans="1:21">
      <c r="A120" s="8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9" t="str">
        <f t="shared" si="1"/>
        <v/>
      </c>
      <c r="R120" s="8"/>
      <c r="S120" s="8"/>
      <c r="T120" s="10"/>
      <c r="U120" s="8"/>
    </row>
    <row r="121" spans="1:21">
      <c r="A121" s="8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9" t="str">
        <f t="shared" si="1"/>
        <v/>
      </c>
      <c r="R121" s="8"/>
      <c r="S121" s="8"/>
      <c r="T121" s="10"/>
      <c r="U121" s="8"/>
    </row>
    <row r="122" spans="1:21">
      <c r="A122" s="8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9" t="str">
        <f t="shared" si="1"/>
        <v/>
      </c>
      <c r="R122" s="8"/>
      <c r="S122" s="8"/>
      <c r="T122" s="10"/>
      <c r="U122" s="8"/>
    </row>
    <row r="123" spans="1:21">
      <c r="A123" s="8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9" t="str">
        <f t="shared" si="1"/>
        <v/>
      </c>
      <c r="R123" s="8"/>
      <c r="S123" s="8"/>
      <c r="T123" s="10"/>
      <c r="U123" s="8"/>
    </row>
    <row r="124" spans="1:21">
      <c r="A124" s="8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9" t="str">
        <f t="shared" si="1"/>
        <v/>
      </c>
      <c r="R124" s="8"/>
      <c r="S124" s="8"/>
      <c r="T124" s="10"/>
      <c r="U124" s="8"/>
    </row>
    <row r="125" spans="1:21">
      <c r="A125" s="8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9" t="str">
        <f t="shared" si="1"/>
        <v/>
      </c>
      <c r="R125" s="8"/>
      <c r="S125" s="8"/>
      <c r="T125" s="10"/>
      <c r="U125" s="8"/>
    </row>
    <row r="126" spans="1:21">
      <c r="A126" s="8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9" t="str">
        <f t="shared" si="1"/>
        <v/>
      </c>
      <c r="R126" s="8"/>
      <c r="S126" s="8"/>
      <c r="T126" s="10"/>
      <c r="U126" s="8"/>
    </row>
    <row r="127" spans="1:21">
      <c r="A127" s="8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9" t="str">
        <f t="shared" si="1"/>
        <v/>
      </c>
      <c r="R127" s="8"/>
      <c r="S127" s="8"/>
      <c r="T127" s="10"/>
      <c r="U127" s="8"/>
    </row>
    <row r="128" spans="1:21">
      <c r="A128" s="8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9" t="str">
        <f t="shared" si="1"/>
        <v/>
      </c>
      <c r="R128" s="8"/>
      <c r="S128" s="8"/>
      <c r="T128" s="10"/>
      <c r="U128" s="8"/>
    </row>
    <row r="129" spans="1:21">
      <c r="A129" s="8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9" t="str">
        <f t="shared" si="1"/>
        <v/>
      </c>
      <c r="R129" s="8"/>
      <c r="S129" s="8"/>
      <c r="T129" s="10"/>
      <c r="U129" s="8"/>
    </row>
    <row r="130" spans="1:21">
      <c r="A130" s="8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9" t="str">
        <f t="shared" si="1"/>
        <v/>
      </c>
      <c r="R130" s="8"/>
      <c r="S130" s="8"/>
      <c r="T130" s="10"/>
      <c r="U130" s="8"/>
    </row>
    <row r="131" spans="1:21">
      <c r="A131" s="8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9" t="str">
        <f t="shared" si="1"/>
        <v/>
      </c>
      <c r="R131" s="8"/>
      <c r="S131" s="8"/>
      <c r="T131" s="10"/>
      <c r="U131" s="8"/>
    </row>
    <row r="132" spans="1:21">
      <c r="A132" s="8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9" t="str">
        <f t="shared" si="1"/>
        <v/>
      </c>
      <c r="R132" s="8"/>
      <c r="S132" s="8"/>
      <c r="T132" s="10"/>
      <c r="U132" s="8"/>
    </row>
    <row r="133" spans="1:21">
      <c r="A133" s="8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9" t="str">
        <f t="shared" ref="Q133:Q196" si="2">IF(A133="","",IF(OR(L133="Failed",M133="Failed",O133="Failed",P133="Failed"),"Failed",IF(OR(L133="On Hold",M133="On Hold",O133="On Hold",P133="On Hold"),"On Hold","Approved")))</f>
        <v/>
      </c>
      <c r="R133" s="8"/>
      <c r="S133" s="8"/>
      <c r="T133" s="10"/>
      <c r="U133" s="8"/>
    </row>
    <row r="134" spans="1:21">
      <c r="A134" s="8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9" t="str">
        <f t="shared" si="2"/>
        <v/>
      </c>
      <c r="R134" s="8"/>
      <c r="S134" s="8"/>
      <c r="T134" s="10"/>
      <c r="U134" s="8"/>
    </row>
    <row r="135" spans="1:21">
      <c r="A135" s="8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9" t="str">
        <f t="shared" si="2"/>
        <v/>
      </c>
      <c r="R135" s="8"/>
      <c r="S135" s="8"/>
      <c r="T135" s="10"/>
      <c r="U135" s="8"/>
    </row>
    <row r="136" spans="1:21">
      <c r="A136" s="8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9" t="str">
        <f t="shared" si="2"/>
        <v/>
      </c>
      <c r="R136" s="8"/>
      <c r="S136" s="8"/>
      <c r="T136" s="10"/>
      <c r="U136" s="8"/>
    </row>
    <row r="137" spans="1:21">
      <c r="A137" s="8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9" t="str">
        <f t="shared" si="2"/>
        <v/>
      </c>
      <c r="R137" s="8"/>
      <c r="S137" s="8"/>
      <c r="T137" s="10"/>
      <c r="U137" s="8"/>
    </row>
    <row r="138" spans="1:21">
      <c r="A138" s="8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9" t="str">
        <f t="shared" si="2"/>
        <v/>
      </c>
      <c r="R138" s="8"/>
      <c r="S138" s="8"/>
      <c r="T138" s="10"/>
      <c r="U138" s="8"/>
    </row>
    <row r="139" spans="1:21">
      <c r="A139" s="8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9" t="str">
        <f t="shared" si="2"/>
        <v/>
      </c>
      <c r="R139" s="8"/>
      <c r="S139" s="8"/>
      <c r="T139" s="10"/>
      <c r="U139" s="8"/>
    </row>
    <row r="140" spans="1:21">
      <c r="A140" s="8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9" t="str">
        <f t="shared" si="2"/>
        <v/>
      </c>
      <c r="R140" s="8"/>
      <c r="S140" s="8"/>
      <c r="T140" s="10"/>
      <c r="U140" s="8"/>
    </row>
    <row r="141" spans="1:21">
      <c r="A141" s="8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9" t="str">
        <f t="shared" si="2"/>
        <v/>
      </c>
      <c r="R141" s="8"/>
      <c r="S141" s="8"/>
      <c r="T141" s="10"/>
      <c r="U141" s="8"/>
    </row>
    <row r="142" spans="1:21">
      <c r="A142" s="8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9" t="str">
        <f t="shared" si="2"/>
        <v/>
      </c>
      <c r="R142" s="8"/>
      <c r="S142" s="8"/>
      <c r="T142" s="10"/>
      <c r="U142" s="8"/>
    </row>
    <row r="143" spans="1:21">
      <c r="A143" s="8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9" t="str">
        <f t="shared" si="2"/>
        <v/>
      </c>
      <c r="R143" s="8"/>
      <c r="S143" s="8"/>
      <c r="T143" s="10"/>
      <c r="U143" s="8"/>
    </row>
    <row r="144" spans="1:21">
      <c r="A144" s="8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9" t="str">
        <f t="shared" si="2"/>
        <v/>
      </c>
      <c r="R144" s="8"/>
      <c r="S144" s="8"/>
      <c r="T144" s="10"/>
      <c r="U144" s="8"/>
    </row>
    <row r="145" spans="1:21">
      <c r="A145" s="8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9" t="str">
        <f t="shared" si="2"/>
        <v/>
      </c>
      <c r="R145" s="8"/>
      <c r="S145" s="8"/>
      <c r="T145" s="10"/>
      <c r="U145" s="8"/>
    </row>
    <row r="146" spans="1:21">
      <c r="A146" s="8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9" t="str">
        <f t="shared" si="2"/>
        <v/>
      </c>
      <c r="R146" s="8"/>
      <c r="S146" s="8"/>
      <c r="T146" s="10"/>
      <c r="U146" s="8"/>
    </row>
    <row r="147" spans="1:21">
      <c r="A147" s="8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9" t="str">
        <f t="shared" si="2"/>
        <v/>
      </c>
      <c r="R147" s="8"/>
      <c r="S147" s="8"/>
      <c r="T147" s="10"/>
      <c r="U147" s="8"/>
    </row>
    <row r="148" spans="1:21">
      <c r="A148" s="8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9" t="str">
        <f t="shared" si="2"/>
        <v/>
      </c>
      <c r="R148" s="8"/>
      <c r="S148" s="8"/>
      <c r="T148" s="10"/>
      <c r="U148" s="8"/>
    </row>
    <row r="149" spans="1:21">
      <c r="A149" s="8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9" t="str">
        <f t="shared" si="2"/>
        <v/>
      </c>
      <c r="R149" s="8"/>
      <c r="S149" s="8"/>
      <c r="T149" s="10"/>
      <c r="U149" s="8"/>
    </row>
    <row r="150" spans="1:21">
      <c r="A150" s="8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9" t="str">
        <f t="shared" si="2"/>
        <v/>
      </c>
      <c r="R150" s="8"/>
      <c r="S150" s="8"/>
      <c r="T150" s="10"/>
      <c r="U150" s="8"/>
    </row>
    <row r="151" spans="1:21">
      <c r="A151" s="8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9" t="str">
        <f t="shared" si="2"/>
        <v/>
      </c>
      <c r="R151" s="8"/>
      <c r="S151" s="8"/>
      <c r="T151" s="10"/>
      <c r="U151" s="8"/>
    </row>
    <row r="152" spans="1:21">
      <c r="A152" s="8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9" t="str">
        <f t="shared" si="2"/>
        <v/>
      </c>
      <c r="R152" s="8"/>
      <c r="S152" s="8"/>
      <c r="T152" s="10"/>
      <c r="U152" s="8"/>
    </row>
    <row r="153" spans="1:21">
      <c r="A153" s="8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9" t="str">
        <f t="shared" si="2"/>
        <v/>
      </c>
      <c r="R153" s="8"/>
      <c r="S153" s="8"/>
      <c r="T153" s="10"/>
      <c r="U153" s="8"/>
    </row>
    <row r="154" spans="1:21">
      <c r="A154" s="8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9" t="str">
        <f t="shared" si="2"/>
        <v/>
      </c>
      <c r="R154" s="8"/>
      <c r="S154" s="8"/>
      <c r="T154" s="10"/>
      <c r="U154" s="8"/>
    </row>
    <row r="155" spans="1:21">
      <c r="A155" s="8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9" t="str">
        <f t="shared" si="2"/>
        <v/>
      </c>
      <c r="R155" s="8"/>
      <c r="S155" s="8"/>
      <c r="T155" s="10"/>
      <c r="U155" s="8"/>
    </row>
    <row r="156" spans="1:21">
      <c r="A156" s="8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9" t="str">
        <f t="shared" si="2"/>
        <v/>
      </c>
      <c r="R156" s="8"/>
      <c r="S156" s="8"/>
      <c r="T156" s="10"/>
      <c r="U156" s="8"/>
    </row>
    <row r="157" spans="1:21">
      <c r="A157" s="8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9" t="str">
        <f t="shared" si="2"/>
        <v/>
      </c>
      <c r="R157" s="8"/>
      <c r="S157" s="8"/>
      <c r="T157" s="10"/>
      <c r="U157" s="8"/>
    </row>
    <row r="158" spans="1:21">
      <c r="A158" s="8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9" t="str">
        <f t="shared" si="2"/>
        <v/>
      </c>
      <c r="R158" s="8"/>
      <c r="S158" s="8"/>
      <c r="T158" s="10"/>
      <c r="U158" s="8"/>
    </row>
    <row r="159" spans="1:21">
      <c r="A159" s="8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9" t="str">
        <f t="shared" si="2"/>
        <v/>
      </c>
      <c r="R159" s="8"/>
      <c r="S159" s="8"/>
      <c r="T159" s="10"/>
      <c r="U159" s="8"/>
    </row>
    <row r="160" spans="1:21">
      <c r="A160" s="8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9" t="str">
        <f t="shared" si="2"/>
        <v/>
      </c>
      <c r="R160" s="8"/>
      <c r="S160" s="8"/>
      <c r="T160" s="10"/>
      <c r="U160" s="8"/>
    </row>
    <row r="161" spans="1:21">
      <c r="A161" s="8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9" t="str">
        <f t="shared" si="2"/>
        <v/>
      </c>
      <c r="R161" s="8"/>
      <c r="S161" s="8"/>
      <c r="T161" s="10"/>
      <c r="U161" s="8"/>
    </row>
    <row r="162" spans="1:21">
      <c r="A162" s="8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9" t="str">
        <f t="shared" si="2"/>
        <v/>
      </c>
      <c r="R162" s="8"/>
      <c r="S162" s="8"/>
      <c r="T162" s="10"/>
      <c r="U162" s="8"/>
    </row>
    <row r="163" spans="1:21">
      <c r="A163" s="8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9" t="str">
        <f t="shared" si="2"/>
        <v/>
      </c>
      <c r="R163" s="8"/>
      <c r="S163" s="8"/>
      <c r="T163" s="10"/>
      <c r="U163" s="8"/>
    </row>
    <row r="164" spans="1:21">
      <c r="A164" s="8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9" t="str">
        <f t="shared" si="2"/>
        <v/>
      </c>
      <c r="R164" s="8"/>
      <c r="S164" s="8"/>
      <c r="T164" s="10"/>
      <c r="U164" s="8"/>
    </row>
    <row r="165" spans="1:21">
      <c r="A165" s="8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9" t="str">
        <f t="shared" si="2"/>
        <v/>
      </c>
      <c r="R165" s="8"/>
      <c r="S165" s="8"/>
      <c r="T165" s="10"/>
      <c r="U165" s="8"/>
    </row>
    <row r="166" spans="1:21">
      <c r="A166" s="8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9" t="str">
        <f t="shared" si="2"/>
        <v/>
      </c>
      <c r="R166" s="8"/>
      <c r="S166" s="8"/>
      <c r="T166" s="10"/>
      <c r="U166" s="8"/>
    </row>
    <row r="167" spans="1:21">
      <c r="A167" s="8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9" t="str">
        <f t="shared" si="2"/>
        <v/>
      </c>
      <c r="R167" s="8"/>
      <c r="S167" s="8"/>
      <c r="T167" s="10"/>
      <c r="U167" s="8"/>
    </row>
    <row r="168" spans="1:21">
      <c r="A168" s="8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9" t="str">
        <f t="shared" si="2"/>
        <v/>
      </c>
      <c r="R168" s="8"/>
      <c r="S168" s="8"/>
      <c r="T168" s="10"/>
      <c r="U168" s="8"/>
    </row>
    <row r="169" spans="1:21">
      <c r="A169" s="8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9" t="str">
        <f t="shared" si="2"/>
        <v/>
      </c>
      <c r="R169" s="8"/>
      <c r="S169" s="8"/>
      <c r="T169" s="10"/>
      <c r="U169" s="8"/>
    </row>
    <row r="170" spans="1:21">
      <c r="A170" s="8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9" t="str">
        <f t="shared" si="2"/>
        <v/>
      </c>
      <c r="R170" s="8"/>
      <c r="S170" s="8"/>
      <c r="T170" s="10"/>
      <c r="U170" s="8"/>
    </row>
    <row r="171" spans="1:21">
      <c r="A171" s="8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9" t="str">
        <f t="shared" si="2"/>
        <v/>
      </c>
      <c r="R171" s="8"/>
      <c r="S171" s="8"/>
      <c r="T171" s="10"/>
      <c r="U171" s="8"/>
    </row>
    <row r="172" spans="1:21">
      <c r="A172" s="8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9" t="str">
        <f t="shared" si="2"/>
        <v/>
      </c>
      <c r="R172" s="8"/>
      <c r="S172" s="8"/>
      <c r="T172" s="10"/>
      <c r="U172" s="8"/>
    </row>
    <row r="173" spans="1:21">
      <c r="A173" s="8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9" t="str">
        <f t="shared" si="2"/>
        <v/>
      </c>
      <c r="R173" s="8"/>
      <c r="S173" s="8"/>
      <c r="T173" s="10"/>
      <c r="U173" s="8"/>
    </row>
    <row r="174" spans="1:21">
      <c r="A174" s="8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9" t="str">
        <f t="shared" si="2"/>
        <v/>
      </c>
      <c r="R174" s="8"/>
      <c r="S174" s="8"/>
      <c r="T174" s="10"/>
      <c r="U174" s="8"/>
    </row>
    <row r="175" spans="1:21">
      <c r="A175" s="8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9" t="str">
        <f t="shared" si="2"/>
        <v/>
      </c>
      <c r="R175" s="8"/>
      <c r="S175" s="8"/>
      <c r="T175" s="10"/>
      <c r="U175" s="8"/>
    </row>
    <row r="176" spans="1:21">
      <c r="A176" s="8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9" t="str">
        <f t="shared" si="2"/>
        <v/>
      </c>
      <c r="R176" s="8"/>
      <c r="S176" s="8"/>
      <c r="T176" s="10"/>
      <c r="U176" s="8"/>
    </row>
    <row r="177" spans="1:21">
      <c r="A177" s="8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9" t="str">
        <f t="shared" si="2"/>
        <v/>
      </c>
      <c r="R177" s="8"/>
      <c r="S177" s="8"/>
      <c r="T177" s="10"/>
      <c r="U177" s="8"/>
    </row>
    <row r="178" spans="1:21">
      <c r="A178" s="8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9" t="str">
        <f t="shared" si="2"/>
        <v/>
      </c>
      <c r="R178" s="8"/>
      <c r="S178" s="8"/>
      <c r="T178" s="10"/>
      <c r="U178" s="8"/>
    </row>
    <row r="179" spans="1:21">
      <c r="A179" s="8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9" t="str">
        <f t="shared" si="2"/>
        <v/>
      </c>
      <c r="R179" s="8"/>
      <c r="S179" s="8"/>
      <c r="T179" s="10"/>
      <c r="U179" s="8"/>
    </row>
    <row r="180" spans="1:21">
      <c r="A180" s="8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9" t="str">
        <f t="shared" si="2"/>
        <v/>
      </c>
      <c r="R180" s="8"/>
      <c r="S180" s="8"/>
      <c r="T180" s="10"/>
      <c r="U180" s="8"/>
    </row>
    <row r="181" spans="1:21">
      <c r="A181" s="8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9" t="str">
        <f t="shared" si="2"/>
        <v/>
      </c>
      <c r="R181" s="8"/>
      <c r="S181" s="8"/>
      <c r="T181" s="10"/>
      <c r="U181" s="8"/>
    </row>
    <row r="182" spans="1:21">
      <c r="A182" s="8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9" t="str">
        <f t="shared" si="2"/>
        <v/>
      </c>
      <c r="R182" s="8"/>
      <c r="S182" s="8"/>
      <c r="T182" s="10"/>
      <c r="U182" s="8"/>
    </row>
    <row r="183" spans="1:21">
      <c r="A183" s="8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9" t="str">
        <f t="shared" si="2"/>
        <v/>
      </c>
      <c r="R183" s="8"/>
      <c r="S183" s="8"/>
      <c r="T183" s="10"/>
      <c r="U183" s="8"/>
    </row>
    <row r="184" spans="1:21">
      <c r="A184" s="8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9" t="str">
        <f t="shared" si="2"/>
        <v/>
      </c>
      <c r="R184" s="8"/>
      <c r="S184" s="8"/>
      <c r="T184" s="10"/>
      <c r="U184" s="8"/>
    </row>
    <row r="185" spans="1:21">
      <c r="A185" s="8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9" t="str">
        <f t="shared" si="2"/>
        <v/>
      </c>
      <c r="R185" s="8"/>
      <c r="S185" s="8"/>
      <c r="T185" s="10"/>
      <c r="U185" s="8"/>
    </row>
    <row r="186" spans="1:21">
      <c r="A186" s="8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9" t="str">
        <f t="shared" si="2"/>
        <v/>
      </c>
      <c r="R186" s="8"/>
      <c r="S186" s="8"/>
      <c r="T186" s="10"/>
      <c r="U186" s="8"/>
    </row>
    <row r="187" spans="1:21">
      <c r="A187" s="8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9" t="str">
        <f t="shared" si="2"/>
        <v/>
      </c>
      <c r="R187" s="8"/>
      <c r="S187" s="8"/>
      <c r="T187" s="10"/>
      <c r="U187" s="8"/>
    </row>
    <row r="188" spans="1:21">
      <c r="A188" s="8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9" t="str">
        <f t="shared" si="2"/>
        <v/>
      </c>
      <c r="R188" s="8"/>
      <c r="S188" s="8"/>
      <c r="T188" s="10"/>
      <c r="U188" s="8"/>
    </row>
    <row r="189" spans="1:21">
      <c r="A189" s="8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9" t="str">
        <f t="shared" si="2"/>
        <v/>
      </c>
      <c r="R189" s="8"/>
      <c r="S189" s="8"/>
      <c r="T189" s="10"/>
      <c r="U189" s="8"/>
    </row>
    <row r="190" spans="1:21">
      <c r="A190" s="8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9" t="str">
        <f t="shared" si="2"/>
        <v/>
      </c>
      <c r="R190" s="8"/>
      <c r="S190" s="8"/>
      <c r="T190" s="10"/>
      <c r="U190" s="8"/>
    </row>
    <row r="191" spans="1:21">
      <c r="A191" s="8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9" t="str">
        <f t="shared" si="2"/>
        <v/>
      </c>
      <c r="R191" s="8"/>
      <c r="S191" s="8"/>
      <c r="T191" s="10"/>
      <c r="U191" s="8"/>
    </row>
    <row r="192" spans="1:21">
      <c r="A192" s="8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9" t="str">
        <f t="shared" si="2"/>
        <v/>
      </c>
      <c r="R192" s="8"/>
      <c r="S192" s="8"/>
      <c r="T192" s="10"/>
      <c r="U192" s="8"/>
    </row>
    <row r="193" spans="1:21">
      <c r="A193" s="8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9" t="str">
        <f t="shared" si="2"/>
        <v/>
      </c>
      <c r="R193" s="8"/>
      <c r="S193" s="8"/>
      <c r="T193" s="10"/>
      <c r="U193" s="8"/>
    </row>
    <row r="194" spans="1:21">
      <c r="A194" s="8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9" t="str">
        <f t="shared" si="2"/>
        <v/>
      </c>
      <c r="R194" s="8"/>
      <c r="S194" s="8"/>
      <c r="T194" s="10"/>
      <c r="U194" s="8"/>
    </row>
    <row r="195" spans="1:21">
      <c r="A195" s="8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9" t="str">
        <f t="shared" si="2"/>
        <v/>
      </c>
      <c r="R195" s="8"/>
      <c r="S195" s="8"/>
      <c r="T195" s="10"/>
      <c r="U195" s="8"/>
    </row>
    <row r="196" spans="1:21">
      <c r="A196" s="8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9" t="str">
        <f t="shared" si="2"/>
        <v/>
      </c>
      <c r="R196" s="8"/>
      <c r="S196" s="8"/>
      <c r="T196" s="10"/>
      <c r="U196" s="8"/>
    </row>
    <row r="197" spans="1:21">
      <c r="A197" s="8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9" t="str">
        <f t="shared" ref="Q197:Q260" si="3">IF(A197="","",IF(OR(L197="Failed",M197="Failed",O197="Failed",P197="Failed"),"Failed",IF(OR(L197="On Hold",M197="On Hold",O197="On Hold",P197="On Hold"),"On Hold","Approved")))</f>
        <v/>
      </c>
      <c r="R197" s="8"/>
      <c r="S197" s="8"/>
      <c r="T197" s="10"/>
      <c r="U197" s="8"/>
    </row>
    <row r="198" spans="1:21">
      <c r="A198" s="8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9" t="str">
        <f t="shared" si="3"/>
        <v/>
      </c>
      <c r="R198" s="8"/>
      <c r="S198" s="8"/>
      <c r="T198" s="10"/>
      <c r="U198" s="8"/>
    </row>
    <row r="199" spans="1:21">
      <c r="A199" s="8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9" t="str">
        <f t="shared" si="3"/>
        <v/>
      </c>
      <c r="R199" s="8"/>
      <c r="S199" s="8"/>
      <c r="T199" s="10"/>
      <c r="U199" s="8"/>
    </row>
    <row r="200" spans="1:21">
      <c r="A200" s="8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9" t="str">
        <f t="shared" si="3"/>
        <v/>
      </c>
      <c r="R200" s="8"/>
      <c r="S200" s="8"/>
      <c r="T200" s="10"/>
      <c r="U200" s="8"/>
    </row>
    <row r="201" spans="1:21">
      <c r="A201" s="8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9" t="str">
        <f t="shared" si="3"/>
        <v/>
      </c>
      <c r="R201" s="8"/>
      <c r="S201" s="8"/>
      <c r="T201" s="10"/>
      <c r="U201" s="8"/>
    </row>
    <row r="202" spans="1:21">
      <c r="A202" s="8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9" t="str">
        <f t="shared" si="3"/>
        <v/>
      </c>
      <c r="R202" s="8"/>
      <c r="S202" s="8"/>
      <c r="T202" s="10"/>
      <c r="U202" s="8"/>
    </row>
    <row r="203" spans="1:21">
      <c r="A203" s="8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9" t="str">
        <f t="shared" si="3"/>
        <v/>
      </c>
      <c r="R203" s="8"/>
      <c r="S203" s="8"/>
      <c r="T203" s="10"/>
      <c r="U203" s="8"/>
    </row>
    <row r="204" spans="1:21">
      <c r="A204" s="8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9" t="str">
        <f t="shared" si="3"/>
        <v/>
      </c>
      <c r="R204" s="8"/>
      <c r="S204" s="8"/>
      <c r="T204" s="10"/>
      <c r="U204" s="8"/>
    </row>
    <row r="205" spans="1:21">
      <c r="A205" s="8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9" t="str">
        <f t="shared" si="3"/>
        <v/>
      </c>
      <c r="R205" s="8"/>
      <c r="S205" s="8"/>
      <c r="T205" s="10"/>
      <c r="U205" s="8"/>
    </row>
    <row r="206" spans="1:21">
      <c r="A206" s="8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9" t="str">
        <f t="shared" si="3"/>
        <v/>
      </c>
      <c r="R206" s="8"/>
      <c r="S206" s="8"/>
      <c r="T206" s="10"/>
      <c r="U206" s="8"/>
    </row>
    <row r="207" spans="1:21">
      <c r="A207" s="8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9" t="str">
        <f t="shared" si="3"/>
        <v/>
      </c>
      <c r="R207" s="8"/>
      <c r="S207" s="8"/>
      <c r="T207" s="10"/>
      <c r="U207" s="8"/>
    </row>
    <row r="208" spans="1:21">
      <c r="A208" s="8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9" t="str">
        <f t="shared" si="3"/>
        <v/>
      </c>
      <c r="R208" s="8"/>
      <c r="S208" s="8"/>
      <c r="T208" s="10"/>
      <c r="U208" s="8"/>
    </row>
    <row r="209" spans="1:21">
      <c r="A209" s="8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9" t="str">
        <f t="shared" si="3"/>
        <v/>
      </c>
      <c r="R209" s="8"/>
      <c r="S209" s="8"/>
      <c r="T209" s="10"/>
      <c r="U209" s="8"/>
    </row>
    <row r="210" spans="1:21">
      <c r="A210" s="8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9" t="str">
        <f t="shared" si="3"/>
        <v/>
      </c>
      <c r="R210" s="8"/>
      <c r="S210" s="8"/>
      <c r="T210" s="10"/>
      <c r="U210" s="8"/>
    </row>
    <row r="211" spans="1:21">
      <c r="A211" s="8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9" t="str">
        <f t="shared" si="3"/>
        <v/>
      </c>
      <c r="R211" s="8"/>
      <c r="S211" s="8"/>
      <c r="T211" s="10"/>
      <c r="U211" s="8"/>
    </row>
    <row r="212" spans="1:21">
      <c r="A212" s="8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9" t="str">
        <f t="shared" si="3"/>
        <v/>
      </c>
      <c r="R212" s="8"/>
      <c r="S212" s="8"/>
      <c r="T212" s="10"/>
      <c r="U212" s="8"/>
    </row>
    <row r="213" spans="1:21">
      <c r="A213" s="8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9" t="str">
        <f t="shared" si="3"/>
        <v/>
      </c>
      <c r="R213" s="8"/>
      <c r="S213" s="8"/>
      <c r="T213" s="10"/>
      <c r="U213" s="8"/>
    </row>
    <row r="214" spans="1:21">
      <c r="A214" s="8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9" t="str">
        <f t="shared" si="3"/>
        <v/>
      </c>
      <c r="R214" s="8"/>
      <c r="S214" s="8"/>
      <c r="T214" s="10"/>
      <c r="U214" s="8"/>
    </row>
    <row r="215" spans="1:21">
      <c r="A215" s="8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9" t="str">
        <f t="shared" si="3"/>
        <v/>
      </c>
      <c r="R215" s="8"/>
      <c r="S215" s="8"/>
      <c r="T215" s="10"/>
      <c r="U215" s="8"/>
    </row>
    <row r="216" spans="1:21">
      <c r="A216" s="8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9" t="str">
        <f t="shared" si="3"/>
        <v/>
      </c>
      <c r="R216" s="8"/>
      <c r="S216" s="8"/>
      <c r="T216" s="10"/>
      <c r="U216" s="8"/>
    </row>
    <row r="217" spans="1:21">
      <c r="A217" s="8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9" t="str">
        <f t="shared" si="3"/>
        <v/>
      </c>
      <c r="R217" s="8"/>
      <c r="S217" s="8"/>
      <c r="T217" s="10"/>
      <c r="U217" s="8"/>
    </row>
    <row r="218" spans="1:21">
      <c r="A218" s="8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9" t="str">
        <f t="shared" si="3"/>
        <v/>
      </c>
      <c r="R218" s="8"/>
      <c r="S218" s="8"/>
      <c r="T218" s="10"/>
      <c r="U218" s="8"/>
    </row>
    <row r="219" spans="1:21">
      <c r="A219" s="8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9" t="str">
        <f t="shared" si="3"/>
        <v/>
      </c>
      <c r="R219" s="8"/>
      <c r="S219" s="8"/>
      <c r="T219" s="10"/>
      <c r="U219" s="8"/>
    </row>
    <row r="220" spans="1:21">
      <c r="A220" s="8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9" t="str">
        <f t="shared" si="3"/>
        <v/>
      </c>
      <c r="R220" s="8"/>
      <c r="S220" s="8"/>
      <c r="T220" s="10"/>
      <c r="U220" s="8"/>
    </row>
    <row r="221" spans="1:21">
      <c r="A221" s="8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9" t="str">
        <f t="shared" si="3"/>
        <v/>
      </c>
      <c r="R221" s="8"/>
      <c r="S221" s="8"/>
      <c r="T221" s="10"/>
      <c r="U221" s="8"/>
    </row>
    <row r="222" spans="1:21">
      <c r="A222" s="8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9" t="str">
        <f t="shared" si="3"/>
        <v/>
      </c>
      <c r="R222" s="8"/>
      <c r="S222" s="8"/>
      <c r="T222" s="10"/>
      <c r="U222" s="8"/>
    </row>
    <row r="223" spans="1:21">
      <c r="A223" s="8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9" t="str">
        <f t="shared" si="3"/>
        <v/>
      </c>
      <c r="R223" s="8"/>
      <c r="S223" s="8"/>
      <c r="T223" s="10"/>
      <c r="U223" s="8"/>
    </row>
    <row r="224" spans="1:21">
      <c r="A224" s="8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9" t="str">
        <f t="shared" si="3"/>
        <v/>
      </c>
      <c r="R224" s="8"/>
      <c r="S224" s="8"/>
      <c r="T224" s="10"/>
      <c r="U224" s="8"/>
    </row>
    <row r="225" spans="1:21">
      <c r="A225" s="8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9" t="str">
        <f t="shared" si="3"/>
        <v/>
      </c>
      <c r="R225" s="8"/>
      <c r="S225" s="8"/>
      <c r="T225" s="10"/>
      <c r="U225" s="8"/>
    </row>
    <row r="226" spans="1:21">
      <c r="A226" s="8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9" t="str">
        <f t="shared" si="3"/>
        <v/>
      </c>
      <c r="R226" s="8"/>
      <c r="S226" s="8"/>
      <c r="T226" s="10"/>
      <c r="U226" s="8"/>
    </row>
    <row r="227" spans="1:21">
      <c r="A227" s="8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9" t="str">
        <f t="shared" si="3"/>
        <v/>
      </c>
      <c r="R227" s="8"/>
      <c r="S227" s="8"/>
      <c r="T227" s="10"/>
      <c r="U227" s="8"/>
    </row>
    <row r="228" spans="1:21">
      <c r="A228" s="8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9" t="str">
        <f t="shared" si="3"/>
        <v/>
      </c>
      <c r="R228" s="8"/>
      <c r="S228" s="8"/>
      <c r="T228" s="10"/>
      <c r="U228" s="8"/>
    </row>
    <row r="229" spans="1:21">
      <c r="A229" s="8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9" t="str">
        <f t="shared" si="3"/>
        <v/>
      </c>
      <c r="R229" s="8"/>
      <c r="S229" s="8"/>
      <c r="T229" s="10"/>
      <c r="U229" s="8"/>
    </row>
    <row r="230" spans="1:21">
      <c r="A230" s="8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9" t="str">
        <f t="shared" si="3"/>
        <v/>
      </c>
      <c r="R230" s="8"/>
      <c r="S230" s="8"/>
      <c r="T230" s="10"/>
      <c r="U230" s="8"/>
    </row>
    <row r="231" spans="1:21">
      <c r="A231" s="8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9" t="str">
        <f t="shared" si="3"/>
        <v/>
      </c>
      <c r="R231" s="8"/>
      <c r="S231" s="8"/>
      <c r="T231" s="10"/>
      <c r="U231" s="8"/>
    </row>
    <row r="232" spans="1:21">
      <c r="A232" s="8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9" t="str">
        <f t="shared" si="3"/>
        <v/>
      </c>
      <c r="R232" s="8"/>
      <c r="S232" s="8"/>
      <c r="T232" s="10"/>
      <c r="U232" s="8"/>
    </row>
    <row r="233" spans="1:21">
      <c r="A233" s="8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9" t="str">
        <f t="shared" si="3"/>
        <v/>
      </c>
      <c r="R233" s="8"/>
      <c r="S233" s="8"/>
      <c r="T233" s="10"/>
      <c r="U233" s="8"/>
    </row>
    <row r="234" spans="1:21">
      <c r="A234" s="8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9" t="str">
        <f t="shared" si="3"/>
        <v/>
      </c>
      <c r="R234" s="8"/>
      <c r="S234" s="8"/>
      <c r="T234" s="10"/>
      <c r="U234" s="8"/>
    </row>
    <row r="235" spans="1:21">
      <c r="A235" s="8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9" t="str">
        <f t="shared" si="3"/>
        <v/>
      </c>
      <c r="R235" s="8"/>
      <c r="S235" s="8"/>
      <c r="T235" s="10"/>
      <c r="U235" s="8"/>
    </row>
    <row r="236" spans="1:21">
      <c r="A236" s="8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9" t="str">
        <f t="shared" si="3"/>
        <v/>
      </c>
      <c r="R236" s="8"/>
      <c r="S236" s="8"/>
      <c r="T236" s="10"/>
      <c r="U236" s="8"/>
    </row>
    <row r="237" spans="1:21">
      <c r="A237" s="8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9" t="str">
        <f t="shared" si="3"/>
        <v/>
      </c>
      <c r="R237" s="8"/>
      <c r="S237" s="8"/>
      <c r="T237" s="10"/>
      <c r="U237" s="8"/>
    </row>
    <row r="238" spans="1:21">
      <c r="A238" s="8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9" t="str">
        <f t="shared" si="3"/>
        <v/>
      </c>
      <c r="R238" s="8"/>
      <c r="S238" s="8"/>
      <c r="T238" s="10"/>
      <c r="U238" s="8"/>
    </row>
    <row r="239" spans="1:21">
      <c r="A239" s="8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9" t="str">
        <f t="shared" si="3"/>
        <v/>
      </c>
      <c r="R239" s="8"/>
      <c r="S239" s="8"/>
      <c r="T239" s="10"/>
      <c r="U239" s="8"/>
    </row>
    <row r="240" spans="1:21">
      <c r="A240" s="8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9" t="str">
        <f t="shared" si="3"/>
        <v/>
      </c>
      <c r="R240" s="8"/>
      <c r="S240" s="8"/>
      <c r="T240" s="10"/>
      <c r="U240" s="8"/>
    </row>
    <row r="241" spans="1:21">
      <c r="A241" s="8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9" t="str">
        <f t="shared" si="3"/>
        <v/>
      </c>
      <c r="R241" s="8"/>
      <c r="S241" s="8"/>
      <c r="T241" s="10"/>
      <c r="U241" s="8"/>
    </row>
    <row r="242" spans="1:21">
      <c r="A242" s="8"/>
      <c r="B242" s="1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9" t="str">
        <f t="shared" si="3"/>
        <v/>
      </c>
      <c r="R242" s="8"/>
      <c r="S242" s="8"/>
      <c r="T242" s="10"/>
      <c r="U242" s="8"/>
    </row>
    <row r="243" spans="1:21">
      <c r="A243" s="8"/>
      <c r="B243" s="1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9" t="str">
        <f t="shared" si="3"/>
        <v/>
      </c>
      <c r="R243" s="8"/>
      <c r="S243" s="8"/>
      <c r="T243" s="10"/>
      <c r="U243" s="8"/>
    </row>
    <row r="244" spans="1:21">
      <c r="A244" s="8"/>
      <c r="B244" s="1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9" t="str">
        <f t="shared" si="3"/>
        <v/>
      </c>
      <c r="R244" s="8"/>
      <c r="S244" s="8"/>
      <c r="T244" s="10"/>
      <c r="U244" s="8"/>
    </row>
    <row r="245" spans="1:21">
      <c r="A245" s="8"/>
      <c r="B245" s="1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9" t="str">
        <f t="shared" si="3"/>
        <v/>
      </c>
      <c r="R245" s="8"/>
      <c r="S245" s="8"/>
      <c r="T245" s="10"/>
      <c r="U245" s="8"/>
    </row>
    <row r="246" spans="1:21">
      <c r="A246" s="8"/>
      <c r="B246" s="1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9" t="str">
        <f t="shared" si="3"/>
        <v/>
      </c>
      <c r="R246" s="8"/>
      <c r="S246" s="8"/>
      <c r="T246" s="10"/>
      <c r="U246" s="8"/>
    </row>
    <row r="247" spans="1:21">
      <c r="A247" s="8"/>
      <c r="B247" s="1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9" t="str">
        <f t="shared" si="3"/>
        <v/>
      </c>
      <c r="R247" s="8"/>
      <c r="S247" s="8"/>
      <c r="T247" s="10"/>
      <c r="U247" s="8"/>
    </row>
    <row r="248" spans="1:21">
      <c r="A248" s="8"/>
      <c r="B248" s="1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9" t="str">
        <f t="shared" si="3"/>
        <v/>
      </c>
      <c r="R248" s="8"/>
      <c r="S248" s="8"/>
      <c r="T248" s="10"/>
      <c r="U248" s="8"/>
    </row>
    <row r="249" spans="1:21">
      <c r="A249" s="8"/>
      <c r="B249" s="1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9" t="str">
        <f t="shared" si="3"/>
        <v/>
      </c>
      <c r="R249" s="8"/>
      <c r="S249" s="8"/>
      <c r="T249" s="10"/>
      <c r="U249" s="8"/>
    </row>
    <row r="250" spans="1:21">
      <c r="A250" s="8"/>
      <c r="B250" s="1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9" t="str">
        <f t="shared" si="3"/>
        <v/>
      </c>
      <c r="R250" s="8"/>
      <c r="S250" s="8"/>
      <c r="T250" s="10"/>
      <c r="U250" s="8"/>
    </row>
    <row r="251" spans="1:21">
      <c r="A251" s="8"/>
      <c r="B251" s="1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9" t="str">
        <f t="shared" si="3"/>
        <v/>
      </c>
      <c r="R251" s="8"/>
      <c r="S251" s="8"/>
      <c r="T251" s="10"/>
      <c r="U251" s="8"/>
    </row>
    <row r="252" spans="1:21">
      <c r="A252" s="8"/>
      <c r="B252" s="1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9" t="str">
        <f t="shared" si="3"/>
        <v/>
      </c>
      <c r="R252" s="8"/>
      <c r="S252" s="8"/>
      <c r="T252" s="10"/>
      <c r="U252" s="8"/>
    </row>
    <row r="253" spans="1:21">
      <c r="A253" s="8"/>
      <c r="B253" s="1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9" t="str">
        <f t="shared" si="3"/>
        <v/>
      </c>
      <c r="R253" s="8"/>
      <c r="S253" s="8"/>
      <c r="T253" s="10"/>
      <c r="U253" s="8"/>
    </row>
    <row r="254" spans="1:21">
      <c r="A254" s="8"/>
      <c r="B254" s="1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9" t="str">
        <f t="shared" si="3"/>
        <v/>
      </c>
      <c r="R254" s="8"/>
      <c r="S254" s="8"/>
      <c r="T254" s="10"/>
      <c r="U254" s="8"/>
    </row>
    <row r="255" spans="1:21">
      <c r="A255" s="8"/>
      <c r="B255" s="1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9" t="str">
        <f t="shared" si="3"/>
        <v/>
      </c>
      <c r="R255" s="8"/>
      <c r="S255" s="8"/>
      <c r="T255" s="10"/>
      <c r="U255" s="8"/>
    </row>
    <row r="256" spans="1:21">
      <c r="A256" s="8"/>
      <c r="B256" s="1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9" t="str">
        <f t="shared" si="3"/>
        <v/>
      </c>
      <c r="R256" s="8"/>
      <c r="S256" s="8"/>
      <c r="T256" s="10"/>
      <c r="U256" s="8"/>
    </row>
    <row r="257" spans="1:21">
      <c r="A257" s="8"/>
      <c r="B257" s="1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9" t="str">
        <f t="shared" si="3"/>
        <v/>
      </c>
      <c r="R257" s="8"/>
      <c r="S257" s="8"/>
      <c r="T257" s="10"/>
      <c r="U257" s="8"/>
    </row>
    <row r="258" spans="1:21">
      <c r="A258" s="8"/>
      <c r="B258" s="1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9" t="str">
        <f t="shared" si="3"/>
        <v/>
      </c>
      <c r="R258" s="8"/>
      <c r="S258" s="8"/>
      <c r="T258" s="10"/>
      <c r="U258" s="8"/>
    </row>
    <row r="259" spans="1:21">
      <c r="A259" s="8"/>
      <c r="B259" s="1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9" t="str">
        <f t="shared" si="3"/>
        <v/>
      </c>
      <c r="R259" s="8"/>
      <c r="S259" s="8"/>
      <c r="T259" s="10"/>
      <c r="U259" s="8"/>
    </row>
    <row r="260" spans="1:21">
      <c r="A260" s="8"/>
      <c r="B260" s="1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9" t="str">
        <f t="shared" si="3"/>
        <v/>
      </c>
      <c r="R260" s="8"/>
      <c r="S260" s="8"/>
      <c r="T260" s="10"/>
      <c r="U260" s="8"/>
    </row>
    <row r="261" spans="1:21">
      <c r="A261" s="8"/>
      <c r="B261" s="1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9" t="str">
        <f t="shared" ref="Q261:Q324" si="4">IF(A261="","",IF(OR(L261="Failed",M261="Failed",O261="Failed",P261="Failed"),"Failed",IF(OR(L261="On Hold",M261="On Hold",O261="On Hold",P261="On Hold"),"On Hold","Approved")))</f>
        <v/>
      </c>
      <c r="R261" s="8"/>
      <c r="S261" s="8"/>
      <c r="T261" s="10"/>
      <c r="U261" s="8"/>
    </row>
    <row r="262" spans="1:21">
      <c r="A262" s="8"/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9" t="str">
        <f t="shared" si="4"/>
        <v/>
      </c>
      <c r="R262" s="8"/>
      <c r="S262" s="8"/>
      <c r="T262" s="10"/>
      <c r="U262" s="8"/>
    </row>
    <row r="263" spans="1:21">
      <c r="A263" s="8"/>
      <c r="B263" s="1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9" t="str">
        <f t="shared" si="4"/>
        <v/>
      </c>
      <c r="R263" s="8"/>
      <c r="S263" s="8"/>
      <c r="T263" s="10"/>
      <c r="U263" s="8"/>
    </row>
    <row r="264" spans="1:21">
      <c r="A264" s="8"/>
      <c r="B264" s="1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9" t="str">
        <f t="shared" si="4"/>
        <v/>
      </c>
      <c r="R264" s="8"/>
      <c r="S264" s="8"/>
      <c r="T264" s="10"/>
      <c r="U264" s="8"/>
    </row>
    <row r="265" spans="1:21">
      <c r="A265" s="8"/>
      <c r="B265" s="1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9" t="str">
        <f t="shared" si="4"/>
        <v/>
      </c>
      <c r="R265" s="8"/>
      <c r="S265" s="8"/>
      <c r="T265" s="10"/>
      <c r="U265" s="8"/>
    </row>
    <row r="266" spans="1:21">
      <c r="A266" s="8"/>
      <c r="B266" s="1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9" t="str">
        <f t="shared" si="4"/>
        <v/>
      </c>
      <c r="R266" s="8"/>
      <c r="S266" s="8"/>
      <c r="T266" s="10"/>
      <c r="U266" s="8"/>
    </row>
    <row r="267" spans="1:21">
      <c r="A267" s="8"/>
      <c r="B267" s="1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9" t="str">
        <f t="shared" si="4"/>
        <v/>
      </c>
      <c r="R267" s="8"/>
      <c r="S267" s="8"/>
      <c r="T267" s="10"/>
      <c r="U267" s="8"/>
    </row>
    <row r="268" spans="1:21">
      <c r="A268" s="8"/>
      <c r="B268" s="1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9" t="str">
        <f t="shared" si="4"/>
        <v/>
      </c>
      <c r="R268" s="8"/>
      <c r="S268" s="8"/>
      <c r="T268" s="10"/>
      <c r="U268" s="8"/>
    </row>
    <row r="269" spans="1:21">
      <c r="A269" s="8"/>
      <c r="B269" s="1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9" t="str">
        <f t="shared" si="4"/>
        <v/>
      </c>
      <c r="R269" s="8"/>
      <c r="S269" s="8"/>
      <c r="T269" s="10"/>
      <c r="U269" s="8"/>
    </row>
    <row r="270" spans="1:21">
      <c r="A270" s="8"/>
      <c r="B270" s="1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9" t="str">
        <f t="shared" si="4"/>
        <v/>
      </c>
      <c r="R270" s="8"/>
      <c r="S270" s="8"/>
      <c r="T270" s="10"/>
      <c r="U270" s="8"/>
    </row>
    <row r="271" spans="1:21">
      <c r="A271" s="8"/>
      <c r="B271" s="1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9" t="str">
        <f t="shared" si="4"/>
        <v/>
      </c>
      <c r="R271" s="8"/>
      <c r="S271" s="8"/>
      <c r="T271" s="10"/>
      <c r="U271" s="8"/>
    </row>
    <row r="272" spans="1:21">
      <c r="A272" s="8"/>
      <c r="B272" s="1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9" t="str">
        <f t="shared" si="4"/>
        <v/>
      </c>
      <c r="R272" s="8"/>
      <c r="S272" s="8"/>
      <c r="T272" s="10"/>
      <c r="U272" s="8"/>
    </row>
    <row r="273" spans="1:21">
      <c r="A273" s="8"/>
      <c r="B273" s="1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9" t="str">
        <f t="shared" si="4"/>
        <v/>
      </c>
      <c r="R273" s="8"/>
      <c r="S273" s="8"/>
      <c r="T273" s="10"/>
      <c r="U273" s="8"/>
    </row>
    <row r="274" spans="1:21">
      <c r="A274" s="8"/>
      <c r="B274" s="1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9" t="str">
        <f t="shared" si="4"/>
        <v/>
      </c>
      <c r="R274" s="8"/>
      <c r="S274" s="8"/>
      <c r="T274" s="10"/>
      <c r="U274" s="8"/>
    </row>
    <row r="275" spans="1:21">
      <c r="A275" s="8"/>
      <c r="B275" s="1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9" t="str">
        <f t="shared" si="4"/>
        <v/>
      </c>
      <c r="R275" s="8"/>
      <c r="S275" s="8"/>
      <c r="T275" s="10"/>
      <c r="U275" s="8"/>
    </row>
    <row r="276" spans="1:21">
      <c r="A276" s="8"/>
      <c r="B276" s="1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9" t="str">
        <f t="shared" si="4"/>
        <v/>
      </c>
      <c r="R276" s="8"/>
      <c r="S276" s="8"/>
      <c r="T276" s="10"/>
      <c r="U276" s="8"/>
    </row>
    <row r="277" spans="1:21">
      <c r="A277" s="8"/>
      <c r="B277" s="1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9" t="str">
        <f t="shared" si="4"/>
        <v/>
      </c>
      <c r="R277" s="8"/>
      <c r="S277" s="8"/>
      <c r="T277" s="10"/>
      <c r="U277" s="8"/>
    </row>
    <row r="278" spans="1:21">
      <c r="A278" s="8"/>
      <c r="B278" s="1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9" t="str">
        <f t="shared" si="4"/>
        <v/>
      </c>
      <c r="R278" s="8"/>
      <c r="S278" s="8"/>
      <c r="T278" s="10"/>
      <c r="U278" s="8"/>
    </row>
    <row r="279" spans="1:21">
      <c r="A279" s="8"/>
      <c r="B279" s="1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9" t="str">
        <f t="shared" si="4"/>
        <v/>
      </c>
      <c r="R279" s="8"/>
      <c r="S279" s="8"/>
      <c r="T279" s="10"/>
      <c r="U279" s="8"/>
    </row>
    <row r="280" spans="1:21">
      <c r="A280" s="8"/>
      <c r="B280" s="1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9" t="str">
        <f t="shared" si="4"/>
        <v/>
      </c>
      <c r="R280" s="8"/>
      <c r="S280" s="8"/>
      <c r="T280" s="10"/>
      <c r="U280" s="8"/>
    </row>
    <row r="281" spans="1:21">
      <c r="A281" s="8"/>
      <c r="B281" s="1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9" t="str">
        <f t="shared" si="4"/>
        <v/>
      </c>
      <c r="R281" s="8"/>
      <c r="S281" s="8"/>
      <c r="T281" s="10"/>
      <c r="U281" s="8"/>
    </row>
    <row r="282" spans="1:21">
      <c r="A282" s="8"/>
      <c r="B282" s="1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9" t="str">
        <f t="shared" si="4"/>
        <v/>
      </c>
      <c r="R282" s="8"/>
      <c r="S282" s="8"/>
      <c r="T282" s="10"/>
      <c r="U282" s="8"/>
    </row>
    <row r="283" spans="1:21">
      <c r="A283" s="8"/>
      <c r="B283" s="1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9" t="str">
        <f t="shared" si="4"/>
        <v/>
      </c>
      <c r="R283" s="8"/>
      <c r="S283" s="8"/>
      <c r="T283" s="10"/>
      <c r="U283" s="8"/>
    </row>
    <row r="284" spans="1:21">
      <c r="A284" s="8"/>
      <c r="B284" s="1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9" t="str">
        <f t="shared" si="4"/>
        <v/>
      </c>
      <c r="R284" s="8"/>
      <c r="S284" s="8"/>
      <c r="T284" s="10"/>
      <c r="U284" s="8"/>
    </row>
    <row r="285" spans="1:21">
      <c r="A285" s="8"/>
      <c r="B285" s="1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9" t="str">
        <f t="shared" si="4"/>
        <v/>
      </c>
      <c r="R285" s="8"/>
      <c r="S285" s="8"/>
      <c r="T285" s="10"/>
      <c r="U285" s="8"/>
    </row>
    <row r="286" spans="1:21">
      <c r="A286" s="8"/>
      <c r="B286" s="1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9" t="str">
        <f t="shared" si="4"/>
        <v/>
      </c>
      <c r="R286" s="8"/>
      <c r="S286" s="8"/>
      <c r="T286" s="10"/>
      <c r="U286" s="8"/>
    </row>
    <row r="287" spans="1:21">
      <c r="A287" s="8"/>
      <c r="B287" s="1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9" t="str">
        <f t="shared" si="4"/>
        <v/>
      </c>
      <c r="R287" s="8"/>
      <c r="S287" s="8"/>
      <c r="T287" s="10"/>
      <c r="U287" s="8"/>
    </row>
    <row r="288" spans="1:21">
      <c r="A288" s="8"/>
      <c r="B288" s="1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9" t="str">
        <f t="shared" si="4"/>
        <v/>
      </c>
      <c r="R288" s="8"/>
      <c r="S288" s="8"/>
      <c r="T288" s="10"/>
      <c r="U288" s="8"/>
    </row>
    <row r="289" spans="1:21">
      <c r="A289" s="8"/>
      <c r="B289" s="1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9" t="str">
        <f t="shared" si="4"/>
        <v/>
      </c>
      <c r="R289" s="8"/>
      <c r="S289" s="8"/>
      <c r="T289" s="10"/>
      <c r="U289" s="8"/>
    </row>
    <row r="290" spans="1:21">
      <c r="A290" s="8"/>
      <c r="B290" s="1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9" t="str">
        <f t="shared" si="4"/>
        <v/>
      </c>
      <c r="R290" s="8"/>
      <c r="S290" s="8"/>
      <c r="T290" s="10"/>
      <c r="U290" s="8"/>
    </row>
    <row r="291" spans="1:21">
      <c r="A291" s="8"/>
      <c r="B291" s="1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9" t="str">
        <f t="shared" si="4"/>
        <v/>
      </c>
      <c r="R291" s="8"/>
      <c r="S291" s="8"/>
      <c r="T291" s="10"/>
      <c r="U291" s="8"/>
    </row>
    <row r="292" spans="1:21">
      <c r="A292" s="8"/>
      <c r="B292" s="1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9" t="str">
        <f t="shared" si="4"/>
        <v/>
      </c>
      <c r="R292" s="8"/>
      <c r="S292" s="8"/>
      <c r="T292" s="10"/>
      <c r="U292" s="8"/>
    </row>
    <row r="293" spans="1:21">
      <c r="A293" s="8"/>
      <c r="B293" s="1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9" t="str">
        <f t="shared" si="4"/>
        <v/>
      </c>
      <c r="R293" s="8"/>
      <c r="S293" s="8"/>
      <c r="T293" s="10"/>
      <c r="U293" s="8"/>
    </row>
    <row r="294" spans="1:21">
      <c r="A294" s="8"/>
      <c r="B294" s="1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9" t="str">
        <f t="shared" si="4"/>
        <v/>
      </c>
      <c r="R294" s="8"/>
      <c r="S294" s="8"/>
      <c r="T294" s="10"/>
      <c r="U294" s="8"/>
    </row>
    <row r="295" spans="1:21">
      <c r="A295" s="8"/>
      <c r="B295" s="1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9" t="str">
        <f t="shared" si="4"/>
        <v/>
      </c>
      <c r="R295" s="8"/>
      <c r="S295" s="8"/>
      <c r="T295" s="10"/>
      <c r="U295" s="8"/>
    </row>
    <row r="296" spans="1:21">
      <c r="A296" s="8"/>
      <c r="B296" s="1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9" t="str">
        <f t="shared" si="4"/>
        <v/>
      </c>
      <c r="R296" s="8"/>
      <c r="S296" s="8"/>
      <c r="T296" s="10"/>
      <c r="U296" s="8"/>
    </row>
    <row r="297" spans="1:21">
      <c r="A297" s="8"/>
      <c r="B297" s="1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9" t="str">
        <f t="shared" si="4"/>
        <v/>
      </c>
      <c r="R297" s="8"/>
      <c r="S297" s="8"/>
      <c r="T297" s="10"/>
      <c r="U297" s="8"/>
    </row>
    <row r="298" spans="1:21">
      <c r="A298" s="8"/>
      <c r="B298" s="1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9" t="str">
        <f t="shared" si="4"/>
        <v/>
      </c>
      <c r="R298" s="8"/>
      <c r="S298" s="8"/>
      <c r="T298" s="10"/>
      <c r="U298" s="8"/>
    </row>
    <row r="299" spans="1:21">
      <c r="A299" s="8"/>
      <c r="B299" s="1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9" t="str">
        <f t="shared" si="4"/>
        <v/>
      </c>
      <c r="R299" s="8"/>
      <c r="S299" s="8"/>
      <c r="T299" s="10"/>
      <c r="U299" s="8"/>
    </row>
    <row r="300" spans="1:21">
      <c r="A300" s="8"/>
      <c r="B300" s="1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9" t="str">
        <f t="shared" si="4"/>
        <v/>
      </c>
      <c r="R300" s="8"/>
      <c r="S300" s="8"/>
      <c r="T300" s="10"/>
      <c r="U300" s="8"/>
    </row>
    <row r="301" spans="1:21">
      <c r="A301" s="8"/>
      <c r="B301" s="1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9" t="str">
        <f t="shared" si="4"/>
        <v/>
      </c>
      <c r="R301" s="8"/>
      <c r="S301" s="8"/>
      <c r="T301" s="10"/>
      <c r="U301" s="8"/>
    </row>
    <row r="302" spans="1:21">
      <c r="A302" s="8"/>
      <c r="B302" s="1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9" t="str">
        <f t="shared" si="4"/>
        <v/>
      </c>
      <c r="R302" s="8"/>
      <c r="S302" s="8"/>
      <c r="T302" s="10"/>
      <c r="U302" s="8"/>
    </row>
    <row r="303" spans="1:21">
      <c r="A303" s="8"/>
      <c r="B303" s="1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9" t="str">
        <f t="shared" si="4"/>
        <v/>
      </c>
      <c r="R303" s="8"/>
      <c r="S303" s="8"/>
      <c r="T303" s="10"/>
      <c r="U303" s="8"/>
    </row>
    <row r="304" spans="1:21">
      <c r="A304" s="8"/>
      <c r="B304" s="1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9" t="str">
        <f t="shared" si="4"/>
        <v/>
      </c>
      <c r="R304" s="8"/>
      <c r="S304" s="8"/>
      <c r="T304" s="10"/>
      <c r="U304" s="8"/>
    </row>
  </sheetData>
  <mergeCells count="2">
    <mergeCell ref="A1:U1"/>
    <mergeCell ref="A2:U2"/>
  </mergeCells>
  <conditionalFormatting sqref="A5:A304">
    <cfRule type="duplicateValues" dxfId="80" priority="9"/>
  </conditionalFormatting>
  <conditionalFormatting sqref="Q5:Q304">
    <cfRule type="containsText" dxfId="79" priority="1" operator="containsText" text="Approved"/>
    <cfRule type="containsText" dxfId="78" priority="4" operator="containsText" text="Failed"/>
    <cfRule type="containsText" dxfId="77" priority="7" operator="containsText" text="On Hold"/>
  </conditionalFormatting>
  <dataValidations count="2">
    <dataValidation type="list" sqref="L5:M304 O5:P304" xr:uid="{00000000-0002-0000-0D00-000000000000}">
      <formula1>"Passed,Failed,On Hold"</formula1>
    </dataValidation>
    <dataValidation type="list" sqref="N5:N304" xr:uid="{00000000-0002-0000-0D00-000001000000}">
      <formula1>"D65 Daylight,TL84 Store Light,UV,A Incandescent"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04"/>
  <sheetViews>
    <sheetView showGridLines="0" workbookViewId="0">
      <selection activeCell="I5" sqref="I5"/>
    </sheetView>
  </sheetViews>
  <sheetFormatPr baseColWidth="10" defaultColWidth="8.83203125" defaultRowHeight="14"/>
  <cols>
    <col min="1" max="2" width="14" customWidth="1"/>
    <col min="3" max="3" width="18" customWidth="1"/>
    <col min="4" max="5" width="14" customWidth="1"/>
    <col min="6" max="6" width="18" customWidth="1"/>
    <col min="7" max="7" width="17" customWidth="1"/>
    <col min="8" max="8" width="18" customWidth="1"/>
    <col min="9" max="9" width="17" customWidth="1"/>
    <col min="10" max="10" width="16" customWidth="1"/>
    <col min="11" max="11" width="14" customWidth="1"/>
    <col min="12" max="13" width="13" customWidth="1"/>
    <col min="14" max="14" width="18" customWidth="1"/>
    <col min="15" max="15" width="24" customWidth="1"/>
    <col min="16" max="16" width="15" customWidth="1"/>
    <col min="17" max="17" width="19" customWidth="1"/>
    <col min="18" max="18" width="21" customWidth="1"/>
    <col min="19" max="20" width="15" customWidth="1"/>
    <col min="21" max="21" width="24" customWidth="1"/>
  </cols>
  <sheetData>
    <row r="1" spans="1:21" ht="30" customHeight="1">
      <c r="A1" s="52" t="s">
        <v>246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4" spans="1:21" ht="44" customHeight="1">
      <c r="A4" s="6" t="s">
        <v>247</v>
      </c>
      <c r="B4" s="6" t="s">
        <v>248</v>
      </c>
      <c r="C4" s="6" t="s">
        <v>118</v>
      </c>
      <c r="D4" s="6" t="s">
        <v>44</v>
      </c>
      <c r="E4" s="6" t="s">
        <v>136</v>
      </c>
      <c r="F4" s="6" t="s">
        <v>249</v>
      </c>
      <c r="G4" s="6" t="s">
        <v>250</v>
      </c>
      <c r="H4" s="6" t="s">
        <v>251</v>
      </c>
      <c r="I4" s="6" t="s">
        <v>252</v>
      </c>
      <c r="J4" s="6" t="s">
        <v>253</v>
      </c>
      <c r="K4" s="6" t="s">
        <v>254</v>
      </c>
      <c r="L4" s="6" t="s">
        <v>255</v>
      </c>
      <c r="M4" s="6" t="s">
        <v>256</v>
      </c>
      <c r="N4" s="6" t="s">
        <v>257</v>
      </c>
      <c r="O4" s="6" t="s">
        <v>258</v>
      </c>
      <c r="P4" s="6" t="s">
        <v>130</v>
      </c>
      <c r="Q4" s="6" t="s">
        <v>259</v>
      </c>
      <c r="R4" s="6" t="s">
        <v>260</v>
      </c>
      <c r="S4" s="6" t="s">
        <v>100</v>
      </c>
      <c r="T4" s="6" t="s">
        <v>63</v>
      </c>
      <c r="U4" s="6" t="s">
        <v>161</v>
      </c>
    </row>
    <row r="5" spans="1:21">
      <c r="A5" s="8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3"/>
      <c r="O5" s="8"/>
      <c r="P5" s="8"/>
      <c r="Q5" s="9" t="str">
        <f t="shared" ref="Q5:Q68" si="0">IF(A5="","",IF(COUNTIF(F5:M5,"Failed")&gt;0,"Rejected",IF(COUNTIF(F5:M5,"On Hold")&gt;0,"On Hold",IF(COUNTIF(F5:M5,"Pending")&gt;0,"Pending",IF(O5&lt;&gt;"","Conditionally Approved","Released for Cutting")))))</f>
        <v/>
      </c>
      <c r="R5" s="10"/>
      <c r="S5" s="8"/>
      <c r="T5" s="10"/>
      <c r="U5" s="8"/>
    </row>
    <row r="6" spans="1:21">
      <c r="A6" s="8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3"/>
      <c r="O6" s="8"/>
      <c r="P6" s="8"/>
      <c r="Q6" s="9" t="str">
        <f t="shared" si="0"/>
        <v/>
      </c>
      <c r="R6" s="10"/>
      <c r="S6" s="8"/>
      <c r="T6" s="10"/>
      <c r="U6" s="8"/>
    </row>
    <row r="7" spans="1:21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/>
      <c r="O7" s="8"/>
      <c r="P7" s="8"/>
      <c r="Q7" s="9" t="str">
        <f t="shared" si="0"/>
        <v/>
      </c>
      <c r="R7" s="10"/>
      <c r="S7" s="8"/>
      <c r="T7" s="10"/>
      <c r="U7" s="8"/>
    </row>
    <row r="8" spans="1:21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3"/>
      <c r="O8" s="8"/>
      <c r="P8" s="8"/>
      <c r="Q8" s="9" t="str">
        <f t="shared" si="0"/>
        <v/>
      </c>
      <c r="R8" s="10"/>
      <c r="S8" s="8"/>
      <c r="T8" s="10"/>
      <c r="U8" s="8"/>
    </row>
    <row r="9" spans="1:21">
      <c r="A9" s="8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3"/>
      <c r="O9" s="8"/>
      <c r="P9" s="8"/>
      <c r="Q9" s="9" t="str">
        <f t="shared" si="0"/>
        <v/>
      </c>
      <c r="R9" s="10"/>
      <c r="S9" s="8"/>
      <c r="T9" s="10"/>
      <c r="U9" s="8"/>
    </row>
    <row r="10" spans="1:21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3"/>
      <c r="O10" s="8"/>
      <c r="P10" s="8"/>
      <c r="Q10" s="9" t="str">
        <f t="shared" si="0"/>
        <v/>
      </c>
      <c r="R10" s="10"/>
      <c r="S10" s="8"/>
      <c r="T10" s="10"/>
      <c r="U10" s="8"/>
    </row>
    <row r="11" spans="1:21">
      <c r="A11" s="8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3"/>
      <c r="O11" s="8"/>
      <c r="P11" s="8"/>
      <c r="Q11" s="9" t="str">
        <f t="shared" si="0"/>
        <v/>
      </c>
      <c r="R11" s="10"/>
      <c r="S11" s="8"/>
      <c r="T11" s="10"/>
      <c r="U11" s="8"/>
    </row>
    <row r="12" spans="1:21">
      <c r="A12" s="8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3"/>
      <c r="O12" s="8"/>
      <c r="P12" s="8"/>
      <c r="Q12" s="9" t="str">
        <f t="shared" si="0"/>
        <v/>
      </c>
      <c r="R12" s="10"/>
      <c r="S12" s="8"/>
      <c r="T12" s="10"/>
      <c r="U12" s="8"/>
    </row>
    <row r="13" spans="1:21">
      <c r="A13" s="8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3"/>
      <c r="O13" s="8"/>
      <c r="P13" s="8"/>
      <c r="Q13" s="9" t="str">
        <f t="shared" si="0"/>
        <v/>
      </c>
      <c r="R13" s="10"/>
      <c r="S13" s="8"/>
      <c r="T13" s="10"/>
      <c r="U13" s="8"/>
    </row>
    <row r="14" spans="1:21">
      <c r="A14" s="8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3"/>
      <c r="O14" s="8"/>
      <c r="P14" s="8"/>
      <c r="Q14" s="9" t="str">
        <f t="shared" si="0"/>
        <v/>
      </c>
      <c r="R14" s="10"/>
      <c r="S14" s="8"/>
      <c r="T14" s="10"/>
      <c r="U14" s="8"/>
    </row>
    <row r="15" spans="1:21">
      <c r="A15" s="8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3"/>
      <c r="O15" s="8"/>
      <c r="P15" s="8"/>
      <c r="Q15" s="9" t="str">
        <f t="shared" si="0"/>
        <v/>
      </c>
      <c r="R15" s="10"/>
      <c r="S15" s="8"/>
      <c r="T15" s="10"/>
      <c r="U15" s="8"/>
    </row>
    <row r="16" spans="1:21">
      <c r="A16" s="8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3"/>
      <c r="O16" s="8"/>
      <c r="P16" s="8"/>
      <c r="Q16" s="9" t="str">
        <f t="shared" si="0"/>
        <v/>
      </c>
      <c r="R16" s="10"/>
      <c r="S16" s="8"/>
      <c r="T16" s="10"/>
      <c r="U16" s="8"/>
    </row>
    <row r="17" spans="1:21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3"/>
      <c r="O17" s="8"/>
      <c r="P17" s="8"/>
      <c r="Q17" s="9" t="str">
        <f t="shared" si="0"/>
        <v/>
      </c>
      <c r="R17" s="10"/>
      <c r="S17" s="8"/>
      <c r="T17" s="10"/>
      <c r="U17" s="8"/>
    </row>
    <row r="18" spans="1:21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3"/>
      <c r="O18" s="8"/>
      <c r="P18" s="8"/>
      <c r="Q18" s="9" t="str">
        <f t="shared" si="0"/>
        <v/>
      </c>
      <c r="R18" s="10"/>
      <c r="S18" s="8"/>
      <c r="T18" s="10"/>
      <c r="U18" s="8"/>
    </row>
    <row r="19" spans="1:21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13"/>
      <c r="O19" s="8"/>
      <c r="P19" s="8"/>
      <c r="Q19" s="9" t="str">
        <f t="shared" si="0"/>
        <v/>
      </c>
      <c r="R19" s="10"/>
      <c r="S19" s="8"/>
      <c r="T19" s="10"/>
      <c r="U19" s="8"/>
    </row>
    <row r="20" spans="1:21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13"/>
      <c r="O20" s="8"/>
      <c r="P20" s="8"/>
      <c r="Q20" s="9" t="str">
        <f t="shared" si="0"/>
        <v/>
      </c>
      <c r="R20" s="10"/>
      <c r="S20" s="8"/>
      <c r="T20" s="10"/>
      <c r="U20" s="8"/>
    </row>
    <row r="21" spans="1:21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3"/>
      <c r="O21" s="8"/>
      <c r="P21" s="8"/>
      <c r="Q21" s="9" t="str">
        <f t="shared" si="0"/>
        <v/>
      </c>
      <c r="R21" s="10"/>
      <c r="S21" s="8"/>
      <c r="T21" s="10"/>
      <c r="U21" s="8"/>
    </row>
    <row r="22" spans="1:21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3"/>
      <c r="O22" s="8"/>
      <c r="P22" s="8"/>
      <c r="Q22" s="9" t="str">
        <f t="shared" si="0"/>
        <v/>
      </c>
      <c r="R22" s="10"/>
      <c r="S22" s="8"/>
      <c r="T22" s="10"/>
      <c r="U22" s="8"/>
    </row>
    <row r="23" spans="1:21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3"/>
      <c r="O23" s="8"/>
      <c r="P23" s="8"/>
      <c r="Q23" s="9" t="str">
        <f t="shared" si="0"/>
        <v/>
      </c>
      <c r="R23" s="10"/>
      <c r="S23" s="8"/>
      <c r="T23" s="10"/>
      <c r="U23" s="8"/>
    </row>
    <row r="24" spans="1:21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13"/>
      <c r="O24" s="8"/>
      <c r="P24" s="8"/>
      <c r="Q24" s="9" t="str">
        <f t="shared" si="0"/>
        <v/>
      </c>
      <c r="R24" s="10"/>
      <c r="S24" s="8"/>
      <c r="T24" s="10"/>
      <c r="U24" s="8"/>
    </row>
    <row r="25" spans="1:21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3"/>
      <c r="O25" s="8"/>
      <c r="P25" s="8"/>
      <c r="Q25" s="9" t="str">
        <f t="shared" si="0"/>
        <v/>
      </c>
      <c r="R25" s="10"/>
      <c r="S25" s="8"/>
      <c r="T25" s="10"/>
      <c r="U25" s="8"/>
    </row>
    <row r="26" spans="1:21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3"/>
      <c r="O26" s="8"/>
      <c r="P26" s="8"/>
      <c r="Q26" s="9" t="str">
        <f t="shared" si="0"/>
        <v/>
      </c>
      <c r="R26" s="10"/>
      <c r="S26" s="8"/>
      <c r="T26" s="10"/>
      <c r="U26" s="8"/>
    </row>
    <row r="27" spans="1:21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3"/>
      <c r="O27" s="8"/>
      <c r="P27" s="8"/>
      <c r="Q27" s="9" t="str">
        <f t="shared" si="0"/>
        <v/>
      </c>
      <c r="R27" s="10"/>
      <c r="S27" s="8"/>
      <c r="T27" s="10"/>
      <c r="U27" s="8"/>
    </row>
    <row r="28" spans="1:21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3"/>
      <c r="O28" s="8"/>
      <c r="P28" s="8"/>
      <c r="Q28" s="9" t="str">
        <f t="shared" si="0"/>
        <v/>
      </c>
      <c r="R28" s="10"/>
      <c r="S28" s="8"/>
      <c r="T28" s="10"/>
      <c r="U28" s="8"/>
    </row>
    <row r="29" spans="1:21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3"/>
      <c r="O29" s="8"/>
      <c r="P29" s="8"/>
      <c r="Q29" s="9" t="str">
        <f t="shared" si="0"/>
        <v/>
      </c>
      <c r="R29" s="10"/>
      <c r="S29" s="8"/>
      <c r="T29" s="10"/>
      <c r="U29" s="8"/>
    </row>
    <row r="30" spans="1:21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3"/>
      <c r="O30" s="8"/>
      <c r="P30" s="8"/>
      <c r="Q30" s="9" t="str">
        <f t="shared" si="0"/>
        <v/>
      </c>
      <c r="R30" s="10"/>
      <c r="S30" s="8"/>
      <c r="T30" s="10"/>
      <c r="U30" s="8"/>
    </row>
    <row r="31" spans="1:21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3"/>
      <c r="O31" s="8"/>
      <c r="P31" s="8"/>
      <c r="Q31" s="9" t="str">
        <f t="shared" si="0"/>
        <v/>
      </c>
      <c r="R31" s="10"/>
      <c r="S31" s="8"/>
      <c r="T31" s="10"/>
      <c r="U31" s="8"/>
    </row>
    <row r="32" spans="1:21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13"/>
      <c r="O32" s="8"/>
      <c r="P32" s="8"/>
      <c r="Q32" s="9" t="str">
        <f t="shared" si="0"/>
        <v/>
      </c>
      <c r="R32" s="10"/>
      <c r="S32" s="8"/>
      <c r="T32" s="10"/>
      <c r="U32" s="8"/>
    </row>
    <row r="33" spans="1:21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3"/>
      <c r="O33" s="8"/>
      <c r="P33" s="8"/>
      <c r="Q33" s="9" t="str">
        <f t="shared" si="0"/>
        <v/>
      </c>
      <c r="R33" s="10"/>
      <c r="S33" s="8"/>
      <c r="T33" s="10"/>
      <c r="U33" s="8"/>
    </row>
    <row r="34" spans="1:21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3"/>
      <c r="O34" s="8"/>
      <c r="P34" s="8"/>
      <c r="Q34" s="9" t="str">
        <f t="shared" si="0"/>
        <v/>
      </c>
      <c r="R34" s="10"/>
      <c r="S34" s="8"/>
      <c r="T34" s="10"/>
      <c r="U34" s="8"/>
    </row>
    <row r="35" spans="1:21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3"/>
      <c r="O35" s="8"/>
      <c r="P35" s="8"/>
      <c r="Q35" s="9" t="str">
        <f t="shared" si="0"/>
        <v/>
      </c>
      <c r="R35" s="10"/>
      <c r="S35" s="8"/>
      <c r="T35" s="10"/>
      <c r="U35" s="8"/>
    </row>
    <row r="36" spans="1:21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3"/>
      <c r="O36" s="8"/>
      <c r="P36" s="8"/>
      <c r="Q36" s="9" t="str">
        <f t="shared" si="0"/>
        <v/>
      </c>
      <c r="R36" s="10"/>
      <c r="S36" s="8"/>
      <c r="T36" s="10"/>
      <c r="U36" s="8"/>
    </row>
    <row r="37" spans="1:21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3"/>
      <c r="O37" s="8"/>
      <c r="P37" s="8"/>
      <c r="Q37" s="9" t="str">
        <f t="shared" si="0"/>
        <v/>
      </c>
      <c r="R37" s="10"/>
      <c r="S37" s="8"/>
      <c r="T37" s="10"/>
      <c r="U37" s="8"/>
    </row>
    <row r="38" spans="1:21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3"/>
      <c r="O38" s="8"/>
      <c r="P38" s="8"/>
      <c r="Q38" s="9" t="str">
        <f t="shared" si="0"/>
        <v/>
      </c>
      <c r="R38" s="10"/>
      <c r="S38" s="8"/>
      <c r="T38" s="10"/>
      <c r="U38" s="8"/>
    </row>
    <row r="39" spans="1:21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3"/>
      <c r="O39" s="8"/>
      <c r="P39" s="8"/>
      <c r="Q39" s="9" t="str">
        <f t="shared" si="0"/>
        <v/>
      </c>
      <c r="R39" s="10"/>
      <c r="S39" s="8"/>
      <c r="T39" s="10"/>
      <c r="U39" s="8"/>
    </row>
    <row r="40" spans="1:21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3"/>
      <c r="O40" s="8"/>
      <c r="P40" s="8"/>
      <c r="Q40" s="9" t="str">
        <f t="shared" si="0"/>
        <v/>
      </c>
      <c r="R40" s="10"/>
      <c r="S40" s="8"/>
      <c r="T40" s="10"/>
      <c r="U40" s="8"/>
    </row>
    <row r="41" spans="1:21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3"/>
      <c r="O41" s="8"/>
      <c r="P41" s="8"/>
      <c r="Q41" s="9" t="str">
        <f t="shared" si="0"/>
        <v/>
      </c>
      <c r="R41" s="10"/>
      <c r="S41" s="8"/>
      <c r="T41" s="10"/>
      <c r="U41" s="8"/>
    </row>
    <row r="42" spans="1:21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3"/>
      <c r="O42" s="8"/>
      <c r="P42" s="8"/>
      <c r="Q42" s="9" t="str">
        <f t="shared" si="0"/>
        <v/>
      </c>
      <c r="R42" s="10"/>
      <c r="S42" s="8"/>
      <c r="T42" s="10"/>
      <c r="U42" s="8"/>
    </row>
    <row r="43" spans="1:21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3"/>
      <c r="O43" s="8"/>
      <c r="P43" s="8"/>
      <c r="Q43" s="9" t="str">
        <f t="shared" si="0"/>
        <v/>
      </c>
      <c r="R43" s="10"/>
      <c r="S43" s="8"/>
      <c r="T43" s="10"/>
      <c r="U43" s="8"/>
    </row>
    <row r="44" spans="1:21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3"/>
      <c r="O44" s="8"/>
      <c r="P44" s="8"/>
      <c r="Q44" s="9" t="str">
        <f t="shared" si="0"/>
        <v/>
      </c>
      <c r="R44" s="10"/>
      <c r="S44" s="8"/>
      <c r="T44" s="10"/>
      <c r="U44" s="8"/>
    </row>
    <row r="45" spans="1:21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3"/>
      <c r="O45" s="8"/>
      <c r="P45" s="8"/>
      <c r="Q45" s="9" t="str">
        <f t="shared" si="0"/>
        <v/>
      </c>
      <c r="R45" s="10"/>
      <c r="S45" s="8"/>
      <c r="T45" s="10"/>
      <c r="U45" s="8"/>
    </row>
    <row r="46" spans="1:21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3"/>
      <c r="O46" s="8"/>
      <c r="P46" s="8"/>
      <c r="Q46" s="9" t="str">
        <f t="shared" si="0"/>
        <v/>
      </c>
      <c r="R46" s="10"/>
      <c r="S46" s="8"/>
      <c r="T46" s="10"/>
      <c r="U46" s="8"/>
    </row>
    <row r="47" spans="1:21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3"/>
      <c r="O47" s="8"/>
      <c r="P47" s="8"/>
      <c r="Q47" s="9" t="str">
        <f t="shared" si="0"/>
        <v/>
      </c>
      <c r="R47" s="10"/>
      <c r="S47" s="8"/>
      <c r="T47" s="10"/>
      <c r="U47" s="8"/>
    </row>
    <row r="48" spans="1:21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3"/>
      <c r="O48" s="8"/>
      <c r="P48" s="8"/>
      <c r="Q48" s="9" t="str">
        <f t="shared" si="0"/>
        <v/>
      </c>
      <c r="R48" s="10"/>
      <c r="S48" s="8"/>
      <c r="T48" s="10"/>
      <c r="U48" s="8"/>
    </row>
    <row r="49" spans="1:21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3"/>
      <c r="O49" s="8"/>
      <c r="P49" s="8"/>
      <c r="Q49" s="9" t="str">
        <f t="shared" si="0"/>
        <v/>
      </c>
      <c r="R49" s="10"/>
      <c r="S49" s="8"/>
      <c r="T49" s="10"/>
      <c r="U49" s="8"/>
    </row>
    <row r="50" spans="1:21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3"/>
      <c r="O50" s="8"/>
      <c r="P50" s="8"/>
      <c r="Q50" s="9" t="str">
        <f t="shared" si="0"/>
        <v/>
      </c>
      <c r="R50" s="10"/>
      <c r="S50" s="8"/>
      <c r="T50" s="10"/>
      <c r="U50" s="8"/>
    </row>
    <row r="51" spans="1:21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3"/>
      <c r="O51" s="8"/>
      <c r="P51" s="8"/>
      <c r="Q51" s="9" t="str">
        <f t="shared" si="0"/>
        <v/>
      </c>
      <c r="R51" s="10"/>
      <c r="S51" s="8"/>
      <c r="T51" s="10"/>
      <c r="U51" s="8"/>
    </row>
    <row r="52" spans="1:21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3"/>
      <c r="O52" s="8"/>
      <c r="P52" s="8"/>
      <c r="Q52" s="9" t="str">
        <f t="shared" si="0"/>
        <v/>
      </c>
      <c r="R52" s="10"/>
      <c r="S52" s="8"/>
      <c r="T52" s="10"/>
      <c r="U52" s="8"/>
    </row>
    <row r="53" spans="1:21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3"/>
      <c r="O53" s="8"/>
      <c r="P53" s="8"/>
      <c r="Q53" s="9" t="str">
        <f t="shared" si="0"/>
        <v/>
      </c>
      <c r="R53" s="10"/>
      <c r="S53" s="8"/>
      <c r="T53" s="10"/>
      <c r="U53" s="8"/>
    </row>
    <row r="54" spans="1:21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3"/>
      <c r="O54" s="8"/>
      <c r="P54" s="8"/>
      <c r="Q54" s="9" t="str">
        <f t="shared" si="0"/>
        <v/>
      </c>
      <c r="R54" s="10"/>
      <c r="S54" s="8"/>
      <c r="T54" s="10"/>
      <c r="U54" s="8"/>
    </row>
    <row r="55" spans="1:21">
      <c r="A55" s="8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3"/>
      <c r="O55" s="8"/>
      <c r="P55" s="8"/>
      <c r="Q55" s="9" t="str">
        <f t="shared" si="0"/>
        <v/>
      </c>
      <c r="R55" s="10"/>
      <c r="S55" s="8"/>
      <c r="T55" s="10"/>
      <c r="U55" s="8"/>
    </row>
    <row r="56" spans="1:21">
      <c r="A56" s="8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3"/>
      <c r="O56" s="8"/>
      <c r="P56" s="8"/>
      <c r="Q56" s="9" t="str">
        <f t="shared" si="0"/>
        <v/>
      </c>
      <c r="R56" s="10"/>
      <c r="S56" s="8"/>
      <c r="T56" s="10"/>
      <c r="U56" s="8"/>
    </row>
    <row r="57" spans="1:21">
      <c r="A57" s="8"/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3"/>
      <c r="O57" s="8"/>
      <c r="P57" s="8"/>
      <c r="Q57" s="9" t="str">
        <f t="shared" si="0"/>
        <v/>
      </c>
      <c r="R57" s="10"/>
      <c r="S57" s="8"/>
      <c r="T57" s="10"/>
      <c r="U57" s="8"/>
    </row>
    <row r="58" spans="1:21">
      <c r="A58" s="8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3"/>
      <c r="O58" s="8"/>
      <c r="P58" s="8"/>
      <c r="Q58" s="9" t="str">
        <f t="shared" si="0"/>
        <v/>
      </c>
      <c r="R58" s="10"/>
      <c r="S58" s="8"/>
      <c r="T58" s="10"/>
      <c r="U58" s="8"/>
    </row>
    <row r="59" spans="1:21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3"/>
      <c r="O59" s="8"/>
      <c r="P59" s="8"/>
      <c r="Q59" s="9" t="str">
        <f t="shared" si="0"/>
        <v/>
      </c>
      <c r="R59" s="10"/>
      <c r="S59" s="8"/>
      <c r="T59" s="10"/>
      <c r="U59" s="8"/>
    </row>
    <row r="60" spans="1:21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3"/>
      <c r="O60" s="8"/>
      <c r="P60" s="8"/>
      <c r="Q60" s="9" t="str">
        <f t="shared" si="0"/>
        <v/>
      </c>
      <c r="R60" s="10"/>
      <c r="S60" s="8"/>
      <c r="T60" s="10"/>
      <c r="U60" s="8"/>
    </row>
    <row r="61" spans="1:21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3"/>
      <c r="O61" s="8"/>
      <c r="P61" s="8"/>
      <c r="Q61" s="9" t="str">
        <f t="shared" si="0"/>
        <v/>
      </c>
      <c r="R61" s="10"/>
      <c r="S61" s="8"/>
      <c r="T61" s="10"/>
      <c r="U61" s="8"/>
    </row>
    <row r="62" spans="1:21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3"/>
      <c r="O62" s="8"/>
      <c r="P62" s="8"/>
      <c r="Q62" s="9" t="str">
        <f t="shared" si="0"/>
        <v/>
      </c>
      <c r="R62" s="10"/>
      <c r="S62" s="8"/>
      <c r="T62" s="10"/>
      <c r="U62" s="8"/>
    </row>
    <row r="63" spans="1:21">
      <c r="A63" s="8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3"/>
      <c r="O63" s="8"/>
      <c r="P63" s="8"/>
      <c r="Q63" s="9" t="str">
        <f t="shared" si="0"/>
        <v/>
      </c>
      <c r="R63" s="10"/>
      <c r="S63" s="8"/>
      <c r="T63" s="10"/>
      <c r="U63" s="8"/>
    </row>
    <row r="64" spans="1:21">
      <c r="A64" s="8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13"/>
      <c r="O64" s="8"/>
      <c r="P64" s="8"/>
      <c r="Q64" s="9" t="str">
        <f t="shared" si="0"/>
        <v/>
      </c>
      <c r="R64" s="10"/>
      <c r="S64" s="8"/>
      <c r="T64" s="10"/>
      <c r="U64" s="8"/>
    </row>
    <row r="65" spans="1:21">
      <c r="A65" s="8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13"/>
      <c r="O65" s="8"/>
      <c r="P65" s="8"/>
      <c r="Q65" s="9" t="str">
        <f t="shared" si="0"/>
        <v/>
      </c>
      <c r="R65" s="10"/>
      <c r="S65" s="8"/>
      <c r="T65" s="10"/>
      <c r="U65" s="8"/>
    </row>
    <row r="66" spans="1:21">
      <c r="A66" s="8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3"/>
      <c r="O66" s="8"/>
      <c r="P66" s="8"/>
      <c r="Q66" s="9" t="str">
        <f t="shared" si="0"/>
        <v/>
      </c>
      <c r="R66" s="10"/>
      <c r="S66" s="8"/>
      <c r="T66" s="10"/>
      <c r="U66" s="8"/>
    </row>
    <row r="67" spans="1:21">
      <c r="A67" s="8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13"/>
      <c r="O67" s="8"/>
      <c r="P67" s="8"/>
      <c r="Q67" s="9" t="str">
        <f t="shared" si="0"/>
        <v/>
      </c>
      <c r="R67" s="10"/>
      <c r="S67" s="8"/>
      <c r="T67" s="10"/>
      <c r="U67" s="8"/>
    </row>
    <row r="68" spans="1:21">
      <c r="A68" s="8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3"/>
      <c r="O68" s="8"/>
      <c r="P68" s="8"/>
      <c r="Q68" s="9" t="str">
        <f t="shared" si="0"/>
        <v/>
      </c>
      <c r="R68" s="10"/>
      <c r="S68" s="8"/>
      <c r="T68" s="10"/>
      <c r="U68" s="8"/>
    </row>
    <row r="69" spans="1:21">
      <c r="A69" s="8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13"/>
      <c r="O69" s="8"/>
      <c r="P69" s="8"/>
      <c r="Q69" s="9" t="str">
        <f t="shared" ref="Q69:Q132" si="1">IF(A69="","",IF(COUNTIF(F69:M69,"Failed")&gt;0,"Rejected",IF(COUNTIF(F69:M69,"On Hold")&gt;0,"On Hold",IF(COUNTIF(F69:M69,"Pending")&gt;0,"Pending",IF(O69&lt;&gt;"","Conditionally Approved","Released for Cutting")))))</f>
        <v/>
      </c>
      <c r="R69" s="10"/>
      <c r="S69" s="8"/>
      <c r="T69" s="10"/>
      <c r="U69" s="8"/>
    </row>
    <row r="70" spans="1:21">
      <c r="A70" s="8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13"/>
      <c r="O70" s="8"/>
      <c r="P70" s="8"/>
      <c r="Q70" s="9" t="str">
        <f t="shared" si="1"/>
        <v/>
      </c>
      <c r="R70" s="10"/>
      <c r="S70" s="8"/>
      <c r="T70" s="10"/>
      <c r="U70" s="8"/>
    </row>
    <row r="71" spans="1:21">
      <c r="A71" s="8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3"/>
      <c r="O71" s="8"/>
      <c r="P71" s="8"/>
      <c r="Q71" s="9" t="str">
        <f t="shared" si="1"/>
        <v/>
      </c>
      <c r="R71" s="10"/>
      <c r="S71" s="8"/>
      <c r="T71" s="10"/>
      <c r="U71" s="8"/>
    </row>
    <row r="72" spans="1:21">
      <c r="A72" s="8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13"/>
      <c r="O72" s="8"/>
      <c r="P72" s="8"/>
      <c r="Q72" s="9" t="str">
        <f t="shared" si="1"/>
        <v/>
      </c>
      <c r="R72" s="10"/>
      <c r="S72" s="8"/>
      <c r="T72" s="10"/>
      <c r="U72" s="8"/>
    </row>
    <row r="73" spans="1:21">
      <c r="A73" s="8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13"/>
      <c r="O73" s="8"/>
      <c r="P73" s="8"/>
      <c r="Q73" s="9" t="str">
        <f t="shared" si="1"/>
        <v/>
      </c>
      <c r="R73" s="10"/>
      <c r="S73" s="8"/>
      <c r="T73" s="10"/>
      <c r="U73" s="8"/>
    </row>
    <row r="74" spans="1:21">
      <c r="A74" s="8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13"/>
      <c r="O74" s="8"/>
      <c r="P74" s="8"/>
      <c r="Q74" s="9" t="str">
        <f t="shared" si="1"/>
        <v/>
      </c>
      <c r="R74" s="10"/>
      <c r="S74" s="8"/>
      <c r="T74" s="10"/>
      <c r="U74" s="8"/>
    </row>
    <row r="75" spans="1:21">
      <c r="A75" s="8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13"/>
      <c r="O75" s="8"/>
      <c r="P75" s="8"/>
      <c r="Q75" s="9" t="str">
        <f t="shared" si="1"/>
        <v/>
      </c>
      <c r="R75" s="10"/>
      <c r="S75" s="8"/>
      <c r="T75" s="10"/>
      <c r="U75" s="8"/>
    </row>
    <row r="76" spans="1:21">
      <c r="A76" s="8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13"/>
      <c r="O76" s="8"/>
      <c r="P76" s="8"/>
      <c r="Q76" s="9" t="str">
        <f t="shared" si="1"/>
        <v/>
      </c>
      <c r="R76" s="10"/>
      <c r="S76" s="8"/>
      <c r="T76" s="10"/>
      <c r="U76" s="8"/>
    </row>
    <row r="77" spans="1:21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13"/>
      <c r="O77" s="8"/>
      <c r="P77" s="8"/>
      <c r="Q77" s="9" t="str">
        <f t="shared" si="1"/>
        <v/>
      </c>
      <c r="R77" s="10"/>
      <c r="S77" s="8"/>
      <c r="T77" s="10"/>
      <c r="U77" s="8"/>
    </row>
    <row r="78" spans="1:21">
      <c r="A78" s="8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13"/>
      <c r="O78" s="8"/>
      <c r="P78" s="8"/>
      <c r="Q78" s="9" t="str">
        <f t="shared" si="1"/>
        <v/>
      </c>
      <c r="R78" s="10"/>
      <c r="S78" s="8"/>
      <c r="T78" s="10"/>
      <c r="U78" s="8"/>
    </row>
    <row r="79" spans="1:21">
      <c r="A79" s="8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13"/>
      <c r="O79" s="8"/>
      <c r="P79" s="8"/>
      <c r="Q79" s="9" t="str">
        <f t="shared" si="1"/>
        <v/>
      </c>
      <c r="R79" s="10"/>
      <c r="S79" s="8"/>
      <c r="T79" s="10"/>
      <c r="U79" s="8"/>
    </row>
    <row r="80" spans="1:21">
      <c r="A80" s="8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13"/>
      <c r="O80" s="8"/>
      <c r="P80" s="8"/>
      <c r="Q80" s="9" t="str">
        <f t="shared" si="1"/>
        <v/>
      </c>
      <c r="R80" s="10"/>
      <c r="S80" s="8"/>
      <c r="T80" s="10"/>
      <c r="U80" s="8"/>
    </row>
    <row r="81" spans="1:21">
      <c r="A81" s="8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13"/>
      <c r="O81" s="8"/>
      <c r="P81" s="8"/>
      <c r="Q81" s="9" t="str">
        <f t="shared" si="1"/>
        <v/>
      </c>
      <c r="R81" s="10"/>
      <c r="S81" s="8"/>
      <c r="T81" s="10"/>
      <c r="U81" s="8"/>
    </row>
    <row r="82" spans="1:21">
      <c r="A82" s="8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13"/>
      <c r="O82" s="8"/>
      <c r="P82" s="8"/>
      <c r="Q82" s="9" t="str">
        <f t="shared" si="1"/>
        <v/>
      </c>
      <c r="R82" s="10"/>
      <c r="S82" s="8"/>
      <c r="T82" s="10"/>
      <c r="U82" s="8"/>
    </row>
    <row r="83" spans="1:21">
      <c r="A83" s="8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13"/>
      <c r="O83" s="8"/>
      <c r="P83" s="8"/>
      <c r="Q83" s="9" t="str">
        <f t="shared" si="1"/>
        <v/>
      </c>
      <c r="R83" s="10"/>
      <c r="S83" s="8"/>
      <c r="T83" s="10"/>
      <c r="U83" s="8"/>
    </row>
    <row r="84" spans="1:21">
      <c r="A84" s="8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13"/>
      <c r="O84" s="8"/>
      <c r="P84" s="8"/>
      <c r="Q84" s="9" t="str">
        <f t="shared" si="1"/>
        <v/>
      </c>
      <c r="R84" s="10"/>
      <c r="S84" s="8"/>
      <c r="T84" s="10"/>
      <c r="U84" s="8"/>
    </row>
    <row r="85" spans="1:21">
      <c r="A85" s="8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13"/>
      <c r="O85" s="8"/>
      <c r="P85" s="8"/>
      <c r="Q85" s="9" t="str">
        <f t="shared" si="1"/>
        <v/>
      </c>
      <c r="R85" s="10"/>
      <c r="S85" s="8"/>
      <c r="T85" s="10"/>
      <c r="U85" s="8"/>
    </row>
    <row r="86" spans="1:21">
      <c r="A86" s="8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13"/>
      <c r="O86" s="8"/>
      <c r="P86" s="8"/>
      <c r="Q86" s="9" t="str">
        <f t="shared" si="1"/>
        <v/>
      </c>
      <c r="R86" s="10"/>
      <c r="S86" s="8"/>
      <c r="T86" s="10"/>
      <c r="U86" s="8"/>
    </row>
    <row r="87" spans="1:21">
      <c r="A87" s="8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13"/>
      <c r="O87" s="8"/>
      <c r="P87" s="8"/>
      <c r="Q87" s="9" t="str">
        <f t="shared" si="1"/>
        <v/>
      </c>
      <c r="R87" s="10"/>
      <c r="S87" s="8"/>
      <c r="T87" s="10"/>
      <c r="U87" s="8"/>
    </row>
    <row r="88" spans="1:21">
      <c r="A88" s="8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13"/>
      <c r="O88" s="8"/>
      <c r="P88" s="8"/>
      <c r="Q88" s="9" t="str">
        <f t="shared" si="1"/>
        <v/>
      </c>
      <c r="R88" s="10"/>
      <c r="S88" s="8"/>
      <c r="T88" s="10"/>
      <c r="U88" s="8"/>
    </row>
    <row r="89" spans="1:21">
      <c r="A89" s="8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13"/>
      <c r="O89" s="8"/>
      <c r="P89" s="8"/>
      <c r="Q89" s="9" t="str">
        <f t="shared" si="1"/>
        <v/>
      </c>
      <c r="R89" s="10"/>
      <c r="S89" s="8"/>
      <c r="T89" s="10"/>
      <c r="U89" s="8"/>
    </row>
    <row r="90" spans="1:21">
      <c r="A90" s="8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13"/>
      <c r="O90" s="8"/>
      <c r="P90" s="8"/>
      <c r="Q90" s="9" t="str">
        <f t="shared" si="1"/>
        <v/>
      </c>
      <c r="R90" s="10"/>
      <c r="S90" s="8"/>
      <c r="T90" s="10"/>
      <c r="U90" s="8"/>
    </row>
    <row r="91" spans="1:21">
      <c r="A91" s="8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13"/>
      <c r="O91" s="8"/>
      <c r="P91" s="8"/>
      <c r="Q91" s="9" t="str">
        <f t="shared" si="1"/>
        <v/>
      </c>
      <c r="R91" s="10"/>
      <c r="S91" s="8"/>
      <c r="T91" s="10"/>
      <c r="U91" s="8"/>
    </row>
    <row r="92" spans="1:21">
      <c r="A92" s="8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13"/>
      <c r="O92" s="8"/>
      <c r="P92" s="8"/>
      <c r="Q92" s="9" t="str">
        <f t="shared" si="1"/>
        <v/>
      </c>
      <c r="R92" s="10"/>
      <c r="S92" s="8"/>
      <c r="T92" s="10"/>
      <c r="U92" s="8"/>
    </row>
    <row r="93" spans="1:21">
      <c r="A93" s="8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13"/>
      <c r="O93" s="8"/>
      <c r="P93" s="8"/>
      <c r="Q93" s="9" t="str">
        <f t="shared" si="1"/>
        <v/>
      </c>
      <c r="R93" s="10"/>
      <c r="S93" s="8"/>
      <c r="T93" s="10"/>
      <c r="U93" s="8"/>
    </row>
    <row r="94" spans="1:21">
      <c r="A94" s="8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13"/>
      <c r="O94" s="8"/>
      <c r="P94" s="8"/>
      <c r="Q94" s="9" t="str">
        <f t="shared" si="1"/>
        <v/>
      </c>
      <c r="R94" s="10"/>
      <c r="S94" s="8"/>
      <c r="T94" s="10"/>
      <c r="U94" s="8"/>
    </row>
    <row r="95" spans="1:21">
      <c r="A95" s="8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13"/>
      <c r="O95" s="8"/>
      <c r="P95" s="8"/>
      <c r="Q95" s="9" t="str">
        <f t="shared" si="1"/>
        <v/>
      </c>
      <c r="R95" s="10"/>
      <c r="S95" s="8"/>
      <c r="T95" s="10"/>
      <c r="U95" s="8"/>
    </row>
    <row r="96" spans="1:21">
      <c r="A96" s="8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13"/>
      <c r="O96" s="8"/>
      <c r="P96" s="8"/>
      <c r="Q96" s="9" t="str">
        <f t="shared" si="1"/>
        <v/>
      </c>
      <c r="R96" s="10"/>
      <c r="S96" s="8"/>
      <c r="T96" s="10"/>
      <c r="U96" s="8"/>
    </row>
    <row r="97" spans="1:21">
      <c r="A97" s="8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13"/>
      <c r="O97" s="8"/>
      <c r="P97" s="8"/>
      <c r="Q97" s="9" t="str">
        <f t="shared" si="1"/>
        <v/>
      </c>
      <c r="R97" s="10"/>
      <c r="S97" s="8"/>
      <c r="T97" s="10"/>
      <c r="U97" s="8"/>
    </row>
    <row r="98" spans="1:21">
      <c r="A98" s="8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13"/>
      <c r="O98" s="8"/>
      <c r="P98" s="8"/>
      <c r="Q98" s="9" t="str">
        <f t="shared" si="1"/>
        <v/>
      </c>
      <c r="R98" s="10"/>
      <c r="S98" s="8"/>
      <c r="T98" s="10"/>
      <c r="U98" s="8"/>
    </row>
    <row r="99" spans="1:21">
      <c r="A99" s="8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13"/>
      <c r="O99" s="8"/>
      <c r="P99" s="8"/>
      <c r="Q99" s="9" t="str">
        <f t="shared" si="1"/>
        <v/>
      </c>
      <c r="R99" s="10"/>
      <c r="S99" s="8"/>
      <c r="T99" s="10"/>
      <c r="U99" s="8"/>
    </row>
    <row r="100" spans="1:21">
      <c r="A100" s="8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13"/>
      <c r="O100" s="8"/>
      <c r="P100" s="8"/>
      <c r="Q100" s="9" t="str">
        <f t="shared" si="1"/>
        <v/>
      </c>
      <c r="R100" s="10"/>
      <c r="S100" s="8"/>
      <c r="T100" s="10"/>
      <c r="U100" s="8"/>
    </row>
    <row r="101" spans="1:21">
      <c r="A101" s="8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13"/>
      <c r="O101" s="8"/>
      <c r="P101" s="8"/>
      <c r="Q101" s="9" t="str">
        <f t="shared" si="1"/>
        <v/>
      </c>
      <c r="R101" s="10"/>
      <c r="S101" s="8"/>
      <c r="T101" s="10"/>
      <c r="U101" s="8"/>
    </row>
    <row r="102" spans="1:21">
      <c r="A102" s="8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3"/>
      <c r="O102" s="8"/>
      <c r="P102" s="8"/>
      <c r="Q102" s="9" t="str">
        <f t="shared" si="1"/>
        <v/>
      </c>
      <c r="R102" s="10"/>
      <c r="S102" s="8"/>
      <c r="T102" s="10"/>
      <c r="U102" s="8"/>
    </row>
    <row r="103" spans="1:21">
      <c r="A103" s="8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3"/>
      <c r="O103" s="8"/>
      <c r="P103" s="8"/>
      <c r="Q103" s="9" t="str">
        <f t="shared" si="1"/>
        <v/>
      </c>
      <c r="R103" s="10"/>
      <c r="S103" s="8"/>
      <c r="T103" s="10"/>
      <c r="U103" s="8"/>
    </row>
    <row r="104" spans="1:21">
      <c r="A104" s="8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3"/>
      <c r="O104" s="8"/>
      <c r="P104" s="8"/>
      <c r="Q104" s="9" t="str">
        <f t="shared" si="1"/>
        <v/>
      </c>
      <c r="R104" s="10"/>
      <c r="S104" s="8"/>
      <c r="T104" s="10"/>
      <c r="U104" s="8"/>
    </row>
    <row r="105" spans="1:21">
      <c r="A105" s="8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3"/>
      <c r="O105" s="8"/>
      <c r="P105" s="8"/>
      <c r="Q105" s="9" t="str">
        <f t="shared" si="1"/>
        <v/>
      </c>
      <c r="R105" s="10"/>
      <c r="S105" s="8"/>
      <c r="T105" s="10"/>
      <c r="U105" s="8"/>
    </row>
    <row r="106" spans="1:21">
      <c r="A106" s="8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3"/>
      <c r="O106" s="8"/>
      <c r="P106" s="8"/>
      <c r="Q106" s="9" t="str">
        <f t="shared" si="1"/>
        <v/>
      </c>
      <c r="R106" s="10"/>
      <c r="S106" s="8"/>
      <c r="T106" s="10"/>
      <c r="U106" s="8"/>
    </row>
    <row r="107" spans="1:21">
      <c r="A107" s="8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13"/>
      <c r="O107" s="8"/>
      <c r="P107" s="8"/>
      <c r="Q107" s="9" t="str">
        <f t="shared" si="1"/>
        <v/>
      </c>
      <c r="R107" s="10"/>
      <c r="S107" s="8"/>
      <c r="T107" s="10"/>
      <c r="U107" s="8"/>
    </row>
    <row r="108" spans="1:21">
      <c r="A108" s="8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13"/>
      <c r="O108" s="8"/>
      <c r="P108" s="8"/>
      <c r="Q108" s="9" t="str">
        <f t="shared" si="1"/>
        <v/>
      </c>
      <c r="R108" s="10"/>
      <c r="S108" s="8"/>
      <c r="T108" s="10"/>
      <c r="U108" s="8"/>
    </row>
    <row r="109" spans="1:21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3"/>
      <c r="O109" s="8"/>
      <c r="P109" s="8"/>
      <c r="Q109" s="9" t="str">
        <f t="shared" si="1"/>
        <v/>
      </c>
      <c r="R109" s="10"/>
      <c r="S109" s="8"/>
      <c r="T109" s="10"/>
      <c r="U109" s="8"/>
    </row>
    <row r="110" spans="1:21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13"/>
      <c r="O110" s="8"/>
      <c r="P110" s="8"/>
      <c r="Q110" s="9" t="str">
        <f t="shared" si="1"/>
        <v/>
      </c>
      <c r="R110" s="10"/>
      <c r="S110" s="8"/>
      <c r="T110" s="10"/>
      <c r="U110" s="8"/>
    </row>
    <row r="111" spans="1:21">
      <c r="A111" s="8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13"/>
      <c r="O111" s="8"/>
      <c r="P111" s="8"/>
      <c r="Q111" s="9" t="str">
        <f t="shared" si="1"/>
        <v/>
      </c>
      <c r="R111" s="10"/>
      <c r="S111" s="8"/>
      <c r="T111" s="10"/>
      <c r="U111" s="8"/>
    </row>
    <row r="112" spans="1:21">
      <c r="A112" s="8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13"/>
      <c r="O112" s="8"/>
      <c r="P112" s="8"/>
      <c r="Q112" s="9" t="str">
        <f t="shared" si="1"/>
        <v/>
      </c>
      <c r="R112" s="10"/>
      <c r="S112" s="8"/>
      <c r="T112" s="10"/>
      <c r="U112" s="8"/>
    </row>
    <row r="113" spans="1:21">
      <c r="A113" s="8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13"/>
      <c r="O113" s="8"/>
      <c r="P113" s="8"/>
      <c r="Q113" s="9" t="str">
        <f t="shared" si="1"/>
        <v/>
      </c>
      <c r="R113" s="10"/>
      <c r="S113" s="8"/>
      <c r="T113" s="10"/>
      <c r="U113" s="8"/>
    </row>
    <row r="114" spans="1:21">
      <c r="A114" s="8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13"/>
      <c r="O114" s="8"/>
      <c r="P114" s="8"/>
      <c r="Q114" s="9" t="str">
        <f t="shared" si="1"/>
        <v/>
      </c>
      <c r="R114" s="10"/>
      <c r="S114" s="8"/>
      <c r="T114" s="10"/>
      <c r="U114" s="8"/>
    </row>
    <row r="115" spans="1:21">
      <c r="A115" s="8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13"/>
      <c r="O115" s="8"/>
      <c r="P115" s="8"/>
      <c r="Q115" s="9" t="str">
        <f t="shared" si="1"/>
        <v/>
      </c>
      <c r="R115" s="10"/>
      <c r="S115" s="8"/>
      <c r="T115" s="10"/>
      <c r="U115" s="8"/>
    </row>
    <row r="116" spans="1:21">
      <c r="A116" s="8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13"/>
      <c r="O116" s="8"/>
      <c r="P116" s="8"/>
      <c r="Q116" s="9" t="str">
        <f t="shared" si="1"/>
        <v/>
      </c>
      <c r="R116" s="10"/>
      <c r="S116" s="8"/>
      <c r="T116" s="10"/>
      <c r="U116" s="8"/>
    </row>
    <row r="117" spans="1:21">
      <c r="A117" s="8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13"/>
      <c r="O117" s="8"/>
      <c r="P117" s="8"/>
      <c r="Q117" s="9" t="str">
        <f t="shared" si="1"/>
        <v/>
      </c>
      <c r="R117" s="10"/>
      <c r="S117" s="8"/>
      <c r="T117" s="10"/>
      <c r="U117" s="8"/>
    </row>
    <row r="118" spans="1:21">
      <c r="A118" s="8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13"/>
      <c r="O118" s="8"/>
      <c r="P118" s="8"/>
      <c r="Q118" s="9" t="str">
        <f t="shared" si="1"/>
        <v/>
      </c>
      <c r="R118" s="10"/>
      <c r="S118" s="8"/>
      <c r="T118" s="10"/>
      <c r="U118" s="8"/>
    </row>
    <row r="119" spans="1:21">
      <c r="A119" s="8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13"/>
      <c r="O119" s="8"/>
      <c r="P119" s="8"/>
      <c r="Q119" s="9" t="str">
        <f t="shared" si="1"/>
        <v/>
      </c>
      <c r="R119" s="10"/>
      <c r="S119" s="8"/>
      <c r="T119" s="10"/>
      <c r="U119" s="8"/>
    </row>
    <row r="120" spans="1:21">
      <c r="A120" s="8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13"/>
      <c r="O120" s="8"/>
      <c r="P120" s="8"/>
      <c r="Q120" s="9" t="str">
        <f t="shared" si="1"/>
        <v/>
      </c>
      <c r="R120" s="10"/>
      <c r="S120" s="8"/>
      <c r="T120" s="10"/>
      <c r="U120" s="8"/>
    </row>
    <row r="121" spans="1:21">
      <c r="A121" s="8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13"/>
      <c r="O121" s="8"/>
      <c r="P121" s="8"/>
      <c r="Q121" s="9" t="str">
        <f t="shared" si="1"/>
        <v/>
      </c>
      <c r="R121" s="10"/>
      <c r="S121" s="8"/>
      <c r="T121" s="10"/>
      <c r="U121" s="8"/>
    </row>
    <row r="122" spans="1:21">
      <c r="A122" s="8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13"/>
      <c r="O122" s="8"/>
      <c r="P122" s="8"/>
      <c r="Q122" s="9" t="str">
        <f t="shared" si="1"/>
        <v/>
      </c>
      <c r="R122" s="10"/>
      <c r="S122" s="8"/>
      <c r="T122" s="10"/>
      <c r="U122" s="8"/>
    </row>
    <row r="123" spans="1:21">
      <c r="A123" s="8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13"/>
      <c r="O123" s="8"/>
      <c r="P123" s="8"/>
      <c r="Q123" s="9" t="str">
        <f t="shared" si="1"/>
        <v/>
      </c>
      <c r="R123" s="10"/>
      <c r="S123" s="8"/>
      <c r="T123" s="10"/>
      <c r="U123" s="8"/>
    </row>
    <row r="124" spans="1:21">
      <c r="A124" s="8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3"/>
      <c r="O124" s="8"/>
      <c r="P124" s="8"/>
      <c r="Q124" s="9" t="str">
        <f t="shared" si="1"/>
        <v/>
      </c>
      <c r="R124" s="10"/>
      <c r="S124" s="8"/>
      <c r="T124" s="10"/>
      <c r="U124" s="8"/>
    </row>
    <row r="125" spans="1:21">
      <c r="A125" s="8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13"/>
      <c r="O125" s="8"/>
      <c r="P125" s="8"/>
      <c r="Q125" s="9" t="str">
        <f t="shared" si="1"/>
        <v/>
      </c>
      <c r="R125" s="10"/>
      <c r="S125" s="8"/>
      <c r="T125" s="10"/>
      <c r="U125" s="8"/>
    </row>
    <row r="126" spans="1:21">
      <c r="A126" s="8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13"/>
      <c r="O126" s="8"/>
      <c r="P126" s="8"/>
      <c r="Q126" s="9" t="str">
        <f t="shared" si="1"/>
        <v/>
      </c>
      <c r="R126" s="10"/>
      <c r="S126" s="8"/>
      <c r="T126" s="10"/>
      <c r="U126" s="8"/>
    </row>
    <row r="127" spans="1:21">
      <c r="A127" s="8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13"/>
      <c r="O127" s="8"/>
      <c r="P127" s="8"/>
      <c r="Q127" s="9" t="str">
        <f t="shared" si="1"/>
        <v/>
      </c>
      <c r="R127" s="10"/>
      <c r="S127" s="8"/>
      <c r="T127" s="10"/>
      <c r="U127" s="8"/>
    </row>
    <row r="128" spans="1:21">
      <c r="A128" s="8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13"/>
      <c r="O128" s="8"/>
      <c r="P128" s="8"/>
      <c r="Q128" s="9" t="str">
        <f t="shared" si="1"/>
        <v/>
      </c>
      <c r="R128" s="10"/>
      <c r="S128" s="8"/>
      <c r="T128" s="10"/>
      <c r="U128" s="8"/>
    </row>
    <row r="129" spans="1:21">
      <c r="A129" s="8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13"/>
      <c r="O129" s="8"/>
      <c r="P129" s="8"/>
      <c r="Q129" s="9" t="str">
        <f t="shared" si="1"/>
        <v/>
      </c>
      <c r="R129" s="10"/>
      <c r="S129" s="8"/>
      <c r="T129" s="10"/>
      <c r="U129" s="8"/>
    </row>
    <row r="130" spans="1:21">
      <c r="A130" s="8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13"/>
      <c r="O130" s="8"/>
      <c r="P130" s="8"/>
      <c r="Q130" s="9" t="str">
        <f t="shared" si="1"/>
        <v/>
      </c>
      <c r="R130" s="10"/>
      <c r="S130" s="8"/>
      <c r="T130" s="10"/>
      <c r="U130" s="8"/>
    </row>
    <row r="131" spans="1:21">
      <c r="A131" s="8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13"/>
      <c r="O131" s="8"/>
      <c r="P131" s="8"/>
      <c r="Q131" s="9" t="str">
        <f t="shared" si="1"/>
        <v/>
      </c>
      <c r="R131" s="10"/>
      <c r="S131" s="8"/>
      <c r="T131" s="10"/>
      <c r="U131" s="8"/>
    </row>
    <row r="132" spans="1:21">
      <c r="A132" s="8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13"/>
      <c r="O132" s="8"/>
      <c r="P132" s="8"/>
      <c r="Q132" s="9" t="str">
        <f t="shared" si="1"/>
        <v/>
      </c>
      <c r="R132" s="10"/>
      <c r="S132" s="8"/>
      <c r="T132" s="10"/>
      <c r="U132" s="8"/>
    </row>
    <row r="133" spans="1:21">
      <c r="A133" s="8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13"/>
      <c r="O133" s="8"/>
      <c r="P133" s="8"/>
      <c r="Q133" s="9" t="str">
        <f t="shared" ref="Q133:Q196" si="2">IF(A133="","",IF(COUNTIF(F133:M133,"Failed")&gt;0,"Rejected",IF(COUNTIF(F133:M133,"On Hold")&gt;0,"On Hold",IF(COUNTIF(F133:M133,"Pending")&gt;0,"Pending",IF(O133&lt;&gt;"","Conditionally Approved","Released for Cutting")))))</f>
        <v/>
      </c>
      <c r="R133" s="10"/>
      <c r="S133" s="8"/>
      <c r="T133" s="10"/>
      <c r="U133" s="8"/>
    </row>
    <row r="134" spans="1:21">
      <c r="A134" s="8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13"/>
      <c r="O134" s="8"/>
      <c r="P134" s="8"/>
      <c r="Q134" s="9" t="str">
        <f t="shared" si="2"/>
        <v/>
      </c>
      <c r="R134" s="10"/>
      <c r="S134" s="8"/>
      <c r="T134" s="10"/>
      <c r="U134" s="8"/>
    </row>
    <row r="135" spans="1:21">
      <c r="A135" s="8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3"/>
      <c r="O135" s="8"/>
      <c r="P135" s="8"/>
      <c r="Q135" s="9" t="str">
        <f t="shared" si="2"/>
        <v/>
      </c>
      <c r="R135" s="10"/>
      <c r="S135" s="8"/>
      <c r="T135" s="10"/>
      <c r="U135" s="8"/>
    </row>
    <row r="136" spans="1:21">
      <c r="A136" s="8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13"/>
      <c r="O136" s="8"/>
      <c r="P136" s="8"/>
      <c r="Q136" s="9" t="str">
        <f t="shared" si="2"/>
        <v/>
      </c>
      <c r="R136" s="10"/>
      <c r="S136" s="8"/>
      <c r="T136" s="10"/>
      <c r="U136" s="8"/>
    </row>
    <row r="137" spans="1:21">
      <c r="A137" s="8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13"/>
      <c r="O137" s="8"/>
      <c r="P137" s="8"/>
      <c r="Q137" s="9" t="str">
        <f t="shared" si="2"/>
        <v/>
      </c>
      <c r="R137" s="10"/>
      <c r="S137" s="8"/>
      <c r="T137" s="10"/>
      <c r="U137" s="8"/>
    </row>
    <row r="138" spans="1:21">
      <c r="A138" s="8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13"/>
      <c r="O138" s="8"/>
      <c r="P138" s="8"/>
      <c r="Q138" s="9" t="str">
        <f t="shared" si="2"/>
        <v/>
      </c>
      <c r="R138" s="10"/>
      <c r="S138" s="8"/>
      <c r="T138" s="10"/>
      <c r="U138" s="8"/>
    </row>
    <row r="139" spans="1:21">
      <c r="A139" s="8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13"/>
      <c r="O139" s="8"/>
      <c r="P139" s="8"/>
      <c r="Q139" s="9" t="str">
        <f t="shared" si="2"/>
        <v/>
      </c>
      <c r="R139" s="10"/>
      <c r="S139" s="8"/>
      <c r="T139" s="10"/>
      <c r="U139" s="8"/>
    </row>
    <row r="140" spans="1:21">
      <c r="A140" s="8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13"/>
      <c r="O140" s="8"/>
      <c r="P140" s="8"/>
      <c r="Q140" s="9" t="str">
        <f t="shared" si="2"/>
        <v/>
      </c>
      <c r="R140" s="10"/>
      <c r="S140" s="8"/>
      <c r="T140" s="10"/>
      <c r="U140" s="8"/>
    </row>
    <row r="141" spans="1:21">
      <c r="A141" s="8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13"/>
      <c r="O141" s="8"/>
      <c r="P141" s="8"/>
      <c r="Q141" s="9" t="str">
        <f t="shared" si="2"/>
        <v/>
      </c>
      <c r="R141" s="10"/>
      <c r="S141" s="8"/>
      <c r="T141" s="10"/>
      <c r="U141" s="8"/>
    </row>
    <row r="142" spans="1:21">
      <c r="A142" s="8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13"/>
      <c r="O142" s="8"/>
      <c r="P142" s="8"/>
      <c r="Q142" s="9" t="str">
        <f t="shared" si="2"/>
        <v/>
      </c>
      <c r="R142" s="10"/>
      <c r="S142" s="8"/>
      <c r="T142" s="10"/>
      <c r="U142" s="8"/>
    </row>
    <row r="143" spans="1:21">
      <c r="A143" s="8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13"/>
      <c r="O143" s="8"/>
      <c r="P143" s="8"/>
      <c r="Q143" s="9" t="str">
        <f t="shared" si="2"/>
        <v/>
      </c>
      <c r="R143" s="10"/>
      <c r="S143" s="8"/>
      <c r="T143" s="10"/>
      <c r="U143" s="8"/>
    </row>
    <row r="144" spans="1:21">
      <c r="A144" s="8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13"/>
      <c r="O144" s="8"/>
      <c r="P144" s="8"/>
      <c r="Q144" s="9" t="str">
        <f t="shared" si="2"/>
        <v/>
      </c>
      <c r="R144" s="10"/>
      <c r="S144" s="8"/>
      <c r="T144" s="10"/>
      <c r="U144" s="8"/>
    </row>
    <row r="145" spans="1:21">
      <c r="A145" s="8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13"/>
      <c r="O145" s="8"/>
      <c r="P145" s="8"/>
      <c r="Q145" s="9" t="str">
        <f t="shared" si="2"/>
        <v/>
      </c>
      <c r="R145" s="10"/>
      <c r="S145" s="8"/>
      <c r="T145" s="10"/>
      <c r="U145" s="8"/>
    </row>
    <row r="146" spans="1:21">
      <c r="A146" s="8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13"/>
      <c r="O146" s="8"/>
      <c r="P146" s="8"/>
      <c r="Q146" s="9" t="str">
        <f t="shared" si="2"/>
        <v/>
      </c>
      <c r="R146" s="10"/>
      <c r="S146" s="8"/>
      <c r="T146" s="10"/>
      <c r="U146" s="8"/>
    </row>
    <row r="147" spans="1:21">
      <c r="A147" s="8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13"/>
      <c r="O147" s="8"/>
      <c r="P147" s="8"/>
      <c r="Q147" s="9" t="str">
        <f t="shared" si="2"/>
        <v/>
      </c>
      <c r="R147" s="10"/>
      <c r="S147" s="8"/>
      <c r="T147" s="10"/>
      <c r="U147" s="8"/>
    </row>
    <row r="148" spans="1:21">
      <c r="A148" s="8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3"/>
      <c r="O148" s="8"/>
      <c r="P148" s="8"/>
      <c r="Q148" s="9" t="str">
        <f t="shared" si="2"/>
        <v/>
      </c>
      <c r="R148" s="10"/>
      <c r="S148" s="8"/>
      <c r="T148" s="10"/>
      <c r="U148" s="8"/>
    </row>
    <row r="149" spans="1:21">
      <c r="A149" s="8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3"/>
      <c r="O149" s="8"/>
      <c r="P149" s="8"/>
      <c r="Q149" s="9" t="str">
        <f t="shared" si="2"/>
        <v/>
      </c>
      <c r="R149" s="10"/>
      <c r="S149" s="8"/>
      <c r="T149" s="10"/>
      <c r="U149" s="8"/>
    </row>
    <row r="150" spans="1:21">
      <c r="A150" s="8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13"/>
      <c r="O150" s="8"/>
      <c r="P150" s="8"/>
      <c r="Q150" s="9" t="str">
        <f t="shared" si="2"/>
        <v/>
      </c>
      <c r="R150" s="10"/>
      <c r="S150" s="8"/>
      <c r="T150" s="10"/>
      <c r="U150" s="8"/>
    </row>
    <row r="151" spans="1:21">
      <c r="A151" s="8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13"/>
      <c r="O151" s="8"/>
      <c r="P151" s="8"/>
      <c r="Q151" s="9" t="str">
        <f t="shared" si="2"/>
        <v/>
      </c>
      <c r="R151" s="10"/>
      <c r="S151" s="8"/>
      <c r="T151" s="10"/>
      <c r="U151" s="8"/>
    </row>
    <row r="152" spans="1:21">
      <c r="A152" s="8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13"/>
      <c r="O152" s="8"/>
      <c r="P152" s="8"/>
      <c r="Q152" s="9" t="str">
        <f t="shared" si="2"/>
        <v/>
      </c>
      <c r="R152" s="10"/>
      <c r="S152" s="8"/>
      <c r="T152" s="10"/>
      <c r="U152" s="8"/>
    </row>
    <row r="153" spans="1:21">
      <c r="A153" s="8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13"/>
      <c r="O153" s="8"/>
      <c r="P153" s="8"/>
      <c r="Q153" s="9" t="str">
        <f t="shared" si="2"/>
        <v/>
      </c>
      <c r="R153" s="10"/>
      <c r="S153" s="8"/>
      <c r="T153" s="10"/>
      <c r="U153" s="8"/>
    </row>
    <row r="154" spans="1:21">
      <c r="A154" s="8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13"/>
      <c r="O154" s="8"/>
      <c r="P154" s="8"/>
      <c r="Q154" s="9" t="str">
        <f t="shared" si="2"/>
        <v/>
      </c>
      <c r="R154" s="10"/>
      <c r="S154" s="8"/>
      <c r="T154" s="10"/>
      <c r="U154" s="8"/>
    </row>
    <row r="155" spans="1:21">
      <c r="A155" s="8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13"/>
      <c r="O155" s="8"/>
      <c r="P155" s="8"/>
      <c r="Q155" s="9" t="str">
        <f t="shared" si="2"/>
        <v/>
      </c>
      <c r="R155" s="10"/>
      <c r="S155" s="8"/>
      <c r="T155" s="10"/>
      <c r="U155" s="8"/>
    </row>
    <row r="156" spans="1:21">
      <c r="A156" s="8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13"/>
      <c r="O156" s="8"/>
      <c r="P156" s="8"/>
      <c r="Q156" s="9" t="str">
        <f t="shared" si="2"/>
        <v/>
      </c>
      <c r="R156" s="10"/>
      <c r="S156" s="8"/>
      <c r="T156" s="10"/>
      <c r="U156" s="8"/>
    </row>
    <row r="157" spans="1:21">
      <c r="A157" s="8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13"/>
      <c r="O157" s="8"/>
      <c r="P157" s="8"/>
      <c r="Q157" s="9" t="str">
        <f t="shared" si="2"/>
        <v/>
      </c>
      <c r="R157" s="10"/>
      <c r="S157" s="8"/>
      <c r="T157" s="10"/>
      <c r="U157" s="8"/>
    </row>
    <row r="158" spans="1:21">
      <c r="A158" s="8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13"/>
      <c r="O158" s="8"/>
      <c r="P158" s="8"/>
      <c r="Q158" s="9" t="str">
        <f t="shared" si="2"/>
        <v/>
      </c>
      <c r="R158" s="10"/>
      <c r="S158" s="8"/>
      <c r="T158" s="10"/>
      <c r="U158" s="8"/>
    </row>
    <row r="159" spans="1:21">
      <c r="A159" s="8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13"/>
      <c r="O159" s="8"/>
      <c r="P159" s="8"/>
      <c r="Q159" s="9" t="str">
        <f t="shared" si="2"/>
        <v/>
      </c>
      <c r="R159" s="10"/>
      <c r="S159" s="8"/>
      <c r="T159" s="10"/>
      <c r="U159" s="8"/>
    </row>
    <row r="160" spans="1:21">
      <c r="A160" s="8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13"/>
      <c r="O160" s="8"/>
      <c r="P160" s="8"/>
      <c r="Q160" s="9" t="str">
        <f t="shared" si="2"/>
        <v/>
      </c>
      <c r="R160" s="10"/>
      <c r="S160" s="8"/>
      <c r="T160" s="10"/>
      <c r="U160" s="8"/>
    </row>
    <row r="161" spans="1:21">
      <c r="A161" s="8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13"/>
      <c r="O161" s="8"/>
      <c r="P161" s="8"/>
      <c r="Q161" s="9" t="str">
        <f t="shared" si="2"/>
        <v/>
      </c>
      <c r="R161" s="10"/>
      <c r="S161" s="8"/>
      <c r="T161" s="10"/>
      <c r="U161" s="8"/>
    </row>
    <row r="162" spans="1:21">
      <c r="A162" s="8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13"/>
      <c r="O162" s="8"/>
      <c r="P162" s="8"/>
      <c r="Q162" s="9" t="str">
        <f t="shared" si="2"/>
        <v/>
      </c>
      <c r="R162" s="10"/>
      <c r="S162" s="8"/>
      <c r="T162" s="10"/>
      <c r="U162" s="8"/>
    </row>
    <row r="163" spans="1:21">
      <c r="A163" s="8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13"/>
      <c r="O163" s="8"/>
      <c r="P163" s="8"/>
      <c r="Q163" s="9" t="str">
        <f t="shared" si="2"/>
        <v/>
      </c>
      <c r="R163" s="10"/>
      <c r="S163" s="8"/>
      <c r="T163" s="10"/>
      <c r="U163" s="8"/>
    </row>
    <row r="164" spans="1:21">
      <c r="A164" s="8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13"/>
      <c r="O164" s="8"/>
      <c r="P164" s="8"/>
      <c r="Q164" s="9" t="str">
        <f t="shared" si="2"/>
        <v/>
      </c>
      <c r="R164" s="10"/>
      <c r="S164" s="8"/>
      <c r="T164" s="10"/>
      <c r="U164" s="8"/>
    </row>
    <row r="165" spans="1:21">
      <c r="A165" s="8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3"/>
      <c r="O165" s="8"/>
      <c r="P165" s="8"/>
      <c r="Q165" s="9" t="str">
        <f t="shared" si="2"/>
        <v/>
      </c>
      <c r="R165" s="10"/>
      <c r="S165" s="8"/>
      <c r="T165" s="10"/>
      <c r="U165" s="8"/>
    </row>
    <row r="166" spans="1:21">
      <c r="A166" s="8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13"/>
      <c r="O166" s="8"/>
      <c r="P166" s="8"/>
      <c r="Q166" s="9" t="str">
        <f t="shared" si="2"/>
        <v/>
      </c>
      <c r="R166" s="10"/>
      <c r="S166" s="8"/>
      <c r="T166" s="10"/>
      <c r="U166" s="8"/>
    </row>
    <row r="167" spans="1:21">
      <c r="A167" s="8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3"/>
      <c r="O167" s="8"/>
      <c r="P167" s="8"/>
      <c r="Q167" s="9" t="str">
        <f t="shared" si="2"/>
        <v/>
      </c>
      <c r="R167" s="10"/>
      <c r="S167" s="8"/>
      <c r="T167" s="10"/>
      <c r="U167" s="8"/>
    </row>
    <row r="168" spans="1:21">
      <c r="A168" s="8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13"/>
      <c r="O168" s="8"/>
      <c r="P168" s="8"/>
      <c r="Q168" s="9" t="str">
        <f t="shared" si="2"/>
        <v/>
      </c>
      <c r="R168" s="10"/>
      <c r="S168" s="8"/>
      <c r="T168" s="10"/>
      <c r="U168" s="8"/>
    </row>
    <row r="169" spans="1:21">
      <c r="A169" s="8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13"/>
      <c r="O169" s="8"/>
      <c r="P169" s="8"/>
      <c r="Q169" s="9" t="str">
        <f t="shared" si="2"/>
        <v/>
      </c>
      <c r="R169" s="10"/>
      <c r="S169" s="8"/>
      <c r="T169" s="10"/>
      <c r="U169" s="8"/>
    </row>
    <row r="170" spans="1:21">
      <c r="A170" s="8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13"/>
      <c r="O170" s="8"/>
      <c r="P170" s="8"/>
      <c r="Q170" s="9" t="str">
        <f t="shared" si="2"/>
        <v/>
      </c>
      <c r="R170" s="10"/>
      <c r="S170" s="8"/>
      <c r="T170" s="10"/>
      <c r="U170" s="8"/>
    </row>
    <row r="171" spans="1:21">
      <c r="A171" s="8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3"/>
      <c r="O171" s="8"/>
      <c r="P171" s="8"/>
      <c r="Q171" s="9" t="str">
        <f t="shared" si="2"/>
        <v/>
      </c>
      <c r="R171" s="10"/>
      <c r="S171" s="8"/>
      <c r="T171" s="10"/>
      <c r="U171" s="8"/>
    </row>
    <row r="172" spans="1:21">
      <c r="A172" s="8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3"/>
      <c r="O172" s="8"/>
      <c r="P172" s="8"/>
      <c r="Q172" s="9" t="str">
        <f t="shared" si="2"/>
        <v/>
      </c>
      <c r="R172" s="10"/>
      <c r="S172" s="8"/>
      <c r="T172" s="10"/>
      <c r="U172" s="8"/>
    </row>
    <row r="173" spans="1:21">
      <c r="A173" s="8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13"/>
      <c r="O173" s="8"/>
      <c r="P173" s="8"/>
      <c r="Q173" s="9" t="str">
        <f t="shared" si="2"/>
        <v/>
      </c>
      <c r="R173" s="10"/>
      <c r="S173" s="8"/>
      <c r="T173" s="10"/>
      <c r="U173" s="8"/>
    </row>
    <row r="174" spans="1:21">
      <c r="A174" s="8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13"/>
      <c r="O174" s="8"/>
      <c r="P174" s="8"/>
      <c r="Q174" s="9" t="str">
        <f t="shared" si="2"/>
        <v/>
      </c>
      <c r="R174" s="10"/>
      <c r="S174" s="8"/>
      <c r="T174" s="10"/>
      <c r="U174" s="8"/>
    </row>
    <row r="175" spans="1:21">
      <c r="A175" s="8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3"/>
      <c r="O175" s="8"/>
      <c r="P175" s="8"/>
      <c r="Q175" s="9" t="str">
        <f t="shared" si="2"/>
        <v/>
      </c>
      <c r="R175" s="10"/>
      <c r="S175" s="8"/>
      <c r="T175" s="10"/>
      <c r="U175" s="8"/>
    </row>
    <row r="176" spans="1:21">
      <c r="A176" s="8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13"/>
      <c r="O176" s="8"/>
      <c r="P176" s="8"/>
      <c r="Q176" s="9" t="str">
        <f t="shared" si="2"/>
        <v/>
      </c>
      <c r="R176" s="10"/>
      <c r="S176" s="8"/>
      <c r="T176" s="10"/>
      <c r="U176" s="8"/>
    </row>
    <row r="177" spans="1:21">
      <c r="A177" s="8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3"/>
      <c r="O177" s="8"/>
      <c r="P177" s="8"/>
      <c r="Q177" s="9" t="str">
        <f t="shared" si="2"/>
        <v/>
      </c>
      <c r="R177" s="10"/>
      <c r="S177" s="8"/>
      <c r="T177" s="10"/>
      <c r="U177" s="8"/>
    </row>
    <row r="178" spans="1:21">
      <c r="A178" s="8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13"/>
      <c r="O178" s="8"/>
      <c r="P178" s="8"/>
      <c r="Q178" s="9" t="str">
        <f t="shared" si="2"/>
        <v/>
      </c>
      <c r="R178" s="10"/>
      <c r="S178" s="8"/>
      <c r="T178" s="10"/>
      <c r="U178" s="8"/>
    </row>
    <row r="179" spans="1:21">
      <c r="A179" s="8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13"/>
      <c r="O179" s="8"/>
      <c r="P179" s="8"/>
      <c r="Q179" s="9" t="str">
        <f t="shared" si="2"/>
        <v/>
      </c>
      <c r="R179" s="10"/>
      <c r="S179" s="8"/>
      <c r="T179" s="10"/>
      <c r="U179" s="8"/>
    </row>
    <row r="180" spans="1:21">
      <c r="A180" s="8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13"/>
      <c r="O180" s="8"/>
      <c r="P180" s="8"/>
      <c r="Q180" s="9" t="str">
        <f t="shared" si="2"/>
        <v/>
      </c>
      <c r="R180" s="10"/>
      <c r="S180" s="8"/>
      <c r="T180" s="10"/>
      <c r="U180" s="8"/>
    </row>
    <row r="181" spans="1:21">
      <c r="A181" s="8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13"/>
      <c r="O181" s="8"/>
      <c r="P181" s="8"/>
      <c r="Q181" s="9" t="str">
        <f t="shared" si="2"/>
        <v/>
      </c>
      <c r="R181" s="10"/>
      <c r="S181" s="8"/>
      <c r="T181" s="10"/>
      <c r="U181" s="8"/>
    </row>
    <row r="182" spans="1:21">
      <c r="A182" s="8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3"/>
      <c r="O182" s="8"/>
      <c r="P182" s="8"/>
      <c r="Q182" s="9" t="str">
        <f t="shared" si="2"/>
        <v/>
      </c>
      <c r="R182" s="10"/>
      <c r="S182" s="8"/>
      <c r="T182" s="10"/>
      <c r="U182" s="8"/>
    </row>
    <row r="183" spans="1:21">
      <c r="A183" s="8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3"/>
      <c r="O183" s="8"/>
      <c r="P183" s="8"/>
      <c r="Q183" s="9" t="str">
        <f t="shared" si="2"/>
        <v/>
      </c>
      <c r="R183" s="10"/>
      <c r="S183" s="8"/>
      <c r="T183" s="10"/>
      <c r="U183" s="8"/>
    </row>
    <row r="184" spans="1:21">
      <c r="A184" s="8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13"/>
      <c r="O184" s="8"/>
      <c r="P184" s="8"/>
      <c r="Q184" s="9" t="str">
        <f t="shared" si="2"/>
        <v/>
      </c>
      <c r="R184" s="10"/>
      <c r="S184" s="8"/>
      <c r="T184" s="10"/>
      <c r="U184" s="8"/>
    </row>
    <row r="185" spans="1:21">
      <c r="A185" s="8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13"/>
      <c r="O185" s="8"/>
      <c r="P185" s="8"/>
      <c r="Q185" s="9" t="str">
        <f t="shared" si="2"/>
        <v/>
      </c>
      <c r="R185" s="10"/>
      <c r="S185" s="8"/>
      <c r="T185" s="10"/>
      <c r="U185" s="8"/>
    </row>
    <row r="186" spans="1:21">
      <c r="A186" s="8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13"/>
      <c r="O186" s="8"/>
      <c r="P186" s="8"/>
      <c r="Q186" s="9" t="str">
        <f t="shared" si="2"/>
        <v/>
      </c>
      <c r="R186" s="10"/>
      <c r="S186" s="8"/>
      <c r="T186" s="10"/>
      <c r="U186" s="8"/>
    </row>
    <row r="187" spans="1:21">
      <c r="A187" s="8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13"/>
      <c r="O187" s="8"/>
      <c r="P187" s="8"/>
      <c r="Q187" s="9" t="str">
        <f t="shared" si="2"/>
        <v/>
      </c>
      <c r="R187" s="10"/>
      <c r="S187" s="8"/>
      <c r="T187" s="10"/>
      <c r="U187" s="8"/>
    </row>
    <row r="188" spans="1:21">
      <c r="A188" s="8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13"/>
      <c r="O188" s="8"/>
      <c r="P188" s="8"/>
      <c r="Q188" s="9" t="str">
        <f t="shared" si="2"/>
        <v/>
      </c>
      <c r="R188" s="10"/>
      <c r="S188" s="8"/>
      <c r="T188" s="10"/>
      <c r="U188" s="8"/>
    </row>
    <row r="189" spans="1:21">
      <c r="A189" s="8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13"/>
      <c r="O189" s="8"/>
      <c r="P189" s="8"/>
      <c r="Q189" s="9" t="str">
        <f t="shared" si="2"/>
        <v/>
      </c>
      <c r="R189" s="10"/>
      <c r="S189" s="8"/>
      <c r="T189" s="10"/>
      <c r="U189" s="8"/>
    </row>
    <row r="190" spans="1:21">
      <c r="A190" s="8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13"/>
      <c r="O190" s="8"/>
      <c r="P190" s="8"/>
      <c r="Q190" s="9" t="str">
        <f t="shared" si="2"/>
        <v/>
      </c>
      <c r="R190" s="10"/>
      <c r="S190" s="8"/>
      <c r="T190" s="10"/>
      <c r="U190" s="8"/>
    </row>
    <row r="191" spans="1:21">
      <c r="A191" s="8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13"/>
      <c r="O191" s="8"/>
      <c r="P191" s="8"/>
      <c r="Q191" s="9" t="str">
        <f t="shared" si="2"/>
        <v/>
      </c>
      <c r="R191" s="10"/>
      <c r="S191" s="8"/>
      <c r="T191" s="10"/>
      <c r="U191" s="8"/>
    </row>
    <row r="192" spans="1:21">
      <c r="A192" s="8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13"/>
      <c r="O192" s="8"/>
      <c r="P192" s="8"/>
      <c r="Q192" s="9" t="str">
        <f t="shared" si="2"/>
        <v/>
      </c>
      <c r="R192" s="10"/>
      <c r="S192" s="8"/>
      <c r="T192" s="10"/>
      <c r="U192" s="8"/>
    </row>
    <row r="193" spans="1:21">
      <c r="A193" s="8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13"/>
      <c r="O193" s="8"/>
      <c r="P193" s="8"/>
      <c r="Q193" s="9" t="str">
        <f t="shared" si="2"/>
        <v/>
      </c>
      <c r="R193" s="10"/>
      <c r="S193" s="8"/>
      <c r="T193" s="10"/>
      <c r="U193" s="8"/>
    </row>
    <row r="194" spans="1:21">
      <c r="A194" s="8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13"/>
      <c r="O194" s="8"/>
      <c r="P194" s="8"/>
      <c r="Q194" s="9" t="str">
        <f t="shared" si="2"/>
        <v/>
      </c>
      <c r="R194" s="10"/>
      <c r="S194" s="8"/>
      <c r="T194" s="10"/>
      <c r="U194" s="8"/>
    </row>
    <row r="195" spans="1:21">
      <c r="A195" s="8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13"/>
      <c r="O195" s="8"/>
      <c r="P195" s="8"/>
      <c r="Q195" s="9" t="str">
        <f t="shared" si="2"/>
        <v/>
      </c>
      <c r="R195" s="10"/>
      <c r="S195" s="8"/>
      <c r="T195" s="10"/>
      <c r="U195" s="8"/>
    </row>
    <row r="196" spans="1:21">
      <c r="A196" s="8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13"/>
      <c r="O196" s="8"/>
      <c r="P196" s="8"/>
      <c r="Q196" s="9" t="str">
        <f t="shared" si="2"/>
        <v/>
      </c>
      <c r="R196" s="10"/>
      <c r="S196" s="8"/>
      <c r="T196" s="10"/>
      <c r="U196" s="8"/>
    </row>
    <row r="197" spans="1:21">
      <c r="A197" s="8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13"/>
      <c r="O197" s="8"/>
      <c r="P197" s="8"/>
      <c r="Q197" s="9" t="str">
        <f t="shared" ref="Q197:Q260" si="3">IF(A197="","",IF(COUNTIF(F197:M197,"Failed")&gt;0,"Rejected",IF(COUNTIF(F197:M197,"On Hold")&gt;0,"On Hold",IF(COUNTIF(F197:M197,"Pending")&gt;0,"Pending",IF(O197&lt;&gt;"","Conditionally Approved","Released for Cutting")))))</f>
        <v/>
      </c>
      <c r="R197" s="10"/>
      <c r="S197" s="8"/>
      <c r="T197" s="10"/>
      <c r="U197" s="8"/>
    </row>
    <row r="198" spans="1:21">
      <c r="A198" s="8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13"/>
      <c r="O198" s="8"/>
      <c r="P198" s="8"/>
      <c r="Q198" s="9" t="str">
        <f t="shared" si="3"/>
        <v/>
      </c>
      <c r="R198" s="10"/>
      <c r="S198" s="8"/>
      <c r="T198" s="10"/>
      <c r="U198" s="8"/>
    </row>
    <row r="199" spans="1:21">
      <c r="A199" s="8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13"/>
      <c r="O199" s="8"/>
      <c r="P199" s="8"/>
      <c r="Q199" s="9" t="str">
        <f t="shared" si="3"/>
        <v/>
      </c>
      <c r="R199" s="10"/>
      <c r="S199" s="8"/>
      <c r="T199" s="10"/>
      <c r="U199" s="8"/>
    </row>
    <row r="200" spans="1:21">
      <c r="A200" s="8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13"/>
      <c r="O200" s="8"/>
      <c r="P200" s="8"/>
      <c r="Q200" s="9" t="str">
        <f t="shared" si="3"/>
        <v/>
      </c>
      <c r="R200" s="10"/>
      <c r="S200" s="8"/>
      <c r="T200" s="10"/>
      <c r="U200" s="8"/>
    </row>
    <row r="201" spans="1:21">
      <c r="A201" s="8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13"/>
      <c r="O201" s="8"/>
      <c r="P201" s="8"/>
      <c r="Q201" s="9" t="str">
        <f t="shared" si="3"/>
        <v/>
      </c>
      <c r="R201" s="10"/>
      <c r="S201" s="8"/>
      <c r="T201" s="10"/>
      <c r="U201" s="8"/>
    </row>
    <row r="202" spans="1:21">
      <c r="A202" s="8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13"/>
      <c r="O202" s="8"/>
      <c r="P202" s="8"/>
      <c r="Q202" s="9" t="str">
        <f t="shared" si="3"/>
        <v/>
      </c>
      <c r="R202" s="10"/>
      <c r="S202" s="8"/>
      <c r="T202" s="10"/>
      <c r="U202" s="8"/>
    </row>
    <row r="203" spans="1:21">
      <c r="A203" s="8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13"/>
      <c r="O203" s="8"/>
      <c r="P203" s="8"/>
      <c r="Q203" s="9" t="str">
        <f t="shared" si="3"/>
        <v/>
      </c>
      <c r="R203" s="10"/>
      <c r="S203" s="8"/>
      <c r="T203" s="10"/>
      <c r="U203" s="8"/>
    </row>
    <row r="204" spans="1:21">
      <c r="A204" s="8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13"/>
      <c r="O204" s="8"/>
      <c r="P204" s="8"/>
      <c r="Q204" s="9" t="str">
        <f t="shared" si="3"/>
        <v/>
      </c>
      <c r="R204" s="10"/>
      <c r="S204" s="8"/>
      <c r="T204" s="10"/>
      <c r="U204" s="8"/>
    </row>
    <row r="205" spans="1:21">
      <c r="A205" s="8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13"/>
      <c r="O205" s="8"/>
      <c r="P205" s="8"/>
      <c r="Q205" s="9" t="str">
        <f t="shared" si="3"/>
        <v/>
      </c>
      <c r="R205" s="10"/>
      <c r="S205" s="8"/>
      <c r="T205" s="10"/>
      <c r="U205" s="8"/>
    </row>
    <row r="206" spans="1:21">
      <c r="A206" s="8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13"/>
      <c r="O206" s="8"/>
      <c r="P206" s="8"/>
      <c r="Q206" s="9" t="str">
        <f t="shared" si="3"/>
        <v/>
      </c>
      <c r="R206" s="10"/>
      <c r="S206" s="8"/>
      <c r="T206" s="10"/>
      <c r="U206" s="8"/>
    </row>
    <row r="207" spans="1:21">
      <c r="A207" s="8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13"/>
      <c r="O207" s="8"/>
      <c r="P207" s="8"/>
      <c r="Q207" s="9" t="str">
        <f t="shared" si="3"/>
        <v/>
      </c>
      <c r="R207" s="10"/>
      <c r="S207" s="8"/>
      <c r="T207" s="10"/>
      <c r="U207" s="8"/>
    </row>
    <row r="208" spans="1:21">
      <c r="A208" s="8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13"/>
      <c r="O208" s="8"/>
      <c r="P208" s="8"/>
      <c r="Q208" s="9" t="str">
        <f t="shared" si="3"/>
        <v/>
      </c>
      <c r="R208" s="10"/>
      <c r="S208" s="8"/>
      <c r="T208" s="10"/>
      <c r="U208" s="8"/>
    </row>
    <row r="209" spans="1:21">
      <c r="A209" s="8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13"/>
      <c r="O209" s="8"/>
      <c r="P209" s="8"/>
      <c r="Q209" s="9" t="str">
        <f t="shared" si="3"/>
        <v/>
      </c>
      <c r="R209" s="10"/>
      <c r="S209" s="8"/>
      <c r="T209" s="10"/>
      <c r="U209" s="8"/>
    </row>
    <row r="210" spans="1:21">
      <c r="A210" s="8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13"/>
      <c r="O210" s="8"/>
      <c r="P210" s="8"/>
      <c r="Q210" s="9" t="str">
        <f t="shared" si="3"/>
        <v/>
      </c>
      <c r="R210" s="10"/>
      <c r="S210" s="8"/>
      <c r="T210" s="10"/>
      <c r="U210" s="8"/>
    </row>
    <row r="211" spans="1:21">
      <c r="A211" s="8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13"/>
      <c r="O211" s="8"/>
      <c r="P211" s="8"/>
      <c r="Q211" s="9" t="str">
        <f t="shared" si="3"/>
        <v/>
      </c>
      <c r="R211" s="10"/>
      <c r="S211" s="8"/>
      <c r="T211" s="10"/>
      <c r="U211" s="8"/>
    </row>
    <row r="212" spans="1:21">
      <c r="A212" s="8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13"/>
      <c r="O212" s="8"/>
      <c r="P212" s="8"/>
      <c r="Q212" s="9" t="str">
        <f t="shared" si="3"/>
        <v/>
      </c>
      <c r="R212" s="10"/>
      <c r="S212" s="8"/>
      <c r="T212" s="10"/>
      <c r="U212" s="8"/>
    </row>
    <row r="213" spans="1:21">
      <c r="A213" s="8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13"/>
      <c r="O213" s="8"/>
      <c r="P213" s="8"/>
      <c r="Q213" s="9" t="str">
        <f t="shared" si="3"/>
        <v/>
      </c>
      <c r="R213" s="10"/>
      <c r="S213" s="8"/>
      <c r="T213" s="10"/>
      <c r="U213" s="8"/>
    </row>
    <row r="214" spans="1:21">
      <c r="A214" s="8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13"/>
      <c r="O214" s="8"/>
      <c r="P214" s="8"/>
      <c r="Q214" s="9" t="str">
        <f t="shared" si="3"/>
        <v/>
      </c>
      <c r="R214" s="10"/>
      <c r="S214" s="8"/>
      <c r="T214" s="10"/>
      <c r="U214" s="8"/>
    </row>
    <row r="215" spans="1:21">
      <c r="A215" s="8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13"/>
      <c r="O215" s="8"/>
      <c r="P215" s="8"/>
      <c r="Q215" s="9" t="str">
        <f t="shared" si="3"/>
        <v/>
      </c>
      <c r="R215" s="10"/>
      <c r="S215" s="8"/>
      <c r="T215" s="10"/>
      <c r="U215" s="8"/>
    </row>
    <row r="216" spans="1:21">
      <c r="A216" s="8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13"/>
      <c r="O216" s="8"/>
      <c r="P216" s="8"/>
      <c r="Q216" s="9" t="str">
        <f t="shared" si="3"/>
        <v/>
      </c>
      <c r="R216" s="10"/>
      <c r="S216" s="8"/>
      <c r="T216" s="10"/>
      <c r="U216" s="8"/>
    </row>
    <row r="217" spans="1:21">
      <c r="A217" s="8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13"/>
      <c r="O217" s="8"/>
      <c r="P217" s="8"/>
      <c r="Q217" s="9" t="str">
        <f t="shared" si="3"/>
        <v/>
      </c>
      <c r="R217" s="10"/>
      <c r="S217" s="8"/>
      <c r="T217" s="10"/>
      <c r="U217" s="8"/>
    </row>
    <row r="218" spans="1:21">
      <c r="A218" s="8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13"/>
      <c r="O218" s="8"/>
      <c r="P218" s="8"/>
      <c r="Q218" s="9" t="str">
        <f t="shared" si="3"/>
        <v/>
      </c>
      <c r="R218" s="10"/>
      <c r="S218" s="8"/>
      <c r="T218" s="10"/>
      <c r="U218" s="8"/>
    </row>
    <row r="219" spans="1:21">
      <c r="A219" s="8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13"/>
      <c r="O219" s="8"/>
      <c r="P219" s="8"/>
      <c r="Q219" s="9" t="str">
        <f t="shared" si="3"/>
        <v/>
      </c>
      <c r="R219" s="10"/>
      <c r="S219" s="8"/>
      <c r="T219" s="10"/>
      <c r="U219" s="8"/>
    </row>
    <row r="220" spans="1:21">
      <c r="A220" s="8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3"/>
      <c r="O220" s="8"/>
      <c r="P220" s="8"/>
      <c r="Q220" s="9" t="str">
        <f t="shared" si="3"/>
        <v/>
      </c>
      <c r="R220" s="10"/>
      <c r="S220" s="8"/>
      <c r="T220" s="10"/>
      <c r="U220" s="8"/>
    </row>
    <row r="221" spans="1:21">
      <c r="A221" s="8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13"/>
      <c r="O221" s="8"/>
      <c r="P221" s="8"/>
      <c r="Q221" s="9" t="str">
        <f t="shared" si="3"/>
        <v/>
      </c>
      <c r="R221" s="10"/>
      <c r="S221" s="8"/>
      <c r="T221" s="10"/>
      <c r="U221" s="8"/>
    </row>
    <row r="222" spans="1:21">
      <c r="A222" s="8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13"/>
      <c r="O222" s="8"/>
      <c r="P222" s="8"/>
      <c r="Q222" s="9" t="str">
        <f t="shared" si="3"/>
        <v/>
      </c>
      <c r="R222" s="10"/>
      <c r="S222" s="8"/>
      <c r="T222" s="10"/>
      <c r="U222" s="8"/>
    </row>
    <row r="223" spans="1:21">
      <c r="A223" s="8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13"/>
      <c r="O223" s="8"/>
      <c r="P223" s="8"/>
      <c r="Q223" s="9" t="str">
        <f t="shared" si="3"/>
        <v/>
      </c>
      <c r="R223" s="10"/>
      <c r="S223" s="8"/>
      <c r="T223" s="10"/>
      <c r="U223" s="8"/>
    </row>
    <row r="224" spans="1:21">
      <c r="A224" s="8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13"/>
      <c r="O224" s="8"/>
      <c r="P224" s="8"/>
      <c r="Q224" s="9" t="str">
        <f t="shared" si="3"/>
        <v/>
      </c>
      <c r="R224" s="10"/>
      <c r="S224" s="8"/>
      <c r="T224" s="10"/>
      <c r="U224" s="8"/>
    </row>
    <row r="225" spans="1:21">
      <c r="A225" s="8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13"/>
      <c r="O225" s="8"/>
      <c r="P225" s="8"/>
      <c r="Q225" s="9" t="str">
        <f t="shared" si="3"/>
        <v/>
      </c>
      <c r="R225" s="10"/>
      <c r="S225" s="8"/>
      <c r="T225" s="10"/>
      <c r="U225" s="8"/>
    </row>
    <row r="226" spans="1:21">
      <c r="A226" s="8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13"/>
      <c r="O226" s="8"/>
      <c r="P226" s="8"/>
      <c r="Q226" s="9" t="str">
        <f t="shared" si="3"/>
        <v/>
      </c>
      <c r="R226" s="10"/>
      <c r="S226" s="8"/>
      <c r="T226" s="10"/>
      <c r="U226" s="8"/>
    </row>
    <row r="227" spans="1:21">
      <c r="A227" s="8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13"/>
      <c r="O227" s="8"/>
      <c r="P227" s="8"/>
      <c r="Q227" s="9" t="str">
        <f t="shared" si="3"/>
        <v/>
      </c>
      <c r="R227" s="10"/>
      <c r="S227" s="8"/>
      <c r="T227" s="10"/>
      <c r="U227" s="8"/>
    </row>
    <row r="228" spans="1:21">
      <c r="A228" s="8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13"/>
      <c r="O228" s="8"/>
      <c r="P228" s="8"/>
      <c r="Q228" s="9" t="str">
        <f t="shared" si="3"/>
        <v/>
      </c>
      <c r="R228" s="10"/>
      <c r="S228" s="8"/>
      <c r="T228" s="10"/>
      <c r="U228" s="8"/>
    </row>
    <row r="229" spans="1:21">
      <c r="A229" s="8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13"/>
      <c r="O229" s="8"/>
      <c r="P229" s="8"/>
      <c r="Q229" s="9" t="str">
        <f t="shared" si="3"/>
        <v/>
      </c>
      <c r="R229" s="10"/>
      <c r="S229" s="8"/>
      <c r="T229" s="10"/>
      <c r="U229" s="8"/>
    </row>
    <row r="230" spans="1:21">
      <c r="A230" s="8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13"/>
      <c r="O230" s="8"/>
      <c r="P230" s="8"/>
      <c r="Q230" s="9" t="str">
        <f t="shared" si="3"/>
        <v/>
      </c>
      <c r="R230" s="10"/>
      <c r="S230" s="8"/>
      <c r="T230" s="10"/>
      <c r="U230" s="8"/>
    </row>
    <row r="231" spans="1:21">
      <c r="A231" s="8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13"/>
      <c r="O231" s="8"/>
      <c r="P231" s="8"/>
      <c r="Q231" s="9" t="str">
        <f t="shared" si="3"/>
        <v/>
      </c>
      <c r="R231" s="10"/>
      <c r="S231" s="8"/>
      <c r="T231" s="10"/>
      <c r="U231" s="8"/>
    </row>
    <row r="232" spans="1:21">
      <c r="A232" s="8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13"/>
      <c r="O232" s="8"/>
      <c r="P232" s="8"/>
      <c r="Q232" s="9" t="str">
        <f t="shared" si="3"/>
        <v/>
      </c>
      <c r="R232" s="10"/>
      <c r="S232" s="8"/>
      <c r="T232" s="10"/>
      <c r="U232" s="8"/>
    </row>
    <row r="233" spans="1:21">
      <c r="A233" s="8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13"/>
      <c r="O233" s="8"/>
      <c r="P233" s="8"/>
      <c r="Q233" s="9" t="str">
        <f t="shared" si="3"/>
        <v/>
      </c>
      <c r="R233" s="10"/>
      <c r="S233" s="8"/>
      <c r="T233" s="10"/>
      <c r="U233" s="8"/>
    </row>
    <row r="234" spans="1:21">
      <c r="A234" s="8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13"/>
      <c r="O234" s="8"/>
      <c r="P234" s="8"/>
      <c r="Q234" s="9" t="str">
        <f t="shared" si="3"/>
        <v/>
      </c>
      <c r="R234" s="10"/>
      <c r="S234" s="8"/>
      <c r="T234" s="10"/>
      <c r="U234" s="8"/>
    </row>
    <row r="235" spans="1:21">
      <c r="A235" s="8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13"/>
      <c r="O235" s="8"/>
      <c r="P235" s="8"/>
      <c r="Q235" s="9" t="str">
        <f t="shared" si="3"/>
        <v/>
      </c>
      <c r="R235" s="10"/>
      <c r="S235" s="8"/>
      <c r="T235" s="10"/>
      <c r="U235" s="8"/>
    </row>
    <row r="236" spans="1:21">
      <c r="A236" s="8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13"/>
      <c r="O236" s="8"/>
      <c r="P236" s="8"/>
      <c r="Q236" s="9" t="str">
        <f t="shared" si="3"/>
        <v/>
      </c>
      <c r="R236" s="10"/>
      <c r="S236" s="8"/>
      <c r="T236" s="10"/>
      <c r="U236" s="8"/>
    </row>
    <row r="237" spans="1:21">
      <c r="A237" s="8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13"/>
      <c r="O237" s="8"/>
      <c r="P237" s="8"/>
      <c r="Q237" s="9" t="str">
        <f t="shared" si="3"/>
        <v/>
      </c>
      <c r="R237" s="10"/>
      <c r="S237" s="8"/>
      <c r="T237" s="10"/>
      <c r="U237" s="8"/>
    </row>
    <row r="238" spans="1:21">
      <c r="A238" s="8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13"/>
      <c r="O238" s="8"/>
      <c r="P238" s="8"/>
      <c r="Q238" s="9" t="str">
        <f t="shared" si="3"/>
        <v/>
      </c>
      <c r="R238" s="10"/>
      <c r="S238" s="8"/>
      <c r="T238" s="10"/>
      <c r="U238" s="8"/>
    </row>
    <row r="239" spans="1:21">
      <c r="A239" s="8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13"/>
      <c r="O239" s="8"/>
      <c r="P239" s="8"/>
      <c r="Q239" s="9" t="str">
        <f t="shared" si="3"/>
        <v/>
      </c>
      <c r="R239" s="10"/>
      <c r="S239" s="8"/>
      <c r="T239" s="10"/>
      <c r="U239" s="8"/>
    </row>
    <row r="240" spans="1:21">
      <c r="A240" s="8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13"/>
      <c r="O240" s="8"/>
      <c r="P240" s="8"/>
      <c r="Q240" s="9" t="str">
        <f t="shared" si="3"/>
        <v/>
      </c>
      <c r="R240" s="10"/>
      <c r="S240" s="8"/>
      <c r="T240" s="10"/>
      <c r="U240" s="8"/>
    </row>
    <row r="241" spans="1:21">
      <c r="A241" s="8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13"/>
      <c r="O241" s="8"/>
      <c r="P241" s="8"/>
      <c r="Q241" s="9" t="str">
        <f t="shared" si="3"/>
        <v/>
      </c>
      <c r="R241" s="10"/>
      <c r="S241" s="8"/>
      <c r="T241" s="10"/>
      <c r="U241" s="8"/>
    </row>
    <row r="242" spans="1:21">
      <c r="A242" s="8"/>
      <c r="B242" s="1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13"/>
      <c r="O242" s="8"/>
      <c r="P242" s="8"/>
      <c r="Q242" s="9" t="str">
        <f t="shared" si="3"/>
        <v/>
      </c>
      <c r="R242" s="10"/>
      <c r="S242" s="8"/>
      <c r="T242" s="10"/>
      <c r="U242" s="8"/>
    </row>
    <row r="243" spans="1:21">
      <c r="A243" s="8"/>
      <c r="B243" s="1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13"/>
      <c r="O243" s="8"/>
      <c r="P243" s="8"/>
      <c r="Q243" s="9" t="str">
        <f t="shared" si="3"/>
        <v/>
      </c>
      <c r="R243" s="10"/>
      <c r="S243" s="8"/>
      <c r="T243" s="10"/>
      <c r="U243" s="8"/>
    </row>
    <row r="244" spans="1:21">
      <c r="A244" s="8"/>
      <c r="B244" s="1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13"/>
      <c r="O244" s="8"/>
      <c r="P244" s="8"/>
      <c r="Q244" s="9" t="str">
        <f t="shared" si="3"/>
        <v/>
      </c>
      <c r="R244" s="10"/>
      <c r="S244" s="8"/>
      <c r="T244" s="10"/>
      <c r="U244" s="8"/>
    </row>
    <row r="245" spans="1:21">
      <c r="A245" s="8"/>
      <c r="B245" s="1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13"/>
      <c r="O245" s="8"/>
      <c r="P245" s="8"/>
      <c r="Q245" s="9" t="str">
        <f t="shared" si="3"/>
        <v/>
      </c>
      <c r="R245" s="10"/>
      <c r="S245" s="8"/>
      <c r="T245" s="10"/>
      <c r="U245" s="8"/>
    </row>
    <row r="246" spans="1:21">
      <c r="A246" s="8"/>
      <c r="B246" s="1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13"/>
      <c r="O246" s="8"/>
      <c r="P246" s="8"/>
      <c r="Q246" s="9" t="str">
        <f t="shared" si="3"/>
        <v/>
      </c>
      <c r="R246" s="10"/>
      <c r="S246" s="8"/>
      <c r="T246" s="10"/>
      <c r="U246" s="8"/>
    </row>
    <row r="247" spans="1:21">
      <c r="A247" s="8"/>
      <c r="B247" s="1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13"/>
      <c r="O247" s="8"/>
      <c r="P247" s="8"/>
      <c r="Q247" s="9" t="str">
        <f t="shared" si="3"/>
        <v/>
      </c>
      <c r="R247" s="10"/>
      <c r="S247" s="8"/>
      <c r="T247" s="10"/>
      <c r="U247" s="8"/>
    </row>
    <row r="248" spans="1:21">
      <c r="A248" s="8"/>
      <c r="B248" s="1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13"/>
      <c r="O248" s="8"/>
      <c r="P248" s="8"/>
      <c r="Q248" s="9" t="str">
        <f t="shared" si="3"/>
        <v/>
      </c>
      <c r="R248" s="10"/>
      <c r="S248" s="8"/>
      <c r="T248" s="10"/>
      <c r="U248" s="8"/>
    </row>
    <row r="249" spans="1:21">
      <c r="A249" s="8"/>
      <c r="B249" s="1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13"/>
      <c r="O249" s="8"/>
      <c r="P249" s="8"/>
      <c r="Q249" s="9" t="str">
        <f t="shared" si="3"/>
        <v/>
      </c>
      <c r="R249" s="10"/>
      <c r="S249" s="8"/>
      <c r="T249" s="10"/>
      <c r="U249" s="8"/>
    </row>
    <row r="250" spans="1:21">
      <c r="A250" s="8"/>
      <c r="B250" s="1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13"/>
      <c r="O250" s="8"/>
      <c r="P250" s="8"/>
      <c r="Q250" s="9" t="str">
        <f t="shared" si="3"/>
        <v/>
      </c>
      <c r="R250" s="10"/>
      <c r="S250" s="8"/>
      <c r="T250" s="10"/>
      <c r="U250" s="8"/>
    </row>
    <row r="251" spans="1:21">
      <c r="A251" s="8"/>
      <c r="B251" s="1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13"/>
      <c r="O251" s="8"/>
      <c r="P251" s="8"/>
      <c r="Q251" s="9" t="str">
        <f t="shared" si="3"/>
        <v/>
      </c>
      <c r="R251" s="10"/>
      <c r="S251" s="8"/>
      <c r="T251" s="10"/>
      <c r="U251" s="8"/>
    </row>
    <row r="252" spans="1:21">
      <c r="A252" s="8"/>
      <c r="B252" s="1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13"/>
      <c r="O252" s="8"/>
      <c r="P252" s="8"/>
      <c r="Q252" s="9" t="str">
        <f t="shared" si="3"/>
        <v/>
      </c>
      <c r="R252" s="10"/>
      <c r="S252" s="8"/>
      <c r="T252" s="10"/>
      <c r="U252" s="8"/>
    </row>
    <row r="253" spans="1:21">
      <c r="A253" s="8"/>
      <c r="B253" s="1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13"/>
      <c r="O253" s="8"/>
      <c r="P253" s="8"/>
      <c r="Q253" s="9" t="str">
        <f t="shared" si="3"/>
        <v/>
      </c>
      <c r="R253" s="10"/>
      <c r="S253" s="8"/>
      <c r="T253" s="10"/>
      <c r="U253" s="8"/>
    </row>
    <row r="254" spans="1:21">
      <c r="A254" s="8"/>
      <c r="B254" s="1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13"/>
      <c r="O254" s="8"/>
      <c r="P254" s="8"/>
      <c r="Q254" s="9" t="str">
        <f t="shared" si="3"/>
        <v/>
      </c>
      <c r="R254" s="10"/>
      <c r="S254" s="8"/>
      <c r="T254" s="10"/>
      <c r="U254" s="8"/>
    </row>
    <row r="255" spans="1:21">
      <c r="A255" s="8"/>
      <c r="B255" s="1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13"/>
      <c r="O255" s="8"/>
      <c r="P255" s="8"/>
      <c r="Q255" s="9" t="str">
        <f t="shared" si="3"/>
        <v/>
      </c>
      <c r="R255" s="10"/>
      <c r="S255" s="8"/>
      <c r="T255" s="10"/>
      <c r="U255" s="8"/>
    </row>
    <row r="256" spans="1:21">
      <c r="A256" s="8"/>
      <c r="B256" s="1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13"/>
      <c r="O256" s="8"/>
      <c r="P256" s="8"/>
      <c r="Q256" s="9" t="str">
        <f t="shared" si="3"/>
        <v/>
      </c>
      <c r="R256" s="10"/>
      <c r="S256" s="8"/>
      <c r="T256" s="10"/>
      <c r="U256" s="8"/>
    </row>
    <row r="257" spans="1:21">
      <c r="A257" s="8"/>
      <c r="B257" s="1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13"/>
      <c r="O257" s="8"/>
      <c r="P257" s="8"/>
      <c r="Q257" s="9" t="str">
        <f t="shared" si="3"/>
        <v/>
      </c>
      <c r="R257" s="10"/>
      <c r="S257" s="8"/>
      <c r="T257" s="10"/>
      <c r="U257" s="8"/>
    </row>
    <row r="258" spans="1:21">
      <c r="A258" s="8"/>
      <c r="B258" s="1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13"/>
      <c r="O258" s="8"/>
      <c r="P258" s="8"/>
      <c r="Q258" s="9" t="str">
        <f t="shared" si="3"/>
        <v/>
      </c>
      <c r="R258" s="10"/>
      <c r="S258" s="8"/>
      <c r="T258" s="10"/>
      <c r="U258" s="8"/>
    </row>
    <row r="259" spans="1:21">
      <c r="A259" s="8"/>
      <c r="B259" s="1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13"/>
      <c r="O259" s="8"/>
      <c r="P259" s="8"/>
      <c r="Q259" s="9" t="str">
        <f t="shared" si="3"/>
        <v/>
      </c>
      <c r="R259" s="10"/>
      <c r="S259" s="8"/>
      <c r="T259" s="10"/>
      <c r="U259" s="8"/>
    </row>
    <row r="260" spans="1:21">
      <c r="A260" s="8"/>
      <c r="B260" s="1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13"/>
      <c r="O260" s="8"/>
      <c r="P260" s="8"/>
      <c r="Q260" s="9" t="str">
        <f t="shared" si="3"/>
        <v/>
      </c>
      <c r="R260" s="10"/>
      <c r="S260" s="8"/>
      <c r="T260" s="10"/>
      <c r="U260" s="8"/>
    </row>
    <row r="261" spans="1:21">
      <c r="A261" s="8"/>
      <c r="B261" s="1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13"/>
      <c r="O261" s="8"/>
      <c r="P261" s="8"/>
      <c r="Q261" s="9" t="str">
        <f t="shared" ref="Q261:Q304" si="4">IF(A261="","",IF(COUNTIF(F261:M261,"Failed")&gt;0,"Rejected",IF(COUNTIF(F261:M261,"On Hold")&gt;0,"On Hold",IF(COUNTIF(F261:M261,"Pending")&gt;0,"Pending",IF(O261&lt;&gt;"","Conditionally Approved","Released for Cutting")))))</f>
        <v/>
      </c>
      <c r="R261" s="10"/>
      <c r="S261" s="8"/>
      <c r="T261" s="10"/>
      <c r="U261" s="8"/>
    </row>
    <row r="262" spans="1:21">
      <c r="A262" s="8"/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13"/>
      <c r="O262" s="8"/>
      <c r="P262" s="8"/>
      <c r="Q262" s="9" t="str">
        <f t="shared" si="4"/>
        <v/>
      </c>
      <c r="R262" s="10"/>
      <c r="S262" s="8"/>
      <c r="T262" s="10"/>
      <c r="U262" s="8"/>
    </row>
    <row r="263" spans="1:21">
      <c r="A263" s="8"/>
      <c r="B263" s="1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13"/>
      <c r="O263" s="8"/>
      <c r="P263" s="8"/>
      <c r="Q263" s="9" t="str">
        <f t="shared" si="4"/>
        <v/>
      </c>
      <c r="R263" s="10"/>
      <c r="S263" s="8"/>
      <c r="T263" s="10"/>
      <c r="U263" s="8"/>
    </row>
    <row r="264" spans="1:21">
      <c r="A264" s="8"/>
      <c r="B264" s="1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13"/>
      <c r="O264" s="8"/>
      <c r="P264" s="8"/>
      <c r="Q264" s="9" t="str">
        <f t="shared" si="4"/>
        <v/>
      </c>
      <c r="R264" s="10"/>
      <c r="S264" s="8"/>
      <c r="T264" s="10"/>
      <c r="U264" s="8"/>
    </row>
    <row r="265" spans="1:21">
      <c r="A265" s="8"/>
      <c r="B265" s="1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13"/>
      <c r="O265" s="8"/>
      <c r="P265" s="8"/>
      <c r="Q265" s="9" t="str">
        <f t="shared" si="4"/>
        <v/>
      </c>
      <c r="R265" s="10"/>
      <c r="S265" s="8"/>
      <c r="T265" s="10"/>
      <c r="U265" s="8"/>
    </row>
    <row r="266" spans="1:21">
      <c r="A266" s="8"/>
      <c r="B266" s="1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13"/>
      <c r="O266" s="8"/>
      <c r="P266" s="8"/>
      <c r="Q266" s="9" t="str">
        <f t="shared" si="4"/>
        <v/>
      </c>
      <c r="R266" s="10"/>
      <c r="S266" s="8"/>
      <c r="T266" s="10"/>
      <c r="U266" s="8"/>
    </row>
    <row r="267" spans="1:21">
      <c r="A267" s="8"/>
      <c r="B267" s="1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13"/>
      <c r="O267" s="8"/>
      <c r="P267" s="8"/>
      <c r="Q267" s="9" t="str">
        <f t="shared" si="4"/>
        <v/>
      </c>
      <c r="R267" s="10"/>
      <c r="S267" s="8"/>
      <c r="T267" s="10"/>
      <c r="U267" s="8"/>
    </row>
    <row r="268" spans="1:21">
      <c r="A268" s="8"/>
      <c r="B268" s="1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13"/>
      <c r="O268" s="8"/>
      <c r="P268" s="8"/>
      <c r="Q268" s="9" t="str">
        <f t="shared" si="4"/>
        <v/>
      </c>
      <c r="R268" s="10"/>
      <c r="S268" s="8"/>
      <c r="T268" s="10"/>
      <c r="U268" s="8"/>
    </row>
    <row r="269" spans="1:21">
      <c r="A269" s="8"/>
      <c r="B269" s="1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13"/>
      <c r="O269" s="8"/>
      <c r="P269" s="8"/>
      <c r="Q269" s="9" t="str">
        <f t="shared" si="4"/>
        <v/>
      </c>
      <c r="R269" s="10"/>
      <c r="S269" s="8"/>
      <c r="T269" s="10"/>
      <c r="U269" s="8"/>
    </row>
    <row r="270" spans="1:21">
      <c r="A270" s="8"/>
      <c r="B270" s="1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13"/>
      <c r="O270" s="8"/>
      <c r="P270" s="8"/>
      <c r="Q270" s="9" t="str">
        <f t="shared" si="4"/>
        <v/>
      </c>
      <c r="R270" s="10"/>
      <c r="S270" s="8"/>
      <c r="T270" s="10"/>
      <c r="U270" s="8"/>
    </row>
    <row r="271" spans="1:21">
      <c r="A271" s="8"/>
      <c r="B271" s="1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13"/>
      <c r="O271" s="8"/>
      <c r="P271" s="8"/>
      <c r="Q271" s="9" t="str">
        <f t="shared" si="4"/>
        <v/>
      </c>
      <c r="R271" s="10"/>
      <c r="S271" s="8"/>
      <c r="T271" s="10"/>
      <c r="U271" s="8"/>
    </row>
    <row r="272" spans="1:21">
      <c r="A272" s="8"/>
      <c r="B272" s="1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13"/>
      <c r="O272" s="8"/>
      <c r="P272" s="8"/>
      <c r="Q272" s="9" t="str">
        <f t="shared" si="4"/>
        <v/>
      </c>
      <c r="R272" s="10"/>
      <c r="S272" s="8"/>
      <c r="T272" s="10"/>
      <c r="U272" s="8"/>
    </row>
    <row r="273" spans="1:21">
      <c r="A273" s="8"/>
      <c r="B273" s="1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13"/>
      <c r="O273" s="8"/>
      <c r="P273" s="8"/>
      <c r="Q273" s="9" t="str">
        <f t="shared" si="4"/>
        <v/>
      </c>
      <c r="R273" s="10"/>
      <c r="S273" s="8"/>
      <c r="T273" s="10"/>
      <c r="U273" s="8"/>
    </row>
    <row r="274" spans="1:21">
      <c r="A274" s="8"/>
      <c r="B274" s="1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13"/>
      <c r="O274" s="8"/>
      <c r="P274" s="8"/>
      <c r="Q274" s="9" t="str">
        <f t="shared" si="4"/>
        <v/>
      </c>
      <c r="R274" s="10"/>
      <c r="S274" s="8"/>
      <c r="T274" s="10"/>
      <c r="U274" s="8"/>
    </row>
    <row r="275" spans="1:21">
      <c r="A275" s="8"/>
      <c r="B275" s="1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13"/>
      <c r="O275" s="8"/>
      <c r="P275" s="8"/>
      <c r="Q275" s="9" t="str">
        <f t="shared" si="4"/>
        <v/>
      </c>
      <c r="R275" s="10"/>
      <c r="S275" s="8"/>
      <c r="T275" s="10"/>
      <c r="U275" s="8"/>
    </row>
    <row r="276" spans="1:21">
      <c r="A276" s="8"/>
      <c r="B276" s="1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13"/>
      <c r="O276" s="8"/>
      <c r="P276" s="8"/>
      <c r="Q276" s="9" t="str">
        <f t="shared" si="4"/>
        <v/>
      </c>
      <c r="R276" s="10"/>
      <c r="S276" s="8"/>
      <c r="T276" s="10"/>
      <c r="U276" s="8"/>
    </row>
    <row r="277" spans="1:21">
      <c r="A277" s="8"/>
      <c r="B277" s="1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13"/>
      <c r="O277" s="8"/>
      <c r="P277" s="8"/>
      <c r="Q277" s="9" t="str">
        <f t="shared" si="4"/>
        <v/>
      </c>
      <c r="R277" s="10"/>
      <c r="S277" s="8"/>
      <c r="T277" s="10"/>
      <c r="U277" s="8"/>
    </row>
    <row r="278" spans="1:21">
      <c r="A278" s="8"/>
      <c r="B278" s="1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13"/>
      <c r="O278" s="8"/>
      <c r="P278" s="8"/>
      <c r="Q278" s="9" t="str">
        <f t="shared" si="4"/>
        <v/>
      </c>
      <c r="R278" s="10"/>
      <c r="S278" s="8"/>
      <c r="T278" s="10"/>
      <c r="U278" s="8"/>
    </row>
    <row r="279" spans="1:21">
      <c r="A279" s="8"/>
      <c r="B279" s="1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13"/>
      <c r="O279" s="8"/>
      <c r="P279" s="8"/>
      <c r="Q279" s="9" t="str">
        <f t="shared" si="4"/>
        <v/>
      </c>
      <c r="R279" s="10"/>
      <c r="S279" s="8"/>
      <c r="T279" s="10"/>
      <c r="U279" s="8"/>
    </row>
    <row r="280" spans="1:21">
      <c r="A280" s="8"/>
      <c r="B280" s="1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13"/>
      <c r="O280" s="8"/>
      <c r="P280" s="8"/>
      <c r="Q280" s="9" t="str">
        <f t="shared" si="4"/>
        <v/>
      </c>
      <c r="R280" s="10"/>
      <c r="S280" s="8"/>
      <c r="T280" s="10"/>
      <c r="U280" s="8"/>
    </row>
    <row r="281" spans="1:21">
      <c r="A281" s="8"/>
      <c r="B281" s="1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13"/>
      <c r="O281" s="8"/>
      <c r="P281" s="8"/>
      <c r="Q281" s="9" t="str">
        <f t="shared" si="4"/>
        <v/>
      </c>
      <c r="R281" s="10"/>
      <c r="S281" s="8"/>
      <c r="T281" s="10"/>
      <c r="U281" s="8"/>
    </row>
    <row r="282" spans="1:21">
      <c r="A282" s="8"/>
      <c r="B282" s="1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13"/>
      <c r="O282" s="8"/>
      <c r="P282" s="8"/>
      <c r="Q282" s="9" t="str">
        <f t="shared" si="4"/>
        <v/>
      </c>
      <c r="R282" s="10"/>
      <c r="S282" s="8"/>
      <c r="T282" s="10"/>
      <c r="U282" s="8"/>
    </row>
    <row r="283" spans="1:21">
      <c r="A283" s="8"/>
      <c r="B283" s="1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13"/>
      <c r="O283" s="8"/>
      <c r="P283" s="8"/>
      <c r="Q283" s="9" t="str">
        <f t="shared" si="4"/>
        <v/>
      </c>
      <c r="R283" s="10"/>
      <c r="S283" s="8"/>
      <c r="T283" s="10"/>
      <c r="U283" s="8"/>
    </row>
    <row r="284" spans="1:21">
      <c r="A284" s="8"/>
      <c r="B284" s="1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13"/>
      <c r="O284" s="8"/>
      <c r="P284" s="8"/>
      <c r="Q284" s="9" t="str">
        <f t="shared" si="4"/>
        <v/>
      </c>
      <c r="R284" s="10"/>
      <c r="S284" s="8"/>
      <c r="T284" s="10"/>
      <c r="U284" s="8"/>
    </row>
    <row r="285" spans="1:21">
      <c r="A285" s="8"/>
      <c r="B285" s="1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13"/>
      <c r="O285" s="8"/>
      <c r="P285" s="8"/>
      <c r="Q285" s="9" t="str">
        <f t="shared" si="4"/>
        <v/>
      </c>
      <c r="R285" s="10"/>
      <c r="S285" s="8"/>
      <c r="T285" s="10"/>
      <c r="U285" s="8"/>
    </row>
    <row r="286" spans="1:21">
      <c r="A286" s="8"/>
      <c r="B286" s="1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13"/>
      <c r="O286" s="8"/>
      <c r="P286" s="8"/>
      <c r="Q286" s="9" t="str">
        <f t="shared" si="4"/>
        <v/>
      </c>
      <c r="R286" s="10"/>
      <c r="S286" s="8"/>
      <c r="T286" s="10"/>
      <c r="U286" s="8"/>
    </row>
    <row r="287" spans="1:21">
      <c r="A287" s="8"/>
      <c r="B287" s="1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13"/>
      <c r="O287" s="8"/>
      <c r="P287" s="8"/>
      <c r="Q287" s="9" t="str">
        <f t="shared" si="4"/>
        <v/>
      </c>
      <c r="R287" s="10"/>
      <c r="S287" s="8"/>
      <c r="T287" s="10"/>
      <c r="U287" s="8"/>
    </row>
    <row r="288" spans="1:21">
      <c r="A288" s="8"/>
      <c r="B288" s="1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13"/>
      <c r="O288" s="8"/>
      <c r="P288" s="8"/>
      <c r="Q288" s="9" t="str">
        <f t="shared" si="4"/>
        <v/>
      </c>
      <c r="R288" s="10"/>
      <c r="S288" s="8"/>
      <c r="T288" s="10"/>
      <c r="U288" s="8"/>
    </row>
    <row r="289" spans="1:21">
      <c r="A289" s="8"/>
      <c r="B289" s="1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13"/>
      <c r="O289" s="8"/>
      <c r="P289" s="8"/>
      <c r="Q289" s="9" t="str">
        <f t="shared" si="4"/>
        <v/>
      </c>
      <c r="R289" s="10"/>
      <c r="S289" s="8"/>
      <c r="T289" s="10"/>
      <c r="U289" s="8"/>
    </row>
    <row r="290" spans="1:21">
      <c r="A290" s="8"/>
      <c r="B290" s="1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13"/>
      <c r="O290" s="8"/>
      <c r="P290" s="8"/>
      <c r="Q290" s="9" t="str">
        <f t="shared" si="4"/>
        <v/>
      </c>
      <c r="R290" s="10"/>
      <c r="S290" s="8"/>
      <c r="T290" s="10"/>
      <c r="U290" s="8"/>
    </row>
    <row r="291" spans="1:21">
      <c r="A291" s="8"/>
      <c r="B291" s="1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13"/>
      <c r="O291" s="8"/>
      <c r="P291" s="8"/>
      <c r="Q291" s="9" t="str">
        <f t="shared" si="4"/>
        <v/>
      </c>
      <c r="R291" s="10"/>
      <c r="S291" s="8"/>
      <c r="T291" s="10"/>
      <c r="U291" s="8"/>
    </row>
    <row r="292" spans="1:21">
      <c r="A292" s="8"/>
      <c r="B292" s="1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13"/>
      <c r="O292" s="8"/>
      <c r="P292" s="8"/>
      <c r="Q292" s="9" t="str">
        <f t="shared" si="4"/>
        <v/>
      </c>
      <c r="R292" s="10"/>
      <c r="S292" s="8"/>
      <c r="T292" s="10"/>
      <c r="U292" s="8"/>
    </row>
    <row r="293" spans="1:21">
      <c r="A293" s="8"/>
      <c r="B293" s="1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13"/>
      <c r="O293" s="8"/>
      <c r="P293" s="8"/>
      <c r="Q293" s="9" t="str">
        <f t="shared" si="4"/>
        <v/>
      </c>
      <c r="R293" s="10"/>
      <c r="S293" s="8"/>
      <c r="T293" s="10"/>
      <c r="U293" s="8"/>
    </row>
    <row r="294" spans="1:21">
      <c r="A294" s="8"/>
      <c r="B294" s="1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13"/>
      <c r="O294" s="8"/>
      <c r="P294" s="8"/>
      <c r="Q294" s="9" t="str">
        <f t="shared" si="4"/>
        <v/>
      </c>
      <c r="R294" s="10"/>
      <c r="S294" s="8"/>
      <c r="T294" s="10"/>
      <c r="U294" s="8"/>
    </row>
    <row r="295" spans="1:21">
      <c r="A295" s="8"/>
      <c r="B295" s="1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13"/>
      <c r="O295" s="8"/>
      <c r="P295" s="8"/>
      <c r="Q295" s="9" t="str">
        <f t="shared" si="4"/>
        <v/>
      </c>
      <c r="R295" s="10"/>
      <c r="S295" s="8"/>
      <c r="T295" s="10"/>
      <c r="U295" s="8"/>
    </row>
    <row r="296" spans="1:21">
      <c r="A296" s="8"/>
      <c r="B296" s="1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13"/>
      <c r="O296" s="8"/>
      <c r="P296" s="8"/>
      <c r="Q296" s="9" t="str">
        <f t="shared" si="4"/>
        <v/>
      </c>
      <c r="R296" s="10"/>
      <c r="S296" s="8"/>
      <c r="T296" s="10"/>
      <c r="U296" s="8"/>
    </row>
    <row r="297" spans="1:21">
      <c r="A297" s="8"/>
      <c r="B297" s="1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13"/>
      <c r="O297" s="8"/>
      <c r="P297" s="8"/>
      <c r="Q297" s="9" t="str">
        <f t="shared" si="4"/>
        <v/>
      </c>
      <c r="R297" s="10"/>
      <c r="S297" s="8"/>
      <c r="T297" s="10"/>
      <c r="U297" s="8"/>
    </row>
    <row r="298" spans="1:21">
      <c r="A298" s="8"/>
      <c r="B298" s="1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13"/>
      <c r="O298" s="8"/>
      <c r="P298" s="8"/>
      <c r="Q298" s="9" t="str">
        <f t="shared" si="4"/>
        <v/>
      </c>
      <c r="R298" s="10"/>
      <c r="S298" s="8"/>
      <c r="T298" s="10"/>
      <c r="U298" s="8"/>
    </row>
    <row r="299" spans="1:21">
      <c r="A299" s="8"/>
      <c r="B299" s="1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13"/>
      <c r="O299" s="8"/>
      <c r="P299" s="8"/>
      <c r="Q299" s="9" t="str">
        <f t="shared" si="4"/>
        <v/>
      </c>
      <c r="R299" s="10"/>
      <c r="S299" s="8"/>
      <c r="T299" s="10"/>
      <c r="U299" s="8"/>
    </row>
    <row r="300" spans="1:21">
      <c r="A300" s="8"/>
      <c r="B300" s="1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13"/>
      <c r="O300" s="8"/>
      <c r="P300" s="8"/>
      <c r="Q300" s="9" t="str">
        <f t="shared" si="4"/>
        <v/>
      </c>
      <c r="R300" s="10"/>
      <c r="S300" s="8"/>
      <c r="T300" s="10"/>
      <c r="U300" s="8"/>
    </row>
    <row r="301" spans="1:21">
      <c r="A301" s="8"/>
      <c r="B301" s="1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13"/>
      <c r="O301" s="8"/>
      <c r="P301" s="8"/>
      <c r="Q301" s="9" t="str">
        <f t="shared" si="4"/>
        <v/>
      </c>
      <c r="R301" s="10"/>
      <c r="S301" s="8"/>
      <c r="T301" s="10"/>
      <c r="U301" s="8"/>
    </row>
    <row r="302" spans="1:21">
      <c r="A302" s="8"/>
      <c r="B302" s="1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13"/>
      <c r="O302" s="8"/>
      <c r="P302" s="8"/>
      <c r="Q302" s="9" t="str">
        <f t="shared" si="4"/>
        <v/>
      </c>
      <c r="R302" s="10"/>
      <c r="S302" s="8"/>
      <c r="T302" s="10"/>
      <c r="U302" s="8"/>
    </row>
    <row r="303" spans="1:21">
      <c r="A303" s="8"/>
      <c r="B303" s="1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13"/>
      <c r="O303" s="8"/>
      <c r="P303" s="8"/>
      <c r="Q303" s="9" t="str">
        <f t="shared" si="4"/>
        <v/>
      </c>
      <c r="R303" s="10"/>
      <c r="S303" s="8"/>
      <c r="T303" s="10"/>
      <c r="U303" s="8"/>
    </row>
    <row r="304" spans="1:21">
      <c r="A304" s="8"/>
      <c r="B304" s="1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13"/>
      <c r="O304" s="8"/>
      <c r="P304" s="8"/>
      <c r="Q304" s="9" t="str">
        <f t="shared" si="4"/>
        <v/>
      </c>
      <c r="R304" s="10"/>
      <c r="S304" s="8"/>
      <c r="T304" s="10"/>
      <c r="U304" s="8"/>
    </row>
  </sheetData>
  <mergeCells count="2">
    <mergeCell ref="A1:U1"/>
    <mergeCell ref="A2:U2"/>
  </mergeCells>
  <conditionalFormatting sqref="A5:A304">
    <cfRule type="duplicateValues" dxfId="76" priority="9"/>
  </conditionalFormatting>
  <conditionalFormatting sqref="Q5:Q304">
    <cfRule type="containsText" dxfId="75" priority="1" operator="containsText" text="Approved"/>
    <cfRule type="containsText" dxfId="74" priority="4" operator="containsText" text="Failed"/>
    <cfRule type="containsText" dxfId="73" priority="7" operator="containsText" text="On Hold"/>
  </conditionalFormatting>
  <dataValidations count="1">
    <dataValidation type="list" sqref="F5:M304" xr:uid="{00000000-0002-0000-0E00-000000000000}">
      <formula1>"Pending,Passed,Failed,On Hold,N/A"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04"/>
  <sheetViews>
    <sheetView showGridLines="0" workbookViewId="0">
      <selection sqref="A1:T1"/>
    </sheetView>
  </sheetViews>
  <sheetFormatPr baseColWidth="10" defaultColWidth="8.83203125" defaultRowHeight="14"/>
  <cols>
    <col min="1" max="1" width="15" customWidth="1"/>
    <col min="2" max="2" width="18" customWidth="1"/>
    <col min="3" max="3" width="14" customWidth="1"/>
    <col min="4" max="4" width="17" customWidth="1"/>
    <col min="5" max="5" width="14" customWidth="1"/>
    <col min="6" max="6" width="11" customWidth="1"/>
    <col min="7" max="9" width="17" customWidth="1"/>
    <col min="10" max="10" width="14" customWidth="1"/>
    <col min="11" max="11" width="17" customWidth="1"/>
    <col min="12" max="12" width="15" customWidth="1"/>
    <col min="13" max="13" width="17" customWidth="1"/>
    <col min="14" max="14" width="18" customWidth="1"/>
    <col min="15" max="15" width="17" customWidth="1"/>
    <col min="16" max="16" width="18" customWidth="1"/>
    <col min="17" max="17" width="17" customWidth="1"/>
    <col min="18" max="19" width="15" customWidth="1"/>
    <col min="20" max="20" width="24" customWidth="1"/>
  </cols>
  <sheetData>
    <row r="1" spans="1:20" ht="30" customHeight="1">
      <c r="A1" s="52" t="s">
        <v>261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4" spans="1:20" ht="44" customHeight="1">
      <c r="A4" s="6" t="s">
        <v>262</v>
      </c>
      <c r="B4" s="6" t="s">
        <v>118</v>
      </c>
      <c r="C4" s="6" t="s">
        <v>44</v>
      </c>
      <c r="D4" s="6" t="s">
        <v>104</v>
      </c>
      <c r="E4" s="6" t="s">
        <v>136</v>
      </c>
      <c r="F4" s="6" t="s">
        <v>109</v>
      </c>
      <c r="G4" s="6" t="s">
        <v>263</v>
      </c>
      <c r="H4" s="6" t="s">
        <v>264</v>
      </c>
      <c r="I4" s="6" t="s">
        <v>265</v>
      </c>
      <c r="J4" s="6" t="s">
        <v>266</v>
      </c>
      <c r="K4" s="6" t="s">
        <v>267</v>
      </c>
      <c r="L4" s="6" t="s">
        <v>268</v>
      </c>
      <c r="M4" s="6" t="s">
        <v>269</v>
      </c>
      <c r="N4" s="6" t="s">
        <v>270</v>
      </c>
      <c r="O4" s="6" t="s">
        <v>271</v>
      </c>
      <c r="P4" s="6" t="s">
        <v>187</v>
      </c>
      <c r="Q4" s="6" t="s">
        <v>272</v>
      </c>
      <c r="R4" s="6" t="s">
        <v>100</v>
      </c>
      <c r="S4" s="6" t="s">
        <v>63</v>
      </c>
      <c r="T4" s="6" t="s">
        <v>101</v>
      </c>
    </row>
    <row r="5" spans="1:20">
      <c r="A5" s="8"/>
      <c r="B5" s="8"/>
      <c r="C5" s="8"/>
      <c r="D5" s="8"/>
      <c r="E5" s="8"/>
      <c r="F5" s="8"/>
      <c r="G5" s="13"/>
      <c r="H5" s="13"/>
      <c r="I5" s="13"/>
      <c r="J5" s="13"/>
      <c r="K5" s="13"/>
      <c r="L5" s="13"/>
      <c r="M5" s="13"/>
      <c r="N5" s="14" t="str">
        <f t="shared" ref="N5:N68" si="0">IF(A5="","",MAX(0,H5-K5-L5+M5))</f>
        <v/>
      </c>
      <c r="O5" s="13"/>
      <c r="P5" s="8"/>
      <c r="Q5" s="8"/>
      <c r="R5" s="8"/>
      <c r="S5" s="10"/>
      <c r="T5" s="8"/>
    </row>
    <row r="6" spans="1:20">
      <c r="A6" s="8"/>
      <c r="B6" s="8"/>
      <c r="C6" s="8"/>
      <c r="D6" s="8"/>
      <c r="E6" s="8"/>
      <c r="F6" s="8"/>
      <c r="G6" s="13"/>
      <c r="H6" s="13"/>
      <c r="I6" s="13"/>
      <c r="J6" s="13"/>
      <c r="K6" s="13"/>
      <c r="L6" s="13"/>
      <c r="M6" s="13"/>
      <c r="N6" s="14" t="str">
        <f t="shared" si="0"/>
        <v/>
      </c>
      <c r="O6" s="13"/>
      <c r="P6" s="8"/>
      <c r="Q6" s="8"/>
      <c r="R6" s="8"/>
      <c r="S6" s="10"/>
      <c r="T6" s="8"/>
    </row>
    <row r="7" spans="1:20">
      <c r="A7" s="8"/>
      <c r="B7" s="8"/>
      <c r="C7" s="8"/>
      <c r="D7" s="8"/>
      <c r="E7" s="8"/>
      <c r="F7" s="8"/>
      <c r="G7" s="13"/>
      <c r="H7" s="13"/>
      <c r="I7" s="13"/>
      <c r="J7" s="13"/>
      <c r="K7" s="13"/>
      <c r="L7" s="13"/>
      <c r="M7" s="13"/>
      <c r="N7" s="14" t="str">
        <f t="shared" si="0"/>
        <v/>
      </c>
      <c r="O7" s="13"/>
      <c r="P7" s="8"/>
      <c r="Q7" s="8"/>
      <c r="R7" s="8"/>
      <c r="S7" s="10"/>
      <c r="T7" s="8"/>
    </row>
    <row r="8" spans="1:20">
      <c r="A8" s="8"/>
      <c r="B8" s="8"/>
      <c r="C8" s="8"/>
      <c r="D8" s="8"/>
      <c r="E8" s="8"/>
      <c r="F8" s="8"/>
      <c r="G8" s="13"/>
      <c r="H8" s="13"/>
      <c r="I8" s="13"/>
      <c r="J8" s="13"/>
      <c r="K8" s="13"/>
      <c r="L8" s="13"/>
      <c r="M8" s="13"/>
      <c r="N8" s="14" t="str">
        <f t="shared" si="0"/>
        <v/>
      </c>
      <c r="O8" s="13"/>
      <c r="P8" s="8"/>
      <c r="Q8" s="8"/>
      <c r="R8" s="8"/>
      <c r="S8" s="10"/>
      <c r="T8" s="8"/>
    </row>
    <row r="9" spans="1:20">
      <c r="A9" s="8"/>
      <c r="B9" s="8"/>
      <c r="C9" s="8"/>
      <c r="D9" s="8"/>
      <c r="E9" s="8"/>
      <c r="F9" s="8"/>
      <c r="G9" s="13"/>
      <c r="H9" s="13"/>
      <c r="I9" s="13"/>
      <c r="J9" s="13"/>
      <c r="K9" s="13"/>
      <c r="L9" s="13"/>
      <c r="M9" s="13"/>
      <c r="N9" s="14" t="str">
        <f t="shared" si="0"/>
        <v/>
      </c>
      <c r="O9" s="13"/>
      <c r="P9" s="8"/>
      <c r="Q9" s="8"/>
      <c r="R9" s="8"/>
      <c r="S9" s="10"/>
      <c r="T9" s="8"/>
    </row>
    <row r="10" spans="1:20">
      <c r="A10" s="8"/>
      <c r="B10" s="8"/>
      <c r="C10" s="8"/>
      <c r="D10" s="8"/>
      <c r="E10" s="8"/>
      <c r="F10" s="8"/>
      <c r="G10" s="13"/>
      <c r="H10" s="13"/>
      <c r="I10" s="13"/>
      <c r="J10" s="13"/>
      <c r="K10" s="13"/>
      <c r="L10" s="13"/>
      <c r="M10" s="13"/>
      <c r="N10" s="14" t="str">
        <f t="shared" si="0"/>
        <v/>
      </c>
      <c r="O10" s="13"/>
      <c r="P10" s="8"/>
      <c r="Q10" s="8"/>
      <c r="R10" s="8"/>
      <c r="S10" s="10"/>
      <c r="T10" s="8"/>
    </row>
    <row r="11" spans="1:20">
      <c r="A11" s="8"/>
      <c r="B11" s="8"/>
      <c r="C11" s="8"/>
      <c r="D11" s="8"/>
      <c r="E11" s="8"/>
      <c r="F11" s="8"/>
      <c r="G11" s="13"/>
      <c r="H11" s="13"/>
      <c r="I11" s="13"/>
      <c r="J11" s="13"/>
      <c r="K11" s="13"/>
      <c r="L11" s="13"/>
      <c r="M11" s="13"/>
      <c r="N11" s="14" t="str">
        <f t="shared" si="0"/>
        <v/>
      </c>
      <c r="O11" s="13"/>
      <c r="P11" s="8"/>
      <c r="Q11" s="8"/>
      <c r="R11" s="8"/>
      <c r="S11" s="10"/>
      <c r="T11" s="8"/>
    </row>
    <row r="12" spans="1:20">
      <c r="A12" s="8"/>
      <c r="B12" s="8"/>
      <c r="C12" s="8"/>
      <c r="D12" s="8"/>
      <c r="E12" s="8"/>
      <c r="F12" s="8"/>
      <c r="G12" s="13"/>
      <c r="H12" s="13"/>
      <c r="I12" s="13"/>
      <c r="J12" s="13"/>
      <c r="K12" s="13"/>
      <c r="L12" s="13"/>
      <c r="M12" s="13"/>
      <c r="N12" s="14" t="str">
        <f t="shared" si="0"/>
        <v/>
      </c>
      <c r="O12" s="13"/>
      <c r="P12" s="8"/>
      <c r="Q12" s="8"/>
      <c r="R12" s="8"/>
      <c r="S12" s="10"/>
      <c r="T12" s="8"/>
    </row>
    <row r="13" spans="1:20">
      <c r="A13" s="8"/>
      <c r="B13" s="8"/>
      <c r="C13" s="8"/>
      <c r="D13" s="8"/>
      <c r="E13" s="8"/>
      <c r="F13" s="8"/>
      <c r="G13" s="13"/>
      <c r="H13" s="13"/>
      <c r="I13" s="13"/>
      <c r="J13" s="13"/>
      <c r="K13" s="13"/>
      <c r="L13" s="13"/>
      <c r="M13" s="13"/>
      <c r="N13" s="14" t="str">
        <f t="shared" si="0"/>
        <v/>
      </c>
      <c r="O13" s="13"/>
      <c r="P13" s="8"/>
      <c r="Q13" s="8"/>
      <c r="R13" s="8"/>
      <c r="S13" s="10"/>
      <c r="T13" s="8"/>
    </row>
    <row r="14" spans="1:20">
      <c r="A14" s="8"/>
      <c r="B14" s="8"/>
      <c r="C14" s="8"/>
      <c r="D14" s="8"/>
      <c r="E14" s="8"/>
      <c r="F14" s="8"/>
      <c r="G14" s="13"/>
      <c r="H14" s="13"/>
      <c r="I14" s="13"/>
      <c r="J14" s="13"/>
      <c r="K14" s="13"/>
      <c r="L14" s="13"/>
      <c r="M14" s="13"/>
      <c r="N14" s="14" t="str">
        <f t="shared" si="0"/>
        <v/>
      </c>
      <c r="O14" s="13"/>
      <c r="P14" s="8"/>
      <c r="Q14" s="8"/>
      <c r="R14" s="8"/>
      <c r="S14" s="10"/>
      <c r="T14" s="8"/>
    </row>
    <row r="15" spans="1:20">
      <c r="A15" s="8"/>
      <c r="B15" s="8"/>
      <c r="C15" s="8"/>
      <c r="D15" s="8"/>
      <c r="E15" s="8"/>
      <c r="F15" s="8"/>
      <c r="G15" s="13"/>
      <c r="H15" s="13"/>
      <c r="I15" s="13"/>
      <c r="J15" s="13"/>
      <c r="K15" s="13"/>
      <c r="L15" s="13"/>
      <c r="M15" s="13"/>
      <c r="N15" s="14" t="str">
        <f t="shared" si="0"/>
        <v/>
      </c>
      <c r="O15" s="13"/>
      <c r="P15" s="8"/>
      <c r="Q15" s="8"/>
      <c r="R15" s="8"/>
      <c r="S15" s="10"/>
      <c r="T15" s="8"/>
    </row>
    <row r="16" spans="1:20">
      <c r="A16" s="8"/>
      <c r="B16" s="8"/>
      <c r="C16" s="8"/>
      <c r="D16" s="8"/>
      <c r="E16" s="8"/>
      <c r="F16" s="8"/>
      <c r="G16" s="13"/>
      <c r="H16" s="13"/>
      <c r="I16" s="13"/>
      <c r="J16" s="13"/>
      <c r="K16" s="13"/>
      <c r="L16" s="13"/>
      <c r="M16" s="13"/>
      <c r="N16" s="14" t="str">
        <f t="shared" si="0"/>
        <v/>
      </c>
      <c r="O16" s="13"/>
      <c r="P16" s="8"/>
      <c r="Q16" s="8"/>
      <c r="R16" s="8"/>
      <c r="S16" s="10"/>
      <c r="T16" s="8"/>
    </row>
    <row r="17" spans="1:20">
      <c r="A17" s="8"/>
      <c r="B17" s="8"/>
      <c r="C17" s="8"/>
      <c r="D17" s="8"/>
      <c r="E17" s="8"/>
      <c r="F17" s="8"/>
      <c r="G17" s="13"/>
      <c r="H17" s="13"/>
      <c r="I17" s="13"/>
      <c r="J17" s="13"/>
      <c r="K17" s="13"/>
      <c r="L17" s="13"/>
      <c r="M17" s="13"/>
      <c r="N17" s="14" t="str">
        <f t="shared" si="0"/>
        <v/>
      </c>
      <c r="O17" s="13"/>
      <c r="P17" s="8"/>
      <c r="Q17" s="8"/>
      <c r="R17" s="8"/>
      <c r="S17" s="10"/>
      <c r="T17" s="8"/>
    </row>
    <row r="18" spans="1:20">
      <c r="A18" s="8"/>
      <c r="B18" s="8"/>
      <c r="C18" s="8"/>
      <c r="D18" s="8"/>
      <c r="E18" s="8"/>
      <c r="F18" s="8"/>
      <c r="G18" s="13"/>
      <c r="H18" s="13"/>
      <c r="I18" s="13"/>
      <c r="J18" s="13"/>
      <c r="K18" s="13"/>
      <c r="L18" s="13"/>
      <c r="M18" s="13"/>
      <c r="N18" s="14" t="str">
        <f t="shared" si="0"/>
        <v/>
      </c>
      <c r="O18" s="13"/>
      <c r="P18" s="8"/>
      <c r="Q18" s="8"/>
      <c r="R18" s="8"/>
      <c r="S18" s="10"/>
      <c r="T18" s="8"/>
    </row>
    <row r="19" spans="1:20">
      <c r="A19" s="8"/>
      <c r="B19" s="8"/>
      <c r="C19" s="8"/>
      <c r="D19" s="8"/>
      <c r="E19" s="8"/>
      <c r="F19" s="8"/>
      <c r="G19" s="13"/>
      <c r="H19" s="13"/>
      <c r="I19" s="13"/>
      <c r="J19" s="13"/>
      <c r="K19" s="13"/>
      <c r="L19" s="13"/>
      <c r="M19" s="13"/>
      <c r="N19" s="14" t="str">
        <f t="shared" si="0"/>
        <v/>
      </c>
      <c r="O19" s="13"/>
      <c r="P19" s="8"/>
      <c r="Q19" s="8"/>
      <c r="R19" s="8"/>
      <c r="S19" s="10"/>
      <c r="T19" s="8"/>
    </row>
    <row r="20" spans="1:20">
      <c r="A20" s="8"/>
      <c r="B20" s="8"/>
      <c r="C20" s="8"/>
      <c r="D20" s="8"/>
      <c r="E20" s="8"/>
      <c r="F20" s="8"/>
      <c r="G20" s="13"/>
      <c r="H20" s="13"/>
      <c r="I20" s="13"/>
      <c r="J20" s="13"/>
      <c r="K20" s="13"/>
      <c r="L20" s="13"/>
      <c r="M20" s="13"/>
      <c r="N20" s="14" t="str">
        <f t="shared" si="0"/>
        <v/>
      </c>
      <c r="O20" s="13"/>
      <c r="P20" s="8"/>
      <c r="Q20" s="8"/>
      <c r="R20" s="8"/>
      <c r="S20" s="10"/>
      <c r="T20" s="8"/>
    </row>
    <row r="21" spans="1:20">
      <c r="A21" s="8"/>
      <c r="B21" s="8"/>
      <c r="C21" s="8"/>
      <c r="D21" s="8"/>
      <c r="E21" s="8"/>
      <c r="F21" s="8"/>
      <c r="G21" s="13"/>
      <c r="H21" s="13"/>
      <c r="I21" s="13"/>
      <c r="J21" s="13"/>
      <c r="K21" s="13"/>
      <c r="L21" s="13"/>
      <c r="M21" s="13"/>
      <c r="N21" s="14" t="str">
        <f t="shared" si="0"/>
        <v/>
      </c>
      <c r="O21" s="13"/>
      <c r="P21" s="8"/>
      <c r="Q21" s="8"/>
      <c r="R21" s="8"/>
      <c r="S21" s="10"/>
      <c r="T21" s="8"/>
    </row>
    <row r="22" spans="1:20">
      <c r="A22" s="8"/>
      <c r="B22" s="8"/>
      <c r="C22" s="8"/>
      <c r="D22" s="8"/>
      <c r="E22" s="8"/>
      <c r="F22" s="8"/>
      <c r="G22" s="13"/>
      <c r="H22" s="13"/>
      <c r="I22" s="13"/>
      <c r="J22" s="13"/>
      <c r="K22" s="13"/>
      <c r="L22" s="13"/>
      <c r="M22" s="13"/>
      <c r="N22" s="14" t="str">
        <f t="shared" si="0"/>
        <v/>
      </c>
      <c r="O22" s="13"/>
      <c r="P22" s="8"/>
      <c r="Q22" s="8"/>
      <c r="R22" s="8"/>
      <c r="S22" s="10"/>
      <c r="T22" s="8"/>
    </row>
    <row r="23" spans="1:20">
      <c r="A23" s="8"/>
      <c r="B23" s="8"/>
      <c r="C23" s="8"/>
      <c r="D23" s="8"/>
      <c r="E23" s="8"/>
      <c r="F23" s="8"/>
      <c r="G23" s="13"/>
      <c r="H23" s="13"/>
      <c r="I23" s="13"/>
      <c r="J23" s="13"/>
      <c r="K23" s="13"/>
      <c r="L23" s="13"/>
      <c r="M23" s="13"/>
      <c r="N23" s="14" t="str">
        <f t="shared" si="0"/>
        <v/>
      </c>
      <c r="O23" s="13"/>
      <c r="P23" s="8"/>
      <c r="Q23" s="8"/>
      <c r="R23" s="8"/>
      <c r="S23" s="10"/>
      <c r="T23" s="8"/>
    </row>
    <row r="24" spans="1:20">
      <c r="A24" s="8"/>
      <c r="B24" s="8"/>
      <c r="C24" s="8"/>
      <c r="D24" s="8"/>
      <c r="E24" s="8"/>
      <c r="F24" s="8"/>
      <c r="G24" s="13"/>
      <c r="H24" s="13"/>
      <c r="I24" s="13"/>
      <c r="J24" s="13"/>
      <c r="K24" s="13"/>
      <c r="L24" s="13"/>
      <c r="M24" s="13"/>
      <c r="N24" s="14" t="str">
        <f t="shared" si="0"/>
        <v/>
      </c>
      <c r="O24" s="13"/>
      <c r="P24" s="8"/>
      <c r="Q24" s="8"/>
      <c r="R24" s="8"/>
      <c r="S24" s="10"/>
      <c r="T24" s="8"/>
    </row>
    <row r="25" spans="1:20">
      <c r="A25" s="8"/>
      <c r="B25" s="8"/>
      <c r="C25" s="8"/>
      <c r="D25" s="8"/>
      <c r="E25" s="8"/>
      <c r="F25" s="8"/>
      <c r="G25" s="13"/>
      <c r="H25" s="13"/>
      <c r="I25" s="13"/>
      <c r="J25" s="13"/>
      <c r="K25" s="13"/>
      <c r="L25" s="13"/>
      <c r="M25" s="13"/>
      <c r="N25" s="14" t="str">
        <f t="shared" si="0"/>
        <v/>
      </c>
      <c r="O25" s="13"/>
      <c r="P25" s="8"/>
      <c r="Q25" s="8"/>
      <c r="R25" s="8"/>
      <c r="S25" s="10"/>
      <c r="T25" s="8"/>
    </row>
    <row r="26" spans="1:20">
      <c r="A26" s="8"/>
      <c r="B26" s="8"/>
      <c r="C26" s="8"/>
      <c r="D26" s="8"/>
      <c r="E26" s="8"/>
      <c r="F26" s="8"/>
      <c r="G26" s="13"/>
      <c r="H26" s="13"/>
      <c r="I26" s="13"/>
      <c r="J26" s="13"/>
      <c r="K26" s="13"/>
      <c r="L26" s="13"/>
      <c r="M26" s="13"/>
      <c r="N26" s="14" t="str">
        <f t="shared" si="0"/>
        <v/>
      </c>
      <c r="O26" s="13"/>
      <c r="P26" s="8"/>
      <c r="Q26" s="8"/>
      <c r="R26" s="8"/>
      <c r="S26" s="10"/>
      <c r="T26" s="8"/>
    </row>
    <row r="27" spans="1:20">
      <c r="A27" s="8"/>
      <c r="B27" s="8"/>
      <c r="C27" s="8"/>
      <c r="D27" s="8"/>
      <c r="E27" s="8"/>
      <c r="F27" s="8"/>
      <c r="G27" s="13"/>
      <c r="H27" s="13"/>
      <c r="I27" s="13"/>
      <c r="J27" s="13"/>
      <c r="K27" s="13"/>
      <c r="L27" s="13"/>
      <c r="M27" s="13"/>
      <c r="N27" s="14" t="str">
        <f t="shared" si="0"/>
        <v/>
      </c>
      <c r="O27" s="13"/>
      <c r="P27" s="8"/>
      <c r="Q27" s="8"/>
      <c r="R27" s="8"/>
      <c r="S27" s="10"/>
      <c r="T27" s="8"/>
    </row>
    <row r="28" spans="1:20">
      <c r="A28" s="8"/>
      <c r="B28" s="8"/>
      <c r="C28" s="8"/>
      <c r="D28" s="8"/>
      <c r="E28" s="8"/>
      <c r="F28" s="8"/>
      <c r="G28" s="13"/>
      <c r="H28" s="13"/>
      <c r="I28" s="13"/>
      <c r="J28" s="13"/>
      <c r="K28" s="13"/>
      <c r="L28" s="13"/>
      <c r="M28" s="13"/>
      <c r="N28" s="14" t="str">
        <f t="shared" si="0"/>
        <v/>
      </c>
      <c r="O28" s="13"/>
      <c r="P28" s="8"/>
      <c r="Q28" s="8"/>
      <c r="R28" s="8"/>
      <c r="S28" s="10"/>
      <c r="T28" s="8"/>
    </row>
    <row r="29" spans="1:20">
      <c r="A29" s="8"/>
      <c r="B29" s="8"/>
      <c r="C29" s="8"/>
      <c r="D29" s="8"/>
      <c r="E29" s="8"/>
      <c r="F29" s="8"/>
      <c r="G29" s="13"/>
      <c r="H29" s="13"/>
      <c r="I29" s="13"/>
      <c r="J29" s="13"/>
      <c r="K29" s="13"/>
      <c r="L29" s="13"/>
      <c r="M29" s="13"/>
      <c r="N29" s="14" t="str">
        <f t="shared" si="0"/>
        <v/>
      </c>
      <c r="O29" s="13"/>
      <c r="P29" s="8"/>
      <c r="Q29" s="8"/>
      <c r="R29" s="8"/>
      <c r="S29" s="10"/>
      <c r="T29" s="8"/>
    </row>
    <row r="30" spans="1:20">
      <c r="A30" s="8"/>
      <c r="B30" s="8"/>
      <c r="C30" s="8"/>
      <c r="D30" s="8"/>
      <c r="E30" s="8"/>
      <c r="F30" s="8"/>
      <c r="G30" s="13"/>
      <c r="H30" s="13"/>
      <c r="I30" s="13"/>
      <c r="J30" s="13"/>
      <c r="K30" s="13"/>
      <c r="L30" s="13"/>
      <c r="M30" s="13"/>
      <c r="N30" s="14" t="str">
        <f t="shared" si="0"/>
        <v/>
      </c>
      <c r="O30" s="13"/>
      <c r="P30" s="8"/>
      <c r="Q30" s="8"/>
      <c r="R30" s="8"/>
      <c r="S30" s="10"/>
      <c r="T30" s="8"/>
    </row>
    <row r="31" spans="1:20">
      <c r="A31" s="8"/>
      <c r="B31" s="8"/>
      <c r="C31" s="8"/>
      <c r="D31" s="8"/>
      <c r="E31" s="8"/>
      <c r="F31" s="8"/>
      <c r="G31" s="13"/>
      <c r="H31" s="13"/>
      <c r="I31" s="13"/>
      <c r="J31" s="13"/>
      <c r="K31" s="13"/>
      <c r="L31" s="13"/>
      <c r="M31" s="13"/>
      <c r="N31" s="14" t="str">
        <f t="shared" si="0"/>
        <v/>
      </c>
      <c r="O31" s="13"/>
      <c r="P31" s="8"/>
      <c r="Q31" s="8"/>
      <c r="R31" s="8"/>
      <c r="S31" s="10"/>
      <c r="T31" s="8"/>
    </row>
    <row r="32" spans="1:20">
      <c r="A32" s="8"/>
      <c r="B32" s="8"/>
      <c r="C32" s="8"/>
      <c r="D32" s="8"/>
      <c r="E32" s="8"/>
      <c r="F32" s="8"/>
      <c r="G32" s="13"/>
      <c r="H32" s="13"/>
      <c r="I32" s="13"/>
      <c r="J32" s="13"/>
      <c r="K32" s="13"/>
      <c r="L32" s="13"/>
      <c r="M32" s="13"/>
      <c r="N32" s="14" t="str">
        <f t="shared" si="0"/>
        <v/>
      </c>
      <c r="O32" s="13"/>
      <c r="P32" s="8"/>
      <c r="Q32" s="8"/>
      <c r="R32" s="8"/>
      <c r="S32" s="10"/>
      <c r="T32" s="8"/>
    </row>
    <row r="33" spans="1:20">
      <c r="A33" s="8"/>
      <c r="B33" s="8"/>
      <c r="C33" s="8"/>
      <c r="D33" s="8"/>
      <c r="E33" s="8"/>
      <c r="F33" s="8"/>
      <c r="G33" s="13"/>
      <c r="H33" s="13"/>
      <c r="I33" s="13"/>
      <c r="J33" s="13"/>
      <c r="K33" s="13"/>
      <c r="L33" s="13"/>
      <c r="M33" s="13"/>
      <c r="N33" s="14" t="str">
        <f t="shared" si="0"/>
        <v/>
      </c>
      <c r="O33" s="13"/>
      <c r="P33" s="8"/>
      <c r="Q33" s="8"/>
      <c r="R33" s="8"/>
      <c r="S33" s="10"/>
      <c r="T33" s="8"/>
    </row>
    <row r="34" spans="1:20">
      <c r="A34" s="8"/>
      <c r="B34" s="8"/>
      <c r="C34" s="8"/>
      <c r="D34" s="8"/>
      <c r="E34" s="8"/>
      <c r="F34" s="8"/>
      <c r="G34" s="13"/>
      <c r="H34" s="13"/>
      <c r="I34" s="13"/>
      <c r="J34" s="13"/>
      <c r="K34" s="13"/>
      <c r="L34" s="13"/>
      <c r="M34" s="13"/>
      <c r="N34" s="14" t="str">
        <f t="shared" si="0"/>
        <v/>
      </c>
      <c r="O34" s="13"/>
      <c r="P34" s="8"/>
      <c r="Q34" s="8"/>
      <c r="R34" s="8"/>
      <c r="S34" s="10"/>
      <c r="T34" s="8"/>
    </row>
    <row r="35" spans="1:20">
      <c r="A35" s="8"/>
      <c r="B35" s="8"/>
      <c r="C35" s="8"/>
      <c r="D35" s="8"/>
      <c r="E35" s="8"/>
      <c r="F35" s="8"/>
      <c r="G35" s="13"/>
      <c r="H35" s="13"/>
      <c r="I35" s="13"/>
      <c r="J35" s="13"/>
      <c r="K35" s="13"/>
      <c r="L35" s="13"/>
      <c r="M35" s="13"/>
      <c r="N35" s="14" t="str">
        <f t="shared" si="0"/>
        <v/>
      </c>
      <c r="O35" s="13"/>
      <c r="P35" s="8"/>
      <c r="Q35" s="8"/>
      <c r="R35" s="8"/>
      <c r="S35" s="10"/>
      <c r="T35" s="8"/>
    </row>
    <row r="36" spans="1:20">
      <c r="A36" s="8"/>
      <c r="B36" s="8"/>
      <c r="C36" s="8"/>
      <c r="D36" s="8"/>
      <c r="E36" s="8"/>
      <c r="F36" s="8"/>
      <c r="G36" s="13"/>
      <c r="H36" s="13"/>
      <c r="I36" s="13"/>
      <c r="J36" s="13"/>
      <c r="K36" s="13"/>
      <c r="L36" s="13"/>
      <c r="M36" s="13"/>
      <c r="N36" s="14" t="str">
        <f t="shared" si="0"/>
        <v/>
      </c>
      <c r="O36" s="13"/>
      <c r="P36" s="8"/>
      <c r="Q36" s="8"/>
      <c r="R36" s="8"/>
      <c r="S36" s="10"/>
      <c r="T36" s="8"/>
    </row>
    <row r="37" spans="1:20">
      <c r="A37" s="8"/>
      <c r="B37" s="8"/>
      <c r="C37" s="8"/>
      <c r="D37" s="8"/>
      <c r="E37" s="8"/>
      <c r="F37" s="8"/>
      <c r="G37" s="13"/>
      <c r="H37" s="13"/>
      <c r="I37" s="13"/>
      <c r="J37" s="13"/>
      <c r="K37" s="13"/>
      <c r="L37" s="13"/>
      <c r="M37" s="13"/>
      <c r="N37" s="14" t="str">
        <f t="shared" si="0"/>
        <v/>
      </c>
      <c r="O37" s="13"/>
      <c r="P37" s="8"/>
      <c r="Q37" s="8"/>
      <c r="R37" s="8"/>
      <c r="S37" s="10"/>
      <c r="T37" s="8"/>
    </row>
    <row r="38" spans="1:20">
      <c r="A38" s="8"/>
      <c r="B38" s="8"/>
      <c r="C38" s="8"/>
      <c r="D38" s="8"/>
      <c r="E38" s="8"/>
      <c r="F38" s="8"/>
      <c r="G38" s="13"/>
      <c r="H38" s="13"/>
      <c r="I38" s="13"/>
      <c r="J38" s="13"/>
      <c r="K38" s="13"/>
      <c r="L38" s="13"/>
      <c r="M38" s="13"/>
      <c r="N38" s="14" t="str">
        <f t="shared" si="0"/>
        <v/>
      </c>
      <c r="O38" s="13"/>
      <c r="P38" s="8"/>
      <c r="Q38" s="8"/>
      <c r="R38" s="8"/>
      <c r="S38" s="10"/>
      <c r="T38" s="8"/>
    </row>
    <row r="39" spans="1:20">
      <c r="A39" s="8"/>
      <c r="B39" s="8"/>
      <c r="C39" s="8"/>
      <c r="D39" s="8"/>
      <c r="E39" s="8"/>
      <c r="F39" s="8"/>
      <c r="G39" s="13"/>
      <c r="H39" s="13"/>
      <c r="I39" s="13"/>
      <c r="J39" s="13"/>
      <c r="K39" s="13"/>
      <c r="L39" s="13"/>
      <c r="M39" s="13"/>
      <c r="N39" s="14" t="str">
        <f t="shared" si="0"/>
        <v/>
      </c>
      <c r="O39" s="13"/>
      <c r="P39" s="8"/>
      <c r="Q39" s="8"/>
      <c r="R39" s="8"/>
      <c r="S39" s="10"/>
      <c r="T39" s="8"/>
    </row>
    <row r="40" spans="1:20">
      <c r="A40" s="8"/>
      <c r="B40" s="8"/>
      <c r="C40" s="8"/>
      <c r="D40" s="8"/>
      <c r="E40" s="8"/>
      <c r="F40" s="8"/>
      <c r="G40" s="13"/>
      <c r="H40" s="13"/>
      <c r="I40" s="13"/>
      <c r="J40" s="13"/>
      <c r="K40" s="13"/>
      <c r="L40" s="13"/>
      <c r="M40" s="13"/>
      <c r="N40" s="14" t="str">
        <f t="shared" si="0"/>
        <v/>
      </c>
      <c r="O40" s="13"/>
      <c r="P40" s="8"/>
      <c r="Q40" s="8"/>
      <c r="R40" s="8"/>
      <c r="S40" s="10"/>
      <c r="T40" s="8"/>
    </row>
    <row r="41" spans="1:20">
      <c r="A41" s="8"/>
      <c r="B41" s="8"/>
      <c r="C41" s="8"/>
      <c r="D41" s="8"/>
      <c r="E41" s="8"/>
      <c r="F41" s="8"/>
      <c r="G41" s="13"/>
      <c r="H41" s="13"/>
      <c r="I41" s="13"/>
      <c r="J41" s="13"/>
      <c r="K41" s="13"/>
      <c r="L41" s="13"/>
      <c r="M41" s="13"/>
      <c r="N41" s="14" t="str">
        <f t="shared" si="0"/>
        <v/>
      </c>
      <c r="O41" s="13"/>
      <c r="P41" s="8"/>
      <c r="Q41" s="8"/>
      <c r="R41" s="8"/>
      <c r="S41" s="10"/>
      <c r="T41" s="8"/>
    </row>
    <row r="42" spans="1:20">
      <c r="A42" s="8"/>
      <c r="B42" s="8"/>
      <c r="C42" s="8"/>
      <c r="D42" s="8"/>
      <c r="E42" s="8"/>
      <c r="F42" s="8"/>
      <c r="G42" s="13"/>
      <c r="H42" s="13"/>
      <c r="I42" s="13"/>
      <c r="J42" s="13"/>
      <c r="K42" s="13"/>
      <c r="L42" s="13"/>
      <c r="M42" s="13"/>
      <c r="N42" s="14" t="str">
        <f t="shared" si="0"/>
        <v/>
      </c>
      <c r="O42" s="13"/>
      <c r="P42" s="8"/>
      <c r="Q42" s="8"/>
      <c r="R42" s="8"/>
      <c r="S42" s="10"/>
      <c r="T42" s="8"/>
    </row>
    <row r="43" spans="1:20">
      <c r="A43" s="8"/>
      <c r="B43" s="8"/>
      <c r="C43" s="8"/>
      <c r="D43" s="8"/>
      <c r="E43" s="8"/>
      <c r="F43" s="8"/>
      <c r="G43" s="13"/>
      <c r="H43" s="13"/>
      <c r="I43" s="13"/>
      <c r="J43" s="13"/>
      <c r="K43" s="13"/>
      <c r="L43" s="13"/>
      <c r="M43" s="13"/>
      <c r="N43" s="14" t="str">
        <f t="shared" si="0"/>
        <v/>
      </c>
      <c r="O43" s="13"/>
      <c r="P43" s="8"/>
      <c r="Q43" s="8"/>
      <c r="R43" s="8"/>
      <c r="S43" s="10"/>
      <c r="T43" s="8"/>
    </row>
    <row r="44" spans="1:20">
      <c r="A44" s="8"/>
      <c r="B44" s="8"/>
      <c r="C44" s="8"/>
      <c r="D44" s="8"/>
      <c r="E44" s="8"/>
      <c r="F44" s="8"/>
      <c r="G44" s="13"/>
      <c r="H44" s="13"/>
      <c r="I44" s="13"/>
      <c r="J44" s="13"/>
      <c r="K44" s="13"/>
      <c r="L44" s="13"/>
      <c r="M44" s="13"/>
      <c r="N44" s="14" t="str">
        <f t="shared" si="0"/>
        <v/>
      </c>
      <c r="O44" s="13"/>
      <c r="P44" s="8"/>
      <c r="Q44" s="8"/>
      <c r="R44" s="8"/>
      <c r="S44" s="10"/>
      <c r="T44" s="8"/>
    </row>
    <row r="45" spans="1:20">
      <c r="A45" s="8"/>
      <c r="B45" s="8"/>
      <c r="C45" s="8"/>
      <c r="D45" s="8"/>
      <c r="E45" s="8"/>
      <c r="F45" s="8"/>
      <c r="G45" s="13"/>
      <c r="H45" s="13"/>
      <c r="I45" s="13"/>
      <c r="J45" s="13"/>
      <c r="K45" s="13"/>
      <c r="L45" s="13"/>
      <c r="M45" s="13"/>
      <c r="N45" s="14" t="str">
        <f t="shared" si="0"/>
        <v/>
      </c>
      <c r="O45" s="13"/>
      <c r="P45" s="8"/>
      <c r="Q45" s="8"/>
      <c r="R45" s="8"/>
      <c r="S45" s="10"/>
      <c r="T45" s="8"/>
    </row>
    <row r="46" spans="1:20">
      <c r="A46" s="8"/>
      <c r="B46" s="8"/>
      <c r="C46" s="8"/>
      <c r="D46" s="8"/>
      <c r="E46" s="8"/>
      <c r="F46" s="8"/>
      <c r="G46" s="13"/>
      <c r="H46" s="13"/>
      <c r="I46" s="13"/>
      <c r="J46" s="13"/>
      <c r="K46" s="13"/>
      <c r="L46" s="13"/>
      <c r="M46" s="13"/>
      <c r="N46" s="14" t="str">
        <f t="shared" si="0"/>
        <v/>
      </c>
      <c r="O46" s="13"/>
      <c r="P46" s="8"/>
      <c r="Q46" s="8"/>
      <c r="R46" s="8"/>
      <c r="S46" s="10"/>
      <c r="T46" s="8"/>
    </row>
    <row r="47" spans="1:20">
      <c r="A47" s="8"/>
      <c r="B47" s="8"/>
      <c r="C47" s="8"/>
      <c r="D47" s="8"/>
      <c r="E47" s="8"/>
      <c r="F47" s="8"/>
      <c r="G47" s="13"/>
      <c r="H47" s="13"/>
      <c r="I47" s="13"/>
      <c r="J47" s="13"/>
      <c r="K47" s="13"/>
      <c r="L47" s="13"/>
      <c r="M47" s="13"/>
      <c r="N47" s="14" t="str">
        <f t="shared" si="0"/>
        <v/>
      </c>
      <c r="O47" s="13"/>
      <c r="P47" s="8"/>
      <c r="Q47" s="8"/>
      <c r="R47" s="8"/>
      <c r="S47" s="10"/>
      <c r="T47" s="8"/>
    </row>
    <row r="48" spans="1:20">
      <c r="A48" s="8"/>
      <c r="B48" s="8"/>
      <c r="C48" s="8"/>
      <c r="D48" s="8"/>
      <c r="E48" s="8"/>
      <c r="F48" s="8"/>
      <c r="G48" s="13"/>
      <c r="H48" s="13"/>
      <c r="I48" s="13"/>
      <c r="J48" s="13"/>
      <c r="K48" s="13"/>
      <c r="L48" s="13"/>
      <c r="M48" s="13"/>
      <c r="N48" s="14" t="str">
        <f t="shared" si="0"/>
        <v/>
      </c>
      <c r="O48" s="13"/>
      <c r="P48" s="8"/>
      <c r="Q48" s="8"/>
      <c r="R48" s="8"/>
      <c r="S48" s="10"/>
      <c r="T48" s="8"/>
    </row>
    <row r="49" spans="1:20">
      <c r="A49" s="8"/>
      <c r="B49" s="8"/>
      <c r="C49" s="8"/>
      <c r="D49" s="8"/>
      <c r="E49" s="8"/>
      <c r="F49" s="8"/>
      <c r="G49" s="13"/>
      <c r="H49" s="13"/>
      <c r="I49" s="13"/>
      <c r="J49" s="13"/>
      <c r="K49" s="13"/>
      <c r="L49" s="13"/>
      <c r="M49" s="13"/>
      <c r="N49" s="14" t="str">
        <f t="shared" si="0"/>
        <v/>
      </c>
      <c r="O49" s="13"/>
      <c r="P49" s="8"/>
      <c r="Q49" s="8"/>
      <c r="R49" s="8"/>
      <c r="S49" s="10"/>
      <c r="T49" s="8"/>
    </row>
    <row r="50" spans="1:20">
      <c r="A50" s="8"/>
      <c r="B50" s="8"/>
      <c r="C50" s="8"/>
      <c r="D50" s="8"/>
      <c r="E50" s="8"/>
      <c r="F50" s="8"/>
      <c r="G50" s="13"/>
      <c r="H50" s="13"/>
      <c r="I50" s="13"/>
      <c r="J50" s="13"/>
      <c r="K50" s="13"/>
      <c r="L50" s="13"/>
      <c r="M50" s="13"/>
      <c r="N50" s="14" t="str">
        <f t="shared" si="0"/>
        <v/>
      </c>
      <c r="O50" s="13"/>
      <c r="P50" s="8"/>
      <c r="Q50" s="8"/>
      <c r="R50" s="8"/>
      <c r="S50" s="10"/>
      <c r="T50" s="8"/>
    </row>
    <row r="51" spans="1:20">
      <c r="A51" s="8"/>
      <c r="B51" s="8"/>
      <c r="C51" s="8"/>
      <c r="D51" s="8"/>
      <c r="E51" s="8"/>
      <c r="F51" s="8"/>
      <c r="G51" s="13"/>
      <c r="H51" s="13"/>
      <c r="I51" s="13"/>
      <c r="J51" s="13"/>
      <c r="K51" s="13"/>
      <c r="L51" s="13"/>
      <c r="M51" s="13"/>
      <c r="N51" s="14" t="str">
        <f t="shared" si="0"/>
        <v/>
      </c>
      <c r="O51" s="13"/>
      <c r="P51" s="8"/>
      <c r="Q51" s="8"/>
      <c r="R51" s="8"/>
      <c r="S51" s="10"/>
      <c r="T51" s="8"/>
    </row>
    <row r="52" spans="1:20">
      <c r="A52" s="8"/>
      <c r="B52" s="8"/>
      <c r="C52" s="8"/>
      <c r="D52" s="8"/>
      <c r="E52" s="8"/>
      <c r="F52" s="8"/>
      <c r="G52" s="13"/>
      <c r="H52" s="13"/>
      <c r="I52" s="13"/>
      <c r="J52" s="13"/>
      <c r="K52" s="13"/>
      <c r="L52" s="13"/>
      <c r="M52" s="13"/>
      <c r="N52" s="14" t="str">
        <f t="shared" si="0"/>
        <v/>
      </c>
      <c r="O52" s="13"/>
      <c r="P52" s="8"/>
      <c r="Q52" s="8"/>
      <c r="R52" s="8"/>
      <c r="S52" s="10"/>
      <c r="T52" s="8"/>
    </row>
    <row r="53" spans="1:20">
      <c r="A53" s="8"/>
      <c r="B53" s="8"/>
      <c r="C53" s="8"/>
      <c r="D53" s="8"/>
      <c r="E53" s="8"/>
      <c r="F53" s="8"/>
      <c r="G53" s="13"/>
      <c r="H53" s="13"/>
      <c r="I53" s="13"/>
      <c r="J53" s="13"/>
      <c r="K53" s="13"/>
      <c r="L53" s="13"/>
      <c r="M53" s="13"/>
      <c r="N53" s="14" t="str">
        <f t="shared" si="0"/>
        <v/>
      </c>
      <c r="O53" s="13"/>
      <c r="P53" s="8"/>
      <c r="Q53" s="8"/>
      <c r="R53" s="8"/>
      <c r="S53" s="10"/>
      <c r="T53" s="8"/>
    </row>
    <row r="54" spans="1:20">
      <c r="A54" s="8"/>
      <c r="B54" s="8"/>
      <c r="C54" s="8"/>
      <c r="D54" s="8"/>
      <c r="E54" s="8"/>
      <c r="F54" s="8"/>
      <c r="G54" s="13"/>
      <c r="H54" s="13"/>
      <c r="I54" s="13"/>
      <c r="J54" s="13"/>
      <c r="K54" s="13"/>
      <c r="L54" s="13"/>
      <c r="M54" s="13"/>
      <c r="N54" s="14" t="str">
        <f t="shared" si="0"/>
        <v/>
      </c>
      <c r="O54" s="13"/>
      <c r="P54" s="8"/>
      <c r="Q54" s="8"/>
      <c r="R54" s="8"/>
      <c r="S54" s="10"/>
      <c r="T54" s="8"/>
    </row>
    <row r="55" spans="1:20">
      <c r="A55" s="8"/>
      <c r="B55" s="8"/>
      <c r="C55" s="8"/>
      <c r="D55" s="8"/>
      <c r="E55" s="8"/>
      <c r="F55" s="8"/>
      <c r="G55" s="13"/>
      <c r="H55" s="13"/>
      <c r="I55" s="13"/>
      <c r="J55" s="13"/>
      <c r="K55" s="13"/>
      <c r="L55" s="13"/>
      <c r="M55" s="13"/>
      <c r="N55" s="14" t="str">
        <f t="shared" si="0"/>
        <v/>
      </c>
      <c r="O55" s="13"/>
      <c r="P55" s="8"/>
      <c r="Q55" s="8"/>
      <c r="R55" s="8"/>
      <c r="S55" s="10"/>
      <c r="T55" s="8"/>
    </row>
    <row r="56" spans="1:20">
      <c r="A56" s="8"/>
      <c r="B56" s="8"/>
      <c r="C56" s="8"/>
      <c r="D56" s="8"/>
      <c r="E56" s="8"/>
      <c r="F56" s="8"/>
      <c r="G56" s="13"/>
      <c r="H56" s="13"/>
      <c r="I56" s="13"/>
      <c r="J56" s="13"/>
      <c r="K56" s="13"/>
      <c r="L56" s="13"/>
      <c r="M56" s="13"/>
      <c r="N56" s="14" t="str">
        <f t="shared" si="0"/>
        <v/>
      </c>
      <c r="O56" s="13"/>
      <c r="P56" s="8"/>
      <c r="Q56" s="8"/>
      <c r="R56" s="8"/>
      <c r="S56" s="10"/>
      <c r="T56" s="8"/>
    </row>
    <row r="57" spans="1:20">
      <c r="A57" s="8"/>
      <c r="B57" s="8"/>
      <c r="C57" s="8"/>
      <c r="D57" s="8"/>
      <c r="E57" s="8"/>
      <c r="F57" s="8"/>
      <c r="G57" s="13"/>
      <c r="H57" s="13"/>
      <c r="I57" s="13"/>
      <c r="J57" s="13"/>
      <c r="K57" s="13"/>
      <c r="L57" s="13"/>
      <c r="M57" s="13"/>
      <c r="N57" s="14" t="str">
        <f t="shared" si="0"/>
        <v/>
      </c>
      <c r="O57" s="13"/>
      <c r="P57" s="8"/>
      <c r="Q57" s="8"/>
      <c r="R57" s="8"/>
      <c r="S57" s="10"/>
      <c r="T57" s="8"/>
    </row>
    <row r="58" spans="1:20">
      <c r="A58" s="8"/>
      <c r="B58" s="8"/>
      <c r="C58" s="8"/>
      <c r="D58" s="8"/>
      <c r="E58" s="8"/>
      <c r="F58" s="8"/>
      <c r="G58" s="13"/>
      <c r="H58" s="13"/>
      <c r="I58" s="13"/>
      <c r="J58" s="13"/>
      <c r="K58" s="13"/>
      <c r="L58" s="13"/>
      <c r="M58" s="13"/>
      <c r="N58" s="14" t="str">
        <f t="shared" si="0"/>
        <v/>
      </c>
      <c r="O58" s="13"/>
      <c r="P58" s="8"/>
      <c r="Q58" s="8"/>
      <c r="R58" s="8"/>
      <c r="S58" s="10"/>
      <c r="T58" s="8"/>
    </row>
    <row r="59" spans="1:20">
      <c r="A59" s="8"/>
      <c r="B59" s="8"/>
      <c r="C59" s="8"/>
      <c r="D59" s="8"/>
      <c r="E59" s="8"/>
      <c r="F59" s="8"/>
      <c r="G59" s="13"/>
      <c r="H59" s="13"/>
      <c r="I59" s="13"/>
      <c r="J59" s="13"/>
      <c r="K59" s="13"/>
      <c r="L59" s="13"/>
      <c r="M59" s="13"/>
      <c r="N59" s="14" t="str">
        <f t="shared" si="0"/>
        <v/>
      </c>
      <c r="O59" s="13"/>
      <c r="P59" s="8"/>
      <c r="Q59" s="8"/>
      <c r="R59" s="8"/>
      <c r="S59" s="10"/>
      <c r="T59" s="8"/>
    </row>
    <row r="60" spans="1:20">
      <c r="A60" s="8"/>
      <c r="B60" s="8"/>
      <c r="C60" s="8"/>
      <c r="D60" s="8"/>
      <c r="E60" s="8"/>
      <c r="F60" s="8"/>
      <c r="G60" s="13"/>
      <c r="H60" s="13"/>
      <c r="I60" s="13"/>
      <c r="J60" s="13"/>
      <c r="K60" s="13"/>
      <c r="L60" s="13"/>
      <c r="M60" s="13"/>
      <c r="N60" s="14" t="str">
        <f t="shared" si="0"/>
        <v/>
      </c>
      <c r="O60" s="13"/>
      <c r="P60" s="8"/>
      <c r="Q60" s="8"/>
      <c r="R60" s="8"/>
      <c r="S60" s="10"/>
      <c r="T60" s="8"/>
    </row>
    <row r="61" spans="1:20">
      <c r="A61" s="8"/>
      <c r="B61" s="8"/>
      <c r="C61" s="8"/>
      <c r="D61" s="8"/>
      <c r="E61" s="8"/>
      <c r="F61" s="8"/>
      <c r="G61" s="13"/>
      <c r="H61" s="13"/>
      <c r="I61" s="13"/>
      <c r="J61" s="13"/>
      <c r="K61" s="13"/>
      <c r="L61" s="13"/>
      <c r="M61" s="13"/>
      <c r="N61" s="14" t="str">
        <f t="shared" si="0"/>
        <v/>
      </c>
      <c r="O61" s="13"/>
      <c r="P61" s="8"/>
      <c r="Q61" s="8"/>
      <c r="R61" s="8"/>
      <c r="S61" s="10"/>
      <c r="T61" s="8"/>
    </row>
    <row r="62" spans="1:20">
      <c r="A62" s="8"/>
      <c r="B62" s="8"/>
      <c r="C62" s="8"/>
      <c r="D62" s="8"/>
      <c r="E62" s="8"/>
      <c r="F62" s="8"/>
      <c r="G62" s="13"/>
      <c r="H62" s="13"/>
      <c r="I62" s="13"/>
      <c r="J62" s="13"/>
      <c r="K62" s="13"/>
      <c r="L62" s="13"/>
      <c r="M62" s="13"/>
      <c r="N62" s="14" t="str">
        <f t="shared" si="0"/>
        <v/>
      </c>
      <c r="O62" s="13"/>
      <c r="P62" s="8"/>
      <c r="Q62" s="8"/>
      <c r="R62" s="8"/>
      <c r="S62" s="10"/>
      <c r="T62" s="8"/>
    </row>
    <row r="63" spans="1:20">
      <c r="A63" s="8"/>
      <c r="B63" s="8"/>
      <c r="C63" s="8"/>
      <c r="D63" s="8"/>
      <c r="E63" s="8"/>
      <c r="F63" s="8"/>
      <c r="G63" s="13"/>
      <c r="H63" s="13"/>
      <c r="I63" s="13"/>
      <c r="J63" s="13"/>
      <c r="K63" s="13"/>
      <c r="L63" s="13"/>
      <c r="M63" s="13"/>
      <c r="N63" s="14" t="str">
        <f t="shared" si="0"/>
        <v/>
      </c>
      <c r="O63" s="13"/>
      <c r="P63" s="8"/>
      <c r="Q63" s="8"/>
      <c r="R63" s="8"/>
      <c r="S63" s="10"/>
      <c r="T63" s="8"/>
    </row>
    <row r="64" spans="1:20">
      <c r="A64" s="8"/>
      <c r="B64" s="8"/>
      <c r="C64" s="8"/>
      <c r="D64" s="8"/>
      <c r="E64" s="8"/>
      <c r="F64" s="8"/>
      <c r="G64" s="13"/>
      <c r="H64" s="13"/>
      <c r="I64" s="13"/>
      <c r="J64" s="13"/>
      <c r="K64" s="13"/>
      <c r="L64" s="13"/>
      <c r="M64" s="13"/>
      <c r="N64" s="14" t="str">
        <f t="shared" si="0"/>
        <v/>
      </c>
      <c r="O64" s="13"/>
      <c r="P64" s="8"/>
      <c r="Q64" s="8"/>
      <c r="R64" s="8"/>
      <c r="S64" s="10"/>
      <c r="T64" s="8"/>
    </row>
    <row r="65" spans="1:20">
      <c r="A65" s="8"/>
      <c r="B65" s="8"/>
      <c r="C65" s="8"/>
      <c r="D65" s="8"/>
      <c r="E65" s="8"/>
      <c r="F65" s="8"/>
      <c r="G65" s="13"/>
      <c r="H65" s="13"/>
      <c r="I65" s="13"/>
      <c r="J65" s="13"/>
      <c r="K65" s="13"/>
      <c r="L65" s="13"/>
      <c r="M65" s="13"/>
      <c r="N65" s="14" t="str">
        <f t="shared" si="0"/>
        <v/>
      </c>
      <c r="O65" s="13"/>
      <c r="P65" s="8"/>
      <c r="Q65" s="8"/>
      <c r="R65" s="8"/>
      <c r="S65" s="10"/>
      <c r="T65" s="8"/>
    </row>
    <row r="66" spans="1:20">
      <c r="A66" s="8"/>
      <c r="B66" s="8"/>
      <c r="C66" s="8"/>
      <c r="D66" s="8"/>
      <c r="E66" s="8"/>
      <c r="F66" s="8"/>
      <c r="G66" s="13"/>
      <c r="H66" s="13"/>
      <c r="I66" s="13"/>
      <c r="J66" s="13"/>
      <c r="K66" s="13"/>
      <c r="L66" s="13"/>
      <c r="M66" s="13"/>
      <c r="N66" s="14" t="str">
        <f t="shared" si="0"/>
        <v/>
      </c>
      <c r="O66" s="13"/>
      <c r="P66" s="8"/>
      <c r="Q66" s="8"/>
      <c r="R66" s="8"/>
      <c r="S66" s="10"/>
      <c r="T66" s="8"/>
    </row>
    <row r="67" spans="1:20">
      <c r="A67" s="8"/>
      <c r="B67" s="8"/>
      <c r="C67" s="8"/>
      <c r="D67" s="8"/>
      <c r="E67" s="8"/>
      <c r="F67" s="8"/>
      <c r="G67" s="13"/>
      <c r="H67" s="13"/>
      <c r="I67" s="13"/>
      <c r="J67" s="13"/>
      <c r="K67" s="13"/>
      <c r="L67" s="13"/>
      <c r="M67" s="13"/>
      <c r="N67" s="14" t="str">
        <f t="shared" si="0"/>
        <v/>
      </c>
      <c r="O67" s="13"/>
      <c r="P67" s="8"/>
      <c r="Q67" s="8"/>
      <c r="R67" s="8"/>
      <c r="S67" s="10"/>
      <c r="T67" s="8"/>
    </row>
    <row r="68" spans="1:20">
      <c r="A68" s="8"/>
      <c r="B68" s="8"/>
      <c r="C68" s="8"/>
      <c r="D68" s="8"/>
      <c r="E68" s="8"/>
      <c r="F68" s="8"/>
      <c r="G68" s="13"/>
      <c r="H68" s="13"/>
      <c r="I68" s="13"/>
      <c r="J68" s="13"/>
      <c r="K68" s="13"/>
      <c r="L68" s="13"/>
      <c r="M68" s="13"/>
      <c r="N68" s="14" t="str">
        <f t="shared" si="0"/>
        <v/>
      </c>
      <c r="O68" s="13"/>
      <c r="P68" s="8"/>
      <c r="Q68" s="8"/>
      <c r="R68" s="8"/>
      <c r="S68" s="10"/>
      <c r="T68" s="8"/>
    </row>
    <row r="69" spans="1:20">
      <c r="A69" s="8"/>
      <c r="B69" s="8"/>
      <c r="C69" s="8"/>
      <c r="D69" s="8"/>
      <c r="E69" s="8"/>
      <c r="F69" s="8"/>
      <c r="G69" s="13"/>
      <c r="H69" s="13"/>
      <c r="I69" s="13"/>
      <c r="J69" s="13"/>
      <c r="K69" s="13"/>
      <c r="L69" s="13"/>
      <c r="M69" s="13"/>
      <c r="N69" s="14" t="str">
        <f t="shared" ref="N69:N132" si="1">IF(A69="","",MAX(0,H69-K69-L69+M69))</f>
        <v/>
      </c>
      <c r="O69" s="13"/>
      <c r="P69" s="8"/>
      <c r="Q69" s="8"/>
      <c r="R69" s="8"/>
      <c r="S69" s="10"/>
      <c r="T69" s="8"/>
    </row>
    <row r="70" spans="1:20">
      <c r="A70" s="8"/>
      <c r="B70" s="8"/>
      <c r="C70" s="8"/>
      <c r="D70" s="8"/>
      <c r="E70" s="8"/>
      <c r="F70" s="8"/>
      <c r="G70" s="13"/>
      <c r="H70" s="13"/>
      <c r="I70" s="13"/>
      <c r="J70" s="13"/>
      <c r="K70" s="13"/>
      <c r="L70" s="13"/>
      <c r="M70" s="13"/>
      <c r="N70" s="14" t="str">
        <f t="shared" si="1"/>
        <v/>
      </c>
      <c r="O70" s="13"/>
      <c r="P70" s="8"/>
      <c r="Q70" s="8"/>
      <c r="R70" s="8"/>
      <c r="S70" s="10"/>
      <c r="T70" s="8"/>
    </row>
    <row r="71" spans="1:20">
      <c r="A71" s="8"/>
      <c r="B71" s="8"/>
      <c r="C71" s="8"/>
      <c r="D71" s="8"/>
      <c r="E71" s="8"/>
      <c r="F71" s="8"/>
      <c r="G71" s="13"/>
      <c r="H71" s="13"/>
      <c r="I71" s="13"/>
      <c r="J71" s="13"/>
      <c r="K71" s="13"/>
      <c r="L71" s="13"/>
      <c r="M71" s="13"/>
      <c r="N71" s="14" t="str">
        <f t="shared" si="1"/>
        <v/>
      </c>
      <c r="O71" s="13"/>
      <c r="P71" s="8"/>
      <c r="Q71" s="8"/>
      <c r="R71" s="8"/>
      <c r="S71" s="10"/>
      <c r="T71" s="8"/>
    </row>
    <row r="72" spans="1:20">
      <c r="A72" s="8"/>
      <c r="B72" s="8"/>
      <c r="C72" s="8"/>
      <c r="D72" s="8"/>
      <c r="E72" s="8"/>
      <c r="F72" s="8"/>
      <c r="G72" s="13"/>
      <c r="H72" s="13"/>
      <c r="I72" s="13"/>
      <c r="J72" s="13"/>
      <c r="K72" s="13"/>
      <c r="L72" s="13"/>
      <c r="M72" s="13"/>
      <c r="N72" s="14" t="str">
        <f t="shared" si="1"/>
        <v/>
      </c>
      <c r="O72" s="13"/>
      <c r="P72" s="8"/>
      <c r="Q72" s="8"/>
      <c r="R72" s="8"/>
      <c r="S72" s="10"/>
      <c r="T72" s="8"/>
    </row>
    <row r="73" spans="1:20">
      <c r="A73" s="8"/>
      <c r="B73" s="8"/>
      <c r="C73" s="8"/>
      <c r="D73" s="8"/>
      <c r="E73" s="8"/>
      <c r="F73" s="8"/>
      <c r="G73" s="13"/>
      <c r="H73" s="13"/>
      <c r="I73" s="13"/>
      <c r="J73" s="13"/>
      <c r="K73" s="13"/>
      <c r="L73" s="13"/>
      <c r="M73" s="13"/>
      <c r="N73" s="14" t="str">
        <f t="shared" si="1"/>
        <v/>
      </c>
      <c r="O73" s="13"/>
      <c r="P73" s="8"/>
      <c r="Q73" s="8"/>
      <c r="R73" s="8"/>
      <c r="S73" s="10"/>
      <c r="T73" s="8"/>
    </row>
    <row r="74" spans="1:20">
      <c r="A74" s="8"/>
      <c r="B74" s="8"/>
      <c r="C74" s="8"/>
      <c r="D74" s="8"/>
      <c r="E74" s="8"/>
      <c r="F74" s="8"/>
      <c r="G74" s="13"/>
      <c r="H74" s="13"/>
      <c r="I74" s="13"/>
      <c r="J74" s="13"/>
      <c r="K74" s="13"/>
      <c r="L74" s="13"/>
      <c r="M74" s="13"/>
      <c r="N74" s="14" t="str">
        <f t="shared" si="1"/>
        <v/>
      </c>
      <c r="O74" s="13"/>
      <c r="P74" s="8"/>
      <c r="Q74" s="8"/>
      <c r="R74" s="8"/>
      <c r="S74" s="10"/>
      <c r="T74" s="8"/>
    </row>
    <row r="75" spans="1:20">
      <c r="A75" s="8"/>
      <c r="B75" s="8"/>
      <c r="C75" s="8"/>
      <c r="D75" s="8"/>
      <c r="E75" s="8"/>
      <c r="F75" s="8"/>
      <c r="G75" s="13"/>
      <c r="H75" s="13"/>
      <c r="I75" s="13"/>
      <c r="J75" s="13"/>
      <c r="K75" s="13"/>
      <c r="L75" s="13"/>
      <c r="M75" s="13"/>
      <c r="N75" s="14" t="str">
        <f t="shared" si="1"/>
        <v/>
      </c>
      <c r="O75" s="13"/>
      <c r="P75" s="8"/>
      <c r="Q75" s="8"/>
      <c r="R75" s="8"/>
      <c r="S75" s="10"/>
      <c r="T75" s="8"/>
    </row>
    <row r="76" spans="1:20">
      <c r="A76" s="8"/>
      <c r="B76" s="8"/>
      <c r="C76" s="8"/>
      <c r="D76" s="8"/>
      <c r="E76" s="8"/>
      <c r="F76" s="8"/>
      <c r="G76" s="13"/>
      <c r="H76" s="13"/>
      <c r="I76" s="13"/>
      <c r="J76" s="13"/>
      <c r="K76" s="13"/>
      <c r="L76" s="13"/>
      <c r="M76" s="13"/>
      <c r="N76" s="14" t="str">
        <f t="shared" si="1"/>
        <v/>
      </c>
      <c r="O76" s="13"/>
      <c r="P76" s="8"/>
      <c r="Q76" s="8"/>
      <c r="R76" s="8"/>
      <c r="S76" s="10"/>
      <c r="T76" s="8"/>
    </row>
    <row r="77" spans="1:20">
      <c r="A77" s="8"/>
      <c r="B77" s="8"/>
      <c r="C77" s="8"/>
      <c r="D77" s="8"/>
      <c r="E77" s="8"/>
      <c r="F77" s="8"/>
      <c r="G77" s="13"/>
      <c r="H77" s="13"/>
      <c r="I77" s="13"/>
      <c r="J77" s="13"/>
      <c r="K77" s="13"/>
      <c r="L77" s="13"/>
      <c r="M77" s="13"/>
      <c r="N77" s="14" t="str">
        <f t="shared" si="1"/>
        <v/>
      </c>
      <c r="O77" s="13"/>
      <c r="P77" s="8"/>
      <c r="Q77" s="8"/>
      <c r="R77" s="8"/>
      <c r="S77" s="10"/>
      <c r="T77" s="8"/>
    </row>
    <row r="78" spans="1:20">
      <c r="A78" s="8"/>
      <c r="B78" s="8"/>
      <c r="C78" s="8"/>
      <c r="D78" s="8"/>
      <c r="E78" s="8"/>
      <c r="F78" s="8"/>
      <c r="G78" s="13"/>
      <c r="H78" s="13"/>
      <c r="I78" s="13"/>
      <c r="J78" s="13"/>
      <c r="K78" s="13"/>
      <c r="L78" s="13"/>
      <c r="M78" s="13"/>
      <c r="N78" s="14" t="str">
        <f t="shared" si="1"/>
        <v/>
      </c>
      <c r="O78" s="13"/>
      <c r="P78" s="8"/>
      <c r="Q78" s="8"/>
      <c r="R78" s="8"/>
      <c r="S78" s="10"/>
      <c r="T78" s="8"/>
    </row>
    <row r="79" spans="1:20">
      <c r="A79" s="8"/>
      <c r="B79" s="8"/>
      <c r="C79" s="8"/>
      <c r="D79" s="8"/>
      <c r="E79" s="8"/>
      <c r="F79" s="8"/>
      <c r="G79" s="13"/>
      <c r="H79" s="13"/>
      <c r="I79" s="13"/>
      <c r="J79" s="13"/>
      <c r="K79" s="13"/>
      <c r="L79" s="13"/>
      <c r="M79" s="13"/>
      <c r="N79" s="14" t="str">
        <f t="shared" si="1"/>
        <v/>
      </c>
      <c r="O79" s="13"/>
      <c r="P79" s="8"/>
      <c r="Q79" s="8"/>
      <c r="R79" s="8"/>
      <c r="S79" s="10"/>
      <c r="T79" s="8"/>
    </row>
    <row r="80" spans="1:20">
      <c r="A80" s="8"/>
      <c r="B80" s="8"/>
      <c r="C80" s="8"/>
      <c r="D80" s="8"/>
      <c r="E80" s="8"/>
      <c r="F80" s="8"/>
      <c r="G80" s="13"/>
      <c r="H80" s="13"/>
      <c r="I80" s="13"/>
      <c r="J80" s="13"/>
      <c r="K80" s="13"/>
      <c r="L80" s="13"/>
      <c r="M80" s="13"/>
      <c r="N80" s="14" t="str">
        <f t="shared" si="1"/>
        <v/>
      </c>
      <c r="O80" s="13"/>
      <c r="P80" s="8"/>
      <c r="Q80" s="8"/>
      <c r="R80" s="8"/>
      <c r="S80" s="10"/>
      <c r="T80" s="8"/>
    </row>
    <row r="81" spans="1:20">
      <c r="A81" s="8"/>
      <c r="B81" s="8"/>
      <c r="C81" s="8"/>
      <c r="D81" s="8"/>
      <c r="E81" s="8"/>
      <c r="F81" s="8"/>
      <c r="G81" s="13"/>
      <c r="H81" s="13"/>
      <c r="I81" s="13"/>
      <c r="J81" s="13"/>
      <c r="K81" s="13"/>
      <c r="L81" s="13"/>
      <c r="M81" s="13"/>
      <c r="N81" s="14" t="str">
        <f t="shared" si="1"/>
        <v/>
      </c>
      <c r="O81" s="13"/>
      <c r="P81" s="8"/>
      <c r="Q81" s="8"/>
      <c r="R81" s="8"/>
      <c r="S81" s="10"/>
      <c r="T81" s="8"/>
    </row>
    <row r="82" spans="1:20">
      <c r="A82" s="8"/>
      <c r="B82" s="8"/>
      <c r="C82" s="8"/>
      <c r="D82" s="8"/>
      <c r="E82" s="8"/>
      <c r="F82" s="8"/>
      <c r="G82" s="13"/>
      <c r="H82" s="13"/>
      <c r="I82" s="13"/>
      <c r="J82" s="13"/>
      <c r="K82" s="13"/>
      <c r="L82" s="13"/>
      <c r="M82" s="13"/>
      <c r="N82" s="14" t="str">
        <f t="shared" si="1"/>
        <v/>
      </c>
      <c r="O82" s="13"/>
      <c r="P82" s="8"/>
      <c r="Q82" s="8"/>
      <c r="R82" s="8"/>
      <c r="S82" s="10"/>
      <c r="T82" s="8"/>
    </row>
    <row r="83" spans="1:20">
      <c r="A83" s="8"/>
      <c r="B83" s="8"/>
      <c r="C83" s="8"/>
      <c r="D83" s="8"/>
      <c r="E83" s="8"/>
      <c r="F83" s="8"/>
      <c r="G83" s="13"/>
      <c r="H83" s="13"/>
      <c r="I83" s="13"/>
      <c r="J83" s="13"/>
      <c r="K83" s="13"/>
      <c r="L83" s="13"/>
      <c r="M83" s="13"/>
      <c r="N83" s="14" t="str">
        <f t="shared" si="1"/>
        <v/>
      </c>
      <c r="O83" s="13"/>
      <c r="P83" s="8"/>
      <c r="Q83" s="8"/>
      <c r="R83" s="8"/>
      <c r="S83" s="10"/>
      <c r="T83" s="8"/>
    </row>
    <row r="84" spans="1:20">
      <c r="A84" s="8"/>
      <c r="B84" s="8"/>
      <c r="C84" s="8"/>
      <c r="D84" s="8"/>
      <c r="E84" s="8"/>
      <c r="F84" s="8"/>
      <c r="G84" s="13"/>
      <c r="H84" s="13"/>
      <c r="I84" s="13"/>
      <c r="J84" s="13"/>
      <c r="K84" s="13"/>
      <c r="L84" s="13"/>
      <c r="M84" s="13"/>
      <c r="N84" s="14" t="str">
        <f t="shared" si="1"/>
        <v/>
      </c>
      <c r="O84" s="13"/>
      <c r="P84" s="8"/>
      <c r="Q84" s="8"/>
      <c r="R84" s="8"/>
      <c r="S84" s="10"/>
      <c r="T84" s="8"/>
    </row>
    <row r="85" spans="1:20">
      <c r="A85" s="8"/>
      <c r="B85" s="8"/>
      <c r="C85" s="8"/>
      <c r="D85" s="8"/>
      <c r="E85" s="8"/>
      <c r="F85" s="8"/>
      <c r="G85" s="13"/>
      <c r="H85" s="13"/>
      <c r="I85" s="13"/>
      <c r="J85" s="13"/>
      <c r="K85" s="13"/>
      <c r="L85" s="13"/>
      <c r="M85" s="13"/>
      <c r="N85" s="14" t="str">
        <f t="shared" si="1"/>
        <v/>
      </c>
      <c r="O85" s="13"/>
      <c r="P85" s="8"/>
      <c r="Q85" s="8"/>
      <c r="R85" s="8"/>
      <c r="S85" s="10"/>
      <c r="T85" s="8"/>
    </row>
    <row r="86" spans="1:20">
      <c r="A86" s="8"/>
      <c r="B86" s="8"/>
      <c r="C86" s="8"/>
      <c r="D86" s="8"/>
      <c r="E86" s="8"/>
      <c r="F86" s="8"/>
      <c r="G86" s="13"/>
      <c r="H86" s="13"/>
      <c r="I86" s="13"/>
      <c r="J86" s="13"/>
      <c r="K86" s="13"/>
      <c r="L86" s="13"/>
      <c r="M86" s="13"/>
      <c r="N86" s="14" t="str">
        <f t="shared" si="1"/>
        <v/>
      </c>
      <c r="O86" s="13"/>
      <c r="P86" s="8"/>
      <c r="Q86" s="8"/>
      <c r="R86" s="8"/>
      <c r="S86" s="10"/>
      <c r="T86" s="8"/>
    </row>
    <row r="87" spans="1:20">
      <c r="A87" s="8"/>
      <c r="B87" s="8"/>
      <c r="C87" s="8"/>
      <c r="D87" s="8"/>
      <c r="E87" s="8"/>
      <c r="F87" s="8"/>
      <c r="G87" s="13"/>
      <c r="H87" s="13"/>
      <c r="I87" s="13"/>
      <c r="J87" s="13"/>
      <c r="K87" s="13"/>
      <c r="L87" s="13"/>
      <c r="M87" s="13"/>
      <c r="N87" s="14" t="str">
        <f t="shared" si="1"/>
        <v/>
      </c>
      <c r="O87" s="13"/>
      <c r="P87" s="8"/>
      <c r="Q87" s="8"/>
      <c r="R87" s="8"/>
      <c r="S87" s="10"/>
      <c r="T87" s="8"/>
    </row>
    <row r="88" spans="1:20">
      <c r="A88" s="8"/>
      <c r="B88" s="8"/>
      <c r="C88" s="8"/>
      <c r="D88" s="8"/>
      <c r="E88" s="8"/>
      <c r="F88" s="8"/>
      <c r="G88" s="13"/>
      <c r="H88" s="13"/>
      <c r="I88" s="13"/>
      <c r="J88" s="13"/>
      <c r="K88" s="13"/>
      <c r="L88" s="13"/>
      <c r="M88" s="13"/>
      <c r="N88" s="14" t="str">
        <f t="shared" si="1"/>
        <v/>
      </c>
      <c r="O88" s="13"/>
      <c r="P88" s="8"/>
      <c r="Q88" s="8"/>
      <c r="R88" s="8"/>
      <c r="S88" s="10"/>
      <c r="T88" s="8"/>
    </row>
    <row r="89" spans="1:20">
      <c r="A89" s="8"/>
      <c r="B89" s="8"/>
      <c r="C89" s="8"/>
      <c r="D89" s="8"/>
      <c r="E89" s="8"/>
      <c r="F89" s="8"/>
      <c r="G89" s="13"/>
      <c r="H89" s="13"/>
      <c r="I89" s="13"/>
      <c r="J89" s="13"/>
      <c r="K89" s="13"/>
      <c r="L89" s="13"/>
      <c r="M89" s="13"/>
      <c r="N89" s="14" t="str">
        <f t="shared" si="1"/>
        <v/>
      </c>
      <c r="O89" s="13"/>
      <c r="P89" s="8"/>
      <c r="Q89" s="8"/>
      <c r="R89" s="8"/>
      <c r="S89" s="10"/>
      <c r="T89" s="8"/>
    </row>
    <row r="90" spans="1:20">
      <c r="A90" s="8"/>
      <c r="B90" s="8"/>
      <c r="C90" s="8"/>
      <c r="D90" s="8"/>
      <c r="E90" s="8"/>
      <c r="F90" s="8"/>
      <c r="G90" s="13"/>
      <c r="H90" s="13"/>
      <c r="I90" s="13"/>
      <c r="J90" s="13"/>
      <c r="K90" s="13"/>
      <c r="L90" s="13"/>
      <c r="M90" s="13"/>
      <c r="N90" s="14" t="str">
        <f t="shared" si="1"/>
        <v/>
      </c>
      <c r="O90" s="13"/>
      <c r="P90" s="8"/>
      <c r="Q90" s="8"/>
      <c r="R90" s="8"/>
      <c r="S90" s="10"/>
      <c r="T90" s="8"/>
    </row>
    <row r="91" spans="1:20">
      <c r="A91" s="8"/>
      <c r="B91" s="8"/>
      <c r="C91" s="8"/>
      <c r="D91" s="8"/>
      <c r="E91" s="8"/>
      <c r="F91" s="8"/>
      <c r="G91" s="13"/>
      <c r="H91" s="13"/>
      <c r="I91" s="13"/>
      <c r="J91" s="13"/>
      <c r="K91" s="13"/>
      <c r="L91" s="13"/>
      <c r="M91" s="13"/>
      <c r="N91" s="14" t="str">
        <f t="shared" si="1"/>
        <v/>
      </c>
      <c r="O91" s="13"/>
      <c r="P91" s="8"/>
      <c r="Q91" s="8"/>
      <c r="R91" s="8"/>
      <c r="S91" s="10"/>
      <c r="T91" s="8"/>
    </row>
    <row r="92" spans="1:20">
      <c r="A92" s="8"/>
      <c r="B92" s="8"/>
      <c r="C92" s="8"/>
      <c r="D92" s="8"/>
      <c r="E92" s="8"/>
      <c r="F92" s="8"/>
      <c r="G92" s="13"/>
      <c r="H92" s="13"/>
      <c r="I92" s="13"/>
      <c r="J92" s="13"/>
      <c r="K92" s="13"/>
      <c r="L92" s="13"/>
      <c r="M92" s="13"/>
      <c r="N92" s="14" t="str">
        <f t="shared" si="1"/>
        <v/>
      </c>
      <c r="O92" s="13"/>
      <c r="P92" s="8"/>
      <c r="Q92" s="8"/>
      <c r="R92" s="8"/>
      <c r="S92" s="10"/>
      <c r="T92" s="8"/>
    </row>
    <row r="93" spans="1:20">
      <c r="A93" s="8"/>
      <c r="B93" s="8"/>
      <c r="C93" s="8"/>
      <c r="D93" s="8"/>
      <c r="E93" s="8"/>
      <c r="F93" s="8"/>
      <c r="G93" s="13"/>
      <c r="H93" s="13"/>
      <c r="I93" s="13"/>
      <c r="J93" s="13"/>
      <c r="K93" s="13"/>
      <c r="L93" s="13"/>
      <c r="M93" s="13"/>
      <c r="N93" s="14" t="str">
        <f t="shared" si="1"/>
        <v/>
      </c>
      <c r="O93" s="13"/>
      <c r="P93" s="8"/>
      <c r="Q93" s="8"/>
      <c r="R93" s="8"/>
      <c r="S93" s="10"/>
      <c r="T93" s="8"/>
    </row>
    <row r="94" spans="1:20">
      <c r="A94" s="8"/>
      <c r="B94" s="8"/>
      <c r="C94" s="8"/>
      <c r="D94" s="8"/>
      <c r="E94" s="8"/>
      <c r="F94" s="8"/>
      <c r="G94" s="13"/>
      <c r="H94" s="13"/>
      <c r="I94" s="13"/>
      <c r="J94" s="13"/>
      <c r="K94" s="13"/>
      <c r="L94" s="13"/>
      <c r="M94" s="13"/>
      <c r="N94" s="14" t="str">
        <f t="shared" si="1"/>
        <v/>
      </c>
      <c r="O94" s="13"/>
      <c r="P94" s="8"/>
      <c r="Q94" s="8"/>
      <c r="R94" s="8"/>
      <c r="S94" s="10"/>
      <c r="T94" s="8"/>
    </row>
    <row r="95" spans="1:20">
      <c r="A95" s="8"/>
      <c r="B95" s="8"/>
      <c r="C95" s="8"/>
      <c r="D95" s="8"/>
      <c r="E95" s="8"/>
      <c r="F95" s="8"/>
      <c r="G95" s="13"/>
      <c r="H95" s="13"/>
      <c r="I95" s="13"/>
      <c r="J95" s="13"/>
      <c r="K95" s="13"/>
      <c r="L95" s="13"/>
      <c r="M95" s="13"/>
      <c r="N95" s="14" t="str">
        <f t="shared" si="1"/>
        <v/>
      </c>
      <c r="O95" s="13"/>
      <c r="P95" s="8"/>
      <c r="Q95" s="8"/>
      <c r="R95" s="8"/>
      <c r="S95" s="10"/>
      <c r="T95" s="8"/>
    </row>
    <row r="96" spans="1:20">
      <c r="A96" s="8"/>
      <c r="B96" s="8"/>
      <c r="C96" s="8"/>
      <c r="D96" s="8"/>
      <c r="E96" s="8"/>
      <c r="F96" s="8"/>
      <c r="G96" s="13"/>
      <c r="H96" s="13"/>
      <c r="I96" s="13"/>
      <c r="J96" s="13"/>
      <c r="K96" s="13"/>
      <c r="L96" s="13"/>
      <c r="M96" s="13"/>
      <c r="N96" s="14" t="str">
        <f t="shared" si="1"/>
        <v/>
      </c>
      <c r="O96" s="13"/>
      <c r="P96" s="8"/>
      <c r="Q96" s="8"/>
      <c r="R96" s="8"/>
      <c r="S96" s="10"/>
      <c r="T96" s="8"/>
    </row>
    <row r="97" spans="1:20">
      <c r="A97" s="8"/>
      <c r="B97" s="8"/>
      <c r="C97" s="8"/>
      <c r="D97" s="8"/>
      <c r="E97" s="8"/>
      <c r="F97" s="8"/>
      <c r="G97" s="13"/>
      <c r="H97" s="13"/>
      <c r="I97" s="13"/>
      <c r="J97" s="13"/>
      <c r="K97" s="13"/>
      <c r="L97" s="13"/>
      <c r="M97" s="13"/>
      <c r="N97" s="14" t="str">
        <f t="shared" si="1"/>
        <v/>
      </c>
      <c r="O97" s="13"/>
      <c r="P97" s="8"/>
      <c r="Q97" s="8"/>
      <c r="R97" s="8"/>
      <c r="S97" s="10"/>
      <c r="T97" s="8"/>
    </row>
    <row r="98" spans="1:20">
      <c r="A98" s="8"/>
      <c r="B98" s="8"/>
      <c r="C98" s="8"/>
      <c r="D98" s="8"/>
      <c r="E98" s="8"/>
      <c r="F98" s="8"/>
      <c r="G98" s="13"/>
      <c r="H98" s="13"/>
      <c r="I98" s="13"/>
      <c r="J98" s="13"/>
      <c r="K98" s="13"/>
      <c r="L98" s="13"/>
      <c r="M98" s="13"/>
      <c r="N98" s="14" t="str">
        <f t="shared" si="1"/>
        <v/>
      </c>
      <c r="O98" s="13"/>
      <c r="P98" s="8"/>
      <c r="Q98" s="8"/>
      <c r="R98" s="8"/>
      <c r="S98" s="10"/>
      <c r="T98" s="8"/>
    </row>
    <row r="99" spans="1:20">
      <c r="A99" s="8"/>
      <c r="B99" s="8"/>
      <c r="C99" s="8"/>
      <c r="D99" s="8"/>
      <c r="E99" s="8"/>
      <c r="F99" s="8"/>
      <c r="G99" s="13"/>
      <c r="H99" s="13"/>
      <c r="I99" s="13"/>
      <c r="J99" s="13"/>
      <c r="K99" s="13"/>
      <c r="L99" s="13"/>
      <c r="M99" s="13"/>
      <c r="N99" s="14" t="str">
        <f t="shared" si="1"/>
        <v/>
      </c>
      <c r="O99" s="13"/>
      <c r="P99" s="8"/>
      <c r="Q99" s="8"/>
      <c r="R99" s="8"/>
      <c r="S99" s="10"/>
      <c r="T99" s="8"/>
    </row>
    <row r="100" spans="1:20">
      <c r="A100" s="8"/>
      <c r="B100" s="8"/>
      <c r="C100" s="8"/>
      <c r="D100" s="8"/>
      <c r="E100" s="8"/>
      <c r="F100" s="8"/>
      <c r="G100" s="13"/>
      <c r="H100" s="13"/>
      <c r="I100" s="13"/>
      <c r="J100" s="13"/>
      <c r="K100" s="13"/>
      <c r="L100" s="13"/>
      <c r="M100" s="13"/>
      <c r="N100" s="14" t="str">
        <f t="shared" si="1"/>
        <v/>
      </c>
      <c r="O100" s="13"/>
      <c r="P100" s="8"/>
      <c r="Q100" s="8"/>
      <c r="R100" s="8"/>
      <c r="S100" s="10"/>
      <c r="T100" s="8"/>
    </row>
    <row r="101" spans="1:20">
      <c r="A101" s="8"/>
      <c r="B101" s="8"/>
      <c r="C101" s="8"/>
      <c r="D101" s="8"/>
      <c r="E101" s="8"/>
      <c r="F101" s="8"/>
      <c r="G101" s="13"/>
      <c r="H101" s="13"/>
      <c r="I101" s="13"/>
      <c r="J101" s="13"/>
      <c r="K101" s="13"/>
      <c r="L101" s="13"/>
      <c r="M101" s="13"/>
      <c r="N101" s="14" t="str">
        <f t="shared" si="1"/>
        <v/>
      </c>
      <c r="O101" s="13"/>
      <c r="P101" s="8"/>
      <c r="Q101" s="8"/>
      <c r="R101" s="8"/>
      <c r="S101" s="10"/>
      <c r="T101" s="8"/>
    </row>
    <row r="102" spans="1:20">
      <c r="A102" s="8"/>
      <c r="B102" s="8"/>
      <c r="C102" s="8"/>
      <c r="D102" s="8"/>
      <c r="E102" s="8"/>
      <c r="F102" s="8"/>
      <c r="G102" s="13"/>
      <c r="H102" s="13"/>
      <c r="I102" s="13"/>
      <c r="J102" s="13"/>
      <c r="K102" s="13"/>
      <c r="L102" s="13"/>
      <c r="M102" s="13"/>
      <c r="N102" s="14" t="str">
        <f t="shared" si="1"/>
        <v/>
      </c>
      <c r="O102" s="13"/>
      <c r="P102" s="8"/>
      <c r="Q102" s="8"/>
      <c r="R102" s="8"/>
      <c r="S102" s="10"/>
      <c r="T102" s="8"/>
    </row>
    <row r="103" spans="1:20">
      <c r="A103" s="8"/>
      <c r="B103" s="8"/>
      <c r="C103" s="8"/>
      <c r="D103" s="8"/>
      <c r="E103" s="8"/>
      <c r="F103" s="8"/>
      <c r="G103" s="13"/>
      <c r="H103" s="13"/>
      <c r="I103" s="13"/>
      <c r="J103" s="13"/>
      <c r="K103" s="13"/>
      <c r="L103" s="13"/>
      <c r="M103" s="13"/>
      <c r="N103" s="14" t="str">
        <f t="shared" si="1"/>
        <v/>
      </c>
      <c r="O103" s="13"/>
      <c r="P103" s="8"/>
      <c r="Q103" s="8"/>
      <c r="R103" s="8"/>
      <c r="S103" s="10"/>
      <c r="T103" s="8"/>
    </row>
    <row r="104" spans="1:20">
      <c r="A104" s="8"/>
      <c r="B104" s="8"/>
      <c r="C104" s="8"/>
      <c r="D104" s="8"/>
      <c r="E104" s="8"/>
      <c r="F104" s="8"/>
      <c r="G104" s="13"/>
      <c r="H104" s="13"/>
      <c r="I104" s="13"/>
      <c r="J104" s="13"/>
      <c r="K104" s="13"/>
      <c r="L104" s="13"/>
      <c r="M104" s="13"/>
      <c r="N104" s="14" t="str">
        <f t="shared" si="1"/>
        <v/>
      </c>
      <c r="O104" s="13"/>
      <c r="P104" s="8"/>
      <c r="Q104" s="8"/>
      <c r="R104" s="8"/>
      <c r="S104" s="10"/>
      <c r="T104" s="8"/>
    </row>
    <row r="105" spans="1:20">
      <c r="A105" s="8"/>
      <c r="B105" s="8"/>
      <c r="C105" s="8"/>
      <c r="D105" s="8"/>
      <c r="E105" s="8"/>
      <c r="F105" s="8"/>
      <c r="G105" s="13"/>
      <c r="H105" s="13"/>
      <c r="I105" s="13"/>
      <c r="J105" s="13"/>
      <c r="K105" s="13"/>
      <c r="L105" s="13"/>
      <c r="M105" s="13"/>
      <c r="N105" s="14" t="str">
        <f t="shared" si="1"/>
        <v/>
      </c>
      <c r="O105" s="13"/>
      <c r="P105" s="8"/>
      <c r="Q105" s="8"/>
      <c r="R105" s="8"/>
      <c r="S105" s="10"/>
      <c r="T105" s="8"/>
    </row>
    <row r="106" spans="1:20">
      <c r="A106" s="8"/>
      <c r="B106" s="8"/>
      <c r="C106" s="8"/>
      <c r="D106" s="8"/>
      <c r="E106" s="8"/>
      <c r="F106" s="8"/>
      <c r="G106" s="13"/>
      <c r="H106" s="13"/>
      <c r="I106" s="13"/>
      <c r="J106" s="13"/>
      <c r="K106" s="13"/>
      <c r="L106" s="13"/>
      <c r="M106" s="13"/>
      <c r="N106" s="14" t="str">
        <f t="shared" si="1"/>
        <v/>
      </c>
      <c r="O106" s="13"/>
      <c r="P106" s="8"/>
      <c r="Q106" s="8"/>
      <c r="R106" s="8"/>
      <c r="S106" s="10"/>
      <c r="T106" s="8"/>
    </row>
    <row r="107" spans="1:20">
      <c r="A107" s="8"/>
      <c r="B107" s="8"/>
      <c r="C107" s="8"/>
      <c r="D107" s="8"/>
      <c r="E107" s="8"/>
      <c r="F107" s="8"/>
      <c r="G107" s="13"/>
      <c r="H107" s="13"/>
      <c r="I107" s="13"/>
      <c r="J107" s="13"/>
      <c r="K107" s="13"/>
      <c r="L107" s="13"/>
      <c r="M107" s="13"/>
      <c r="N107" s="14" t="str">
        <f t="shared" si="1"/>
        <v/>
      </c>
      <c r="O107" s="13"/>
      <c r="P107" s="8"/>
      <c r="Q107" s="8"/>
      <c r="R107" s="8"/>
      <c r="S107" s="10"/>
      <c r="T107" s="8"/>
    </row>
    <row r="108" spans="1:20">
      <c r="A108" s="8"/>
      <c r="B108" s="8"/>
      <c r="C108" s="8"/>
      <c r="D108" s="8"/>
      <c r="E108" s="8"/>
      <c r="F108" s="8"/>
      <c r="G108" s="13"/>
      <c r="H108" s="13"/>
      <c r="I108" s="13"/>
      <c r="J108" s="13"/>
      <c r="K108" s="13"/>
      <c r="L108" s="13"/>
      <c r="M108" s="13"/>
      <c r="N108" s="14" t="str">
        <f t="shared" si="1"/>
        <v/>
      </c>
      <c r="O108" s="13"/>
      <c r="P108" s="8"/>
      <c r="Q108" s="8"/>
      <c r="R108" s="8"/>
      <c r="S108" s="10"/>
      <c r="T108" s="8"/>
    </row>
    <row r="109" spans="1:20">
      <c r="A109" s="8"/>
      <c r="B109" s="8"/>
      <c r="C109" s="8"/>
      <c r="D109" s="8"/>
      <c r="E109" s="8"/>
      <c r="F109" s="8"/>
      <c r="G109" s="13"/>
      <c r="H109" s="13"/>
      <c r="I109" s="13"/>
      <c r="J109" s="13"/>
      <c r="K109" s="13"/>
      <c r="L109" s="13"/>
      <c r="M109" s="13"/>
      <c r="N109" s="14" t="str">
        <f t="shared" si="1"/>
        <v/>
      </c>
      <c r="O109" s="13"/>
      <c r="P109" s="8"/>
      <c r="Q109" s="8"/>
      <c r="R109" s="8"/>
      <c r="S109" s="10"/>
      <c r="T109" s="8"/>
    </row>
    <row r="110" spans="1:20">
      <c r="A110" s="8"/>
      <c r="B110" s="8"/>
      <c r="C110" s="8"/>
      <c r="D110" s="8"/>
      <c r="E110" s="8"/>
      <c r="F110" s="8"/>
      <c r="G110" s="13"/>
      <c r="H110" s="13"/>
      <c r="I110" s="13"/>
      <c r="J110" s="13"/>
      <c r="K110" s="13"/>
      <c r="L110" s="13"/>
      <c r="M110" s="13"/>
      <c r="N110" s="14" t="str">
        <f t="shared" si="1"/>
        <v/>
      </c>
      <c r="O110" s="13"/>
      <c r="P110" s="8"/>
      <c r="Q110" s="8"/>
      <c r="R110" s="8"/>
      <c r="S110" s="10"/>
      <c r="T110" s="8"/>
    </row>
    <row r="111" spans="1:20">
      <c r="A111" s="8"/>
      <c r="B111" s="8"/>
      <c r="C111" s="8"/>
      <c r="D111" s="8"/>
      <c r="E111" s="8"/>
      <c r="F111" s="8"/>
      <c r="G111" s="13"/>
      <c r="H111" s="13"/>
      <c r="I111" s="13"/>
      <c r="J111" s="13"/>
      <c r="K111" s="13"/>
      <c r="L111" s="13"/>
      <c r="M111" s="13"/>
      <c r="N111" s="14" t="str">
        <f t="shared" si="1"/>
        <v/>
      </c>
      <c r="O111" s="13"/>
      <c r="P111" s="8"/>
      <c r="Q111" s="8"/>
      <c r="R111" s="8"/>
      <c r="S111" s="10"/>
      <c r="T111" s="8"/>
    </row>
    <row r="112" spans="1:20">
      <c r="A112" s="8"/>
      <c r="B112" s="8"/>
      <c r="C112" s="8"/>
      <c r="D112" s="8"/>
      <c r="E112" s="8"/>
      <c r="F112" s="8"/>
      <c r="G112" s="13"/>
      <c r="H112" s="13"/>
      <c r="I112" s="13"/>
      <c r="J112" s="13"/>
      <c r="K112" s="13"/>
      <c r="L112" s="13"/>
      <c r="M112" s="13"/>
      <c r="N112" s="14" t="str">
        <f t="shared" si="1"/>
        <v/>
      </c>
      <c r="O112" s="13"/>
      <c r="P112" s="8"/>
      <c r="Q112" s="8"/>
      <c r="R112" s="8"/>
      <c r="S112" s="10"/>
      <c r="T112" s="8"/>
    </row>
    <row r="113" spans="1:20">
      <c r="A113" s="8"/>
      <c r="B113" s="8"/>
      <c r="C113" s="8"/>
      <c r="D113" s="8"/>
      <c r="E113" s="8"/>
      <c r="F113" s="8"/>
      <c r="G113" s="13"/>
      <c r="H113" s="13"/>
      <c r="I113" s="13"/>
      <c r="J113" s="13"/>
      <c r="K113" s="13"/>
      <c r="L113" s="13"/>
      <c r="M113" s="13"/>
      <c r="N113" s="14" t="str">
        <f t="shared" si="1"/>
        <v/>
      </c>
      <c r="O113" s="13"/>
      <c r="P113" s="8"/>
      <c r="Q113" s="8"/>
      <c r="R113" s="8"/>
      <c r="S113" s="10"/>
      <c r="T113" s="8"/>
    </row>
    <row r="114" spans="1:20">
      <c r="A114" s="8"/>
      <c r="B114" s="8"/>
      <c r="C114" s="8"/>
      <c r="D114" s="8"/>
      <c r="E114" s="8"/>
      <c r="F114" s="8"/>
      <c r="G114" s="13"/>
      <c r="H114" s="13"/>
      <c r="I114" s="13"/>
      <c r="J114" s="13"/>
      <c r="K114" s="13"/>
      <c r="L114" s="13"/>
      <c r="M114" s="13"/>
      <c r="N114" s="14" t="str">
        <f t="shared" si="1"/>
        <v/>
      </c>
      <c r="O114" s="13"/>
      <c r="P114" s="8"/>
      <c r="Q114" s="8"/>
      <c r="R114" s="8"/>
      <c r="S114" s="10"/>
      <c r="T114" s="8"/>
    </row>
    <row r="115" spans="1:20">
      <c r="A115" s="8"/>
      <c r="B115" s="8"/>
      <c r="C115" s="8"/>
      <c r="D115" s="8"/>
      <c r="E115" s="8"/>
      <c r="F115" s="8"/>
      <c r="G115" s="13"/>
      <c r="H115" s="13"/>
      <c r="I115" s="13"/>
      <c r="J115" s="13"/>
      <c r="K115" s="13"/>
      <c r="L115" s="13"/>
      <c r="M115" s="13"/>
      <c r="N115" s="14" t="str">
        <f t="shared" si="1"/>
        <v/>
      </c>
      <c r="O115" s="13"/>
      <c r="P115" s="8"/>
      <c r="Q115" s="8"/>
      <c r="R115" s="8"/>
      <c r="S115" s="10"/>
      <c r="T115" s="8"/>
    </row>
    <row r="116" spans="1:20">
      <c r="A116" s="8"/>
      <c r="B116" s="8"/>
      <c r="C116" s="8"/>
      <c r="D116" s="8"/>
      <c r="E116" s="8"/>
      <c r="F116" s="8"/>
      <c r="G116" s="13"/>
      <c r="H116" s="13"/>
      <c r="I116" s="13"/>
      <c r="J116" s="13"/>
      <c r="K116" s="13"/>
      <c r="L116" s="13"/>
      <c r="M116" s="13"/>
      <c r="N116" s="14" t="str">
        <f t="shared" si="1"/>
        <v/>
      </c>
      <c r="O116" s="13"/>
      <c r="P116" s="8"/>
      <c r="Q116" s="8"/>
      <c r="R116" s="8"/>
      <c r="S116" s="10"/>
      <c r="T116" s="8"/>
    </row>
    <row r="117" spans="1:20">
      <c r="A117" s="8"/>
      <c r="B117" s="8"/>
      <c r="C117" s="8"/>
      <c r="D117" s="8"/>
      <c r="E117" s="8"/>
      <c r="F117" s="8"/>
      <c r="G117" s="13"/>
      <c r="H117" s="13"/>
      <c r="I117" s="13"/>
      <c r="J117" s="13"/>
      <c r="K117" s="13"/>
      <c r="L117" s="13"/>
      <c r="M117" s="13"/>
      <c r="N117" s="14" t="str">
        <f t="shared" si="1"/>
        <v/>
      </c>
      <c r="O117" s="13"/>
      <c r="P117" s="8"/>
      <c r="Q117" s="8"/>
      <c r="R117" s="8"/>
      <c r="S117" s="10"/>
      <c r="T117" s="8"/>
    </row>
    <row r="118" spans="1:20">
      <c r="A118" s="8"/>
      <c r="B118" s="8"/>
      <c r="C118" s="8"/>
      <c r="D118" s="8"/>
      <c r="E118" s="8"/>
      <c r="F118" s="8"/>
      <c r="G118" s="13"/>
      <c r="H118" s="13"/>
      <c r="I118" s="13"/>
      <c r="J118" s="13"/>
      <c r="K118" s="13"/>
      <c r="L118" s="13"/>
      <c r="M118" s="13"/>
      <c r="N118" s="14" t="str">
        <f t="shared" si="1"/>
        <v/>
      </c>
      <c r="O118" s="13"/>
      <c r="P118" s="8"/>
      <c r="Q118" s="8"/>
      <c r="R118" s="8"/>
      <c r="S118" s="10"/>
      <c r="T118" s="8"/>
    </row>
    <row r="119" spans="1:20">
      <c r="A119" s="8"/>
      <c r="B119" s="8"/>
      <c r="C119" s="8"/>
      <c r="D119" s="8"/>
      <c r="E119" s="8"/>
      <c r="F119" s="8"/>
      <c r="G119" s="13"/>
      <c r="H119" s="13"/>
      <c r="I119" s="13"/>
      <c r="J119" s="13"/>
      <c r="K119" s="13"/>
      <c r="L119" s="13"/>
      <c r="M119" s="13"/>
      <c r="N119" s="14" t="str">
        <f t="shared" si="1"/>
        <v/>
      </c>
      <c r="O119" s="13"/>
      <c r="P119" s="8"/>
      <c r="Q119" s="8"/>
      <c r="R119" s="8"/>
      <c r="S119" s="10"/>
      <c r="T119" s="8"/>
    </row>
    <row r="120" spans="1:20">
      <c r="A120" s="8"/>
      <c r="B120" s="8"/>
      <c r="C120" s="8"/>
      <c r="D120" s="8"/>
      <c r="E120" s="8"/>
      <c r="F120" s="8"/>
      <c r="G120" s="13"/>
      <c r="H120" s="13"/>
      <c r="I120" s="13"/>
      <c r="J120" s="13"/>
      <c r="K120" s="13"/>
      <c r="L120" s="13"/>
      <c r="M120" s="13"/>
      <c r="N120" s="14" t="str">
        <f t="shared" si="1"/>
        <v/>
      </c>
      <c r="O120" s="13"/>
      <c r="P120" s="8"/>
      <c r="Q120" s="8"/>
      <c r="R120" s="8"/>
      <c r="S120" s="10"/>
      <c r="T120" s="8"/>
    </row>
    <row r="121" spans="1:20">
      <c r="A121" s="8"/>
      <c r="B121" s="8"/>
      <c r="C121" s="8"/>
      <c r="D121" s="8"/>
      <c r="E121" s="8"/>
      <c r="F121" s="8"/>
      <c r="G121" s="13"/>
      <c r="H121" s="13"/>
      <c r="I121" s="13"/>
      <c r="J121" s="13"/>
      <c r="K121" s="13"/>
      <c r="L121" s="13"/>
      <c r="M121" s="13"/>
      <c r="N121" s="14" t="str">
        <f t="shared" si="1"/>
        <v/>
      </c>
      <c r="O121" s="13"/>
      <c r="P121" s="8"/>
      <c r="Q121" s="8"/>
      <c r="R121" s="8"/>
      <c r="S121" s="10"/>
      <c r="T121" s="8"/>
    </row>
    <row r="122" spans="1:20">
      <c r="A122" s="8"/>
      <c r="B122" s="8"/>
      <c r="C122" s="8"/>
      <c r="D122" s="8"/>
      <c r="E122" s="8"/>
      <c r="F122" s="8"/>
      <c r="G122" s="13"/>
      <c r="H122" s="13"/>
      <c r="I122" s="13"/>
      <c r="J122" s="13"/>
      <c r="K122" s="13"/>
      <c r="L122" s="13"/>
      <c r="M122" s="13"/>
      <c r="N122" s="14" t="str">
        <f t="shared" si="1"/>
        <v/>
      </c>
      <c r="O122" s="13"/>
      <c r="P122" s="8"/>
      <c r="Q122" s="8"/>
      <c r="R122" s="8"/>
      <c r="S122" s="10"/>
      <c r="T122" s="8"/>
    </row>
    <row r="123" spans="1:20">
      <c r="A123" s="8"/>
      <c r="B123" s="8"/>
      <c r="C123" s="8"/>
      <c r="D123" s="8"/>
      <c r="E123" s="8"/>
      <c r="F123" s="8"/>
      <c r="G123" s="13"/>
      <c r="H123" s="13"/>
      <c r="I123" s="13"/>
      <c r="J123" s="13"/>
      <c r="K123" s="13"/>
      <c r="L123" s="13"/>
      <c r="M123" s="13"/>
      <c r="N123" s="14" t="str">
        <f t="shared" si="1"/>
        <v/>
      </c>
      <c r="O123" s="13"/>
      <c r="P123" s="8"/>
      <c r="Q123" s="8"/>
      <c r="R123" s="8"/>
      <c r="S123" s="10"/>
      <c r="T123" s="8"/>
    </row>
    <row r="124" spans="1:20">
      <c r="A124" s="8"/>
      <c r="B124" s="8"/>
      <c r="C124" s="8"/>
      <c r="D124" s="8"/>
      <c r="E124" s="8"/>
      <c r="F124" s="8"/>
      <c r="G124" s="13"/>
      <c r="H124" s="13"/>
      <c r="I124" s="13"/>
      <c r="J124" s="13"/>
      <c r="K124" s="13"/>
      <c r="L124" s="13"/>
      <c r="M124" s="13"/>
      <c r="N124" s="14" t="str">
        <f t="shared" si="1"/>
        <v/>
      </c>
      <c r="O124" s="13"/>
      <c r="P124" s="8"/>
      <c r="Q124" s="8"/>
      <c r="R124" s="8"/>
      <c r="S124" s="10"/>
      <c r="T124" s="8"/>
    </row>
    <row r="125" spans="1:20">
      <c r="A125" s="8"/>
      <c r="B125" s="8"/>
      <c r="C125" s="8"/>
      <c r="D125" s="8"/>
      <c r="E125" s="8"/>
      <c r="F125" s="8"/>
      <c r="G125" s="13"/>
      <c r="H125" s="13"/>
      <c r="I125" s="13"/>
      <c r="J125" s="13"/>
      <c r="K125" s="13"/>
      <c r="L125" s="13"/>
      <c r="M125" s="13"/>
      <c r="N125" s="14" t="str">
        <f t="shared" si="1"/>
        <v/>
      </c>
      <c r="O125" s="13"/>
      <c r="P125" s="8"/>
      <c r="Q125" s="8"/>
      <c r="R125" s="8"/>
      <c r="S125" s="10"/>
      <c r="T125" s="8"/>
    </row>
    <row r="126" spans="1:20">
      <c r="A126" s="8"/>
      <c r="B126" s="8"/>
      <c r="C126" s="8"/>
      <c r="D126" s="8"/>
      <c r="E126" s="8"/>
      <c r="F126" s="8"/>
      <c r="G126" s="13"/>
      <c r="H126" s="13"/>
      <c r="I126" s="13"/>
      <c r="J126" s="13"/>
      <c r="K126" s="13"/>
      <c r="L126" s="13"/>
      <c r="M126" s="13"/>
      <c r="N126" s="14" t="str">
        <f t="shared" si="1"/>
        <v/>
      </c>
      <c r="O126" s="13"/>
      <c r="P126" s="8"/>
      <c r="Q126" s="8"/>
      <c r="R126" s="8"/>
      <c r="S126" s="10"/>
      <c r="T126" s="8"/>
    </row>
    <row r="127" spans="1:20">
      <c r="A127" s="8"/>
      <c r="B127" s="8"/>
      <c r="C127" s="8"/>
      <c r="D127" s="8"/>
      <c r="E127" s="8"/>
      <c r="F127" s="8"/>
      <c r="G127" s="13"/>
      <c r="H127" s="13"/>
      <c r="I127" s="13"/>
      <c r="J127" s="13"/>
      <c r="K127" s="13"/>
      <c r="L127" s="13"/>
      <c r="M127" s="13"/>
      <c r="N127" s="14" t="str">
        <f t="shared" si="1"/>
        <v/>
      </c>
      <c r="O127" s="13"/>
      <c r="P127" s="8"/>
      <c r="Q127" s="8"/>
      <c r="R127" s="8"/>
      <c r="S127" s="10"/>
      <c r="T127" s="8"/>
    </row>
    <row r="128" spans="1:20">
      <c r="A128" s="8"/>
      <c r="B128" s="8"/>
      <c r="C128" s="8"/>
      <c r="D128" s="8"/>
      <c r="E128" s="8"/>
      <c r="F128" s="8"/>
      <c r="G128" s="13"/>
      <c r="H128" s="13"/>
      <c r="I128" s="13"/>
      <c r="J128" s="13"/>
      <c r="K128" s="13"/>
      <c r="L128" s="13"/>
      <c r="M128" s="13"/>
      <c r="N128" s="14" t="str">
        <f t="shared" si="1"/>
        <v/>
      </c>
      <c r="O128" s="13"/>
      <c r="P128" s="8"/>
      <c r="Q128" s="8"/>
      <c r="R128" s="8"/>
      <c r="S128" s="10"/>
      <c r="T128" s="8"/>
    </row>
    <row r="129" spans="1:20">
      <c r="A129" s="8"/>
      <c r="B129" s="8"/>
      <c r="C129" s="8"/>
      <c r="D129" s="8"/>
      <c r="E129" s="8"/>
      <c r="F129" s="8"/>
      <c r="G129" s="13"/>
      <c r="H129" s="13"/>
      <c r="I129" s="13"/>
      <c r="J129" s="13"/>
      <c r="K129" s="13"/>
      <c r="L129" s="13"/>
      <c r="M129" s="13"/>
      <c r="N129" s="14" t="str">
        <f t="shared" si="1"/>
        <v/>
      </c>
      <c r="O129" s="13"/>
      <c r="P129" s="8"/>
      <c r="Q129" s="8"/>
      <c r="R129" s="8"/>
      <c r="S129" s="10"/>
      <c r="T129" s="8"/>
    </row>
    <row r="130" spans="1:20">
      <c r="A130" s="8"/>
      <c r="B130" s="8"/>
      <c r="C130" s="8"/>
      <c r="D130" s="8"/>
      <c r="E130" s="8"/>
      <c r="F130" s="8"/>
      <c r="G130" s="13"/>
      <c r="H130" s="13"/>
      <c r="I130" s="13"/>
      <c r="J130" s="13"/>
      <c r="K130" s="13"/>
      <c r="L130" s="13"/>
      <c r="M130" s="13"/>
      <c r="N130" s="14" t="str">
        <f t="shared" si="1"/>
        <v/>
      </c>
      <c r="O130" s="13"/>
      <c r="P130" s="8"/>
      <c r="Q130" s="8"/>
      <c r="R130" s="8"/>
      <c r="S130" s="10"/>
      <c r="T130" s="8"/>
    </row>
    <row r="131" spans="1:20">
      <c r="A131" s="8"/>
      <c r="B131" s="8"/>
      <c r="C131" s="8"/>
      <c r="D131" s="8"/>
      <c r="E131" s="8"/>
      <c r="F131" s="8"/>
      <c r="G131" s="13"/>
      <c r="H131" s="13"/>
      <c r="I131" s="13"/>
      <c r="J131" s="13"/>
      <c r="K131" s="13"/>
      <c r="L131" s="13"/>
      <c r="M131" s="13"/>
      <c r="N131" s="14" t="str">
        <f t="shared" si="1"/>
        <v/>
      </c>
      <c r="O131" s="13"/>
      <c r="P131" s="8"/>
      <c r="Q131" s="8"/>
      <c r="R131" s="8"/>
      <c r="S131" s="10"/>
      <c r="T131" s="8"/>
    </row>
    <row r="132" spans="1:20">
      <c r="A132" s="8"/>
      <c r="B132" s="8"/>
      <c r="C132" s="8"/>
      <c r="D132" s="8"/>
      <c r="E132" s="8"/>
      <c r="F132" s="8"/>
      <c r="G132" s="13"/>
      <c r="H132" s="13"/>
      <c r="I132" s="13"/>
      <c r="J132" s="13"/>
      <c r="K132" s="13"/>
      <c r="L132" s="13"/>
      <c r="M132" s="13"/>
      <c r="N132" s="14" t="str">
        <f t="shared" si="1"/>
        <v/>
      </c>
      <c r="O132" s="13"/>
      <c r="P132" s="8"/>
      <c r="Q132" s="8"/>
      <c r="R132" s="8"/>
      <c r="S132" s="10"/>
      <c r="T132" s="8"/>
    </row>
    <row r="133" spans="1:20">
      <c r="A133" s="8"/>
      <c r="B133" s="8"/>
      <c r="C133" s="8"/>
      <c r="D133" s="8"/>
      <c r="E133" s="8"/>
      <c r="F133" s="8"/>
      <c r="G133" s="13"/>
      <c r="H133" s="13"/>
      <c r="I133" s="13"/>
      <c r="J133" s="13"/>
      <c r="K133" s="13"/>
      <c r="L133" s="13"/>
      <c r="M133" s="13"/>
      <c r="N133" s="14" t="str">
        <f t="shared" ref="N133:N196" si="2">IF(A133="","",MAX(0,H133-K133-L133+M133))</f>
        <v/>
      </c>
      <c r="O133" s="13"/>
      <c r="P133" s="8"/>
      <c r="Q133" s="8"/>
      <c r="R133" s="8"/>
      <c r="S133" s="10"/>
      <c r="T133" s="8"/>
    </row>
    <row r="134" spans="1:20">
      <c r="A134" s="8"/>
      <c r="B134" s="8"/>
      <c r="C134" s="8"/>
      <c r="D134" s="8"/>
      <c r="E134" s="8"/>
      <c r="F134" s="8"/>
      <c r="G134" s="13"/>
      <c r="H134" s="13"/>
      <c r="I134" s="13"/>
      <c r="J134" s="13"/>
      <c r="K134" s="13"/>
      <c r="L134" s="13"/>
      <c r="M134" s="13"/>
      <c r="N134" s="14" t="str">
        <f t="shared" si="2"/>
        <v/>
      </c>
      <c r="O134" s="13"/>
      <c r="P134" s="8"/>
      <c r="Q134" s="8"/>
      <c r="R134" s="8"/>
      <c r="S134" s="10"/>
      <c r="T134" s="8"/>
    </row>
    <row r="135" spans="1:20">
      <c r="A135" s="8"/>
      <c r="B135" s="8"/>
      <c r="C135" s="8"/>
      <c r="D135" s="8"/>
      <c r="E135" s="8"/>
      <c r="F135" s="8"/>
      <c r="G135" s="13"/>
      <c r="H135" s="13"/>
      <c r="I135" s="13"/>
      <c r="J135" s="13"/>
      <c r="K135" s="13"/>
      <c r="L135" s="13"/>
      <c r="M135" s="13"/>
      <c r="N135" s="14" t="str">
        <f t="shared" si="2"/>
        <v/>
      </c>
      <c r="O135" s="13"/>
      <c r="P135" s="8"/>
      <c r="Q135" s="8"/>
      <c r="R135" s="8"/>
      <c r="S135" s="10"/>
      <c r="T135" s="8"/>
    </row>
    <row r="136" spans="1:20">
      <c r="A136" s="8"/>
      <c r="B136" s="8"/>
      <c r="C136" s="8"/>
      <c r="D136" s="8"/>
      <c r="E136" s="8"/>
      <c r="F136" s="8"/>
      <c r="G136" s="13"/>
      <c r="H136" s="13"/>
      <c r="I136" s="13"/>
      <c r="J136" s="13"/>
      <c r="K136" s="13"/>
      <c r="L136" s="13"/>
      <c r="M136" s="13"/>
      <c r="N136" s="14" t="str">
        <f t="shared" si="2"/>
        <v/>
      </c>
      <c r="O136" s="13"/>
      <c r="P136" s="8"/>
      <c r="Q136" s="8"/>
      <c r="R136" s="8"/>
      <c r="S136" s="10"/>
      <c r="T136" s="8"/>
    </row>
    <row r="137" spans="1:20">
      <c r="A137" s="8"/>
      <c r="B137" s="8"/>
      <c r="C137" s="8"/>
      <c r="D137" s="8"/>
      <c r="E137" s="8"/>
      <c r="F137" s="8"/>
      <c r="G137" s="13"/>
      <c r="H137" s="13"/>
      <c r="I137" s="13"/>
      <c r="J137" s="13"/>
      <c r="K137" s="13"/>
      <c r="L137" s="13"/>
      <c r="M137" s="13"/>
      <c r="N137" s="14" t="str">
        <f t="shared" si="2"/>
        <v/>
      </c>
      <c r="O137" s="13"/>
      <c r="P137" s="8"/>
      <c r="Q137" s="8"/>
      <c r="R137" s="8"/>
      <c r="S137" s="10"/>
      <c r="T137" s="8"/>
    </row>
    <row r="138" spans="1:20">
      <c r="A138" s="8"/>
      <c r="B138" s="8"/>
      <c r="C138" s="8"/>
      <c r="D138" s="8"/>
      <c r="E138" s="8"/>
      <c r="F138" s="8"/>
      <c r="G138" s="13"/>
      <c r="H138" s="13"/>
      <c r="I138" s="13"/>
      <c r="J138" s="13"/>
      <c r="K138" s="13"/>
      <c r="L138" s="13"/>
      <c r="M138" s="13"/>
      <c r="N138" s="14" t="str">
        <f t="shared" si="2"/>
        <v/>
      </c>
      <c r="O138" s="13"/>
      <c r="P138" s="8"/>
      <c r="Q138" s="8"/>
      <c r="R138" s="8"/>
      <c r="S138" s="10"/>
      <c r="T138" s="8"/>
    </row>
    <row r="139" spans="1:20">
      <c r="A139" s="8"/>
      <c r="B139" s="8"/>
      <c r="C139" s="8"/>
      <c r="D139" s="8"/>
      <c r="E139" s="8"/>
      <c r="F139" s="8"/>
      <c r="G139" s="13"/>
      <c r="H139" s="13"/>
      <c r="I139" s="13"/>
      <c r="J139" s="13"/>
      <c r="K139" s="13"/>
      <c r="L139" s="13"/>
      <c r="M139" s="13"/>
      <c r="N139" s="14" t="str">
        <f t="shared" si="2"/>
        <v/>
      </c>
      <c r="O139" s="13"/>
      <c r="P139" s="8"/>
      <c r="Q139" s="8"/>
      <c r="R139" s="8"/>
      <c r="S139" s="10"/>
      <c r="T139" s="8"/>
    </row>
    <row r="140" spans="1:20">
      <c r="A140" s="8"/>
      <c r="B140" s="8"/>
      <c r="C140" s="8"/>
      <c r="D140" s="8"/>
      <c r="E140" s="8"/>
      <c r="F140" s="8"/>
      <c r="G140" s="13"/>
      <c r="H140" s="13"/>
      <c r="I140" s="13"/>
      <c r="J140" s="13"/>
      <c r="K140" s="13"/>
      <c r="L140" s="13"/>
      <c r="M140" s="13"/>
      <c r="N140" s="14" t="str">
        <f t="shared" si="2"/>
        <v/>
      </c>
      <c r="O140" s="13"/>
      <c r="P140" s="8"/>
      <c r="Q140" s="8"/>
      <c r="R140" s="8"/>
      <c r="S140" s="10"/>
      <c r="T140" s="8"/>
    </row>
    <row r="141" spans="1:20">
      <c r="A141" s="8"/>
      <c r="B141" s="8"/>
      <c r="C141" s="8"/>
      <c r="D141" s="8"/>
      <c r="E141" s="8"/>
      <c r="F141" s="8"/>
      <c r="G141" s="13"/>
      <c r="H141" s="13"/>
      <c r="I141" s="13"/>
      <c r="J141" s="13"/>
      <c r="K141" s="13"/>
      <c r="L141" s="13"/>
      <c r="M141" s="13"/>
      <c r="N141" s="14" t="str">
        <f t="shared" si="2"/>
        <v/>
      </c>
      <c r="O141" s="13"/>
      <c r="P141" s="8"/>
      <c r="Q141" s="8"/>
      <c r="R141" s="8"/>
      <c r="S141" s="10"/>
      <c r="T141" s="8"/>
    </row>
    <row r="142" spans="1:20">
      <c r="A142" s="8"/>
      <c r="B142" s="8"/>
      <c r="C142" s="8"/>
      <c r="D142" s="8"/>
      <c r="E142" s="8"/>
      <c r="F142" s="8"/>
      <c r="G142" s="13"/>
      <c r="H142" s="13"/>
      <c r="I142" s="13"/>
      <c r="J142" s="13"/>
      <c r="K142" s="13"/>
      <c r="L142" s="13"/>
      <c r="M142" s="13"/>
      <c r="N142" s="14" t="str">
        <f t="shared" si="2"/>
        <v/>
      </c>
      <c r="O142" s="13"/>
      <c r="P142" s="8"/>
      <c r="Q142" s="8"/>
      <c r="R142" s="8"/>
      <c r="S142" s="10"/>
      <c r="T142" s="8"/>
    </row>
    <row r="143" spans="1:20">
      <c r="A143" s="8"/>
      <c r="B143" s="8"/>
      <c r="C143" s="8"/>
      <c r="D143" s="8"/>
      <c r="E143" s="8"/>
      <c r="F143" s="8"/>
      <c r="G143" s="13"/>
      <c r="H143" s="13"/>
      <c r="I143" s="13"/>
      <c r="J143" s="13"/>
      <c r="K143" s="13"/>
      <c r="L143" s="13"/>
      <c r="M143" s="13"/>
      <c r="N143" s="14" t="str">
        <f t="shared" si="2"/>
        <v/>
      </c>
      <c r="O143" s="13"/>
      <c r="P143" s="8"/>
      <c r="Q143" s="8"/>
      <c r="R143" s="8"/>
      <c r="S143" s="10"/>
      <c r="T143" s="8"/>
    </row>
    <row r="144" spans="1:20">
      <c r="A144" s="8"/>
      <c r="B144" s="8"/>
      <c r="C144" s="8"/>
      <c r="D144" s="8"/>
      <c r="E144" s="8"/>
      <c r="F144" s="8"/>
      <c r="G144" s="13"/>
      <c r="H144" s="13"/>
      <c r="I144" s="13"/>
      <c r="J144" s="13"/>
      <c r="K144" s="13"/>
      <c r="L144" s="13"/>
      <c r="M144" s="13"/>
      <c r="N144" s="14" t="str">
        <f t="shared" si="2"/>
        <v/>
      </c>
      <c r="O144" s="13"/>
      <c r="P144" s="8"/>
      <c r="Q144" s="8"/>
      <c r="R144" s="8"/>
      <c r="S144" s="10"/>
      <c r="T144" s="8"/>
    </row>
    <row r="145" spans="1:20">
      <c r="A145" s="8"/>
      <c r="B145" s="8"/>
      <c r="C145" s="8"/>
      <c r="D145" s="8"/>
      <c r="E145" s="8"/>
      <c r="F145" s="8"/>
      <c r="G145" s="13"/>
      <c r="H145" s="13"/>
      <c r="I145" s="13"/>
      <c r="J145" s="13"/>
      <c r="K145" s="13"/>
      <c r="L145" s="13"/>
      <c r="M145" s="13"/>
      <c r="N145" s="14" t="str">
        <f t="shared" si="2"/>
        <v/>
      </c>
      <c r="O145" s="13"/>
      <c r="P145" s="8"/>
      <c r="Q145" s="8"/>
      <c r="R145" s="8"/>
      <c r="S145" s="10"/>
      <c r="T145" s="8"/>
    </row>
    <row r="146" spans="1:20">
      <c r="A146" s="8"/>
      <c r="B146" s="8"/>
      <c r="C146" s="8"/>
      <c r="D146" s="8"/>
      <c r="E146" s="8"/>
      <c r="F146" s="8"/>
      <c r="G146" s="13"/>
      <c r="H146" s="13"/>
      <c r="I146" s="13"/>
      <c r="J146" s="13"/>
      <c r="K146" s="13"/>
      <c r="L146" s="13"/>
      <c r="M146" s="13"/>
      <c r="N146" s="14" t="str">
        <f t="shared" si="2"/>
        <v/>
      </c>
      <c r="O146" s="13"/>
      <c r="P146" s="8"/>
      <c r="Q146" s="8"/>
      <c r="R146" s="8"/>
      <c r="S146" s="10"/>
      <c r="T146" s="8"/>
    </row>
    <row r="147" spans="1:20">
      <c r="A147" s="8"/>
      <c r="B147" s="8"/>
      <c r="C147" s="8"/>
      <c r="D147" s="8"/>
      <c r="E147" s="8"/>
      <c r="F147" s="8"/>
      <c r="G147" s="13"/>
      <c r="H147" s="13"/>
      <c r="I147" s="13"/>
      <c r="J147" s="13"/>
      <c r="K147" s="13"/>
      <c r="L147" s="13"/>
      <c r="M147" s="13"/>
      <c r="N147" s="14" t="str">
        <f t="shared" si="2"/>
        <v/>
      </c>
      <c r="O147" s="13"/>
      <c r="P147" s="8"/>
      <c r="Q147" s="8"/>
      <c r="R147" s="8"/>
      <c r="S147" s="10"/>
      <c r="T147" s="8"/>
    </row>
    <row r="148" spans="1:20">
      <c r="A148" s="8"/>
      <c r="B148" s="8"/>
      <c r="C148" s="8"/>
      <c r="D148" s="8"/>
      <c r="E148" s="8"/>
      <c r="F148" s="8"/>
      <c r="G148" s="13"/>
      <c r="H148" s="13"/>
      <c r="I148" s="13"/>
      <c r="J148" s="13"/>
      <c r="K148" s="13"/>
      <c r="L148" s="13"/>
      <c r="M148" s="13"/>
      <c r="N148" s="14" t="str">
        <f t="shared" si="2"/>
        <v/>
      </c>
      <c r="O148" s="13"/>
      <c r="P148" s="8"/>
      <c r="Q148" s="8"/>
      <c r="R148" s="8"/>
      <c r="S148" s="10"/>
      <c r="T148" s="8"/>
    </row>
    <row r="149" spans="1:20">
      <c r="A149" s="8"/>
      <c r="B149" s="8"/>
      <c r="C149" s="8"/>
      <c r="D149" s="8"/>
      <c r="E149" s="8"/>
      <c r="F149" s="8"/>
      <c r="G149" s="13"/>
      <c r="H149" s="13"/>
      <c r="I149" s="13"/>
      <c r="J149" s="13"/>
      <c r="K149" s="13"/>
      <c r="L149" s="13"/>
      <c r="M149" s="13"/>
      <c r="N149" s="14" t="str">
        <f t="shared" si="2"/>
        <v/>
      </c>
      <c r="O149" s="13"/>
      <c r="P149" s="8"/>
      <c r="Q149" s="8"/>
      <c r="R149" s="8"/>
      <c r="S149" s="10"/>
      <c r="T149" s="8"/>
    </row>
    <row r="150" spans="1:20">
      <c r="A150" s="8"/>
      <c r="B150" s="8"/>
      <c r="C150" s="8"/>
      <c r="D150" s="8"/>
      <c r="E150" s="8"/>
      <c r="F150" s="8"/>
      <c r="G150" s="13"/>
      <c r="H150" s="13"/>
      <c r="I150" s="13"/>
      <c r="J150" s="13"/>
      <c r="K150" s="13"/>
      <c r="L150" s="13"/>
      <c r="M150" s="13"/>
      <c r="N150" s="14" t="str">
        <f t="shared" si="2"/>
        <v/>
      </c>
      <c r="O150" s="13"/>
      <c r="P150" s="8"/>
      <c r="Q150" s="8"/>
      <c r="R150" s="8"/>
      <c r="S150" s="10"/>
      <c r="T150" s="8"/>
    </row>
    <row r="151" spans="1:20">
      <c r="A151" s="8"/>
      <c r="B151" s="8"/>
      <c r="C151" s="8"/>
      <c r="D151" s="8"/>
      <c r="E151" s="8"/>
      <c r="F151" s="8"/>
      <c r="G151" s="13"/>
      <c r="H151" s="13"/>
      <c r="I151" s="13"/>
      <c r="J151" s="13"/>
      <c r="K151" s="13"/>
      <c r="L151" s="13"/>
      <c r="M151" s="13"/>
      <c r="N151" s="14" t="str">
        <f t="shared" si="2"/>
        <v/>
      </c>
      <c r="O151" s="13"/>
      <c r="P151" s="8"/>
      <c r="Q151" s="8"/>
      <c r="R151" s="8"/>
      <c r="S151" s="10"/>
      <c r="T151" s="8"/>
    </row>
    <row r="152" spans="1:20">
      <c r="A152" s="8"/>
      <c r="B152" s="8"/>
      <c r="C152" s="8"/>
      <c r="D152" s="8"/>
      <c r="E152" s="8"/>
      <c r="F152" s="8"/>
      <c r="G152" s="13"/>
      <c r="H152" s="13"/>
      <c r="I152" s="13"/>
      <c r="J152" s="13"/>
      <c r="K152" s="13"/>
      <c r="L152" s="13"/>
      <c r="M152" s="13"/>
      <c r="N152" s="14" t="str">
        <f t="shared" si="2"/>
        <v/>
      </c>
      <c r="O152" s="13"/>
      <c r="P152" s="8"/>
      <c r="Q152" s="8"/>
      <c r="R152" s="8"/>
      <c r="S152" s="10"/>
      <c r="T152" s="8"/>
    </row>
    <row r="153" spans="1:20">
      <c r="A153" s="8"/>
      <c r="B153" s="8"/>
      <c r="C153" s="8"/>
      <c r="D153" s="8"/>
      <c r="E153" s="8"/>
      <c r="F153" s="8"/>
      <c r="G153" s="13"/>
      <c r="H153" s="13"/>
      <c r="I153" s="13"/>
      <c r="J153" s="13"/>
      <c r="K153" s="13"/>
      <c r="L153" s="13"/>
      <c r="M153" s="13"/>
      <c r="N153" s="14" t="str">
        <f t="shared" si="2"/>
        <v/>
      </c>
      <c r="O153" s="13"/>
      <c r="P153" s="8"/>
      <c r="Q153" s="8"/>
      <c r="R153" s="8"/>
      <c r="S153" s="10"/>
      <c r="T153" s="8"/>
    </row>
    <row r="154" spans="1:20">
      <c r="A154" s="8"/>
      <c r="B154" s="8"/>
      <c r="C154" s="8"/>
      <c r="D154" s="8"/>
      <c r="E154" s="8"/>
      <c r="F154" s="8"/>
      <c r="G154" s="13"/>
      <c r="H154" s="13"/>
      <c r="I154" s="13"/>
      <c r="J154" s="13"/>
      <c r="K154" s="13"/>
      <c r="L154" s="13"/>
      <c r="M154" s="13"/>
      <c r="N154" s="14" t="str">
        <f t="shared" si="2"/>
        <v/>
      </c>
      <c r="O154" s="13"/>
      <c r="P154" s="8"/>
      <c r="Q154" s="8"/>
      <c r="R154" s="8"/>
      <c r="S154" s="10"/>
      <c r="T154" s="8"/>
    </row>
    <row r="155" spans="1:20">
      <c r="A155" s="8"/>
      <c r="B155" s="8"/>
      <c r="C155" s="8"/>
      <c r="D155" s="8"/>
      <c r="E155" s="8"/>
      <c r="F155" s="8"/>
      <c r="G155" s="13"/>
      <c r="H155" s="13"/>
      <c r="I155" s="13"/>
      <c r="J155" s="13"/>
      <c r="K155" s="13"/>
      <c r="L155" s="13"/>
      <c r="M155" s="13"/>
      <c r="N155" s="14" t="str">
        <f t="shared" si="2"/>
        <v/>
      </c>
      <c r="O155" s="13"/>
      <c r="P155" s="8"/>
      <c r="Q155" s="8"/>
      <c r="R155" s="8"/>
      <c r="S155" s="10"/>
      <c r="T155" s="8"/>
    </row>
    <row r="156" spans="1:20">
      <c r="A156" s="8"/>
      <c r="B156" s="8"/>
      <c r="C156" s="8"/>
      <c r="D156" s="8"/>
      <c r="E156" s="8"/>
      <c r="F156" s="8"/>
      <c r="G156" s="13"/>
      <c r="H156" s="13"/>
      <c r="I156" s="13"/>
      <c r="J156" s="13"/>
      <c r="K156" s="13"/>
      <c r="L156" s="13"/>
      <c r="M156" s="13"/>
      <c r="N156" s="14" t="str">
        <f t="shared" si="2"/>
        <v/>
      </c>
      <c r="O156" s="13"/>
      <c r="P156" s="8"/>
      <c r="Q156" s="8"/>
      <c r="R156" s="8"/>
      <c r="S156" s="10"/>
      <c r="T156" s="8"/>
    </row>
    <row r="157" spans="1:20">
      <c r="A157" s="8"/>
      <c r="B157" s="8"/>
      <c r="C157" s="8"/>
      <c r="D157" s="8"/>
      <c r="E157" s="8"/>
      <c r="F157" s="8"/>
      <c r="G157" s="13"/>
      <c r="H157" s="13"/>
      <c r="I157" s="13"/>
      <c r="J157" s="13"/>
      <c r="K157" s="13"/>
      <c r="L157" s="13"/>
      <c r="M157" s="13"/>
      <c r="N157" s="14" t="str">
        <f t="shared" si="2"/>
        <v/>
      </c>
      <c r="O157" s="13"/>
      <c r="P157" s="8"/>
      <c r="Q157" s="8"/>
      <c r="R157" s="8"/>
      <c r="S157" s="10"/>
      <c r="T157" s="8"/>
    </row>
    <row r="158" spans="1:20">
      <c r="A158" s="8"/>
      <c r="B158" s="8"/>
      <c r="C158" s="8"/>
      <c r="D158" s="8"/>
      <c r="E158" s="8"/>
      <c r="F158" s="8"/>
      <c r="G158" s="13"/>
      <c r="H158" s="13"/>
      <c r="I158" s="13"/>
      <c r="J158" s="13"/>
      <c r="K158" s="13"/>
      <c r="L158" s="13"/>
      <c r="M158" s="13"/>
      <c r="N158" s="14" t="str">
        <f t="shared" si="2"/>
        <v/>
      </c>
      <c r="O158" s="13"/>
      <c r="P158" s="8"/>
      <c r="Q158" s="8"/>
      <c r="R158" s="8"/>
      <c r="S158" s="10"/>
      <c r="T158" s="8"/>
    </row>
    <row r="159" spans="1:20">
      <c r="A159" s="8"/>
      <c r="B159" s="8"/>
      <c r="C159" s="8"/>
      <c r="D159" s="8"/>
      <c r="E159" s="8"/>
      <c r="F159" s="8"/>
      <c r="G159" s="13"/>
      <c r="H159" s="13"/>
      <c r="I159" s="13"/>
      <c r="J159" s="13"/>
      <c r="K159" s="13"/>
      <c r="L159" s="13"/>
      <c r="M159" s="13"/>
      <c r="N159" s="14" t="str">
        <f t="shared" si="2"/>
        <v/>
      </c>
      <c r="O159" s="13"/>
      <c r="P159" s="8"/>
      <c r="Q159" s="8"/>
      <c r="R159" s="8"/>
      <c r="S159" s="10"/>
      <c r="T159" s="8"/>
    </row>
    <row r="160" spans="1:20">
      <c r="A160" s="8"/>
      <c r="B160" s="8"/>
      <c r="C160" s="8"/>
      <c r="D160" s="8"/>
      <c r="E160" s="8"/>
      <c r="F160" s="8"/>
      <c r="G160" s="13"/>
      <c r="H160" s="13"/>
      <c r="I160" s="13"/>
      <c r="J160" s="13"/>
      <c r="K160" s="13"/>
      <c r="L160" s="13"/>
      <c r="M160" s="13"/>
      <c r="N160" s="14" t="str">
        <f t="shared" si="2"/>
        <v/>
      </c>
      <c r="O160" s="13"/>
      <c r="P160" s="8"/>
      <c r="Q160" s="8"/>
      <c r="R160" s="8"/>
      <c r="S160" s="10"/>
      <c r="T160" s="8"/>
    </row>
    <row r="161" spans="1:20">
      <c r="A161" s="8"/>
      <c r="B161" s="8"/>
      <c r="C161" s="8"/>
      <c r="D161" s="8"/>
      <c r="E161" s="8"/>
      <c r="F161" s="8"/>
      <c r="G161" s="13"/>
      <c r="H161" s="13"/>
      <c r="I161" s="13"/>
      <c r="J161" s="13"/>
      <c r="K161" s="13"/>
      <c r="L161" s="13"/>
      <c r="M161" s="13"/>
      <c r="N161" s="14" t="str">
        <f t="shared" si="2"/>
        <v/>
      </c>
      <c r="O161" s="13"/>
      <c r="P161" s="8"/>
      <c r="Q161" s="8"/>
      <c r="R161" s="8"/>
      <c r="S161" s="10"/>
      <c r="T161" s="8"/>
    </row>
    <row r="162" spans="1:20">
      <c r="A162" s="8"/>
      <c r="B162" s="8"/>
      <c r="C162" s="8"/>
      <c r="D162" s="8"/>
      <c r="E162" s="8"/>
      <c r="F162" s="8"/>
      <c r="G162" s="13"/>
      <c r="H162" s="13"/>
      <c r="I162" s="13"/>
      <c r="J162" s="13"/>
      <c r="K162" s="13"/>
      <c r="L162" s="13"/>
      <c r="M162" s="13"/>
      <c r="N162" s="14" t="str">
        <f t="shared" si="2"/>
        <v/>
      </c>
      <c r="O162" s="13"/>
      <c r="P162" s="8"/>
      <c r="Q162" s="8"/>
      <c r="R162" s="8"/>
      <c r="S162" s="10"/>
      <c r="T162" s="8"/>
    </row>
    <row r="163" spans="1:20">
      <c r="A163" s="8"/>
      <c r="B163" s="8"/>
      <c r="C163" s="8"/>
      <c r="D163" s="8"/>
      <c r="E163" s="8"/>
      <c r="F163" s="8"/>
      <c r="G163" s="13"/>
      <c r="H163" s="13"/>
      <c r="I163" s="13"/>
      <c r="J163" s="13"/>
      <c r="K163" s="13"/>
      <c r="L163" s="13"/>
      <c r="M163" s="13"/>
      <c r="N163" s="14" t="str">
        <f t="shared" si="2"/>
        <v/>
      </c>
      <c r="O163" s="13"/>
      <c r="P163" s="8"/>
      <c r="Q163" s="8"/>
      <c r="R163" s="8"/>
      <c r="S163" s="10"/>
      <c r="T163" s="8"/>
    </row>
    <row r="164" spans="1:20">
      <c r="A164" s="8"/>
      <c r="B164" s="8"/>
      <c r="C164" s="8"/>
      <c r="D164" s="8"/>
      <c r="E164" s="8"/>
      <c r="F164" s="8"/>
      <c r="G164" s="13"/>
      <c r="H164" s="13"/>
      <c r="I164" s="13"/>
      <c r="J164" s="13"/>
      <c r="K164" s="13"/>
      <c r="L164" s="13"/>
      <c r="M164" s="13"/>
      <c r="N164" s="14" t="str">
        <f t="shared" si="2"/>
        <v/>
      </c>
      <c r="O164" s="13"/>
      <c r="P164" s="8"/>
      <c r="Q164" s="8"/>
      <c r="R164" s="8"/>
      <c r="S164" s="10"/>
      <c r="T164" s="8"/>
    </row>
    <row r="165" spans="1:20">
      <c r="A165" s="8"/>
      <c r="B165" s="8"/>
      <c r="C165" s="8"/>
      <c r="D165" s="8"/>
      <c r="E165" s="8"/>
      <c r="F165" s="8"/>
      <c r="G165" s="13"/>
      <c r="H165" s="13"/>
      <c r="I165" s="13"/>
      <c r="J165" s="13"/>
      <c r="K165" s="13"/>
      <c r="L165" s="13"/>
      <c r="M165" s="13"/>
      <c r="N165" s="14" t="str">
        <f t="shared" si="2"/>
        <v/>
      </c>
      <c r="O165" s="13"/>
      <c r="P165" s="8"/>
      <c r="Q165" s="8"/>
      <c r="R165" s="8"/>
      <c r="S165" s="10"/>
      <c r="T165" s="8"/>
    </row>
    <row r="166" spans="1:20">
      <c r="A166" s="8"/>
      <c r="B166" s="8"/>
      <c r="C166" s="8"/>
      <c r="D166" s="8"/>
      <c r="E166" s="8"/>
      <c r="F166" s="8"/>
      <c r="G166" s="13"/>
      <c r="H166" s="13"/>
      <c r="I166" s="13"/>
      <c r="J166" s="13"/>
      <c r="K166" s="13"/>
      <c r="L166" s="13"/>
      <c r="M166" s="13"/>
      <c r="N166" s="14" t="str">
        <f t="shared" si="2"/>
        <v/>
      </c>
      <c r="O166" s="13"/>
      <c r="P166" s="8"/>
      <c r="Q166" s="8"/>
      <c r="R166" s="8"/>
      <c r="S166" s="10"/>
      <c r="T166" s="8"/>
    </row>
    <row r="167" spans="1:20">
      <c r="A167" s="8"/>
      <c r="B167" s="8"/>
      <c r="C167" s="8"/>
      <c r="D167" s="8"/>
      <c r="E167" s="8"/>
      <c r="F167" s="8"/>
      <c r="G167" s="13"/>
      <c r="H167" s="13"/>
      <c r="I167" s="13"/>
      <c r="J167" s="13"/>
      <c r="K167" s="13"/>
      <c r="L167" s="13"/>
      <c r="M167" s="13"/>
      <c r="N167" s="14" t="str">
        <f t="shared" si="2"/>
        <v/>
      </c>
      <c r="O167" s="13"/>
      <c r="P167" s="8"/>
      <c r="Q167" s="8"/>
      <c r="R167" s="8"/>
      <c r="S167" s="10"/>
      <c r="T167" s="8"/>
    </row>
    <row r="168" spans="1:20">
      <c r="A168" s="8"/>
      <c r="B168" s="8"/>
      <c r="C168" s="8"/>
      <c r="D168" s="8"/>
      <c r="E168" s="8"/>
      <c r="F168" s="8"/>
      <c r="G168" s="13"/>
      <c r="H168" s="13"/>
      <c r="I168" s="13"/>
      <c r="J168" s="13"/>
      <c r="K168" s="13"/>
      <c r="L168" s="13"/>
      <c r="M168" s="13"/>
      <c r="N168" s="14" t="str">
        <f t="shared" si="2"/>
        <v/>
      </c>
      <c r="O168" s="13"/>
      <c r="P168" s="8"/>
      <c r="Q168" s="8"/>
      <c r="R168" s="8"/>
      <c r="S168" s="10"/>
      <c r="T168" s="8"/>
    </row>
    <row r="169" spans="1:20">
      <c r="A169" s="8"/>
      <c r="B169" s="8"/>
      <c r="C169" s="8"/>
      <c r="D169" s="8"/>
      <c r="E169" s="8"/>
      <c r="F169" s="8"/>
      <c r="G169" s="13"/>
      <c r="H169" s="13"/>
      <c r="I169" s="13"/>
      <c r="J169" s="13"/>
      <c r="K169" s="13"/>
      <c r="L169" s="13"/>
      <c r="M169" s="13"/>
      <c r="N169" s="14" t="str">
        <f t="shared" si="2"/>
        <v/>
      </c>
      <c r="O169" s="13"/>
      <c r="P169" s="8"/>
      <c r="Q169" s="8"/>
      <c r="R169" s="8"/>
      <c r="S169" s="10"/>
      <c r="T169" s="8"/>
    </row>
    <row r="170" spans="1:20">
      <c r="A170" s="8"/>
      <c r="B170" s="8"/>
      <c r="C170" s="8"/>
      <c r="D170" s="8"/>
      <c r="E170" s="8"/>
      <c r="F170" s="8"/>
      <c r="G170" s="13"/>
      <c r="H170" s="13"/>
      <c r="I170" s="13"/>
      <c r="J170" s="13"/>
      <c r="K170" s="13"/>
      <c r="L170" s="13"/>
      <c r="M170" s="13"/>
      <c r="N170" s="14" t="str">
        <f t="shared" si="2"/>
        <v/>
      </c>
      <c r="O170" s="13"/>
      <c r="P170" s="8"/>
      <c r="Q170" s="8"/>
      <c r="R170" s="8"/>
      <c r="S170" s="10"/>
      <c r="T170" s="8"/>
    </row>
    <row r="171" spans="1:20">
      <c r="A171" s="8"/>
      <c r="B171" s="8"/>
      <c r="C171" s="8"/>
      <c r="D171" s="8"/>
      <c r="E171" s="8"/>
      <c r="F171" s="8"/>
      <c r="G171" s="13"/>
      <c r="H171" s="13"/>
      <c r="I171" s="13"/>
      <c r="J171" s="13"/>
      <c r="K171" s="13"/>
      <c r="L171" s="13"/>
      <c r="M171" s="13"/>
      <c r="N171" s="14" t="str">
        <f t="shared" si="2"/>
        <v/>
      </c>
      <c r="O171" s="13"/>
      <c r="P171" s="8"/>
      <c r="Q171" s="8"/>
      <c r="R171" s="8"/>
      <c r="S171" s="10"/>
      <c r="T171" s="8"/>
    </row>
    <row r="172" spans="1:20">
      <c r="A172" s="8"/>
      <c r="B172" s="8"/>
      <c r="C172" s="8"/>
      <c r="D172" s="8"/>
      <c r="E172" s="8"/>
      <c r="F172" s="8"/>
      <c r="G172" s="13"/>
      <c r="H172" s="13"/>
      <c r="I172" s="13"/>
      <c r="J172" s="13"/>
      <c r="K172" s="13"/>
      <c r="L172" s="13"/>
      <c r="M172" s="13"/>
      <c r="N172" s="14" t="str">
        <f t="shared" si="2"/>
        <v/>
      </c>
      <c r="O172" s="13"/>
      <c r="P172" s="8"/>
      <c r="Q172" s="8"/>
      <c r="R172" s="8"/>
      <c r="S172" s="10"/>
      <c r="T172" s="8"/>
    </row>
    <row r="173" spans="1:20">
      <c r="A173" s="8"/>
      <c r="B173" s="8"/>
      <c r="C173" s="8"/>
      <c r="D173" s="8"/>
      <c r="E173" s="8"/>
      <c r="F173" s="8"/>
      <c r="G173" s="13"/>
      <c r="H173" s="13"/>
      <c r="I173" s="13"/>
      <c r="J173" s="13"/>
      <c r="K173" s="13"/>
      <c r="L173" s="13"/>
      <c r="M173" s="13"/>
      <c r="N173" s="14" t="str">
        <f t="shared" si="2"/>
        <v/>
      </c>
      <c r="O173" s="13"/>
      <c r="P173" s="8"/>
      <c r="Q173" s="8"/>
      <c r="R173" s="8"/>
      <c r="S173" s="10"/>
      <c r="T173" s="8"/>
    </row>
    <row r="174" spans="1:20">
      <c r="A174" s="8"/>
      <c r="B174" s="8"/>
      <c r="C174" s="8"/>
      <c r="D174" s="8"/>
      <c r="E174" s="8"/>
      <c r="F174" s="8"/>
      <c r="G174" s="13"/>
      <c r="H174" s="13"/>
      <c r="I174" s="13"/>
      <c r="J174" s="13"/>
      <c r="K174" s="13"/>
      <c r="L174" s="13"/>
      <c r="M174" s="13"/>
      <c r="N174" s="14" t="str">
        <f t="shared" si="2"/>
        <v/>
      </c>
      <c r="O174" s="13"/>
      <c r="P174" s="8"/>
      <c r="Q174" s="8"/>
      <c r="R174" s="8"/>
      <c r="S174" s="10"/>
      <c r="T174" s="8"/>
    </row>
    <row r="175" spans="1:20">
      <c r="A175" s="8"/>
      <c r="B175" s="8"/>
      <c r="C175" s="8"/>
      <c r="D175" s="8"/>
      <c r="E175" s="8"/>
      <c r="F175" s="8"/>
      <c r="G175" s="13"/>
      <c r="H175" s="13"/>
      <c r="I175" s="13"/>
      <c r="J175" s="13"/>
      <c r="K175" s="13"/>
      <c r="L175" s="13"/>
      <c r="M175" s="13"/>
      <c r="N175" s="14" t="str">
        <f t="shared" si="2"/>
        <v/>
      </c>
      <c r="O175" s="13"/>
      <c r="P175" s="8"/>
      <c r="Q175" s="8"/>
      <c r="R175" s="8"/>
      <c r="S175" s="10"/>
      <c r="T175" s="8"/>
    </row>
    <row r="176" spans="1:20">
      <c r="A176" s="8"/>
      <c r="B176" s="8"/>
      <c r="C176" s="8"/>
      <c r="D176" s="8"/>
      <c r="E176" s="8"/>
      <c r="F176" s="8"/>
      <c r="G176" s="13"/>
      <c r="H176" s="13"/>
      <c r="I176" s="13"/>
      <c r="J176" s="13"/>
      <c r="K176" s="13"/>
      <c r="L176" s="13"/>
      <c r="M176" s="13"/>
      <c r="N176" s="14" t="str">
        <f t="shared" si="2"/>
        <v/>
      </c>
      <c r="O176" s="13"/>
      <c r="P176" s="8"/>
      <c r="Q176" s="8"/>
      <c r="R176" s="8"/>
      <c r="S176" s="10"/>
      <c r="T176" s="8"/>
    </row>
    <row r="177" spans="1:20">
      <c r="A177" s="8"/>
      <c r="B177" s="8"/>
      <c r="C177" s="8"/>
      <c r="D177" s="8"/>
      <c r="E177" s="8"/>
      <c r="F177" s="8"/>
      <c r="G177" s="13"/>
      <c r="H177" s="13"/>
      <c r="I177" s="13"/>
      <c r="J177" s="13"/>
      <c r="K177" s="13"/>
      <c r="L177" s="13"/>
      <c r="M177" s="13"/>
      <c r="N177" s="14" t="str">
        <f t="shared" si="2"/>
        <v/>
      </c>
      <c r="O177" s="13"/>
      <c r="P177" s="8"/>
      <c r="Q177" s="8"/>
      <c r="R177" s="8"/>
      <c r="S177" s="10"/>
      <c r="T177" s="8"/>
    </row>
    <row r="178" spans="1:20">
      <c r="A178" s="8"/>
      <c r="B178" s="8"/>
      <c r="C178" s="8"/>
      <c r="D178" s="8"/>
      <c r="E178" s="8"/>
      <c r="F178" s="8"/>
      <c r="G178" s="13"/>
      <c r="H178" s="13"/>
      <c r="I178" s="13"/>
      <c r="J178" s="13"/>
      <c r="K178" s="13"/>
      <c r="L178" s="13"/>
      <c r="M178" s="13"/>
      <c r="N178" s="14" t="str">
        <f t="shared" si="2"/>
        <v/>
      </c>
      <c r="O178" s="13"/>
      <c r="P178" s="8"/>
      <c r="Q178" s="8"/>
      <c r="R178" s="8"/>
      <c r="S178" s="10"/>
      <c r="T178" s="8"/>
    </row>
    <row r="179" spans="1:20">
      <c r="A179" s="8"/>
      <c r="B179" s="8"/>
      <c r="C179" s="8"/>
      <c r="D179" s="8"/>
      <c r="E179" s="8"/>
      <c r="F179" s="8"/>
      <c r="G179" s="13"/>
      <c r="H179" s="13"/>
      <c r="I179" s="13"/>
      <c r="J179" s="13"/>
      <c r="K179" s="13"/>
      <c r="L179" s="13"/>
      <c r="M179" s="13"/>
      <c r="N179" s="14" t="str">
        <f t="shared" si="2"/>
        <v/>
      </c>
      <c r="O179" s="13"/>
      <c r="P179" s="8"/>
      <c r="Q179" s="8"/>
      <c r="R179" s="8"/>
      <c r="S179" s="10"/>
      <c r="T179" s="8"/>
    </row>
    <row r="180" spans="1:20">
      <c r="A180" s="8"/>
      <c r="B180" s="8"/>
      <c r="C180" s="8"/>
      <c r="D180" s="8"/>
      <c r="E180" s="8"/>
      <c r="F180" s="8"/>
      <c r="G180" s="13"/>
      <c r="H180" s="13"/>
      <c r="I180" s="13"/>
      <c r="J180" s="13"/>
      <c r="K180" s="13"/>
      <c r="L180" s="13"/>
      <c r="M180" s="13"/>
      <c r="N180" s="14" t="str">
        <f t="shared" si="2"/>
        <v/>
      </c>
      <c r="O180" s="13"/>
      <c r="P180" s="8"/>
      <c r="Q180" s="8"/>
      <c r="R180" s="8"/>
      <c r="S180" s="10"/>
      <c r="T180" s="8"/>
    </row>
    <row r="181" spans="1:20">
      <c r="A181" s="8"/>
      <c r="B181" s="8"/>
      <c r="C181" s="8"/>
      <c r="D181" s="8"/>
      <c r="E181" s="8"/>
      <c r="F181" s="8"/>
      <c r="G181" s="13"/>
      <c r="H181" s="13"/>
      <c r="I181" s="13"/>
      <c r="J181" s="13"/>
      <c r="K181" s="13"/>
      <c r="L181" s="13"/>
      <c r="M181" s="13"/>
      <c r="N181" s="14" t="str">
        <f t="shared" si="2"/>
        <v/>
      </c>
      <c r="O181" s="13"/>
      <c r="P181" s="8"/>
      <c r="Q181" s="8"/>
      <c r="R181" s="8"/>
      <c r="S181" s="10"/>
      <c r="T181" s="8"/>
    </row>
    <row r="182" spans="1:20">
      <c r="A182" s="8"/>
      <c r="B182" s="8"/>
      <c r="C182" s="8"/>
      <c r="D182" s="8"/>
      <c r="E182" s="8"/>
      <c r="F182" s="8"/>
      <c r="G182" s="13"/>
      <c r="H182" s="13"/>
      <c r="I182" s="13"/>
      <c r="J182" s="13"/>
      <c r="K182" s="13"/>
      <c r="L182" s="13"/>
      <c r="M182" s="13"/>
      <c r="N182" s="14" t="str">
        <f t="shared" si="2"/>
        <v/>
      </c>
      <c r="O182" s="13"/>
      <c r="P182" s="8"/>
      <c r="Q182" s="8"/>
      <c r="R182" s="8"/>
      <c r="S182" s="10"/>
      <c r="T182" s="8"/>
    </row>
    <row r="183" spans="1:20">
      <c r="A183" s="8"/>
      <c r="B183" s="8"/>
      <c r="C183" s="8"/>
      <c r="D183" s="8"/>
      <c r="E183" s="8"/>
      <c r="F183" s="8"/>
      <c r="G183" s="13"/>
      <c r="H183" s="13"/>
      <c r="I183" s="13"/>
      <c r="J183" s="13"/>
      <c r="K183" s="13"/>
      <c r="L183" s="13"/>
      <c r="M183" s="13"/>
      <c r="N183" s="14" t="str">
        <f t="shared" si="2"/>
        <v/>
      </c>
      <c r="O183" s="13"/>
      <c r="P183" s="8"/>
      <c r="Q183" s="8"/>
      <c r="R183" s="8"/>
      <c r="S183" s="10"/>
      <c r="T183" s="8"/>
    </row>
    <row r="184" spans="1:20">
      <c r="A184" s="8"/>
      <c r="B184" s="8"/>
      <c r="C184" s="8"/>
      <c r="D184" s="8"/>
      <c r="E184" s="8"/>
      <c r="F184" s="8"/>
      <c r="G184" s="13"/>
      <c r="H184" s="13"/>
      <c r="I184" s="13"/>
      <c r="J184" s="13"/>
      <c r="K184" s="13"/>
      <c r="L184" s="13"/>
      <c r="M184" s="13"/>
      <c r="N184" s="14" t="str">
        <f t="shared" si="2"/>
        <v/>
      </c>
      <c r="O184" s="13"/>
      <c r="P184" s="8"/>
      <c r="Q184" s="8"/>
      <c r="R184" s="8"/>
      <c r="S184" s="10"/>
      <c r="T184" s="8"/>
    </row>
    <row r="185" spans="1:20">
      <c r="A185" s="8"/>
      <c r="B185" s="8"/>
      <c r="C185" s="8"/>
      <c r="D185" s="8"/>
      <c r="E185" s="8"/>
      <c r="F185" s="8"/>
      <c r="G185" s="13"/>
      <c r="H185" s="13"/>
      <c r="I185" s="13"/>
      <c r="J185" s="13"/>
      <c r="K185" s="13"/>
      <c r="L185" s="13"/>
      <c r="M185" s="13"/>
      <c r="N185" s="14" t="str">
        <f t="shared" si="2"/>
        <v/>
      </c>
      <c r="O185" s="13"/>
      <c r="P185" s="8"/>
      <c r="Q185" s="8"/>
      <c r="R185" s="8"/>
      <c r="S185" s="10"/>
      <c r="T185" s="8"/>
    </row>
    <row r="186" spans="1:20">
      <c r="A186" s="8"/>
      <c r="B186" s="8"/>
      <c r="C186" s="8"/>
      <c r="D186" s="8"/>
      <c r="E186" s="8"/>
      <c r="F186" s="8"/>
      <c r="G186" s="13"/>
      <c r="H186" s="13"/>
      <c r="I186" s="13"/>
      <c r="J186" s="13"/>
      <c r="K186" s="13"/>
      <c r="L186" s="13"/>
      <c r="M186" s="13"/>
      <c r="N186" s="14" t="str">
        <f t="shared" si="2"/>
        <v/>
      </c>
      <c r="O186" s="13"/>
      <c r="P186" s="8"/>
      <c r="Q186" s="8"/>
      <c r="R186" s="8"/>
      <c r="S186" s="10"/>
      <c r="T186" s="8"/>
    </row>
    <row r="187" spans="1:20">
      <c r="A187" s="8"/>
      <c r="B187" s="8"/>
      <c r="C187" s="8"/>
      <c r="D187" s="8"/>
      <c r="E187" s="8"/>
      <c r="F187" s="8"/>
      <c r="G187" s="13"/>
      <c r="H187" s="13"/>
      <c r="I187" s="13"/>
      <c r="J187" s="13"/>
      <c r="K187" s="13"/>
      <c r="L187" s="13"/>
      <c r="M187" s="13"/>
      <c r="N187" s="14" t="str">
        <f t="shared" si="2"/>
        <v/>
      </c>
      <c r="O187" s="13"/>
      <c r="P187" s="8"/>
      <c r="Q187" s="8"/>
      <c r="R187" s="8"/>
      <c r="S187" s="10"/>
      <c r="T187" s="8"/>
    </row>
    <row r="188" spans="1:20">
      <c r="A188" s="8"/>
      <c r="B188" s="8"/>
      <c r="C188" s="8"/>
      <c r="D188" s="8"/>
      <c r="E188" s="8"/>
      <c r="F188" s="8"/>
      <c r="G188" s="13"/>
      <c r="H188" s="13"/>
      <c r="I188" s="13"/>
      <c r="J188" s="13"/>
      <c r="K188" s="13"/>
      <c r="L188" s="13"/>
      <c r="M188" s="13"/>
      <c r="N188" s="14" t="str">
        <f t="shared" si="2"/>
        <v/>
      </c>
      <c r="O188" s="13"/>
      <c r="P188" s="8"/>
      <c r="Q188" s="8"/>
      <c r="R188" s="8"/>
      <c r="S188" s="10"/>
      <c r="T188" s="8"/>
    </row>
    <row r="189" spans="1:20">
      <c r="A189" s="8"/>
      <c r="B189" s="8"/>
      <c r="C189" s="8"/>
      <c r="D189" s="8"/>
      <c r="E189" s="8"/>
      <c r="F189" s="8"/>
      <c r="G189" s="13"/>
      <c r="H189" s="13"/>
      <c r="I189" s="13"/>
      <c r="J189" s="13"/>
      <c r="K189" s="13"/>
      <c r="L189" s="13"/>
      <c r="M189" s="13"/>
      <c r="N189" s="14" t="str">
        <f t="shared" si="2"/>
        <v/>
      </c>
      <c r="O189" s="13"/>
      <c r="P189" s="8"/>
      <c r="Q189" s="8"/>
      <c r="R189" s="8"/>
      <c r="S189" s="10"/>
      <c r="T189" s="8"/>
    </row>
    <row r="190" spans="1:20">
      <c r="A190" s="8"/>
      <c r="B190" s="8"/>
      <c r="C190" s="8"/>
      <c r="D190" s="8"/>
      <c r="E190" s="8"/>
      <c r="F190" s="8"/>
      <c r="G190" s="13"/>
      <c r="H190" s="13"/>
      <c r="I190" s="13"/>
      <c r="J190" s="13"/>
      <c r="K190" s="13"/>
      <c r="L190" s="13"/>
      <c r="M190" s="13"/>
      <c r="N190" s="14" t="str">
        <f t="shared" si="2"/>
        <v/>
      </c>
      <c r="O190" s="13"/>
      <c r="P190" s="8"/>
      <c r="Q190" s="8"/>
      <c r="R190" s="8"/>
      <c r="S190" s="10"/>
      <c r="T190" s="8"/>
    </row>
    <row r="191" spans="1:20">
      <c r="A191" s="8"/>
      <c r="B191" s="8"/>
      <c r="C191" s="8"/>
      <c r="D191" s="8"/>
      <c r="E191" s="8"/>
      <c r="F191" s="8"/>
      <c r="G191" s="13"/>
      <c r="H191" s="13"/>
      <c r="I191" s="13"/>
      <c r="J191" s="13"/>
      <c r="K191" s="13"/>
      <c r="L191" s="13"/>
      <c r="M191" s="13"/>
      <c r="N191" s="14" t="str">
        <f t="shared" si="2"/>
        <v/>
      </c>
      <c r="O191" s="13"/>
      <c r="P191" s="8"/>
      <c r="Q191" s="8"/>
      <c r="R191" s="8"/>
      <c r="S191" s="10"/>
      <c r="T191" s="8"/>
    </row>
    <row r="192" spans="1:20">
      <c r="A192" s="8"/>
      <c r="B192" s="8"/>
      <c r="C192" s="8"/>
      <c r="D192" s="8"/>
      <c r="E192" s="8"/>
      <c r="F192" s="8"/>
      <c r="G192" s="13"/>
      <c r="H192" s="13"/>
      <c r="I192" s="13"/>
      <c r="J192" s="13"/>
      <c r="K192" s="13"/>
      <c r="L192" s="13"/>
      <c r="M192" s="13"/>
      <c r="N192" s="14" t="str">
        <f t="shared" si="2"/>
        <v/>
      </c>
      <c r="O192" s="13"/>
      <c r="P192" s="8"/>
      <c r="Q192" s="8"/>
      <c r="R192" s="8"/>
      <c r="S192" s="10"/>
      <c r="T192" s="8"/>
    </row>
    <row r="193" spans="1:20">
      <c r="A193" s="8"/>
      <c r="B193" s="8"/>
      <c r="C193" s="8"/>
      <c r="D193" s="8"/>
      <c r="E193" s="8"/>
      <c r="F193" s="8"/>
      <c r="G193" s="13"/>
      <c r="H193" s="13"/>
      <c r="I193" s="13"/>
      <c r="J193" s="13"/>
      <c r="K193" s="13"/>
      <c r="L193" s="13"/>
      <c r="M193" s="13"/>
      <c r="N193" s="14" t="str">
        <f t="shared" si="2"/>
        <v/>
      </c>
      <c r="O193" s="13"/>
      <c r="P193" s="8"/>
      <c r="Q193" s="8"/>
      <c r="R193" s="8"/>
      <c r="S193" s="10"/>
      <c r="T193" s="8"/>
    </row>
    <row r="194" spans="1:20">
      <c r="A194" s="8"/>
      <c r="B194" s="8"/>
      <c r="C194" s="8"/>
      <c r="D194" s="8"/>
      <c r="E194" s="8"/>
      <c r="F194" s="8"/>
      <c r="G194" s="13"/>
      <c r="H194" s="13"/>
      <c r="I194" s="13"/>
      <c r="J194" s="13"/>
      <c r="K194" s="13"/>
      <c r="L194" s="13"/>
      <c r="M194" s="13"/>
      <c r="N194" s="14" t="str">
        <f t="shared" si="2"/>
        <v/>
      </c>
      <c r="O194" s="13"/>
      <c r="P194" s="8"/>
      <c r="Q194" s="8"/>
      <c r="R194" s="8"/>
      <c r="S194" s="10"/>
      <c r="T194" s="8"/>
    </row>
    <row r="195" spans="1:20">
      <c r="A195" s="8"/>
      <c r="B195" s="8"/>
      <c r="C195" s="8"/>
      <c r="D195" s="8"/>
      <c r="E195" s="8"/>
      <c r="F195" s="8"/>
      <c r="G195" s="13"/>
      <c r="H195" s="13"/>
      <c r="I195" s="13"/>
      <c r="J195" s="13"/>
      <c r="K195" s="13"/>
      <c r="L195" s="13"/>
      <c r="M195" s="13"/>
      <c r="N195" s="14" t="str">
        <f t="shared" si="2"/>
        <v/>
      </c>
      <c r="O195" s="13"/>
      <c r="P195" s="8"/>
      <c r="Q195" s="8"/>
      <c r="R195" s="8"/>
      <c r="S195" s="10"/>
      <c r="T195" s="8"/>
    </row>
    <row r="196" spans="1:20">
      <c r="A196" s="8"/>
      <c r="B196" s="8"/>
      <c r="C196" s="8"/>
      <c r="D196" s="8"/>
      <c r="E196" s="8"/>
      <c r="F196" s="8"/>
      <c r="G196" s="13"/>
      <c r="H196" s="13"/>
      <c r="I196" s="13"/>
      <c r="J196" s="13"/>
      <c r="K196" s="13"/>
      <c r="L196" s="13"/>
      <c r="M196" s="13"/>
      <c r="N196" s="14" t="str">
        <f t="shared" si="2"/>
        <v/>
      </c>
      <c r="O196" s="13"/>
      <c r="P196" s="8"/>
      <c r="Q196" s="8"/>
      <c r="R196" s="8"/>
      <c r="S196" s="10"/>
      <c r="T196" s="8"/>
    </row>
    <row r="197" spans="1:20">
      <c r="A197" s="8"/>
      <c r="B197" s="8"/>
      <c r="C197" s="8"/>
      <c r="D197" s="8"/>
      <c r="E197" s="8"/>
      <c r="F197" s="8"/>
      <c r="G197" s="13"/>
      <c r="H197" s="13"/>
      <c r="I197" s="13"/>
      <c r="J197" s="13"/>
      <c r="K197" s="13"/>
      <c r="L197" s="13"/>
      <c r="M197" s="13"/>
      <c r="N197" s="14" t="str">
        <f t="shared" ref="N197:N260" si="3">IF(A197="","",MAX(0,H197-K197-L197+M197))</f>
        <v/>
      </c>
      <c r="O197" s="13"/>
      <c r="P197" s="8"/>
      <c r="Q197" s="8"/>
      <c r="R197" s="8"/>
      <c r="S197" s="10"/>
      <c r="T197" s="8"/>
    </row>
    <row r="198" spans="1:20">
      <c r="A198" s="8"/>
      <c r="B198" s="8"/>
      <c r="C198" s="8"/>
      <c r="D198" s="8"/>
      <c r="E198" s="8"/>
      <c r="F198" s="8"/>
      <c r="G198" s="13"/>
      <c r="H198" s="13"/>
      <c r="I198" s="13"/>
      <c r="J198" s="13"/>
      <c r="K198" s="13"/>
      <c r="L198" s="13"/>
      <c r="M198" s="13"/>
      <c r="N198" s="14" t="str">
        <f t="shared" si="3"/>
        <v/>
      </c>
      <c r="O198" s="13"/>
      <c r="P198" s="8"/>
      <c r="Q198" s="8"/>
      <c r="R198" s="8"/>
      <c r="S198" s="10"/>
      <c r="T198" s="8"/>
    </row>
    <row r="199" spans="1:20">
      <c r="A199" s="8"/>
      <c r="B199" s="8"/>
      <c r="C199" s="8"/>
      <c r="D199" s="8"/>
      <c r="E199" s="8"/>
      <c r="F199" s="8"/>
      <c r="G199" s="13"/>
      <c r="H199" s="13"/>
      <c r="I199" s="13"/>
      <c r="J199" s="13"/>
      <c r="K199" s="13"/>
      <c r="L199" s="13"/>
      <c r="M199" s="13"/>
      <c r="N199" s="14" t="str">
        <f t="shared" si="3"/>
        <v/>
      </c>
      <c r="O199" s="13"/>
      <c r="P199" s="8"/>
      <c r="Q199" s="8"/>
      <c r="R199" s="8"/>
      <c r="S199" s="10"/>
      <c r="T199" s="8"/>
    </row>
    <row r="200" spans="1:20">
      <c r="A200" s="8"/>
      <c r="B200" s="8"/>
      <c r="C200" s="8"/>
      <c r="D200" s="8"/>
      <c r="E200" s="8"/>
      <c r="F200" s="8"/>
      <c r="G200" s="13"/>
      <c r="H200" s="13"/>
      <c r="I200" s="13"/>
      <c r="J200" s="13"/>
      <c r="K200" s="13"/>
      <c r="L200" s="13"/>
      <c r="M200" s="13"/>
      <c r="N200" s="14" t="str">
        <f t="shared" si="3"/>
        <v/>
      </c>
      <c r="O200" s="13"/>
      <c r="P200" s="8"/>
      <c r="Q200" s="8"/>
      <c r="R200" s="8"/>
      <c r="S200" s="10"/>
      <c r="T200" s="8"/>
    </row>
    <row r="201" spans="1:20">
      <c r="A201" s="8"/>
      <c r="B201" s="8"/>
      <c r="C201" s="8"/>
      <c r="D201" s="8"/>
      <c r="E201" s="8"/>
      <c r="F201" s="8"/>
      <c r="G201" s="13"/>
      <c r="H201" s="13"/>
      <c r="I201" s="13"/>
      <c r="J201" s="13"/>
      <c r="K201" s="13"/>
      <c r="L201" s="13"/>
      <c r="M201" s="13"/>
      <c r="N201" s="14" t="str">
        <f t="shared" si="3"/>
        <v/>
      </c>
      <c r="O201" s="13"/>
      <c r="P201" s="8"/>
      <c r="Q201" s="8"/>
      <c r="R201" s="8"/>
      <c r="S201" s="10"/>
      <c r="T201" s="8"/>
    </row>
    <row r="202" spans="1:20">
      <c r="A202" s="8"/>
      <c r="B202" s="8"/>
      <c r="C202" s="8"/>
      <c r="D202" s="8"/>
      <c r="E202" s="8"/>
      <c r="F202" s="8"/>
      <c r="G202" s="13"/>
      <c r="H202" s="13"/>
      <c r="I202" s="13"/>
      <c r="J202" s="13"/>
      <c r="K202" s="13"/>
      <c r="L202" s="13"/>
      <c r="M202" s="13"/>
      <c r="N202" s="14" t="str">
        <f t="shared" si="3"/>
        <v/>
      </c>
      <c r="O202" s="13"/>
      <c r="P202" s="8"/>
      <c r="Q202" s="8"/>
      <c r="R202" s="8"/>
      <c r="S202" s="10"/>
      <c r="T202" s="8"/>
    </row>
    <row r="203" spans="1:20">
      <c r="A203" s="8"/>
      <c r="B203" s="8"/>
      <c r="C203" s="8"/>
      <c r="D203" s="8"/>
      <c r="E203" s="8"/>
      <c r="F203" s="8"/>
      <c r="G203" s="13"/>
      <c r="H203" s="13"/>
      <c r="I203" s="13"/>
      <c r="J203" s="13"/>
      <c r="K203" s="13"/>
      <c r="L203" s="13"/>
      <c r="M203" s="13"/>
      <c r="N203" s="14" t="str">
        <f t="shared" si="3"/>
        <v/>
      </c>
      <c r="O203" s="13"/>
      <c r="P203" s="8"/>
      <c r="Q203" s="8"/>
      <c r="R203" s="8"/>
      <c r="S203" s="10"/>
      <c r="T203" s="8"/>
    </row>
    <row r="204" spans="1:20">
      <c r="A204" s="8"/>
      <c r="B204" s="8"/>
      <c r="C204" s="8"/>
      <c r="D204" s="8"/>
      <c r="E204" s="8"/>
      <c r="F204" s="8"/>
      <c r="G204" s="13"/>
      <c r="H204" s="13"/>
      <c r="I204" s="13"/>
      <c r="J204" s="13"/>
      <c r="K204" s="13"/>
      <c r="L204" s="13"/>
      <c r="M204" s="13"/>
      <c r="N204" s="14" t="str">
        <f t="shared" si="3"/>
        <v/>
      </c>
      <c r="O204" s="13"/>
      <c r="P204" s="8"/>
      <c r="Q204" s="8"/>
      <c r="R204" s="8"/>
      <c r="S204" s="10"/>
      <c r="T204" s="8"/>
    </row>
    <row r="205" spans="1:20">
      <c r="A205" s="8"/>
      <c r="B205" s="8"/>
      <c r="C205" s="8"/>
      <c r="D205" s="8"/>
      <c r="E205" s="8"/>
      <c r="F205" s="8"/>
      <c r="G205" s="13"/>
      <c r="H205" s="13"/>
      <c r="I205" s="13"/>
      <c r="J205" s="13"/>
      <c r="K205" s="13"/>
      <c r="L205" s="13"/>
      <c r="M205" s="13"/>
      <c r="N205" s="14" t="str">
        <f t="shared" si="3"/>
        <v/>
      </c>
      <c r="O205" s="13"/>
      <c r="P205" s="8"/>
      <c r="Q205" s="8"/>
      <c r="R205" s="8"/>
      <c r="S205" s="10"/>
      <c r="T205" s="8"/>
    </row>
    <row r="206" spans="1:20">
      <c r="A206" s="8"/>
      <c r="B206" s="8"/>
      <c r="C206" s="8"/>
      <c r="D206" s="8"/>
      <c r="E206" s="8"/>
      <c r="F206" s="8"/>
      <c r="G206" s="13"/>
      <c r="H206" s="13"/>
      <c r="I206" s="13"/>
      <c r="J206" s="13"/>
      <c r="K206" s="13"/>
      <c r="L206" s="13"/>
      <c r="M206" s="13"/>
      <c r="N206" s="14" t="str">
        <f t="shared" si="3"/>
        <v/>
      </c>
      <c r="O206" s="13"/>
      <c r="P206" s="8"/>
      <c r="Q206" s="8"/>
      <c r="R206" s="8"/>
      <c r="S206" s="10"/>
      <c r="T206" s="8"/>
    </row>
    <row r="207" spans="1:20">
      <c r="A207" s="8"/>
      <c r="B207" s="8"/>
      <c r="C207" s="8"/>
      <c r="D207" s="8"/>
      <c r="E207" s="8"/>
      <c r="F207" s="8"/>
      <c r="G207" s="13"/>
      <c r="H207" s="13"/>
      <c r="I207" s="13"/>
      <c r="J207" s="13"/>
      <c r="K207" s="13"/>
      <c r="L207" s="13"/>
      <c r="M207" s="13"/>
      <c r="N207" s="14" t="str">
        <f t="shared" si="3"/>
        <v/>
      </c>
      <c r="O207" s="13"/>
      <c r="P207" s="8"/>
      <c r="Q207" s="8"/>
      <c r="R207" s="8"/>
      <c r="S207" s="10"/>
      <c r="T207" s="8"/>
    </row>
    <row r="208" spans="1:20">
      <c r="A208" s="8"/>
      <c r="B208" s="8"/>
      <c r="C208" s="8"/>
      <c r="D208" s="8"/>
      <c r="E208" s="8"/>
      <c r="F208" s="8"/>
      <c r="G208" s="13"/>
      <c r="H208" s="13"/>
      <c r="I208" s="13"/>
      <c r="J208" s="13"/>
      <c r="K208" s="13"/>
      <c r="L208" s="13"/>
      <c r="M208" s="13"/>
      <c r="N208" s="14" t="str">
        <f t="shared" si="3"/>
        <v/>
      </c>
      <c r="O208" s="13"/>
      <c r="P208" s="8"/>
      <c r="Q208" s="8"/>
      <c r="R208" s="8"/>
      <c r="S208" s="10"/>
      <c r="T208" s="8"/>
    </row>
    <row r="209" spans="1:20">
      <c r="A209" s="8"/>
      <c r="B209" s="8"/>
      <c r="C209" s="8"/>
      <c r="D209" s="8"/>
      <c r="E209" s="8"/>
      <c r="F209" s="8"/>
      <c r="G209" s="13"/>
      <c r="H209" s="13"/>
      <c r="I209" s="13"/>
      <c r="J209" s="13"/>
      <c r="K209" s="13"/>
      <c r="L209" s="13"/>
      <c r="M209" s="13"/>
      <c r="N209" s="14" t="str">
        <f t="shared" si="3"/>
        <v/>
      </c>
      <c r="O209" s="13"/>
      <c r="P209" s="8"/>
      <c r="Q209" s="8"/>
      <c r="R209" s="8"/>
      <c r="S209" s="10"/>
      <c r="T209" s="8"/>
    </row>
    <row r="210" spans="1:20">
      <c r="A210" s="8"/>
      <c r="B210" s="8"/>
      <c r="C210" s="8"/>
      <c r="D210" s="8"/>
      <c r="E210" s="8"/>
      <c r="F210" s="8"/>
      <c r="G210" s="13"/>
      <c r="H210" s="13"/>
      <c r="I210" s="13"/>
      <c r="J210" s="13"/>
      <c r="K210" s="13"/>
      <c r="L210" s="13"/>
      <c r="M210" s="13"/>
      <c r="N210" s="14" t="str">
        <f t="shared" si="3"/>
        <v/>
      </c>
      <c r="O210" s="13"/>
      <c r="P210" s="8"/>
      <c r="Q210" s="8"/>
      <c r="R210" s="8"/>
      <c r="S210" s="10"/>
      <c r="T210" s="8"/>
    </row>
    <row r="211" spans="1:20">
      <c r="A211" s="8"/>
      <c r="B211" s="8"/>
      <c r="C211" s="8"/>
      <c r="D211" s="8"/>
      <c r="E211" s="8"/>
      <c r="F211" s="8"/>
      <c r="G211" s="13"/>
      <c r="H211" s="13"/>
      <c r="I211" s="13"/>
      <c r="J211" s="13"/>
      <c r="K211" s="13"/>
      <c r="L211" s="13"/>
      <c r="M211" s="13"/>
      <c r="N211" s="14" t="str">
        <f t="shared" si="3"/>
        <v/>
      </c>
      <c r="O211" s="13"/>
      <c r="P211" s="8"/>
      <c r="Q211" s="8"/>
      <c r="R211" s="8"/>
      <c r="S211" s="10"/>
      <c r="T211" s="8"/>
    </row>
    <row r="212" spans="1:20">
      <c r="A212" s="8"/>
      <c r="B212" s="8"/>
      <c r="C212" s="8"/>
      <c r="D212" s="8"/>
      <c r="E212" s="8"/>
      <c r="F212" s="8"/>
      <c r="G212" s="13"/>
      <c r="H212" s="13"/>
      <c r="I212" s="13"/>
      <c r="J212" s="13"/>
      <c r="K212" s="13"/>
      <c r="L212" s="13"/>
      <c r="M212" s="13"/>
      <c r="N212" s="14" t="str">
        <f t="shared" si="3"/>
        <v/>
      </c>
      <c r="O212" s="13"/>
      <c r="P212" s="8"/>
      <c r="Q212" s="8"/>
      <c r="R212" s="8"/>
      <c r="S212" s="10"/>
      <c r="T212" s="8"/>
    </row>
    <row r="213" spans="1:20">
      <c r="A213" s="8"/>
      <c r="B213" s="8"/>
      <c r="C213" s="8"/>
      <c r="D213" s="8"/>
      <c r="E213" s="8"/>
      <c r="F213" s="8"/>
      <c r="G213" s="13"/>
      <c r="H213" s="13"/>
      <c r="I213" s="13"/>
      <c r="J213" s="13"/>
      <c r="K213" s="13"/>
      <c r="L213" s="13"/>
      <c r="M213" s="13"/>
      <c r="N213" s="14" t="str">
        <f t="shared" si="3"/>
        <v/>
      </c>
      <c r="O213" s="13"/>
      <c r="P213" s="8"/>
      <c r="Q213" s="8"/>
      <c r="R213" s="8"/>
      <c r="S213" s="10"/>
      <c r="T213" s="8"/>
    </row>
    <row r="214" spans="1:20">
      <c r="A214" s="8"/>
      <c r="B214" s="8"/>
      <c r="C214" s="8"/>
      <c r="D214" s="8"/>
      <c r="E214" s="8"/>
      <c r="F214" s="8"/>
      <c r="G214" s="13"/>
      <c r="H214" s="13"/>
      <c r="I214" s="13"/>
      <c r="J214" s="13"/>
      <c r="K214" s="13"/>
      <c r="L214" s="13"/>
      <c r="M214" s="13"/>
      <c r="N214" s="14" t="str">
        <f t="shared" si="3"/>
        <v/>
      </c>
      <c r="O214" s="13"/>
      <c r="P214" s="8"/>
      <c r="Q214" s="8"/>
      <c r="R214" s="8"/>
      <c r="S214" s="10"/>
      <c r="T214" s="8"/>
    </row>
    <row r="215" spans="1:20">
      <c r="A215" s="8"/>
      <c r="B215" s="8"/>
      <c r="C215" s="8"/>
      <c r="D215" s="8"/>
      <c r="E215" s="8"/>
      <c r="F215" s="8"/>
      <c r="G215" s="13"/>
      <c r="H215" s="13"/>
      <c r="I215" s="13"/>
      <c r="J215" s="13"/>
      <c r="K215" s="13"/>
      <c r="L215" s="13"/>
      <c r="M215" s="13"/>
      <c r="N215" s="14" t="str">
        <f t="shared" si="3"/>
        <v/>
      </c>
      <c r="O215" s="13"/>
      <c r="P215" s="8"/>
      <c r="Q215" s="8"/>
      <c r="R215" s="8"/>
      <c r="S215" s="10"/>
      <c r="T215" s="8"/>
    </row>
    <row r="216" spans="1:20">
      <c r="A216" s="8"/>
      <c r="B216" s="8"/>
      <c r="C216" s="8"/>
      <c r="D216" s="8"/>
      <c r="E216" s="8"/>
      <c r="F216" s="8"/>
      <c r="G216" s="13"/>
      <c r="H216" s="13"/>
      <c r="I216" s="13"/>
      <c r="J216" s="13"/>
      <c r="K216" s="13"/>
      <c r="L216" s="13"/>
      <c r="M216" s="13"/>
      <c r="N216" s="14" t="str">
        <f t="shared" si="3"/>
        <v/>
      </c>
      <c r="O216" s="13"/>
      <c r="P216" s="8"/>
      <c r="Q216" s="8"/>
      <c r="R216" s="8"/>
      <c r="S216" s="10"/>
      <c r="T216" s="8"/>
    </row>
    <row r="217" spans="1:20">
      <c r="A217" s="8"/>
      <c r="B217" s="8"/>
      <c r="C217" s="8"/>
      <c r="D217" s="8"/>
      <c r="E217" s="8"/>
      <c r="F217" s="8"/>
      <c r="G217" s="13"/>
      <c r="H217" s="13"/>
      <c r="I217" s="13"/>
      <c r="J217" s="13"/>
      <c r="K217" s="13"/>
      <c r="L217" s="13"/>
      <c r="M217" s="13"/>
      <c r="N217" s="14" t="str">
        <f t="shared" si="3"/>
        <v/>
      </c>
      <c r="O217" s="13"/>
      <c r="P217" s="8"/>
      <c r="Q217" s="8"/>
      <c r="R217" s="8"/>
      <c r="S217" s="10"/>
      <c r="T217" s="8"/>
    </row>
    <row r="218" spans="1:20">
      <c r="A218" s="8"/>
      <c r="B218" s="8"/>
      <c r="C218" s="8"/>
      <c r="D218" s="8"/>
      <c r="E218" s="8"/>
      <c r="F218" s="8"/>
      <c r="G218" s="13"/>
      <c r="H218" s="13"/>
      <c r="I218" s="13"/>
      <c r="J218" s="13"/>
      <c r="K218" s="13"/>
      <c r="L218" s="13"/>
      <c r="M218" s="13"/>
      <c r="N218" s="14" t="str">
        <f t="shared" si="3"/>
        <v/>
      </c>
      <c r="O218" s="13"/>
      <c r="P218" s="8"/>
      <c r="Q218" s="8"/>
      <c r="R218" s="8"/>
      <c r="S218" s="10"/>
      <c r="T218" s="8"/>
    </row>
    <row r="219" spans="1:20">
      <c r="A219" s="8"/>
      <c r="B219" s="8"/>
      <c r="C219" s="8"/>
      <c r="D219" s="8"/>
      <c r="E219" s="8"/>
      <c r="F219" s="8"/>
      <c r="G219" s="13"/>
      <c r="H219" s="13"/>
      <c r="I219" s="13"/>
      <c r="J219" s="13"/>
      <c r="K219" s="13"/>
      <c r="L219" s="13"/>
      <c r="M219" s="13"/>
      <c r="N219" s="14" t="str">
        <f t="shared" si="3"/>
        <v/>
      </c>
      <c r="O219" s="13"/>
      <c r="P219" s="8"/>
      <c r="Q219" s="8"/>
      <c r="R219" s="8"/>
      <c r="S219" s="10"/>
      <c r="T219" s="8"/>
    </row>
    <row r="220" spans="1:20">
      <c r="A220" s="8"/>
      <c r="B220" s="8"/>
      <c r="C220" s="8"/>
      <c r="D220" s="8"/>
      <c r="E220" s="8"/>
      <c r="F220" s="8"/>
      <c r="G220" s="13"/>
      <c r="H220" s="13"/>
      <c r="I220" s="13"/>
      <c r="J220" s="13"/>
      <c r="K220" s="13"/>
      <c r="L220" s="13"/>
      <c r="M220" s="13"/>
      <c r="N220" s="14" t="str">
        <f t="shared" si="3"/>
        <v/>
      </c>
      <c r="O220" s="13"/>
      <c r="P220" s="8"/>
      <c r="Q220" s="8"/>
      <c r="R220" s="8"/>
      <c r="S220" s="10"/>
      <c r="T220" s="8"/>
    </row>
    <row r="221" spans="1:20">
      <c r="A221" s="8"/>
      <c r="B221" s="8"/>
      <c r="C221" s="8"/>
      <c r="D221" s="8"/>
      <c r="E221" s="8"/>
      <c r="F221" s="8"/>
      <c r="G221" s="13"/>
      <c r="H221" s="13"/>
      <c r="I221" s="13"/>
      <c r="J221" s="13"/>
      <c r="K221" s="13"/>
      <c r="L221" s="13"/>
      <c r="M221" s="13"/>
      <c r="N221" s="14" t="str">
        <f t="shared" si="3"/>
        <v/>
      </c>
      <c r="O221" s="13"/>
      <c r="P221" s="8"/>
      <c r="Q221" s="8"/>
      <c r="R221" s="8"/>
      <c r="S221" s="10"/>
      <c r="T221" s="8"/>
    </row>
    <row r="222" spans="1:20">
      <c r="A222" s="8"/>
      <c r="B222" s="8"/>
      <c r="C222" s="8"/>
      <c r="D222" s="8"/>
      <c r="E222" s="8"/>
      <c r="F222" s="8"/>
      <c r="G222" s="13"/>
      <c r="H222" s="13"/>
      <c r="I222" s="13"/>
      <c r="J222" s="13"/>
      <c r="K222" s="13"/>
      <c r="L222" s="13"/>
      <c r="M222" s="13"/>
      <c r="N222" s="14" t="str">
        <f t="shared" si="3"/>
        <v/>
      </c>
      <c r="O222" s="13"/>
      <c r="P222" s="8"/>
      <c r="Q222" s="8"/>
      <c r="R222" s="8"/>
      <c r="S222" s="10"/>
      <c r="T222" s="8"/>
    </row>
    <row r="223" spans="1:20">
      <c r="A223" s="8"/>
      <c r="B223" s="8"/>
      <c r="C223" s="8"/>
      <c r="D223" s="8"/>
      <c r="E223" s="8"/>
      <c r="F223" s="8"/>
      <c r="G223" s="13"/>
      <c r="H223" s="13"/>
      <c r="I223" s="13"/>
      <c r="J223" s="13"/>
      <c r="K223" s="13"/>
      <c r="L223" s="13"/>
      <c r="M223" s="13"/>
      <c r="N223" s="14" t="str">
        <f t="shared" si="3"/>
        <v/>
      </c>
      <c r="O223" s="13"/>
      <c r="P223" s="8"/>
      <c r="Q223" s="8"/>
      <c r="R223" s="8"/>
      <c r="S223" s="10"/>
      <c r="T223" s="8"/>
    </row>
    <row r="224" spans="1:20">
      <c r="A224" s="8"/>
      <c r="B224" s="8"/>
      <c r="C224" s="8"/>
      <c r="D224" s="8"/>
      <c r="E224" s="8"/>
      <c r="F224" s="8"/>
      <c r="G224" s="13"/>
      <c r="H224" s="13"/>
      <c r="I224" s="13"/>
      <c r="J224" s="13"/>
      <c r="K224" s="13"/>
      <c r="L224" s="13"/>
      <c r="M224" s="13"/>
      <c r="N224" s="14" t="str">
        <f t="shared" si="3"/>
        <v/>
      </c>
      <c r="O224" s="13"/>
      <c r="P224" s="8"/>
      <c r="Q224" s="8"/>
      <c r="R224" s="8"/>
      <c r="S224" s="10"/>
      <c r="T224" s="8"/>
    </row>
    <row r="225" spans="1:20">
      <c r="A225" s="8"/>
      <c r="B225" s="8"/>
      <c r="C225" s="8"/>
      <c r="D225" s="8"/>
      <c r="E225" s="8"/>
      <c r="F225" s="8"/>
      <c r="G225" s="13"/>
      <c r="H225" s="13"/>
      <c r="I225" s="13"/>
      <c r="J225" s="13"/>
      <c r="K225" s="13"/>
      <c r="L225" s="13"/>
      <c r="M225" s="13"/>
      <c r="N225" s="14" t="str">
        <f t="shared" si="3"/>
        <v/>
      </c>
      <c r="O225" s="13"/>
      <c r="P225" s="8"/>
      <c r="Q225" s="8"/>
      <c r="R225" s="8"/>
      <c r="S225" s="10"/>
      <c r="T225" s="8"/>
    </row>
    <row r="226" spans="1:20">
      <c r="A226" s="8"/>
      <c r="B226" s="8"/>
      <c r="C226" s="8"/>
      <c r="D226" s="8"/>
      <c r="E226" s="8"/>
      <c r="F226" s="8"/>
      <c r="G226" s="13"/>
      <c r="H226" s="13"/>
      <c r="I226" s="13"/>
      <c r="J226" s="13"/>
      <c r="K226" s="13"/>
      <c r="L226" s="13"/>
      <c r="M226" s="13"/>
      <c r="N226" s="14" t="str">
        <f t="shared" si="3"/>
        <v/>
      </c>
      <c r="O226" s="13"/>
      <c r="P226" s="8"/>
      <c r="Q226" s="8"/>
      <c r="R226" s="8"/>
      <c r="S226" s="10"/>
      <c r="T226" s="8"/>
    </row>
    <row r="227" spans="1:20">
      <c r="A227" s="8"/>
      <c r="B227" s="8"/>
      <c r="C227" s="8"/>
      <c r="D227" s="8"/>
      <c r="E227" s="8"/>
      <c r="F227" s="8"/>
      <c r="G227" s="13"/>
      <c r="H227" s="13"/>
      <c r="I227" s="13"/>
      <c r="J227" s="13"/>
      <c r="K227" s="13"/>
      <c r="L227" s="13"/>
      <c r="M227" s="13"/>
      <c r="N227" s="14" t="str">
        <f t="shared" si="3"/>
        <v/>
      </c>
      <c r="O227" s="13"/>
      <c r="P227" s="8"/>
      <c r="Q227" s="8"/>
      <c r="R227" s="8"/>
      <c r="S227" s="10"/>
      <c r="T227" s="8"/>
    </row>
    <row r="228" spans="1:20">
      <c r="A228" s="8"/>
      <c r="B228" s="8"/>
      <c r="C228" s="8"/>
      <c r="D228" s="8"/>
      <c r="E228" s="8"/>
      <c r="F228" s="8"/>
      <c r="G228" s="13"/>
      <c r="H228" s="13"/>
      <c r="I228" s="13"/>
      <c r="J228" s="13"/>
      <c r="K228" s="13"/>
      <c r="L228" s="13"/>
      <c r="M228" s="13"/>
      <c r="N228" s="14" t="str">
        <f t="shared" si="3"/>
        <v/>
      </c>
      <c r="O228" s="13"/>
      <c r="P228" s="8"/>
      <c r="Q228" s="8"/>
      <c r="R228" s="8"/>
      <c r="S228" s="10"/>
      <c r="T228" s="8"/>
    </row>
    <row r="229" spans="1:20">
      <c r="A229" s="8"/>
      <c r="B229" s="8"/>
      <c r="C229" s="8"/>
      <c r="D229" s="8"/>
      <c r="E229" s="8"/>
      <c r="F229" s="8"/>
      <c r="G229" s="13"/>
      <c r="H229" s="13"/>
      <c r="I229" s="13"/>
      <c r="J229" s="13"/>
      <c r="K229" s="13"/>
      <c r="L229" s="13"/>
      <c r="M229" s="13"/>
      <c r="N229" s="14" t="str">
        <f t="shared" si="3"/>
        <v/>
      </c>
      <c r="O229" s="13"/>
      <c r="P229" s="8"/>
      <c r="Q229" s="8"/>
      <c r="R229" s="8"/>
      <c r="S229" s="10"/>
      <c r="T229" s="8"/>
    </row>
    <row r="230" spans="1:20">
      <c r="A230" s="8"/>
      <c r="B230" s="8"/>
      <c r="C230" s="8"/>
      <c r="D230" s="8"/>
      <c r="E230" s="8"/>
      <c r="F230" s="8"/>
      <c r="G230" s="13"/>
      <c r="H230" s="13"/>
      <c r="I230" s="13"/>
      <c r="J230" s="13"/>
      <c r="K230" s="13"/>
      <c r="L230" s="13"/>
      <c r="M230" s="13"/>
      <c r="N230" s="14" t="str">
        <f t="shared" si="3"/>
        <v/>
      </c>
      <c r="O230" s="13"/>
      <c r="P230" s="8"/>
      <c r="Q230" s="8"/>
      <c r="R230" s="8"/>
      <c r="S230" s="10"/>
      <c r="T230" s="8"/>
    </row>
    <row r="231" spans="1:20">
      <c r="A231" s="8"/>
      <c r="B231" s="8"/>
      <c r="C231" s="8"/>
      <c r="D231" s="8"/>
      <c r="E231" s="8"/>
      <c r="F231" s="8"/>
      <c r="G231" s="13"/>
      <c r="H231" s="13"/>
      <c r="I231" s="13"/>
      <c r="J231" s="13"/>
      <c r="K231" s="13"/>
      <c r="L231" s="13"/>
      <c r="M231" s="13"/>
      <c r="N231" s="14" t="str">
        <f t="shared" si="3"/>
        <v/>
      </c>
      <c r="O231" s="13"/>
      <c r="P231" s="8"/>
      <c r="Q231" s="8"/>
      <c r="R231" s="8"/>
      <c r="S231" s="10"/>
      <c r="T231" s="8"/>
    </row>
    <row r="232" spans="1:20">
      <c r="A232" s="8"/>
      <c r="B232" s="8"/>
      <c r="C232" s="8"/>
      <c r="D232" s="8"/>
      <c r="E232" s="8"/>
      <c r="F232" s="8"/>
      <c r="G232" s="13"/>
      <c r="H232" s="13"/>
      <c r="I232" s="13"/>
      <c r="J232" s="13"/>
      <c r="K232" s="13"/>
      <c r="L232" s="13"/>
      <c r="M232" s="13"/>
      <c r="N232" s="14" t="str">
        <f t="shared" si="3"/>
        <v/>
      </c>
      <c r="O232" s="13"/>
      <c r="P232" s="8"/>
      <c r="Q232" s="8"/>
      <c r="R232" s="8"/>
      <c r="S232" s="10"/>
      <c r="T232" s="8"/>
    </row>
    <row r="233" spans="1:20">
      <c r="A233" s="8"/>
      <c r="B233" s="8"/>
      <c r="C233" s="8"/>
      <c r="D233" s="8"/>
      <c r="E233" s="8"/>
      <c r="F233" s="8"/>
      <c r="G233" s="13"/>
      <c r="H233" s="13"/>
      <c r="I233" s="13"/>
      <c r="J233" s="13"/>
      <c r="K233" s="13"/>
      <c r="L233" s="13"/>
      <c r="M233" s="13"/>
      <c r="N233" s="14" t="str">
        <f t="shared" si="3"/>
        <v/>
      </c>
      <c r="O233" s="13"/>
      <c r="P233" s="8"/>
      <c r="Q233" s="8"/>
      <c r="R233" s="8"/>
      <c r="S233" s="10"/>
      <c r="T233" s="8"/>
    </row>
    <row r="234" spans="1:20">
      <c r="A234" s="8"/>
      <c r="B234" s="8"/>
      <c r="C234" s="8"/>
      <c r="D234" s="8"/>
      <c r="E234" s="8"/>
      <c r="F234" s="8"/>
      <c r="G234" s="13"/>
      <c r="H234" s="13"/>
      <c r="I234" s="13"/>
      <c r="J234" s="13"/>
      <c r="K234" s="13"/>
      <c r="L234" s="13"/>
      <c r="M234" s="13"/>
      <c r="N234" s="14" t="str">
        <f t="shared" si="3"/>
        <v/>
      </c>
      <c r="O234" s="13"/>
      <c r="P234" s="8"/>
      <c r="Q234" s="8"/>
      <c r="R234" s="8"/>
      <c r="S234" s="10"/>
      <c r="T234" s="8"/>
    </row>
    <row r="235" spans="1:20">
      <c r="A235" s="8"/>
      <c r="B235" s="8"/>
      <c r="C235" s="8"/>
      <c r="D235" s="8"/>
      <c r="E235" s="8"/>
      <c r="F235" s="8"/>
      <c r="G235" s="13"/>
      <c r="H235" s="13"/>
      <c r="I235" s="13"/>
      <c r="J235" s="13"/>
      <c r="K235" s="13"/>
      <c r="L235" s="13"/>
      <c r="M235" s="13"/>
      <c r="N235" s="14" t="str">
        <f t="shared" si="3"/>
        <v/>
      </c>
      <c r="O235" s="13"/>
      <c r="P235" s="8"/>
      <c r="Q235" s="8"/>
      <c r="R235" s="8"/>
      <c r="S235" s="10"/>
      <c r="T235" s="8"/>
    </row>
    <row r="236" spans="1:20">
      <c r="A236" s="8"/>
      <c r="B236" s="8"/>
      <c r="C236" s="8"/>
      <c r="D236" s="8"/>
      <c r="E236" s="8"/>
      <c r="F236" s="8"/>
      <c r="G236" s="13"/>
      <c r="H236" s="13"/>
      <c r="I236" s="13"/>
      <c r="J236" s="13"/>
      <c r="K236" s="13"/>
      <c r="L236" s="13"/>
      <c r="M236" s="13"/>
      <c r="N236" s="14" t="str">
        <f t="shared" si="3"/>
        <v/>
      </c>
      <c r="O236" s="13"/>
      <c r="P236" s="8"/>
      <c r="Q236" s="8"/>
      <c r="R236" s="8"/>
      <c r="S236" s="10"/>
      <c r="T236" s="8"/>
    </row>
    <row r="237" spans="1:20">
      <c r="A237" s="8"/>
      <c r="B237" s="8"/>
      <c r="C237" s="8"/>
      <c r="D237" s="8"/>
      <c r="E237" s="8"/>
      <c r="F237" s="8"/>
      <c r="G237" s="13"/>
      <c r="H237" s="13"/>
      <c r="I237" s="13"/>
      <c r="J237" s="13"/>
      <c r="K237" s="13"/>
      <c r="L237" s="13"/>
      <c r="M237" s="13"/>
      <c r="N237" s="14" t="str">
        <f t="shared" si="3"/>
        <v/>
      </c>
      <c r="O237" s="13"/>
      <c r="P237" s="8"/>
      <c r="Q237" s="8"/>
      <c r="R237" s="8"/>
      <c r="S237" s="10"/>
      <c r="T237" s="8"/>
    </row>
    <row r="238" spans="1:20">
      <c r="A238" s="8"/>
      <c r="B238" s="8"/>
      <c r="C238" s="8"/>
      <c r="D238" s="8"/>
      <c r="E238" s="8"/>
      <c r="F238" s="8"/>
      <c r="G238" s="13"/>
      <c r="H238" s="13"/>
      <c r="I238" s="13"/>
      <c r="J238" s="13"/>
      <c r="K238" s="13"/>
      <c r="L238" s="13"/>
      <c r="M238" s="13"/>
      <c r="N238" s="14" t="str">
        <f t="shared" si="3"/>
        <v/>
      </c>
      <c r="O238" s="13"/>
      <c r="P238" s="8"/>
      <c r="Q238" s="8"/>
      <c r="R238" s="8"/>
      <c r="S238" s="10"/>
      <c r="T238" s="8"/>
    </row>
    <row r="239" spans="1:20">
      <c r="A239" s="8"/>
      <c r="B239" s="8"/>
      <c r="C239" s="8"/>
      <c r="D239" s="8"/>
      <c r="E239" s="8"/>
      <c r="F239" s="8"/>
      <c r="G239" s="13"/>
      <c r="H239" s="13"/>
      <c r="I239" s="13"/>
      <c r="J239" s="13"/>
      <c r="K239" s="13"/>
      <c r="L239" s="13"/>
      <c r="M239" s="13"/>
      <c r="N239" s="14" t="str">
        <f t="shared" si="3"/>
        <v/>
      </c>
      <c r="O239" s="13"/>
      <c r="P239" s="8"/>
      <c r="Q239" s="8"/>
      <c r="R239" s="8"/>
      <c r="S239" s="10"/>
      <c r="T239" s="8"/>
    </row>
    <row r="240" spans="1:20">
      <c r="A240" s="8"/>
      <c r="B240" s="8"/>
      <c r="C240" s="8"/>
      <c r="D240" s="8"/>
      <c r="E240" s="8"/>
      <c r="F240" s="8"/>
      <c r="G240" s="13"/>
      <c r="H240" s="13"/>
      <c r="I240" s="13"/>
      <c r="J240" s="13"/>
      <c r="K240" s="13"/>
      <c r="L240" s="13"/>
      <c r="M240" s="13"/>
      <c r="N240" s="14" t="str">
        <f t="shared" si="3"/>
        <v/>
      </c>
      <c r="O240" s="13"/>
      <c r="P240" s="8"/>
      <c r="Q240" s="8"/>
      <c r="R240" s="8"/>
      <c r="S240" s="10"/>
      <c r="T240" s="8"/>
    </row>
    <row r="241" spans="1:20">
      <c r="A241" s="8"/>
      <c r="B241" s="8"/>
      <c r="C241" s="8"/>
      <c r="D241" s="8"/>
      <c r="E241" s="8"/>
      <c r="F241" s="8"/>
      <c r="G241" s="13"/>
      <c r="H241" s="13"/>
      <c r="I241" s="13"/>
      <c r="J241" s="13"/>
      <c r="K241" s="13"/>
      <c r="L241" s="13"/>
      <c r="M241" s="13"/>
      <c r="N241" s="14" t="str">
        <f t="shared" si="3"/>
        <v/>
      </c>
      <c r="O241" s="13"/>
      <c r="P241" s="8"/>
      <c r="Q241" s="8"/>
      <c r="R241" s="8"/>
      <c r="S241" s="10"/>
      <c r="T241" s="8"/>
    </row>
    <row r="242" spans="1:20">
      <c r="A242" s="8"/>
      <c r="B242" s="8"/>
      <c r="C242" s="8"/>
      <c r="D242" s="8"/>
      <c r="E242" s="8"/>
      <c r="F242" s="8"/>
      <c r="G242" s="13"/>
      <c r="H242" s="13"/>
      <c r="I242" s="13"/>
      <c r="J242" s="13"/>
      <c r="K242" s="13"/>
      <c r="L242" s="13"/>
      <c r="M242" s="13"/>
      <c r="N242" s="14" t="str">
        <f t="shared" si="3"/>
        <v/>
      </c>
      <c r="O242" s="13"/>
      <c r="P242" s="8"/>
      <c r="Q242" s="8"/>
      <c r="R242" s="8"/>
      <c r="S242" s="10"/>
      <c r="T242" s="8"/>
    </row>
    <row r="243" spans="1:20">
      <c r="A243" s="8"/>
      <c r="B243" s="8"/>
      <c r="C243" s="8"/>
      <c r="D243" s="8"/>
      <c r="E243" s="8"/>
      <c r="F243" s="8"/>
      <c r="G243" s="13"/>
      <c r="H243" s="13"/>
      <c r="I243" s="13"/>
      <c r="J243" s="13"/>
      <c r="K243" s="13"/>
      <c r="L243" s="13"/>
      <c r="M243" s="13"/>
      <c r="N243" s="14" t="str">
        <f t="shared" si="3"/>
        <v/>
      </c>
      <c r="O243" s="13"/>
      <c r="P243" s="8"/>
      <c r="Q243" s="8"/>
      <c r="R243" s="8"/>
      <c r="S243" s="10"/>
      <c r="T243" s="8"/>
    </row>
    <row r="244" spans="1:20">
      <c r="A244" s="8"/>
      <c r="B244" s="8"/>
      <c r="C244" s="8"/>
      <c r="D244" s="8"/>
      <c r="E244" s="8"/>
      <c r="F244" s="8"/>
      <c r="G244" s="13"/>
      <c r="H244" s="13"/>
      <c r="I244" s="13"/>
      <c r="J244" s="13"/>
      <c r="K244" s="13"/>
      <c r="L244" s="13"/>
      <c r="M244" s="13"/>
      <c r="N244" s="14" t="str">
        <f t="shared" si="3"/>
        <v/>
      </c>
      <c r="O244" s="13"/>
      <c r="P244" s="8"/>
      <c r="Q244" s="8"/>
      <c r="R244" s="8"/>
      <c r="S244" s="10"/>
      <c r="T244" s="8"/>
    </row>
    <row r="245" spans="1:20">
      <c r="A245" s="8"/>
      <c r="B245" s="8"/>
      <c r="C245" s="8"/>
      <c r="D245" s="8"/>
      <c r="E245" s="8"/>
      <c r="F245" s="8"/>
      <c r="G245" s="13"/>
      <c r="H245" s="13"/>
      <c r="I245" s="13"/>
      <c r="J245" s="13"/>
      <c r="K245" s="13"/>
      <c r="L245" s="13"/>
      <c r="M245" s="13"/>
      <c r="N245" s="14" t="str">
        <f t="shared" si="3"/>
        <v/>
      </c>
      <c r="O245" s="13"/>
      <c r="P245" s="8"/>
      <c r="Q245" s="8"/>
      <c r="R245" s="8"/>
      <c r="S245" s="10"/>
      <c r="T245" s="8"/>
    </row>
    <row r="246" spans="1:20">
      <c r="A246" s="8"/>
      <c r="B246" s="8"/>
      <c r="C246" s="8"/>
      <c r="D246" s="8"/>
      <c r="E246" s="8"/>
      <c r="F246" s="8"/>
      <c r="G246" s="13"/>
      <c r="H246" s="13"/>
      <c r="I246" s="13"/>
      <c r="J246" s="13"/>
      <c r="K246" s="13"/>
      <c r="L246" s="13"/>
      <c r="M246" s="13"/>
      <c r="N246" s="14" t="str">
        <f t="shared" si="3"/>
        <v/>
      </c>
      <c r="O246" s="13"/>
      <c r="P246" s="8"/>
      <c r="Q246" s="8"/>
      <c r="R246" s="8"/>
      <c r="S246" s="10"/>
      <c r="T246" s="8"/>
    </row>
    <row r="247" spans="1:20">
      <c r="A247" s="8"/>
      <c r="B247" s="8"/>
      <c r="C247" s="8"/>
      <c r="D247" s="8"/>
      <c r="E247" s="8"/>
      <c r="F247" s="8"/>
      <c r="G247" s="13"/>
      <c r="H247" s="13"/>
      <c r="I247" s="13"/>
      <c r="J247" s="13"/>
      <c r="K247" s="13"/>
      <c r="L247" s="13"/>
      <c r="M247" s="13"/>
      <c r="N247" s="14" t="str">
        <f t="shared" si="3"/>
        <v/>
      </c>
      <c r="O247" s="13"/>
      <c r="P247" s="8"/>
      <c r="Q247" s="8"/>
      <c r="R247" s="8"/>
      <c r="S247" s="10"/>
      <c r="T247" s="8"/>
    </row>
    <row r="248" spans="1:20">
      <c r="A248" s="8"/>
      <c r="B248" s="8"/>
      <c r="C248" s="8"/>
      <c r="D248" s="8"/>
      <c r="E248" s="8"/>
      <c r="F248" s="8"/>
      <c r="G248" s="13"/>
      <c r="H248" s="13"/>
      <c r="I248" s="13"/>
      <c r="J248" s="13"/>
      <c r="K248" s="13"/>
      <c r="L248" s="13"/>
      <c r="M248" s="13"/>
      <c r="N248" s="14" t="str">
        <f t="shared" si="3"/>
        <v/>
      </c>
      <c r="O248" s="13"/>
      <c r="P248" s="8"/>
      <c r="Q248" s="8"/>
      <c r="R248" s="8"/>
      <c r="S248" s="10"/>
      <c r="T248" s="8"/>
    </row>
    <row r="249" spans="1:20">
      <c r="A249" s="8"/>
      <c r="B249" s="8"/>
      <c r="C249" s="8"/>
      <c r="D249" s="8"/>
      <c r="E249" s="8"/>
      <c r="F249" s="8"/>
      <c r="G249" s="13"/>
      <c r="H249" s="13"/>
      <c r="I249" s="13"/>
      <c r="J249" s="13"/>
      <c r="K249" s="13"/>
      <c r="L249" s="13"/>
      <c r="M249" s="13"/>
      <c r="N249" s="14" t="str">
        <f t="shared" si="3"/>
        <v/>
      </c>
      <c r="O249" s="13"/>
      <c r="P249" s="8"/>
      <c r="Q249" s="8"/>
      <c r="R249" s="8"/>
      <c r="S249" s="10"/>
      <c r="T249" s="8"/>
    </row>
    <row r="250" spans="1:20">
      <c r="A250" s="8"/>
      <c r="B250" s="8"/>
      <c r="C250" s="8"/>
      <c r="D250" s="8"/>
      <c r="E250" s="8"/>
      <c r="F250" s="8"/>
      <c r="G250" s="13"/>
      <c r="H250" s="13"/>
      <c r="I250" s="13"/>
      <c r="J250" s="13"/>
      <c r="K250" s="13"/>
      <c r="L250" s="13"/>
      <c r="M250" s="13"/>
      <c r="N250" s="14" t="str">
        <f t="shared" si="3"/>
        <v/>
      </c>
      <c r="O250" s="13"/>
      <c r="P250" s="8"/>
      <c r="Q250" s="8"/>
      <c r="R250" s="8"/>
      <c r="S250" s="10"/>
      <c r="T250" s="8"/>
    </row>
    <row r="251" spans="1:20">
      <c r="A251" s="8"/>
      <c r="B251" s="8"/>
      <c r="C251" s="8"/>
      <c r="D251" s="8"/>
      <c r="E251" s="8"/>
      <c r="F251" s="8"/>
      <c r="G251" s="13"/>
      <c r="H251" s="13"/>
      <c r="I251" s="13"/>
      <c r="J251" s="13"/>
      <c r="K251" s="13"/>
      <c r="L251" s="13"/>
      <c r="M251" s="13"/>
      <c r="N251" s="14" t="str">
        <f t="shared" si="3"/>
        <v/>
      </c>
      <c r="O251" s="13"/>
      <c r="P251" s="8"/>
      <c r="Q251" s="8"/>
      <c r="R251" s="8"/>
      <c r="S251" s="10"/>
      <c r="T251" s="8"/>
    </row>
    <row r="252" spans="1:20">
      <c r="A252" s="8"/>
      <c r="B252" s="8"/>
      <c r="C252" s="8"/>
      <c r="D252" s="8"/>
      <c r="E252" s="8"/>
      <c r="F252" s="8"/>
      <c r="G252" s="13"/>
      <c r="H252" s="13"/>
      <c r="I252" s="13"/>
      <c r="J252" s="13"/>
      <c r="K252" s="13"/>
      <c r="L252" s="13"/>
      <c r="M252" s="13"/>
      <c r="N252" s="14" t="str">
        <f t="shared" si="3"/>
        <v/>
      </c>
      <c r="O252" s="13"/>
      <c r="P252" s="8"/>
      <c r="Q252" s="8"/>
      <c r="R252" s="8"/>
      <c r="S252" s="10"/>
      <c r="T252" s="8"/>
    </row>
    <row r="253" spans="1:20">
      <c r="A253" s="8"/>
      <c r="B253" s="8"/>
      <c r="C253" s="8"/>
      <c r="D253" s="8"/>
      <c r="E253" s="8"/>
      <c r="F253" s="8"/>
      <c r="G253" s="13"/>
      <c r="H253" s="13"/>
      <c r="I253" s="13"/>
      <c r="J253" s="13"/>
      <c r="K253" s="13"/>
      <c r="L253" s="13"/>
      <c r="M253" s="13"/>
      <c r="N253" s="14" t="str">
        <f t="shared" si="3"/>
        <v/>
      </c>
      <c r="O253" s="13"/>
      <c r="P253" s="8"/>
      <c r="Q253" s="8"/>
      <c r="R253" s="8"/>
      <c r="S253" s="10"/>
      <c r="T253" s="8"/>
    </row>
    <row r="254" spans="1:20">
      <c r="A254" s="8"/>
      <c r="B254" s="8"/>
      <c r="C254" s="8"/>
      <c r="D254" s="8"/>
      <c r="E254" s="8"/>
      <c r="F254" s="8"/>
      <c r="G254" s="13"/>
      <c r="H254" s="13"/>
      <c r="I254" s="13"/>
      <c r="J254" s="13"/>
      <c r="K254" s="13"/>
      <c r="L254" s="13"/>
      <c r="M254" s="13"/>
      <c r="N254" s="14" t="str">
        <f t="shared" si="3"/>
        <v/>
      </c>
      <c r="O254" s="13"/>
      <c r="P254" s="8"/>
      <c r="Q254" s="8"/>
      <c r="R254" s="8"/>
      <c r="S254" s="10"/>
      <c r="T254" s="8"/>
    </row>
    <row r="255" spans="1:20">
      <c r="A255" s="8"/>
      <c r="B255" s="8"/>
      <c r="C255" s="8"/>
      <c r="D255" s="8"/>
      <c r="E255" s="8"/>
      <c r="F255" s="8"/>
      <c r="G255" s="13"/>
      <c r="H255" s="13"/>
      <c r="I255" s="13"/>
      <c r="J255" s="13"/>
      <c r="K255" s="13"/>
      <c r="L255" s="13"/>
      <c r="M255" s="13"/>
      <c r="N255" s="14" t="str">
        <f t="shared" si="3"/>
        <v/>
      </c>
      <c r="O255" s="13"/>
      <c r="P255" s="8"/>
      <c r="Q255" s="8"/>
      <c r="R255" s="8"/>
      <c r="S255" s="10"/>
      <c r="T255" s="8"/>
    </row>
    <row r="256" spans="1:20">
      <c r="A256" s="8"/>
      <c r="B256" s="8"/>
      <c r="C256" s="8"/>
      <c r="D256" s="8"/>
      <c r="E256" s="8"/>
      <c r="F256" s="8"/>
      <c r="G256" s="13"/>
      <c r="H256" s="13"/>
      <c r="I256" s="13"/>
      <c r="J256" s="13"/>
      <c r="K256" s="13"/>
      <c r="L256" s="13"/>
      <c r="M256" s="13"/>
      <c r="N256" s="14" t="str">
        <f t="shared" si="3"/>
        <v/>
      </c>
      <c r="O256" s="13"/>
      <c r="P256" s="8"/>
      <c r="Q256" s="8"/>
      <c r="R256" s="8"/>
      <c r="S256" s="10"/>
      <c r="T256" s="8"/>
    </row>
    <row r="257" spans="1:20">
      <c r="A257" s="8"/>
      <c r="B257" s="8"/>
      <c r="C257" s="8"/>
      <c r="D257" s="8"/>
      <c r="E257" s="8"/>
      <c r="F257" s="8"/>
      <c r="G257" s="13"/>
      <c r="H257" s="13"/>
      <c r="I257" s="13"/>
      <c r="J257" s="13"/>
      <c r="K257" s="13"/>
      <c r="L257" s="13"/>
      <c r="M257" s="13"/>
      <c r="N257" s="14" t="str">
        <f t="shared" si="3"/>
        <v/>
      </c>
      <c r="O257" s="13"/>
      <c r="P257" s="8"/>
      <c r="Q257" s="8"/>
      <c r="R257" s="8"/>
      <c r="S257" s="10"/>
      <c r="T257" s="8"/>
    </row>
    <row r="258" spans="1:20">
      <c r="A258" s="8"/>
      <c r="B258" s="8"/>
      <c r="C258" s="8"/>
      <c r="D258" s="8"/>
      <c r="E258" s="8"/>
      <c r="F258" s="8"/>
      <c r="G258" s="13"/>
      <c r="H258" s="13"/>
      <c r="I258" s="13"/>
      <c r="J258" s="13"/>
      <c r="K258" s="13"/>
      <c r="L258" s="13"/>
      <c r="M258" s="13"/>
      <c r="N258" s="14" t="str">
        <f t="shared" si="3"/>
        <v/>
      </c>
      <c r="O258" s="13"/>
      <c r="P258" s="8"/>
      <c r="Q258" s="8"/>
      <c r="R258" s="8"/>
      <c r="S258" s="10"/>
      <c r="T258" s="8"/>
    </row>
    <row r="259" spans="1:20">
      <c r="A259" s="8"/>
      <c r="B259" s="8"/>
      <c r="C259" s="8"/>
      <c r="D259" s="8"/>
      <c r="E259" s="8"/>
      <c r="F259" s="8"/>
      <c r="G259" s="13"/>
      <c r="H259" s="13"/>
      <c r="I259" s="13"/>
      <c r="J259" s="13"/>
      <c r="K259" s="13"/>
      <c r="L259" s="13"/>
      <c r="M259" s="13"/>
      <c r="N259" s="14" t="str">
        <f t="shared" si="3"/>
        <v/>
      </c>
      <c r="O259" s="13"/>
      <c r="P259" s="8"/>
      <c r="Q259" s="8"/>
      <c r="R259" s="8"/>
      <c r="S259" s="10"/>
      <c r="T259" s="8"/>
    </row>
    <row r="260" spans="1:20">
      <c r="A260" s="8"/>
      <c r="B260" s="8"/>
      <c r="C260" s="8"/>
      <c r="D260" s="8"/>
      <c r="E260" s="8"/>
      <c r="F260" s="8"/>
      <c r="G260" s="13"/>
      <c r="H260" s="13"/>
      <c r="I260" s="13"/>
      <c r="J260" s="13"/>
      <c r="K260" s="13"/>
      <c r="L260" s="13"/>
      <c r="M260" s="13"/>
      <c r="N260" s="14" t="str">
        <f t="shared" si="3"/>
        <v/>
      </c>
      <c r="O260" s="13"/>
      <c r="P260" s="8"/>
      <c r="Q260" s="8"/>
      <c r="R260" s="8"/>
      <c r="S260" s="10"/>
      <c r="T260" s="8"/>
    </row>
    <row r="261" spans="1:20">
      <c r="A261" s="8"/>
      <c r="B261" s="8"/>
      <c r="C261" s="8"/>
      <c r="D261" s="8"/>
      <c r="E261" s="8"/>
      <c r="F261" s="8"/>
      <c r="G261" s="13"/>
      <c r="H261" s="13"/>
      <c r="I261" s="13"/>
      <c r="J261" s="13"/>
      <c r="K261" s="13"/>
      <c r="L261" s="13"/>
      <c r="M261" s="13"/>
      <c r="N261" s="14" t="str">
        <f t="shared" ref="N261:N324" si="4">IF(A261="","",MAX(0,H261-K261-L261+M261))</f>
        <v/>
      </c>
      <c r="O261" s="13"/>
      <c r="P261" s="8"/>
      <c r="Q261" s="8"/>
      <c r="R261" s="8"/>
      <c r="S261" s="10"/>
      <c r="T261" s="8"/>
    </row>
    <row r="262" spans="1:20">
      <c r="A262" s="8"/>
      <c r="B262" s="8"/>
      <c r="C262" s="8"/>
      <c r="D262" s="8"/>
      <c r="E262" s="8"/>
      <c r="F262" s="8"/>
      <c r="G262" s="13"/>
      <c r="H262" s="13"/>
      <c r="I262" s="13"/>
      <c r="J262" s="13"/>
      <c r="K262" s="13"/>
      <c r="L262" s="13"/>
      <c r="M262" s="13"/>
      <c r="N262" s="14" t="str">
        <f t="shared" si="4"/>
        <v/>
      </c>
      <c r="O262" s="13"/>
      <c r="P262" s="8"/>
      <c r="Q262" s="8"/>
      <c r="R262" s="8"/>
      <c r="S262" s="10"/>
      <c r="T262" s="8"/>
    </row>
    <row r="263" spans="1:20">
      <c r="A263" s="8"/>
      <c r="B263" s="8"/>
      <c r="C263" s="8"/>
      <c r="D263" s="8"/>
      <c r="E263" s="8"/>
      <c r="F263" s="8"/>
      <c r="G263" s="13"/>
      <c r="H263" s="13"/>
      <c r="I263" s="13"/>
      <c r="J263" s="13"/>
      <c r="K263" s="13"/>
      <c r="L263" s="13"/>
      <c r="M263" s="13"/>
      <c r="N263" s="14" t="str">
        <f t="shared" si="4"/>
        <v/>
      </c>
      <c r="O263" s="13"/>
      <c r="P263" s="8"/>
      <c r="Q263" s="8"/>
      <c r="R263" s="8"/>
      <c r="S263" s="10"/>
      <c r="T263" s="8"/>
    </row>
    <row r="264" spans="1:20">
      <c r="A264" s="8"/>
      <c r="B264" s="8"/>
      <c r="C264" s="8"/>
      <c r="D264" s="8"/>
      <c r="E264" s="8"/>
      <c r="F264" s="8"/>
      <c r="G264" s="13"/>
      <c r="H264" s="13"/>
      <c r="I264" s="13"/>
      <c r="J264" s="13"/>
      <c r="K264" s="13"/>
      <c r="L264" s="13"/>
      <c r="M264" s="13"/>
      <c r="N264" s="14" t="str">
        <f t="shared" si="4"/>
        <v/>
      </c>
      <c r="O264" s="13"/>
      <c r="P264" s="8"/>
      <c r="Q264" s="8"/>
      <c r="R264" s="8"/>
      <c r="S264" s="10"/>
      <c r="T264" s="8"/>
    </row>
    <row r="265" spans="1:20">
      <c r="A265" s="8"/>
      <c r="B265" s="8"/>
      <c r="C265" s="8"/>
      <c r="D265" s="8"/>
      <c r="E265" s="8"/>
      <c r="F265" s="8"/>
      <c r="G265" s="13"/>
      <c r="H265" s="13"/>
      <c r="I265" s="13"/>
      <c r="J265" s="13"/>
      <c r="K265" s="13"/>
      <c r="L265" s="13"/>
      <c r="M265" s="13"/>
      <c r="N265" s="14" t="str">
        <f t="shared" si="4"/>
        <v/>
      </c>
      <c r="O265" s="13"/>
      <c r="P265" s="8"/>
      <c r="Q265" s="8"/>
      <c r="R265" s="8"/>
      <c r="S265" s="10"/>
      <c r="T265" s="8"/>
    </row>
    <row r="266" spans="1:20">
      <c r="A266" s="8"/>
      <c r="B266" s="8"/>
      <c r="C266" s="8"/>
      <c r="D266" s="8"/>
      <c r="E266" s="8"/>
      <c r="F266" s="8"/>
      <c r="G266" s="13"/>
      <c r="H266" s="13"/>
      <c r="I266" s="13"/>
      <c r="J266" s="13"/>
      <c r="K266" s="13"/>
      <c r="L266" s="13"/>
      <c r="M266" s="13"/>
      <c r="N266" s="14" t="str">
        <f t="shared" si="4"/>
        <v/>
      </c>
      <c r="O266" s="13"/>
      <c r="P266" s="8"/>
      <c r="Q266" s="8"/>
      <c r="R266" s="8"/>
      <c r="S266" s="10"/>
      <c r="T266" s="8"/>
    </row>
    <row r="267" spans="1:20">
      <c r="A267" s="8"/>
      <c r="B267" s="8"/>
      <c r="C267" s="8"/>
      <c r="D267" s="8"/>
      <c r="E267" s="8"/>
      <c r="F267" s="8"/>
      <c r="G267" s="13"/>
      <c r="H267" s="13"/>
      <c r="I267" s="13"/>
      <c r="J267" s="13"/>
      <c r="K267" s="13"/>
      <c r="L267" s="13"/>
      <c r="M267" s="13"/>
      <c r="N267" s="14" t="str">
        <f t="shared" si="4"/>
        <v/>
      </c>
      <c r="O267" s="13"/>
      <c r="P267" s="8"/>
      <c r="Q267" s="8"/>
      <c r="R267" s="8"/>
      <c r="S267" s="10"/>
      <c r="T267" s="8"/>
    </row>
    <row r="268" spans="1:20">
      <c r="A268" s="8"/>
      <c r="B268" s="8"/>
      <c r="C268" s="8"/>
      <c r="D268" s="8"/>
      <c r="E268" s="8"/>
      <c r="F268" s="8"/>
      <c r="G268" s="13"/>
      <c r="H268" s="13"/>
      <c r="I268" s="13"/>
      <c r="J268" s="13"/>
      <c r="K268" s="13"/>
      <c r="L268" s="13"/>
      <c r="M268" s="13"/>
      <c r="N268" s="14" t="str">
        <f t="shared" si="4"/>
        <v/>
      </c>
      <c r="O268" s="13"/>
      <c r="P268" s="8"/>
      <c r="Q268" s="8"/>
      <c r="R268" s="8"/>
      <c r="S268" s="10"/>
      <c r="T268" s="8"/>
    </row>
    <row r="269" spans="1:20">
      <c r="A269" s="8"/>
      <c r="B269" s="8"/>
      <c r="C269" s="8"/>
      <c r="D269" s="8"/>
      <c r="E269" s="8"/>
      <c r="F269" s="8"/>
      <c r="G269" s="13"/>
      <c r="H269" s="13"/>
      <c r="I269" s="13"/>
      <c r="J269" s="13"/>
      <c r="K269" s="13"/>
      <c r="L269" s="13"/>
      <c r="M269" s="13"/>
      <c r="N269" s="14" t="str">
        <f t="shared" si="4"/>
        <v/>
      </c>
      <c r="O269" s="13"/>
      <c r="P269" s="8"/>
      <c r="Q269" s="8"/>
      <c r="R269" s="8"/>
      <c r="S269" s="10"/>
      <c r="T269" s="8"/>
    </row>
    <row r="270" spans="1:20">
      <c r="A270" s="8"/>
      <c r="B270" s="8"/>
      <c r="C270" s="8"/>
      <c r="D270" s="8"/>
      <c r="E270" s="8"/>
      <c r="F270" s="8"/>
      <c r="G270" s="13"/>
      <c r="H270" s="13"/>
      <c r="I270" s="13"/>
      <c r="J270" s="13"/>
      <c r="K270" s="13"/>
      <c r="L270" s="13"/>
      <c r="M270" s="13"/>
      <c r="N270" s="14" t="str">
        <f t="shared" si="4"/>
        <v/>
      </c>
      <c r="O270" s="13"/>
      <c r="P270" s="8"/>
      <c r="Q270" s="8"/>
      <c r="R270" s="8"/>
      <c r="S270" s="10"/>
      <c r="T270" s="8"/>
    </row>
    <row r="271" spans="1:20">
      <c r="A271" s="8"/>
      <c r="B271" s="8"/>
      <c r="C271" s="8"/>
      <c r="D271" s="8"/>
      <c r="E271" s="8"/>
      <c r="F271" s="8"/>
      <c r="G271" s="13"/>
      <c r="H271" s="13"/>
      <c r="I271" s="13"/>
      <c r="J271" s="13"/>
      <c r="K271" s="13"/>
      <c r="L271" s="13"/>
      <c r="M271" s="13"/>
      <c r="N271" s="14" t="str">
        <f t="shared" si="4"/>
        <v/>
      </c>
      <c r="O271" s="13"/>
      <c r="P271" s="8"/>
      <c r="Q271" s="8"/>
      <c r="R271" s="8"/>
      <c r="S271" s="10"/>
      <c r="T271" s="8"/>
    </row>
    <row r="272" spans="1:20">
      <c r="A272" s="8"/>
      <c r="B272" s="8"/>
      <c r="C272" s="8"/>
      <c r="D272" s="8"/>
      <c r="E272" s="8"/>
      <c r="F272" s="8"/>
      <c r="G272" s="13"/>
      <c r="H272" s="13"/>
      <c r="I272" s="13"/>
      <c r="J272" s="13"/>
      <c r="K272" s="13"/>
      <c r="L272" s="13"/>
      <c r="M272" s="13"/>
      <c r="N272" s="14" t="str">
        <f t="shared" si="4"/>
        <v/>
      </c>
      <c r="O272" s="13"/>
      <c r="P272" s="8"/>
      <c r="Q272" s="8"/>
      <c r="R272" s="8"/>
      <c r="S272" s="10"/>
      <c r="T272" s="8"/>
    </row>
    <row r="273" spans="1:20">
      <c r="A273" s="8"/>
      <c r="B273" s="8"/>
      <c r="C273" s="8"/>
      <c r="D273" s="8"/>
      <c r="E273" s="8"/>
      <c r="F273" s="8"/>
      <c r="G273" s="13"/>
      <c r="H273" s="13"/>
      <c r="I273" s="13"/>
      <c r="J273" s="13"/>
      <c r="K273" s="13"/>
      <c r="L273" s="13"/>
      <c r="M273" s="13"/>
      <c r="N273" s="14" t="str">
        <f t="shared" si="4"/>
        <v/>
      </c>
      <c r="O273" s="13"/>
      <c r="P273" s="8"/>
      <c r="Q273" s="8"/>
      <c r="R273" s="8"/>
      <c r="S273" s="10"/>
      <c r="T273" s="8"/>
    </row>
    <row r="274" spans="1:20">
      <c r="A274" s="8"/>
      <c r="B274" s="8"/>
      <c r="C274" s="8"/>
      <c r="D274" s="8"/>
      <c r="E274" s="8"/>
      <c r="F274" s="8"/>
      <c r="G274" s="13"/>
      <c r="H274" s="13"/>
      <c r="I274" s="13"/>
      <c r="J274" s="13"/>
      <c r="K274" s="13"/>
      <c r="L274" s="13"/>
      <c r="M274" s="13"/>
      <c r="N274" s="14" t="str">
        <f t="shared" si="4"/>
        <v/>
      </c>
      <c r="O274" s="13"/>
      <c r="P274" s="8"/>
      <c r="Q274" s="8"/>
      <c r="R274" s="8"/>
      <c r="S274" s="10"/>
      <c r="T274" s="8"/>
    </row>
    <row r="275" spans="1:20">
      <c r="A275" s="8"/>
      <c r="B275" s="8"/>
      <c r="C275" s="8"/>
      <c r="D275" s="8"/>
      <c r="E275" s="8"/>
      <c r="F275" s="8"/>
      <c r="G275" s="13"/>
      <c r="H275" s="13"/>
      <c r="I275" s="13"/>
      <c r="J275" s="13"/>
      <c r="K275" s="13"/>
      <c r="L275" s="13"/>
      <c r="M275" s="13"/>
      <c r="N275" s="14" t="str">
        <f t="shared" si="4"/>
        <v/>
      </c>
      <c r="O275" s="13"/>
      <c r="P275" s="8"/>
      <c r="Q275" s="8"/>
      <c r="R275" s="8"/>
      <c r="S275" s="10"/>
      <c r="T275" s="8"/>
    </row>
    <row r="276" spans="1:20">
      <c r="A276" s="8"/>
      <c r="B276" s="8"/>
      <c r="C276" s="8"/>
      <c r="D276" s="8"/>
      <c r="E276" s="8"/>
      <c r="F276" s="8"/>
      <c r="G276" s="13"/>
      <c r="H276" s="13"/>
      <c r="I276" s="13"/>
      <c r="J276" s="13"/>
      <c r="K276" s="13"/>
      <c r="L276" s="13"/>
      <c r="M276" s="13"/>
      <c r="N276" s="14" t="str">
        <f t="shared" si="4"/>
        <v/>
      </c>
      <c r="O276" s="13"/>
      <c r="P276" s="8"/>
      <c r="Q276" s="8"/>
      <c r="R276" s="8"/>
      <c r="S276" s="10"/>
      <c r="T276" s="8"/>
    </row>
    <row r="277" spans="1:20">
      <c r="A277" s="8"/>
      <c r="B277" s="8"/>
      <c r="C277" s="8"/>
      <c r="D277" s="8"/>
      <c r="E277" s="8"/>
      <c r="F277" s="8"/>
      <c r="G277" s="13"/>
      <c r="H277" s="13"/>
      <c r="I277" s="13"/>
      <c r="J277" s="13"/>
      <c r="K277" s="13"/>
      <c r="L277" s="13"/>
      <c r="M277" s="13"/>
      <c r="N277" s="14" t="str">
        <f t="shared" si="4"/>
        <v/>
      </c>
      <c r="O277" s="13"/>
      <c r="P277" s="8"/>
      <c r="Q277" s="8"/>
      <c r="R277" s="8"/>
      <c r="S277" s="10"/>
      <c r="T277" s="8"/>
    </row>
    <row r="278" spans="1:20">
      <c r="A278" s="8"/>
      <c r="B278" s="8"/>
      <c r="C278" s="8"/>
      <c r="D278" s="8"/>
      <c r="E278" s="8"/>
      <c r="F278" s="8"/>
      <c r="G278" s="13"/>
      <c r="H278" s="13"/>
      <c r="I278" s="13"/>
      <c r="J278" s="13"/>
      <c r="K278" s="13"/>
      <c r="L278" s="13"/>
      <c r="M278" s="13"/>
      <c r="N278" s="14" t="str">
        <f t="shared" si="4"/>
        <v/>
      </c>
      <c r="O278" s="13"/>
      <c r="P278" s="8"/>
      <c r="Q278" s="8"/>
      <c r="R278" s="8"/>
      <c r="S278" s="10"/>
      <c r="T278" s="8"/>
    </row>
    <row r="279" spans="1:20">
      <c r="A279" s="8"/>
      <c r="B279" s="8"/>
      <c r="C279" s="8"/>
      <c r="D279" s="8"/>
      <c r="E279" s="8"/>
      <c r="F279" s="8"/>
      <c r="G279" s="13"/>
      <c r="H279" s="13"/>
      <c r="I279" s="13"/>
      <c r="J279" s="13"/>
      <c r="K279" s="13"/>
      <c r="L279" s="13"/>
      <c r="M279" s="13"/>
      <c r="N279" s="14" t="str">
        <f t="shared" si="4"/>
        <v/>
      </c>
      <c r="O279" s="13"/>
      <c r="P279" s="8"/>
      <c r="Q279" s="8"/>
      <c r="R279" s="8"/>
      <c r="S279" s="10"/>
      <c r="T279" s="8"/>
    </row>
    <row r="280" spans="1:20">
      <c r="A280" s="8"/>
      <c r="B280" s="8"/>
      <c r="C280" s="8"/>
      <c r="D280" s="8"/>
      <c r="E280" s="8"/>
      <c r="F280" s="8"/>
      <c r="G280" s="13"/>
      <c r="H280" s="13"/>
      <c r="I280" s="13"/>
      <c r="J280" s="13"/>
      <c r="K280" s="13"/>
      <c r="L280" s="13"/>
      <c r="M280" s="13"/>
      <c r="N280" s="14" t="str">
        <f t="shared" si="4"/>
        <v/>
      </c>
      <c r="O280" s="13"/>
      <c r="P280" s="8"/>
      <c r="Q280" s="8"/>
      <c r="R280" s="8"/>
      <c r="S280" s="10"/>
      <c r="T280" s="8"/>
    </row>
    <row r="281" spans="1:20">
      <c r="A281" s="8"/>
      <c r="B281" s="8"/>
      <c r="C281" s="8"/>
      <c r="D281" s="8"/>
      <c r="E281" s="8"/>
      <c r="F281" s="8"/>
      <c r="G281" s="13"/>
      <c r="H281" s="13"/>
      <c r="I281" s="13"/>
      <c r="J281" s="13"/>
      <c r="K281" s="13"/>
      <c r="L281" s="13"/>
      <c r="M281" s="13"/>
      <c r="N281" s="14" t="str">
        <f t="shared" si="4"/>
        <v/>
      </c>
      <c r="O281" s="13"/>
      <c r="P281" s="8"/>
      <c r="Q281" s="8"/>
      <c r="R281" s="8"/>
      <c r="S281" s="10"/>
      <c r="T281" s="8"/>
    </row>
    <row r="282" spans="1:20">
      <c r="A282" s="8"/>
      <c r="B282" s="8"/>
      <c r="C282" s="8"/>
      <c r="D282" s="8"/>
      <c r="E282" s="8"/>
      <c r="F282" s="8"/>
      <c r="G282" s="13"/>
      <c r="H282" s="13"/>
      <c r="I282" s="13"/>
      <c r="J282" s="13"/>
      <c r="K282" s="13"/>
      <c r="L282" s="13"/>
      <c r="M282" s="13"/>
      <c r="N282" s="14" t="str">
        <f t="shared" si="4"/>
        <v/>
      </c>
      <c r="O282" s="13"/>
      <c r="P282" s="8"/>
      <c r="Q282" s="8"/>
      <c r="R282" s="8"/>
      <c r="S282" s="10"/>
      <c r="T282" s="8"/>
    </row>
    <row r="283" spans="1:20">
      <c r="A283" s="8"/>
      <c r="B283" s="8"/>
      <c r="C283" s="8"/>
      <c r="D283" s="8"/>
      <c r="E283" s="8"/>
      <c r="F283" s="8"/>
      <c r="G283" s="13"/>
      <c r="H283" s="13"/>
      <c r="I283" s="13"/>
      <c r="J283" s="13"/>
      <c r="K283" s="13"/>
      <c r="L283" s="13"/>
      <c r="M283" s="13"/>
      <c r="N283" s="14" t="str">
        <f t="shared" si="4"/>
        <v/>
      </c>
      <c r="O283" s="13"/>
      <c r="P283" s="8"/>
      <c r="Q283" s="8"/>
      <c r="R283" s="8"/>
      <c r="S283" s="10"/>
      <c r="T283" s="8"/>
    </row>
    <row r="284" spans="1:20">
      <c r="A284" s="8"/>
      <c r="B284" s="8"/>
      <c r="C284" s="8"/>
      <c r="D284" s="8"/>
      <c r="E284" s="8"/>
      <c r="F284" s="8"/>
      <c r="G284" s="13"/>
      <c r="H284" s="13"/>
      <c r="I284" s="13"/>
      <c r="J284" s="13"/>
      <c r="K284" s="13"/>
      <c r="L284" s="13"/>
      <c r="M284" s="13"/>
      <c r="N284" s="14" t="str">
        <f t="shared" si="4"/>
        <v/>
      </c>
      <c r="O284" s="13"/>
      <c r="P284" s="8"/>
      <c r="Q284" s="8"/>
      <c r="R284" s="8"/>
      <c r="S284" s="10"/>
      <c r="T284" s="8"/>
    </row>
    <row r="285" spans="1:20">
      <c r="A285" s="8"/>
      <c r="B285" s="8"/>
      <c r="C285" s="8"/>
      <c r="D285" s="8"/>
      <c r="E285" s="8"/>
      <c r="F285" s="8"/>
      <c r="G285" s="13"/>
      <c r="H285" s="13"/>
      <c r="I285" s="13"/>
      <c r="J285" s="13"/>
      <c r="K285" s="13"/>
      <c r="L285" s="13"/>
      <c r="M285" s="13"/>
      <c r="N285" s="14" t="str">
        <f t="shared" si="4"/>
        <v/>
      </c>
      <c r="O285" s="13"/>
      <c r="P285" s="8"/>
      <c r="Q285" s="8"/>
      <c r="R285" s="8"/>
      <c r="S285" s="10"/>
      <c r="T285" s="8"/>
    </row>
    <row r="286" spans="1:20">
      <c r="A286" s="8"/>
      <c r="B286" s="8"/>
      <c r="C286" s="8"/>
      <c r="D286" s="8"/>
      <c r="E286" s="8"/>
      <c r="F286" s="8"/>
      <c r="G286" s="13"/>
      <c r="H286" s="13"/>
      <c r="I286" s="13"/>
      <c r="J286" s="13"/>
      <c r="K286" s="13"/>
      <c r="L286" s="13"/>
      <c r="M286" s="13"/>
      <c r="N286" s="14" t="str">
        <f t="shared" si="4"/>
        <v/>
      </c>
      <c r="O286" s="13"/>
      <c r="P286" s="8"/>
      <c r="Q286" s="8"/>
      <c r="R286" s="8"/>
      <c r="S286" s="10"/>
      <c r="T286" s="8"/>
    </row>
    <row r="287" spans="1:20">
      <c r="A287" s="8"/>
      <c r="B287" s="8"/>
      <c r="C287" s="8"/>
      <c r="D287" s="8"/>
      <c r="E287" s="8"/>
      <c r="F287" s="8"/>
      <c r="G287" s="13"/>
      <c r="H287" s="13"/>
      <c r="I287" s="13"/>
      <c r="J287" s="13"/>
      <c r="K287" s="13"/>
      <c r="L287" s="13"/>
      <c r="M287" s="13"/>
      <c r="N287" s="14" t="str">
        <f t="shared" si="4"/>
        <v/>
      </c>
      <c r="O287" s="13"/>
      <c r="P287" s="8"/>
      <c r="Q287" s="8"/>
      <c r="R287" s="8"/>
      <c r="S287" s="10"/>
      <c r="T287" s="8"/>
    </row>
    <row r="288" spans="1:20">
      <c r="A288" s="8"/>
      <c r="B288" s="8"/>
      <c r="C288" s="8"/>
      <c r="D288" s="8"/>
      <c r="E288" s="8"/>
      <c r="F288" s="8"/>
      <c r="G288" s="13"/>
      <c r="H288" s="13"/>
      <c r="I288" s="13"/>
      <c r="J288" s="13"/>
      <c r="K288" s="13"/>
      <c r="L288" s="13"/>
      <c r="M288" s="13"/>
      <c r="N288" s="14" t="str">
        <f t="shared" si="4"/>
        <v/>
      </c>
      <c r="O288" s="13"/>
      <c r="P288" s="8"/>
      <c r="Q288" s="8"/>
      <c r="R288" s="8"/>
      <c r="S288" s="10"/>
      <c r="T288" s="8"/>
    </row>
    <row r="289" spans="1:20">
      <c r="A289" s="8"/>
      <c r="B289" s="8"/>
      <c r="C289" s="8"/>
      <c r="D289" s="8"/>
      <c r="E289" s="8"/>
      <c r="F289" s="8"/>
      <c r="G289" s="13"/>
      <c r="H289" s="13"/>
      <c r="I289" s="13"/>
      <c r="J289" s="13"/>
      <c r="K289" s="13"/>
      <c r="L289" s="13"/>
      <c r="M289" s="13"/>
      <c r="N289" s="14" t="str">
        <f t="shared" si="4"/>
        <v/>
      </c>
      <c r="O289" s="13"/>
      <c r="P289" s="8"/>
      <c r="Q289" s="8"/>
      <c r="R289" s="8"/>
      <c r="S289" s="10"/>
      <c r="T289" s="8"/>
    </row>
    <row r="290" spans="1:20">
      <c r="A290" s="8"/>
      <c r="B290" s="8"/>
      <c r="C290" s="8"/>
      <c r="D290" s="8"/>
      <c r="E290" s="8"/>
      <c r="F290" s="8"/>
      <c r="G290" s="13"/>
      <c r="H290" s="13"/>
      <c r="I290" s="13"/>
      <c r="J290" s="13"/>
      <c r="K290" s="13"/>
      <c r="L290" s="13"/>
      <c r="M290" s="13"/>
      <c r="N290" s="14" t="str">
        <f t="shared" si="4"/>
        <v/>
      </c>
      <c r="O290" s="13"/>
      <c r="P290" s="8"/>
      <c r="Q290" s="8"/>
      <c r="R290" s="8"/>
      <c r="S290" s="10"/>
      <c r="T290" s="8"/>
    </row>
    <row r="291" spans="1:20">
      <c r="A291" s="8"/>
      <c r="B291" s="8"/>
      <c r="C291" s="8"/>
      <c r="D291" s="8"/>
      <c r="E291" s="8"/>
      <c r="F291" s="8"/>
      <c r="G291" s="13"/>
      <c r="H291" s="13"/>
      <c r="I291" s="13"/>
      <c r="J291" s="13"/>
      <c r="K291" s="13"/>
      <c r="L291" s="13"/>
      <c r="M291" s="13"/>
      <c r="N291" s="14" t="str">
        <f t="shared" si="4"/>
        <v/>
      </c>
      <c r="O291" s="13"/>
      <c r="P291" s="8"/>
      <c r="Q291" s="8"/>
      <c r="R291" s="8"/>
      <c r="S291" s="10"/>
      <c r="T291" s="8"/>
    </row>
    <row r="292" spans="1:20">
      <c r="A292" s="8"/>
      <c r="B292" s="8"/>
      <c r="C292" s="8"/>
      <c r="D292" s="8"/>
      <c r="E292" s="8"/>
      <c r="F292" s="8"/>
      <c r="G292" s="13"/>
      <c r="H292" s="13"/>
      <c r="I292" s="13"/>
      <c r="J292" s="13"/>
      <c r="K292" s="13"/>
      <c r="L292" s="13"/>
      <c r="M292" s="13"/>
      <c r="N292" s="14" t="str">
        <f t="shared" si="4"/>
        <v/>
      </c>
      <c r="O292" s="13"/>
      <c r="P292" s="8"/>
      <c r="Q292" s="8"/>
      <c r="R292" s="8"/>
      <c r="S292" s="10"/>
      <c r="T292" s="8"/>
    </row>
    <row r="293" spans="1:20">
      <c r="A293" s="8"/>
      <c r="B293" s="8"/>
      <c r="C293" s="8"/>
      <c r="D293" s="8"/>
      <c r="E293" s="8"/>
      <c r="F293" s="8"/>
      <c r="G293" s="13"/>
      <c r="H293" s="13"/>
      <c r="I293" s="13"/>
      <c r="J293" s="13"/>
      <c r="K293" s="13"/>
      <c r="L293" s="13"/>
      <c r="M293" s="13"/>
      <c r="N293" s="14" t="str">
        <f t="shared" si="4"/>
        <v/>
      </c>
      <c r="O293" s="13"/>
      <c r="P293" s="8"/>
      <c r="Q293" s="8"/>
      <c r="R293" s="8"/>
      <c r="S293" s="10"/>
      <c r="T293" s="8"/>
    </row>
    <row r="294" spans="1:20">
      <c r="A294" s="8"/>
      <c r="B294" s="8"/>
      <c r="C294" s="8"/>
      <c r="D294" s="8"/>
      <c r="E294" s="8"/>
      <c r="F294" s="8"/>
      <c r="G294" s="13"/>
      <c r="H294" s="13"/>
      <c r="I294" s="13"/>
      <c r="J294" s="13"/>
      <c r="K294" s="13"/>
      <c r="L294" s="13"/>
      <c r="M294" s="13"/>
      <c r="N294" s="14" t="str">
        <f t="shared" si="4"/>
        <v/>
      </c>
      <c r="O294" s="13"/>
      <c r="P294" s="8"/>
      <c r="Q294" s="8"/>
      <c r="R294" s="8"/>
      <c r="S294" s="10"/>
      <c r="T294" s="8"/>
    </row>
    <row r="295" spans="1:20">
      <c r="A295" s="8"/>
      <c r="B295" s="8"/>
      <c r="C295" s="8"/>
      <c r="D295" s="8"/>
      <c r="E295" s="8"/>
      <c r="F295" s="8"/>
      <c r="G295" s="13"/>
      <c r="H295" s="13"/>
      <c r="I295" s="13"/>
      <c r="J295" s="13"/>
      <c r="K295" s="13"/>
      <c r="L295" s="13"/>
      <c r="M295" s="13"/>
      <c r="N295" s="14" t="str">
        <f t="shared" si="4"/>
        <v/>
      </c>
      <c r="O295" s="13"/>
      <c r="P295" s="8"/>
      <c r="Q295" s="8"/>
      <c r="R295" s="8"/>
      <c r="S295" s="10"/>
      <c r="T295" s="8"/>
    </row>
    <row r="296" spans="1:20">
      <c r="A296" s="8"/>
      <c r="B296" s="8"/>
      <c r="C296" s="8"/>
      <c r="D296" s="8"/>
      <c r="E296" s="8"/>
      <c r="F296" s="8"/>
      <c r="G296" s="13"/>
      <c r="H296" s="13"/>
      <c r="I296" s="13"/>
      <c r="J296" s="13"/>
      <c r="K296" s="13"/>
      <c r="L296" s="13"/>
      <c r="M296" s="13"/>
      <c r="N296" s="14" t="str">
        <f t="shared" si="4"/>
        <v/>
      </c>
      <c r="O296" s="13"/>
      <c r="P296" s="8"/>
      <c r="Q296" s="8"/>
      <c r="R296" s="8"/>
      <c r="S296" s="10"/>
      <c r="T296" s="8"/>
    </row>
    <row r="297" spans="1:20">
      <c r="A297" s="8"/>
      <c r="B297" s="8"/>
      <c r="C297" s="8"/>
      <c r="D297" s="8"/>
      <c r="E297" s="8"/>
      <c r="F297" s="8"/>
      <c r="G297" s="13"/>
      <c r="H297" s="13"/>
      <c r="I297" s="13"/>
      <c r="J297" s="13"/>
      <c r="K297" s="13"/>
      <c r="L297" s="13"/>
      <c r="M297" s="13"/>
      <c r="N297" s="14" t="str">
        <f t="shared" si="4"/>
        <v/>
      </c>
      <c r="O297" s="13"/>
      <c r="P297" s="8"/>
      <c r="Q297" s="8"/>
      <c r="R297" s="8"/>
      <c r="S297" s="10"/>
      <c r="T297" s="8"/>
    </row>
    <row r="298" spans="1:20">
      <c r="A298" s="8"/>
      <c r="B298" s="8"/>
      <c r="C298" s="8"/>
      <c r="D298" s="8"/>
      <c r="E298" s="8"/>
      <c r="F298" s="8"/>
      <c r="G298" s="13"/>
      <c r="H298" s="13"/>
      <c r="I298" s="13"/>
      <c r="J298" s="13"/>
      <c r="K298" s="13"/>
      <c r="L298" s="13"/>
      <c r="M298" s="13"/>
      <c r="N298" s="14" t="str">
        <f t="shared" si="4"/>
        <v/>
      </c>
      <c r="O298" s="13"/>
      <c r="P298" s="8"/>
      <c r="Q298" s="8"/>
      <c r="R298" s="8"/>
      <c r="S298" s="10"/>
      <c r="T298" s="8"/>
    </row>
    <row r="299" spans="1:20">
      <c r="A299" s="8"/>
      <c r="B299" s="8"/>
      <c r="C299" s="8"/>
      <c r="D299" s="8"/>
      <c r="E299" s="8"/>
      <c r="F299" s="8"/>
      <c r="G299" s="13"/>
      <c r="H299" s="13"/>
      <c r="I299" s="13"/>
      <c r="J299" s="13"/>
      <c r="K299" s="13"/>
      <c r="L299" s="13"/>
      <c r="M299" s="13"/>
      <c r="N299" s="14" t="str">
        <f t="shared" si="4"/>
        <v/>
      </c>
      <c r="O299" s="13"/>
      <c r="P299" s="8"/>
      <c r="Q299" s="8"/>
      <c r="R299" s="8"/>
      <c r="S299" s="10"/>
      <c r="T299" s="8"/>
    </row>
    <row r="300" spans="1:20">
      <c r="A300" s="8"/>
      <c r="B300" s="8"/>
      <c r="C300" s="8"/>
      <c r="D300" s="8"/>
      <c r="E300" s="8"/>
      <c r="F300" s="8"/>
      <c r="G300" s="13"/>
      <c r="H300" s="13"/>
      <c r="I300" s="13"/>
      <c r="J300" s="13"/>
      <c r="K300" s="13"/>
      <c r="L300" s="13"/>
      <c r="M300" s="13"/>
      <c r="N300" s="14" t="str">
        <f t="shared" si="4"/>
        <v/>
      </c>
      <c r="O300" s="13"/>
      <c r="P300" s="8"/>
      <c r="Q300" s="8"/>
      <c r="R300" s="8"/>
      <c r="S300" s="10"/>
      <c r="T300" s="8"/>
    </row>
    <row r="301" spans="1:20">
      <c r="A301" s="8"/>
      <c r="B301" s="8"/>
      <c r="C301" s="8"/>
      <c r="D301" s="8"/>
      <c r="E301" s="8"/>
      <c r="F301" s="8"/>
      <c r="G301" s="13"/>
      <c r="H301" s="13"/>
      <c r="I301" s="13"/>
      <c r="J301" s="13"/>
      <c r="K301" s="13"/>
      <c r="L301" s="13"/>
      <c r="M301" s="13"/>
      <c r="N301" s="14" t="str">
        <f t="shared" si="4"/>
        <v/>
      </c>
      <c r="O301" s="13"/>
      <c r="P301" s="8"/>
      <c r="Q301" s="8"/>
      <c r="R301" s="8"/>
      <c r="S301" s="10"/>
      <c r="T301" s="8"/>
    </row>
    <row r="302" spans="1:20">
      <c r="A302" s="8"/>
      <c r="B302" s="8"/>
      <c r="C302" s="8"/>
      <c r="D302" s="8"/>
      <c r="E302" s="8"/>
      <c r="F302" s="8"/>
      <c r="G302" s="13"/>
      <c r="H302" s="13"/>
      <c r="I302" s="13"/>
      <c r="J302" s="13"/>
      <c r="K302" s="13"/>
      <c r="L302" s="13"/>
      <c r="M302" s="13"/>
      <c r="N302" s="14" t="str">
        <f t="shared" si="4"/>
        <v/>
      </c>
      <c r="O302" s="13"/>
      <c r="P302" s="8"/>
      <c r="Q302" s="8"/>
      <c r="R302" s="8"/>
      <c r="S302" s="10"/>
      <c r="T302" s="8"/>
    </row>
    <row r="303" spans="1:20">
      <c r="A303" s="8"/>
      <c r="B303" s="8"/>
      <c r="C303" s="8"/>
      <c r="D303" s="8"/>
      <c r="E303" s="8"/>
      <c r="F303" s="8"/>
      <c r="G303" s="13"/>
      <c r="H303" s="13"/>
      <c r="I303" s="13"/>
      <c r="J303" s="13"/>
      <c r="K303" s="13"/>
      <c r="L303" s="13"/>
      <c r="M303" s="13"/>
      <c r="N303" s="14" t="str">
        <f t="shared" si="4"/>
        <v/>
      </c>
      <c r="O303" s="13"/>
      <c r="P303" s="8"/>
      <c r="Q303" s="8"/>
      <c r="R303" s="8"/>
      <c r="S303" s="10"/>
      <c r="T303" s="8"/>
    </row>
    <row r="304" spans="1:20">
      <c r="A304" s="8"/>
      <c r="B304" s="8"/>
      <c r="C304" s="8"/>
      <c r="D304" s="8"/>
      <c r="E304" s="8"/>
      <c r="F304" s="8"/>
      <c r="G304" s="13"/>
      <c r="H304" s="13"/>
      <c r="I304" s="13"/>
      <c r="J304" s="13"/>
      <c r="K304" s="13"/>
      <c r="L304" s="13"/>
      <c r="M304" s="13"/>
      <c r="N304" s="14" t="str">
        <f t="shared" si="4"/>
        <v/>
      </c>
      <c r="O304" s="13"/>
      <c r="P304" s="8"/>
      <c r="Q304" s="8"/>
      <c r="R304" s="8"/>
      <c r="S304" s="10"/>
      <c r="T304" s="8"/>
    </row>
  </sheetData>
  <mergeCells count="2">
    <mergeCell ref="A1:T1"/>
    <mergeCell ref="A2:T2"/>
  </mergeCells>
  <conditionalFormatting sqref="A5:A304">
    <cfRule type="duplicateValues" dxfId="72" priority="9"/>
  </conditionalFormatting>
  <conditionalFormatting sqref="Q5:Q304">
    <cfRule type="containsText" dxfId="71" priority="1" operator="containsText" text="Approved"/>
    <cfRule type="containsText" dxfId="70" priority="4" operator="containsText" text="Failed"/>
    <cfRule type="containsText" dxfId="69" priority="7" operator="containsText" text="On Hold"/>
  </conditionalFormatting>
  <dataValidations count="2">
    <dataValidation type="list" sqref="F5:F304" xr:uid="{00000000-0002-0000-0F00-000000000000}">
      <formula1>"Yards,Meters,Kilograms,Pounds,Rolls"</formula1>
    </dataValidation>
    <dataValidation type="list" sqref="Q5:Q304" xr:uid="{00000000-0002-0000-0F00-000001000000}">
      <formula1>"Available,Partially Available,Shortage,On Hold,Closed"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04"/>
  <sheetViews>
    <sheetView showGridLines="0" workbookViewId="0">
      <selection sqref="A1:O1"/>
    </sheetView>
  </sheetViews>
  <sheetFormatPr baseColWidth="10" defaultColWidth="8.83203125" defaultRowHeight="14"/>
  <cols>
    <col min="1" max="1" width="16" customWidth="1"/>
    <col min="2" max="2" width="15" customWidth="1"/>
    <col min="3" max="3" width="18" customWidth="1"/>
    <col min="4" max="4" width="14" customWidth="1"/>
    <col min="5" max="5" width="17" customWidth="1"/>
    <col min="6" max="6" width="14" customWidth="1"/>
    <col min="7" max="7" width="17" customWidth="1"/>
    <col min="8" max="8" width="11" customWidth="1"/>
    <col min="9" max="9" width="17" customWidth="1"/>
    <col min="10" max="10" width="20" customWidth="1"/>
    <col min="11" max="11" width="16" customWidth="1"/>
    <col min="12" max="14" width="15" customWidth="1"/>
    <col min="15" max="15" width="24" customWidth="1"/>
  </cols>
  <sheetData>
    <row r="1" spans="1:15" ht="30" customHeight="1">
      <c r="A1" s="52" t="s">
        <v>273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1:15" ht="44" customHeight="1">
      <c r="A4" s="6" t="s">
        <v>274</v>
      </c>
      <c r="B4" s="6" t="s">
        <v>275</v>
      </c>
      <c r="C4" s="6" t="s">
        <v>118</v>
      </c>
      <c r="D4" s="6" t="s">
        <v>44</v>
      </c>
      <c r="E4" s="6" t="s">
        <v>104</v>
      </c>
      <c r="F4" s="6" t="s">
        <v>136</v>
      </c>
      <c r="G4" s="6" t="s">
        <v>267</v>
      </c>
      <c r="H4" s="6" t="s">
        <v>109</v>
      </c>
      <c r="I4" s="6" t="s">
        <v>276</v>
      </c>
      <c r="J4" s="6" t="s">
        <v>277</v>
      </c>
      <c r="K4" s="6" t="s">
        <v>73</v>
      </c>
      <c r="L4" s="6" t="s">
        <v>278</v>
      </c>
      <c r="M4" s="6" t="s">
        <v>130</v>
      </c>
      <c r="N4" s="6" t="s">
        <v>63</v>
      </c>
      <c r="O4" s="6" t="s">
        <v>161</v>
      </c>
    </row>
    <row r="5" spans="1:15">
      <c r="A5" s="8"/>
      <c r="B5" s="10"/>
      <c r="C5" s="8"/>
      <c r="D5" s="8"/>
      <c r="E5" s="8"/>
      <c r="F5" s="8"/>
      <c r="G5" s="13"/>
      <c r="H5" s="8"/>
      <c r="I5" s="13"/>
      <c r="J5" s="14" t="str">
        <f t="shared" ref="J5:J68" si="0">IF(A5="","",MAX(0,G5-I5))</f>
        <v/>
      </c>
      <c r="K5" s="8"/>
      <c r="L5" s="8"/>
      <c r="M5" s="8"/>
      <c r="N5" s="10"/>
      <c r="O5" s="8"/>
    </row>
    <row r="6" spans="1:15">
      <c r="A6" s="8"/>
      <c r="B6" s="10"/>
      <c r="C6" s="8"/>
      <c r="D6" s="8"/>
      <c r="E6" s="8"/>
      <c r="F6" s="8"/>
      <c r="G6" s="13"/>
      <c r="H6" s="8"/>
      <c r="I6" s="13"/>
      <c r="J6" s="14" t="str">
        <f t="shared" si="0"/>
        <v/>
      </c>
      <c r="K6" s="8"/>
      <c r="L6" s="8"/>
      <c r="M6" s="8"/>
      <c r="N6" s="10"/>
      <c r="O6" s="8"/>
    </row>
    <row r="7" spans="1:15">
      <c r="A7" s="8"/>
      <c r="B7" s="10"/>
      <c r="C7" s="8"/>
      <c r="D7" s="8"/>
      <c r="E7" s="8"/>
      <c r="F7" s="8"/>
      <c r="G7" s="13"/>
      <c r="H7" s="8"/>
      <c r="I7" s="13"/>
      <c r="J7" s="14" t="str">
        <f t="shared" si="0"/>
        <v/>
      </c>
      <c r="K7" s="8"/>
      <c r="L7" s="8"/>
      <c r="M7" s="8"/>
      <c r="N7" s="10"/>
      <c r="O7" s="8"/>
    </row>
    <row r="8" spans="1:15">
      <c r="A8" s="8"/>
      <c r="B8" s="10"/>
      <c r="C8" s="8"/>
      <c r="D8" s="8"/>
      <c r="E8" s="8"/>
      <c r="F8" s="8"/>
      <c r="G8" s="13"/>
      <c r="H8" s="8"/>
      <c r="I8" s="13"/>
      <c r="J8" s="14" t="str">
        <f t="shared" si="0"/>
        <v/>
      </c>
      <c r="K8" s="8"/>
      <c r="L8" s="8"/>
      <c r="M8" s="8"/>
      <c r="N8" s="10"/>
      <c r="O8" s="8"/>
    </row>
    <row r="9" spans="1:15">
      <c r="A9" s="8"/>
      <c r="B9" s="10"/>
      <c r="C9" s="8"/>
      <c r="D9" s="8"/>
      <c r="E9" s="8"/>
      <c r="F9" s="8"/>
      <c r="G9" s="13"/>
      <c r="H9" s="8"/>
      <c r="I9" s="13"/>
      <c r="J9" s="14" t="str">
        <f t="shared" si="0"/>
        <v/>
      </c>
      <c r="K9" s="8"/>
      <c r="L9" s="8"/>
      <c r="M9" s="8"/>
      <c r="N9" s="10"/>
      <c r="O9" s="8"/>
    </row>
    <row r="10" spans="1:15">
      <c r="A10" s="8"/>
      <c r="B10" s="10"/>
      <c r="C10" s="8"/>
      <c r="D10" s="8"/>
      <c r="E10" s="8"/>
      <c r="F10" s="8"/>
      <c r="G10" s="13"/>
      <c r="H10" s="8"/>
      <c r="I10" s="13"/>
      <c r="J10" s="14" t="str">
        <f t="shared" si="0"/>
        <v/>
      </c>
      <c r="K10" s="8"/>
      <c r="L10" s="8"/>
      <c r="M10" s="8"/>
      <c r="N10" s="10"/>
      <c r="O10" s="8"/>
    </row>
    <row r="11" spans="1:15">
      <c r="A11" s="8"/>
      <c r="B11" s="10"/>
      <c r="C11" s="8"/>
      <c r="D11" s="8"/>
      <c r="E11" s="8"/>
      <c r="F11" s="8"/>
      <c r="G11" s="13"/>
      <c r="H11" s="8"/>
      <c r="I11" s="13"/>
      <c r="J11" s="14" t="str">
        <f t="shared" si="0"/>
        <v/>
      </c>
      <c r="K11" s="8"/>
      <c r="L11" s="8"/>
      <c r="M11" s="8"/>
      <c r="N11" s="10"/>
      <c r="O11" s="8"/>
    </row>
    <row r="12" spans="1:15">
      <c r="A12" s="8"/>
      <c r="B12" s="10"/>
      <c r="C12" s="8"/>
      <c r="D12" s="8"/>
      <c r="E12" s="8"/>
      <c r="F12" s="8"/>
      <c r="G12" s="13"/>
      <c r="H12" s="8"/>
      <c r="I12" s="13"/>
      <c r="J12" s="14" t="str">
        <f t="shared" si="0"/>
        <v/>
      </c>
      <c r="K12" s="8"/>
      <c r="L12" s="8"/>
      <c r="M12" s="8"/>
      <c r="N12" s="10"/>
      <c r="O12" s="8"/>
    </row>
    <row r="13" spans="1:15">
      <c r="A13" s="8"/>
      <c r="B13" s="10"/>
      <c r="C13" s="8"/>
      <c r="D13" s="8"/>
      <c r="E13" s="8"/>
      <c r="F13" s="8"/>
      <c r="G13" s="13"/>
      <c r="H13" s="8"/>
      <c r="I13" s="13"/>
      <c r="J13" s="14" t="str">
        <f t="shared" si="0"/>
        <v/>
      </c>
      <c r="K13" s="8"/>
      <c r="L13" s="8"/>
      <c r="M13" s="8"/>
      <c r="N13" s="10"/>
      <c r="O13" s="8"/>
    </row>
    <row r="14" spans="1:15">
      <c r="A14" s="8"/>
      <c r="B14" s="10"/>
      <c r="C14" s="8"/>
      <c r="D14" s="8"/>
      <c r="E14" s="8"/>
      <c r="F14" s="8"/>
      <c r="G14" s="13"/>
      <c r="H14" s="8"/>
      <c r="I14" s="13"/>
      <c r="J14" s="14" t="str">
        <f t="shared" si="0"/>
        <v/>
      </c>
      <c r="K14" s="8"/>
      <c r="L14" s="8"/>
      <c r="M14" s="8"/>
      <c r="N14" s="10"/>
      <c r="O14" s="8"/>
    </row>
    <row r="15" spans="1:15">
      <c r="A15" s="8"/>
      <c r="B15" s="10"/>
      <c r="C15" s="8"/>
      <c r="D15" s="8"/>
      <c r="E15" s="8"/>
      <c r="F15" s="8"/>
      <c r="G15" s="13"/>
      <c r="H15" s="8"/>
      <c r="I15" s="13"/>
      <c r="J15" s="14" t="str">
        <f t="shared" si="0"/>
        <v/>
      </c>
      <c r="K15" s="8"/>
      <c r="L15" s="8"/>
      <c r="M15" s="8"/>
      <c r="N15" s="10"/>
      <c r="O15" s="8"/>
    </row>
    <row r="16" spans="1:15">
      <c r="A16" s="8"/>
      <c r="B16" s="10"/>
      <c r="C16" s="8"/>
      <c r="D16" s="8"/>
      <c r="E16" s="8"/>
      <c r="F16" s="8"/>
      <c r="G16" s="13"/>
      <c r="H16" s="8"/>
      <c r="I16" s="13"/>
      <c r="J16" s="14" t="str">
        <f t="shared" si="0"/>
        <v/>
      </c>
      <c r="K16" s="8"/>
      <c r="L16" s="8"/>
      <c r="M16" s="8"/>
      <c r="N16" s="10"/>
      <c r="O16" s="8"/>
    </row>
    <row r="17" spans="1:15">
      <c r="A17" s="8"/>
      <c r="B17" s="10"/>
      <c r="C17" s="8"/>
      <c r="D17" s="8"/>
      <c r="E17" s="8"/>
      <c r="F17" s="8"/>
      <c r="G17" s="13"/>
      <c r="H17" s="8"/>
      <c r="I17" s="13"/>
      <c r="J17" s="14" t="str">
        <f t="shared" si="0"/>
        <v/>
      </c>
      <c r="K17" s="8"/>
      <c r="L17" s="8"/>
      <c r="M17" s="8"/>
      <c r="N17" s="10"/>
      <c r="O17" s="8"/>
    </row>
    <row r="18" spans="1:15">
      <c r="A18" s="8"/>
      <c r="B18" s="10"/>
      <c r="C18" s="8"/>
      <c r="D18" s="8"/>
      <c r="E18" s="8"/>
      <c r="F18" s="8"/>
      <c r="G18" s="13"/>
      <c r="H18" s="8"/>
      <c r="I18" s="13"/>
      <c r="J18" s="14" t="str">
        <f t="shared" si="0"/>
        <v/>
      </c>
      <c r="K18" s="8"/>
      <c r="L18" s="8"/>
      <c r="M18" s="8"/>
      <c r="N18" s="10"/>
      <c r="O18" s="8"/>
    </row>
    <row r="19" spans="1:15">
      <c r="A19" s="8"/>
      <c r="B19" s="10"/>
      <c r="C19" s="8"/>
      <c r="D19" s="8"/>
      <c r="E19" s="8"/>
      <c r="F19" s="8"/>
      <c r="G19" s="13"/>
      <c r="H19" s="8"/>
      <c r="I19" s="13"/>
      <c r="J19" s="14" t="str">
        <f t="shared" si="0"/>
        <v/>
      </c>
      <c r="K19" s="8"/>
      <c r="L19" s="8"/>
      <c r="M19" s="8"/>
      <c r="N19" s="10"/>
      <c r="O19" s="8"/>
    </row>
    <row r="20" spans="1:15">
      <c r="A20" s="8"/>
      <c r="B20" s="10"/>
      <c r="C20" s="8"/>
      <c r="D20" s="8"/>
      <c r="E20" s="8"/>
      <c r="F20" s="8"/>
      <c r="G20" s="13"/>
      <c r="H20" s="8"/>
      <c r="I20" s="13"/>
      <c r="J20" s="14" t="str">
        <f t="shared" si="0"/>
        <v/>
      </c>
      <c r="K20" s="8"/>
      <c r="L20" s="8"/>
      <c r="M20" s="8"/>
      <c r="N20" s="10"/>
      <c r="O20" s="8"/>
    </row>
    <row r="21" spans="1:15">
      <c r="A21" s="8"/>
      <c r="B21" s="10"/>
      <c r="C21" s="8"/>
      <c r="D21" s="8"/>
      <c r="E21" s="8"/>
      <c r="F21" s="8"/>
      <c r="G21" s="13"/>
      <c r="H21" s="8"/>
      <c r="I21" s="13"/>
      <c r="J21" s="14" t="str">
        <f t="shared" si="0"/>
        <v/>
      </c>
      <c r="K21" s="8"/>
      <c r="L21" s="8"/>
      <c r="M21" s="8"/>
      <c r="N21" s="10"/>
      <c r="O21" s="8"/>
    </row>
    <row r="22" spans="1:15">
      <c r="A22" s="8"/>
      <c r="B22" s="10"/>
      <c r="C22" s="8"/>
      <c r="D22" s="8"/>
      <c r="E22" s="8"/>
      <c r="F22" s="8"/>
      <c r="G22" s="13"/>
      <c r="H22" s="8"/>
      <c r="I22" s="13"/>
      <c r="J22" s="14" t="str">
        <f t="shared" si="0"/>
        <v/>
      </c>
      <c r="K22" s="8"/>
      <c r="L22" s="8"/>
      <c r="M22" s="8"/>
      <c r="N22" s="10"/>
      <c r="O22" s="8"/>
    </row>
    <row r="23" spans="1:15">
      <c r="A23" s="8"/>
      <c r="B23" s="10"/>
      <c r="C23" s="8"/>
      <c r="D23" s="8"/>
      <c r="E23" s="8"/>
      <c r="F23" s="8"/>
      <c r="G23" s="13"/>
      <c r="H23" s="8"/>
      <c r="I23" s="13"/>
      <c r="J23" s="14" t="str">
        <f t="shared" si="0"/>
        <v/>
      </c>
      <c r="K23" s="8"/>
      <c r="L23" s="8"/>
      <c r="M23" s="8"/>
      <c r="N23" s="10"/>
      <c r="O23" s="8"/>
    </row>
    <row r="24" spans="1:15">
      <c r="A24" s="8"/>
      <c r="B24" s="10"/>
      <c r="C24" s="8"/>
      <c r="D24" s="8"/>
      <c r="E24" s="8"/>
      <c r="F24" s="8"/>
      <c r="G24" s="13"/>
      <c r="H24" s="8"/>
      <c r="I24" s="13"/>
      <c r="J24" s="14" t="str">
        <f t="shared" si="0"/>
        <v/>
      </c>
      <c r="K24" s="8"/>
      <c r="L24" s="8"/>
      <c r="M24" s="8"/>
      <c r="N24" s="10"/>
      <c r="O24" s="8"/>
    </row>
    <row r="25" spans="1:15">
      <c r="A25" s="8"/>
      <c r="B25" s="10"/>
      <c r="C25" s="8"/>
      <c r="D25" s="8"/>
      <c r="E25" s="8"/>
      <c r="F25" s="8"/>
      <c r="G25" s="13"/>
      <c r="H25" s="8"/>
      <c r="I25" s="13"/>
      <c r="J25" s="14" t="str">
        <f t="shared" si="0"/>
        <v/>
      </c>
      <c r="K25" s="8"/>
      <c r="L25" s="8"/>
      <c r="M25" s="8"/>
      <c r="N25" s="10"/>
      <c r="O25" s="8"/>
    </row>
    <row r="26" spans="1:15">
      <c r="A26" s="8"/>
      <c r="B26" s="10"/>
      <c r="C26" s="8"/>
      <c r="D26" s="8"/>
      <c r="E26" s="8"/>
      <c r="F26" s="8"/>
      <c r="G26" s="13"/>
      <c r="H26" s="8"/>
      <c r="I26" s="13"/>
      <c r="J26" s="14" t="str">
        <f t="shared" si="0"/>
        <v/>
      </c>
      <c r="K26" s="8"/>
      <c r="L26" s="8"/>
      <c r="M26" s="8"/>
      <c r="N26" s="10"/>
      <c r="O26" s="8"/>
    </row>
    <row r="27" spans="1:15">
      <c r="A27" s="8"/>
      <c r="B27" s="10"/>
      <c r="C27" s="8"/>
      <c r="D27" s="8"/>
      <c r="E27" s="8"/>
      <c r="F27" s="8"/>
      <c r="G27" s="13"/>
      <c r="H27" s="8"/>
      <c r="I27" s="13"/>
      <c r="J27" s="14" t="str">
        <f t="shared" si="0"/>
        <v/>
      </c>
      <c r="K27" s="8"/>
      <c r="L27" s="8"/>
      <c r="M27" s="8"/>
      <c r="N27" s="10"/>
      <c r="O27" s="8"/>
    </row>
    <row r="28" spans="1:15">
      <c r="A28" s="8"/>
      <c r="B28" s="10"/>
      <c r="C28" s="8"/>
      <c r="D28" s="8"/>
      <c r="E28" s="8"/>
      <c r="F28" s="8"/>
      <c r="G28" s="13"/>
      <c r="H28" s="8"/>
      <c r="I28" s="13"/>
      <c r="J28" s="14" t="str">
        <f t="shared" si="0"/>
        <v/>
      </c>
      <c r="K28" s="8"/>
      <c r="L28" s="8"/>
      <c r="M28" s="8"/>
      <c r="N28" s="10"/>
      <c r="O28" s="8"/>
    </row>
    <row r="29" spans="1:15">
      <c r="A29" s="8"/>
      <c r="B29" s="10"/>
      <c r="C29" s="8"/>
      <c r="D29" s="8"/>
      <c r="E29" s="8"/>
      <c r="F29" s="8"/>
      <c r="G29" s="13"/>
      <c r="H29" s="8"/>
      <c r="I29" s="13"/>
      <c r="J29" s="14" t="str">
        <f t="shared" si="0"/>
        <v/>
      </c>
      <c r="K29" s="8"/>
      <c r="L29" s="8"/>
      <c r="M29" s="8"/>
      <c r="N29" s="10"/>
      <c r="O29" s="8"/>
    </row>
    <row r="30" spans="1:15">
      <c r="A30" s="8"/>
      <c r="B30" s="10"/>
      <c r="C30" s="8"/>
      <c r="D30" s="8"/>
      <c r="E30" s="8"/>
      <c r="F30" s="8"/>
      <c r="G30" s="13"/>
      <c r="H30" s="8"/>
      <c r="I30" s="13"/>
      <c r="J30" s="14" t="str">
        <f t="shared" si="0"/>
        <v/>
      </c>
      <c r="K30" s="8"/>
      <c r="L30" s="8"/>
      <c r="M30" s="8"/>
      <c r="N30" s="10"/>
      <c r="O30" s="8"/>
    </row>
    <row r="31" spans="1:15">
      <c r="A31" s="8"/>
      <c r="B31" s="10"/>
      <c r="C31" s="8"/>
      <c r="D31" s="8"/>
      <c r="E31" s="8"/>
      <c r="F31" s="8"/>
      <c r="G31" s="13"/>
      <c r="H31" s="8"/>
      <c r="I31" s="13"/>
      <c r="J31" s="14" t="str">
        <f t="shared" si="0"/>
        <v/>
      </c>
      <c r="K31" s="8"/>
      <c r="L31" s="8"/>
      <c r="M31" s="8"/>
      <c r="N31" s="10"/>
      <c r="O31" s="8"/>
    </row>
    <row r="32" spans="1:15">
      <c r="A32" s="8"/>
      <c r="B32" s="10"/>
      <c r="C32" s="8"/>
      <c r="D32" s="8"/>
      <c r="E32" s="8"/>
      <c r="F32" s="8"/>
      <c r="G32" s="13"/>
      <c r="H32" s="8"/>
      <c r="I32" s="13"/>
      <c r="J32" s="14" t="str">
        <f t="shared" si="0"/>
        <v/>
      </c>
      <c r="K32" s="8"/>
      <c r="L32" s="8"/>
      <c r="M32" s="8"/>
      <c r="N32" s="10"/>
      <c r="O32" s="8"/>
    </row>
    <row r="33" spans="1:15">
      <c r="A33" s="8"/>
      <c r="B33" s="10"/>
      <c r="C33" s="8"/>
      <c r="D33" s="8"/>
      <c r="E33" s="8"/>
      <c r="F33" s="8"/>
      <c r="G33" s="13"/>
      <c r="H33" s="8"/>
      <c r="I33" s="13"/>
      <c r="J33" s="14" t="str">
        <f t="shared" si="0"/>
        <v/>
      </c>
      <c r="K33" s="8"/>
      <c r="L33" s="8"/>
      <c r="M33" s="8"/>
      <c r="N33" s="10"/>
      <c r="O33" s="8"/>
    </row>
    <row r="34" spans="1:15">
      <c r="A34" s="8"/>
      <c r="B34" s="10"/>
      <c r="C34" s="8"/>
      <c r="D34" s="8"/>
      <c r="E34" s="8"/>
      <c r="F34" s="8"/>
      <c r="G34" s="13"/>
      <c r="H34" s="8"/>
      <c r="I34" s="13"/>
      <c r="J34" s="14" t="str">
        <f t="shared" si="0"/>
        <v/>
      </c>
      <c r="K34" s="8"/>
      <c r="L34" s="8"/>
      <c r="M34" s="8"/>
      <c r="N34" s="10"/>
      <c r="O34" s="8"/>
    </row>
    <row r="35" spans="1:15">
      <c r="A35" s="8"/>
      <c r="B35" s="10"/>
      <c r="C35" s="8"/>
      <c r="D35" s="8"/>
      <c r="E35" s="8"/>
      <c r="F35" s="8"/>
      <c r="G35" s="13"/>
      <c r="H35" s="8"/>
      <c r="I35" s="13"/>
      <c r="J35" s="14" t="str">
        <f t="shared" si="0"/>
        <v/>
      </c>
      <c r="K35" s="8"/>
      <c r="L35" s="8"/>
      <c r="M35" s="8"/>
      <c r="N35" s="10"/>
      <c r="O35" s="8"/>
    </row>
    <row r="36" spans="1:15">
      <c r="A36" s="8"/>
      <c r="B36" s="10"/>
      <c r="C36" s="8"/>
      <c r="D36" s="8"/>
      <c r="E36" s="8"/>
      <c r="F36" s="8"/>
      <c r="G36" s="13"/>
      <c r="H36" s="8"/>
      <c r="I36" s="13"/>
      <c r="J36" s="14" t="str">
        <f t="shared" si="0"/>
        <v/>
      </c>
      <c r="K36" s="8"/>
      <c r="L36" s="8"/>
      <c r="M36" s="8"/>
      <c r="N36" s="10"/>
      <c r="O36" s="8"/>
    </row>
    <row r="37" spans="1:15">
      <c r="A37" s="8"/>
      <c r="B37" s="10"/>
      <c r="C37" s="8"/>
      <c r="D37" s="8"/>
      <c r="E37" s="8"/>
      <c r="F37" s="8"/>
      <c r="G37" s="13"/>
      <c r="H37" s="8"/>
      <c r="I37" s="13"/>
      <c r="J37" s="14" t="str">
        <f t="shared" si="0"/>
        <v/>
      </c>
      <c r="K37" s="8"/>
      <c r="L37" s="8"/>
      <c r="M37" s="8"/>
      <c r="N37" s="10"/>
      <c r="O37" s="8"/>
    </row>
    <row r="38" spans="1:15">
      <c r="A38" s="8"/>
      <c r="B38" s="10"/>
      <c r="C38" s="8"/>
      <c r="D38" s="8"/>
      <c r="E38" s="8"/>
      <c r="F38" s="8"/>
      <c r="G38" s="13"/>
      <c r="H38" s="8"/>
      <c r="I38" s="13"/>
      <c r="J38" s="14" t="str">
        <f t="shared" si="0"/>
        <v/>
      </c>
      <c r="K38" s="8"/>
      <c r="L38" s="8"/>
      <c r="M38" s="8"/>
      <c r="N38" s="10"/>
      <c r="O38" s="8"/>
    </row>
    <row r="39" spans="1:15">
      <c r="A39" s="8"/>
      <c r="B39" s="10"/>
      <c r="C39" s="8"/>
      <c r="D39" s="8"/>
      <c r="E39" s="8"/>
      <c r="F39" s="8"/>
      <c r="G39" s="13"/>
      <c r="H39" s="8"/>
      <c r="I39" s="13"/>
      <c r="J39" s="14" t="str">
        <f t="shared" si="0"/>
        <v/>
      </c>
      <c r="K39" s="8"/>
      <c r="L39" s="8"/>
      <c r="M39" s="8"/>
      <c r="N39" s="10"/>
      <c r="O39" s="8"/>
    </row>
    <row r="40" spans="1:15">
      <c r="A40" s="8"/>
      <c r="B40" s="10"/>
      <c r="C40" s="8"/>
      <c r="D40" s="8"/>
      <c r="E40" s="8"/>
      <c r="F40" s="8"/>
      <c r="G40" s="13"/>
      <c r="H40" s="8"/>
      <c r="I40" s="13"/>
      <c r="J40" s="14" t="str">
        <f t="shared" si="0"/>
        <v/>
      </c>
      <c r="K40" s="8"/>
      <c r="L40" s="8"/>
      <c r="M40" s="8"/>
      <c r="N40" s="10"/>
      <c r="O40" s="8"/>
    </row>
    <row r="41" spans="1:15">
      <c r="A41" s="8"/>
      <c r="B41" s="10"/>
      <c r="C41" s="8"/>
      <c r="D41" s="8"/>
      <c r="E41" s="8"/>
      <c r="F41" s="8"/>
      <c r="G41" s="13"/>
      <c r="H41" s="8"/>
      <c r="I41" s="13"/>
      <c r="J41" s="14" t="str">
        <f t="shared" si="0"/>
        <v/>
      </c>
      <c r="K41" s="8"/>
      <c r="L41" s="8"/>
      <c r="M41" s="8"/>
      <c r="N41" s="10"/>
      <c r="O41" s="8"/>
    </row>
    <row r="42" spans="1:15">
      <c r="A42" s="8"/>
      <c r="B42" s="10"/>
      <c r="C42" s="8"/>
      <c r="D42" s="8"/>
      <c r="E42" s="8"/>
      <c r="F42" s="8"/>
      <c r="G42" s="13"/>
      <c r="H42" s="8"/>
      <c r="I42" s="13"/>
      <c r="J42" s="14" t="str">
        <f t="shared" si="0"/>
        <v/>
      </c>
      <c r="K42" s="8"/>
      <c r="L42" s="8"/>
      <c r="M42" s="8"/>
      <c r="N42" s="10"/>
      <c r="O42" s="8"/>
    </row>
    <row r="43" spans="1:15">
      <c r="A43" s="8"/>
      <c r="B43" s="10"/>
      <c r="C43" s="8"/>
      <c r="D43" s="8"/>
      <c r="E43" s="8"/>
      <c r="F43" s="8"/>
      <c r="G43" s="13"/>
      <c r="H43" s="8"/>
      <c r="I43" s="13"/>
      <c r="J43" s="14" t="str">
        <f t="shared" si="0"/>
        <v/>
      </c>
      <c r="K43" s="8"/>
      <c r="L43" s="8"/>
      <c r="M43" s="8"/>
      <c r="N43" s="10"/>
      <c r="O43" s="8"/>
    </row>
    <row r="44" spans="1:15">
      <c r="A44" s="8"/>
      <c r="B44" s="10"/>
      <c r="C44" s="8"/>
      <c r="D44" s="8"/>
      <c r="E44" s="8"/>
      <c r="F44" s="8"/>
      <c r="G44" s="13"/>
      <c r="H44" s="8"/>
      <c r="I44" s="13"/>
      <c r="J44" s="14" t="str">
        <f t="shared" si="0"/>
        <v/>
      </c>
      <c r="K44" s="8"/>
      <c r="L44" s="8"/>
      <c r="M44" s="8"/>
      <c r="N44" s="10"/>
      <c r="O44" s="8"/>
    </row>
    <row r="45" spans="1:15">
      <c r="A45" s="8"/>
      <c r="B45" s="10"/>
      <c r="C45" s="8"/>
      <c r="D45" s="8"/>
      <c r="E45" s="8"/>
      <c r="F45" s="8"/>
      <c r="G45" s="13"/>
      <c r="H45" s="8"/>
      <c r="I45" s="13"/>
      <c r="J45" s="14" t="str">
        <f t="shared" si="0"/>
        <v/>
      </c>
      <c r="K45" s="8"/>
      <c r="L45" s="8"/>
      <c r="M45" s="8"/>
      <c r="N45" s="10"/>
      <c r="O45" s="8"/>
    </row>
    <row r="46" spans="1:15">
      <c r="A46" s="8"/>
      <c r="B46" s="10"/>
      <c r="C46" s="8"/>
      <c r="D46" s="8"/>
      <c r="E46" s="8"/>
      <c r="F46" s="8"/>
      <c r="G46" s="13"/>
      <c r="H46" s="8"/>
      <c r="I46" s="13"/>
      <c r="J46" s="14" t="str">
        <f t="shared" si="0"/>
        <v/>
      </c>
      <c r="K46" s="8"/>
      <c r="L46" s="8"/>
      <c r="M46" s="8"/>
      <c r="N46" s="10"/>
      <c r="O46" s="8"/>
    </row>
    <row r="47" spans="1:15">
      <c r="A47" s="8"/>
      <c r="B47" s="10"/>
      <c r="C47" s="8"/>
      <c r="D47" s="8"/>
      <c r="E47" s="8"/>
      <c r="F47" s="8"/>
      <c r="G47" s="13"/>
      <c r="H47" s="8"/>
      <c r="I47" s="13"/>
      <c r="J47" s="14" t="str">
        <f t="shared" si="0"/>
        <v/>
      </c>
      <c r="K47" s="8"/>
      <c r="L47" s="8"/>
      <c r="M47" s="8"/>
      <c r="N47" s="10"/>
      <c r="O47" s="8"/>
    </row>
    <row r="48" spans="1:15">
      <c r="A48" s="8"/>
      <c r="B48" s="10"/>
      <c r="C48" s="8"/>
      <c r="D48" s="8"/>
      <c r="E48" s="8"/>
      <c r="F48" s="8"/>
      <c r="G48" s="13"/>
      <c r="H48" s="8"/>
      <c r="I48" s="13"/>
      <c r="J48" s="14" t="str">
        <f t="shared" si="0"/>
        <v/>
      </c>
      <c r="K48" s="8"/>
      <c r="L48" s="8"/>
      <c r="M48" s="8"/>
      <c r="N48" s="10"/>
      <c r="O48" s="8"/>
    </row>
    <row r="49" spans="1:15">
      <c r="A49" s="8"/>
      <c r="B49" s="10"/>
      <c r="C49" s="8"/>
      <c r="D49" s="8"/>
      <c r="E49" s="8"/>
      <c r="F49" s="8"/>
      <c r="G49" s="13"/>
      <c r="H49" s="8"/>
      <c r="I49" s="13"/>
      <c r="J49" s="14" t="str">
        <f t="shared" si="0"/>
        <v/>
      </c>
      <c r="K49" s="8"/>
      <c r="L49" s="8"/>
      <c r="M49" s="8"/>
      <c r="N49" s="10"/>
      <c r="O49" s="8"/>
    </row>
    <row r="50" spans="1:15">
      <c r="A50" s="8"/>
      <c r="B50" s="10"/>
      <c r="C50" s="8"/>
      <c r="D50" s="8"/>
      <c r="E50" s="8"/>
      <c r="F50" s="8"/>
      <c r="G50" s="13"/>
      <c r="H50" s="8"/>
      <c r="I50" s="13"/>
      <c r="J50" s="14" t="str">
        <f t="shared" si="0"/>
        <v/>
      </c>
      <c r="K50" s="8"/>
      <c r="L50" s="8"/>
      <c r="M50" s="8"/>
      <c r="N50" s="10"/>
      <c r="O50" s="8"/>
    </row>
    <row r="51" spans="1:15">
      <c r="A51" s="8"/>
      <c r="B51" s="10"/>
      <c r="C51" s="8"/>
      <c r="D51" s="8"/>
      <c r="E51" s="8"/>
      <c r="F51" s="8"/>
      <c r="G51" s="13"/>
      <c r="H51" s="8"/>
      <c r="I51" s="13"/>
      <c r="J51" s="14" t="str">
        <f t="shared" si="0"/>
        <v/>
      </c>
      <c r="K51" s="8"/>
      <c r="L51" s="8"/>
      <c r="M51" s="8"/>
      <c r="N51" s="10"/>
      <c r="O51" s="8"/>
    </row>
    <row r="52" spans="1:15">
      <c r="A52" s="8"/>
      <c r="B52" s="10"/>
      <c r="C52" s="8"/>
      <c r="D52" s="8"/>
      <c r="E52" s="8"/>
      <c r="F52" s="8"/>
      <c r="G52" s="13"/>
      <c r="H52" s="8"/>
      <c r="I52" s="13"/>
      <c r="J52" s="14" t="str">
        <f t="shared" si="0"/>
        <v/>
      </c>
      <c r="K52" s="8"/>
      <c r="L52" s="8"/>
      <c r="M52" s="8"/>
      <c r="N52" s="10"/>
      <c r="O52" s="8"/>
    </row>
    <row r="53" spans="1:15">
      <c r="A53" s="8"/>
      <c r="B53" s="10"/>
      <c r="C53" s="8"/>
      <c r="D53" s="8"/>
      <c r="E53" s="8"/>
      <c r="F53" s="8"/>
      <c r="G53" s="13"/>
      <c r="H53" s="8"/>
      <c r="I53" s="13"/>
      <c r="J53" s="14" t="str">
        <f t="shared" si="0"/>
        <v/>
      </c>
      <c r="K53" s="8"/>
      <c r="L53" s="8"/>
      <c r="M53" s="8"/>
      <c r="N53" s="10"/>
      <c r="O53" s="8"/>
    </row>
    <row r="54" spans="1:15">
      <c r="A54" s="8"/>
      <c r="B54" s="10"/>
      <c r="C54" s="8"/>
      <c r="D54" s="8"/>
      <c r="E54" s="8"/>
      <c r="F54" s="8"/>
      <c r="G54" s="13"/>
      <c r="H54" s="8"/>
      <c r="I54" s="13"/>
      <c r="J54" s="14" t="str">
        <f t="shared" si="0"/>
        <v/>
      </c>
      <c r="K54" s="8"/>
      <c r="L54" s="8"/>
      <c r="M54" s="8"/>
      <c r="N54" s="10"/>
      <c r="O54" s="8"/>
    </row>
    <row r="55" spans="1:15">
      <c r="A55" s="8"/>
      <c r="B55" s="10"/>
      <c r="C55" s="8"/>
      <c r="D55" s="8"/>
      <c r="E55" s="8"/>
      <c r="F55" s="8"/>
      <c r="G55" s="13"/>
      <c r="H55" s="8"/>
      <c r="I55" s="13"/>
      <c r="J55" s="14" t="str">
        <f t="shared" si="0"/>
        <v/>
      </c>
      <c r="K55" s="8"/>
      <c r="L55" s="8"/>
      <c r="M55" s="8"/>
      <c r="N55" s="10"/>
      <c r="O55" s="8"/>
    </row>
    <row r="56" spans="1:15">
      <c r="A56" s="8"/>
      <c r="B56" s="10"/>
      <c r="C56" s="8"/>
      <c r="D56" s="8"/>
      <c r="E56" s="8"/>
      <c r="F56" s="8"/>
      <c r="G56" s="13"/>
      <c r="H56" s="8"/>
      <c r="I56" s="13"/>
      <c r="J56" s="14" t="str">
        <f t="shared" si="0"/>
        <v/>
      </c>
      <c r="K56" s="8"/>
      <c r="L56" s="8"/>
      <c r="M56" s="8"/>
      <c r="N56" s="10"/>
      <c r="O56" s="8"/>
    </row>
    <row r="57" spans="1:15">
      <c r="A57" s="8"/>
      <c r="B57" s="10"/>
      <c r="C57" s="8"/>
      <c r="D57" s="8"/>
      <c r="E57" s="8"/>
      <c r="F57" s="8"/>
      <c r="G57" s="13"/>
      <c r="H57" s="8"/>
      <c r="I57" s="13"/>
      <c r="J57" s="14" t="str">
        <f t="shared" si="0"/>
        <v/>
      </c>
      <c r="K57" s="8"/>
      <c r="L57" s="8"/>
      <c r="M57" s="8"/>
      <c r="N57" s="10"/>
      <c r="O57" s="8"/>
    </row>
    <row r="58" spans="1:15">
      <c r="A58" s="8"/>
      <c r="B58" s="10"/>
      <c r="C58" s="8"/>
      <c r="D58" s="8"/>
      <c r="E58" s="8"/>
      <c r="F58" s="8"/>
      <c r="G58" s="13"/>
      <c r="H58" s="8"/>
      <c r="I58" s="13"/>
      <c r="J58" s="14" t="str">
        <f t="shared" si="0"/>
        <v/>
      </c>
      <c r="K58" s="8"/>
      <c r="L58" s="8"/>
      <c r="M58" s="8"/>
      <c r="N58" s="10"/>
      <c r="O58" s="8"/>
    </row>
    <row r="59" spans="1:15">
      <c r="A59" s="8"/>
      <c r="B59" s="10"/>
      <c r="C59" s="8"/>
      <c r="D59" s="8"/>
      <c r="E59" s="8"/>
      <c r="F59" s="8"/>
      <c r="G59" s="13"/>
      <c r="H59" s="8"/>
      <c r="I59" s="13"/>
      <c r="J59" s="14" t="str">
        <f t="shared" si="0"/>
        <v/>
      </c>
      <c r="K59" s="8"/>
      <c r="L59" s="8"/>
      <c r="M59" s="8"/>
      <c r="N59" s="10"/>
      <c r="O59" s="8"/>
    </row>
    <row r="60" spans="1:15">
      <c r="A60" s="8"/>
      <c r="B60" s="10"/>
      <c r="C60" s="8"/>
      <c r="D60" s="8"/>
      <c r="E60" s="8"/>
      <c r="F60" s="8"/>
      <c r="G60" s="13"/>
      <c r="H60" s="8"/>
      <c r="I60" s="13"/>
      <c r="J60" s="14" t="str">
        <f t="shared" si="0"/>
        <v/>
      </c>
      <c r="K60" s="8"/>
      <c r="L60" s="8"/>
      <c r="M60" s="8"/>
      <c r="N60" s="10"/>
      <c r="O60" s="8"/>
    </row>
    <row r="61" spans="1:15">
      <c r="A61" s="8"/>
      <c r="B61" s="10"/>
      <c r="C61" s="8"/>
      <c r="D61" s="8"/>
      <c r="E61" s="8"/>
      <c r="F61" s="8"/>
      <c r="G61" s="13"/>
      <c r="H61" s="8"/>
      <c r="I61" s="13"/>
      <c r="J61" s="14" t="str">
        <f t="shared" si="0"/>
        <v/>
      </c>
      <c r="K61" s="8"/>
      <c r="L61" s="8"/>
      <c r="M61" s="8"/>
      <c r="N61" s="10"/>
      <c r="O61" s="8"/>
    </row>
    <row r="62" spans="1:15">
      <c r="A62" s="8"/>
      <c r="B62" s="10"/>
      <c r="C62" s="8"/>
      <c r="D62" s="8"/>
      <c r="E62" s="8"/>
      <c r="F62" s="8"/>
      <c r="G62" s="13"/>
      <c r="H62" s="8"/>
      <c r="I62" s="13"/>
      <c r="J62" s="14" t="str">
        <f t="shared" si="0"/>
        <v/>
      </c>
      <c r="K62" s="8"/>
      <c r="L62" s="8"/>
      <c r="M62" s="8"/>
      <c r="N62" s="10"/>
      <c r="O62" s="8"/>
    </row>
    <row r="63" spans="1:15">
      <c r="A63" s="8"/>
      <c r="B63" s="10"/>
      <c r="C63" s="8"/>
      <c r="D63" s="8"/>
      <c r="E63" s="8"/>
      <c r="F63" s="8"/>
      <c r="G63" s="13"/>
      <c r="H63" s="8"/>
      <c r="I63" s="13"/>
      <c r="J63" s="14" t="str">
        <f t="shared" si="0"/>
        <v/>
      </c>
      <c r="K63" s="8"/>
      <c r="L63" s="8"/>
      <c r="M63" s="8"/>
      <c r="N63" s="10"/>
      <c r="O63" s="8"/>
    </row>
    <row r="64" spans="1:15">
      <c r="A64" s="8"/>
      <c r="B64" s="10"/>
      <c r="C64" s="8"/>
      <c r="D64" s="8"/>
      <c r="E64" s="8"/>
      <c r="F64" s="8"/>
      <c r="G64" s="13"/>
      <c r="H64" s="8"/>
      <c r="I64" s="13"/>
      <c r="J64" s="14" t="str">
        <f t="shared" si="0"/>
        <v/>
      </c>
      <c r="K64" s="8"/>
      <c r="L64" s="8"/>
      <c r="M64" s="8"/>
      <c r="N64" s="10"/>
      <c r="O64" s="8"/>
    </row>
    <row r="65" spans="1:15">
      <c r="A65" s="8"/>
      <c r="B65" s="10"/>
      <c r="C65" s="8"/>
      <c r="D65" s="8"/>
      <c r="E65" s="8"/>
      <c r="F65" s="8"/>
      <c r="G65" s="13"/>
      <c r="H65" s="8"/>
      <c r="I65" s="13"/>
      <c r="J65" s="14" t="str">
        <f t="shared" si="0"/>
        <v/>
      </c>
      <c r="K65" s="8"/>
      <c r="L65" s="8"/>
      <c r="M65" s="8"/>
      <c r="N65" s="10"/>
      <c r="O65" s="8"/>
    </row>
    <row r="66" spans="1:15">
      <c r="A66" s="8"/>
      <c r="B66" s="10"/>
      <c r="C66" s="8"/>
      <c r="D66" s="8"/>
      <c r="E66" s="8"/>
      <c r="F66" s="8"/>
      <c r="G66" s="13"/>
      <c r="H66" s="8"/>
      <c r="I66" s="13"/>
      <c r="J66" s="14" t="str">
        <f t="shared" si="0"/>
        <v/>
      </c>
      <c r="K66" s="8"/>
      <c r="L66" s="8"/>
      <c r="M66" s="8"/>
      <c r="N66" s="10"/>
      <c r="O66" s="8"/>
    </row>
    <row r="67" spans="1:15">
      <c r="A67" s="8"/>
      <c r="B67" s="10"/>
      <c r="C67" s="8"/>
      <c r="D67" s="8"/>
      <c r="E67" s="8"/>
      <c r="F67" s="8"/>
      <c r="G67" s="13"/>
      <c r="H67" s="8"/>
      <c r="I67" s="13"/>
      <c r="J67" s="14" t="str">
        <f t="shared" si="0"/>
        <v/>
      </c>
      <c r="K67" s="8"/>
      <c r="L67" s="8"/>
      <c r="M67" s="8"/>
      <c r="N67" s="10"/>
      <c r="O67" s="8"/>
    </row>
    <row r="68" spans="1:15">
      <c r="A68" s="8"/>
      <c r="B68" s="10"/>
      <c r="C68" s="8"/>
      <c r="D68" s="8"/>
      <c r="E68" s="8"/>
      <c r="F68" s="8"/>
      <c r="G68" s="13"/>
      <c r="H68" s="8"/>
      <c r="I68" s="13"/>
      <c r="J68" s="14" t="str">
        <f t="shared" si="0"/>
        <v/>
      </c>
      <c r="K68" s="8"/>
      <c r="L68" s="8"/>
      <c r="M68" s="8"/>
      <c r="N68" s="10"/>
      <c r="O68" s="8"/>
    </row>
    <row r="69" spans="1:15">
      <c r="A69" s="8"/>
      <c r="B69" s="10"/>
      <c r="C69" s="8"/>
      <c r="D69" s="8"/>
      <c r="E69" s="8"/>
      <c r="F69" s="8"/>
      <c r="G69" s="13"/>
      <c r="H69" s="8"/>
      <c r="I69" s="13"/>
      <c r="J69" s="14" t="str">
        <f t="shared" ref="J69:J132" si="1">IF(A69="","",MAX(0,G69-I69))</f>
        <v/>
      </c>
      <c r="K69" s="8"/>
      <c r="L69" s="8"/>
      <c r="M69" s="8"/>
      <c r="N69" s="10"/>
      <c r="O69" s="8"/>
    </row>
    <row r="70" spans="1:15">
      <c r="A70" s="8"/>
      <c r="B70" s="10"/>
      <c r="C70" s="8"/>
      <c r="D70" s="8"/>
      <c r="E70" s="8"/>
      <c r="F70" s="8"/>
      <c r="G70" s="13"/>
      <c r="H70" s="8"/>
      <c r="I70" s="13"/>
      <c r="J70" s="14" t="str">
        <f t="shared" si="1"/>
        <v/>
      </c>
      <c r="K70" s="8"/>
      <c r="L70" s="8"/>
      <c r="M70" s="8"/>
      <c r="N70" s="10"/>
      <c r="O70" s="8"/>
    </row>
    <row r="71" spans="1:15">
      <c r="A71" s="8"/>
      <c r="B71" s="10"/>
      <c r="C71" s="8"/>
      <c r="D71" s="8"/>
      <c r="E71" s="8"/>
      <c r="F71" s="8"/>
      <c r="G71" s="13"/>
      <c r="H71" s="8"/>
      <c r="I71" s="13"/>
      <c r="J71" s="14" t="str">
        <f t="shared" si="1"/>
        <v/>
      </c>
      <c r="K71" s="8"/>
      <c r="L71" s="8"/>
      <c r="M71" s="8"/>
      <c r="N71" s="10"/>
      <c r="O71" s="8"/>
    </row>
    <row r="72" spans="1:15">
      <c r="A72" s="8"/>
      <c r="B72" s="10"/>
      <c r="C72" s="8"/>
      <c r="D72" s="8"/>
      <c r="E72" s="8"/>
      <c r="F72" s="8"/>
      <c r="G72" s="13"/>
      <c r="H72" s="8"/>
      <c r="I72" s="13"/>
      <c r="J72" s="14" t="str">
        <f t="shared" si="1"/>
        <v/>
      </c>
      <c r="K72" s="8"/>
      <c r="L72" s="8"/>
      <c r="M72" s="8"/>
      <c r="N72" s="10"/>
      <c r="O72" s="8"/>
    </row>
    <row r="73" spans="1:15">
      <c r="A73" s="8"/>
      <c r="B73" s="10"/>
      <c r="C73" s="8"/>
      <c r="D73" s="8"/>
      <c r="E73" s="8"/>
      <c r="F73" s="8"/>
      <c r="G73" s="13"/>
      <c r="H73" s="8"/>
      <c r="I73" s="13"/>
      <c r="J73" s="14" t="str">
        <f t="shared" si="1"/>
        <v/>
      </c>
      <c r="K73" s="8"/>
      <c r="L73" s="8"/>
      <c r="M73" s="8"/>
      <c r="N73" s="10"/>
      <c r="O73" s="8"/>
    </row>
    <row r="74" spans="1:15">
      <c r="A74" s="8"/>
      <c r="B74" s="10"/>
      <c r="C74" s="8"/>
      <c r="D74" s="8"/>
      <c r="E74" s="8"/>
      <c r="F74" s="8"/>
      <c r="G74" s="13"/>
      <c r="H74" s="8"/>
      <c r="I74" s="13"/>
      <c r="J74" s="14" t="str">
        <f t="shared" si="1"/>
        <v/>
      </c>
      <c r="K74" s="8"/>
      <c r="L74" s="8"/>
      <c r="M74" s="8"/>
      <c r="N74" s="10"/>
      <c r="O74" s="8"/>
    </row>
    <row r="75" spans="1:15">
      <c r="A75" s="8"/>
      <c r="B75" s="10"/>
      <c r="C75" s="8"/>
      <c r="D75" s="8"/>
      <c r="E75" s="8"/>
      <c r="F75" s="8"/>
      <c r="G75" s="13"/>
      <c r="H75" s="8"/>
      <c r="I75" s="13"/>
      <c r="J75" s="14" t="str">
        <f t="shared" si="1"/>
        <v/>
      </c>
      <c r="K75" s="8"/>
      <c r="L75" s="8"/>
      <c r="M75" s="8"/>
      <c r="N75" s="10"/>
      <c r="O75" s="8"/>
    </row>
    <row r="76" spans="1:15">
      <c r="A76" s="8"/>
      <c r="B76" s="10"/>
      <c r="C76" s="8"/>
      <c r="D76" s="8"/>
      <c r="E76" s="8"/>
      <c r="F76" s="8"/>
      <c r="G76" s="13"/>
      <c r="H76" s="8"/>
      <c r="I76" s="13"/>
      <c r="J76" s="14" t="str">
        <f t="shared" si="1"/>
        <v/>
      </c>
      <c r="K76" s="8"/>
      <c r="L76" s="8"/>
      <c r="M76" s="8"/>
      <c r="N76" s="10"/>
      <c r="O76" s="8"/>
    </row>
    <row r="77" spans="1:15">
      <c r="A77" s="8"/>
      <c r="B77" s="10"/>
      <c r="C77" s="8"/>
      <c r="D77" s="8"/>
      <c r="E77" s="8"/>
      <c r="F77" s="8"/>
      <c r="G77" s="13"/>
      <c r="H77" s="8"/>
      <c r="I77" s="13"/>
      <c r="J77" s="14" t="str">
        <f t="shared" si="1"/>
        <v/>
      </c>
      <c r="K77" s="8"/>
      <c r="L77" s="8"/>
      <c r="M77" s="8"/>
      <c r="N77" s="10"/>
      <c r="O77" s="8"/>
    </row>
    <row r="78" spans="1:15">
      <c r="A78" s="8"/>
      <c r="B78" s="10"/>
      <c r="C78" s="8"/>
      <c r="D78" s="8"/>
      <c r="E78" s="8"/>
      <c r="F78" s="8"/>
      <c r="G78" s="13"/>
      <c r="H78" s="8"/>
      <c r="I78" s="13"/>
      <c r="J78" s="14" t="str">
        <f t="shared" si="1"/>
        <v/>
      </c>
      <c r="K78" s="8"/>
      <c r="L78" s="8"/>
      <c r="M78" s="8"/>
      <c r="N78" s="10"/>
      <c r="O78" s="8"/>
    </row>
    <row r="79" spans="1:15">
      <c r="A79" s="8"/>
      <c r="B79" s="10"/>
      <c r="C79" s="8"/>
      <c r="D79" s="8"/>
      <c r="E79" s="8"/>
      <c r="F79" s="8"/>
      <c r="G79" s="13"/>
      <c r="H79" s="8"/>
      <c r="I79" s="13"/>
      <c r="J79" s="14" t="str">
        <f t="shared" si="1"/>
        <v/>
      </c>
      <c r="K79" s="8"/>
      <c r="L79" s="8"/>
      <c r="M79" s="8"/>
      <c r="N79" s="10"/>
      <c r="O79" s="8"/>
    </row>
    <row r="80" spans="1:15">
      <c r="A80" s="8"/>
      <c r="B80" s="10"/>
      <c r="C80" s="8"/>
      <c r="D80" s="8"/>
      <c r="E80" s="8"/>
      <c r="F80" s="8"/>
      <c r="G80" s="13"/>
      <c r="H80" s="8"/>
      <c r="I80" s="13"/>
      <c r="J80" s="14" t="str">
        <f t="shared" si="1"/>
        <v/>
      </c>
      <c r="K80" s="8"/>
      <c r="L80" s="8"/>
      <c r="M80" s="8"/>
      <c r="N80" s="10"/>
      <c r="O80" s="8"/>
    </row>
    <row r="81" spans="1:15">
      <c r="A81" s="8"/>
      <c r="B81" s="10"/>
      <c r="C81" s="8"/>
      <c r="D81" s="8"/>
      <c r="E81" s="8"/>
      <c r="F81" s="8"/>
      <c r="G81" s="13"/>
      <c r="H81" s="8"/>
      <c r="I81" s="13"/>
      <c r="J81" s="14" t="str">
        <f t="shared" si="1"/>
        <v/>
      </c>
      <c r="K81" s="8"/>
      <c r="L81" s="8"/>
      <c r="M81" s="8"/>
      <c r="N81" s="10"/>
      <c r="O81" s="8"/>
    </row>
    <row r="82" spans="1:15">
      <c r="A82" s="8"/>
      <c r="B82" s="10"/>
      <c r="C82" s="8"/>
      <c r="D82" s="8"/>
      <c r="E82" s="8"/>
      <c r="F82" s="8"/>
      <c r="G82" s="13"/>
      <c r="H82" s="8"/>
      <c r="I82" s="13"/>
      <c r="J82" s="14" t="str">
        <f t="shared" si="1"/>
        <v/>
      </c>
      <c r="K82" s="8"/>
      <c r="L82" s="8"/>
      <c r="M82" s="8"/>
      <c r="N82" s="10"/>
      <c r="O82" s="8"/>
    </row>
    <row r="83" spans="1:15">
      <c r="A83" s="8"/>
      <c r="B83" s="10"/>
      <c r="C83" s="8"/>
      <c r="D83" s="8"/>
      <c r="E83" s="8"/>
      <c r="F83" s="8"/>
      <c r="G83" s="13"/>
      <c r="H83" s="8"/>
      <c r="I83" s="13"/>
      <c r="J83" s="14" t="str">
        <f t="shared" si="1"/>
        <v/>
      </c>
      <c r="K83" s="8"/>
      <c r="L83" s="8"/>
      <c r="M83" s="8"/>
      <c r="N83" s="10"/>
      <c r="O83" s="8"/>
    </row>
    <row r="84" spans="1:15">
      <c r="A84" s="8"/>
      <c r="B84" s="10"/>
      <c r="C84" s="8"/>
      <c r="D84" s="8"/>
      <c r="E84" s="8"/>
      <c r="F84" s="8"/>
      <c r="G84" s="13"/>
      <c r="H84" s="8"/>
      <c r="I84" s="13"/>
      <c r="J84" s="14" t="str">
        <f t="shared" si="1"/>
        <v/>
      </c>
      <c r="K84" s="8"/>
      <c r="L84" s="8"/>
      <c r="M84" s="8"/>
      <c r="N84" s="10"/>
      <c r="O84" s="8"/>
    </row>
    <row r="85" spans="1:15">
      <c r="A85" s="8"/>
      <c r="B85" s="10"/>
      <c r="C85" s="8"/>
      <c r="D85" s="8"/>
      <c r="E85" s="8"/>
      <c r="F85" s="8"/>
      <c r="G85" s="13"/>
      <c r="H85" s="8"/>
      <c r="I85" s="13"/>
      <c r="J85" s="14" t="str">
        <f t="shared" si="1"/>
        <v/>
      </c>
      <c r="K85" s="8"/>
      <c r="L85" s="8"/>
      <c r="M85" s="8"/>
      <c r="N85" s="10"/>
      <c r="O85" s="8"/>
    </row>
    <row r="86" spans="1:15">
      <c r="A86" s="8"/>
      <c r="B86" s="10"/>
      <c r="C86" s="8"/>
      <c r="D86" s="8"/>
      <c r="E86" s="8"/>
      <c r="F86" s="8"/>
      <c r="G86" s="13"/>
      <c r="H86" s="8"/>
      <c r="I86" s="13"/>
      <c r="J86" s="14" t="str">
        <f t="shared" si="1"/>
        <v/>
      </c>
      <c r="K86" s="8"/>
      <c r="L86" s="8"/>
      <c r="M86" s="8"/>
      <c r="N86" s="10"/>
      <c r="O86" s="8"/>
    </row>
    <row r="87" spans="1:15">
      <c r="A87" s="8"/>
      <c r="B87" s="10"/>
      <c r="C87" s="8"/>
      <c r="D87" s="8"/>
      <c r="E87" s="8"/>
      <c r="F87" s="8"/>
      <c r="G87" s="13"/>
      <c r="H87" s="8"/>
      <c r="I87" s="13"/>
      <c r="J87" s="14" t="str">
        <f t="shared" si="1"/>
        <v/>
      </c>
      <c r="K87" s="8"/>
      <c r="L87" s="8"/>
      <c r="M87" s="8"/>
      <c r="N87" s="10"/>
      <c r="O87" s="8"/>
    </row>
    <row r="88" spans="1:15">
      <c r="A88" s="8"/>
      <c r="B88" s="10"/>
      <c r="C88" s="8"/>
      <c r="D88" s="8"/>
      <c r="E88" s="8"/>
      <c r="F88" s="8"/>
      <c r="G88" s="13"/>
      <c r="H88" s="8"/>
      <c r="I88" s="13"/>
      <c r="J88" s="14" t="str">
        <f t="shared" si="1"/>
        <v/>
      </c>
      <c r="K88" s="8"/>
      <c r="L88" s="8"/>
      <c r="M88" s="8"/>
      <c r="N88" s="10"/>
      <c r="O88" s="8"/>
    </row>
    <row r="89" spans="1:15">
      <c r="A89" s="8"/>
      <c r="B89" s="10"/>
      <c r="C89" s="8"/>
      <c r="D89" s="8"/>
      <c r="E89" s="8"/>
      <c r="F89" s="8"/>
      <c r="G89" s="13"/>
      <c r="H89" s="8"/>
      <c r="I89" s="13"/>
      <c r="J89" s="14" t="str">
        <f t="shared" si="1"/>
        <v/>
      </c>
      <c r="K89" s="8"/>
      <c r="L89" s="8"/>
      <c r="M89" s="8"/>
      <c r="N89" s="10"/>
      <c r="O89" s="8"/>
    </row>
    <row r="90" spans="1:15">
      <c r="A90" s="8"/>
      <c r="B90" s="10"/>
      <c r="C90" s="8"/>
      <c r="D90" s="8"/>
      <c r="E90" s="8"/>
      <c r="F90" s="8"/>
      <c r="G90" s="13"/>
      <c r="H90" s="8"/>
      <c r="I90" s="13"/>
      <c r="J90" s="14" t="str">
        <f t="shared" si="1"/>
        <v/>
      </c>
      <c r="K90" s="8"/>
      <c r="L90" s="8"/>
      <c r="M90" s="8"/>
      <c r="N90" s="10"/>
      <c r="O90" s="8"/>
    </row>
    <row r="91" spans="1:15">
      <c r="A91" s="8"/>
      <c r="B91" s="10"/>
      <c r="C91" s="8"/>
      <c r="D91" s="8"/>
      <c r="E91" s="8"/>
      <c r="F91" s="8"/>
      <c r="G91" s="13"/>
      <c r="H91" s="8"/>
      <c r="I91" s="13"/>
      <c r="J91" s="14" t="str">
        <f t="shared" si="1"/>
        <v/>
      </c>
      <c r="K91" s="8"/>
      <c r="L91" s="8"/>
      <c r="M91" s="8"/>
      <c r="N91" s="10"/>
      <c r="O91" s="8"/>
    </row>
    <row r="92" spans="1:15">
      <c r="A92" s="8"/>
      <c r="B92" s="10"/>
      <c r="C92" s="8"/>
      <c r="D92" s="8"/>
      <c r="E92" s="8"/>
      <c r="F92" s="8"/>
      <c r="G92" s="13"/>
      <c r="H92" s="8"/>
      <c r="I92" s="13"/>
      <c r="J92" s="14" t="str">
        <f t="shared" si="1"/>
        <v/>
      </c>
      <c r="K92" s="8"/>
      <c r="L92" s="8"/>
      <c r="M92" s="8"/>
      <c r="N92" s="10"/>
      <c r="O92" s="8"/>
    </row>
    <row r="93" spans="1:15">
      <c r="A93" s="8"/>
      <c r="B93" s="10"/>
      <c r="C93" s="8"/>
      <c r="D93" s="8"/>
      <c r="E93" s="8"/>
      <c r="F93" s="8"/>
      <c r="G93" s="13"/>
      <c r="H93" s="8"/>
      <c r="I93" s="13"/>
      <c r="J93" s="14" t="str">
        <f t="shared" si="1"/>
        <v/>
      </c>
      <c r="K93" s="8"/>
      <c r="L93" s="8"/>
      <c r="M93" s="8"/>
      <c r="N93" s="10"/>
      <c r="O93" s="8"/>
    </row>
    <row r="94" spans="1:15">
      <c r="A94" s="8"/>
      <c r="B94" s="10"/>
      <c r="C94" s="8"/>
      <c r="D94" s="8"/>
      <c r="E94" s="8"/>
      <c r="F94" s="8"/>
      <c r="G94" s="13"/>
      <c r="H94" s="8"/>
      <c r="I94" s="13"/>
      <c r="J94" s="14" t="str">
        <f t="shared" si="1"/>
        <v/>
      </c>
      <c r="K94" s="8"/>
      <c r="L94" s="8"/>
      <c r="M94" s="8"/>
      <c r="N94" s="10"/>
      <c r="O94" s="8"/>
    </row>
    <row r="95" spans="1:15">
      <c r="A95" s="8"/>
      <c r="B95" s="10"/>
      <c r="C95" s="8"/>
      <c r="D95" s="8"/>
      <c r="E95" s="8"/>
      <c r="F95" s="8"/>
      <c r="G95" s="13"/>
      <c r="H95" s="8"/>
      <c r="I95" s="13"/>
      <c r="J95" s="14" t="str">
        <f t="shared" si="1"/>
        <v/>
      </c>
      <c r="K95" s="8"/>
      <c r="L95" s="8"/>
      <c r="M95" s="8"/>
      <c r="N95" s="10"/>
      <c r="O95" s="8"/>
    </row>
    <row r="96" spans="1:15">
      <c r="A96" s="8"/>
      <c r="B96" s="10"/>
      <c r="C96" s="8"/>
      <c r="D96" s="8"/>
      <c r="E96" s="8"/>
      <c r="F96" s="8"/>
      <c r="G96" s="13"/>
      <c r="H96" s="8"/>
      <c r="I96" s="13"/>
      <c r="J96" s="14" t="str">
        <f t="shared" si="1"/>
        <v/>
      </c>
      <c r="K96" s="8"/>
      <c r="L96" s="8"/>
      <c r="M96" s="8"/>
      <c r="N96" s="10"/>
      <c r="O96" s="8"/>
    </row>
    <row r="97" spans="1:15">
      <c r="A97" s="8"/>
      <c r="B97" s="10"/>
      <c r="C97" s="8"/>
      <c r="D97" s="8"/>
      <c r="E97" s="8"/>
      <c r="F97" s="8"/>
      <c r="G97" s="13"/>
      <c r="H97" s="8"/>
      <c r="I97" s="13"/>
      <c r="J97" s="14" t="str">
        <f t="shared" si="1"/>
        <v/>
      </c>
      <c r="K97" s="8"/>
      <c r="L97" s="8"/>
      <c r="M97" s="8"/>
      <c r="N97" s="10"/>
      <c r="O97" s="8"/>
    </row>
    <row r="98" spans="1:15">
      <c r="A98" s="8"/>
      <c r="B98" s="10"/>
      <c r="C98" s="8"/>
      <c r="D98" s="8"/>
      <c r="E98" s="8"/>
      <c r="F98" s="8"/>
      <c r="G98" s="13"/>
      <c r="H98" s="8"/>
      <c r="I98" s="13"/>
      <c r="J98" s="14" t="str">
        <f t="shared" si="1"/>
        <v/>
      </c>
      <c r="K98" s="8"/>
      <c r="L98" s="8"/>
      <c r="M98" s="8"/>
      <c r="N98" s="10"/>
      <c r="O98" s="8"/>
    </row>
    <row r="99" spans="1:15">
      <c r="A99" s="8"/>
      <c r="B99" s="10"/>
      <c r="C99" s="8"/>
      <c r="D99" s="8"/>
      <c r="E99" s="8"/>
      <c r="F99" s="8"/>
      <c r="G99" s="13"/>
      <c r="H99" s="8"/>
      <c r="I99" s="13"/>
      <c r="J99" s="14" t="str">
        <f t="shared" si="1"/>
        <v/>
      </c>
      <c r="K99" s="8"/>
      <c r="L99" s="8"/>
      <c r="M99" s="8"/>
      <c r="N99" s="10"/>
      <c r="O99" s="8"/>
    </row>
    <row r="100" spans="1:15">
      <c r="A100" s="8"/>
      <c r="B100" s="10"/>
      <c r="C100" s="8"/>
      <c r="D100" s="8"/>
      <c r="E100" s="8"/>
      <c r="F100" s="8"/>
      <c r="G100" s="13"/>
      <c r="H100" s="8"/>
      <c r="I100" s="13"/>
      <c r="J100" s="14" t="str">
        <f t="shared" si="1"/>
        <v/>
      </c>
      <c r="K100" s="8"/>
      <c r="L100" s="8"/>
      <c r="M100" s="8"/>
      <c r="N100" s="10"/>
      <c r="O100" s="8"/>
    </row>
    <row r="101" spans="1:15">
      <c r="A101" s="8"/>
      <c r="B101" s="10"/>
      <c r="C101" s="8"/>
      <c r="D101" s="8"/>
      <c r="E101" s="8"/>
      <c r="F101" s="8"/>
      <c r="G101" s="13"/>
      <c r="H101" s="8"/>
      <c r="I101" s="13"/>
      <c r="J101" s="14" t="str">
        <f t="shared" si="1"/>
        <v/>
      </c>
      <c r="K101" s="8"/>
      <c r="L101" s="8"/>
      <c r="M101" s="8"/>
      <c r="N101" s="10"/>
      <c r="O101" s="8"/>
    </row>
    <row r="102" spans="1:15">
      <c r="A102" s="8"/>
      <c r="B102" s="10"/>
      <c r="C102" s="8"/>
      <c r="D102" s="8"/>
      <c r="E102" s="8"/>
      <c r="F102" s="8"/>
      <c r="G102" s="13"/>
      <c r="H102" s="8"/>
      <c r="I102" s="13"/>
      <c r="J102" s="14" t="str">
        <f t="shared" si="1"/>
        <v/>
      </c>
      <c r="K102" s="8"/>
      <c r="L102" s="8"/>
      <c r="M102" s="8"/>
      <c r="N102" s="10"/>
      <c r="O102" s="8"/>
    </row>
    <row r="103" spans="1:15">
      <c r="A103" s="8"/>
      <c r="B103" s="10"/>
      <c r="C103" s="8"/>
      <c r="D103" s="8"/>
      <c r="E103" s="8"/>
      <c r="F103" s="8"/>
      <c r="G103" s="13"/>
      <c r="H103" s="8"/>
      <c r="I103" s="13"/>
      <c r="J103" s="14" t="str">
        <f t="shared" si="1"/>
        <v/>
      </c>
      <c r="K103" s="8"/>
      <c r="L103" s="8"/>
      <c r="M103" s="8"/>
      <c r="N103" s="10"/>
      <c r="O103" s="8"/>
    </row>
    <row r="104" spans="1:15">
      <c r="A104" s="8"/>
      <c r="B104" s="10"/>
      <c r="C104" s="8"/>
      <c r="D104" s="8"/>
      <c r="E104" s="8"/>
      <c r="F104" s="8"/>
      <c r="G104" s="13"/>
      <c r="H104" s="8"/>
      <c r="I104" s="13"/>
      <c r="J104" s="14" t="str">
        <f t="shared" si="1"/>
        <v/>
      </c>
      <c r="K104" s="8"/>
      <c r="L104" s="8"/>
      <c r="M104" s="8"/>
      <c r="N104" s="10"/>
      <c r="O104" s="8"/>
    </row>
    <row r="105" spans="1:15">
      <c r="A105" s="8"/>
      <c r="B105" s="10"/>
      <c r="C105" s="8"/>
      <c r="D105" s="8"/>
      <c r="E105" s="8"/>
      <c r="F105" s="8"/>
      <c r="G105" s="13"/>
      <c r="H105" s="8"/>
      <c r="I105" s="13"/>
      <c r="J105" s="14" t="str">
        <f t="shared" si="1"/>
        <v/>
      </c>
      <c r="K105" s="8"/>
      <c r="L105" s="8"/>
      <c r="M105" s="8"/>
      <c r="N105" s="10"/>
      <c r="O105" s="8"/>
    </row>
    <row r="106" spans="1:15">
      <c r="A106" s="8"/>
      <c r="B106" s="10"/>
      <c r="C106" s="8"/>
      <c r="D106" s="8"/>
      <c r="E106" s="8"/>
      <c r="F106" s="8"/>
      <c r="G106" s="13"/>
      <c r="H106" s="8"/>
      <c r="I106" s="13"/>
      <c r="J106" s="14" t="str">
        <f t="shared" si="1"/>
        <v/>
      </c>
      <c r="K106" s="8"/>
      <c r="L106" s="8"/>
      <c r="M106" s="8"/>
      <c r="N106" s="10"/>
      <c r="O106" s="8"/>
    </row>
    <row r="107" spans="1:15">
      <c r="A107" s="8"/>
      <c r="B107" s="10"/>
      <c r="C107" s="8"/>
      <c r="D107" s="8"/>
      <c r="E107" s="8"/>
      <c r="F107" s="8"/>
      <c r="G107" s="13"/>
      <c r="H107" s="8"/>
      <c r="I107" s="13"/>
      <c r="J107" s="14" t="str">
        <f t="shared" si="1"/>
        <v/>
      </c>
      <c r="K107" s="8"/>
      <c r="L107" s="8"/>
      <c r="M107" s="8"/>
      <c r="N107" s="10"/>
      <c r="O107" s="8"/>
    </row>
    <row r="108" spans="1:15">
      <c r="A108" s="8"/>
      <c r="B108" s="10"/>
      <c r="C108" s="8"/>
      <c r="D108" s="8"/>
      <c r="E108" s="8"/>
      <c r="F108" s="8"/>
      <c r="G108" s="13"/>
      <c r="H108" s="8"/>
      <c r="I108" s="13"/>
      <c r="J108" s="14" t="str">
        <f t="shared" si="1"/>
        <v/>
      </c>
      <c r="K108" s="8"/>
      <c r="L108" s="8"/>
      <c r="M108" s="8"/>
      <c r="N108" s="10"/>
      <c r="O108" s="8"/>
    </row>
    <row r="109" spans="1:15">
      <c r="A109" s="8"/>
      <c r="B109" s="10"/>
      <c r="C109" s="8"/>
      <c r="D109" s="8"/>
      <c r="E109" s="8"/>
      <c r="F109" s="8"/>
      <c r="G109" s="13"/>
      <c r="H109" s="8"/>
      <c r="I109" s="13"/>
      <c r="J109" s="14" t="str">
        <f t="shared" si="1"/>
        <v/>
      </c>
      <c r="K109" s="8"/>
      <c r="L109" s="8"/>
      <c r="M109" s="8"/>
      <c r="N109" s="10"/>
      <c r="O109" s="8"/>
    </row>
    <row r="110" spans="1:15">
      <c r="A110" s="8"/>
      <c r="B110" s="10"/>
      <c r="C110" s="8"/>
      <c r="D110" s="8"/>
      <c r="E110" s="8"/>
      <c r="F110" s="8"/>
      <c r="G110" s="13"/>
      <c r="H110" s="8"/>
      <c r="I110" s="13"/>
      <c r="J110" s="14" t="str">
        <f t="shared" si="1"/>
        <v/>
      </c>
      <c r="K110" s="8"/>
      <c r="L110" s="8"/>
      <c r="M110" s="8"/>
      <c r="N110" s="10"/>
      <c r="O110" s="8"/>
    </row>
    <row r="111" spans="1:15">
      <c r="A111" s="8"/>
      <c r="B111" s="10"/>
      <c r="C111" s="8"/>
      <c r="D111" s="8"/>
      <c r="E111" s="8"/>
      <c r="F111" s="8"/>
      <c r="G111" s="13"/>
      <c r="H111" s="8"/>
      <c r="I111" s="13"/>
      <c r="J111" s="14" t="str">
        <f t="shared" si="1"/>
        <v/>
      </c>
      <c r="K111" s="8"/>
      <c r="L111" s="8"/>
      <c r="M111" s="8"/>
      <c r="N111" s="10"/>
      <c r="O111" s="8"/>
    </row>
    <row r="112" spans="1:15">
      <c r="A112" s="8"/>
      <c r="B112" s="10"/>
      <c r="C112" s="8"/>
      <c r="D112" s="8"/>
      <c r="E112" s="8"/>
      <c r="F112" s="8"/>
      <c r="G112" s="13"/>
      <c r="H112" s="8"/>
      <c r="I112" s="13"/>
      <c r="J112" s="14" t="str">
        <f t="shared" si="1"/>
        <v/>
      </c>
      <c r="K112" s="8"/>
      <c r="L112" s="8"/>
      <c r="M112" s="8"/>
      <c r="N112" s="10"/>
      <c r="O112" s="8"/>
    </row>
    <row r="113" spans="1:15">
      <c r="A113" s="8"/>
      <c r="B113" s="10"/>
      <c r="C113" s="8"/>
      <c r="D113" s="8"/>
      <c r="E113" s="8"/>
      <c r="F113" s="8"/>
      <c r="G113" s="13"/>
      <c r="H113" s="8"/>
      <c r="I113" s="13"/>
      <c r="J113" s="14" t="str">
        <f t="shared" si="1"/>
        <v/>
      </c>
      <c r="K113" s="8"/>
      <c r="L113" s="8"/>
      <c r="M113" s="8"/>
      <c r="N113" s="10"/>
      <c r="O113" s="8"/>
    </row>
    <row r="114" spans="1:15">
      <c r="A114" s="8"/>
      <c r="B114" s="10"/>
      <c r="C114" s="8"/>
      <c r="D114" s="8"/>
      <c r="E114" s="8"/>
      <c r="F114" s="8"/>
      <c r="G114" s="13"/>
      <c r="H114" s="8"/>
      <c r="I114" s="13"/>
      <c r="J114" s="14" t="str">
        <f t="shared" si="1"/>
        <v/>
      </c>
      <c r="K114" s="8"/>
      <c r="L114" s="8"/>
      <c r="M114" s="8"/>
      <c r="N114" s="10"/>
      <c r="O114" s="8"/>
    </row>
    <row r="115" spans="1:15">
      <c r="A115" s="8"/>
      <c r="B115" s="10"/>
      <c r="C115" s="8"/>
      <c r="D115" s="8"/>
      <c r="E115" s="8"/>
      <c r="F115" s="8"/>
      <c r="G115" s="13"/>
      <c r="H115" s="8"/>
      <c r="I115" s="13"/>
      <c r="J115" s="14" t="str">
        <f t="shared" si="1"/>
        <v/>
      </c>
      <c r="K115" s="8"/>
      <c r="L115" s="8"/>
      <c r="M115" s="8"/>
      <c r="N115" s="10"/>
      <c r="O115" s="8"/>
    </row>
    <row r="116" spans="1:15">
      <c r="A116" s="8"/>
      <c r="B116" s="10"/>
      <c r="C116" s="8"/>
      <c r="D116" s="8"/>
      <c r="E116" s="8"/>
      <c r="F116" s="8"/>
      <c r="G116" s="13"/>
      <c r="H116" s="8"/>
      <c r="I116" s="13"/>
      <c r="J116" s="14" t="str">
        <f t="shared" si="1"/>
        <v/>
      </c>
      <c r="K116" s="8"/>
      <c r="L116" s="8"/>
      <c r="M116" s="8"/>
      <c r="N116" s="10"/>
      <c r="O116" s="8"/>
    </row>
    <row r="117" spans="1:15">
      <c r="A117" s="8"/>
      <c r="B117" s="10"/>
      <c r="C117" s="8"/>
      <c r="D117" s="8"/>
      <c r="E117" s="8"/>
      <c r="F117" s="8"/>
      <c r="G117" s="13"/>
      <c r="H117" s="8"/>
      <c r="I117" s="13"/>
      <c r="J117" s="14" t="str">
        <f t="shared" si="1"/>
        <v/>
      </c>
      <c r="K117" s="8"/>
      <c r="L117" s="8"/>
      <c r="M117" s="8"/>
      <c r="N117" s="10"/>
      <c r="O117" s="8"/>
    </row>
    <row r="118" spans="1:15">
      <c r="A118" s="8"/>
      <c r="B118" s="10"/>
      <c r="C118" s="8"/>
      <c r="D118" s="8"/>
      <c r="E118" s="8"/>
      <c r="F118" s="8"/>
      <c r="G118" s="13"/>
      <c r="H118" s="8"/>
      <c r="I118" s="13"/>
      <c r="J118" s="14" t="str">
        <f t="shared" si="1"/>
        <v/>
      </c>
      <c r="K118" s="8"/>
      <c r="L118" s="8"/>
      <c r="M118" s="8"/>
      <c r="N118" s="10"/>
      <c r="O118" s="8"/>
    </row>
    <row r="119" spans="1:15">
      <c r="A119" s="8"/>
      <c r="B119" s="10"/>
      <c r="C119" s="8"/>
      <c r="D119" s="8"/>
      <c r="E119" s="8"/>
      <c r="F119" s="8"/>
      <c r="G119" s="13"/>
      <c r="H119" s="8"/>
      <c r="I119" s="13"/>
      <c r="J119" s="14" t="str">
        <f t="shared" si="1"/>
        <v/>
      </c>
      <c r="K119" s="8"/>
      <c r="L119" s="8"/>
      <c r="M119" s="8"/>
      <c r="N119" s="10"/>
      <c r="O119" s="8"/>
    </row>
    <row r="120" spans="1:15">
      <c r="A120" s="8"/>
      <c r="B120" s="10"/>
      <c r="C120" s="8"/>
      <c r="D120" s="8"/>
      <c r="E120" s="8"/>
      <c r="F120" s="8"/>
      <c r="G120" s="13"/>
      <c r="H120" s="8"/>
      <c r="I120" s="13"/>
      <c r="J120" s="14" t="str">
        <f t="shared" si="1"/>
        <v/>
      </c>
      <c r="K120" s="8"/>
      <c r="L120" s="8"/>
      <c r="M120" s="8"/>
      <c r="N120" s="10"/>
      <c r="O120" s="8"/>
    </row>
    <row r="121" spans="1:15">
      <c r="A121" s="8"/>
      <c r="B121" s="10"/>
      <c r="C121" s="8"/>
      <c r="D121" s="8"/>
      <c r="E121" s="8"/>
      <c r="F121" s="8"/>
      <c r="G121" s="13"/>
      <c r="H121" s="8"/>
      <c r="I121" s="13"/>
      <c r="J121" s="14" t="str">
        <f t="shared" si="1"/>
        <v/>
      </c>
      <c r="K121" s="8"/>
      <c r="L121" s="8"/>
      <c r="M121" s="8"/>
      <c r="N121" s="10"/>
      <c r="O121" s="8"/>
    </row>
    <row r="122" spans="1:15">
      <c r="A122" s="8"/>
      <c r="B122" s="10"/>
      <c r="C122" s="8"/>
      <c r="D122" s="8"/>
      <c r="E122" s="8"/>
      <c r="F122" s="8"/>
      <c r="G122" s="13"/>
      <c r="H122" s="8"/>
      <c r="I122" s="13"/>
      <c r="J122" s="14" t="str">
        <f t="shared" si="1"/>
        <v/>
      </c>
      <c r="K122" s="8"/>
      <c r="L122" s="8"/>
      <c r="M122" s="8"/>
      <c r="N122" s="10"/>
      <c r="O122" s="8"/>
    </row>
    <row r="123" spans="1:15">
      <c r="A123" s="8"/>
      <c r="B123" s="10"/>
      <c r="C123" s="8"/>
      <c r="D123" s="8"/>
      <c r="E123" s="8"/>
      <c r="F123" s="8"/>
      <c r="G123" s="13"/>
      <c r="H123" s="8"/>
      <c r="I123" s="13"/>
      <c r="J123" s="14" t="str">
        <f t="shared" si="1"/>
        <v/>
      </c>
      <c r="K123" s="8"/>
      <c r="L123" s="8"/>
      <c r="M123" s="8"/>
      <c r="N123" s="10"/>
      <c r="O123" s="8"/>
    </row>
    <row r="124" spans="1:15">
      <c r="A124" s="8"/>
      <c r="B124" s="10"/>
      <c r="C124" s="8"/>
      <c r="D124" s="8"/>
      <c r="E124" s="8"/>
      <c r="F124" s="8"/>
      <c r="G124" s="13"/>
      <c r="H124" s="8"/>
      <c r="I124" s="13"/>
      <c r="J124" s="14" t="str">
        <f t="shared" si="1"/>
        <v/>
      </c>
      <c r="K124" s="8"/>
      <c r="L124" s="8"/>
      <c r="M124" s="8"/>
      <c r="N124" s="10"/>
      <c r="O124" s="8"/>
    </row>
    <row r="125" spans="1:15">
      <c r="A125" s="8"/>
      <c r="B125" s="10"/>
      <c r="C125" s="8"/>
      <c r="D125" s="8"/>
      <c r="E125" s="8"/>
      <c r="F125" s="8"/>
      <c r="G125" s="13"/>
      <c r="H125" s="8"/>
      <c r="I125" s="13"/>
      <c r="J125" s="14" t="str">
        <f t="shared" si="1"/>
        <v/>
      </c>
      <c r="K125" s="8"/>
      <c r="L125" s="8"/>
      <c r="M125" s="8"/>
      <c r="N125" s="10"/>
      <c r="O125" s="8"/>
    </row>
    <row r="126" spans="1:15">
      <c r="A126" s="8"/>
      <c r="B126" s="10"/>
      <c r="C126" s="8"/>
      <c r="D126" s="8"/>
      <c r="E126" s="8"/>
      <c r="F126" s="8"/>
      <c r="G126" s="13"/>
      <c r="H126" s="8"/>
      <c r="I126" s="13"/>
      <c r="J126" s="14" t="str">
        <f t="shared" si="1"/>
        <v/>
      </c>
      <c r="K126" s="8"/>
      <c r="L126" s="8"/>
      <c r="M126" s="8"/>
      <c r="N126" s="10"/>
      <c r="O126" s="8"/>
    </row>
    <row r="127" spans="1:15">
      <c r="A127" s="8"/>
      <c r="B127" s="10"/>
      <c r="C127" s="8"/>
      <c r="D127" s="8"/>
      <c r="E127" s="8"/>
      <c r="F127" s="8"/>
      <c r="G127" s="13"/>
      <c r="H127" s="8"/>
      <c r="I127" s="13"/>
      <c r="J127" s="14" t="str">
        <f t="shared" si="1"/>
        <v/>
      </c>
      <c r="K127" s="8"/>
      <c r="L127" s="8"/>
      <c r="M127" s="8"/>
      <c r="N127" s="10"/>
      <c r="O127" s="8"/>
    </row>
    <row r="128" spans="1:15">
      <c r="A128" s="8"/>
      <c r="B128" s="10"/>
      <c r="C128" s="8"/>
      <c r="D128" s="8"/>
      <c r="E128" s="8"/>
      <c r="F128" s="8"/>
      <c r="G128" s="13"/>
      <c r="H128" s="8"/>
      <c r="I128" s="13"/>
      <c r="J128" s="14" t="str">
        <f t="shared" si="1"/>
        <v/>
      </c>
      <c r="K128" s="8"/>
      <c r="L128" s="8"/>
      <c r="M128" s="8"/>
      <c r="N128" s="10"/>
      <c r="O128" s="8"/>
    </row>
    <row r="129" spans="1:15">
      <c r="A129" s="8"/>
      <c r="B129" s="10"/>
      <c r="C129" s="8"/>
      <c r="D129" s="8"/>
      <c r="E129" s="8"/>
      <c r="F129" s="8"/>
      <c r="G129" s="13"/>
      <c r="H129" s="8"/>
      <c r="I129" s="13"/>
      <c r="J129" s="14" t="str">
        <f t="shared" si="1"/>
        <v/>
      </c>
      <c r="K129" s="8"/>
      <c r="L129" s="8"/>
      <c r="M129" s="8"/>
      <c r="N129" s="10"/>
      <c r="O129" s="8"/>
    </row>
    <row r="130" spans="1:15">
      <c r="A130" s="8"/>
      <c r="B130" s="10"/>
      <c r="C130" s="8"/>
      <c r="D130" s="8"/>
      <c r="E130" s="8"/>
      <c r="F130" s="8"/>
      <c r="G130" s="13"/>
      <c r="H130" s="8"/>
      <c r="I130" s="13"/>
      <c r="J130" s="14" t="str">
        <f t="shared" si="1"/>
        <v/>
      </c>
      <c r="K130" s="8"/>
      <c r="L130" s="8"/>
      <c r="M130" s="8"/>
      <c r="N130" s="10"/>
      <c r="O130" s="8"/>
    </row>
    <row r="131" spans="1:15">
      <c r="A131" s="8"/>
      <c r="B131" s="10"/>
      <c r="C131" s="8"/>
      <c r="D131" s="8"/>
      <c r="E131" s="8"/>
      <c r="F131" s="8"/>
      <c r="G131" s="13"/>
      <c r="H131" s="8"/>
      <c r="I131" s="13"/>
      <c r="J131" s="14" t="str">
        <f t="shared" si="1"/>
        <v/>
      </c>
      <c r="K131" s="8"/>
      <c r="L131" s="8"/>
      <c r="M131" s="8"/>
      <c r="N131" s="10"/>
      <c r="O131" s="8"/>
    </row>
    <row r="132" spans="1:15">
      <c r="A132" s="8"/>
      <c r="B132" s="10"/>
      <c r="C132" s="8"/>
      <c r="D132" s="8"/>
      <c r="E132" s="8"/>
      <c r="F132" s="8"/>
      <c r="G132" s="13"/>
      <c r="H132" s="8"/>
      <c r="I132" s="13"/>
      <c r="J132" s="14" t="str">
        <f t="shared" si="1"/>
        <v/>
      </c>
      <c r="K132" s="8"/>
      <c r="L132" s="8"/>
      <c r="M132" s="8"/>
      <c r="N132" s="10"/>
      <c r="O132" s="8"/>
    </row>
    <row r="133" spans="1:15">
      <c r="A133" s="8"/>
      <c r="B133" s="10"/>
      <c r="C133" s="8"/>
      <c r="D133" s="8"/>
      <c r="E133" s="8"/>
      <c r="F133" s="8"/>
      <c r="G133" s="13"/>
      <c r="H133" s="8"/>
      <c r="I133" s="13"/>
      <c r="J133" s="14" t="str">
        <f t="shared" ref="J133:J196" si="2">IF(A133="","",MAX(0,G133-I133))</f>
        <v/>
      </c>
      <c r="K133" s="8"/>
      <c r="L133" s="8"/>
      <c r="M133" s="8"/>
      <c r="N133" s="10"/>
      <c r="O133" s="8"/>
    </row>
    <row r="134" spans="1:15">
      <c r="A134" s="8"/>
      <c r="B134" s="10"/>
      <c r="C134" s="8"/>
      <c r="D134" s="8"/>
      <c r="E134" s="8"/>
      <c r="F134" s="8"/>
      <c r="G134" s="13"/>
      <c r="H134" s="8"/>
      <c r="I134" s="13"/>
      <c r="J134" s="14" t="str">
        <f t="shared" si="2"/>
        <v/>
      </c>
      <c r="K134" s="8"/>
      <c r="L134" s="8"/>
      <c r="M134" s="8"/>
      <c r="N134" s="10"/>
      <c r="O134" s="8"/>
    </row>
    <row r="135" spans="1:15">
      <c r="A135" s="8"/>
      <c r="B135" s="10"/>
      <c r="C135" s="8"/>
      <c r="D135" s="8"/>
      <c r="E135" s="8"/>
      <c r="F135" s="8"/>
      <c r="G135" s="13"/>
      <c r="H135" s="8"/>
      <c r="I135" s="13"/>
      <c r="J135" s="14" t="str">
        <f t="shared" si="2"/>
        <v/>
      </c>
      <c r="K135" s="8"/>
      <c r="L135" s="8"/>
      <c r="M135" s="8"/>
      <c r="N135" s="10"/>
      <c r="O135" s="8"/>
    </row>
    <row r="136" spans="1:15">
      <c r="A136" s="8"/>
      <c r="B136" s="10"/>
      <c r="C136" s="8"/>
      <c r="D136" s="8"/>
      <c r="E136" s="8"/>
      <c r="F136" s="8"/>
      <c r="G136" s="13"/>
      <c r="H136" s="8"/>
      <c r="I136" s="13"/>
      <c r="J136" s="14" t="str">
        <f t="shared" si="2"/>
        <v/>
      </c>
      <c r="K136" s="8"/>
      <c r="L136" s="8"/>
      <c r="M136" s="8"/>
      <c r="N136" s="10"/>
      <c r="O136" s="8"/>
    </row>
    <row r="137" spans="1:15">
      <c r="A137" s="8"/>
      <c r="B137" s="10"/>
      <c r="C137" s="8"/>
      <c r="D137" s="8"/>
      <c r="E137" s="8"/>
      <c r="F137" s="8"/>
      <c r="G137" s="13"/>
      <c r="H137" s="8"/>
      <c r="I137" s="13"/>
      <c r="J137" s="14" t="str">
        <f t="shared" si="2"/>
        <v/>
      </c>
      <c r="K137" s="8"/>
      <c r="L137" s="8"/>
      <c r="M137" s="8"/>
      <c r="N137" s="10"/>
      <c r="O137" s="8"/>
    </row>
    <row r="138" spans="1:15">
      <c r="A138" s="8"/>
      <c r="B138" s="10"/>
      <c r="C138" s="8"/>
      <c r="D138" s="8"/>
      <c r="E138" s="8"/>
      <c r="F138" s="8"/>
      <c r="G138" s="13"/>
      <c r="H138" s="8"/>
      <c r="I138" s="13"/>
      <c r="J138" s="14" t="str">
        <f t="shared" si="2"/>
        <v/>
      </c>
      <c r="K138" s="8"/>
      <c r="L138" s="8"/>
      <c r="M138" s="8"/>
      <c r="N138" s="10"/>
      <c r="O138" s="8"/>
    </row>
    <row r="139" spans="1:15">
      <c r="A139" s="8"/>
      <c r="B139" s="10"/>
      <c r="C139" s="8"/>
      <c r="D139" s="8"/>
      <c r="E139" s="8"/>
      <c r="F139" s="8"/>
      <c r="G139" s="13"/>
      <c r="H139" s="8"/>
      <c r="I139" s="13"/>
      <c r="J139" s="14" t="str">
        <f t="shared" si="2"/>
        <v/>
      </c>
      <c r="K139" s="8"/>
      <c r="L139" s="8"/>
      <c r="M139" s="8"/>
      <c r="N139" s="10"/>
      <c r="O139" s="8"/>
    </row>
    <row r="140" spans="1:15">
      <c r="A140" s="8"/>
      <c r="B140" s="10"/>
      <c r="C140" s="8"/>
      <c r="D140" s="8"/>
      <c r="E140" s="8"/>
      <c r="F140" s="8"/>
      <c r="G140" s="13"/>
      <c r="H140" s="8"/>
      <c r="I140" s="13"/>
      <c r="J140" s="14" t="str">
        <f t="shared" si="2"/>
        <v/>
      </c>
      <c r="K140" s="8"/>
      <c r="L140" s="8"/>
      <c r="M140" s="8"/>
      <c r="N140" s="10"/>
      <c r="O140" s="8"/>
    </row>
    <row r="141" spans="1:15">
      <c r="A141" s="8"/>
      <c r="B141" s="10"/>
      <c r="C141" s="8"/>
      <c r="D141" s="8"/>
      <c r="E141" s="8"/>
      <c r="F141" s="8"/>
      <c r="G141" s="13"/>
      <c r="H141" s="8"/>
      <c r="I141" s="13"/>
      <c r="J141" s="14" t="str">
        <f t="shared" si="2"/>
        <v/>
      </c>
      <c r="K141" s="8"/>
      <c r="L141" s="8"/>
      <c r="M141" s="8"/>
      <c r="N141" s="10"/>
      <c r="O141" s="8"/>
    </row>
    <row r="142" spans="1:15">
      <c r="A142" s="8"/>
      <c r="B142" s="10"/>
      <c r="C142" s="8"/>
      <c r="D142" s="8"/>
      <c r="E142" s="8"/>
      <c r="F142" s="8"/>
      <c r="G142" s="13"/>
      <c r="H142" s="8"/>
      <c r="I142" s="13"/>
      <c r="J142" s="14" t="str">
        <f t="shared" si="2"/>
        <v/>
      </c>
      <c r="K142" s="8"/>
      <c r="L142" s="8"/>
      <c r="M142" s="8"/>
      <c r="N142" s="10"/>
      <c r="O142" s="8"/>
    </row>
    <row r="143" spans="1:15">
      <c r="A143" s="8"/>
      <c r="B143" s="10"/>
      <c r="C143" s="8"/>
      <c r="D143" s="8"/>
      <c r="E143" s="8"/>
      <c r="F143" s="8"/>
      <c r="G143" s="13"/>
      <c r="H143" s="8"/>
      <c r="I143" s="13"/>
      <c r="J143" s="14" t="str">
        <f t="shared" si="2"/>
        <v/>
      </c>
      <c r="K143" s="8"/>
      <c r="L143" s="8"/>
      <c r="M143" s="8"/>
      <c r="N143" s="10"/>
      <c r="O143" s="8"/>
    </row>
    <row r="144" spans="1:15">
      <c r="A144" s="8"/>
      <c r="B144" s="10"/>
      <c r="C144" s="8"/>
      <c r="D144" s="8"/>
      <c r="E144" s="8"/>
      <c r="F144" s="8"/>
      <c r="G144" s="13"/>
      <c r="H144" s="8"/>
      <c r="I144" s="13"/>
      <c r="J144" s="14" t="str">
        <f t="shared" si="2"/>
        <v/>
      </c>
      <c r="K144" s="8"/>
      <c r="L144" s="8"/>
      <c r="M144" s="8"/>
      <c r="N144" s="10"/>
      <c r="O144" s="8"/>
    </row>
    <row r="145" spans="1:15">
      <c r="A145" s="8"/>
      <c r="B145" s="10"/>
      <c r="C145" s="8"/>
      <c r="D145" s="8"/>
      <c r="E145" s="8"/>
      <c r="F145" s="8"/>
      <c r="G145" s="13"/>
      <c r="H145" s="8"/>
      <c r="I145" s="13"/>
      <c r="J145" s="14" t="str">
        <f t="shared" si="2"/>
        <v/>
      </c>
      <c r="K145" s="8"/>
      <c r="L145" s="8"/>
      <c r="M145" s="8"/>
      <c r="N145" s="10"/>
      <c r="O145" s="8"/>
    </row>
    <row r="146" spans="1:15">
      <c r="A146" s="8"/>
      <c r="B146" s="10"/>
      <c r="C146" s="8"/>
      <c r="D146" s="8"/>
      <c r="E146" s="8"/>
      <c r="F146" s="8"/>
      <c r="G146" s="13"/>
      <c r="H146" s="8"/>
      <c r="I146" s="13"/>
      <c r="J146" s="14" t="str">
        <f t="shared" si="2"/>
        <v/>
      </c>
      <c r="K146" s="8"/>
      <c r="L146" s="8"/>
      <c r="M146" s="8"/>
      <c r="N146" s="10"/>
      <c r="O146" s="8"/>
    </row>
    <row r="147" spans="1:15">
      <c r="A147" s="8"/>
      <c r="B147" s="10"/>
      <c r="C147" s="8"/>
      <c r="D147" s="8"/>
      <c r="E147" s="8"/>
      <c r="F147" s="8"/>
      <c r="G147" s="13"/>
      <c r="H147" s="8"/>
      <c r="I147" s="13"/>
      <c r="J147" s="14" t="str">
        <f t="shared" si="2"/>
        <v/>
      </c>
      <c r="K147" s="8"/>
      <c r="L147" s="8"/>
      <c r="M147" s="8"/>
      <c r="N147" s="10"/>
      <c r="O147" s="8"/>
    </row>
    <row r="148" spans="1:15">
      <c r="A148" s="8"/>
      <c r="B148" s="10"/>
      <c r="C148" s="8"/>
      <c r="D148" s="8"/>
      <c r="E148" s="8"/>
      <c r="F148" s="8"/>
      <c r="G148" s="13"/>
      <c r="H148" s="8"/>
      <c r="I148" s="13"/>
      <c r="J148" s="14" t="str">
        <f t="shared" si="2"/>
        <v/>
      </c>
      <c r="K148" s="8"/>
      <c r="L148" s="8"/>
      <c r="M148" s="8"/>
      <c r="N148" s="10"/>
      <c r="O148" s="8"/>
    </row>
    <row r="149" spans="1:15">
      <c r="A149" s="8"/>
      <c r="B149" s="10"/>
      <c r="C149" s="8"/>
      <c r="D149" s="8"/>
      <c r="E149" s="8"/>
      <c r="F149" s="8"/>
      <c r="G149" s="13"/>
      <c r="H149" s="8"/>
      <c r="I149" s="13"/>
      <c r="J149" s="14" t="str">
        <f t="shared" si="2"/>
        <v/>
      </c>
      <c r="K149" s="8"/>
      <c r="L149" s="8"/>
      <c r="M149" s="8"/>
      <c r="N149" s="10"/>
      <c r="O149" s="8"/>
    </row>
    <row r="150" spans="1:15">
      <c r="A150" s="8"/>
      <c r="B150" s="10"/>
      <c r="C150" s="8"/>
      <c r="D150" s="8"/>
      <c r="E150" s="8"/>
      <c r="F150" s="8"/>
      <c r="G150" s="13"/>
      <c r="H150" s="8"/>
      <c r="I150" s="13"/>
      <c r="J150" s="14" t="str">
        <f t="shared" si="2"/>
        <v/>
      </c>
      <c r="K150" s="8"/>
      <c r="L150" s="8"/>
      <c r="M150" s="8"/>
      <c r="N150" s="10"/>
      <c r="O150" s="8"/>
    </row>
    <row r="151" spans="1:15">
      <c r="A151" s="8"/>
      <c r="B151" s="10"/>
      <c r="C151" s="8"/>
      <c r="D151" s="8"/>
      <c r="E151" s="8"/>
      <c r="F151" s="8"/>
      <c r="G151" s="13"/>
      <c r="H151" s="8"/>
      <c r="I151" s="13"/>
      <c r="J151" s="14" t="str">
        <f t="shared" si="2"/>
        <v/>
      </c>
      <c r="K151" s="8"/>
      <c r="L151" s="8"/>
      <c r="M151" s="8"/>
      <c r="N151" s="10"/>
      <c r="O151" s="8"/>
    </row>
    <row r="152" spans="1:15">
      <c r="A152" s="8"/>
      <c r="B152" s="10"/>
      <c r="C152" s="8"/>
      <c r="D152" s="8"/>
      <c r="E152" s="8"/>
      <c r="F152" s="8"/>
      <c r="G152" s="13"/>
      <c r="H152" s="8"/>
      <c r="I152" s="13"/>
      <c r="J152" s="14" t="str">
        <f t="shared" si="2"/>
        <v/>
      </c>
      <c r="K152" s="8"/>
      <c r="L152" s="8"/>
      <c r="M152" s="8"/>
      <c r="N152" s="10"/>
      <c r="O152" s="8"/>
    </row>
    <row r="153" spans="1:15">
      <c r="A153" s="8"/>
      <c r="B153" s="10"/>
      <c r="C153" s="8"/>
      <c r="D153" s="8"/>
      <c r="E153" s="8"/>
      <c r="F153" s="8"/>
      <c r="G153" s="13"/>
      <c r="H153" s="8"/>
      <c r="I153" s="13"/>
      <c r="J153" s="14" t="str">
        <f t="shared" si="2"/>
        <v/>
      </c>
      <c r="K153" s="8"/>
      <c r="L153" s="8"/>
      <c r="M153" s="8"/>
      <c r="N153" s="10"/>
      <c r="O153" s="8"/>
    </row>
    <row r="154" spans="1:15">
      <c r="A154" s="8"/>
      <c r="B154" s="10"/>
      <c r="C154" s="8"/>
      <c r="D154" s="8"/>
      <c r="E154" s="8"/>
      <c r="F154" s="8"/>
      <c r="G154" s="13"/>
      <c r="H154" s="8"/>
      <c r="I154" s="13"/>
      <c r="J154" s="14" t="str">
        <f t="shared" si="2"/>
        <v/>
      </c>
      <c r="K154" s="8"/>
      <c r="L154" s="8"/>
      <c r="M154" s="8"/>
      <c r="N154" s="10"/>
      <c r="O154" s="8"/>
    </row>
    <row r="155" spans="1:15">
      <c r="A155" s="8"/>
      <c r="B155" s="10"/>
      <c r="C155" s="8"/>
      <c r="D155" s="8"/>
      <c r="E155" s="8"/>
      <c r="F155" s="8"/>
      <c r="G155" s="13"/>
      <c r="H155" s="8"/>
      <c r="I155" s="13"/>
      <c r="J155" s="14" t="str">
        <f t="shared" si="2"/>
        <v/>
      </c>
      <c r="K155" s="8"/>
      <c r="L155" s="8"/>
      <c r="M155" s="8"/>
      <c r="N155" s="10"/>
      <c r="O155" s="8"/>
    </row>
    <row r="156" spans="1:15">
      <c r="A156" s="8"/>
      <c r="B156" s="10"/>
      <c r="C156" s="8"/>
      <c r="D156" s="8"/>
      <c r="E156" s="8"/>
      <c r="F156" s="8"/>
      <c r="G156" s="13"/>
      <c r="H156" s="8"/>
      <c r="I156" s="13"/>
      <c r="J156" s="14" t="str">
        <f t="shared" si="2"/>
        <v/>
      </c>
      <c r="K156" s="8"/>
      <c r="L156" s="8"/>
      <c r="M156" s="8"/>
      <c r="N156" s="10"/>
      <c r="O156" s="8"/>
    </row>
    <row r="157" spans="1:15">
      <c r="A157" s="8"/>
      <c r="B157" s="10"/>
      <c r="C157" s="8"/>
      <c r="D157" s="8"/>
      <c r="E157" s="8"/>
      <c r="F157" s="8"/>
      <c r="G157" s="13"/>
      <c r="H157" s="8"/>
      <c r="I157" s="13"/>
      <c r="J157" s="14" t="str">
        <f t="shared" si="2"/>
        <v/>
      </c>
      <c r="K157" s="8"/>
      <c r="L157" s="8"/>
      <c r="M157" s="8"/>
      <c r="N157" s="10"/>
      <c r="O157" s="8"/>
    </row>
    <row r="158" spans="1:15">
      <c r="A158" s="8"/>
      <c r="B158" s="10"/>
      <c r="C158" s="8"/>
      <c r="D158" s="8"/>
      <c r="E158" s="8"/>
      <c r="F158" s="8"/>
      <c r="G158" s="13"/>
      <c r="H158" s="8"/>
      <c r="I158" s="13"/>
      <c r="J158" s="14" t="str">
        <f t="shared" si="2"/>
        <v/>
      </c>
      <c r="K158" s="8"/>
      <c r="L158" s="8"/>
      <c r="M158" s="8"/>
      <c r="N158" s="10"/>
      <c r="O158" s="8"/>
    </row>
    <row r="159" spans="1:15">
      <c r="A159" s="8"/>
      <c r="B159" s="10"/>
      <c r="C159" s="8"/>
      <c r="D159" s="8"/>
      <c r="E159" s="8"/>
      <c r="F159" s="8"/>
      <c r="G159" s="13"/>
      <c r="H159" s="8"/>
      <c r="I159" s="13"/>
      <c r="J159" s="14" t="str">
        <f t="shared" si="2"/>
        <v/>
      </c>
      <c r="K159" s="8"/>
      <c r="L159" s="8"/>
      <c r="M159" s="8"/>
      <c r="N159" s="10"/>
      <c r="O159" s="8"/>
    </row>
    <row r="160" spans="1:15">
      <c r="A160" s="8"/>
      <c r="B160" s="10"/>
      <c r="C160" s="8"/>
      <c r="D160" s="8"/>
      <c r="E160" s="8"/>
      <c r="F160" s="8"/>
      <c r="G160" s="13"/>
      <c r="H160" s="8"/>
      <c r="I160" s="13"/>
      <c r="J160" s="14" t="str">
        <f t="shared" si="2"/>
        <v/>
      </c>
      <c r="K160" s="8"/>
      <c r="L160" s="8"/>
      <c r="M160" s="8"/>
      <c r="N160" s="10"/>
      <c r="O160" s="8"/>
    </row>
    <row r="161" spans="1:15">
      <c r="A161" s="8"/>
      <c r="B161" s="10"/>
      <c r="C161" s="8"/>
      <c r="D161" s="8"/>
      <c r="E161" s="8"/>
      <c r="F161" s="8"/>
      <c r="G161" s="13"/>
      <c r="H161" s="8"/>
      <c r="I161" s="13"/>
      <c r="J161" s="14" t="str">
        <f t="shared" si="2"/>
        <v/>
      </c>
      <c r="K161" s="8"/>
      <c r="L161" s="8"/>
      <c r="M161" s="8"/>
      <c r="N161" s="10"/>
      <c r="O161" s="8"/>
    </row>
    <row r="162" spans="1:15">
      <c r="A162" s="8"/>
      <c r="B162" s="10"/>
      <c r="C162" s="8"/>
      <c r="D162" s="8"/>
      <c r="E162" s="8"/>
      <c r="F162" s="8"/>
      <c r="G162" s="13"/>
      <c r="H162" s="8"/>
      <c r="I162" s="13"/>
      <c r="J162" s="14" t="str">
        <f t="shared" si="2"/>
        <v/>
      </c>
      <c r="K162" s="8"/>
      <c r="L162" s="8"/>
      <c r="M162" s="8"/>
      <c r="N162" s="10"/>
      <c r="O162" s="8"/>
    </row>
    <row r="163" spans="1:15">
      <c r="A163" s="8"/>
      <c r="B163" s="10"/>
      <c r="C163" s="8"/>
      <c r="D163" s="8"/>
      <c r="E163" s="8"/>
      <c r="F163" s="8"/>
      <c r="G163" s="13"/>
      <c r="H163" s="8"/>
      <c r="I163" s="13"/>
      <c r="J163" s="14" t="str">
        <f t="shared" si="2"/>
        <v/>
      </c>
      <c r="K163" s="8"/>
      <c r="L163" s="8"/>
      <c r="M163" s="8"/>
      <c r="N163" s="10"/>
      <c r="O163" s="8"/>
    </row>
    <row r="164" spans="1:15">
      <c r="A164" s="8"/>
      <c r="B164" s="10"/>
      <c r="C164" s="8"/>
      <c r="D164" s="8"/>
      <c r="E164" s="8"/>
      <c r="F164" s="8"/>
      <c r="G164" s="13"/>
      <c r="H164" s="8"/>
      <c r="I164" s="13"/>
      <c r="J164" s="14" t="str">
        <f t="shared" si="2"/>
        <v/>
      </c>
      <c r="K164" s="8"/>
      <c r="L164" s="8"/>
      <c r="M164" s="8"/>
      <c r="N164" s="10"/>
      <c r="O164" s="8"/>
    </row>
    <row r="165" spans="1:15">
      <c r="A165" s="8"/>
      <c r="B165" s="10"/>
      <c r="C165" s="8"/>
      <c r="D165" s="8"/>
      <c r="E165" s="8"/>
      <c r="F165" s="8"/>
      <c r="G165" s="13"/>
      <c r="H165" s="8"/>
      <c r="I165" s="13"/>
      <c r="J165" s="14" t="str">
        <f t="shared" si="2"/>
        <v/>
      </c>
      <c r="K165" s="8"/>
      <c r="L165" s="8"/>
      <c r="M165" s="8"/>
      <c r="N165" s="10"/>
      <c r="O165" s="8"/>
    </row>
    <row r="166" spans="1:15">
      <c r="A166" s="8"/>
      <c r="B166" s="10"/>
      <c r="C166" s="8"/>
      <c r="D166" s="8"/>
      <c r="E166" s="8"/>
      <c r="F166" s="8"/>
      <c r="G166" s="13"/>
      <c r="H166" s="8"/>
      <c r="I166" s="13"/>
      <c r="J166" s="14" t="str">
        <f t="shared" si="2"/>
        <v/>
      </c>
      <c r="K166" s="8"/>
      <c r="L166" s="8"/>
      <c r="M166" s="8"/>
      <c r="N166" s="10"/>
      <c r="O166" s="8"/>
    </row>
    <row r="167" spans="1:15">
      <c r="A167" s="8"/>
      <c r="B167" s="10"/>
      <c r="C167" s="8"/>
      <c r="D167" s="8"/>
      <c r="E167" s="8"/>
      <c r="F167" s="8"/>
      <c r="G167" s="13"/>
      <c r="H167" s="8"/>
      <c r="I167" s="13"/>
      <c r="J167" s="14" t="str">
        <f t="shared" si="2"/>
        <v/>
      </c>
      <c r="K167" s="8"/>
      <c r="L167" s="8"/>
      <c r="M167" s="8"/>
      <c r="N167" s="10"/>
      <c r="O167" s="8"/>
    </row>
    <row r="168" spans="1:15">
      <c r="A168" s="8"/>
      <c r="B168" s="10"/>
      <c r="C168" s="8"/>
      <c r="D168" s="8"/>
      <c r="E168" s="8"/>
      <c r="F168" s="8"/>
      <c r="G168" s="13"/>
      <c r="H168" s="8"/>
      <c r="I168" s="13"/>
      <c r="J168" s="14" t="str">
        <f t="shared" si="2"/>
        <v/>
      </c>
      <c r="K168" s="8"/>
      <c r="L168" s="8"/>
      <c r="M168" s="8"/>
      <c r="N168" s="10"/>
      <c r="O168" s="8"/>
    </row>
    <row r="169" spans="1:15">
      <c r="A169" s="8"/>
      <c r="B169" s="10"/>
      <c r="C169" s="8"/>
      <c r="D169" s="8"/>
      <c r="E169" s="8"/>
      <c r="F169" s="8"/>
      <c r="G169" s="13"/>
      <c r="H169" s="8"/>
      <c r="I169" s="13"/>
      <c r="J169" s="14" t="str">
        <f t="shared" si="2"/>
        <v/>
      </c>
      <c r="K169" s="8"/>
      <c r="L169" s="8"/>
      <c r="M169" s="8"/>
      <c r="N169" s="10"/>
      <c r="O169" s="8"/>
    </row>
    <row r="170" spans="1:15">
      <c r="A170" s="8"/>
      <c r="B170" s="10"/>
      <c r="C170" s="8"/>
      <c r="D170" s="8"/>
      <c r="E170" s="8"/>
      <c r="F170" s="8"/>
      <c r="G170" s="13"/>
      <c r="H170" s="8"/>
      <c r="I170" s="13"/>
      <c r="J170" s="14" t="str">
        <f t="shared" si="2"/>
        <v/>
      </c>
      <c r="K170" s="8"/>
      <c r="L170" s="8"/>
      <c r="M170" s="8"/>
      <c r="N170" s="10"/>
      <c r="O170" s="8"/>
    </row>
    <row r="171" spans="1:15">
      <c r="A171" s="8"/>
      <c r="B171" s="10"/>
      <c r="C171" s="8"/>
      <c r="D171" s="8"/>
      <c r="E171" s="8"/>
      <c r="F171" s="8"/>
      <c r="G171" s="13"/>
      <c r="H171" s="8"/>
      <c r="I171" s="13"/>
      <c r="J171" s="14" t="str">
        <f t="shared" si="2"/>
        <v/>
      </c>
      <c r="K171" s="8"/>
      <c r="L171" s="8"/>
      <c r="M171" s="8"/>
      <c r="N171" s="10"/>
      <c r="O171" s="8"/>
    </row>
    <row r="172" spans="1:15">
      <c r="A172" s="8"/>
      <c r="B172" s="10"/>
      <c r="C172" s="8"/>
      <c r="D172" s="8"/>
      <c r="E172" s="8"/>
      <c r="F172" s="8"/>
      <c r="G172" s="13"/>
      <c r="H172" s="8"/>
      <c r="I172" s="13"/>
      <c r="J172" s="14" t="str">
        <f t="shared" si="2"/>
        <v/>
      </c>
      <c r="K172" s="8"/>
      <c r="L172" s="8"/>
      <c r="M172" s="8"/>
      <c r="N172" s="10"/>
      <c r="O172" s="8"/>
    </row>
    <row r="173" spans="1:15">
      <c r="A173" s="8"/>
      <c r="B173" s="10"/>
      <c r="C173" s="8"/>
      <c r="D173" s="8"/>
      <c r="E173" s="8"/>
      <c r="F173" s="8"/>
      <c r="G173" s="13"/>
      <c r="H173" s="8"/>
      <c r="I173" s="13"/>
      <c r="J173" s="14" t="str">
        <f t="shared" si="2"/>
        <v/>
      </c>
      <c r="K173" s="8"/>
      <c r="L173" s="8"/>
      <c r="M173" s="8"/>
      <c r="N173" s="10"/>
      <c r="O173" s="8"/>
    </row>
    <row r="174" spans="1:15">
      <c r="A174" s="8"/>
      <c r="B174" s="10"/>
      <c r="C174" s="8"/>
      <c r="D174" s="8"/>
      <c r="E174" s="8"/>
      <c r="F174" s="8"/>
      <c r="G174" s="13"/>
      <c r="H174" s="8"/>
      <c r="I174" s="13"/>
      <c r="J174" s="14" t="str">
        <f t="shared" si="2"/>
        <v/>
      </c>
      <c r="K174" s="8"/>
      <c r="L174" s="8"/>
      <c r="M174" s="8"/>
      <c r="N174" s="10"/>
      <c r="O174" s="8"/>
    </row>
    <row r="175" spans="1:15">
      <c r="A175" s="8"/>
      <c r="B175" s="10"/>
      <c r="C175" s="8"/>
      <c r="D175" s="8"/>
      <c r="E175" s="8"/>
      <c r="F175" s="8"/>
      <c r="G175" s="13"/>
      <c r="H175" s="8"/>
      <c r="I175" s="13"/>
      <c r="J175" s="14" t="str">
        <f t="shared" si="2"/>
        <v/>
      </c>
      <c r="K175" s="8"/>
      <c r="L175" s="8"/>
      <c r="M175" s="8"/>
      <c r="N175" s="10"/>
      <c r="O175" s="8"/>
    </row>
    <row r="176" spans="1:15">
      <c r="A176" s="8"/>
      <c r="B176" s="10"/>
      <c r="C176" s="8"/>
      <c r="D176" s="8"/>
      <c r="E176" s="8"/>
      <c r="F176" s="8"/>
      <c r="G176" s="13"/>
      <c r="H176" s="8"/>
      <c r="I176" s="13"/>
      <c r="J176" s="14" t="str">
        <f t="shared" si="2"/>
        <v/>
      </c>
      <c r="K176" s="8"/>
      <c r="L176" s="8"/>
      <c r="M176" s="8"/>
      <c r="N176" s="10"/>
      <c r="O176" s="8"/>
    </row>
    <row r="177" spans="1:15">
      <c r="A177" s="8"/>
      <c r="B177" s="10"/>
      <c r="C177" s="8"/>
      <c r="D177" s="8"/>
      <c r="E177" s="8"/>
      <c r="F177" s="8"/>
      <c r="G177" s="13"/>
      <c r="H177" s="8"/>
      <c r="I177" s="13"/>
      <c r="J177" s="14" t="str">
        <f t="shared" si="2"/>
        <v/>
      </c>
      <c r="K177" s="8"/>
      <c r="L177" s="8"/>
      <c r="M177" s="8"/>
      <c r="N177" s="10"/>
      <c r="O177" s="8"/>
    </row>
    <row r="178" spans="1:15">
      <c r="A178" s="8"/>
      <c r="B178" s="10"/>
      <c r="C178" s="8"/>
      <c r="D178" s="8"/>
      <c r="E178" s="8"/>
      <c r="F178" s="8"/>
      <c r="G178" s="13"/>
      <c r="H178" s="8"/>
      <c r="I178" s="13"/>
      <c r="J178" s="14" t="str">
        <f t="shared" si="2"/>
        <v/>
      </c>
      <c r="K178" s="8"/>
      <c r="L178" s="8"/>
      <c r="M178" s="8"/>
      <c r="N178" s="10"/>
      <c r="O178" s="8"/>
    </row>
    <row r="179" spans="1:15">
      <c r="A179" s="8"/>
      <c r="B179" s="10"/>
      <c r="C179" s="8"/>
      <c r="D179" s="8"/>
      <c r="E179" s="8"/>
      <c r="F179" s="8"/>
      <c r="G179" s="13"/>
      <c r="H179" s="8"/>
      <c r="I179" s="13"/>
      <c r="J179" s="14" t="str">
        <f t="shared" si="2"/>
        <v/>
      </c>
      <c r="K179" s="8"/>
      <c r="L179" s="8"/>
      <c r="M179" s="8"/>
      <c r="N179" s="10"/>
      <c r="O179" s="8"/>
    </row>
    <row r="180" spans="1:15">
      <c r="A180" s="8"/>
      <c r="B180" s="10"/>
      <c r="C180" s="8"/>
      <c r="D180" s="8"/>
      <c r="E180" s="8"/>
      <c r="F180" s="8"/>
      <c r="G180" s="13"/>
      <c r="H180" s="8"/>
      <c r="I180" s="13"/>
      <c r="J180" s="14" t="str">
        <f t="shared" si="2"/>
        <v/>
      </c>
      <c r="K180" s="8"/>
      <c r="L180" s="8"/>
      <c r="M180" s="8"/>
      <c r="N180" s="10"/>
      <c r="O180" s="8"/>
    </row>
    <row r="181" spans="1:15">
      <c r="A181" s="8"/>
      <c r="B181" s="10"/>
      <c r="C181" s="8"/>
      <c r="D181" s="8"/>
      <c r="E181" s="8"/>
      <c r="F181" s="8"/>
      <c r="G181" s="13"/>
      <c r="H181" s="8"/>
      <c r="I181" s="13"/>
      <c r="J181" s="14" t="str">
        <f t="shared" si="2"/>
        <v/>
      </c>
      <c r="K181" s="8"/>
      <c r="L181" s="8"/>
      <c r="M181" s="8"/>
      <c r="N181" s="10"/>
      <c r="O181" s="8"/>
    </row>
    <row r="182" spans="1:15">
      <c r="A182" s="8"/>
      <c r="B182" s="10"/>
      <c r="C182" s="8"/>
      <c r="D182" s="8"/>
      <c r="E182" s="8"/>
      <c r="F182" s="8"/>
      <c r="G182" s="13"/>
      <c r="H182" s="8"/>
      <c r="I182" s="13"/>
      <c r="J182" s="14" t="str">
        <f t="shared" si="2"/>
        <v/>
      </c>
      <c r="K182" s="8"/>
      <c r="L182" s="8"/>
      <c r="M182" s="8"/>
      <c r="N182" s="10"/>
      <c r="O182" s="8"/>
    </row>
    <row r="183" spans="1:15">
      <c r="A183" s="8"/>
      <c r="B183" s="10"/>
      <c r="C183" s="8"/>
      <c r="D183" s="8"/>
      <c r="E183" s="8"/>
      <c r="F183" s="8"/>
      <c r="G183" s="13"/>
      <c r="H183" s="8"/>
      <c r="I183" s="13"/>
      <c r="J183" s="14" t="str">
        <f t="shared" si="2"/>
        <v/>
      </c>
      <c r="K183" s="8"/>
      <c r="L183" s="8"/>
      <c r="M183" s="8"/>
      <c r="N183" s="10"/>
      <c r="O183" s="8"/>
    </row>
    <row r="184" spans="1:15">
      <c r="A184" s="8"/>
      <c r="B184" s="10"/>
      <c r="C184" s="8"/>
      <c r="D184" s="8"/>
      <c r="E184" s="8"/>
      <c r="F184" s="8"/>
      <c r="G184" s="13"/>
      <c r="H184" s="8"/>
      <c r="I184" s="13"/>
      <c r="J184" s="14" t="str">
        <f t="shared" si="2"/>
        <v/>
      </c>
      <c r="K184" s="8"/>
      <c r="L184" s="8"/>
      <c r="M184" s="8"/>
      <c r="N184" s="10"/>
      <c r="O184" s="8"/>
    </row>
    <row r="185" spans="1:15">
      <c r="A185" s="8"/>
      <c r="B185" s="10"/>
      <c r="C185" s="8"/>
      <c r="D185" s="8"/>
      <c r="E185" s="8"/>
      <c r="F185" s="8"/>
      <c r="G185" s="13"/>
      <c r="H185" s="8"/>
      <c r="I185" s="13"/>
      <c r="J185" s="14" t="str">
        <f t="shared" si="2"/>
        <v/>
      </c>
      <c r="K185" s="8"/>
      <c r="L185" s="8"/>
      <c r="M185" s="8"/>
      <c r="N185" s="10"/>
      <c r="O185" s="8"/>
    </row>
    <row r="186" spans="1:15">
      <c r="A186" s="8"/>
      <c r="B186" s="10"/>
      <c r="C186" s="8"/>
      <c r="D186" s="8"/>
      <c r="E186" s="8"/>
      <c r="F186" s="8"/>
      <c r="G186" s="13"/>
      <c r="H186" s="8"/>
      <c r="I186" s="13"/>
      <c r="J186" s="14" t="str">
        <f t="shared" si="2"/>
        <v/>
      </c>
      <c r="K186" s="8"/>
      <c r="L186" s="8"/>
      <c r="M186" s="8"/>
      <c r="N186" s="10"/>
      <c r="O186" s="8"/>
    </row>
    <row r="187" spans="1:15">
      <c r="A187" s="8"/>
      <c r="B187" s="10"/>
      <c r="C187" s="8"/>
      <c r="D187" s="8"/>
      <c r="E187" s="8"/>
      <c r="F187" s="8"/>
      <c r="G187" s="13"/>
      <c r="H187" s="8"/>
      <c r="I187" s="13"/>
      <c r="J187" s="14" t="str">
        <f t="shared" si="2"/>
        <v/>
      </c>
      <c r="K187" s="8"/>
      <c r="L187" s="8"/>
      <c r="M187" s="8"/>
      <c r="N187" s="10"/>
      <c r="O187" s="8"/>
    </row>
    <row r="188" spans="1:15">
      <c r="A188" s="8"/>
      <c r="B188" s="10"/>
      <c r="C188" s="8"/>
      <c r="D188" s="8"/>
      <c r="E188" s="8"/>
      <c r="F188" s="8"/>
      <c r="G188" s="13"/>
      <c r="H188" s="8"/>
      <c r="I188" s="13"/>
      <c r="J188" s="14" t="str">
        <f t="shared" si="2"/>
        <v/>
      </c>
      <c r="K188" s="8"/>
      <c r="L188" s="8"/>
      <c r="M188" s="8"/>
      <c r="N188" s="10"/>
      <c r="O188" s="8"/>
    </row>
    <row r="189" spans="1:15">
      <c r="A189" s="8"/>
      <c r="B189" s="10"/>
      <c r="C189" s="8"/>
      <c r="D189" s="8"/>
      <c r="E189" s="8"/>
      <c r="F189" s="8"/>
      <c r="G189" s="13"/>
      <c r="H189" s="8"/>
      <c r="I189" s="13"/>
      <c r="J189" s="14" t="str">
        <f t="shared" si="2"/>
        <v/>
      </c>
      <c r="K189" s="8"/>
      <c r="L189" s="8"/>
      <c r="M189" s="8"/>
      <c r="N189" s="10"/>
      <c r="O189" s="8"/>
    </row>
    <row r="190" spans="1:15">
      <c r="A190" s="8"/>
      <c r="B190" s="10"/>
      <c r="C190" s="8"/>
      <c r="D190" s="8"/>
      <c r="E190" s="8"/>
      <c r="F190" s="8"/>
      <c r="G190" s="13"/>
      <c r="H190" s="8"/>
      <c r="I190" s="13"/>
      <c r="J190" s="14" t="str">
        <f t="shared" si="2"/>
        <v/>
      </c>
      <c r="K190" s="8"/>
      <c r="L190" s="8"/>
      <c r="M190" s="8"/>
      <c r="N190" s="10"/>
      <c r="O190" s="8"/>
    </row>
    <row r="191" spans="1:15">
      <c r="A191" s="8"/>
      <c r="B191" s="10"/>
      <c r="C191" s="8"/>
      <c r="D191" s="8"/>
      <c r="E191" s="8"/>
      <c r="F191" s="8"/>
      <c r="G191" s="13"/>
      <c r="H191" s="8"/>
      <c r="I191" s="13"/>
      <c r="J191" s="14" t="str">
        <f t="shared" si="2"/>
        <v/>
      </c>
      <c r="K191" s="8"/>
      <c r="L191" s="8"/>
      <c r="M191" s="8"/>
      <c r="N191" s="10"/>
      <c r="O191" s="8"/>
    </row>
    <row r="192" spans="1:15">
      <c r="A192" s="8"/>
      <c r="B192" s="10"/>
      <c r="C192" s="8"/>
      <c r="D192" s="8"/>
      <c r="E192" s="8"/>
      <c r="F192" s="8"/>
      <c r="G192" s="13"/>
      <c r="H192" s="8"/>
      <c r="I192" s="13"/>
      <c r="J192" s="14" t="str">
        <f t="shared" si="2"/>
        <v/>
      </c>
      <c r="K192" s="8"/>
      <c r="L192" s="8"/>
      <c r="M192" s="8"/>
      <c r="N192" s="10"/>
      <c r="O192" s="8"/>
    </row>
    <row r="193" spans="1:15">
      <c r="A193" s="8"/>
      <c r="B193" s="10"/>
      <c r="C193" s="8"/>
      <c r="D193" s="8"/>
      <c r="E193" s="8"/>
      <c r="F193" s="8"/>
      <c r="G193" s="13"/>
      <c r="H193" s="8"/>
      <c r="I193" s="13"/>
      <c r="J193" s="14" t="str">
        <f t="shared" si="2"/>
        <v/>
      </c>
      <c r="K193" s="8"/>
      <c r="L193" s="8"/>
      <c r="M193" s="8"/>
      <c r="N193" s="10"/>
      <c r="O193" s="8"/>
    </row>
    <row r="194" spans="1:15">
      <c r="A194" s="8"/>
      <c r="B194" s="10"/>
      <c r="C194" s="8"/>
      <c r="D194" s="8"/>
      <c r="E194" s="8"/>
      <c r="F194" s="8"/>
      <c r="G194" s="13"/>
      <c r="H194" s="8"/>
      <c r="I194" s="13"/>
      <c r="J194" s="14" t="str">
        <f t="shared" si="2"/>
        <v/>
      </c>
      <c r="K194" s="8"/>
      <c r="L194" s="8"/>
      <c r="M194" s="8"/>
      <c r="N194" s="10"/>
      <c r="O194" s="8"/>
    </row>
    <row r="195" spans="1:15">
      <c r="A195" s="8"/>
      <c r="B195" s="10"/>
      <c r="C195" s="8"/>
      <c r="D195" s="8"/>
      <c r="E195" s="8"/>
      <c r="F195" s="8"/>
      <c r="G195" s="13"/>
      <c r="H195" s="8"/>
      <c r="I195" s="13"/>
      <c r="J195" s="14" t="str">
        <f t="shared" si="2"/>
        <v/>
      </c>
      <c r="K195" s="8"/>
      <c r="L195" s="8"/>
      <c r="M195" s="8"/>
      <c r="N195" s="10"/>
      <c r="O195" s="8"/>
    </row>
    <row r="196" spans="1:15">
      <c r="A196" s="8"/>
      <c r="B196" s="10"/>
      <c r="C196" s="8"/>
      <c r="D196" s="8"/>
      <c r="E196" s="8"/>
      <c r="F196" s="8"/>
      <c r="G196" s="13"/>
      <c r="H196" s="8"/>
      <c r="I196" s="13"/>
      <c r="J196" s="14" t="str">
        <f t="shared" si="2"/>
        <v/>
      </c>
      <c r="K196" s="8"/>
      <c r="L196" s="8"/>
      <c r="M196" s="8"/>
      <c r="N196" s="10"/>
      <c r="O196" s="8"/>
    </row>
    <row r="197" spans="1:15">
      <c r="A197" s="8"/>
      <c r="B197" s="10"/>
      <c r="C197" s="8"/>
      <c r="D197" s="8"/>
      <c r="E197" s="8"/>
      <c r="F197" s="8"/>
      <c r="G197" s="13"/>
      <c r="H197" s="8"/>
      <c r="I197" s="13"/>
      <c r="J197" s="14" t="str">
        <f t="shared" ref="J197:J260" si="3">IF(A197="","",MAX(0,G197-I197))</f>
        <v/>
      </c>
      <c r="K197" s="8"/>
      <c r="L197" s="8"/>
      <c r="M197" s="8"/>
      <c r="N197" s="10"/>
      <c r="O197" s="8"/>
    </row>
    <row r="198" spans="1:15">
      <c r="A198" s="8"/>
      <c r="B198" s="10"/>
      <c r="C198" s="8"/>
      <c r="D198" s="8"/>
      <c r="E198" s="8"/>
      <c r="F198" s="8"/>
      <c r="G198" s="13"/>
      <c r="H198" s="8"/>
      <c r="I198" s="13"/>
      <c r="J198" s="14" t="str">
        <f t="shared" si="3"/>
        <v/>
      </c>
      <c r="K198" s="8"/>
      <c r="L198" s="8"/>
      <c r="M198" s="8"/>
      <c r="N198" s="10"/>
      <c r="O198" s="8"/>
    </row>
    <row r="199" spans="1:15">
      <c r="A199" s="8"/>
      <c r="B199" s="10"/>
      <c r="C199" s="8"/>
      <c r="D199" s="8"/>
      <c r="E199" s="8"/>
      <c r="F199" s="8"/>
      <c r="G199" s="13"/>
      <c r="H199" s="8"/>
      <c r="I199" s="13"/>
      <c r="J199" s="14" t="str">
        <f t="shared" si="3"/>
        <v/>
      </c>
      <c r="K199" s="8"/>
      <c r="L199" s="8"/>
      <c r="M199" s="8"/>
      <c r="N199" s="10"/>
      <c r="O199" s="8"/>
    </row>
    <row r="200" spans="1:15">
      <c r="A200" s="8"/>
      <c r="B200" s="10"/>
      <c r="C200" s="8"/>
      <c r="D200" s="8"/>
      <c r="E200" s="8"/>
      <c r="F200" s="8"/>
      <c r="G200" s="13"/>
      <c r="H200" s="8"/>
      <c r="I200" s="13"/>
      <c r="J200" s="14" t="str">
        <f t="shared" si="3"/>
        <v/>
      </c>
      <c r="K200" s="8"/>
      <c r="L200" s="8"/>
      <c r="M200" s="8"/>
      <c r="N200" s="10"/>
      <c r="O200" s="8"/>
    </row>
    <row r="201" spans="1:15">
      <c r="A201" s="8"/>
      <c r="B201" s="10"/>
      <c r="C201" s="8"/>
      <c r="D201" s="8"/>
      <c r="E201" s="8"/>
      <c r="F201" s="8"/>
      <c r="G201" s="13"/>
      <c r="H201" s="8"/>
      <c r="I201" s="13"/>
      <c r="J201" s="14" t="str">
        <f t="shared" si="3"/>
        <v/>
      </c>
      <c r="K201" s="8"/>
      <c r="L201" s="8"/>
      <c r="M201" s="8"/>
      <c r="N201" s="10"/>
      <c r="O201" s="8"/>
    </row>
    <row r="202" spans="1:15">
      <c r="A202" s="8"/>
      <c r="B202" s="10"/>
      <c r="C202" s="8"/>
      <c r="D202" s="8"/>
      <c r="E202" s="8"/>
      <c r="F202" s="8"/>
      <c r="G202" s="13"/>
      <c r="H202" s="8"/>
      <c r="I202" s="13"/>
      <c r="J202" s="14" t="str">
        <f t="shared" si="3"/>
        <v/>
      </c>
      <c r="K202" s="8"/>
      <c r="L202" s="8"/>
      <c r="M202" s="8"/>
      <c r="N202" s="10"/>
      <c r="O202" s="8"/>
    </row>
    <row r="203" spans="1:15">
      <c r="A203" s="8"/>
      <c r="B203" s="10"/>
      <c r="C203" s="8"/>
      <c r="D203" s="8"/>
      <c r="E203" s="8"/>
      <c r="F203" s="8"/>
      <c r="G203" s="13"/>
      <c r="H203" s="8"/>
      <c r="I203" s="13"/>
      <c r="J203" s="14" t="str">
        <f t="shared" si="3"/>
        <v/>
      </c>
      <c r="K203" s="8"/>
      <c r="L203" s="8"/>
      <c r="M203" s="8"/>
      <c r="N203" s="10"/>
      <c r="O203" s="8"/>
    </row>
    <row r="204" spans="1:15">
      <c r="A204" s="8"/>
      <c r="B204" s="10"/>
      <c r="C204" s="8"/>
      <c r="D204" s="8"/>
      <c r="E204" s="8"/>
      <c r="F204" s="8"/>
      <c r="G204" s="13"/>
      <c r="H204" s="8"/>
      <c r="I204" s="13"/>
      <c r="J204" s="14" t="str">
        <f t="shared" si="3"/>
        <v/>
      </c>
      <c r="K204" s="8"/>
      <c r="L204" s="8"/>
      <c r="M204" s="8"/>
      <c r="N204" s="10"/>
      <c r="O204" s="8"/>
    </row>
    <row r="205" spans="1:15">
      <c r="A205" s="8"/>
      <c r="B205" s="10"/>
      <c r="C205" s="8"/>
      <c r="D205" s="8"/>
      <c r="E205" s="8"/>
      <c r="F205" s="8"/>
      <c r="G205" s="13"/>
      <c r="H205" s="8"/>
      <c r="I205" s="13"/>
      <c r="J205" s="14" t="str">
        <f t="shared" si="3"/>
        <v/>
      </c>
      <c r="K205" s="8"/>
      <c r="L205" s="8"/>
      <c r="M205" s="8"/>
      <c r="N205" s="10"/>
      <c r="O205" s="8"/>
    </row>
    <row r="206" spans="1:15">
      <c r="A206" s="8"/>
      <c r="B206" s="10"/>
      <c r="C206" s="8"/>
      <c r="D206" s="8"/>
      <c r="E206" s="8"/>
      <c r="F206" s="8"/>
      <c r="G206" s="13"/>
      <c r="H206" s="8"/>
      <c r="I206" s="13"/>
      <c r="J206" s="14" t="str">
        <f t="shared" si="3"/>
        <v/>
      </c>
      <c r="K206" s="8"/>
      <c r="L206" s="8"/>
      <c r="M206" s="8"/>
      <c r="N206" s="10"/>
      <c r="O206" s="8"/>
    </row>
    <row r="207" spans="1:15">
      <c r="A207" s="8"/>
      <c r="B207" s="10"/>
      <c r="C207" s="8"/>
      <c r="D207" s="8"/>
      <c r="E207" s="8"/>
      <c r="F207" s="8"/>
      <c r="G207" s="13"/>
      <c r="H207" s="8"/>
      <c r="I207" s="13"/>
      <c r="J207" s="14" t="str">
        <f t="shared" si="3"/>
        <v/>
      </c>
      <c r="K207" s="8"/>
      <c r="L207" s="8"/>
      <c r="M207" s="8"/>
      <c r="N207" s="10"/>
      <c r="O207" s="8"/>
    </row>
    <row r="208" spans="1:15">
      <c r="A208" s="8"/>
      <c r="B208" s="10"/>
      <c r="C208" s="8"/>
      <c r="D208" s="8"/>
      <c r="E208" s="8"/>
      <c r="F208" s="8"/>
      <c r="G208" s="13"/>
      <c r="H208" s="8"/>
      <c r="I208" s="13"/>
      <c r="J208" s="14" t="str">
        <f t="shared" si="3"/>
        <v/>
      </c>
      <c r="K208" s="8"/>
      <c r="L208" s="8"/>
      <c r="M208" s="8"/>
      <c r="N208" s="10"/>
      <c r="O208" s="8"/>
    </row>
    <row r="209" spans="1:15">
      <c r="A209" s="8"/>
      <c r="B209" s="10"/>
      <c r="C209" s="8"/>
      <c r="D209" s="8"/>
      <c r="E209" s="8"/>
      <c r="F209" s="8"/>
      <c r="G209" s="13"/>
      <c r="H209" s="8"/>
      <c r="I209" s="13"/>
      <c r="J209" s="14" t="str">
        <f t="shared" si="3"/>
        <v/>
      </c>
      <c r="K209" s="8"/>
      <c r="L209" s="8"/>
      <c r="M209" s="8"/>
      <c r="N209" s="10"/>
      <c r="O209" s="8"/>
    </row>
    <row r="210" spans="1:15">
      <c r="A210" s="8"/>
      <c r="B210" s="10"/>
      <c r="C210" s="8"/>
      <c r="D210" s="8"/>
      <c r="E210" s="8"/>
      <c r="F210" s="8"/>
      <c r="G210" s="13"/>
      <c r="H210" s="8"/>
      <c r="I210" s="13"/>
      <c r="J210" s="14" t="str">
        <f t="shared" si="3"/>
        <v/>
      </c>
      <c r="K210" s="8"/>
      <c r="L210" s="8"/>
      <c r="M210" s="8"/>
      <c r="N210" s="10"/>
      <c r="O210" s="8"/>
    </row>
    <row r="211" spans="1:15">
      <c r="A211" s="8"/>
      <c r="B211" s="10"/>
      <c r="C211" s="8"/>
      <c r="D211" s="8"/>
      <c r="E211" s="8"/>
      <c r="F211" s="8"/>
      <c r="G211" s="13"/>
      <c r="H211" s="8"/>
      <c r="I211" s="13"/>
      <c r="J211" s="14" t="str">
        <f t="shared" si="3"/>
        <v/>
      </c>
      <c r="K211" s="8"/>
      <c r="L211" s="8"/>
      <c r="M211" s="8"/>
      <c r="N211" s="10"/>
      <c r="O211" s="8"/>
    </row>
    <row r="212" spans="1:15">
      <c r="A212" s="8"/>
      <c r="B212" s="10"/>
      <c r="C212" s="8"/>
      <c r="D212" s="8"/>
      <c r="E212" s="8"/>
      <c r="F212" s="8"/>
      <c r="G212" s="13"/>
      <c r="H212" s="8"/>
      <c r="I212" s="13"/>
      <c r="J212" s="14" t="str">
        <f t="shared" si="3"/>
        <v/>
      </c>
      <c r="K212" s="8"/>
      <c r="L212" s="8"/>
      <c r="M212" s="8"/>
      <c r="N212" s="10"/>
      <c r="O212" s="8"/>
    </row>
    <row r="213" spans="1:15">
      <c r="A213" s="8"/>
      <c r="B213" s="10"/>
      <c r="C213" s="8"/>
      <c r="D213" s="8"/>
      <c r="E213" s="8"/>
      <c r="F213" s="8"/>
      <c r="G213" s="13"/>
      <c r="H213" s="8"/>
      <c r="I213" s="13"/>
      <c r="J213" s="14" t="str">
        <f t="shared" si="3"/>
        <v/>
      </c>
      <c r="K213" s="8"/>
      <c r="L213" s="8"/>
      <c r="M213" s="8"/>
      <c r="N213" s="10"/>
      <c r="O213" s="8"/>
    </row>
    <row r="214" spans="1:15">
      <c r="A214" s="8"/>
      <c r="B214" s="10"/>
      <c r="C214" s="8"/>
      <c r="D214" s="8"/>
      <c r="E214" s="8"/>
      <c r="F214" s="8"/>
      <c r="G214" s="13"/>
      <c r="H214" s="8"/>
      <c r="I214" s="13"/>
      <c r="J214" s="14" t="str">
        <f t="shared" si="3"/>
        <v/>
      </c>
      <c r="K214" s="8"/>
      <c r="L214" s="8"/>
      <c r="M214" s="8"/>
      <c r="N214" s="10"/>
      <c r="O214" s="8"/>
    </row>
    <row r="215" spans="1:15">
      <c r="A215" s="8"/>
      <c r="B215" s="10"/>
      <c r="C215" s="8"/>
      <c r="D215" s="8"/>
      <c r="E215" s="8"/>
      <c r="F215" s="8"/>
      <c r="G215" s="13"/>
      <c r="H215" s="8"/>
      <c r="I215" s="13"/>
      <c r="J215" s="14" t="str">
        <f t="shared" si="3"/>
        <v/>
      </c>
      <c r="K215" s="8"/>
      <c r="L215" s="8"/>
      <c r="M215" s="8"/>
      <c r="N215" s="10"/>
      <c r="O215" s="8"/>
    </row>
    <row r="216" spans="1:15">
      <c r="A216" s="8"/>
      <c r="B216" s="10"/>
      <c r="C216" s="8"/>
      <c r="D216" s="8"/>
      <c r="E216" s="8"/>
      <c r="F216" s="8"/>
      <c r="G216" s="13"/>
      <c r="H216" s="8"/>
      <c r="I216" s="13"/>
      <c r="J216" s="14" t="str">
        <f t="shared" si="3"/>
        <v/>
      </c>
      <c r="K216" s="8"/>
      <c r="L216" s="8"/>
      <c r="M216" s="8"/>
      <c r="N216" s="10"/>
      <c r="O216" s="8"/>
    </row>
    <row r="217" spans="1:15">
      <c r="A217" s="8"/>
      <c r="B217" s="10"/>
      <c r="C217" s="8"/>
      <c r="D217" s="8"/>
      <c r="E217" s="8"/>
      <c r="F217" s="8"/>
      <c r="G217" s="13"/>
      <c r="H217" s="8"/>
      <c r="I217" s="13"/>
      <c r="J217" s="14" t="str">
        <f t="shared" si="3"/>
        <v/>
      </c>
      <c r="K217" s="8"/>
      <c r="L217" s="8"/>
      <c r="M217" s="8"/>
      <c r="N217" s="10"/>
      <c r="O217" s="8"/>
    </row>
    <row r="218" spans="1:15">
      <c r="A218" s="8"/>
      <c r="B218" s="10"/>
      <c r="C218" s="8"/>
      <c r="D218" s="8"/>
      <c r="E218" s="8"/>
      <c r="F218" s="8"/>
      <c r="G218" s="13"/>
      <c r="H218" s="8"/>
      <c r="I218" s="13"/>
      <c r="J218" s="14" t="str">
        <f t="shared" si="3"/>
        <v/>
      </c>
      <c r="K218" s="8"/>
      <c r="L218" s="8"/>
      <c r="M218" s="8"/>
      <c r="N218" s="10"/>
      <c r="O218" s="8"/>
    </row>
    <row r="219" spans="1:15">
      <c r="A219" s="8"/>
      <c r="B219" s="10"/>
      <c r="C219" s="8"/>
      <c r="D219" s="8"/>
      <c r="E219" s="8"/>
      <c r="F219" s="8"/>
      <c r="G219" s="13"/>
      <c r="H219" s="8"/>
      <c r="I219" s="13"/>
      <c r="J219" s="14" t="str">
        <f t="shared" si="3"/>
        <v/>
      </c>
      <c r="K219" s="8"/>
      <c r="L219" s="8"/>
      <c r="M219" s="8"/>
      <c r="N219" s="10"/>
      <c r="O219" s="8"/>
    </row>
    <row r="220" spans="1:15">
      <c r="A220" s="8"/>
      <c r="B220" s="10"/>
      <c r="C220" s="8"/>
      <c r="D220" s="8"/>
      <c r="E220" s="8"/>
      <c r="F220" s="8"/>
      <c r="G220" s="13"/>
      <c r="H220" s="8"/>
      <c r="I220" s="13"/>
      <c r="J220" s="14" t="str">
        <f t="shared" si="3"/>
        <v/>
      </c>
      <c r="K220" s="8"/>
      <c r="L220" s="8"/>
      <c r="M220" s="8"/>
      <c r="N220" s="10"/>
      <c r="O220" s="8"/>
    </row>
    <row r="221" spans="1:15">
      <c r="A221" s="8"/>
      <c r="B221" s="10"/>
      <c r="C221" s="8"/>
      <c r="D221" s="8"/>
      <c r="E221" s="8"/>
      <c r="F221" s="8"/>
      <c r="G221" s="13"/>
      <c r="H221" s="8"/>
      <c r="I221" s="13"/>
      <c r="J221" s="14" t="str">
        <f t="shared" si="3"/>
        <v/>
      </c>
      <c r="K221" s="8"/>
      <c r="L221" s="8"/>
      <c r="M221" s="8"/>
      <c r="N221" s="10"/>
      <c r="O221" s="8"/>
    </row>
    <row r="222" spans="1:15">
      <c r="A222" s="8"/>
      <c r="B222" s="10"/>
      <c r="C222" s="8"/>
      <c r="D222" s="8"/>
      <c r="E222" s="8"/>
      <c r="F222" s="8"/>
      <c r="G222" s="13"/>
      <c r="H222" s="8"/>
      <c r="I222" s="13"/>
      <c r="J222" s="14" t="str">
        <f t="shared" si="3"/>
        <v/>
      </c>
      <c r="K222" s="8"/>
      <c r="L222" s="8"/>
      <c r="M222" s="8"/>
      <c r="N222" s="10"/>
      <c r="O222" s="8"/>
    </row>
    <row r="223" spans="1:15">
      <c r="A223" s="8"/>
      <c r="B223" s="10"/>
      <c r="C223" s="8"/>
      <c r="D223" s="8"/>
      <c r="E223" s="8"/>
      <c r="F223" s="8"/>
      <c r="G223" s="13"/>
      <c r="H223" s="8"/>
      <c r="I223" s="13"/>
      <c r="J223" s="14" t="str">
        <f t="shared" si="3"/>
        <v/>
      </c>
      <c r="K223" s="8"/>
      <c r="L223" s="8"/>
      <c r="M223" s="8"/>
      <c r="N223" s="10"/>
      <c r="O223" s="8"/>
    </row>
    <row r="224" spans="1:15">
      <c r="A224" s="8"/>
      <c r="B224" s="10"/>
      <c r="C224" s="8"/>
      <c r="D224" s="8"/>
      <c r="E224" s="8"/>
      <c r="F224" s="8"/>
      <c r="G224" s="13"/>
      <c r="H224" s="8"/>
      <c r="I224" s="13"/>
      <c r="J224" s="14" t="str">
        <f t="shared" si="3"/>
        <v/>
      </c>
      <c r="K224" s="8"/>
      <c r="L224" s="8"/>
      <c r="M224" s="8"/>
      <c r="N224" s="10"/>
      <c r="O224" s="8"/>
    </row>
    <row r="225" spans="1:15">
      <c r="A225" s="8"/>
      <c r="B225" s="10"/>
      <c r="C225" s="8"/>
      <c r="D225" s="8"/>
      <c r="E225" s="8"/>
      <c r="F225" s="8"/>
      <c r="G225" s="13"/>
      <c r="H225" s="8"/>
      <c r="I225" s="13"/>
      <c r="J225" s="14" t="str">
        <f t="shared" si="3"/>
        <v/>
      </c>
      <c r="K225" s="8"/>
      <c r="L225" s="8"/>
      <c r="M225" s="8"/>
      <c r="N225" s="10"/>
      <c r="O225" s="8"/>
    </row>
    <row r="226" spans="1:15">
      <c r="A226" s="8"/>
      <c r="B226" s="10"/>
      <c r="C226" s="8"/>
      <c r="D226" s="8"/>
      <c r="E226" s="8"/>
      <c r="F226" s="8"/>
      <c r="G226" s="13"/>
      <c r="H226" s="8"/>
      <c r="I226" s="13"/>
      <c r="J226" s="14" t="str">
        <f t="shared" si="3"/>
        <v/>
      </c>
      <c r="K226" s="8"/>
      <c r="L226" s="8"/>
      <c r="M226" s="8"/>
      <c r="N226" s="10"/>
      <c r="O226" s="8"/>
    </row>
    <row r="227" spans="1:15">
      <c r="A227" s="8"/>
      <c r="B227" s="10"/>
      <c r="C227" s="8"/>
      <c r="D227" s="8"/>
      <c r="E227" s="8"/>
      <c r="F227" s="8"/>
      <c r="G227" s="13"/>
      <c r="H227" s="8"/>
      <c r="I227" s="13"/>
      <c r="J227" s="14" t="str">
        <f t="shared" si="3"/>
        <v/>
      </c>
      <c r="K227" s="8"/>
      <c r="L227" s="8"/>
      <c r="M227" s="8"/>
      <c r="N227" s="10"/>
      <c r="O227" s="8"/>
    </row>
    <row r="228" spans="1:15">
      <c r="A228" s="8"/>
      <c r="B228" s="10"/>
      <c r="C228" s="8"/>
      <c r="D228" s="8"/>
      <c r="E228" s="8"/>
      <c r="F228" s="8"/>
      <c r="G228" s="13"/>
      <c r="H228" s="8"/>
      <c r="I228" s="13"/>
      <c r="J228" s="14" t="str">
        <f t="shared" si="3"/>
        <v/>
      </c>
      <c r="K228" s="8"/>
      <c r="L228" s="8"/>
      <c r="M228" s="8"/>
      <c r="N228" s="10"/>
      <c r="O228" s="8"/>
    </row>
    <row r="229" spans="1:15">
      <c r="A229" s="8"/>
      <c r="B229" s="10"/>
      <c r="C229" s="8"/>
      <c r="D229" s="8"/>
      <c r="E229" s="8"/>
      <c r="F229" s="8"/>
      <c r="G229" s="13"/>
      <c r="H229" s="8"/>
      <c r="I229" s="13"/>
      <c r="J229" s="14" t="str">
        <f t="shared" si="3"/>
        <v/>
      </c>
      <c r="K229" s="8"/>
      <c r="L229" s="8"/>
      <c r="M229" s="8"/>
      <c r="N229" s="10"/>
      <c r="O229" s="8"/>
    </row>
    <row r="230" spans="1:15">
      <c r="A230" s="8"/>
      <c r="B230" s="10"/>
      <c r="C230" s="8"/>
      <c r="D230" s="8"/>
      <c r="E230" s="8"/>
      <c r="F230" s="8"/>
      <c r="G230" s="13"/>
      <c r="H230" s="8"/>
      <c r="I230" s="13"/>
      <c r="J230" s="14" t="str">
        <f t="shared" si="3"/>
        <v/>
      </c>
      <c r="K230" s="8"/>
      <c r="L230" s="8"/>
      <c r="M230" s="8"/>
      <c r="N230" s="10"/>
      <c r="O230" s="8"/>
    </row>
    <row r="231" spans="1:15">
      <c r="A231" s="8"/>
      <c r="B231" s="10"/>
      <c r="C231" s="8"/>
      <c r="D231" s="8"/>
      <c r="E231" s="8"/>
      <c r="F231" s="8"/>
      <c r="G231" s="13"/>
      <c r="H231" s="8"/>
      <c r="I231" s="13"/>
      <c r="J231" s="14" t="str">
        <f t="shared" si="3"/>
        <v/>
      </c>
      <c r="K231" s="8"/>
      <c r="L231" s="8"/>
      <c r="M231" s="8"/>
      <c r="N231" s="10"/>
      <c r="O231" s="8"/>
    </row>
    <row r="232" spans="1:15">
      <c r="A232" s="8"/>
      <c r="B232" s="10"/>
      <c r="C232" s="8"/>
      <c r="D232" s="8"/>
      <c r="E232" s="8"/>
      <c r="F232" s="8"/>
      <c r="G232" s="13"/>
      <c r="H232" s="8"/>
      <c r="I232" s="13"/>
      <c r="J232" s="14" t="str">
        <f t="shared" si="3"/>
        <v/>
      </c>
      <c r="K232" s="8"/>
      <c r="L232" s="8"/>
      <c r="M232" s="8"/>
      <c r="N232" s="10"/>
      <c r="O232" s="8"/>
    </row>
    <row r="233" spans="1:15">
      <c r="A233" s="8"/>
      <c r="B233" s="10"/>
      <c r="C233" s="8"/>
      <c r="D233" s="8"/>
      <c r="E233" s="8"/>
      <c r="F233" s="8"/>
      <c r="G233" s="13"/>
      <c r="H233" s="8"/>
      <c r="I233" s="13"/>
      <c r="J233" s="14" t="str">
        <f t="shared" si="3"/>
        <v/>
      </c>
      <c r="K233" s="8"/>
      <c r="L233" s="8"/>
      <c r="M233" s="8"/>
      <c r="N233" s="10"/>
      <c r="O233" s="8"/>
    </row>
    <row r="234" spans="1:15">
      <c r="A234" s="8"/>
      <c r="B234" s="10"/>
      <c r="C234" s="8"/>
      <c r="D234" s="8"/>
      <c r="E234" s="8"/>
      <c r="F234" s="8"/>
      <c r="G234" s="13"/>
      <c r="H234" s="8"/>
      <c r="I234" s="13"/>
      <c r="J234" s="14" t="str">
        <f t="shared" si="3"/>
        <v/>
      </c>
      <c r="K234" s="8"/>
      <c r="L234" s="8"/>
      <c r="M234" s="8"/>
      <c r="N234" s="10"/>
      <c r="O234" s="8"/>
    </row>
    <row r="235" spans="1:15">
      <c r="A235" s="8"/>
      <c r="B235" s="10"/>
      <c r="C235" s="8"/>
      <c r="D235" s="8"/>
      <c r="E235" s="8"/>
      <c r="F235" s="8"/>
      <c r="G235" s="13"/>
      <c r="H235" s="8"/>
      <c r="I235" s="13"/>
      <c r="J235" s="14" t="str">
        <f t="shared" si="3"/>
        <v/>
      </c>
      <c r="K235" s="8"/>
      <c r="L235" s="8"/>
      <c r="M235" s="8"/>
      <c r="N235" s="10"/>
      <c r="O235" s="8"/>
    </row>
    <row r="236" spans="1:15">
      <c r="A236" s="8"/>
      <c r="B236" s="10"/>
      <c r="C236" s="8"/>
      <c r="D236" s="8"/>
      <c r="E236" s="8"/>
      <c r="F236" s="8"/>
      <c r="G236" s="13"/>
      <c r="H236" s="8"/>
      <c r="I236" s="13"/>
      <c r="J236" s="14" t="str">
        <f t="shared" si="3"/>
        <v/>
      </c>
      <c r="K236" s="8"/>
      <c r="L236" s="8"/>
      <c r="M236" s="8"/>
      <c r="N236" s="10"/>
      <c r="O236" s="8"/>
    </row>
    <row r="237" spans="1:15">
      <c r="A237" s="8"/>
      <c r="B237" s="10"/>
      <c r="C237" s="8"/>
      <c r="D237" s="8"/>
      <c r="E237" s="8"/>
      <c r="F237" s="8"/>
      <c r="G237" s="13"/>
      <c r="H237" s="8"/>
      <c r="I237" s="13"/>
      <c r="J237" s="14" t="str">
        <f t="shared" si="3"/>
        <v/>
      </c>
      <c r="K237" s="8"/>
      <c r="L237" s="8"/>
      <c r="M237" s="8"/>
      <c r="N237" s="10"/>
      <c r="O237" s="8"/>
    </row>
    <row r="238" spans="1:15">
      <c r="A238" s="8"/>
      <c r="B238" s="10"/>
      <c r="C238" s="8"/>
      <c r="D238" s="8"/>
      <c r="E238" s="8"/>
      <c r="F238" s="8"/>
      <c r="G238" s="13"/>
      <c r="H238" s="8"/>
      <c r="I238" s="13"/>
      <c r="J238" s="14" t="str">
        <f t="shared" si="3"/>
        <v/>
      </c>
      <c r="K238" s="8"/>
      <c r="L238" s="8"/>
      <c r="M238" s="8"/>
      <c r="N238" s="10"/>
      <c r="O238" s="8"/>
    </row>
    <row r="239" spans="1:15">
      <c r="A239" s="8"/>
      <c r="B239" s="10"/>
      <c r="C239" s="8"/>
      <c r="D239" s="8"/>
      <c r="E239" s="8"/>
      <c r="F239" s="8"/>
      <c r="G239" s="13"/>
      <c r="H239" s="8"/>
      <c r="I239" s="13"/>
      <c r="J239" s="14" t="str">
        <f t="shared" si="3"/>
        <v/>
      </c>
      <c r="K239" s="8"/>
      <c r="L239" s="8"/>
      <c r="M239" s="8"/>
      <c r="N239" s="10"/>
      <c r="O239" s="8"/>
    </row>
    <row r="240" spans="1:15">
      <c r="A240" s="8"/>
      <c r="B240" s="10"/>
      <c r="C240" s="8"/>
      <c r="D240" s="8"/>
      <c r="E240" s="8"/>
      <c r="F240" s="8"/>
      <c r="G240" s="13"/>
      <c r="H240" s="8"/>
      <c r="I240" s="13"/>
      <c r="J240" s="14" t="str">
        <f t="shared" si="3"/>
        <v/>
      </c>
      <c r="K240" s="8"/>
      <c r="L240" s="8"/>
      <c r="M240" s="8"/>
      <c r="N240" s="10"/>
      <c r="O240" s="8"/>
    </row>
    <row r="241" spans="1:15">
      <c r="A241" s="8"/>
      <c r="B241" s="10"/>
      <c r="C241" s="8"/>
      <c r="D241" s="8"/>
      <c r="E241" s="8"/>
      <c r="F241" s="8"/>
      <c r="G241" s="13"/>
      <c r="H241" s="8"/>
      <c r="I241" s="13"/>
      <c r="J241" s="14" t="str">
        <f t="shared" si="3"/>
        <v/>
      </c>
      <c r="K241" s="8"/>
      <c r="L241" s="8"/>
      <c r="M241" s="8"/>
      <c r="N241" s="10"/>
      <c r="O241" s="8"/>
    </row>
    <row r="242" spans="1:15">
      <c r="A242" s="8"/>
      <c r="B242" s="10"/>
      <c r="C242" s="8"/>
      <c r="D242" s="8"/>
      <c r="E242" s="8"/>
      <c r="F242" s="8"/>
      <c r="G242" s="13"/>
      <c r="H242" s="8"/>
      <c r="I242" s="13"/>
      <c r="J242" s="14" t="str">
        <f t="shared" si="3"/>
        <v/>
      </c>
      <c r="K242" s="8"/>
      <c r="L242" s="8"/>
      <c r="M242" s="8"/>
      <c r="N242" s="10"/>
      <c r="O242" s="8"/>
    </row>
    <row r="243" spans="1:15">
      <c r="A243" s="8"/>
      <c r="B243" s="10"/>
      <c r="C243" s="8"/>
      <c r="D243" s="8"/>
      <c r="E243" s="8"/>
      <c r="F243" s="8"/>
      <c r="G243" s="13"/>
      <c r="H243" s="8"/>
      <c r="I243" s="13"/>
      <c r="J243" s="14" t="str">
        <f t="shared" si="3"/>
        <v/>
      </c>
      <c r="K243" s="8"/>
      <c r="L243" s="8"/>
      <c r="M243" s="8"/>
      <c r="N243" s="10"/>
      <c r="O243" s="8"/>
    </row>
    <row r="244" spans="1:15">
      <c r="A244" s="8"/>
      <c r="B244" s="10"/>
      <c r="C244" s="8"/>
      <c r="D244" s="8"/>
      <c r="E244" s="8"/>
      <c r="F244" s="8"/>
      <c r="G244" s="13"/>
      <c r="H244" s="8"/>
      <c r="I244" s="13"/>
      <c r="J244" s="14" t="str">
        <f t="shared" si="3"/>
        <v/>
      </c>
      <c r="K244" s="8"/>
      <c r="L244" s="8"/>
      <c r="M244" s="8"/>
      <c r="N244" s="10"/>
      <c r="O244" s="8"/>
    </row>
    <row r="245" spans="1:15">
      <c r="A245" s="8"/>
      <c r="B245" s="10"/>
      <c r="C245" s="8"/>
      <c r="D245" s="8"/>
      <c r="E245" s="8"/>
      <c r="F245" s="8"/>
      <c r="G245" s="13"/>
      <c r="H245" s="8"/>
      <c r="I245" s="13"/>
      <c r="J245" s="14" t="str">
        <f t="shared" si="3"/>
        <v/>
      </c>
      <c r="K245" s="8"/>
      <c r="L245" s="8"/>
      <c r="M245" s="8"/>
      <c r="N245" s="10"/>
      <c r="O245" s="8"/>
    </row>
    <row r="246" spans="1:15">
      <c r="A246" s="8"/>
      <c r="B246" s="10"/>
      <c r="C246" s="8"/>
      <c r="D246" s="8"/>
      <c r="E246" s="8"/>
      <c r="F246" s="8"/>
      <c r="G246" s="13"/>
      <c r="H246" s="8"/>
      <c r="I246" s="13"/>
      <c r="J246" s="14" t="str">
        <f t="shared" si="3"/>
        <v/>
      </c>
      <c r="K246" s="8"/>
      <c r="L246" s="8"/>
      <c r="M246" s="8"/>
      <c r="N246" s="10"/>
      <c r="O246" s="8"/>
    </row>
    <row r="247" spans="1:15">
      <c r="A247" s="8"/>
      <c r="B247" s="10"/>
      <c r="C247" s="8"/>
      <c r="D247" s="8"/>
      <c r="E247" s="8"/>
      <c r="F247" s="8"/>
      <c r="G247" s="13"/>
      <c r="H247" s="8"/>
      <c r="I247" s="13"/>
      <c r="J247" s="14" t="str">
        <f t="shared" si="3"/>
        <v/>
      </c>
      <c r="K247" s="8"/>
      <c r="L247" s="8"/>
      <c r="M247" s="8"/>
      <c r="N247" s="10"/>
      <c r="O247" s="8"/>
    </row>
    <row r="248" spans="1:15">
      <c r="A248" s="8"/>
      <c r="B248" s="10"/>
      <c r="C248" s="8"/>
      <c r="D248" s="8"/>
      <c r="E248" s="8"/>
      <c r="F248" s="8"/>
      <c r="G248" s="13"/>
      <c r="H248" s="8"/>
      <c r="I248" s="13"/>
      <c r="J248" s="14" t="str">
        <f t="shared" si="3"/>
        <v/>
      </c>
      <c r="K248" s="8"/>
      <c r="L248" s="8"/>
      <c r="M248" s="8"/>
      <c r="N248" s="10"/>
      <c r="O248" s="8"/>
    </row>
    <row r="249" spans="1:15">
      <c r="A249" s="8"/>
      <c r="B249" s="10"/>
      <c r="C249" s="8"/>
      <c r="D249" s="8"/>
      <c r="E249" s="8"/>
      <c r="F249" s="8"/>
      <c r="G249" s="13"/>
      <c r="H249" s="8"/>
      <c r="I249" s="13"/>
      <c r="J249" s="14" t="str">
        <f t="shared" si="3"/>
        <v/>
      </c>
      <c r="K249" s="8"/>
      <c r="L249" s="8"/>
      <c r="M249" s="8"/>
      <c r="N249" s="10"/>
      <c r="O249" s="8"/>
    </row>
    <row r="250" spans="1:15">
      <c r="A250" s="8"/>
      <c r="B250" s="10"/>
      <c r="C250" s="8"/>
      <c r="D250" s="8"/>
      <c r="E250" s="8"/>
      <c r="F250" s="8"/>
      <c r="G250" s="13"/>
      <c r="H250" s="8"/>
      <c r="I250" s="13"/>
      <c r="J250" s="14" t="str">
        <f t="shared" si="3"/>
        <v/>
      </c>
      <c r="K250" s="8"/>
      <c r="L250" s="8"/>
      <c r="M250" s="8"/>
      <c r="N250" s="10"/>
      <c r="O250" s="8"/>
    </row>
    <row r="251" spans="1:15">
      <c r="A251" s="8"/>
      <c r="B251" s="10"/>
      <c r="C251" s="8"/>
      <c r="D251" s="8"/>
      <c r="E251" s="8"/>
      <c r="F251" s="8"/>
      <c r="G251" s="13"/>
      <c r="H251" s="8"/>
      <c r="I251" s="13"/>
      <c r="J251" s="14" t="str">
        <f t="shared" si="3"/>
        <v/>
      </c>
      <c r="K251" s="8"/>
      <c r="L251" s="8"/>
      <c r="M251" s="8"/>
      <c r="N251" s="10"/>
      <c r="O251" s="8"/>
    </row>
    <row r="252" spans="1:15">
      <c r="A252" s="8"/>
      <c r="B252" s="10"/>
      <c r="C252" s="8"/>
      <c r="D252" s="8"/>
      <c r="E252" s="8"/>
      <c r="F252" s="8"/>
      <c r="G252" s="13"/>
      <c r="H252" s="8"/>
      <c r="I252" s="13"/>
      <c r="J252" s="14" t="str">
        <f t="shared" si="3"/>
        <v/>
      </c>
      <c r="K252" s="8"/>
      <c r="L252" s="8"/>
      <c r="M252" s="8"/>
      <c r="N252" s="10"/>
      <c r="O252" s="8"/>
    </row>
    <row r="253" spans="1:15">
      <c r="A253" s="8"/>
      <c r="B253" s="10"/>
      <c r="C253" s="8"/>
      <c r="D253" s="8"/>
      <c r="E253" s="8"/>
      <c r="F253" s="8"/>
      <c r="G253" s="13"/>
      <c r="H253" s="8"/>
      <c r="I253" s="13"/>
      <c r="J253" s="14" t="str">
        <f t="shared" si="3"/>
        <v/>
      </c>
      <c r="K253" s="8"/>
      <c r="L253" s="8"/>
      <c r="M253" s="8"/>
      <c r="N253" s="10"/>
      <c r="O253" s="8"/>
    </row>
    <row r="254" spans="1:15">
      <c r="A254" s="8"/>
      <c r="B254" s="10"/>
      <c r="C254" s="8"/>
      <c r="D254" s="8"/>
      <c r="E254" s="8"/>
      <c r="F254" s="8"/>
      <c r="G254" s="13"/>
      <c r="H254" s="8"/>
      <c r="I254" s="13"/>
      <c r="J254" s="14" t="str">
        <f t="shared" si="3"/>
        <v/>
      </c>
      <c r="K254" s="8"/>
      <c r="L254" s="8"/>
      <c r="M254" s="8"/>
      <c r="N254" s="10"/>
      <c r="O254" s="8"/>
    </row>
    <row r="255" spans="1:15">
      <c r="A255" s="8"/>
      <c r="B255" s="10"/>
      <c r="C255" s="8"/>
      <c r="D255" s="8"/>
      <c r="E255" s="8"/>
      <c r="F255" s="8"/>
      <c r="G255" s="13"/>
      <c r="H255" s="8"/>
      <c r="I255" s="13"/>
      <c r="J255" s="14" t="str">
        <f t="shared" si="3"/>
        <v/>
      </c>
      <c r="K255" s="8"/>
      <c r="L255" s="8"/>
      <c r="M255" s="8"/>
      <c r="N255" s="10"/>
      <c r="O255" s="8"/>
    </row>
    <row r="256" spans="1:15">
      <c r="A256" s="8"/>
      <c r="B256" s="10"/>
      <c r="C256" s="8"/>
      <c r="D256" s="8"/>
      <c r="E256" s="8"/>
      <c r="F256" s="8"/>
      <c r="G256" s="13"/>
      <c r="H256" s="8"/>
      <c r="I256" s="13"/>
      <c r="J256" s="14" t="str">
        <f t="shared" si="3"/>
        <v/>
      </c>
      <c r="K256" s="8"/>
      <c r="L256" s="8"/>
      <c r="M256" s="8"/>
      <c r="N256" s="10"/>
      <c r="O256" s="8"/>
    </row>
    <row r="257" spans="1:15">
      <c r="A257" s="8"/>
      <c r="B257" s="10"/>
      <c r="C257" s="8"/>
      <c r="D257" s="8"/>
      <c r="E257" s="8"/>
      <c r="F257" s="8"/>
      <c r="G257" s="13"/>
      <c r="H257" s="8"/>
      <c r="I257" s="13"/>
      <c r="J257" s="14" t="str">
        <f t="shared" si="3"/>
        <v/>
      </c>
      <c r="K257" s="8"/>
      <c r="L257" s="8"/>
      <c r="M257" s="8"/>
      <c r="N257" s="10"/>
      <c r="O257" s="8"/>
    </row>
    <row r="258" spans="1:15">
      <c r="A258" s="8"/>
      <c r="B258" s="10"/>
      <c r="C258" s="8"/>
      <c r="D258" s="8"/>
      <c r="E258" s="8"/>
      <c r="F258" s="8"/>
      <c r="G258" s="13"/>
      <c r="H258" s="8"/>
      <c r="I258" s="13"/>
      <c r="J258" s="14" t="str">
        <f t="shared" si="3"/>
        <v/>
      </c>
      <c r="K258" s="8"/>
      <c r="L258" s="8"/>
      <c r="M258" s="8"/>
      <c r="N258" s="10"/>
      <c r="O258" s="8"/>
    </row>
    <row r="259" spans="1:15">
      <c r="A259" s="8"/>
      <c r="B259" s="10"/>
      <c r="C259" s="8"/>
      <c r="D259" s="8"/>
      <c r="E259" s="8"/>
      <c r="F259" s="8"/>
      <c r="G259" s="13"/>
      <c r="H259" s="8"/>
      <c r="I259" s="13"/>
      <c r="J259" s="14" t="str">
        <f t="shared" si="3"/>
        <v/>
      </c>
      <c r="K259" s="8"/>
      <c r="L259" s="8"/>
      <c r="M259" s="8"/>
      <c r="N259" s="10"/>
      <c r="O259" s="8"/>
    </row>
    <row r="260" spans="1:15">
      <c r="A260" s="8"/>
      <c r="B260" s="10"/>
      <c r="C260" s="8"/>
      <c r="D260" s="8"/>
      <c r="E260" s="8"/>
      <c r="F260" s="8"/>
      <c r="G260" s="13"/>
      <c r="H260" s="8"/>
      <c r="I260" s="13"/>
      <c r="J260" s="14" t="str">
        <f t="shared" si="3"/>
        <v/>
      </c>
      <c r="K260" s="8"/>
      <c r="L260" s="8"/>
      <c r="M260" s="8"/>
      <c r="N260" s="10"/>
      <c r="O260" s="8"/>
    </row>
    <row r="261" spans="1:15">
      <c r="A261" s="8"/>
      <c r="B261" s="10"/>
      <c r="C261" s="8"/>
      <c r="D261" s="8"/>
      <c r="E261" s="8"/>
      <c r="F261" s="8"/>
      <c r="G261" s="13"/>
      <c r="H261" s="8"/>
      <c r="I261" s="13"/>
      <c r="J261" s="14" t="str">
        <f t="shared" ref="J261:J324" si="4">IF(A261="","",MAX(0,G261-I261))</f>
        <v/>
      </c>
      <c r="K261" s="8"/>
      <c r="L261" s="8"/>
      <c r="M261" s="8"/>
      <c r="N261" s="10"/>
      <c r="O261" s="8"/>
    </row>
    <row r="262" spans="1:15">
      <c r="A262" s="8"/>
      <c r="B262" s="10"/>
      <c r="C262" s="8"/>
      <c r="D262" s="8"/>
      <c r="E262" s="8"/>
      <c r="F262" s="8"/>
      <c r="G262" s="13"/>
      <c r="H262" s="8"/>
      <c r="I262" s="13"/>
      <c r="J262" s="14" t="str">
        <f t="shared" si="4"/>
        <v/>
      </c>
      <c r="K262" s="8"/>
      <c r="L262" s="8"/>
      <c r="M262" s="8"/>
      <c r="N262" s="10"/>
      <c r="O262" s="8"/>
    </row>
    <row r="263" spans="1:15">
      <c r="A263" s="8"/>
      <c r="B263" s="10"/>
      <c r="C263" s="8"/>
      <c r="D263" s="8"/>
      <c r="E263" s="8"/>
      <c r="F263" s="8"/>
      <c r="G263" s="13"/>
      <c r="H263" s="8"/>
      <c r="I263" s="13"/>
      <c r="J263" s="14" t="str">
        <f t="shared" si="4"/>
        <v/>
      </c>
      <c r="K263" s="8"/>
      <c r="L263" s="8"/>
      <c r="M263" s="8"/>
      <c r="N263" s="10"/>
      <c r="O263" s="8"/>
    </row>
    <row r="264" spans="1:15">
      <c r="A264" s="8"/>
      <c r="B264" s="10"/>
      <c r="C264" s="8"/>
      <c r="D264" s="8"/>
      <c r="E264" s="8"/>
      <c r="F264" s="8"/>
      <c r="G264" s="13"/>
      <c r="H264" s="8"/>
      <c r="I264" s="13"/>
      <c r="J264" s="14" t="str">
        <f t="shared" si="4"/>
        <v/>
      </c>
      <c r="K264" s="8"/>
      <c r="L264" s="8"/>
      <c r="M264" s="8"/>
      <c r="N264" s="10"/>
      <c r="O264" s="8"/>
    </row>
    <row r="265" spans="1:15">
      <c r="A265" s="8"/>
      <c r="B265" s="10"/>
      <c r="C265" s="8"/>
      <c r="D265" s="8"/>
      <c r="E265" s="8"/>
      <c r="F265" s="8"/>
      <c r="G265" s="13"/>
      <c r="H265" s="8"/>
      <c r="I265" s="13"/>
      <c r="J265" s="14" t="str">
        <f t="shared" si="4"/>
        <v/>
      </c>
      <c r="K265" s="8"/>
      <c r="L265" s="8"/>
      <c r="M265" s="8"/>
      <c r="N265" s="10"/>
      <c r="O265" s="8"/>
    </row>
    <row r="266" spans="1:15">
      <c r="A266" s="8"/>
      <c r="B266" s="10"/>
      <c r="C266" s="8"/>
      <c r="D266" s="8"/>
      <c r="E266" s="8"/>
      <c r="F266" s="8"/>
      <c r="G266" s="13"/>
      <c r="H266" s="8"/>
      <c r="I266" s="13"/>
      <c r="J266" s="14" t="str">
        <f t="shared" si="4"/>
        <v/>
      </c>
      <c r="K266" s="8"/>
      <c r="L266" s="8"/>
      <c r="M266" s="8"/>
      <c r="N266" s="10"/>
      <c r="O266" s="8"/>
    </row>
    <row r="267" spans="1:15">
      <c r="A267" s="8"/>
      <c r="B267" s="10"/>
      <c r="C267" s="8"/>
      <c r="D267" s="8"/>
      <c r="E267" s="8"/>
      <c r="F267" s="8"/>
      <c r="G267" s="13"/>
      <c r="H267" s="8"/>
      <c r="I267" s="13"/>
      <c r="J267" s="14" t="str">
        <f t="shared" si="4"/>
        <v/>
      </c>
      <c r="K267" s="8"/>
      <c r="L267" s="8"/>
      <c r="M267" s="8"/>
      <c r="N267" s="10"/>
      <c r="O267" s="8"/>
    </row>
    <row r="268" spans="1:15">
      <c r="A268" s="8"/>
      <c r="B268" s="10"/>
      <c r="C268" s="8"/>
      <c r="D268" s="8"/>
      <c r="E268" s="8"/>
      <c r="F268" s="8"/>
      <c r="G268" s="13"/>
      <c r="H268" s="8"/>
      <c r="I268" s="13"/>
      <c r="J268" s="14" t="str">
        <f t="shared" si="4"/>
        <v/>
      </c>
      <c r="K268" s="8"/>
      <c r="L268" s="8"/>
      <c r="M268" s="8"/>
      <c r="N268" s="10"/>
      <c r="O268" s="8"/>
    </row>
    <row r="269" spans="1:15">
      <c r="A269" s="8"/>
      <c r="B269" s="10"/>
      <c r="C269" s="8"/>
      <c r="D269" s="8"/>
      <c r="E269" s="8"/>
      <c r="F269" s="8"/>
      <c r="G269" s="13"/>
      <c r="H269" s="8"/>
      <c r="I269" s="13"/>
      <c r="J269" s="14" t="str">
        <f t="shared" si="4"/>
        <v/>
      </c>
      <c r="K269" s="8"/>
      <c r="L269" s="8"/>
      <c r="M269" s="8"/>
      <c r="N269" s="10"/>
      <c r="O269" s="8"/>
    </row>
    <row r="270" spans="1:15">
      <c r="A270" s="8"/>
      <c r="B270" s="10"/>
      <c r="C270" s="8"/>
      <c r="D270" s="8"/>
      <c r="E270" s="8"/>
      <c r="F270" s="8"/>
      <c r="G270" s="13"/>
      <c r="H270" s="8"/>
      <c r="I270" s="13"/>
      <c r="J270" s="14" t="str">
        <f t="shared" si="4"/>
        <v/>
      </c>
      <c r="K270" s="8"/>
      <c r="L270" s="8"/>
      <c r="M270" s="8"/>
      <c r="N270" s="10"/>
      <c r="O270" s="8"/>
    </row>
    <row r="271" spans="1:15">
      <c r="A271" s="8"/>
      <c r="B271" s="10"/>
      <c r="C271" s="8"/>
      <c r="D271" s="8"/>
      <c r="E271" s="8"/>
      <c r="F271" s="8"/>
      <c r="G271" s="13"/>
      <c r="H271" s="8"/>
      <c r="I271" s="13"/>
      <c r="J271" s="14" t="str">
        <f t="shared" si="4"/>
        <v/>
      </c>
      <c r="K271" s="8"/>
      <c r="L271" s="8"/>
      <c r="M271" s="8"/>
      <c r="N271" s="10"/>
      <c r="O271" s="8"/>
    </row>
    <row r="272" spans="1:15">
      <c r="A272" s="8"/>
      <c r="B272" s="10"/>
      <c r="C272" s="8"/>
      <c r="D272" s="8"/>
      <c r="E272" s="8"/>
      <c r="F272" s="8"/>
      <c r="G272" s="13"/>
      <c r="H272" s="8"/>
      <c r="I272" s="13"/>
      <c r="J272" s="14" t="str">
        <f t="shared" si="4"/>
        <v/>
      </c>
      <c r="K272" s="8"/>
      <c r="L272" s="8"/>
      <c r="M272" s="8"/>
      <c r="N272" s="10"/>
      <c r="O272" s="8"/>
    </row>
    <row r="273" spans="1:15">
      <c r="A273" s="8"/>
      <c r="B273" s="10"/>
      <c r="C273" s="8"/>
      <c r="D273" s="8"/>
      <c r="E273" s="8"/>
      <c r="F273" s="8"/>
      <c r="G273" s="13"/>
      <c r="H273" s="8"/>
      <c r="I273" s="13"/>
      <c r="J273" s="14" t="str">
        <f t="shared" si="4"/>
        <v/>
      </c>
      <c r="K273" s="8"/>
      <c r="L273" s="8"/>
      <c r="M273" s="8"/>
      <c r="N273" s="10"/>
      <c r="O273" s="8"/>
    </row>
    <row r="274" spans="1:15">
      <c r="A274" s="8"/>
      <c r="B274" s="10"/>
      <c r="C274" s="8"/>
      <c r="D274" s="8"/>
      <c r="E274" s="8"/>
      <c r="F274" s="8"/>
      <c r="G274" s="13"/>
      <c r="H274" s="8"/>
      <c r="I274" s="13"/>
      <c r="J274" s="14" t="str">
        <f t="shared" si="4"/>
        <v/>
      </c>
      <c r="K274" s="8"/>
      <c r="L274" s="8"/>
      <c r="M274" s="8"/>
      <c r="N274" s="10"/>
      <c r="O274" s="8"/>
    </row>
    <row r="275" spans="1:15">
      <c r="A275" s="8"/>
      <c r="B275" s="10"/>
      <c r="C275" s="8"/>
      <c r="D275" s="8"/>
      <c r="E275" s="8"/>
      <c r="F275" s="8"/>
      <c r="G275" s="13"/>
      <c r="H275" s="8"/>
      <c r="I275" s="13"/>
      <c r="J275" s="14" t="str">
        <f t="shared" si="4"/>
        <v/>
      </c>
      <c r="K275" s="8"/>
      <c r="L275" s="8"/>
      <c r="M275" s="8"/>
      <c r="N275" s="10"/>
      <c r="O275" s="8"/>
    </row>
    <row r="276" spans="1:15">
      <c r="A276" s="8"/>
      <c r="B276" s="10"/>
      <c r="C276" s="8"/>
      <c r="D276" s="8"/>
      <c r="E276" s="8"/>
      <c r="F276" s="8"/>
      <c r="G276" s="13"/>
      <c r="H276" s="8"/>
      <c r="I276" s="13"/>
      <c r="J276" s="14" t="str">
        <f t="shared" si="4"/>
        <v/>
      </c>
      <c r="K276" s="8"/>
      <c r="L276" s="8"/>
      <c r="M276" s="8"/>
      <c r="N276" s="10"/>
      <c r="O276" s="8"/>
    </row>
    <row r="277" spans="1:15">
      <c r="A277" s="8"/>
      <c r="B277" s="10"/>
      <c r="C277" s="8"/>
      <c r="D277" s="8"/>
      <c r="E277" s="8"/>
      <c r="F277" s="8"/>
      <c r="G277" s="13"/>
      <c r="H277" s="8"/>
      <c r="I277" s="13"/>
      <c r="J277" s="14" t="str">
        <f t="shared" si="4"/>
        <v/>
      </c>
      <c r="K277" s="8"/>
      <c r="L277" s="8"/>
      <c r="M277" s="8"/>
      <c r="N277" s="10"/>
      <c r="O277" s="8"/>
    </row>
    <row r="278" spans="1:15">
      <c r="A278" s="8"/>
      <c r="B278" s="10"/>
      <c r="C278" s="8"/>
      <c r="D278" s="8"/>
      <c r="E278" s="8"/>
      <c r="F278" s="8"/>
      <c r="G278" s="13"/>
      <c r="H278" s="8"/>
      <c r="I278" s="13"/>
      <c r="J278" s="14" t="str">
        <f t="shared" si="4"/>
        <v/>
      </c>
      <c r="K278" s="8"/>
      <c r="L278" s="8"/>
      <c r="M278" s="8"/>
      <c r="N278" s="10"/>
      <c r="O278" s="8"/>
    </row>
    <row r="279" spans="1:15">
      <c r="A279" s="8"/>
      <c r="B279" s="10"/>
      <c r="C279" s="8"/>
      <c r="D279" s="8"/>
      <c r="E279" s="8"/>
      <c r="F279" s="8"/>
      <c r="G279" s="13"/>
      <c r="H279" s="8"/>
      <c r="I279" s="13"/>
      <c r="J279" s="14" t="str">
        <f t="shared" si="4"/>
        <v/>
      </c>
      <c r="K279" s="8"/>
      <c r="L279" s="8"/>
      <c r="M279" s="8"/>
      <c r="N279" s="10"/>
      <c r="O279" s="8"/>
    </row>
    <row r="280" spans="1:15">
      <c r="A280" s="8"/>
      <c r="B280" s="10"/>
      <c r="C280" s="8"/>
      <c r="D280" s="8"/>
      <c r="E280" s="8"/>
      <c r="F280" s="8"/>
      <c r="G280" s="13"/>
      <c r="H280" s="8"/>
      <c r="I280" s="13"/>
      <c r="J280" s="14" t="str">
        <f t="shared" si="4"/>
        <v/>
      </c>
      <c r="K280" s="8"/>
      <c r="L280" s="8"/>
      <c r="M280" s="8"/>
      <c r="N280" s="10"/>
      <c r="O280" s="8"/>
    </row>
    <row r="281" spans="1:15">
      <c r="A281" s="8"/>
      <c r="B281" s="10"/>
      <c r="C281" s="8"/>
      <c r="D281" s="8"/>
      <c r="E281" s="8"/>
      <c r="F281" s="8"/>
      <c r="G281" s="13"/>
      <c r="H281" s="8"/>
      <c r="I281" s="13"/>
      <c r="J281" s="14" t="str">
        <f t="shared" si="4"/>
        <v/>
      </c>
      <c r="K281" s="8"/>
      <c r="L281" s="8"/>
      <c r="M281" s="8"/>
      <c r="N281" s="10"/>
      <c r="O281" s="8"/>
    </row>
    <row r="282" spans="1:15">
      <c r="A282" s="8"/>
      <c r="B282" s="10"/>
      <c r="C282" s="8"/>
      <c r="D282" s="8"/>
      <c r="E282" s="8"/>
      <c r="F282" s="8"/>
      <c r="G282" s="13"/>
      <c r="H282" s="8"/>
      <c r="I282" s="13"/>
      <c r="J282" s="14" t="str">
        <f t="shared" si="4"/>
        <v/>
      </c>
      <c r="K282" s="8"/>
      <c r="L282" s="8"/>
      <c r="M282" s="8"/>
      <c r="N282" s="10"/>
      <c r="O282" s="8"/>
    </row>
    <row r="283" spans="1:15">
      <c r="A283" s="8"/>
      <c r="B283" s="10"/>
      <c r="C283" s="8"/>
      <c r="D283" s="8"/>
      <c r="E283" s="8"/>
      <c r="F283" s="8"/>
      <c r="G283" s="13"/>
      <c r="H283" s="8"/>
      <c r="I283" s="13"/>
      <c r="J283" s="14" t="str">
        <f t="shared" si="4"/>
        <v/>
      </c>
      <c r="K283" s="8"/>
      <c r="L283" s="8"/>
      <c r="M283" s="8"/>
      <c r="N283" s="10"/>
      <c r="O283" s="8"/>
    </row>
    <row r="284" spans="1:15">
      <c r="A284" s="8"/>
      <c r="B284" s="10"/>
      <c r="C284" s="8"/>
      <c r="D284" s="8"/>
      <c r="E284" s="8"/>
      <c r="F284" s="8"/>
      <c r="G284" s="13"/>
      <c r="H284" s="8"/>
      <c r="I284" s="13"/>
      <c r="J284" s="14" t="str">
        <f t="shared" si="4"/>
        <v/>
      </c>
      <c r="K284" s="8"/>
      <c r="L284" s="8"/>
      <c r="M284" s="8"/>
      <c r="N284" s="10"/>
      <c r="O284" s="8"/>
    </row>
    <row r="285" spans="1:15">
      <c r="A285" s="8"/>
      <c r="B285" s="10"/>
      <c r="C285" s="8"/>
      <c r="D285" s="8"/>
      <c r="E285" s="8"/>
      <c r="F285" s="8"/>
      <c r="G285" s="13"/>
      <c r="H285" s="8"/>
      <c r="I285" s="13"/>
      <c r="J285" s="14" t="str">
        <f t="shared" si="4"/>
        <v/>
      </c>
      <c r="K285" s="8"/>
      <c r="L285" s="8"/>
      <c r="M285" s="8"/>
      <c r="N285" s="10"/>
      <c r="O285" s="8"/>
    </row>
    <row r="286" spans="1:15">
      <c r="A286" s="8"/>
      <c r="B286" s="10"/>
      <c r="C286" s="8"/>
      <c r="D286" s="8"/>
      <c r="E286" s="8"/>
      <c r="F286" s="8"/>
      <c r="G286" s="13"/>
      <c r="H286" s="8"/>
      <c r="I286" s="13"/>
      <c r="J286" s="14" t="str">
        <f t="shared" si="4"/>
        <v/>
      </c>
      <c r="K286" s="8"/>
      <c r="L286" s="8"/>
      <c r="M286" s="8"/>
      <c r="N286" s="10"/>
      <c r="O286" s="8"/>
    </row>
    <row r="287" spans="1:15">
      <c r="A287" s="8"/>
      <c r="B287" s="10"/>
      <c r="C287" s="8"/>
      <c r="D287" s="8"/>
      <c r="E287" s="8"/>
      <c r="F287" s="8"/>
      <c r="G287" s="13"/>
      <c r="H287" s="8"/>
      <c r="I287" s="13"/>
      <c r="J287" s="14" t="str">
        <f t="shared" si="4"/>
        <v/>
      </c>
      <c r="K287" s="8"/>
      <c r="L287" s="8"/>
      <c r="M287" s="8"/>
      <c r="N287" s="10"/>
      <c r="O287" s="8"/>
    </row>
    <row r="288" spans="1:15">
      <c r="A288" s="8"/>
      <c r="B288" s="10"/>
      <c r="C288" s="8"/>
      <c r="D288" s="8"/>
      <c r="E288" s="8"/>
      <c r="F288" s="8"/>
      <c r="G288" s="13"/>
      <c r="H288" s="8"/>
      <c r="I288" s="13"/>
      <c r="J288" s="14" t="str">
        <f t="shared" si="4"/>
        <v/>
      </c>
      <c r="K288" s="8"/>
      <c r="L288" s="8"/>
      <c r="M288" s="8"/>
      <c r="N288" s="10"/>
      <c r="O288" s="8"/>
    </row>
    <row r="289" spans="1:15">
      <c r="A289" s="8"/>
      <c r="B289" s="10"/>
      <c r="C289" s="8"/>
      <c r="D289" s="8"/>
      <c r="E289" s="8"/>
      <c r="F289" s="8"/>
      <c r="G289" s="13"/>
      <c r="H289" s="8"/>
      <c r="I289" s="13"/>
      <c r="J289" s="14" t="str">
        <f t="shared" si="4"/>
        <v/>
      </c>
      <c r="K289" s="8"/>
      <c r="L289" s="8"/>
      <c r="M289" s="8"/>
      <c r="N289" s="10"/>
      <c r="O289" s="8"/>
    </row>
    <row r="290" spans="1:15">
      <c r="A290" s="8"/>
      <c r="B290" s="10"/>
      <c r="C290" s="8"/>
      <c r="D290" s="8"/>
      <c r="E290" s="8"/>
      <c r="F290" s="8"/>
      <c r="G290" s="13"/>
      <c r="H290" s="8"/>
      <c r="I290" s="13"/>
      <c r="J290" s="14" t="str">
        <f t="shared" si="4"/>
        <v/>
      </c>
      <c r="K290" s="8"/>
      <c r="L290" s="8"/>
      <c r="M290" s="8"/>
      <c r="N290" s="10"/>
      <c r="O290" s="8"/>
    </row>
    <row r="291" spans="1:15">
      <c r="A291" s="8"/>
      <c r="B291" s="10"/>
      <c r="C291" s="8"/>
      <c r="D291" s="8"/>
      <c r="E291" s="8"/>
      <c r="F291" s="8"/>
      <c r="G291" s="13"/>
      <c r="H291" s="8"/>
      <c r="I291" s="13"/>
      <c r="J291" s="14" t="str">
        <f t="shared" si="4"/>
        <v/>
      </c>
      <c r="K291" s="8"/>
      <c r="L291" s="8"/>
      <c r="M291" s="8"/>
      <c r="N291" s="10"/>
      <c r="O291" s="8"/>
    </row>
    <row r="292" spans="1:15">
      <c r="A292" s="8"/>
      <c r="B292" s="10"/>
      <c r="C292" s="8"/>
      <c r="D292" s="8"/>
      <c r="E292" s="8"/>
      <c r="F292" s="8"/>
      <c r="G292" s="13"/>
      <c r="H292" s="8"/>
      <c r="I292" s="13"/>
      <c r="J292" s="14" t="str">
        <f t="shared" si="4"/>
        <v/>
      </c>
      <c r="K292" s="8"/>
      <c r="L292" s="8"/>
      <c r="M292" s="8"/>
      <c r="N292" s="10"/>
      <c r="O292" s="8"/>
    </row>
    <row r="293" spans="1:15">
      <c r="A293" s="8"/>
      <c r="B293" s="10"/>
      <c r="C293" s="8"/>
      <c r="D293" s="8"/>
      <c r="E293" s="8"/>
      <c r="F293" s="8"/>
      <c r="G293" s="13"/>
      <c r="H293" s="8"/>
      <c r="I293" s="13"/>
      <c r="J293" s="14" t="str">
        <f t="shared" si="4"/>
        <v/>
      </c>
      <c r="K293" s="8"/>
      <c r="L293" s="8"/>
      <c r="M293" s="8"/>
      <c r="N293" s="10"/>
      <c r="O293" s="8"/>
    </row>
    <row r="294" spans="1:15">
      <c r="A294" s="8"/>
      <c r="B294" s="10"/>
      <c r="C294" s="8"/>
      <c r="D294" s="8"/>
      <c r="E294" s="8"/>
      <c r="F294" s="8"/>
      <c r="G294" s="13"/>
      <c r="H294" s="8"/>
      <c r="I294" s="13"/>
      <c r="J294" s="14" t="str">
        <f t="shared" si="4"/>
        <v/>
      </c>
      <c r="K294" s="8"/>
      <c r="L294" s="8"/>
      <c r="M294" s="8"/>
      <c r="N294" s="10"/>
      <c r="O294" s="8"/>
    </row>
    <row r="295" spans="1:15">
      <c r="A295" s="8"/>
      <c r="B295" s="10"/>
      <c r="C295" s="8"/>
      <c r="D295" s="8"/>
      <c r="E295" s="8"/>
      <c r="F295" s="8"/>
      <c r="G295" s="13"/>
      <c r="H295" s="8"/>
      <c r="I295" s="13"/>
      <c r="J295" s="14" t="str">
        <f t="shared" si="4"/>
        <v/>
      </c>
      <c r="K295" s="8"/>
      <c r="L295" s="8"/>
      <c r="M295" s="8"/>
      <c r="N295" s="10"/>
      <c r="O295" s="8"/>
    </row>
    <row r="296" spans="1:15">
      <c r="A296" s="8"/>
      <c r="B296" s="10"/>
      <c r="C296" s="8"/>
      <c r="D296" s="8"/>
      <c r="E296" s="8"/>
      <c r="F296" s="8"/>
      <c r="G296" s="13"/>
      <c r="H296" s="8"/>
      <c r="I296" s="13"/>
      <c r="J296" s="14" t="str">
        <f t="shared" si="4"/>
        <v/>
      </c>
      <c r="K296" s="8"/>
      <c r="L296" s="8"/>
      <c r="M296" s="8"/>
      <c r="N296" s="10"/>
      <c r="O296" s="8"/>
    </row>
    <row r="297" spans="1:15">
      <c r="A297" s="8"/>
      <c r="B297" s="10"/>
      <c r="C297" s="8"/>
      <c r="D297" s="8"/>
      <c r="E297" s="8"/>
      <c r="F297" s="8"/>
      <c r="G297" s="13"/>
      <c r="H297" s="8"/>
      <c r="I297" s="13"/>
      <c r="J297" s="14" t="str">
        <f t="shared" si="4"/>
        <v/>
      </c>
      <c r="K297" s="8"/>
      <c r="L297" s="8"/>
      <c r="M297" s="8"/>
      <c r="N297" s="10"/>
      <c r="O297" s="8"/>
    </row>
    <row r="298" spans="1:15">
      <c r="A298" s="8"/>
      <c r="B298" s="10"/>
      <c r="C298" s="8"/>
      <c r="D298" s="8"/>
      <c r="E298" s="8"/>
      <c r="F298" s="8"/>
      <c r="G298" s="13"/>
      <c r="H298" s="8"/>
      <c r="I298" s="13"/>
      <c r="J298" s="14" t="str">
        <f t="shared" si="4"/>
        <v/>
      </c>
      <c r="K298" s="8"/>
      <c r="L298" s="8"/>
      <c r="M298" s="8"/>
      <c r="N298" s="10"/>
      <c r="O298" s="8"/>
    </row>
    <row r="299" spans="1:15">
      <c r="A299" s="8"/>
      <c r="B299" s="10"/>
      <c r="C299" s="8"/>
      <c r="D299" s="8"/>
      <c r="E299" s="8"/>
      <c r="F299" s="8"/>
      <c r="G299" s="13"/>
      <c r="H299" s="8"/>
      <c r="I299" s="13"/>
      <c r="J299" s="14" t="str">
        <f t="shared" si="4"/>
        <v/>
      </c>
      <c r="K299" s="8"/>
      <c r="L299" s="8"/>
      <c r="M299" s="8"/>
      <c r="N299" s="10"/>
      <c r="O299" s="8"/>
    </row>
    <row r="300" spans="1:15">
      <c r="A300" s="8"/>
      <c r="B300" s="10"/>
      <c r="C300" s="8"/>
      <c r="D300" s="8"/>
      <c r="E300" s="8"/>
      <c r="F300" s="8"/>
      <c r="G300" s="13"/>
      <c r="H300" s="8"/>
      <c r="I300" s="13"/>
      <c r="J300" s="14" t="str">
        <f t="shared" si="4"/>
        <v/>
      </c>
      <c r="K300" s="8"/>
      <c r="L300" s="8"/>
      <c r="M300" s="8"/>
      <c r="N300" s="10"/>
      <c r="O300" s="8"/>
    </row>
    <row r="301" spans="1:15">
      <c r="A301" s="8"/>
      <c r="B301" s="10"/>
      <c r="C301" s="8"/>
      <c r="D301" s="8"/>
      <c r="E301" s="8"/>
      <c r="F301" s="8"/>
      <c r="G301" s="13"/>
      <c r="H301" s="8"/>
      <c r="I301" s="13"/>
      <c r="J301" s="14" t="str">
        <f t="shared" si="4"/>
        <v/>
      </c>
      <c r="K301" s="8"/>
      <c r="L301" s="8"/>
      <c r="M301" s="8"/>
      <c r="N301" s="10"/>
      <c r="O301" s="8"/>
    </row>
    <row r="302" spans="1:15">
      <c r="A302" s="8"/>
      <c r="B302" s="10"/>
      <c r="C302" s="8"/>
      <c r="D302" s="8"/>
      <c r="E302" s="8"/>
      <c r="F302" s="8"/>
      <c r="G302" s="13"/>
      <c r="H302" s="8"/>
      <c r="I302" s="13"/>
      <c r="J302" s="14" t="str">
        <f t="shared" si="4"/>
        <v/>
      </c>
      <c r="K302" s="8"/>
      <c r="L302" s="8"/>
      <c r="M302" s="8"/>
      <c r="N302" s="10"/>
      <c r="O302" s="8"/>
    </row>
    <row r="303" spans="1:15">
      <c r="A303" s="8"/>
      <c r="B303" s="10"/>
      <c r="C303" s="8"/>
      <c r="D303" s="8"/>
      <c r="E303" s="8"/>
      <c r="F303" s="8"/>
      <c r="G303" s="13"/>
      <c r="H303" s="8"/>
      <c r="I303" s="13"/>
      <c r="J303" s="14" t="str">
        <f t="shared" si="4"/>
        <v/>
      </c>
      <c r="K303" s="8"/>
      <c r="L303" s="8"/>
      <c r="M303" s="8"/>
      <c r="N303" s="10"/>
      <c r="O303" s="8"/>
    </row>
    <row r="304" spans="1:15">
      <c r="A304" s="8"/>
      <c r="B304" s="10"/>
      <c r="C304" s="8"/>
      <c r="D304" s="8"/>
      <c r="E304" s="8"/>
      <c r="F304" s="8"/>
      <c r="G304" s="13"/>
      <c r="H304" s="8"/>
      <c r="I304" s="13"/>
      <c r="J304" s="14" t="str">
        <f t="shared" si="4"/>
        <v/>
      </c>
      <c r="K304" s="8"/>
      <c r="L304" s="8"/>
      <c r="M304" s="8"/>
      <c r="N304" s="10"/>
      <c r="O304" s="8"/>
    </row>
  </sheetData>
  <mergeCells count="2">
    <mergeCell ref="A1:O1"/>
    <mergeCell ref="A2:O2"/>
  </mergeCells>
  <conditionalFormatting sqref="A5:A304">
    <cfRule type="duplicateValues" dxfId="68" priority="9"/>
  </conditionalFormatting>
  <conditionalFormatting sqref="K5:K304">
    <cfRule type="containsText" dxfId="67" priority="1" operator="containsText" text="Approved"/>
    <cfRule type="containsText" dxfId="66" priority="4" operator="containsText" text="Failed"/>
    <cfRule type="containsText" dxfId="65" priority="7" operator="containsText" text="On Hold"/>
  </conditionalFormatting>
  <dataValidations count="2">
    <dataValidation type="list" sqref="H5:H304" xr:uid="{00000000-0002-0000-1000-000000000000}">
      <formula1>"Yards,Meters,Kilograms,Pounds,Rolls"</formula1>
    </dataValidation>
    <dataValidation type="list" sqref="K5:K304" xr:uid="{00000000-0002-0000-1000-000001000000}">
      <formula1>"Pending,Approved,Partially Released,Fully Released,Cancelled"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04"/>
  <sheetViews>
    <sheetView showGridLines="0" workbookViewId="0">
      <selection sqref="A1:W1"/>
    </sheetView>
  </sheetViews>
  <sheetFormatPr baseColWidth="10" defaultColWidth="8.83203125" defaultRowHeight="14"/>
  <cols>
    <col min="1" max="1" width="16" customWidth="1"/>
    <col min="2" max="3" width="14" customWidth="1"/>
    <col min="4" max="4" width="18" customWidth="1"/>
    <col min="5" max="6" width="13" customWidth="1"/>
    <col min="7" max="7" width="17" customWidth="1"/>
    <col min="8" max="9" width="14" customWidth="1"/>
    <col min="10" max="10" width="16" customWidth="1"/>
    <col min="11" max="11" width="11" customWidth="1"/>
    <col min="12" max="12" width="14" customWidth="1"/>
    <col min="13" max="13" width="15" customWidth="1"/>
    <col min="14" max="15" width="14" customWidth="1"/>
    <col min="16" max="16" width="18" customWidth="1"/>
    <col min="17" max="17" width="17" customWidth="1"/>
    <col min="18" max="18" width="16" customWidth="1"/>
    <col min="19" max="19" width="17" customWidth="1"/>
    <col min="20" max="20" width="18" customWidth="1"/>
    <col min="21" max="22" width="15" customWidth="1"/>
    <col min="23" max="23" width="24" customWidth="1"/>
  </cols>
  <sheetData>
    <row r="1" spans="1:23" ht="30" customHeight="1">
      <c r="A1" s="52" t="s">
        <v>279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4" spans="1:23" ht="44" customHeight="1">
      <c r="A4" s="6" t="s">
        <v>280</v>
      </c>
      <c r="B4" s="6" t="s">
        <v>281</v>
      </c>
      <c r="C4" s="6" t="s">
        <v>44</v>
      </c>
      <c r="D4" s="6" t="s">
        <v>118</v>
      </c>
      <c r="E4" s="6" t="s">
        <v>45</v>
      </c>
      <c r="F4" s="6" t="s">
        <v>46</v>
      </c>
      <c r="G4" s="6" t="s">
        <v>104</v>
      </c>
      <c r="H4" s="6" t="s">
        <v>136</v>
      </c>
      <c r="I4" s="6" t="s">
        <v>191</v>
      </c>
      <c r="J4" s="6" t="s">
        <v>268</v>
      </c>
      <c r="K4" s="6" t="s">
        <v>109</v>
      </c>
      <c r="L4" s="6" t="s">
        <v>282</v>
      </c>
      <c r="M4" s="6" t="s">
        <v>283</v>
      </c>
      <c r="N4" s="6" t="s">
        <v>284</v>
      </c>
      <c r="O4" s="6" t="s">
        <v>285</v>
      </c>
      <c r="P4" s="6" t="s">
        <v>286</v>
      </c>
      <c r="Q4" s="6" t="s">
        <v>269</v>
      </c>
      <c r="R4" s="6" t="s">
        <v>287</v>
      </c>
      <c r="S4" s="6" t="s">
        <v>288</v>
      </c>
      <c r="T4" s="6" t="s">
        <v>289</v>
      </c>
      <c r="U4" s="6" t="s">
        <v>100</v>
      </c>
      <c r="V4" s="6" t="s">
        <v>63</v>
      </c>
      <c r="W4" s="6" t="s">
        <v>101</v>
      </c>
    </row>
    <row r="5" spans="1:23">
      <c r="A5" s="8"/>
      <c r="B5" s="10"/>
      <c r="C5" s="8"/>
      <c r="D5" s="8"/>
      <c r="E5" s="8"/>
      <c r="F5" s="8"/>
      <c r="G5" s="8"/>
      <c r="H5" s="8"/>
      <c r="I5" s="8"/>
      <c r="J5" s="13"/>
      <c r="K5" s="8"/>
      <c r="L5" s="13"/>
      <c r="M5" s="8"/>
      <c r="N5" s="8"/>
      <c r="O5" s="8"/>
      <c r="P5" s="8"/>
      <c r="Q5" s="13"/>
      <c r="R5" s="13"/>
      <c r="S5" s="14" t="str">
        <f t="shared" ref="S5:S68" si="0">IF(A5="","",MAX(0,J5-Q5))</f>
        <v/>
      </c>
      <c r="T5" s="8"/>
      <c r="U5" s="8"/>
      <c r="V5" s="10"/>
      <c r="W5" s="8"/>
    </row>
    <row r="6" spans="1:23">
      <c r="A6" s="8"/>
      <c r="B6" s="10"/>
      <c r="C6" s="8"/>
      <c r="D6" s="8"/>
      <c r="E6" s="8"/>
      <c r="F6" s="8"/>
      <c r="G6" s="8"/>
      <c r="H6" s="8"/>
      <c r="I6" s="8"/>
      <c r="J6" s="13"/>
      <c r="K6" s="8"/>
      <c r="L6" s="13"/>
      <c r="M6" s="8"/>
      <c r="N6" s="8"/>
      <c r="O6" s="8"/>
      <c r="P6" s="8"/>
      <c r="Q6" s="13"/>
      <c r="R6" s="13"/>
      <c r="S6" s="14" t="str">
        <f t="shared" si="0"/>
        <v/>
      </c>
      <c r="T6" s="8"/>
      <c r="U6" s="8"/>
      <c r="V6" s="10"/>
      <c r="W6" s="8"/>
    </row>
    <row r="7" spans="1:23">
      <c r="A7" s="8"/>
      <c r="B7" s="10"/>
      <c r="C7" s="8"/>
      <c r="D7" s="8"/>
      <c r="E7" s="8"/>
      <c r="F7" s="8"/>
      <c r="G7" s="8"/>
      <c r="H7" s="8"/>
      <c r="I7" s="8"/>
      <c r="J7" s="13"/>
      <c r="K7" s="8"/>
      <c r="L7" s="13"/>
      <c r="M7" s="8"/>
      <c r="N7" s="8"/>
      <c r="O7" s="8"/>
      <c r="P7" s="8"/>
      <c r="Q7" s="13"/>
      <c r="R7" s="13"/>
      <c r="S7" s="14" t="str">
        <f t="shared" si="0"/>
        <v/>
      </c>
      <c r="T7" s="8"/>
      <c r="U7" s="8"/>
      <c r="V7" s="10"/>
      <c r="W7" s="8"/>
    </row>
    <row r="8" spans="1:23">
      <c r="A8" s="8"/>
      <c r="B8" s="10"/>
      <c r="C8" s="8"/>
      <c r="D8" s="8"/>
      <c r="E8" s="8"/>
      <c r="F8" s="8"/>
      <c r="G8" s="8"/>
      <c r="H8" s="8"/>
      <c r="I8" s="8"/>
      <c r="J8" s="13"/>
      <c r="K8" s="8"/>
      <c r="L8" s="13"/>
      <c r="M8" s="8"/>
      <c r="N8" s="8"/>
      <c r="O8" s="8"/>
      <c r="P8" s="8"/>
      <c r="Q8" s="13"/>
      <c r="R8" s="13"/>
      <c r="S8" s="14" t="str">
        <f t="shared" si="0"/>
        <v/>
      </c>
      <c r="T8" s="8"/>
      <c r="U8" s="8"/>
      <c r="V8" s="10"/>
      <c r="W8" s="8"/>
    </row>
    <row r="9" spans="1:23">
      <c r="A9" s="8"/>
      <c r="B9" s="10"/>
      <c r="C9" s="8"/>
      <c r="D9" s="8"/>
      <c r="E9" s="8"/>
      <c r="F9" s="8"/>
      <c r="G9" s="8"/>
      <c r="H9" s="8"/>
      <c r="I9" s="8"/>
      <c r="J9" s="13"/>
      <c r="K9" s="8"/>
      <c r="L9" s="13"/>
      <c r="M9" s="8"/>
      <c r="N9" s="8"/>
      <c r="O9" s="8"/>
      <c r="P9" s="8"/>
      <c r="Q9" s="13"/>
      <c r="R9" s="13"/>
      <c r="S9" s="14" t="str">
        <f t="shared" si="0"/>
        <v/>
      </c>
      <c r="T9" s="8"/>
      <c r="U9" s="8"/>
      <c r="V9" s="10"/>
      <c r="W9" s="8"/>
    </row>
    <row r="10" spans="1:23">
      <c r="A10" s="8"/>
      <c r="B10" s="10"/>
      <c r="C10" s="8"/>
      <c r="D10" s="8"/>
      <c r="E10" s="8"/>
      <c r="F10" s="8"/>
      <c r="G10" s="8"/>
      <c r="H10" s="8"/>
      <c r="I10" s="8"/>
      <c r="J10" s="13"/>
      <c r="K10" s="8"/>
      <c r="L10" s="13"/>
      <c r="M10" s="8"/>
      <c r="N10" s="8"/>
      <c r="O10" s="8"/>
      <c r="P10" s="8"/>
      <c r="Q10" s="13"/>
      <c r="R10" s="13"/>
      <c r="S10" s="14" t="str">
        <f t="shared" si="0"/>
        <v/>
      </c>
      <c r="T10" s="8"/>
      <c r="U10" s="8"/>
      <c r="V10" s="10"/>
      <c r="W10" s="8"/>
    </row>
    <row r="11" spans="1:23">
      <c r="A11" s="8"/>
      <c r="B11" s="10"/>
      <c r="C11" s="8"/>
      <c r="D11" s="8"/>
      <c r="E11" s="8"/>
      <c r="F11" s="8"/>
      <c r="G11" s="8"/>
      <c r="H11" s="8"/>
      <c r="I11" s="8"/>
      <c r="J11" s="13"/>
      <c r="K11" s="8"/>
      <c r="L11" s="13"/>
      <c r="M11" s="8"/>
      <c r="N11" s="8"/>
      <c r="O11" s="8"/>
      <c r="P11" s="8"/>
      <c r="Q11" s="13"/>
      <c r="R11" s="13"/>
      <c r="S11" s="14" t="str">
        <f t="shared" si="0"/>
        <v/>
      </c>
      <c r="T11" s="8"/>
      <c r="U11" s="8"/>
      <c r="V11" s="10"/>
      <c r="W11" s="8"/>
    </row>
    <row r="12" spans="1:23">
      <c r="A12" s="8"/>
      <c r="B12" s="10"/>
      <c r="C12" s="8"/>
      <c r="D12" s="8"/>
      <c r="E12" s="8"/>
      <c r="F12" s="8"/>
      <c r="G12" s="8"/>
      <c r="H12" s="8"/>
      <c r="I12" s="8"/>
      <c r="J12" s="13"/>
      <c r="K12" s="8"/>
      <c r="L12" s="13"/>
      <c r="M12" s="8"/>
      <c r="N12" s="8"/>
      <c r="O12" s="8"/>
      <c r="P12" s="8"/>
      <c r="Q12" s="13"/>
      <c r="R12" s="13"/>
      <c r="S12" s="14" t="str">
        <f t="shared" si="0"/>
        <v/>
      </c>
      <c r="T12" s="8"/>
      <c r="U12" s="8"/>
      <c r="V12" s="10"/>
      <c r="W12" s="8"/>
    </row>
    <row r="13" spans="1:23">
      <c r="A13" s="8"/>
      <c r="B13" s="10"/>
      <c r="C13" s="8"/>
      <c r="D13" s="8"/>
      <c r="E13" s="8"/>
      <c r="F13" s="8"/>
      <c r="G13" s="8"/>
      <c r="H13" s="8"/>
      <c r="I13" s="8"/>
      <c r="J13" s="13"/>
      <c r="K13" s="8"/>
      <c r="L13" s="13"/>
      <c r="M13" s="8"/>
      <c r="N13" s="8"/>
      <c r="O13" s="8"/>
      <c r="P13" s="8"/>
      <c r="Q13" s="13"/>
      <c r="R13" s="13"/>
      <c r="S13" s="14" t="str">
        <f t="shared" si="0"/>
        <v/>
      </c>
      <c r="T13" s="8"/>
      <c r="U13" s="8"/>
      <c r="V13" s="10"/>
      <c r="W13" s="8"/>
    </row>
    <row r="14" spans="1:23">
      <c r="A14" s="8"/>
      <c r="B14" s="10"/>
      <c r="C14" s="8"/>
      <c r="D14" s="8"/>
      <c r="E14" s="8"/>
      <c r="F14" s="8"/>
      <c r="G14" s="8"/>
      <c r="H14" s="8"/>
      <c r="I14" s="8"/>
      <c r="J14" s="13"/>
      <c r="K14" s="8"/>
      <c r="L14" s="13"/>
      <c r="M14" s="8"/>
      <c r="N14" s="8"/>
      <c r="O14" s="8"/>
      <c r="P14" s="8"/>
      <c r="Q14" s="13"/>
      <c r="R14" s="13"/>
      <c r="S14" s="14" t="str">
        <f t="shared" si="0"/>
        <v/>
      </c>
      <c r="T14" s="8"/>
      <c r="U14" s="8"/>
      <c r="V14" s="10"/>
      <c r="W14" s="8"/>
    </row>
    <row r="15" spans="1:23">
      <c r="A15" s="8"/>
      <c r="B15" s="10"/>
      <c r="C15" s="8"/>
      <c r="D15" s="8"/>
      <c r="E15" s="8"/>
      <c r="F15" s="8"/>
      <c r="G15" s="8"/>
      <c r="H15" s="8"/>
      <c r="I15" s="8"/>
      <c r="J15" s="13"/>
      <c r="K15" s="8"/>
      <c r="L15" s="13"/>
      <c r="M15" s="8"/>
      <c r="N15" s="8"/>
      <c r="O15" s="8"/>
      <c r="P15" s="8"/>
      <c r="Q15" s="13"/>
      <c r="R15" s="13"/>
      <c r="S15" s="14" t="str">
        <f t="shared" si="0"/>
        <v/>
      </c>
      <c r="T15" s="8"/>
      <c r="U15" s="8"/>
      <c r="V15" s="10"/>
      <c r="W15" s="8"/>
    </row>
    <row r="16" spans="1:23">
      <c r="A16" s="8"/>
      <c r="B16" s="10"/>
      <c r="C16" s="8"/>
      <c r="D16" s="8"/>
      <c r="E16" s="8"/>
      <c r="F16" s="8"/>
      <c r="G16" s="8"/>
      <c r="H16" s="8"/>
      <c r="I16" s="8"/>
      <c r="J16" s="13"/>
      <c r="K16" s="8"/>
      <c r="L16" s="13"/>
      <c r="M16" s="8"/>
      <c r="N16" s="8"/>
      <c r="O16" s="8"/>
      <c r="P16" s="8"/>
      <c r="Q16" s="13"/>
      <c r="R16" s="13"/>
      <c r="S16" s="14" t="str">
        <f t="shared" si="0"/>
        <v/>
      </c>
      <c r="T16" s="8"/>
      <c r="U16" s="8"/>
      <c r="V16" s="10"/>
      <c r="W16" s="8"/>
    </row>
    <row r="17" spans="1:23">
      <c r="A17" s="8"/>
      <c r="B17" s="10"/>
      <c r="C17" s="8"/>
      <c r="D17" s="8"/>
      <c r="E17" s="8"/>
      <c r="F17" s="8"/>
      <c r="G17" s="8"/>
      <c r="H17" s="8"/>
      <c r="I17" s="8"/>
      <c r="J17" s="13"/>
      <c r="K17" s="8"/>
      <c r="L17" s="13"/>
      <c r="M17" s="8"/>
      <c r="N17" s="8"/>
      <c r="O17" s="8"/>
      <c r="P17" s="8"/>
      <c r="Q17" s="13"/>
      <c r="R17" s="13"/>
      <c r="S17" s="14" t="str">
        <f t="shared" si="0"/>
        <v/>
      </c>
      <c r="T17" s="8"/>
      <c r="U17" s="8"/>
      <c r="V17" s="10"/>
      <c r="W17" s="8"/>
    </row>
    <row r="18" spans="1:23">
      <c r="A18" s="8"/>
      <c r="B18" s="10"/>
      <c r="C18" s="8"/>
      <c r="D18" s="8"/>
      <c r="E18" s="8"/>
      <c r="F18" s="8"/>
      <c r="G18" s="8"/>
      <c r="H18" s="8"/>
      <c r="I18" s="8"/>
      <c r="J18" s="13"/>
      <c r="K18" s="8"/>
      <c r="L18" s="13"/>
      <c r="M18" s="8"/>
      <c r="N18" s="8"/>
      <c r="O18" s="8"/>
      <c r="P18" s="8"/>
      <c r="Q18" s="13"/>
      <c r="R18" s="13"/>
      <c r="S18" s="14" t="str">
        <f t="shared" si="0"/>
        <v/>
      </c>
      <c r="T18" s="8"/>
      <c r="U18" s="8"/>
      <c r="V18" s="10"/>
      <c r="W18" s="8"/>
    </row>
    <row r="19" spans="1:23">
      <c r="A19" s="8"/>
      <c r="B19" s="10"/>
      <c r="C19" s="8"/>
      <c r="D19" s="8"/>
      <c r="E19" s="8"/>
      <c r="F19" s="8"/>
      <c r="G19" s="8"/>
      <c r="H19" s="8"/>
      <c r="I19" s="8"/>
      <c r="J19" s="13"/>
      <c r="K19" s="8"/>
      <c r="L19" s="13"/>
      <c r="M19" s="8"/>
      <c r="N19" s="8"/>
      <c r="O19" s="8"/>
      <c r="P19" s="8"/>
      <c r="Q19" s="13"/>
      <c r="R19" s="13"/>
      <c r="S19" s="14" t="str">
        <f t="shared" si="0"/>
        <v/>
      </c>
      <c r="T19" s="8"/>
      <c r="U19" s="8"/>
      <c r="V19" s="10"/>
      <c r="W19" s="8"/>
    </row>
    <row r="20" spans="1:23">
      <c r="A20" s="8"/>
      <c r="B20" s="10"/>
      <c r="C20" s="8"/>
      <c r="D20" s="8"/>
      <c r="E20" s="8"/>
      <c r="F20" s="8"/>
      <c r="G20" s="8"/>
      <c r="H20" s="8"/>
      <c r="I20" s="8"/>
      <c r="J20" s="13"/>
      <c r="K20" s="8"/>
      <c r="L20" s="13"/>
      <c r="M20" s="8"/>
      <c r="N20" s="8"/>
      <c r="O20" s="8"/>
      <c r="P20" s="8"/>
      <c r="Q20" s="13"/>
      <c r="R20" s="13"/>
      <c r="S20" s="14" t="str">
        <f t="shared" si="0"/>
        <v/>
      </c>
      <c r="T20" s="8"/>
      <c r="U20" s="8"/>
      <c r="V20" s="10"/>
      <c r="W20" s="8"/>
    </row>
    <row r="21" spans="1:23">
      <c r="A21" s="8"/>
      <c r="B21" s="10"/>
      <c r="C21" s="8"/>
      <c r="D21" s="8"/>
      <c r="E21" s="8"/>
      <c r="F21" s="8"/>
      <c r="G21" s="8"/>
      <c r="H21" s="8"/>
      <c r="I21" s="8"/>
      <c r="J21" s="13"/>
      <c r="K21" s="8"/>
      <c r="L21" s="13"/>
      <c r="M21" s="8"/>
      <c r="N21" s="8"/>
      <c r="O21" s="8"/>
      <c r="P21" s="8"/>
      <c r="Q21" s="13"/>
      <c r="R21" s="13"/>
      <c r="S21" s="14" t="str">
        <f t="shared" si="0"/>
        <v/>
      </c>
      <c r="T21" s="8"/>
      <c r="U21" s="8"/>
      <c r="V21" s="10"/>
      <c r="W21" s="8"/>
    </row>
    <row r="22" spans="1:23">
      <c r="A22" s="8"/>
      <c r="B22" s="10"/>
      <c r="C22" s="8"/>
      <c r="D22" s="8"/>
      <c r="E22" s="8"/>
      <c r="F22" s="8"/>
      <c r="G22" s="8"/>
      <c r="H22" s="8"/>
      <c r="I22" s="8"/>
      <c r="J22" s="13"/>
      <c r="K22" s="8"/>
      <c r="L22" s="13"/>
      <c r="M22" s="8"/>
      <c r="N22" s="8"/>
      <c r="O22" s="8"/>
      <c r="P22" s="8"/>
      <c r="Q22" s="13"/>
      <c r="R22" s="13"/>
      <c r="S22" s="14" t="str">
        <f t="shared" si="0"/>
        <v/>
      </c>
      <c r="T22" s="8"/>
      <c r="U22" s="8"/>
      <c r="V22" s="10"/>
      <c r="W22" s="8"/>
    </row>
    <row r="23" spans="1:23">
      <c r="A23" s="8"/>
      <c r="B23" s="10"/>
      <c r="C23" s="8"/>
      <c r="D23" s="8"/>
      <c r="E23" s="8"/>
      <c r="F23" s="8"/>
      <c r="G23" s="8"/>
      <c r="H23" s="8"/>
      <c r="I23" s="8"/>
      <c r="J23" s="13"/>
      <c r="K23" s="8"/>
      <c r="L23" s="13"/>
      <c r="M23" s="8"/>
      <c r="N23" s="8"/>
      <c r="O23" s="8"/>
      <c r="P23" s="8"/>
      <c r="Q23" s="13"/>
      <c r="R23" s="13"/>
      <c r="S23" s="14" t="str">
        <f t="shared" si="0"/>
        <v/>
      </c>
      <c r="T23" s="8"/>
      <c r="U23" s="8"/>
      <c r="V23" s="10"/>
      <c r="W23" s="8"/>
    </row>
    <row r="24" spans="1:23">
      <c r="A24" s="8"/>
      <c r="B24" s="10"/>
      <c r="C24" s="8"/>
      <c r="D24" s="8"/>
      <c r="E24" s="8"/>
      <c r="F24" s="8"/>
      <c r="G24" s="8"/>
      <c r="H24" s="8"/>
      <c r="I24" s="8"/>
      <c r="J24" s="13"/>
      <c r="K24" s="8"/>
      <c r="L24" s="13"/>
      <c r="M24" s="8"/>
      <c r="N24" s="8"/>
      <c r="O24" s="8"/>
      <c r="P24" s="8"/>
      <c r="Q24" s="13"/>
      <c r="R24" s="13"/>
      <c r="S24" s="14" t="str">
        <f t="shared" si="0"/>
        <v/>
      </c>
      <c r="T24" s="8"/>
      <c r="U24" s="8"/>
      <c r="V24" s="10"/>
      <c r="W24" s="8"/>
    </row>
    <row r="25" spans="1:23">
      <c r="A25" s="8"/>
      <c r="B25" s="10"/>
      <c r="C25" s="8"/>
      <c r="D25" s="8"/>
      <c r="E25" s="8"/>
      <c r="F25" s="8"/>
      <c r="G25" s="8"/>
      <c r="H25" s="8"/>
      <c r="I25" s="8"/>
      <c r="J25" s="13"/>
      <c r="K25" s="8"/>
      <c r="L25" s="13"/>
      <c r="M25" s="8"/>
      <c r="N25" s="8"/>
      <c r="O25" s="8"/>
      <c r="P25" s="8"/>
      <c r="Q25" s="13"/>
      <c r="R25" s="13"/>
      <c r="S25" s="14" t="str">
        <f t="shared" si="0"/>
        <v/>
      </c>
      <c r="T25" s="8"/>
      <c r="U25" s="8"/>
      <c r="V25" s="10"/>
      <c r="W25" s="8"/>
    </row>
    <row r="26" spans="1:23">
      <c r="A26" s="8"/>
      <c r="B26" s="10"/>
      <c r="C26" s="8"/>
      <c r="D26" s="8"/>
      <c r="E26" s="8"/>
      <c r="F26" s="8"/>
      <c r="G26" s="8"/>
      <c r="H26" s="8"/>
      <c r="I26" s="8"/>
      <c r="J26" s="13"/>
      <c r="K26" s="8"/>
      <c r="L26" s="13"/>
      <c r="M26" s="8"/>
      <c r="N26" s="8"/>
      <c r="O26" s="8"/>
      <c r="P26" s="8"/>
      <c r="Q26" s="13"/>
      <c r="R26" s="13"/>
      <c r="S26" s="14" t="str">
        <f t="shared" si="0"/>
        <v/>
      </c>
      <c r="T26" s="8"/>
      <c r="U26" s="8"/>
      <c r="V26" s="10"/>
      <c r="W26" s="8"/>
    </row>
    <row r="27" spans="1:23">
      <c r="A27" s="8"/>
      <c r="B27" s="10"/>
      <c r="C27" s="8"/>
      <c r="D27" s="8"/>
      <c r="E27" s="8"/>
      <c r="F27" s="8"/>
      <c r="G27" s="8"/>
      <c r="H27" s="8"/>
      <c r="I27" s="8"/>
      <c r="J27" s="13"/>
      <c r="K27" s="8"/>
      <c r="L27" s="13"/>
      <c r="M27" s="8"/>
      <c r="N27" s="8"/>
      <c r="O27" s="8"/>
      <c r="P27" s="8"/>
      <c r="Q27" s="13"/>
      <c r="R27" s="13"/>
      <c r="S27" s="14" t="str">
        <f t="shared" si="0"/>
        <v/>
      </c>
      <c r="T27" s="8"/>
      <c r="U27" s="8"/>
      <c r="V27" s="10"/>
      <c r="W27" s="8"/>
    </row>
    <row r="28" spans="1:23">
      <c r="A28" s="8"/>
      <c r="B28" s="10"/>
      <c r="C28" s="8"/>
      <c r="D28" s="8"/>
      <c r="E28" s="8"/>
      <c r="F28" s="8"/>
      <c r="G28" s="8"/>
      <c r="H28" s="8"/>
      <c r="I28" s="8"/>
      <c r="J28" s="13"/>
      <c r="K28" s="8"/>
      <c r="L28" s="13"/>
      <c r="M28" s="8"/>
      <c r="N28" s="8"/>
      <c r="O28" s="8"/>
      <c r="P28" s="8"/>
      <c r="Q28" s="13"/>
      <c r="R28" s="13"/>
      <c r="S28" s="14" t="str">
        <f t="shared" si="0"/>
        <v/>
      </c>
      <c r="T28" s="8"/>
      <c r="U28" s="8"/>
      <c r="V28" s="10"/>
      <c r="W28" s="8"/>
    </row>
    <row r="29" spans="1:23">
      <c r="A29" s="8"/>
      <c r="B29" s="10"/>
      <c r="C29" s="8"/>
      <c r="D29" s="8"/>
      <c r="E29" s="8"/>
      <c r="F29" s="8"/>
      <c r="G29" s="8"/>
      <c r="H29" s="8"/>
      <c r="I29" s="8"/>
      <c r="J29" s="13"/>
      <c r="K29" s="8"/>
      <c r="L29" s="13"/>
      <c r="M29" s="8"/>
      <c r="N29" s="8"/>
      <c r="O29" s="8"/>
      <c r="P29" s="8"/>
      <c r="Q29" s="13"/>
      <c r="R29" s="13"/>
      <c r="S29" s="14" t="str">
        <f t="shared" si="0"/>
        <v/>
      </c>
      <c r="T29" s="8"/>
      <c r="U29" s="8"/>
      <c r="V29" s="10"/>
      <c r="W29" s="8"/>
    </row>
    <row r="30" spans="1:23">
      <c r="A30" s="8"/>
      <c r="B30" s="10"/>
      <c r="C30" s="8"/>
      <c r="D30" s="8"/>
      <c r="E30" s="8"/>
      <c r="F30" s="8"/>
      <c r="G30" s="8"/>
      <c r="H30" s="8"/>
      <c r="I30" s="8"/>
      <c r="J30" s="13"/>
      <c r="K30" s="8"/>
      <c r="L30" s="13"/>
      <c r="M30" s="8"/>
      <c r="N30" s="8"/>
      <c r="O30" s="8"/>
      <c r="P30" s="8"/>
      <c r="Q30" s="13"/>
      <c r="R30" s="13"/>
      <c r="S30" s="14" t="str">
        <f t="shared" si="0"/>
        <v/>
      </c>
      <c r="T30" s="8"/>
      <c r="U30" s="8"/>
      <c r="V30" s="10"/>
      <c r="W30" s="8"/>
    </row>
    <row r="31" spans="1:23">
      <c r="A31" s="8"/>
      <c r="B31" s="10"/>
      <c r="C31" s="8"/>
      <c r="D31" s="8"/>
      <c r="E31" s="8"/>
      <c r="F31" s="8"/>
      <c r="G31" s="8"/>
      <c r="H31" s="8"/>
      <c r="I31" s="8"/>
      <c r="J31" s="13"/>
      <c r="K31" s="8"/>
      <c r="L31" s="13"/>
      <c r="M31" s="8"/>
      <c r="N31" s="8"/>
      <c r="O31" s="8"/>
      <c r="P31" s="8"/>
      <c r="Q31" s="13"/>
      <c r="R31" s="13"/>
      <c r="S31" s="14" t="str">
        <f t="shared" si="0"/>
        <v/>
      </c>
      <c r="T31" s="8"/>
      <c r="U31" s="8"/>
      <c r="V31" s="10"/>
      <c r="W31" s="8"/>
    </row>
    <row r="32" spans="1:23">
      <c r="A32" s="8"/>
      <c r="B32" s="10"/>
      <c r="C32" s="8"/>
      <c r="D32" s="8"/>
      <c r="E32" s="8"/>
      <c r="F32" s="8"/>
      <c r="G32" s="8"/>
      <c r="H32" s="8"/>
      <c r="I32" s="8"/>
      <c r="J32" s="13"/>
      <c r="K32" s="8"/>
      <c r="L32" s="13"/>
      <c r="M32" s="8"/>
      <c r="N32" s="8"/>
      <c r="O32" s="8"/>
      <c r="P32" s="8"/>
      <c r="Q32" s="13"/>
      <c r="R32" s="13"/>
      <c r="S32" s="14" t="str">
        <f t="shared" si="0"/>
        <v/>
      </c>
      <c r="T32" s="8"/>
      <c r="U32" s="8"/>
      <c r="V32" s="10"/>
      <c r="W32" s="8"/>
    </row>
    <row r="33" spans="1:23">
      <c r="A33" s="8"/>
      <c r="B33" s="10"/>
      <c r="C33" s="8"/>
      <c r="D33" s="8"/>
      <c r="E33" s="8"/>
      <c r="F33" s="8"/>
      <c r="G33" s="8"/>
      <c r="H33" s="8"/>
      <c r="I33" s="8"/>
      <c r="J33" s="13"/>
      <c r="K33" s="8"/>
      <c r="L33" s="13"/>
      <c r="M33" s="8"/>
      <c r="N33" s="8"/>
      <c r="O33" s="8"/>
      <c r="P33" s="8"/>
      <c r="Q33" s="13"/>
      <c r="R33" s="13"/>
      <c r="S33" s="14" t="str">
        <f t="shared" si="0"/>
        <v/>
      </c>
      <c r="T33" s="8"/>
      <c r="U33" s="8"/>
      <c r="V33" s="10"/>
      <c r="W33" s="8"/>
    </row>
    <row r="34" spans="1:23">
      <c r="A34" s="8"/>
      <c r="B34" s="10"/>
      <c r="C34" s="8"/>
      <c r="D34" s="8"/>
      <c r="E34" s="8"/>
      <c r="F34" s="8"/>
      <c r="G34" s="8"/>
      <c r="H34" s="8"/>
      <c r="I34" s="8"/>
      <c r="J34" s="13"/>
      <c r="K34" s="8"/>
      <c r="L34" s="13"/>
      <c r="M34" s="8"/>
      <c r="N34" s="8"/>
      <c r="O34" s="8"/>
      <c r="P34" s="8"/>
      <c r="Q34" s="13"/>
      <c r="R34" s="13"/>
      <c r="S34" s="14" t="str">
        <f t="shared" si="0"/>
        <v/>
      </c>
      <c r="T34" s="8"/>
      <c r="U34" s="8"/>
      <c r="V34" s="10"/>
      <c r="W34" s="8"/>
    </row>
    <row r="35" spans="1:23">
      <c r="A35" s="8"/>
      <c r="B35" s="10"/>
      <c r="C35" s="8"/>
      <c r="D35" s="8"/>
      <c r="E35" s="8"/>
      <c r="F35" s="8"/>
      <c r="G35" s="8"/>
      <c r="H35" s="8"/>
      <c r="I35" s="8"/>
      <c r="J35" s="13"/>
      <c r="K35" s="8"/>
      <c r="L35" s="13"/>
      <c r="M35" s="8"/>
      <c r="N35" s="8"/>
      <c r="O35" s="8"/>
      <c r="P35" s="8"/>
      <c r="Q35" s="13"/>
      <c r="R35" s="13"/>
      <c r="S35" s="14" t="str">
        <f t="shared" si="0"/>
        <v/>
      </c>
      <c r="T35" s="8"/>
      <c r="U35" s="8"/>
      <c r="V35" s="10"/>
      <c r="W35" s="8"/>
    </row>
    <row r="36" spans="1:23">
      <c r="A36" s="8"/>
      <c r="B36" s="10"/>
      <c r="C36" s="8"/>
      <c r="D36" s="8"/>
      <c r="E36" s="8"/>
      <c r="F36" s="8"/>
      <c r="G36" s="8"/>
      <c r="H36" s="8"/>
      <c r="I36" s="8"/>
      <c r="J36" s="13"/>
      <c r="K36" s="8"/>
      <c r="L36" s="13"/>
      <c r="M36" s="8"/>
      <c r="N36" s="8"/>
      <c r="O36" s="8"/>
      <c r="P36" s="8"/>
      <c r="Q36" s="13"/>
      <c r="R36" s="13"/>
      <c r="S36" s="14" t="str">
        <f t="shared" si="0"/>
        <v/>
      </c>
      <c r="T36" s="8"/>
      <c r="U36" s="8"/>
      <c r="V36" s="10"/>
      <c r="W36" s="8"/>
    </row>
    <row r="37" spans="1:23">
      <c r="A37" s="8"/>
      <c r="B37" s="10"/>
      <c r="C37" s="8"/>
      <c r="D37" s="8"/>
      <c r="E37" s="8"/>
      <c r="F37" s="8"/>
      <c r="G37" s="8"/>
      <c r="H37" s="8"/>
      <c r="I37" s="8"/>
      <c r="J37" s="13"/>
      <c r="K37" s="8"/>
      <c r="L37" s="13"/>
      <c r="M37" s="8"/>
      <c r="N37" s="8"/>
      <c r="O37" s="8"/>
      <c r="P37" s="8"/>
      <c r="Q37" s="13"/>
      <c r="R37" s="13"/>
      <c r="S37" s="14" t="str">
        <f t="shared" si="0"/>
        <v/>
      </c>
      <c r="T37" s="8"/>
      <c r="U37" s="8"/>
      <c r="V37" s="10"/>
      <c r="W37" s="8"/>
    </row>
    <row r="38" spans="1:23">
      <c r="A38" s="8"/>
      <c r="B38" s="10"/>
      <c r="C38" s="8"/>
      <c r="D38" s="8"/>
      <c r="E38" s="8"/>
      <c r="F38" s="8"/>
      <c r="G38" s="8"/>
      <c r="H38" s="8"/>
      <c r="I38" s="8"/>
      <c r="J38" s="13"/>
      <c r="K38" s="8"/>
      <c r="L38" s="13"/>
      <c r="M38" s="8"/>
      <c r="N38" s="8"/>
      <c r="O38" s="8"/>
      <c r="P38" s="8"/>
      <c r="Q38" s="13"/>
      <c r="R38" s="13"/>
      <c r="S38" s="14" t="str">
        <f t="shared" si="0"/>
        <v/>
      </c>
      <c r="T38" s="8"/>
      <c r="U38" s="8"/>
      <c r="V38" s="10"/>
      <c r="W38" s="8"/>
    </row>
    <row r="39" spans="1:23">
      <c r="A39" s="8"/>
      <c r="B39" s="10"/>
      <c r="C39" s="8"/>
      <c r="D39" s="8"/>
      <c r="E39" s="8"/>
      <c r="F39" s="8"/>
      <c r="G39" s="8"/>
      <c r="H39" s="8"/>
      <c r="I39" s="8"/>
      <c r="J39" s="13"/>
      <c r="K39" s="8"/>
      <c r="L39" s="13"/>
      <c r="M39" s="8"/>
      <c r="N39" s="8"/>
      <c r="O39" s="8"/>
      <c r="P39" s="8"/>
      <c r="Q39" s="13"/>
      <c r="R39" s="13"/>
      <c r="S39" s="14" t="str">
        <f t="shared" si="0"/>
        <v/>
      </c>
      <c r="T39" s="8"/>
      <c r="U39" s="8"/>
      <c r="V39" s="10"/>
      <c r="W39" s="8"/>
    </row>
    <row r="40" spans="1:23">
      <c r="A40" s="8"/>
      <c r="B40" s="10"/>
      <c r="C40" s="8"/>
      <c r="D40" s="8"/>
      <c r="E40" s="8"/>
      <c r="F40" s="8"/>
      <c r="G40" s="8"/>
      <c r="H40" s="8"/>
      <c r="I40" s="8"/>
      <c r="J40" s="13"/>
      <c r="K40" s="8"/>
      <c r="L40" s="13"/>
      <c r="M40" s="8"/>
      <c r="N40" s="8"/>
      <c r="O40" s="8"/>
      <c r="P40" s="8"/>
      <c r="Q40" s="13"/>
      <c r="R40" s="13"/>
      <c r="S40" s="14" t="str">
        <f t="shared" si="0"/>
        <v/>
      </c>
      <c r="T40" s="8"/>
      <c r="U40" s="8"/>
      <c r="V40" s="10"/>
      <c r="W40" s="8"/>
    </row>
    <row r="41" spans="1:23">
      <c r="A41" s="8"/>
      <c r="B41" s="10"/>
      <c r="C41" s="8"/>
      <c r="D41" s="8"/>
      <c r="E41" s="8"/>
      <c r="F41" s="8"/>
      <c r="G41" s="8"/>
      <c r="H41" s="8"/>
      <c r="I41" s="8"/>
      <c r="J41" s="13"/>
      <c r="K41" s="8"/>
      <c r="L41" s="13"/>
      <c r="M41" s="8"/>
      <c r="N41" s="8"/>
      <c r="O41" s="8"/>
      <c r="P41" s="8"/>
      <c r="Q41" s="13"/>
      <c r="R41" s="13"/>
      <c r="S41" s="14" t="str">
        <f t="shared" si="0"/>
        <v/>
      </c>
      <c r="T41" s="8"/>
      <c r="U41" s="8"/>
      <c r="V41" s="10"/>
      <c r="W41" s="8"/>
    </row>
    <row r="42" spans="1:23">
      <c r="A42" s="8"/>
      <c r="B42" s="10"/>
      <c r="C42" s="8"/>
      <c r="D42" s="8"/>
      <c r="E42" s="8"/>
      <c r="F42" s="8"/>
      <c r="G42" s="8"/>
      <c r="H42" s="8"/>
      <c r="I42" s="8"/>
      <c r="J42" s="13"/>
      <c r="K42" s="8"/>
      <c r="L42" s="13"/>
      <c r="M42" s="8"/>
      <c r="N42" s="8"/>
      <c r="O42" s="8"/>
      <c r="P42" s="8"/>
      <c r="Q42" s="13"/>
      <c r="R42" s="13"/>
      <c r="S42" s="14" t="str">
        <f t="shared" si="0"/>
        <v/>
      </c>
      <c r="T42" s="8"/>
      <c r="U42" s="8"/>
      <c r="V42" s="10"/>
      <c r="W42" s="8"/>
    </row>
    <row r="43" spans="1:23">
      <c r="A43" s="8"/>
      <c r="B43" s="10"/>
      <c r="C43" s="8"/>
      <c r="D43" s="8"/>
      <c r="E43" s="8"/>
      <c r="F43" s="8"/>
      <c r="G43" s="8"/>
      <c r="H43" s="8"/>
      <c r="I43" s="8"/>
      <c r="J43" s="13"/>
      <c r="K43" s="8"/>
      <c r="L43" s="13"/>
      <c r="M43" s="8"/>
      <c r="N43" s="8"/>
      <c r="O43" s="8"/>
      <c r="P43" s="8"/>
      <c r="Q43" s="13"/>
      <c r="R43" s="13"/>
      <c r="S43" s="14" t="str">
        <f t="shared" si="0"/>
        <v/>
      </c>
      <c r="T43" s="8"/>
      <c r="U43" s="8"/>
      <c r="V43" s="10"/>
      <c r="W43" s="8"/>
    </row>
    <row r="44" spans="1:23">
      <c r="A44" s="8"/>
      <c r="B44" s="10"/>
      <c r="C44" s="8"/>
      <c r="D44" s="8"/>
      <c r="E44" s="8"/>
      <c r="F44" s="8"/>
      <c r="G44" s="8"/>
      <c r="H44" s="8"/>
      <c r="I44" s="8"/>
      <c r="J44" s="13"/>
      <c r="K44" s="8"/>
      <c r="L44" s="13"/>
      <c r="M44" s="8"/>
      <c r="N44" s="8"/>
      <c r="O44" s="8"/>
      <c r="P44" s="8"/>
      <c r="Q44" s="13"/>
      <c r="R44" s="13"/>
      <c r="S44" s="14" t="str">
        <f t="shared" si="0"/>
        <v/>
      </c>
      <c r="T44" s="8"/>
      <c r="U44" s="8"/>
      <c r="V44" s="10"/>
      <c r="W44" s="8"/>
    </row>
    <row r="45" spans="1:23">
      <c r="A45" s="8"/>
      <c r="B45" s="10"/>
      <c r="C45" s="8"/>
      <c r="D45" s="8"/>
      <c r="E45" s="8"/>
      <c r="F45" s="8"/>
      <c r="G45" s="8"/>
      <c r="H45" s="8"/>
      <c r="I45" s="8"/>
      <c r="J45" s="13"/>
      <c r="K45" s="8"/>
      <c r="L45" s="13"/>
      <c r="M45" s="8"/>
      <c r="N45" s="8"/>
      <c r="O45" s="8"/>
      <c r="P45" s="8"/>
      <c r="Q45" s="13"/>
      <c r="R45" s="13"/>
      <c r="S45" s="14" t="str">
        <f t="shared" si="0"/>
        <v/>
      </c>
      <c r="T45" s="8"/>
      <c r="U45" s="8"/>
      <c r="V45" s="10"/>
      <c r="W45" s="8"/>
    </row>
    <row r="46" spans="1:23">
      <c r="A46" s="8"/>
      <c r="B46" s="10"/>
      <c r="C46" s="8"/>
      <c r="D46" s="8"/>
      <c r="E46" s="8"/>
      <c r="F46" s="8"/>
      <c r="G46" s="8"/>
      <c r="H46" s="8"/>
      <c r="I46" s="8"/>
      <c r="J46" s="13"/>
      <c r="K46" s="8"/>
      <c r="L46" s="13"/>
      <c r="M46" s="8"/>
      <c r="N46" s="8"/>
      <c r="O46" s="8"/>
      <c r="P46" s="8"/>
      <c r="Q46" s="13"/>
      <c r="R46" s="13"/>
      <c r="S46" s="14" t="str">
        <f t="shared" si="0"/>
        <v/>
      </c>
      <c r="T46" s="8"/>
      <c r="U46" s="8"/>
      <c r="V46" s="10"/>
      <c r="W46" s="8"/>
    </row>
    <row r="47" spans="1:23">
      <c r="A47" s="8"/>
      <c r="B47" s="10"/>
      <c r="C47" s="8"/>
      <c r="D47" s="8"/>
      <c r="E47" s="8"/>
      <c r="F47" s="8"/>
      <c r="G47" s="8"/>
      <c r="H47" s="8"/>
      <c r="I47" s="8"/>
      <c r="J47" s="13"/>
      <c r="K47" s="8"/>
      <c r="L47" s="13"/>
      <c r="M47" s="8"/>
      <c r="N47" s="8"/>
      <c r="O47" s="8"/>
      <c r="P47" s="8"/>
      <c r="Q47" s="13"/>
      <c r="R47" s="13"/>
      <c r="S47" s="14" t="str">
        <f t="shared" si="0"/>
        <v/>
      </c>
      <c r="T47" s="8"/>
      <c r="U47" s="8"/>
      <c r="V47" s="10"/>
      <c r="W47" s="8"/>
    </row>
    <row r="48" spans="1:23">
      <c r="A48" s="8"/>
      <c r="B48" s="10"/>
      <c r="C48" s="8"/>
      <c r="D48" s="8"/>
      <c r="E48" s="8"/>
      <c r="F48" s="8"/>
      <c r="G48" s="8"/>
      <c r="H48" s="8"/>
      <c r="I48" s="8"/>
      <c r="J48" s="13"/>
      <c r="K48" s="8"/>
      <c r="L48" s="13"/>
      <c r="M48" s="8"/>
      <c r="N48" s="8"/>
      <c r="O48" s="8"/>
      <c r="P48" s="8"/>
      <c r="Q48" s="13"/>
      <c r="R48" s="13"/>
      <c r="S48" s="14" t="str">
        <f t="shared" si="0"/>
        <v/>
      </c>
      <c r="T48" s="8"/>
      <c r="U48" s="8"/>
      <c r="V48" s="10"/>
      <c r="W48" s="8"/>
    </row>
    <row r="49" spans="1:23">
      <c r="A49" s="8"/>
      <c r="B49" s="10"/>
      <c r="C49" s="8"/>
      <c r="D49" s="8"/>
      <c r="E49" s="8"/>
      <c r="F49" s="8"/>
      <c r="G49" s="8"/>
      <c r="H49" s="8"/>
      <c r="I49" s="8"/>
      <c r="J49" s="13"/>
      <c r="K49" s="8"/>
      <c r="L49" s="13"/>
      <c r="M49" s="8"/>
      <c r="N49" s="8"/>
      <c r="O49" s="8"/>
      <c r="P49" s="8"/>
      <c r="Q49" s="13"/>
      <c r="R49" s="13"/>
      <c r="S49" s="14" t="str">
        <f t="shared" si="0"/>
        <v/>
      </c>
      <c r="T49" s="8"/>
      <c r="U49" s="8"/>
      <c r="V49" s="10"/>
      <c r="W49" s="8"/>
    </row>
    <row r="50" spans="1:23">
      <c r="A50" s="8"/>
      <c r="B50" s="10"/>
      <c r="C50" s="8"/>
      <c r="D50" s="8"/>
      <c r="E50" s="8"/>
      <c r="F50" s="8"/>
      <c r="G50" s="8"/>
      <c r="H50" s="8"/>
      <c r="I50" s="8"/>
      <c r="J50" s="13"/>
      <c r="K50" s="8"/>
      <c r="L50" s="13"/>
      <c r="M50" s="8"/>
      <c r="N50" s="8"/>
      <c r="O50" s="8"/>
      <c r="P50" s="8"/>
      <c r="Q50" s="13"/>
      <c r="R50" s="13"/>
      <c r="S50" s="14" t="str">
        <f t="shared" si="0"/>
        <v/>
      </c>
      <c r="T50" s="8"/>
      <c r="U50" s="8"/>
      <c r="V50" s="10"/>
      <c r="W50" s="8"/>
    </row>
    <row r="51" spans="1:23">
      <c r="A51" s="8"/>
      <c r="B51" s="10"/>
      <c r="C51" s="8"/>
      <c r="D51" s="8"/>
      <c r="E51" s="8"/>
      <c r="F51" s="8"/>
      <c r="G51" s="8"/>
      <c r="H51" s="8"/>
      <c r="I51" s="8"/>
      <c r="J51" s="13"/>
      <c r="K51" s="8"/>
      <c r="L51" s="13"/>
      <c r="M51" s="8"/>
      <c r="N51" s="8"/>
      <c r="O51" s="8"/>
      <c r="P51" s="8"/>
      <c r="Q51" s="13"/>
      <c r="R51" s="13"/>
      <c r="S51" s="14" t="str">
        <f t="shared" si="0"/>
        <v/>
      </c>
      <c r="T51" s="8"/>
      <c r="U51" s="8"/>
      <c r="V51" s="10"/>
      <c r="W51" s="8"/>
    </row>
    <row r="52" spans="1:23">
      <c r="A52" s="8"/>
      <c r="B52" s="10"/>
      <c r="C52" s="8"/>
      <c r="D52" s="8"/>
      <c r="E52" s="8"/>
      <c r="F52" s="8"/>
      <c r="G52" s="8"/>
      <c r="H52" s="8"/>
      <c r="I52" s="8"/>
      <c r="J52" s="13"/>
      <c r="K52" s="8"/>
      <c r="L52" s="13"/>
      <c r="M52" s="8"/>
      <c r="N52" s="8"/>
      <c r="O52" s="8"/>
      <c r="P52" s="8"/>
      <c r="Q52" s="13"/>
      <c r="R52" s="13"/>
      <c r="S52" s="14" t="str">
        <f t="shared" si="0"/>
        <v/>
      </c>
      <c r="T52" s="8"/>
      <c r="U52" s="8"/>
      <c r="V52" s="10"/>
      <c r="W52" s="8"/>
    </row>
    <row r="53" spans="1:23">
      <c r="A53" s="8"/>
      <c r="B53" s="10"/>
      <c r="C53" s="8"/>
      <c r="D53" s="8"/>
      <c r="E53" s="8"/>
      <c r="F53" s="8"/>
      <c r="G53" s="8"/>
      <c r="H53" s="8"/>
      <c r="I53" s="8"/>
      <c r="J53" s="13"/>
      <c r="K53" s="8"/>
      <c r="L53" s="13"/>
      <c r="M53" s="8"/>
      <c r="N53" s="8"/>
      <c r="O53" s="8"/>
      <c r="P53" s="8"/>
      <c r="Q53" s="13"/>
      <c r="R53" s="13"/>
      <c r="S53" s="14" t="str">
        <f t="shared" si="0"/>
        <v/>
      </c>
      <c r="T53" s="8"/>
      <c r="U53" s="8"/>
      <c r="V53" s="10"/>
      <c r="W53" s="8"/>
    </row>
    <row r="54" spans="1:23">
      <c r="A54" s="8"/>
      <c r="B54" s="10"/>
      <c r="C54" s="8"/>
      <c r="D54" s="8"/>
      <c r="E54" s="8"/>
      <c r="F54" s="8"/>
      <c r="G54" s="8"/>
      <c r="H54" s="8"/>
      <c r="I54" s="8"/>
      <c r="J54" s="13"/>
      <c r="K54" s="8"/>
      <c r="L54" s="13"/>
      <c r="M54" s="8"/>
      <c r="N54" s="8"/>
      <c r="O54" s="8"/>
      <c r="P54" s="8"/>
      <c r="Q54" s="13"/>
      <c r="R54" s="13"/>
      <c r="S54" s="14" t="str">
        <f t="shared" si="0"/>
        <v/>
      </c>
      <c r="T54" s="8"/>
      <c r="U54" s="8"/>
      <c r="V54" s="10"/>
      <c r="W54" s="8"/>
    </row>
    <row r="55" spans="1:23">
      <c r="A55" s="8"/>
      <c r="B55" s="10"/>
      <c r="C55" s="8"/>
      <c r="D55" s="8"/>
      <c r="E55" s="8"/>
      <c r="F55" s="8"/>
      <c r="G55" s="8"/>
      <c r="H55" s="8"/>
      <c r="I55" s="8"/>
      <c r="J55" s="13"/>
      <c r="K55" s="8"/>
      <c r="L55" s="13"/>
      <c r="M55" s="8"/>
      <c r="N55" s="8"/>
      <c r="O55" s="8"/>
      <c r="P55" s="8"/>
      <c r="Q55" s="13"/>
      <c r="R55" s="13"/>
      <c r="S55" s="14" t="str">
        <f t="shared" si="0"/>
        <v/>
      </c>
      <c r="T55" s="8"/>
      <c r="U55" s="8"/>
      <c r="V55" s="10"/>
      <c r="W55" s="8"/>
    </row>
    <row r="56" spans="1:23">
      <c r="A56" s="8"/>
      <c r="B56" s="10"/>
      <c r="C56" s="8"/>
      <c r="D56" s="8"/>
      <c r="E56" s="8"/>
      <c r="F56" s="8"/>
      <c r="G56" s="8"/>
      <c r="H56" s="8"/>
      <c r="I56" s="8"/>
      <c r="J56" s="13"/>
      <c r="K56" s="8"/>
      <c r="L56" s="13"/>
      <c r="M56" s="8"/>
      <c r="N56" s="8"/>
      <c r="O56" s="8"/>
      <c r="P56" s="8"/>
      <c r="Q56" s="13"/>
      <c r="R56" s="13"/>
      <c r="S56" s="14" t="str">
        <f t="shared" si="0"/>
        <v/>
      </c>
      <c r="T56" s="8"/>
      <c r="U56" s="8"/>
      <c r="V56" s="10"/>
      <c r="W56" s="8"/>
    </row>
    <row r="57" spans="1:23">
      <c r="A57" s="8"/>
      <c r="B57" s="10"/>
      <c r="C57" s="8"/>
      <c r="D57" s="8"/>
      <c r="E57" s="8"/>
      <c r="F57" s="8"/>
      <c r="G57" s="8"/>
      <c r="H57" s="8"/>
      <c r="I57" s="8"/>
      <c r="J57" s="13"/>
      <c r="K57" s="8"/>
      <c r="L57" s="13"/>
      <c r="M57" s="8"/>
      <c r="N57" s="8"/>
      <c r="O57" s="8"/>
      <c r="P57" s="8"/>
      <c r="Q57" s="13"/>
      <c r="R57" s="13"/>
      <c r="S57" s="14" t="str">
        <f t="shared" si="0"/>
        <v/>
      </c>
      <c r="T57" s="8"/>
      <c r="U57" s="8"/>
      <c r="V57" s="10"/>
      <c r="W57" s="8"/>
    </row>
    <row r="58" spans="1:23">
      <c r="A58" s="8"/>
      <c r="B58" s="10"/>
      <c r="C58" s="8"/>
      <c r="D58" s="8"/>
      <c r="E58" s="8"/>
      <c r="F58" s="8"/>
      <c r="G58" s="8"/>
      <c r="H58" s="8"/>
      <c r="I58" s="8"/>
      <c r="J58" s="13"/>
      <c r="K58" s="8"/>
      <c r="L58" s="13"/>
      <c r="M58" s="8"/>
      <c r="N58" s="8"/>
      <c r="O58" s="8"/>
      <c r="P58" s="8"/>
      <c r="Q58" s="13"/>
      <c r="R58" s="13"/>
      <c r="S58" s="14" t="str">
        <f t="shared" si="0"/>
        <v/>
      </c>
      <c r="T58" s="8"/>
      <c r="U58" s="8"/>
      <c r="V58" s="10"/>
      <c r="W58" s="8"/>
    </row>
    <row r="59" spans="1:23">
      <c r="A59" s="8"/>
      <c r="B59" s="10"/>
      <c r="C59" s="8"/>
      <c r="D59" s="8"/>
      <c r="E59" s="8"/>
      <c r="F59" s="8"/>
      <c r="G59" s="8"/>
      <c r="H59" s="8"/>
      <c r="I59" s="8"/>
      <c r="J59" s="13"/>
      <c r="K59" s="8"/>
      <c r="L59" s="13"/>
      <c r="M59" s="8"/>
      <c r="N59" s="8"/>
      <c r="O59" s="8"/>
      <c r="P59" s="8"/>
      <c r="Q59" s="13"/>
      <c r="R59" s="13"/>
      <c r="S59" s="14" t="str">
        <f t="shared" si="0"/>
        <v/>
      </c>
      <c r="T59" s="8"/>
      <c r="U59" s="8"/>
      <c r="V59" s="10"/>
      <c r="W59" s="8"/>
    </row>
    <row r="60" spans="1:23">
      <c r="A60" s="8"/>
      <c r="B60" s="10"/>
      <c r="C60" s="8"/>
      <c r="D60" s="8"/>
      <c r="E60" s="8"/>
      <c r="F60" s="8"/>
      <c r="G60" s="8"/>
      <c r="H60" s="8"/>
      <c r="I60" s="8"/>
      <c r="J60" s="13"/>
      <c r="K60" s="8"/>
      <c r="L60" s="13"/>
      <c r="M60" s="8"/>
      <c r="N60" s="8"/>
      <c r="O60" s="8"/>
      <c r="P60" s="8"/>
      <c r="Q60" s="13"/>
      <c r="R60" s="13"/>
      <c r="S60" s="14" t="str">
        <f t="shared" si="0"/>
        <v/>
      </c>
      <c r="T60" s="8"/>
      <c r="U60" s="8"/>
      <c r="V60" s="10"/>
      <c r="W60" s="8"/>
    </row>
    <row r="61" spans="1:23">
      <c r="A61" s="8"/>
      <c r="B61" s="10"/>
      <c r="C61" s="8"/>
      <c r="D61" s="8"/>
      <c r="E61" s="8"/>
      <c r="F61" s="8"/>
      <c r="G61" s="8"/>
      <c r="H61" s="8"/>
      <c r="I61" s="8"/>
      <c r="J61" s="13"/>
      <c r="K61" s="8"/>
      <c r="L61" s="13"/>
      <c r="M61" s="8"/>
      <c r="N61" s="8"/>
      <c r="O61" s="8"/>
      <c r="P61" s="8"/>
      <c r="Q61" s="13"/>
      <c r="R61" s="13"/>
      <c r="S61" s="14" t="str">
        <f t="shared" si="0"/>
        <v/>
      </c>
      <c r="T61" s="8"/>
      <c r="U61" s="8"/>
      <c r="V61" s="10"/>
      <c r="W61" s="8"/>
    </row>
    <row r="62" spans="1:23">
      <c r="A62" s="8"/>
      <c r="B62" s="10"/>
      <c r="C62" s="8"/>
      <c r="D62" s="8"/>
      <c r="E62" s="8"/>
      <c r="F62" s="8"/>
      <c r="G62" s="8"/>
      <c r="H62" s="8"/>
      <c r="I62" s="8"/>
      <c r="J62" s="13"/>
      <c r="K62" s="8"/>
      <c r="L62" s="13"/>
      <c r="M62" s="8"/>
      <c r="N62" s="8"/>
      <c r="O62" s="8"/>
      <c r="P62" s="8"/>
      <c r="Q62" s="13"/>
      <c r="R62" s="13"/>
      <c r="S62" s="14" t="str">
        <f t="shared" si="0"/>
        <v/>
      </c>
      <c r="T62" s="8"/>
      <c r="U62" s="8"/>
      <c r="V62" s="10"/>
      <c r="W62" s="8"/>
    </row>
    <row r="63" spans="1:23">
      <c r="A63" s="8"/>
      <c r="B63" s="10"/>
      <c r="C63" s="8"/>
      <c r="D63" s="8"/>
      <c r="E63" s="8"/>
      <c r="F63" s="8"/>
      <c r="G63" s="8"/>
      <c r="H63" s="8"/>
      <c r="I63" s="8"/>
      <c r="J63" s="13"/>
      <c r="K63" s="8"/>
      <c r="L63" s="13"/>
      <c r="M63" s="8"/>
      <c r="N63" s="8"/>
      <c r="O63" s="8"/>
      <c r="P63" s="8"/>
      <c r="Q63" s="13"/>
      <c r="R63" s="13"/>
      <c r="S63" s="14" t="str">
        <f t="shared" si="0"/>
        <v/>
      </c>
      <c r="T63" s="8"/>
      <c r="U63" s="8"/>
      <c r="V63" s="10"/>
      <c r="W63" s="8"/>
    </row>
    <row r="64" spans="1:23">
      <c r="A64" s="8"/>
      <c r="B64" s="10"/>
      <c r="C64" s="8"/>
      <c r="D64" s="8"/>
      <c r="E64" s="8"/>
      <c r="F64" s="8"/>
      <c r="G64" s="8"/>
      <c r="H64" s="8"/>
      <c r="I64" s="8"/>
      <c r="J64" s="13"/>
      <c r="K64" s="8"/>
      <c r="L64" s="13"/>
      <c r="M64" s="8"/>
      <c r="N64" s="8"/>
      <c r="O64" s="8"/>
      <c r="P64" s="8"/>
      <c r="Q64" s="13"/>
      <c r="R64" s="13"/>
      <c r="S64" s="14" t="str">
        <f t="shared" si="0"/>
        <v/>
      </c>
      <c r="T64" s="8"/>
      <c r="U64" s="8"/>
      <c r="V64" s="10"/>
      <c r="W64" s="8"/>
    </row>
    <row r="65" spans="1:23">
      <c r="A65" s="8"/>
      <c r="B65" s="10"/>
      <c r="C65" s="8"/>
      <c r="D65" s="8"/>
      <c r="E65" s="8"/>
      <c r="F65" s="8"/>
      <c r="G65" s="8"/>
      <c r="H65" s="8"/>
      <c r="I65" s="8"/>
      <c r="J65" s="13"/>
      <c r="K65" s="8"/>
      <c r="L65" s="13"/>
      <c r="M65" s="8"/>
      <c r="N65" s="8"/>
      <c r="O65" s="8"/>
      <c r="P65" s="8"/>
      <c r="Q65" s="13"/>
      <c r="R65" s="13"/>
      <c r="S65" s="14" t="str">
        <f t="shared" si="0"/>
        <v/>
      </c>
      <c r="T65" s="8"/>
      <c r="U65" s="8"/>
      <c r="V65" s="10"/>
      <c r="W65" s="8"/>
    </row>
    <row r="66" spans="1:23">
      <c r="A66" s="8"/>
      <c r="B66" s="10"/>
      <c r="C66" s="8"/>
      <c r="D66" s="8"/>
      <c r="E66" s="8"/>
      <c r="F66" s="8"/>
      <c r="G66" s="8"/>
      <c r="H66" s="8"/>
      <c r="I66" s="8"/>
      <c r="J66" s="13"/>
      <c r="K66" s="8"/>
      <c r="L66" s="13"/>
      <c r="M66" s="8"/>
      <c r="N66" s="8"/>
      <c r="O66" s="8"/>
      <c r="P66" s="8"/>
      <c r="Q66" s="13"/>
      <c r="R66" s="13"/>
      <c r="S66" s="14" t="str">
        <f t="shared" si="0"/>
        <v/>
      </c>
      <c r="T66" s="8"/>
      <c r="U66" s="8"/>
      <c r="V66" s="10"/>
      <c r="W66" s="8"/>
    </row>
    <row r="67" spans="1:23">
      <c r="A67" s="8"/>
      <c r="B67" s="10"/>
      <c r="C67" s="8"/>
      <c r="D67" s="8"/>
      <c r="E67" s="8"/>
      <c r="F67" s="8"/>
      <c r="G67" s="8"/>
      <c r="H67" s="8"/>
      <c r="I67" s="8"/>
      <c r="J67" s="13"/>
      <c r="K67" s="8"/>
      <c r="L67" s="13"/>
      <c r="M67" s="8"/>
      <c r="N67" s="8"/>
      <c r="O67" s="8"/>
      <c r="P67" s="8"/>
      <c r="Q67" s="13"/>
      <c r="R67" s="13"/>
      <c r="S67" s="14" t="str">
        <f t="shared" si="0"/>
        <v/>
      </c>
      <c r="T67" s="8"/>
      <c r="U67" s="8"/>
      <c r="V67" s="10"/>
      <c r="W67" s="8"/>
    </row>
    <row r="68" spans="1:23">
      <c r="A68" s="8"/>
      <c r="B68" s="10"/>
      <c r="C68" s="8"/>
      <c r="D68" s="8"/>
      <c r="E68" s="8"/>
      <c r="F68" s="8"/>
      <c r="G68" s="8"/>
      <c r="H68" s="8"/>
      <c r="I68" s="8"/>
      <c r="J68" s="13"/>
      <c r="K68" s="8"/>
      <c r="L68" s="13"/>
      <c r="M68" s="8"/>
      <c r="N68" s="8"/>
      <c r="O68" s="8"/>
      <c r="P68" s="8"/>
      <c r="Q68" s="13"/>
      <c r="R68" s="13"/>
      <c r="S68" s="14" t="str">
        <f t="shared" si="0"/>
        <v/>
      </c>
      <c r="T68" s="8"/>
      <c r="U68" s="8"/>
      <c r="V68" s="10"/>
      <c r="W68" s="8"/>
    </row>
    <row r="69" spans="1:23">
      <c r="A69" s="8"/>
      <c r="B69" s="10"/>
      <c r="C69" s="8"/>
      <c r="D69" s="8"/>
      <c r="E69" s="8"/>
      <c r="F69" s="8"/>
      <c r="G69" s="8"/>
      <c r="H69" s="8"/>
      <c r="I69" s="8"/>
      <c r="J69" s="13"/>
      <c r="K69" s="8"/>
      <c r="L69" s="13"/>
      <c r="M69" s="8"/>
      <c r="N69" s="8"/>
      <c r="O69" s="8"/>
      <c r="P69" s="8"/>
      <c r="Q69" s="13"/>
      <c r="R69" s="13"/>
      <c r="S69" s="14" t="str">
        <f t="shared" ref="S69:S132" si="1">IF(A69="","",MAX(0,J69-Q69))</f>
        <v/>
      </c>
      <c r="T69" s="8"/>
      <c r="U69" s="8"/>
      <c r="V69" s="10"/>
      <c r="W69" s="8"/>
    </row>
    <row r="70" spans="1:23">
      <c r="A70" s="8"/>
      <c r="B70" s="10"/>
      <c r="C70" s="8"/>
      <c r="D70" s="8"/>
      <c r="E70" s="8"/>
      <c r="F70" s="8"/>
      <c r="G70" s="8"/>
      <c r="H70" s="8"/>
      <c r="I70" s="8"/>
      <c r="J70" s="13"/>
      <c r="K70" s="8"/>
      <c r="L70" s="13"/>
      <c r="M70" s="8"/>
      <c r="N70" s="8"/>
      <c r="O70" s="8"/>
      <c r="P70" s="8"/>
      <c r="Q70" s="13"/>
      <c r="R70" s="13"/>
      <c r="S70" s="14" t="str">
        <f t="shared" si="1"/>
        <v/>
      </c>
      <c r="T70" s="8"/>
      <c r="U70" s="8"/>
      <c r="V70" s="10"/>
      <c r="W70" s="8"/>
    </row>
    <row r="71" spans="1:23">
      <c r="A71" s="8"/>
      <c r="B71" s="10"/>
      <c r="C71" s="8"/>
      <c r="D71" s="8"/>
      <c r="E71" s="8"/>
      <c r="F71" s="8"/>
      <c r="G71" s="8"/>
      <c r="H71" s="8"/>
      <c r="I71" s="8"/>
      <c r="J71" s="13"/>
      <c r="K71" s="8"/>
      <c r="L71" s="13"/>
      <c r="M71" s="8"/>
      <c r="N71" s="8"/>
      <c r="O71" s="8"/>
      <c r="P71" s="8"/>
      <c r="Q71" s="13"/>
      <c r="R71" s="13"/>
      <c r="S71" s="14" t="str">
        <f t="shared" si="1"/>
        <v/>
      </c>
      <c r="T71" s="8"/>
      <c r="U71" s="8"/>
      <c r="V71" s="10"/>
      <c r="W71" s="8"/>
    </row>
    <row r="72" spans="1:23">
      <c r="A72" s="8"/>
      <c r="B72" s="10"/>
      <c r="C72" s="8"/>
      <c r="D72" s="8"/>
      <c r="E72" s="8"/>
      <c r="F72" s="8"/>
      <c r="G72" s="8"/>
      <c r="H72" s="8"/>
      <c r="I72" s="8"/>
      <c r="J72" s="13"/>
      <c r="K72" s="8"/>
      <c r="L72" s="13"/>
      <c r="M72" s="8"/>
      <c r="N72" s="8"/>
      <c r="O72" s="8"/>
      <c r="P72" s="8"/>
      <c r="Q72" s="13"/>
      <c r="R72" s="13"/>
      <c r="S72" s="14" t="str">
        <f t="shared" si="1"/>
        <v/>
      </c>
      <c r="T72" s="8"/>
      <c r="U72" s="8"/>
      <c r="V72" s="10"/>
      <c r="W72" s="8"/>
    </row>
    <row r="73" spans="1:23">
      <c r="A73" s="8"/>
      <c r="B73" s="10"/>
      <c r="C73" s="8"/>
      <c r="D73" s="8"/>
      <c r="E73" s="8"/>
      <c r="F73" s="8"/>
      <c r="G73" s="8"/>
      <c r="H73" s="8"/>
      <c r="I73" s="8"/>
      <c r="J73" s="13"/>
      <c r="K73" s="8"/>
      <c r="L73" s="13"/>
      <c r="M73" s="8"/>
      <c r="N73" s="8"/>
      <c r="O73" s="8"/>
      <c r="P73" s="8"/>
      <c r="Q73" s="13"/>
      <c r="R73" s="13"/>
      <c r="S73" s="14" t="str">
        <f t="shared" si="1"/>
        <v/>
      </c>
      <c r="T73" s="8"/>
      <c r="U73" s="8"/>
      <c r="V73" s="10"/>
      <c r="W73" s="8"/>
    </row>
    <row r="74" spans="1:23">
      <c r="A74" s="8"/>
      <c r="B74" s="10"/>
      <c r="C74" s="8"/>
      <c r="D74" s="8"/>
      <c r="E74" s="8"/>
      <c r="F74" s="8"/>
      <c r="G74" s="8"/>
      <c r="H74" s="8"/>
      <c r="I74" s="8"/>
      <c r="J74" s="13"/>
      <c r="K74" s="8"/>
      <c r="L74" s="13"/>
      <c r="M74" s="8"/>
      <c r="N74" s="8"/>
      <c r="O74" s="8"/>
      <c r="P74" s="8"/>
      <c r="Q74" s="13"/>
      <c r="R74" s="13"/>
      <c r="S74" s="14" t="str">
        <f t="shared" si="1"/>
        <v/>
      </c>
      <c r="T74" s="8"/>
      <c r="U74" s="8"/>
      <c r="V74" s="10"/>
      <c r="W74" s="8"/>
    </row>
    <row r="75" spans="1:23">
      <c r="A75" s="8"/>
      <c r="B75" s="10"/>
      <c r="C75" s="8"/>
      <c r="D75" s="8"/>
      <c r="E75" s="8"/>
      <c r="F75" s="8"/>
      <c r="G75" s="8"/>
      <c r="H75" s="8"/>
      <c r="I75" s="8"/>
      <c r="J75" s="13"/>
      <c r="K75" s="8"/>
      <c r="L75" s="13"/>
      <c r="M75" s="8"/>
      <c r="N75" s="8"/>
      <c r="O75" s="8"/>
      <c r="P75" s="8"/>
      <c r="Q75" s="13"/>
      <c r="R75" s="13"/>
      <c r="S75" s="14" t="str">
        <f t="shared" si="1"/>
        <v/>
      </c>
      <c r="T75" s="8"/>
      <c r="U75" s="8"/>
      <c r="V75" s="10"/>
      <c r="W75" s="8"/>
    </row>
    <row r="76" spans="1:23">
      <c r="A76" s="8"/>
      <c r="B76" s="10"/>
      <c r="C76" s="8"/>
      <c r="D76" s="8"/>
      <c r="E76" s="8"/>
      <c r="F76" s="8"/>
      <c r="G76" s="8"/>
      <c r="H76" s="8"/>
      <c r="I76" s="8"/>
      <c r="J76" s="13"/>
      <c r="K76" s="8"/>
      <c r="L76" s="13"/>
      <c r="M76" s="8"/>
      <c r="N76" s="8"/>
      <c r="O76" s="8"/>
      <c r="P76" s="8"/>
      <c r="Q76" s="13"/>
      <c r="R76" s="13"/>
      <c r="S76" s="14" t="str">
        <f t="shared" si="1"/>
        <v/>
      </c>
      <c r="T76" s="8"/>
      <c r="U76" s="8"/>
      <c r="V76" s="10"/>
      <c r="W76" s="8"/>
    </row>
    <row r="77" spans="1:23">
      <c r="A77" s="8"/>
      <c r="B77" s="10"/>
      <c r="C77" s="8"/>
      <c r="D77" s="8"/>
      <c r="E77" s="8"/>
      <c r="F77" s="8"/>
      <c r="G77" s="8"/>
      <c r="H77" s="8"/>
      <c r="I77" s="8"/>
      <c r="J77" s="13"/>
      <c r="K77" s="8"/>
      <c r="L77" s="13"/>
      <c r="M77" s="8"/>
      <c r="N77" s="8"/>
      <c r="O77" s="8"/>
      <c r="P77" s="8"/>
      <c r="Q77" s="13"/>
      <c r="R77" s="13"/>
      <c r="S77" s="14" t="str">
        <f t="shared" si="1"/>
        <v/>
      </c>
      <c r="T77" s="8"/>
      <c r="U77" s="8"/>
      <c r="V77" s="10"/>
      <c r="W77" s="8"/>
    </row>
    <row r="78" spans="1:23">
      <c r="A78" s="8"/>
      <c r="B78" s="10"/>
      <c r="C78" s="8"/>
      <c r="D78" s="8"/>
      <c r="E78" s="8"/>
      <c r="F78" s="8"/>
      <c r="G78" s="8"/>
      <c r="H78" s="8"/>
      <c r="I78" s="8"/>
      <c r="J78" s="13"/>
      <c r="K78" s="8"/>
      <c r="L78" s="13"/>
      <c r="M78" s="8"/>
      <c r="N78" s="8"/>
      <c r="O78" s="8"/>
      <c r="P78" s="8"/>
      <c r="Q78" s="13"/>
      <c r="R78" s="13"/>
      <c r="S78" s="14" t="str">
        <f t="shared" si="1"/>
        <v/>
      </c>
      <c r="T78" s="8"/>
      <c r="U78" s="8"/>
      <c r="V78" s="10"/>
      <c r="W78" s="8"/>
    </row>
    <row r="79" spans="1:23">
      <c r="A79" s="8"/>
      <c r="B79" s="10"/>
      <c r="C79" s="8"/>
      <c r="D79" s="8"/>
      <c r="E79" s="8"/>
      <c r="F79" s="8"/>
      <c r="G79" s="8"/>
      <c r="H79" s="8"/>
      <c r="I79" s="8"/>
      <c r="J79" s="13"/>
      <c r="K79" s="8"/>
      <c r="L79" s="13"/>
      <c r="M79" s="8"/>
      <c r="N79" s="8"/>
      <c r="O79" s="8"/>
      <c r="P79" s="8"/>
      <c r="Q79" s="13"/>
      <c r="R79" s="13"/>
      <c r="S79" s="14" t="str">
        <f t="shared" si="1"/>
        <v/>
      </c>
      <c r="T79" s="8"/>
      <c r="U79" s="8"/>
      <c r="V79" s="10"/>
      <c r="W79" s="8"/>
    </row>
    <row r="80" spans="1:23">
      <c r="A80" s="8"/>
      <c r="B80" s="10"/>
      <c r="C80" s="8"/>
      <c r="D80" s="8"/>
      <c r="E80" s="8"/>
      <c r="F80" s="8"/>
      <c r="G80" s="8"/>
      <c r="H80" s="8"/>
      <c r="I80" s="8"/>
      <c r="J80" s="13"/>
      <c r="K80" s="8"/>
      <c r="L80" s="13"/>
      <c r="M80" s="8"/>
      <c r="N80" s="8"/>
      <c r="O80" s="8"/>
      <c r="P80" s="8"/>
      <c r="Q80" s="13"/>
      <c r="R80" s="13"/>
      <c r="S80" s="14" t="str">
        <f t="shared" si="1"/>
        <v/>
      </c>
      <c r="T80" s="8"/>
      <c r="U80" s="8"/>
      <c r="V80" s="10"/>
      <c r="W80" s="8"/>
    </row>
    <row r="81" spans="1:23">
      <c r="A81" s="8"/>
      <c r="B81" s="10"/>
      <c r="C81" s="8"/>
      <c r="D81" s="8"/>
      <c r="E81" s="8"/>
      <c r="F81" s="8"/>
      <c r="G81" s="8"/>
      <c r="H81" s="8"/>
      <c r="I81" s="8"/>
      <c r="J81" s="13"/>
      <c r="K81" s="8"/>
      <c r="L81" s="13"/>
      <c r="M81" s="8"/>
      <c r="N81" s="8"/>
      <c r="O81" s="8"/>
      <c r="P81" s="8"/>
      <c r="Q81" s="13"/>
      <c r="R81" s="13"/>
      <c r="S81" s="14" t="str">
        <f t="shared" si="1"/>
        <v/>
      </c>
      <c r="T81" s="8"/>
      <c r="U81" s="8"/>
      <c r="V81" s="10"/>
      <c r="W81" s="8"/>
    </row>
    <row r="82" spans="1:23">
      <c r="A82" s="8"/>
      <c r="B82" s="10"/>
      <c r="C82" s="8"/>
      <c r="D82" s="8"/>
      <c r="E82" s="8"/>
      <c r="F82" s="8"/>
      <c r="G82" s="8"/>
      <c r="H82" s="8"/>
      <c r="I82" s="8"/>
      <c r="J82" s="13"/>
      <c r="K82" s="8"/>
      <c r="L82" s="13"/>
      <c r="M82" s="8"/>
      <c r="N82" s="8"/>
      <c r="O82" s="8"/>
      <c r="P82" s="8"/>
      <c r="Q82" s="13"/>
      <c r="R82" s="13"/>
      <c r="S82" s="14" t="str">
        <f t="shared" si="1"/>
        <v/>
      </c>
      <c r="T82" s="8"/>
      <c r="U82" s="8"/>
      <c r="V82" s="10"/>
      <c r="W82" s="8"/>
    </row>
    <row r="83" spans="1:23">
      <c r="A83" s="8"/>
      <c r="B83" s="10"/>
      <c r="C83" s="8"/>
      <c r="D83" s="8"/>
      <c r="E83" s="8"/>
      <c r="F83" s="8"/>
      <c r="G83" s="8"/>
      <c r="H83" s="8"/>
      <c r="I83" s="8"/>
      <c r="J83" s="13"/>
      <c r="K83" s="8"/>
      <c r="L83" s="13"/>
      <c r="M83" s="8"/>
      <c r="N83" s="8"/>
      <c r="O83" s="8"/>
      <c r="P83" s="8"/>
      <c r="Q83" s="13"/>
      <c r="R83" s="13"/>
      <c r="S83" s="14" t="str">
        <f t="shared" si="1"/>
        <v/>
      </c>
      <c r="T83" s="8"/>
      <c r="U83" s="8"/>
      <c r="V83" s="10"/>
      <c r="W83" s="8"/>
    </row>
    <row r="84" spans="1:23">
      <c r="A84" s="8"/>
      <c r="B84" s="10"/>
      <c r="C84" s="8"/>
      <c r="D84" s="8"/>
      <c r="E84" s="8"/>
      <c r="F84" s="8"/>
      <c r="G84" s="8"/>
      <c r="H84" s="8"/>
      <c r="I84" s="8"/>
      <c r="J84" s="13"/>
      <c r="K84" s="8"/>
      <c r="L84" s="13"/>
      <c r="M84" s="8"/>
      <c r="N84" s="8"/>
      <c r="O84" s="8"/>
      <c r="P84" s="8"/>
      <c r="Q84" s="13"/>
      <c r="R84" s="13"/>
      <c r="S84" s="14" t="str">
        <f t="shared" si="1"/>
        <v/>
      </c>
      <c r="T84" s="8"/>
      <c r="U84" s="8"/>
      <c r="V84" s="10"/>
      <c r="W84" s="8"/>
    </row>
    <row r="85" spans="1:23">
      <c r="A85" s="8"/>
      <c r="B85" s="10"/>
      <c r="C85" s="8"/>
      <c r="D85" s="8"/>
      <c r="E85" s="8"/>
      <c r="F85" s="8"/>
      <c r="G85" s="8"/>
      <c r="H85" s="8"/>
      <c r="I85" s="8"/>
      <c r="J85" s="13"/>
      <c r="K85" s="8"/>
      <c r="L85" s="13"/>
      <c r="M85" s="8"/>
      <c r="N85" s="8"/>
      <c r="O85" s="8"/>
      <c r="P85" s="8"/>
      <c r="Q85" s="13"/>
      <c r="R85" s="13"/>
      <c r="S85" s="14" t="str">
        <f t="shared" si="1"/>
        <v/>
      </c>
      <c r="T85" s="8"/>
      <c r="U85" s="8"/>
      <c r="V85" s="10"/>
      <c r="W85" s="8"/>
    </row>
    <row r="86" spans="1:23">
      <c r="A86" s="8"/>
      <c r="B86" s="10"/>
      <c r="C86" s="8"/>
      <c r="D86" s="8"/>
      <c r="E86" s="8"/>
      <c r="F86" s="8"/>
      <c r="G86" s="8"/>
      <c r="H86" s="8"/>
      <c r="I86" s="8"/>
      <c r="J86" s="13"/>
      <c r="K86" s="8"/>
      <c r="L86" s="13"/>
      <c r="M86" s="8"/>
      <c r="N86" s="8"/>
      <c r="O86" s="8"/>
      <c r="P86" s="8"/>
      <c r="Q86" s="13"/>
      <c r="R86" s="13"/>
      <c r="S86" s="14" t="str">
        <f t="shared" si="1"/>
        <v/>
      </c>
      <c r="T86" s="8"/>
      <c r="U86" s="8"/>
      <c r="V86" s="10"/>
      <c r="W86" s="8"/>
    </row>
    <row r="87" spans="1:23">
      <c r="A87" s="8"/>
      <c r="B87" s="10"/>
      <c r="C87" s="8"/>
      <c r="D87" s="8"/>
      <c r="E87" s="8"/>
      <c r="F87" s="8"/>
      <c r="G87" s="8"/>
      <c r="H87" s="8"/>
      <c r="I87" s="8"/>
      <c r="J87" s="13"/>
      <c r="K87" s="8"/>
      <c r="L87" s="13"/>
      <c r="M87" s="8"/>
      <c r="N87" s="8"/>
      <c r="O87" s="8"/>
      <c r="P87" s="8"/>
      <c r="Q87" s="13"/>
      <c r="R87" s="13"/>
      <c r="S87" s="14" t="str">
        <f t="shared" si="1"/>
        <v/>
      </c>
      <c r="T87" s="8"/>
      <c r="U87" s="8"/>
      <c r="V87" s="10"/>
      <c r="W87" s="8"/>
    </row>
    <row r="88" spans="1:23">
      <c r="A88" s="8"/>
      <c r="B88" s="10"/>
      <c r="C88" s="8"/>
      <c r="D88" s="8"/>
      <c r="E88" s="8"/>
      <c r="F88" s="8"/>
      <c r="G88" s="8"/>
      <c r="H88" s="8"/>
      <c r="I88" s="8"/>
      <c r="J88" s="13"/>
      <c r="K88" s="8"/>
      <c r="L88" s="13"/>
      <c r="M88" s="8"/>
      <c r="N88" s="8"/>
      <c r="O88" s="8"/>
      <c r="P88" s="8"/>
      <c r="Q88" s="13"/>
      <c r="R88" s="13"/>
      <c r="S88" s="14" t="str">
        <f t="shared" si="1"/>
        <v/>
      </c>
      <c r="T88" s="8"/>
      <c r="U88" s="8"/>
      <c r="V88" s="10"/>
      <c r="W88" s="8"/>
    </row>
    <row r="89" spans="1:23">
      <c r="A89" s="8"/>
      <c r="B89" s="10"/>
      <c r="C89" s="8"/>
      <c r="D89" s="8"/>
      <c r="E89" s="8"/>
      <c r="F89" s="8"/>
      <c r="G89" s="8"/>
      <c r="H89" s="8"/>
      <c r="I89" s="8"/>
      <c r="J89" s="13"/>
      <c r="K89" s="8"/>
      <c r="L89" s="13"/>
      <c r="M89" s="8"/>
      <c r="N89" s="8"/>
      <c r="O89" s="8"/>
      <c r="P89" s="8"/>
      <c r="Q89" s="13"/>
      <c r="R89" s="13"/>
      <c r="S89" s="14" t="str">
        <f t="shared" si="1"/>
        <v/>
      </c>
      <c r="T89" s="8"/>
      <c r="U89" s="8"/>
      <c r="V89" s="10"/>
      <c r="W89" s="8"/>
    </row>
    <row r="90" spans="1:23">
      <c r="A90" s="8"/>
      <c r="B90" s="10"/>
      <c r="C90" s="8"/>
      <c r="D90" s="8"/>
      <c r="E90" s="8"/>
      <c r="F90" s="8"/>
      <c r="G90" s="8"/>
      <c r="H90" s="8"/>
      <c r="I90" s="8"/>
      <c r="J90" s="13"/>
      <c r="K90" s="8"/>
      <c r="L90" s="13"/>
      <c r="M90" s="8"/>
      <c r="N90" s="8"/>
      <c r="O90" s="8"/>
      <c r="P90" s="8"/>
      <c r="Q90" s="13"/>
      <c r="R90" s="13"/>
      <c r="S90" s="14" t="str">
        <f t="shared" si="1"/>
        <v/>
      </c>
      <c r="T90" s="8"/>
      <c r="U90" s="8"/>
      <c r="V90" s="10"/>
      <c r="W90" s="8"/>
    </row>
    <row r="91" spans="1:23">
      <c r="A91" s="8"/>
      <c r="B91" s="10"/>
      <c r="C91" s="8"/>
      <c r="D91" s="8"/>
      <c r="E91" s="8"/>
      <c r="F91" s="8"/>
      <c r="G91" s="8"/>
      <c r="H91" s="8"/>
      <c r="I91" s="8"/>
      <c r="J91" s="13"/>
      <c r="K91" s="8"/>
      <c r="L91" s="13"/>
      <c r="M91" s="8"/>
      <c r="N91" s="8"/>
      <c r="O91" s="8"/>
      <c r="P91" s="8"/>
      <c r="Q91" s="13"/>
      <c r="R91" s="13"/>
      <c r="S91" s="14" t="str">
        <f t="shared" si="1"/>
        <v/>
      </c>
      <c r="T91" s="8"/>
      <c r="U91" s="8"/>
      <c r="V91" s="10"/>
      <c r="W91" s="8"/>
    </row>
    <row r="92" spans="1:23">
      <c r="A92" s="8"/>
      <c r="B92" s="10"/>
      <c r="C92" s="8"/>
      <c r="D92" s="8"/>
      <c r="E92" s="8"/>
      <c r="F92" s="8"/>
      <c r="G92" s="8"/>
      <c r="H92" s="8"/>
      <c r="I92" s="8"/>
      <c r="J92" s="13"/>
      <c r="K92" s="8"/>
      <c r="L92" s="13"/>
      <c r="M92" s="8"/>
      <c r="N92" s="8"/>
      <c r="O92" s="8"/>
      <c r="P92" s="8"/>
      <c r="Q92" s="13"/>
      <c r="R92" s="13"/>
      <c r="S92" s="14" t="str">
        <f t="shared" si="1"/>
        <v/>
      </c>
      <c r="T92" s="8"/>
      <c r="U92" s="8"/>
      <c r="V92" s="10"/>
      <c r="W92" s="8"/>
    </row>
    <row r="93" spans="1:23">
      <c r="A93" s="8"/>
      <c r="B93" s="10"/>
      <c r="C93" s="8"/>
      <c r="D93" s="8"/>
      <c r="E93" s="8"/>
      <c r="F93" s="8"/>
      <c r="G93" s="8"/>
      <c r="H93" s="8"/>
      <c r="I93" s="8"/>
      <c r="J93" s="13"/>
      <c r="K93" s="8"/>
      <c r="L93" s="13"/>
      <c r="M93" s="8"/>
      <c r="N93" s="8"/>
      <c r="O93" s="8"/>
      <c r="P93" s="8"/>
      <c r="Q93" s="13"/>
      <c r="R93" s="13"/>
      <c r="S93" s="14" t="str">
        <f t="shared" si="1"/>
        <v/>
      </c>
      <c r="T93" s="8"/>
      <c r="U93" s="8"/>
      <c r="V93" s="10"/>
      <c r="W93" s="8"/>
    </row>
    <row r="94" spans="1:23">
      <c r="A94" s="8"/>
      <c r="B94" s="10"/>
      <c r="C94" s="8"/>
      <c r="D94" s="8"/>
      <c r="E94" s="8"/>
      <c r="F94" s="8"/>
      <c r="G94" s="8"/>
      <c r="H94" s="8"/>
      <c r="I94" s="8"/>
      <c r="J94" s="13"/>
      <c r="K94" s="8"/>
      <c r="L94" s="13"/>
      <c r="M94" s="8"/>
      <c r="N94" s="8"/>
      <c r="O94" s="8"/>
      <c r="P94" s="8"/>
      <c r="Q94" s="13"/>
      <c r="R94" s="13"/>
      <c r="S94" s="14" t="str">
        <f t="shared" si="1"/>
        <v/>
      </c>
      <c r="T94" s="8"/>
      <c r="U94" s="8"/>
      <c r="V94" s="10"/>
      <c r="W94" s="8"/>
    </row>
    <row r="95" spans="1:23">
      <c r="A95" s="8"/>
      <c r="B95" s="10"/>
      <c r="C95" s="8"/>
      <c r="D95" s="8"/>
      <c r="E95" s="8"/>
      <c r="F95" s="8"/>
      <c r="G95" s="8"/>
      <c r="H95" s="8"/>
      <c r="I95" s="8"/>
      <c r="J95" s="13"/>
      <c r="K95" s="8"/>
      <c r="L95" s="13"/>
      <c r="M95" s="8"/>
      <c r="N95" s="8"/>
      <c r="O95" s="8"/>
      <c r="P95" s="8"/>
      <c r="Q95" s="13"/>
      <c r="R95" s="13"/>
      <c r="S95" s="14" t="str">
        <f t="shared" si="1"/>
        <v/>
      </c>
      <c r="T95" s="8"/>
      <c r="U95" s="8"/>
      <c r="V95" s="10"/>
      <c r="W95" s="8"/>
    </row>
    <row r="96" spans="1:23">
      <c r="A96" s="8"/>
      <c r="B96" s="10"/>
      <c r="C96" s="8"/>
      <c r="D96" s="8"/>
      <c r="E96" s="8"/>
      <c r="F96" s="8"/>
      <c r="G96" s="8"/>
      <c r="H96" s="8"/>
      <c r="I96" s="8"/>
      <c r="J96" s="13"/>
      <c r="K96" s="8"/>
      <c r="L96" s="13"/>
      <c r="M96" s="8"/>
      <c r="N96" s="8"/>
      <c r="O96" s="8"/>
      <c r="P96" s="8"/>
      <c r="Q96" s="13"/>
      <c r="R96" s="13"/>
      <c r="S96" s="14" t="str">
        <f t="shared" si="1"/>
        <v/>
      </c>
      <c r="T96" s="8"/>
      <c r="U96" s="8"/>
      <c r="V96" s="10"/>
      <c r="W96" s="8"/>
    </row>
    <row r="97" spans="1:23">
      <c r="A97" s="8"/>
      <c r="B97" s="10"/>
      <c r="C97" s="8"/>
      <c r="D97" s="8"/>
      <c r="E97" s="8"/>
      <c r="F97" s="8"/>
      <c r="G97" s="8"/>
      <c r="H97" s="8"/>
      <c r="I97" s="8"/>
      <c r="J97" s="13"/>
      <c r="K97" s="8"/>
      <c r="L97" s="13"/>
      <c r="M97" s="8"/>
      <c r="N97" s="8"/>
      <c r="O97" s="8"/>
      <c r="P97" s="8"/>
      <c r="Q97" s="13"/>
      <c r="R97" s="13"/>
      <c r="S97" s="14" t="str">
        <f t="shared" si="1"/>
        <v/>
      </c>
      <c r="T97" s="8"/>
      <c r="U97" s="8"/>
      <c r="V97" s="10"/>
      <c r="W97" s="8"/>
    </row>
    <row r="98" spans="1:23">
      <c r="A98" s="8"/>
      <c r="B98" s="10"/>
      <c r="C98" s="8"/>
      <c r="D98" s="8"/>
      <c r="E98" s="8"/>
      <c r="F98" s="8"/>
      <c r="G98" s="8"/>
      <c r="H98" s="8"/>
      <c r="I98" s="8"/>
      <c r="J98" s="13"/>
      <c r="K98" s="8"/>
      <c r="L98" s="13"/>
      <c r="M98" s="8"/>
      <c r="N98" s="8"/>
      <c r="O98" s="8"/>
      <c r="P98" s="8"/>
      <c r="Q98" s="13"/>
      <c r="R98" s="13"/>
      <c r="S98" s="14" t="str">
        <f t="shared" si="1"/>
        <v/>
      </c>
      <c r="T98" s="8"/>
      <c r="U98" s="8"/>
      <c r="V98" s="10"/>
      <c r="W98" s="8"/>
    </row>
    <row r="99" spans="1:23">
      <c r="A99" s="8"/>
      <c r="B99" s="10"/>
      <c r="C99" s="8"/>
      <c r="D99" s="8"/>
      <c r="E99" s="8"/>
      <c r="F99" s="8"/>
      <c r="G99" s="8"/>
      <c r="H99" s="8"/>
      <c r="I99" s="8"/>
      <c r="J99" s="13"/>
      <c r="K99" s="8"/>
      <c r="L99" s="13"/>
      <c r="M99" s="8"/>
      <c r="N99" s="8"/>
      <c r="O99" s="8"/>
      <c r="P99" s="8"/>
      <c r="Q99" s="13"/>
      <c r="R99" s="13"/>
      <c r="S99" s="14" t="str">
        <f t="shared" si="1"/>
        <v/>
      </c>
      <c r="T99" s="8"/>
      <c r="U99" s="8"/>
      <c r="V99" s="10"/>
      <c r="W99" s="8"/>
    </row>
    <row r="100" spans="1:23">
      <c r="A100" s="8"/>
      <c r="B100" s="10"/>
      <c r="C100" s="8"/>
      <c r="D100" s="8"/>
      <c r="E100" s="8"/>
      <c r="F100" s="8"/>
      <c r="G100" s="8"/>
      <c r="H100" s="8"/>
      <c r="I100" s="8"/>
      <c r="J100" s="13"/>
      <c r="K100" s="8"/>
      <c r="L100" s="13"/>
      <c r="M100" s="8"/>
      <c r="N100" s="8"/>
      <c r="O100" s="8"/>
      <c r="P100" s="8"/>
      <c r="Q100" s="13"/>
      <c r="R100" s="13"/>
      <c r="S100" s="14" t="str">
        <f t="shared" si="1"/>
        <v/>
      </c>
      <c r="T100" s="8"/>
      <c r="U100" s="8"/>
      <c r="V100" s="10"/>
      <c r="W100" s="8"/>
    </row>
    <row r="101" spans="1:23">
      <c r="A101" s="8"/>
      <c r="B101" s="10"/>
      <c r="C101" s="8"/>
      <c r="D101" s="8"/>
      <c r="E101" s="8"/>
      <c r="F101" s="8"/>
      <c r="G101" s="8"/>
      <c r="H101" s="8"/>
      <c r="I101" s="8"/>
      <c r="J101" s="13"/>
      <c r="K101" s="8"/>
      <c r="L101" s="13"/>
      <c r="M101" s="8"/>
      <c r="N101" s="8"/>
      <c r="O101" s="8"/>
      <c r="P101" s="8"/>
      <c r="Q101" s="13"/>
      <c r="R101" s="13"/>
      <c r="S101" s="14" t="str">
        <f t="shared" si="1"/>
        <v/>
      </c>
      <c r="T101" s="8"/>
      <c r="U101" s="8"/>
      <c r="V101" s="10"/>
      <c r="W101" s="8"/>
    </row>
    <row r="102" spans="1:23">
      <c r="A102" s="8"/>
      <c r="B102" s="10"/>
      <c r="C102" s="8"/>
      <c r="D102" s="8"/>
      <c r="E102" s="8"/>
      <c r="F102" s="8"/>
      <c r="G102" s="8"/>
      <c r="H102" s="8"/>
      <c r="I102" s="8"/>
      <c r="J102" s="13"/>
      <c r="K102" s="8"/>
      <c r="L102" s="13"/>
      <c r="M102" s="8"/>
      <c r="N102" s="8"/>
      <c r="O102" s="8"/>
      <c r="P102" s="8"/>
      <c r="Q102" s="13"/>
      <c r="R102" s="13"/>
      <c r="S102" s="14" t="str">
        <f t="shared" si="1"/>
        <v/>
      </c>
      <c r="T102" s="8"/>
      <c r="U102" s="8"/>
      <c r="V102" s="10"/>
      <c r="W102" s="8"/>
    </row>
    <row r="103" spans="1:23">
      <c r="A103" s="8"/>
      <c r="B103" s="10"/>
      <c r="C103" s="8"/>
      <c r="D103" s="8"/>
      <c r="E103" s="8"/>
      <c r="F103" s="8"/>
      <c r="G103" s="8"/>
      <c r="H103" s="8"/>
      <c r="I103" s="8"/>
      <c r="J103" s="13"/>
      <c r="K103" s="8"/>
      <c r="L103" s="13"/>
      <c r="M103" s="8"/>
      <c r="N103" s="8"/>
      <c r="O103" s="8"/>
      <c r="P103" s="8"/>
      <c r="Q103" s="13"/>
      <c r="R103" s="13"/>
      <c r="S103" s="14" t="str">
        <f t="shared" si="1"/>
        <v/>
      </c>
      <c r="T103" s="8"/>
      <c r="U103" s="8"/>
      <c r="V103" s="10"/>
      <c r="W103" s="8"/>
    </row>
    <row r="104" spans="1:23">
      <c r="A104" s="8"/>
      <c r="B104" s="10"/>
      <c r="C104" s="8"/>
      <c r="D104" s="8"/>
      <c r="E104" s="8"/>
      <c r="F104" s="8"/>
      <c r="G104" s="8"/>
      <c r="H104" s="8"/>
      <c r="I104" s="8"/>
      <c r="J104" s="13"/>
      <c r="K104" s="8"/>
      <c r="L104" s="13"/>
      <c r="M104" s="8"/>
      <c r="N104" s="8"/>
      <c r="O104" s="8"/>
      <c r="P104" s="8"/>
      <c r="Q104" s="13"/>
      <c r="R104" s="13"/>
      <c r="S104" s="14" t="str">
        <f t="shared" si="1"/>
        <v/>
      </c>
      <c r="T104" s="8"/>
      <c r="U104" s="8"/>
      <c r="V104" s="10"/>
      <c r="W104" s="8"/>
    </row>
    <row r="105" spans="1:23">
      <c r="A105" s="8"/>
      <c r="B105" s="10"/>
      <c r="C105" s="8"/>
      <c r="D105" s="8"/>
      <c r="E105" s="8"/>
      <c r="F105" s="8"/>
      <c r="G105" s="8"/>
      <c r="H105" s="8"/>
      <c r="I105" s="8"/>
      <c r="J105" s="13"/>
      <c r="K105" s="8"/>
      <c r="L105" s="13"/>
      <c r="M105" s="8"/>
      <c r="N105" s="8"/>
      <c r="O105" s="8"/>
      <c r="P105" s="8"/>
      <c r="Q105" s="13"/>
      <c r="R105" s="13"/>
      <c r="S105" s="14" t="str">
        <f t="shared" si="1"/>
        <v/>
      </c>
      <c r="T105" s="8"/>
      <c r="U105" s="8"/>
      <c r="V105" s="10"/>
      <c r="W105" s="8"/>
    </row>
    <row r="106" spans="1:23">
      <c r="A106" s="8"/>
      <c r="B106" s="10"/>
      <c r="C106" s="8"/>
      <c r="D106" s="8"/>
      <c r="E106" s="8"/>
      <c r="F106" s="8"/>
      <c r="G106" s="8"/>
      <c r="H106" s="8"/>
      <c r="I106" s="8"/>
      <c r="J106" s="13"/>
      <c r="K106" s="8"/>
      <c r="L106" s="13"/>
      <c r="M106" s="8"/>
      <c r="N106" s="8"/>
      <c r="O106" s="8"/>
      <c r="P106" s="8"/>
      <c r="Q106" s="13"/>
      <c r="R106" s="13"/>
      <c r="S106" s="14" t="str">
        <f t="shared" si="1"/>
        <v/>
      </c>
      <c r="T106" s="8"/>
      <c r="U106" s="8"/>
      <c r="V106" s="10"/>
      <c r="W106" s="8"/>
    </row>
    <row r="107" spans="1:23">
      <c r="A107" s="8"/>
      <c r="B107" s="10"/>
      <c r="C107" s="8"/>
      <c r="D107" s="8"/>
      <c r="E107" s="8"/>
      <c r="F107" s="8"/>
      <c r="G107" s="8"/>
      <c r="H107" s="8"/>
      <c r="I107" s="8"/>
      <c r="J107" s="13"/>
      <c r="K107" s="8"/>
      <c r="L107" s="13"/>
      <c r="M107" s="8"/>
      <c r="N107" s="8"/>
      <c r="O107" s="8"/>
      <c r="P107" s="8"/>
      <c r="Q107" s="13"/>
      <c r="R107" s="13"/>
      <c r="S107" s="14" t="str">
        <f t="shared" si="1"/>
        <v/>
      </c>
      <c r="T107" s="8"/>
      <c r="U107" s="8"/>
      <c r="V107" s="10"/>
      <c r="W107" s="8"/>
    </row>
    <row r="108" spans="1:23">
      <c r="A108" s="8"/>
      <c r="B108" s="10"/>
      <c r="C108" s="8"/>
      <c r="D108" s="8"/>
      <c r="E108" s="8"/>
      <c r="F108" s="8"/>
      <c r="G108" s="8"/>
      <c r="H108" s="8"/>
      <c r="I108" s="8"/>
      <c r="J108" s="13"/>
      <c r="K108" s="8"/>
      <c r="L108" s="13"/>
      <c r="M108" s="8"/>
      <c r="N108" s="8"/>
      <c r="O108" s="8"/>
      <c r="P108" s="8"/>
      <c r="Q108" s="13"/>
      <c r="R108" s="13"/>
      <c r="S108" s="14" t="str">
        <f t="shared" si="1"/>
        <v/>
      </c>
      <c r="T108" s="8"/>
      <c r="U108" s="8"/>
      <c r="V108" s="10"/>
      <c r="W108" s="8"/>
    </row>
    <row r="109" spans="1:23">
      <c r="A109" s="8"/>
      <c r="B109" s="10"/>
      <c r="C109" s="8"/>
      <c r="D109" s="8"/>
      <c r="E109" s="8"/>
      <c r="F109" s="8"/>
      <c r="G109" s="8"/>
      <c r="H109" s="8"/>
      <c r="I109" s="8"/>
      <c r="J109" s="13"/>
      <c r="K109" s="8"/>
      <c r="L109" s="13"/>
      <c r="M109" s="8"/>
      <c r="N109" s="8"/>
      <c r="O109" s="8"/>
      <c r="P109" s="8"/>
      <c r="Q109" s="13"/>
      <c r="R109" s="13"/>
      <c r="S109" s="14" t="str">
        <f t="shared" si="1"/>
        <v/>
      </c>
      <c r="T109" s="8"/>
      <c r="U109" s="8"/>
      <c r="V109" s="10"/>
      <c r="W109" s="8"/>
    </row>
    <row r="110" spans="1:23">
      <c r="A110" s="8"/>
      <c r="B110" s="10"/>
      <c r="C110" s="8"/>
      <c r="D110" s="8"/>
      <c r="E110" s="8"/>
      <c r="F110" s="8"/>
      <c r="G110" s="8"/>
      <c r="H110" s="8"/>
      <c r="I110" s="8"/>
      <c r="J110" s="13"/>
      <c r="K110" s="8"/>
      <c r="L110" s="13"/>
      <c r="M110" s="8"/>
      <c r="N110" s="8"/>
      <c r="O110" s="8"/>
      <c r="P110" s="8"/>
      <c r="Q110" s="13"/>
      <c r="R110" s="13"/>
      <c r="S110" s="14" t="str">
        <f t="shared" si="1"/>
        <v/>
      </c>
      <c r="T110" s="8"/>
      <c r="U110" s="8"/>
      <c r="V110" s="10"/>
      <c r="W110" s="8"/>
    </row>
    <row r="111" spans="1:23">
      <c r="A111" s="8"/>
      <c r="B111" s="10"/>
      <c r="C111" s="8"/>
      <c r="D111" s="8"/>
      <c r="E111" s="8"/>
      <c r="F111" s="8"/>
      <c r="G111" s="8"/>
      <c r="H111" s="8"/>
      <c r="I111" s="8"/>
      <c r="J111" s="13"/>
      <c r="K111" s="8"/>
      <c r="L111" s="13"/>
      <c r="M111" s="8"/>
      <c r="N111" s="8"/>
      <c r="O111" s="8"/>
      <c r="P111" s="8"/>
      <c r="Q111" s="13"/>
      <c r="R111" s="13"/>
      <c r="S111" s="14" t="str">
        <f t="shared" si="1"/>
        <v/>
      </c>
      <c r="T111" s="8"/>
      <c r="U111" s="8"/>
      <c r="V111" s="10"/>
      <c r="W111" s="8"/>
    </row>
    <row r="112" spans="1:23">
      <c r="A112" s="8"/>
      <c r="B112" s="10"/>
      <c r="C112" s="8"/>
      <c r="D112" s="8"/>
      <c r="E112" s="8"/>
      <c r="F112" s="8"/>
      <c r="G112" s="8"/>
      <c r="H112" s="8"/>
      <c r="I112" s="8"/>
      <c r="J112" s="13"/>
      <c r="K112" s="8"/>
      <c r="L112" s="13"/>
      <c r="M112" s="8"/>
      <c r="N112" s="8"/>
      <c r="O112" s="8"/>
      <c r="P112" s="8"/>
      <c r="Q112" s="13"/>
      <c r="R112" s="13"/>
      <c r="S112" s="14" t="str">
        <f t="shared" si="1"/>
        <v/>
      </c>
      <c r="T112" s="8"/>
      <c r="U112" s="8"/>
      <c r="V112" s="10"/>
      <c r="W112" s="8"/>
    </row>
    <row r="113" spans="1:23">
      <c r="A113" s="8"/>
      <c r="B113" s="10"/>
      <c r="C113" s="8"/>
      <c r="D113" s="8"/>
      <c r="E113" s="8"/>
      <c r="F113" s="8"/>
      <c r="G113" s="8"/>
      <c r="H113" s="8"/>
      <c r="I113" s="8"/>
      <c r="J113" s="13"/>
      <c r="K113" s="8"/>
      <c r="L113" s="13"/>
      <c r="M113" s="8"/>
      <c r="N113" s="8"/>
      <c r="O113" s="8"/>
      <c r="P113" s="8"/>
      <c r="Q113" s="13"/>
      <c r="R113" s="13"/>
      <c r="S113" s="14" t="str">
        <f t="shared" si="1"/>
        <v/>
      </c>
      <c r="T113" s="8"/>
      <c r="U113" s="8"/>
      <c r="V113" s="10"/>
      <c r="W113" s="8"/>
    </row>
    <row r="114" spans="1:23">
      <c r="A114" s="8"/>
      <c r="B114" s="10"/>
      <c r="C114" s="8"/>
      <c r="D114" s="8"/>
      <c r="E114" s="8"/>
      <c r="F114" s="8"/>
      <c r="G114" s="8"/>
      <c r="H114" s="8"/>
      <c r="I114" s="8"/>
      <c r="J114" s="13"/>
      <c r="K114" s="8"/>
      <c r="L114" s="13"/>
      <c r="M114" s="8"/>
      <c r="N114" s="8"/>
      <c r="O114" s="8"/>
      <c r="P114" s="8"/>
      <c r="Q114" s="13"/>
      <c r="R114" s="13"/>
      <c r="S114" s="14" t="str">
        <f t="shared" si="1"/>
        <v/>
      </c>
      <c r="T114" s="8"/>
      <c r="U114" s="8"/>
      <c r="V114" s="10"/>
      <c r="W114" s="8"/>
    </row>
    <row r="115" spans="1:23">
      <c r="A115" s="8"/>
      <c r="B115" s="10"/>
      <c r="C115" s="8"/>
      <c r="D115" s="8"/>
      <c r="E115" s="8"/>
      <c r="F115" s="8"/>
      <c r="G115" s="8"/>
      <c r="H115" s="8"/>
      <c r="I115" s="8"/>
      <c r="J115" s="13"/>
      <c r="K115" s="8"/>
      <c r="L115" s="13"/>
      <c r="M115" s="8"/>
      <c r="N115" s="8"/>
      <c r="O115" s="8"/>
      <c r="P115" s="8"/>
      <c r="Q115" s="13"/>
      <c r="R115" s="13"/>
      <c r="S115" s="14" t="str">
        <f t="shared" si="1"/>
        <v/>
      </c>
      <c r="T115" s="8"/>
      <c r="U115" s="8"/>
      <c r="V115" s="10"/>
      <c r="W115" s="8"/>
    </row>
    <row r="116" spans="1:23">
      <c r="A116" s="8"/>
      <c r="B116" s="10"/>
      <c r="C116" s="8"/>
      <c r="D116" s="8"/>
      <c r="E116" s="8"/>
      <c r="F116" s="8"/>
      <c r="G116" s="8"/>
      <c r="H116" s="8"/>
      <c r="I116" s="8"/>
      <c r="J116" s="13"/>
      <c r="K116" s="8"/>
      <c r="L116" s="13"/>
      <c r="M116" s="8"/>
      <c r="N116" s="8"/>
      <c r="O116" s="8"/>
      <c r="P116" s="8"/>
      <c r="Q116" s="13"/>
      <c r="R116" s="13"/>
      <c r="S116" s="14" t="str">
        <f t="shared" si="1"/>
        <v/>
      </c>
      <c r="T116" s="8"/>
      <c r="U116" s="8"/>
      <c r="V116" s="10"/>
      <c r="W116" s="8"/>
    </row>
    <row r="117" spans="1:23">
      <c r="A117" s="8"/>
      <c r="B117" s="10"/>
      <c r="C117" s="8"/>
      <c r="D117" s="8"/>
      <c r="E117" s="8"/>
      <c r="F117" s="8"/>
      <c r="G117" s="8"/>
      <c r="H117" s="8"/>
      <c r="I117" s="8"/>
      <c r="J117" s="13"/>
      <c r="K117" s="8"/>
      <c r="L117" s="13"/>
      <c r="M117" s="8"/>
      <c r="N117" s="8"/>
      <c r="O117" s="8"/>
      <c r="P117" s="8"/>
      <c r="Q117" s="13"/>
      <c r="R117" s="13"/>
      <c r="S117" s="14" t="str">
        <f t="shared" si="1"/>
        <v/>
      </c>
      <c r="T117" s="8"/>
      <c r="U117" s="8"/>
      <c r="V117" s="10"/>
      <c r="W117" s="8"/>
    </row>
    <row r="118" spans="1:23">
      <c r="A118" s="8"/>
      <c r="B118" s="10"/>
      <c r="C118" s="8"/>
      <c r="D118" s="8"/>
      <c r="E118" s="8"/>
      <c r="F118" s="8"/>
      <c r="G118" s="8"/>
      <c r="H118" s="8"/>
      <c r="I118" s="8"/>
      <c r="J118" s="13"/>
      <c r="K118" s="8"/>
      <c r="L118" s="13"/>
      <c r="M118" s="8"/>
      <c r="N118" s="8"/>
      <c r="O118" s="8"/>
      <c r="P118" s="8"/>
      <c r="Q118" s="13"/>
      <c r="R118" s="13"/>
      <c r="S118" s="14" t="str">
        <f t="shared" si="1"/>
        <v/>
      </c>
      <c r="T118" s="8"/>
      <c r="U118" s="8"/>
      <c r="V118" s="10"/>
      <c r="W118" s="8"/>
    </row>
    <row r="119" spans="1:23">
      <c r="A119" s="8"/>
      <c r="B119" s="10"/>
      <c r="C119" s="8"/>
      <c r="D119" s="8"/>
      <c r="E119" s="8"/>
      <c r="F119" s="8"/>
      <c r="G119" s="8"/>
      <c r="H119" s="8"/>
      <c r="I119" s="8"/>
      <c r="J119" s="13"/>
      <c r="K119" s="8"/>
      <c r="L119" s="13"/>
      <c r="M119" s="8"/>
      <c r="N119" s="8"/>
      <c r="O119" s="8"/>
      <c r="P119" s="8"/>
      <c r="Q119" s="13"/>
      <c r="R119" s="13"/>
      <c r="S119" s="14" t="str">
        <f t="shared" si="1"/>
        <v/>
      </c>
      <c r="T119" s="8"/>
      <c r="U119" s="8"/>
      <c r="V119" s="10"/>
      <c r="W119" s="8"/>
    </row>
    <row r="120" spans="1:23">
      <c r="A120" s="8"/>
      <c r="B120" s="10"/>
      <c r="C120" s="8"/>
      <c r="D120" s="8"/>
      <c r="E120" s="8"/>
      <c r="F120" s="8"/>
      <c r="G120" s="8"/>
      <c r="H120" s="8"/>
      <c r="I120" s="8"/>
      <c r="J120" s="13"/>
      <c r="K120" s="8"/>
      <c r="L120" s="13"/>
      <c r="M120" s="8"/>
      <c r="N120" s="8"/>
      <c r="O120" s="8"/>
      <c r="P120" s="8"/>
      <c r="Q120" s="13"/>
      <c r="R120" s="13"/>
      <c r="S120" s="14" t="str">
        <f t="shared" si="1"/>
        <v/>
      </c>
      <c r="T120" s="8"/>
      <c r="U120" s="8"/>
      <c r="V120" s="10"/>
      <c r="W120" s="8"/>
    </row>
    <row r="121" spans="1:23">
      <c r="A121" s="8"/>
      <c r="B121" s="10"/>
      <c r="C121" s="8"/>
      <c r="D121" s="8"/>
      <c r="E121" s="8"/>
      <c r="F121" s="8"/>
      <c r="G121" s="8"/>
      <c r="H121" s="8"/>
      <c r="I121" s="8"/>
      <c r="J121" s="13"/>
      <c r="K121" s="8"/>
      <c r="L121" s="13"/>
      <c r="M121" s="8"/>
      <c r="N121" s="8"/>
      <c r="O121" s="8"/>
      <c r="P121" s="8"/>
      <c r="Q121" s="13"/>
      <c r="R121" s="13"/>
      <c r="S121" s="14" t="str">
        <f t="shared" si="1"/>
        <v/>
      </c>
      <c r="T121" s="8"/>
      <c r="U121" s="8"/>
      <c r="V121" s="10"/>
      <c r="W121" s="8"/>
    </row>
    <row r="122" spans="1:23">
      <c r="A122" s="8"/>
      <c r="B122" s="10"/>
      <c r="C122" s="8"/>
      <c r="D122" s="8"/>
      <c r="E122" s="8"/>
      <c r="F122" s="8"/>
      <c r="G122" s="8"/>
      <c r="H122" s="8"/>
      <c r="I122" s="8"/>
      <c r="J122" s="13"/>
      <c r="K122" s="8"/>
      <c r="L122" s="13"/>
      <c r="M122" s="8"/>
      <c r="N122" s="8"/>
      <c r="O122" s="8"/>
      <c r="P122" s="8"/>
      <c r="Q122" s="13"/>
      <c r="R122" s="13"/>
      <c r="S122" s="14" t="str">
        <f t="shared" si="1"/>
        <v/>
      </c>
      <c r="T122" s="8"/>
      <c r="U122" s="8"/>
      <c r="V122" s="10"/>
      <c r="W122" s="8"/>
    </row>
    <row r="123" spans="1:23">
      <c r="A123" s="8"/>
      <c r="B123" s="10"/>
      <c r="C123" s="8"/>
      <c r="D123" s="8"/>
      <c r="E123" s="8"/>
      <c r="F123" s="8"/>
      <c r="G123" s="8"/>
      <c r="H123" s="8"/>
      <c r="I123" s="8"/>
      <c r="J123" s="13"/>
      <c r="K123" s="8"/>
      <c r="L123" s="13"/>
      <c r="M123" s="8"/>
      <c r="N123" s="8"/>
      <c r="O123" s="8"/>
      <c r="P123" s="8"/>
      <c r="Q123" s="13"/>
      <c r="R123" s="13"/>
      <c r="S123" s="14" t="str">
        <f t="shared" si="1"/>
        <v/>
      </c>
      <c r="T123" s="8"/>
      <c r="U123" s="8"/>
      <c r="V123" s="10"/>
      <c r="W123" s="8"/>
    </row>
    <row r="124" spans="1:23">
      <c r="A124" s="8"/>
      <c r="B124" s="10"/>
      <c r="C124" s="8"/>
      <c r="D124" s="8"/>
      <c r="E124" s="8"/>
      <c r="F124" s="8"/>
      <c r="G124" s="8"/>
      <c r="H124" s="8"/>
      <c r="I124" s="8"/>
      <c r="J124" s="13"/>
      <c r="K124" s="8"/>
      <c r="L124" s="13"/>
      <c r="M124" s="8"/>
      <c r="N124" s="8"/>
      <c r="O124" s="8"/>
      <c r="P124" s="8"/>
      <c r="Q124" s="13"/>
      <c r="R124" s="13"/>
      <c r="S124" s="14" t="str">
        <f t="shared" si="1"/>
        <v/>
      </c>
      <c r="T124" s="8"/>
      <c r="U124" s="8"/>
      <c r="V124" s="10"/>
      <c r="W124" s="8"/>
    </row>
    <row r="125" spans="1:23">
      <c r="A125" s="8"/>
      <c r="B125" s="10"/>
      <c r="C125" s="8"/>
      <c r="D125" s="8"/>
      <c r="E125" s="8"/>
      <c r="F125" s="8"/>
      <c r="G125" s="8"/>
      <c r="H125" s="8"/>
      <c r="I125" s="8"/>
      <c r="J125" s="13"/>
      <c r="K125" s="8"/>
      <c r="L125" s="13"/>
      <c r="M125" s="8"/>
      <c r="N125" s="8"/>
      <c r="O125" s="8"/>
      <c r="P125" s="8"/>
      <c r="Q125" s="13"/>
      <c r="R125" s="13"/>
      <c r="S125" s="14" t="str">
        <f t="shared" si="1"/>
        <v/>
      </c>
      <c r="T125" s="8"/>
      <c r="U125" s="8"/>
      <c r="V125" s="10"/>
      <c r="W125" s="8"/>
    </row>
    <row r="126" spans="1:23">
      <c r="A126" s="8"/>
      <c r="B126" s="10"/>
      <c r="C126" s="8"/>
      <c r="D126" s="8"/>
      <c r="E126" s="8"/>
      <c r="F126" s="8"/>
      <c r="G126" s="8"/>
      <c r="H126" s="8"/>
      <c r="I126" s="8"/>
      <c r="J126" s="13"/>
      <c r="K126" s="8"/>
      <c r="L126" s="13"/>
      <c r="M126" s="8"/>
      <c r="N126" s="8"/>
      <c r="O126" s="8"/>
      <c r="P126" s="8"/>
      <c r="Q126" s="13"/>
      <c r="R126" s="13"/>
      <c r="S126" s="14" t="str">
        <f t="shared" si="1"/>
        <v/>
      </c>
      <c r="T126" s="8"/>
      <c r="U126" s="8"/>
      <c r="V126" s="10"/>
      <c r="W126" s="8"/>
    </row>
    <row r="127" spans="1:23">
      <c r="A127" s="8"/>
      <c r="B127" s="10"/>
      <c r="C127" s="8"/>
      <c r="D127" s="8"/>
      <c r="E127" s="8"/>
      <c r="F127" s="8"/>
      <c r="G127" s="8"/>
      <c r="H127" s="8"/>
      <c r="I127" s="8"/>
      <c r="J127" s="13"/>
      <c r="K127" s="8"/>
      <c r="L127" s="13"/>
      <c r="M127" s="8"/>
      <c r="N127" s="8"/>
      <c r="O127" s="8"/>
      <c r="P127" s="8"/>
      <c r="Q127" s="13"/>
      <c r="R127" s="13"/>
      <c r="S127" s="14" t="str">
        <f t="shared" si="1"/>
        <v/>
      </c>
      <c r="T127" s="8"/>
      <c r="U127" s="8"/>
      <c r="V127" s="10"/>
      <c r="W127" s="8"/>
    </row>
    <row r="128" spans="1:23">
      <c r="A128" s="8"/>
      <c r="B128" s="10"/>
      <c r="C128" s="8"/>
      <c r="D128" s="8"/>
      <c r="E128" s="8"/>
      <c r="F128" s="8"/>
      <c r="G128" s="8"/>
      <c r="H128" s="8"/>
      <c r="I128" s="8"/>
      <c r="J128" s="13"/>
      <c r="K128" s="8"/>
      <c r="L128" s="13"/>
      <c r="M128" s="8"/>
      <c r="N128" s="8"/>
      <c r="O128" s="8"/>
      <c r="P128" s="8"/>
      <c r="Q128" s="13"/>
      <c r="R128" s="13"/>
      <c r="S128" s="14" t="str">
        <f t="shared" si="1"/>
        <v/>
      </c>
      <c r="T128" s="8"/>
      <c r="U128" s="8"/>
      <c r="V128" s="10"/>
      <c r="W128" s="8"/>
    </row>
    <row r="129" spans="1:23">
      <c r="A129" s="8"/>
      <c r="B129" s="10"/>
      <c r="C129" s="8"/>
      <c r="D129" s="8"/>
      <c r="E129" s="8"/>
      <c r="F129" s="8"/>
      <c r="G129" s="8"/>
      <c r="H129" s="8"/>
      <c r="I129" s="8"/>
      <c r="J129" s="13"/>
      <c r="K129" s="8"/>
      <c r="L129" s="13"/>
      <c r="M129" s="8"/>
      <c r="N129" s="8"/>
      <c r="O129" s="8"/>
      <c r="P129" s="8"/>
      <c r="Q129" s="13"/>
      <c r="R129" s="13"/>
      <c r="S129" s="14" t="str">
        <f t="shared" si="1"/>
        <v/>
      </c>
      <c r="T129" s="8"/>
      <c r="U129" s="8"/>
      <c r="V129" s="10"/>
      <c r="W129" s="8"/>
    </row>
    <row r="130" spans="1:23">
      <c r="A130" s="8"/>
      <c r="B130" s="10"/>
      <c r="C130" s="8"/>
      <c r="D130" s="8"/>
      <c r="E130" s="8"/>
      <c r="F130" s="8"/>
      <c r="G130" s="8"/>
      <c r="H130" s="8"/>
      <c r="I130" s="8"/>
      <c r="J130" s="13"/>
      <c r="K130" s="8"/>
      <c r="L130" s="13"/>
      <c r="M130" s="8"/>
      <c r="N130" s="8"/>
      <c r="O130" s="8"/>
      <c r="P130" s="8"/>
      <c r="Q130" s="13"/>
      <c r="R130" s="13"/>
      <c r="S130" s="14" t="str">
        <f t="shared" si="1"/>
        <v/>
      </c>
      <c r="T130" s="8"/>
      <c r="U130" s="8"/>
      <c r="V130" s="10"/>
      <c r="W130" s="8"/>
    </row>
    <row r="131" spans="1:23">
      <c r="A131" s="8"/>
      <c r="B131" s="10"/>
      <c r="C131" s="8"/>
      <c r="D131" s="8"/>
      <c r="E131" s="8"/>
      <c r="F131" s="8"/>
      <c r="G131" s="8"/>
      <c r="H131" s="8"/>
      <c r="I131" s="8"/>
      <c r="J131" s="13"/>
      <c r="K131" s="8"/>
      <c r="L131" s="13"/>
      <c r="M131" s="8"/>
      <c r="N131" s="8"/>
      <c r="O131" s="8"/>
      <c r="P131" s="8"/>
      <c r="Q131" s="13"/>
      <c r="R131" s="13"/>
      <c r="S131" s="14" t="str">
        <f t="shared" si="1"/>
        <v/>
      </c>
      <c r="T131" s="8"/>
      <c r="U131" s="8"/>
      <c r="V131" s="10"/>
      <c r="W131" s="8"/>
    </row>
    <row r="132" spans="1:23">
      <c r="A132" s="8"/>
      <c r="B132" s="10"/>
      <c r="C132" s="8"/>
      <c r="D132" s="8"/>
      <c r="E132" s="8"/>
      <c r="F132" s="8"/>
      <c r="G132" s="8"/>
      <c r="H132" s="8"/>
      <c r="I132" s="8"/>
      <c r="J132" s="13"/>
      <c r="K132" s="8"/>
      <c r="L132" s="13"/>
      <c r="M132" s="8"/>
      <c r="N132" s="8"/>
      <c r="O132" s="8"/>
      <c r="P132" s="8"/>
      <c r="Q132" s="13"/>
      <c r="R132" s="13"/>
      <c r="S132" s="14" t="str">
        <f t="shared" si="1"/>
        <v/>
      </c>
      <c r="T132" s="8"/>
      <c r="U132" s="8"/>
      <c r="V132" s="10"/>
      <c r="W132" s="8"/>
    </row>
    <row r="133" spans="1:23">
      <c r="A133" s="8"/>
      <c r="B133" s="10"/>
      <c r="C133" s="8"/>
      <c r="D133" s="8"/>
      <c r="E133" s="8"/>
      <c r="F133" s="8"/>
      <c r="G133" s="8"/>
      <c r="H133" s="8"/>
      <c r="I133" s="8"/>
      <c r="J133" s="13"/>
      <c r="K133" s="8"/>
      <c r="L133" s="13"/>
      <c r="M133" s="8"/>
      <c r="N133" s="8"/>
      <c r="O133" s="8"/>
      <c r="P133" s="8"/>
      <c r="Q133" s="13"/>
      <c r="R133" s="13"/>
      <c r="S133" s="14" t="str">
        <f t="shared" ref="S133:S196" si="2">IF(A133="","",MAX(0,J133-Q133))</f>
        <v/>
      </c>
      <c r="T133" s="8"/>
      <c r="U133" s="8"/>
      <c r="V133" s="10"/>
      <c r="W133" s="8"/>
    </row>
    <row r="134" spans="1:23">
      <c r="A134" s="8"/>
      <c r="B134" s="10"/>
      <c r="C134" s="8"/>
      <c r="D134" s="8"/>
      <c r="E134" s="8"/>
      <c r="F134" s="8"/>
      <c r="G134" s="8"/>
      <c r="H134" s="8"/>
      <c r="I134" s="8"/>
      <c r="J134" s="13"/>
      <c r="K134" s="8"/>
      <c r="L134" s="13"/>
      <c r="M134" s="8"/>
      <c r="N134" s="8"/>
      <c r="O134" s="8"/>
      <c r="P134" s="8"/>
      <c r="Q134" s="13"/>
      <c r="R134" s="13"/>
      <c r="S134" s="14" t="str">
        <f t="shared" si="2"/>
        <v/>
      </c>
      <c r="T134" s="8"/>
      <c r="U134" s="8"/>
      <c r="V134" s="10"/>
      <c r="W134" s="8"/>
    </row>
    <row r="135" spans="1:23">
      <c r="A135" s="8"/>
      <c r="B135" s="10"/>
      <c r="C135" s="8"/>
      <c r="D135" s="8"/>
      <c r="E135" s="8"/>
      <c r="F135" s="8"/>
      <c r="G135" s="8"/>
      <c r="H135" s="8"/>
      <c r="I135" s="8"/>
      <c r="J135" s="13"/>
      <c r="K135" s="8"/>
      <c r="L135" s="13"/>
      <c r="M135" s="8"/>
      <c r="N135" s="8"/>
      <c r="O135" s="8"/>
      <c r="P135" s="8"/>
      <c r="Q135" s="13"/>
      <c r="R135" s="13"/>
      <c r="S135" s="14" t="str">
        <f t="shared" si="2"/>
        <v/>
      </c>
      <c r="T135" s="8"/>
      <c r="U135" s="8"/>
      <c r="V135" s="10"/>
      <c r="W135" s="8"/>
    </row>
    <row r="136" spans="1:23">
      <c r="A136" s="8"/>
      <c r="B136" s="10"/>
      <c r="C136" s="8"/>
      <c r="D136" s="8"/>
      <c r="E136" s="8"/>
      <c r="F136" s="8"/>
      <c r="G136" s="8"/>
      <c r="H136" s="8"/>
      <c r="I136" s="8"/>
      <c r="J136" s="13"/>
      <c r="K136" s="8"/>
      <c r="L136" s="13"/>
      <c r="M136" s="8"/>
      <c r="N136" s="8"/>
      <c r="O136" s="8"/>
      <c r="P136" s="8"/>
      <c r="Q136" s="13"/>
      <c r="R136" s="13"/>
      <c r="S136" s="14" t="str">
        <f t="shared" si="2"/>
        <v/>
      </c>
      <c r="T136" s="8"/>
      <c r="U136" s="8"/>
      <c r="V136" s="10"/>
      <c r="W136" s="8"/>
    </row>
    <row r="137" spans="1:23">
      <c r="A137" s="8"/>
      <c r="B137" s="10"/>
      <c r="C137" s="8"/>
      <c r="D137" s="8"/>
      <c r="E137" s="8"/>
      <c r="F137" s="8"/>
      <c r="G137" s="8"/>
      <c r="H137" s="8"/>
      <c r="I137" s="8"/>
      <c r="J137" s="13"/>
      <c r="K137" s="8"/>
      <c r="L137" s="13"/>
      <c r="M137" s="8"/>
      <c r="N137" s="8"/>
      <c r="O137" s="8"/>
      <c r="P137" s="8"/>
      <c r="Q137" s="13"/>
      <c r="R137" s="13"/>
      <c r="S137" s="14" t="str">
        <f t="shared" si="2"/>
        <v/>
      </c>
      <c r="T137" s="8"/>
      <c r="U137" s="8"/>
      <c r="V137" s="10"/>
      <c r="W137" s="8"/>
    </row>
    <row r="138" spans="1:23">
      <c r="A138" s="8"/>
      <c r="B138" s="10"/>
      <c r="C138" s="8"/>
      <c r="D138" s="8"/>
      <c r="E138" s="8"/>
      <c r="F138" s="8"/>
      <c r="G138" s="8"/>
      <c r="H138" s="8"/>
      <c r="I138" s="8"/>
      <c r="J138" s="13"/>
      <c r="K138" s="8"/>
      <c r="L138" s="13"/>
      <c r="M138" s="8"/>
      <c r="N138" s="8"/>
      <c r="O138" s="8"/>
      <c r="P138" s="8"/>
      <c r="Q138" s="13"/>
      <c r="R138" s="13"/>
      <c r="S138" s="14" t="str">
        <f t="shared" si="2"/>
        <v/>
      </c>
      <c r="T138" s="8"/>
      <c r="U138" s="8"/>
      <c r="V138" s="10"/>
      <c r="W138" s="8"/>
    </row>
    <row r="139" spans="1:23">
      <c r="A139" s="8"/>
      <c r="B139" s="10"/>
      <c r="C139" s="8"/>
      <c r="D139" s="8"/>
      <c r="E139" s="8"/>
      <c r="F139" s="8"/>
      <c r="G139" s="8"/>
      <c r="H139" s="8"/>
      <c r="I139" s="8"/>
      <c r="J139" s="13"/>
      <c r="K139" s="8"/>
      <c r="L139" s="13"/>
      <c r="M139" s="8"/>
      <c r="N139" s="8"/>
      <c r="O139" s="8"/>
      <c r="P139" s="8"/>
      <c r="Q139" s="13"/>
      <c r="R139" s="13"/>
      <c r="S139" s="14" t="str">
        <f t="shared" si="2"/>
        <v/>
      </c>
      <c r="T139" s="8"/>
      <c r="U139" s="8"/>
      <c r="V139" s="10"/>
      <c r="W139" s="8"/>
    </row>
    <row r="140" spans="1:23">
      <c r="A140" s="8"/>
      <c r="B140" s="10"/>
      <c r="C140" s="8"/>
      <c r="D140" s="8"/>
      <c r="E140" s="8"/>
      <c r="F140" s="8"/>
      <c r="G140" s="8"/>
      <c r="H140" s="8"/>
      <c r="I140" s="8"/>
      <c r="J140" s="13"/>
      <c r="K140" s="8"/>
      <c r="L140" s="13"/>
      <c r="M140" s="8"/>
      <c r="N140" s="8"/>
      <c r="O140" s="8"/>
      <c r="P140" s="8"/>
      <c r="Q140" s="13"/>
      <c r="R140" s="13"/>
      <c r="S140" s="14" t="str">
        <f t="shared" si="2"/>
        <v/>
      </c>
      <c r="T140" s="8"/>
      <c r="U140" s="8"/>
      <c r="V140" s="10"/>
      <c r="W140" s="8"/>
    </row>
    <row r="141" spans="1:23">
      <c r="A141" s="8"/>
      <c r="B141" s="10"/>
      <c r="C141" s="8"/>
      <c r="D141" s="8"/>
      <c r="E141" s="8"/>
      <c r="F141" s="8"/>
      <c r="G141" s="8"/>
      <c r="H141" s="8"/>
      <c r="I141" s="8"/>
      <c r="J141" s="13"/>
      <c r="K141" s="8"/>
      <c r="L141" s="13"/>
      <c r="M141" s="8"/>
      <c r="N141" s="8"/>
      <c r="O141" s="8"/>
      <c r="P141" s="8"/>
      <c r="Q141" s="13"/>
      <c r="R141" s="13"/>
      <c r="S141" s="14" t="str">
        <f t="shared" si="2"/>
        <v/>
      </c>
      <c r="T141" s="8"/>
      <c r="U141" s="8"/>
      <c r="V141" s="10"/>
      <c r="W141" s="8"/>
    </row>
    <row r="142" spans="1:23">
      <c r="A142" s="8"/>
      <c r="B142" s="10"/>
      <c r="C142" s="8"/>
      <c r="D142" s="8"/>
      <c r="E142" s="8"/>
      <c r="F142" s="8"/>
      <c r="G142" s="8"/>
      <c r="H142" s="8"/>
      <c r="I142" s="8"/>
      <c r="J142" s="13"/>
      <c r="K142" s="8"/>
      <c r="L142" s="13"/>
      <c r="M142" s="8"/>
      <c r="N142" s="8"/>
      <c r="O142" s="8"/>
      <c r="P142" s="8"/>
      <c r="Q142" s="13"/>
      <c r="R142" s="13"/>
      <c r="S142" s="14" t="str">
        <f t="shared" si="2"/>
        <v/>
      </c>
      <c r="T142" s="8"/>
      <c r="U142" s="8"/>
      <c r="V142" s="10"/>
      <c r="W142" s="8"/>
    </row>
    <row r="143" spans="1:23">
      <c r="A143" s="8"/>
      <c r="B143" s="10"/>
      <c r="C143" s="8"/>
      <c r="D143" s="8"/>
      <c r="E143" s="8"/>
      <c r="F143" s="8"/>
      <c r="G143" s="8"/>
      <c r="H143" s="8"/>
      <c r="I143" s="8"/>
      <c r="J143" s="13"/>
      <c r="K143" s="8"/>
      <c r="L143" s="13"/>
      <c r="M143" s="8"/>
      <c r="N143" s="8"/>
      <c r="O143" s="8"/>
      <c r="P143" s="8"/>
      <c r="Q143" s="13"/>
      <c r="R143" s="13"/>
      <c r="S143" s="14" t="str">
        <f t="shared" si="2"/>
        <v/>
      </c>
      <c r="T143" s="8"/>
      <c r="U143" s="8"/>
      <c r="V143" s="10"/>
      <c r="W143" s="8"/>
    </row>
    <row r="144" spans="1:23">
      <c r="A144" s="8"/>
      <c r="B144" s="10"/>
      <c r="C144" s="8"/>
      <c r="D144" s="8"/>
      <c r="E144" s="8"/>
      <c r="F144" s="8"/>
      <c r="G144" s="8"/>
      <c r="H144" s="8"/>
      <c r="I144" s="8"/>
      <c r="J144" s="13"/>
      <c r="K144" s="8"/>
      <c r="L144" s="13"/>
      <c r="M144" s="8"/>
      <c r="N144" s="8"/>
      <c r="O144" s="8"/>
      <c r="P144" s="8"/>
      <c r="Q144" s="13"/>
      <c r="R144" s="13"/>
      <c r="S144" s="14" t="str">
        <f t="shared" si="2"/>
        <v/>
      </c>
      <c r="T144" s="8"/>
      <c r="U144" s="8"/>
      <c r="V144" s="10"/>
      <c r="W144" s="8"/>
    </row>
    <row r="145" spans="1:23">
      <c r="A145" s="8"/>
      <c r="B145" s="10"/>
      <c r="C145" s="8"/>
      <c r="D145" s="8"/>
      <c r="E145" s="8"/>
      <c r="F145" s="8"/>
      <c r="G145" s="8"/>
      <c r="H145" s="8"/>
      <c r="I145" s="8"/>
      <c r="J145" s="13"/>
      <c r="K145" s="8"/>
      <c r="L145" s="13"/>
      <c r="M145" s="8"/>
      <c r="N145" s="8"/>
      <c r="O145" s="8"/>
      <c r="P145" s="8"/>
      <c r="Q145" s="13"/>
      <c r="R145" s="13"/>
      <c r="S145" s="14" t="str">
        <f t="shared" si="2"/>
        <v/>
      </c>
      <c r="T145" s="8"/>
      <c r="U145" s="8"/>
      <c r="V145" s="10"/>
      <c r="W145" s="8"/>
    </row>
    <row r="146" spans="1:23">
      <c r="A146" s="8"/>
      <c r="B146" s="10"/>
      <c r="C146" s="8"/>
      <c r="D146" s="8"/>
      <c r="E146" s="8"/>
      <c r="F146" s="8"/>
      <c r="G146" s="8"/>
      <c r="H146" s="8"/>
      <c r="I146" s="8"/>
      <c r="J146" s="13"/>
      <c r="K146" s="8"/>
      <c r="L146" s="13"/>
      <c r="M146" s="8"/>
      <c r="N146" s="8"/>
      <c r="O146" s="8"/>
      <c r="P146" s="8"/>
      <c r="Q146" s="13"/>
      <c r="R146" s="13"/>
      <c r="S146" s="14" t="str">
        <f t="shared" si="2"/>
        <v/>
      </c>
      <c r="T146" s="8"/>
      <c r="U146" s="8"/>
      <c r="V146" s="10"/>
      <c r="W146" s="8"/>
    </row>
    <row r="147" spans="1:23">
      <c r="A147" s="8"/>
      <c r="B147" s="10"/>
      <c r="C147" s="8"/>
      <c r="D147" s="8"/>
      <c r="E147" s="8"/>
      <c r="F147" s="8"/>
      <c r="G147" s="8"/>
      <c r="H147" s="8"/>
      <c r="I147" s="8"/>
      <c r="J147" s="13"/>
      <c r="K147" s="8"/>
      <c r="L147" s="13"/>
      <c r="M147" s="8"/>
      <c r="N147" s="8"/>
      <c r="O147" s="8"/>
      <c r="P147" s="8"/>
      <c r="Q147" s="13"/>
      <c r="R147" s="13"/>
      <c r="S147" s="14" t="str">
        <f t="shared" si="2"/>
        <v/>
      </c>
      <c r="T147" s="8"/>
      <c r="U147" s="8"/>
      <c r="V147" s="10"/>
      <c r="W147" s="8"/>
    </row>
    <row r="148" spans="1:23">
      <c r="A148" s="8"/>
      <c r="B148" s="10"/>
      <c r="C148" s="8"/>
      <c r="D148" s="8"/>
      <c r="E148" s="8"/>
      <c r="F148" s="8"/>
      <c r="G148" s="8"/>
      <c r="H148" s="8"/>
      <c r="I148" s="8"/>
      <c r="J148" s="13"/>
      <c r="K148" s="8"/>
      <c r="L148" s="13"/>
      <c r="M148" s="8"/>
      <c r="N148" s="8"/>
      <c r="O148" s="8"/>
      <c r="P148" s="8"/>
      <c r="Q148" s="13"/>
      <c r="R148" s="13"/>
      <c r="S148" s="14" t="str">
        <f t="shared" si="2"/>
        <v/>
      </c>
      <c r="T148" s="8"/>
      <c r="U148" s="8"/>
      <c r="V148" s="10"/>
      <c r="W148" s="8"/>
    </row>
    <row r="149" spans="1:23">
      <c r="A149" s="8"/>
      <c r="B149" s="10"/>
      <c r="C149" s="8"/>
      <c r="D149" s="8"/>
      <c r="E149" s="8"/>
      <c r="F149" s="8"/>
      <c r="G149" s="8"/>
      <c r="H149" s="8"/>
      <c r="I149" s="8"/>
      <c r="J149" s="13"/>
      <c r="K149" s="8"/>
      <c r="L149" s="13"/>
      <c r="M149" s="8"/>
      <c r="N149" s="8"/>
      <c r="O149" s="8"/>
      <c r="P149" s="8"/>
      <c r="Q149" s="13"/>
      <c r="R149" s="13"/>
      <c r="S149" s="14" t="str">
        <f t="shared" si="2"/>
        <v/>
      </c>
      <c r="T149" s="8"/>
      <c r="U149" s="8"/>
      <c r="V149" s="10"/>
      <c r="W149" s="8"/>
    </row>
    <row r="150" spans="1:23">
      <c r="A150" s="8"/>
      <c r="B150" s="10"/>
      <c r="C150" s="8"/>
      <c r="D150" s="8"/>
      <c r="E150" s="8"/>
      <c r="F150" s="8"/>
      <c r="G150" s="8"/>
      <c r="H150" s="8"/>
      <c r="I150" s="8"/>
      <c r="J150" s="13"/>
      <c r="K150" s="8"/>
      <c r="L150" s="13"/>
      <c r="M150" s="8"/>
      <c r="N150" s="8"/>
      <c r="O150" s="8"/>
      <c r="P150" s="8"/>
      <c r="Q150" s="13"/>
      <c r="R150" s="13"/>
      <c r="S150" s="14" t="str">
        <f t="shared" si="2"/>
        <v/>
      </c>
      <c r="T150" s="8"/>
      <c r="U150" s="8"/>
      <c r="V150" s="10"/>
      <c r="W150" s="8"/>
    </row>
    <row r="151" spans="1:23">
      <c r="A151" s="8"/>
      <c r="B151" s="10"/>
      <c r="C151" s="8"/>
      <c r="D151" s="8"/>
      <c r="E151" s="8"/>
      <c r="F151" s="8"/>
      <c r="G151" s="8"/>
      <c r="H151" s="8"/>
      <c r="I151" s="8"/>
      <c r="J151" s="13"/>
      <c r="K151" s="8"/>
      <c r="L151" s="13"/>
      <c r="M151" s="8"/>
      <c r="N151" s="8"/>
      <c r="O151" s="8"/>
      <c r="P151" s="8"/>
      <c r="Q151" s="13"/>
      <c r="R151" s="13"/>
      <c r="S151" s="14" t="str">
        <f t="shared" si="2"/>
        <v/>
      </c>
      <c r="T151" s="8"/>
      <c r="U151" s="8"/>
      <c r="V151" s="10"/>
      <c r="W151" s="8"/>
    </row>
    <row r="152" spans="1:23">
      <c r="A152" s="8"/>
      <c r="B152" s="10"/>
      <c r="C152" s="8"/>
      <c r="D152" s="8"/>
      <c r="E152" s="8"/>
      <c r="F152" s="8"/>
      <c r="G152" s="8"/>
      <c r="H152" s="8"/>
      <c r="I152" s="8"/>
      <c r="J152" s="13"/>
      <c r="K152" s="8"/>
      <c r="L152" s="13"/>
      <c r="M152" s="8"/>
      <c r="N152" s="8"/>
      <c r="O152" s="8"/>
      <c r="P152" s="8"/>
      <c r="Q152" s="13"/>
      <c r="R152" s="13"/>
      <c r="S152" s="14" t="str">
        <f t="shared" si="2"/>
        <v/>
      </c>
      <c r="T152" s="8"/>
      <c r="U152" s="8"/>
      <c r="V152" s="10"/>
      <c r="W152" s="8"/>
    </row>
    <row r="153" spans="1:23">
      <c r="A153" s="8"/>
      <c r="B153" s="10"/>
      <c r="C153" s="8"/>
      <c r="D153" s="8"/>
      <c r="E153" s="8"/>
      <c r="F153" s="8"/>
      <c r="G153" s="8"/>
      <c r="H153" s="8"/>
      <c r="I153" s="8"/>
      <c r="J153" s="13"/>
      <c r="K153" s="8"/>
      <c r="L153" s="13"/>
      <c r="M153" s="8"/>
      <c r="N153" s="8"/>
      <c r="O153" s="8"/>
      <c r="P153" s="8"/>
      <c r="Q153" s="13"/>
      <c r="R153" s="13"/>
      <c r="S153" s="14" t="str">
        <f t="shared" si="2"/>
        <v/>
      </c>
      <c r="T153" s="8"/>
      <c r="U153" s="8"/>
      <c r="V153" s="10"/>
      <c r="W153" s="8"/>
    </row>
    <row r="154" spans="1:23">
      <c r="A154" s="8"/>
      <c r="B154" s="10"/>
      <c r="C154" s="8"/>
      <c r="D154" s="8"/>
      <c r="E154" s="8"/>
      <c r="F154" s="8"/>
      <c r="G154" s="8"/>
      <c r="H154" s="8"/>
      <c r="I154" s="8"/>
      <c r="J154" s="13"/>
      <c r="K154" s="8"/>
      <c r="L154" s="13"/>
      <c r="M154" s="8"/>
      <c r="N154" s="8"/>
      <c r="O154" s="8"/>
      <c r="P154" s="8"/>
      <c r="Q154" s="13"/>
      <c r="R154" s="13"/>
      <c r="S154" s="14" t="str">
        <f t="shared" si="2"/>
        <v/>
      </c>
      <c r="T154" s="8"/>
      <c r="U154" s="8"/>
      <c r="V154" s="10"/>
      <c r="W154" s="8"/>
    </row>
    <row r="155" spans="1:23">
      <c r="A155" s="8"/>
      <c r="B155" s="10"/>
      <c r="C155" s="8"/>
      <c r="D155" s="8"/>
      <c r="E155" s="8"/>
      <c r="F155" s="8"/>
      <c r="G155" s="8"/>
      <c r="H155" s="8"/>
      <c r="I155" s="8"/>
      <c r="J155" s="13"/>
      <c r="K155" s="8"/>
      <c r="L155" s="13"/>
      <c r="M155" s="8"/>
      <c r="N155" s="8"/>
      <c r="O155" s="8"/>
      <c r="P155" s="8"/>
      <c r="Q155" s="13"/>
      <c r="R155" s="13"/>
      <c r="S155" s="14" t="str">
        <f t="shared" si="2"/>
        <v/>
      </c>
      <c r="T155" s="8"/>
      <c r="U155" s="8"/>
      <c r="V155" s="10"/>
      <c r="W155" s="8"/>
    </row>
    <row r="156" spans="1:23">
      <c r="A156" s="8"/>
      <c r="B156" s="10"/>
      <c r="C156" s="8"/>
      <c r="D156" s="8"/>
      <c r="E156" s="8"/>
      <c r="F156" s="8"/>
      <c r="G156" s="8"/>
      <c r="H156" s="8"/>
      <c r="I156" s="8"/>
      <c r="J156" s="13"/>
      <c r="K156" s="8"/>
      <c r="L156" s="13"/>
      <c r="M156" s="8"/>
      <c r="N156" s="8"/>
      <c r="O156" s="8"/>
      <c r="P156" s="8"/>
      <c r="Q156" s="13"/>
      <c r="R156" s="13"/>
      <c r="S156" s="14" t="str">
        <f t="shared" si="2"/>
        <v/>
      </c>
      <c r="T156" s="8"/>
      <c r="U156" s="8"/>
      <c r="V156" s="10"/>
      <c r="W156" s="8"/>
    </row>
    <row r="157" spans="1:23">
      <c r="A157" s="8"/>
      <c r="B157" s="10"/>
      <c r="C157" s="8"/>
      <c r="D157" s="8"/>
      <c r="E157" s="8"/>
      <c r="F157" s="8"/>
      <c r="G157" s="8"/>
      <c r="H157" s="8"/>
      <c r="I157" s="8"/>
      <c r="J157" s="13"/>
      <c r="K157" s="8"/>
      <c r="L157" s="13"/>
      <c r="M157" s="8"/>
      <c r="N157" s="8"/>
      <c r="O157" s="8"/>
      <c r="P157" s="8"/>
      <c r="Q157" s="13"/>
      <c r="R157" s="13"/>
      <c r="S157" s="14" t="str">
        <f t="shared" si="2"/>
        <v/>
      </c>
      <c r="T157" s="8"/>
      <c r="U157" s="8"/>
      <c r="V157" s="10"/>
      <c r="W157" s="8"/>
    </row>
    <row r="158" spans="1:23">
      <c r="A158" s="8"/>
      <c r="B158" s="10"/>
      <c r="C158" s="8"/>
      <c r="D158" s="8"/>
      <c r="E158" s="8"/>
      <c r="F158" s="8"/>
      <c r="G158" s="8"/>
      <c r="H158" s="8"/>
      <c r="I158" s="8"/>
      <c r="J158" s="13"/>
      <c r="K158" s="8"/>
      <c r="L158" s="13"/>
      <c r="M158" s="8"/>
      <c r="N158" s="8"/>
      <c r="O158" s="8"/>
      <c r="P158" s="8"/>
      <c r="Q158" s="13"/>
      <c r="R158" s="13"/>
      <c r="S158" s="14" t="str">
        <f t="shared" si="2"/>
        <v/>
      </c>
      <c r="T158" s="8"/>
      <c r="U158" s="8"/>
      <c r="V158" s="10"/>
      <c r="W158" s="8"/>
    </row>
    <row r="159" spans="1:23">
      <c r="A159" s="8"/>
      <c r="B159" s="10"/>
      <c r="C159" s="8"/>
      <c r="D159" s="8"/>
      <c r="E159" s="8"/>
      <c r="F159" s="8"/>
      <c r="G159" s="8"/>
      <c r="H159" s="8"/>
      <c r="I159" s="8"/>
      <c r="J159" s="13"/>
      <c r="K159" s="8"/>
      <c r="L159" s="13"/>
      <c r="M159" s="8"/>
      <c r="N159" s="8"/>
      <c r="O159" s="8"/>
      <c r="P159" s="8"/>
      <c r="Q159" s="13"/>
      <c r="R159" s="13"/>
      <c r="S159" s="14" t="str">
        <f t="shared" si="2"/>
        <v/>
      </c>
      <c r="T159" s="8"/>
      <c r="U159" s="8"/>
      <c r="V159" s="10"/>
      <c r="W159" s="8"/>
    </row>
    <row r="160" spans="1:23">
      <c r="A160" s="8"/>
      <c r="B160" s="10"/>
      <c r="C160" s="8"/>
      <c r="D160" s="8"/>
      <c r="E160" s="8"/>
      <c r="F160" s="8"/>
      <c r="G160" s="8"/>
      <c r="H160" s="8"/>
      <c r="I160" s="8"/>
      <c r="J160" s="13"/>
      <c r="K160" s="8"/>
      <c r="L160" s="13"/>
      <c r="M160" s="8"/>
      <c r="N160" s="8"/>
      <c r="O160" s="8"/>
      <c r="P160" s="8"/>
      <c r="Q160" s="13"/>
      <c r="R160" s="13"/>
      <c r="S160" s="14" t="str">
        <f t="shared" si="2"/>
        <v/>
      </c>
      <c r="T160" s="8"/>
      <c r="U160" s="8"/>
      <c r="V160" s="10"/>
      <c r="W160" s="8"/>
    </row>
    <row r="161" spans="1:23">
      <c r="A161" s="8"/>
      <c r="B161" s="10"/>
      <c r="C161" s="8"/>
      <c r="D161" s="8"/>
      <c r="E161" s="8"/>
      <c r="F161" s="8"/>
      <c r="G161" s="8"/>
      <c r="H161" s="8"/>
      <c r="I161" s="8"/>
      <c r="J161" s="13"/>
      <c r="K161" s="8"/>
      <c r="L161" s="13"/>
      <c r="M161" s="8"/>
      <c r="N161" s="8"/>
      <c r="O161" s="8"/>
      <c r="P161" s="8"/>
      <c r="Q161" s="13"/>
      <c r="R161" s="13"/>
      <c r="S161" s="14" t="str">
        <f t="shared" si="2"/>
        <v/>
      </c>
      <c r="T161" s="8"/>
      <c r="U161" s="8"/>
      <c r="V161" s="10"/>
      <c r="W161" s="8"/>
    </row>
    <row r="162" spans="1:23">
      <c r="A162" s="8"/>
      <c r="B162" s="10"/>
      <c r="C162" s="8"/>
      <c r="D162" s="8"/>
      <c r="E162" s="8"/>
      <c r="F162" s="8"/>
      <c r="G162" s="8"/>
      <c r="H162" s="8"/>
      <c r="I162" s="8"/>
      <c r="J162" s="13"/>
      <c r="K162" s="8"/>
      <c r="L162" s="13"/>
      <c r="M162" s="8"/>
      <c r="N162" s="8"/>
      <c r="O162" s="8"/>
      <c r="P162" s="8"/>
      <c r="Q162" s="13"/>
      <c r="R162" s="13"/>
      <c r="S162" s="14" t="str">
        <f t="shared" si="2"/>
        <v/>
      </c>
      <c r="T162" s="8"/>
      <c r="U162" s="8"/>
      <c r="V162" s="10"/>
      <c r="W162" s="8"/>
    </row>
    <row r="163" spans="1:23">
      <c r="A163" s="8"/>
      <c r="B163" s="10"/>
      <c r="C163" s="8"/>
      <c r="D163" s="8"/>
      <c r="E163" s="8"/>
      <c r="F163" s="8"/>
      <c r="G163" s="8"/>
      <c r="H163" s="8"/>
      <c r="I163" s="8"/>
      <c r="J163" s="13"/>
      <c r="K163" s="8"/>
      <c r="L163" s="13"/>
      <c r="M163" s="8"/>
      <c r="N163" s="8"/>
      <c r="O163" s="8"/>
      <c r="P163" s="8"/>
      <c r="Q163" s="13"/>
      <c r="R163" s="13"/>
      <c r="S163" s="14" t="str">
        <f t="shared" si="2"/>
        <v/>
      </c>
      <c r="T163" s="8"/>
      <c r="U163" s="8"/>
      <c r="V163" s="10"/>
      <c r="W163" s="8"/>
    </row>
    <row r="164" spans="1:23">
      <c r="A164" s="8"/>
      <c r="B164" s="10"/>
      <c r="C164" s="8"/>
      <c r="D164" s="8"/>
      <c r="E164" s="8"/>
      <c r="F164" s="8"/>
      <c r="G164" s="8"/>
      <c r="H164" s="8"/>
      <c r="I164" s="8"/>
      <c r="J164" s="13"/>
      <c r="K164" s="8"/>
      <c r="L164" s="13"/>
      <c r="M164" s="8"/>
      <c r="N164" s="8"/>
      <c r="O164" s="8"/>
      <c r="P164" s="8"/>
      <c r="Q164" s="13"/>
      <c r="R164" s="13"/>
      <c r="S164" s="14" t="str">
        <f t="shared" si="2"/>
        <v/>
      </c>
      <c r="T164" s="8"/>
      <c r="U164" s="8"/>
      <c r="V164" s="10"/>
      <c r="W164" s="8"/>
    </row>
    <row r="165" spans="1:23">
      <c r="A165" s="8"/>
      <c r="B165" s="10"/>
      <c r="C165" s="8"/>
      <c r="D165" s="8"/>
      <c r="E165" s="8"/>
      <c r="F165" s="8"/>
      <c r="G165" s="8"/>
      <c r="H165" s="8"/>
      <c r="I165" s="8"/>
      <c r="J165" s="13"/>
      <c r="K165" s="8"/>
      <c r="L165" s="13"/>
      <c r="M165" s="8"/>
      <c r="N165" s="8"/>
      <c r="O165" s="8"/>
      <c r="P165" s="8"/>
      <c r="Q165" s="13"/>
      <c r="R165" s="13"/>
      <c r="S165" s="14" t="str">
        <f t="shared" si="2"/>
        <v/>
      </c>
      <c r="T165" s="8"/>
      <c r="U165" s="8"/>
      <c r="V165" s="10"/>
      <c r="W165" s="8"/>
    </row>
    <row r="166" spans="1:23">
      <c r="A166" s="8"/>
      <c r="B166" s="10"/>
      <c r="C166" s="8"/>
      <c r="D166" s="8"/>
      <c r="E166" s="8"/>
      <c r="F166" s="8"/>
      <c r="G166" s="8"/>
      <c r="H166" s="8"/>
      <c r="I166" s="8"/>
      <c r="J166" s="13"/>
      <c r="K166" s="8"/>
      <c r="L166" s="13"/>
      <c r="M166" s="8"/>
      <c r="N166" s="8"/>
      <c r="O166" s="8"/>
      <c r="P166" s="8"/>
      <c r="Q166" s="13"/>
      <c r="R166" s="13"/>
      <c r="S166" s="14" t="str">
        <f t="shared" si="2"/>
        <v/>
      </c>
      <c r="T166" s="8"/>
      <c r="U166" s="8"/>
      <c r="V166" s="10"/>
      <c r="W166" s="8"/>
    </row>
    <row r="167" spans="1:23">
      <c r="A167" s="8"/>
      <c r="B167" s="10"/>
      <c r="C167" s="8"/>
      <c r="D167" s="8"/>
      <c r="E167" s="8"/>
      <c r="F167" s="8"/>
      <c r="G167" s="8"/>
      <c r="H167" s="8"/>
      <c r="I167" s="8"/>
      <c r="J167" s="13"/>
      <c r="K167" s="8"/>
      <c r="L167" s="13"/>
      <c r="M167" s="8"/>
      <c r="N167" s="8"/>
      <c r="O167" s="8"/>
      <c r="P167" s="8"/>
      <c r="Q167" s="13"/>
      <c r="R167" s="13"/>
      <c r="S167" s="14" t="str">
        <f t="shared" si="2"/>
        <v/>
      </c>
      <c r="T167" s="8"/>
      <c r="U167" s="8"/>
      <c r="V167" s="10"/>
      <c r="W167" s="8"/>
    </row>
    <row r="168" spans="1:23">
      <c r="A168" s="8"/>
      <c r="B168" s="10"/>
      <c r="C168" s="8"/>
      <c r="D168" s="8"/>
      <c r="E168" s="8"/>
      <c r="F168" s="8"/>
      <c r="G168" s="8"/>
      <c r="H168" s="8"/>
      <c r="I168" s="8"/>
      <c r="J168" s="13"/>
      <c r="K168" s="8"/>
      <c r="L168" s="13"/>
      <c r="M168" s="8"/>
      <c r="N168" s="8"/>
      <c r="O168" s="8"/>
      <c r="P168" s="8"/>
      <c r="Q168" s="13"/>
      <c r="R168" s="13"/>
      <c r="S168" s="14" t="str">
        <f t="shared" si="2"/>
        <v/>
      </c>
      <c r="T168" s="8"/>
      <c r="U168" s="8"/>
      <c r="V168" s="10"/>
      <c r="W168" s="8"/>
    </row>
    <row r="169" spans="1:23">
      <c r="A169" s="8"/>
      <c r="B169" s="10"/>
      <c r="C169" s="8"/>
      <c r="D169" s="8"/>
      <c r="E169" s="8"/>
      <c r="F169" s="8"/>
      <c r="G169" s="8"/>
      <c r="H169" s="8"/>
      <c r="I169" s="8"/>
      <c r="J169" s="13"/>
      <c r="K169" s="8"/>
      <c r="L169" s="13"/>
      <c r="M169" s="8"/>
      <c r="N169" s="8"/>
      <c r="O169" s="8"/>
      <c r="P169" s="8"/>
      <c r="Q169" s="13"/>
      <c r="R169" s="13"/>
      <c r="S169" s="14" t="str">
        <f t="shared" si="2"/>
        <v/>
      </c>
      <c r="T169" s="8"/>
      <c r="U169" s="8"/>
      <c r="V169" s="10"/>
      <c r="W169" s="8"/>
    </row>
    <row r="170" spans="1:23">
      <c r="A170" s="8"/>
      <c r="B170" s="10"/>
      <c r="C170" s="8"/>
      <c r="D170" s="8"/>
      <c r="E170" s="8"/>
      <c r="F170" s="8"/>
      <c r="G170" s="8"/>
      <c r="H170" s="8"/>
      <c r="I170" s="8"/>
      <c r="J170" s="13"/>
      <c r="K170" s="8"/>
      <c r="L170" s="13"/>
      <c r="M170" s="8"/>
      <c r="N170" s="8"/>
      <c r="O170" s="8"/>
      <c r="P170" s="8"/>
      <c r="Q170" s="13"/>
      <c r="R170" s="13"/>
      <c r="S170" s="14" t="str">
        <f t="shared" si="2"/>
        <v/>
      </c>
      <c r="T170" s="8"/>
      <c r="U170" s="8"/>
      <c r="V170" s="10"/>
      <c r="W170" s="8"/>
    </row>
    <row r="171" spans="1:23">
      <c r="A171" s="8"/>
      <c r="B171" s="10"/>
      <c r="C171" s="8"/>
      <c r="D171" s="8"/>
      <c r="E171" s="8"/>
      <c r="F171" s="8"/>
      <c r="G171" s="8"/>
      <c r="H171" s="8"/>
      <c r="I171" s="8"/>
      <c r="J171" s="13"/>
      <c r="K171" s="8"/>
      <c r="L171" s="13"/>
      <c r="M171" s="8"/>
      <c r="N171" s="8"/>
      <c r="O171" s="8"/>
      <c r="P171" s="8"/>
      <c r="Q171" s="13"/>
      <c r="R171" s="13"/>
      <c r="S171" s="14" t="str">
        <f t="shared" si="2"/>
        <v/>
      </c>
      <c r="T171" s="8"/>
      <c r="U171" s="8"/>
      <c r="V171" s="10"/>
      <c r="W171" s="8"/>
    </row>
    <row r="172" spans="1:23">
      <c r="A172" s="8"/>
      <c r="B172" s="10"/>
      <c r="C172" s="8"/>
      <c r="D172" s="8"/>
      <c r="E172" s="8"/>
      <c r="F172" s="8"/>
      <c r="G172" s="8"/>
      <c r="H172" s="8"/>
      <c r="I172" s="8"/>
      <c r="J172" s="13"/>
      <c r="K172" s="8"/>
      <c r="L172" s="13"/>
      <c r="M172" s="8"/>
      <c r="N172" s="8"/>
      <c r="O172" s="8"/>
      <c r="P172" s="8"/>
      <c r="Q172" s="13"/>
      <c r="R172" s="13"/>
      <c r="S172" s="14" t="str">
        <f t="shared" si="2"/>
        <v/>
      </c>
      <c r="T172" s="8"/>
      <c r="U172" s="8"/>
      <c r="V172" s="10"/>
      <c r="W172" s="8"/>
    </row>
    <row r="173" spans="1:23">
      <c r="A173" s="8"/>
      <c r="B173" s="10"/>
      <c r="C173" s="8"/>
      <c r="D173" s="8"/>
      <c r="E173" s="8"/>
      <c r="F173" s="8"/>
      <c r="G173" s="8"/>
      <c r="H173" s="8"/>
      <c r="I173" s="8"/>
      <c r="J173" s="13"/>
      <c r="K173" s="8"/>
      <c r="L173" s="13"/>
      <c r="M173" s="8"/>
      <c r="N173" s="8"/>
      <c r="O173" s="8"/>
      <c r="P173" s="8"/>
      <c r="Q173" s="13"/>
      <c r="R173" s="13"/>
      <c r="S173" s="14" t="str">
        <f t="shared" si="2"/>
        <v/>
      </c>
      <c r="T173" s="8"/>
      <c r="U173" s="8"/>
      <c r="V173" s="10"/>
      <c r="W173" s="8"/>
    </row>
    <row r="174" spans="1:23">
      <c r="A174" s="8"/>
      <c r="B174" s="10"/>
      <c r="C174" s="8"/>
      <c r="D174" s="8"/>
      <c r="E174" s="8"/>
      <c r="F174" s="8"/>
      <c r="G174" s="8"/>
      <c r="H174" s="8"/>
      <c r="I174" s="8"/>
      <c r="J174" s="13"/>
      <c r="K174" s="8"/>
      <c r="L174" s="13"/>
      <c r="M174" s="8"/>
      <c r="N174" s="8"/>
      <c r="O174" s="8"/>
      <c r="P174" s="8"/>
      <c r="Q174" s="13"/>
      <c r="R174" s="13"/>
      <c r="S174" s="14" t="str">
        <f t="shared" si="2"/>
        <v/>
      </c>
      <c r="T174" s="8"/>
      <c r="U174" s="8"/>
      <c r="V174" s="10"/>
      <c r="W174" s="8"/>
    </row>
    <row r="175" spans="1:23">
      <c r="A175" s="8"/>
      <c r="B175" s="10"/>
      <c r="C175" s="8"/>
      <c r="D175" s="8"/>
      <c r="E175" s="8"/>
      <c r="F175" s="8"/>
      <c r="G175" s="8"/>
      <c r="H175" s="8"/>
      <c r="I175" s="8"/>
      <c r="J175" s="13"/>
      <c r="K175" s="8"/>
      <c r="L175" s="13"/>
      <c r="M175" s="8"/>
      <c r="N175" s="8"/>
      <c r="O175" s="8"/>
      <c r="P175" s="8"/>
      <c r="Q175" s="13"/>
      <c r="R175" s="13"/>
      <c r="S175" s="14" t="str">
        <f t="shared" si="2"/>
        <v/>
      </c>
      <c r="T175" s="8"/>
      <c r="U175" s="8"/>
      <c r="V175" s="10"/>
      <c r="W175" s="8"/>
    </row>
    <row r="176" spans="1:23">
      <c r="A176" s="8"/>
      <c r="B176" s="10"/>
      <c r="C176" s="8"/>
      <c r="D176" s="8"/>
      <c r="E176" s="8"/>
      <c r="F176" s="8"/>
      <c r="G176" s="8"/>
      <c r="H176" s="8"/>
      <c r="I176" s="8"/>
      <c r="J176" s="13"/>
      <c r="K176" s="8"/>
      <c r="L176" s="13"/>
      <c r="M176" s="8"/>
      <c r="N176" s="8"/>
      <c r="O176" s="8"/>
      <c r="P176" s="8"/>
      <c r="Q176" s="13"/>
      <c r="R176" s="13"/>
      <c r="S176" s="14" t="str">
        <f t="shared" si="2"/>
        <v/>
      </c>
      <c r="T176" s="8"/>
      <c r="U176" s="8"/>
      <c r="V176" s="10"/>
      <c r="W176" s="8"/>
    </row>
    <row r="177" spans="1:23">
      <c r="A177" s="8"/>
      <c r="B177" s="10"/>
      <c r="C177" s="8"/>
      <c r="D177" s="8"/>
      <c r="E177" s="8"/>
      <c r="F177" s="8"/>
      <c r="G177" s="8"/>
      <c r="H177" s="8"/>
      <c r="I177" s="8"/>
      <c r="J177" s="13"/>
      <c r="K177" s="8"/>
      <c r="L177" s="13"/>
      <c r="M177" s="8"/>
      <c r="N177" s="8"/>
      <c r="O177" s="8"/>
      <c r="P177" s="8"/>
      <c r="Q177" s="13"/>
      <c r="R177" s="13"/>
      <c r="S177" s="14" t="str">
        <f t="shared" si="2"/>
        <v/>
      </c>
      <c r="T177" s="8"/>
      <c r="U177" s="8"/>
      <c r="V177" s="10"/>
      <c r="W177" s="8"/>
    </row>
    <row r="178" spans="1:23">
      <c r="A178" s="8"/>
      <c r="B178" s="10"/>
      <c r="C178" s="8"/>
      <c r="D178" s="8"/>
      <c r="E178" s="8"/>
      <c r="F178" s="8"/>
      <c r="G178" s="8"/>
      <c r="H178" s="8"/>
      <c r="I178" s="8"/>
      <c r="J178" s="13"/>
      <c r="K178" s="8"/>
      <c r="L178" s="13"/>
      <c r="M178" s="8"/>
      <c r="N178" s="8"/>
      <c r="O178" s="8"/>
      <c r="P178" s="8"/>
      <c r="Q178" s="13"/>
      <c r="R178" s="13"/>
      <c r="S178" s="14" t="str">
        <f t="shared" si="2"/>
        <v/>
      </c>
      <c r="T178" s="8"/>
      <c r="U178" s="8"/>
      <c r="V178" s="10"/>
      <c r="W178" s="8"/>
    </row>
    <row r="179" spans="1:23">
      <c r="A179" s="8"/>
      <c r="B179" s="10"/>
      <c r="C179" s="8"/>
      <c r="D179" s="8"/>
      <c r="E179" s="8"/>
      <c r="F179" s="8"/>
      <c r="G179" s="8"/>
      <c r="H179" s="8"/>
      <c r="I179" s="8"/>
      <c r="J179" s="13"/>
      <c r="K179" s="8"/>
      <c r="L179" s="13"/>
      <c r="M179" s="8"/>
      <c r="N179" s="8"/>
      <c r="O179" s="8"/>
      <c r="P179" s="8"/>
      <c r="Q179" s="13"/>
      <c r="R179" s="13"/>
      <c r="S179" s="14" t="str">
        <f t="shared" si="2"/>
        <v/>
      </c>
      <c r="T179" s="8"/>
      <c r="U179" s="8"/>
      <c r="V179" s="10"/>
      <c r="W179" s="8"/>
    </row>
    <row r="180" spans="1:23">
      <c r="A180" s="8"/>
      <c r="B180" s="10"/>
      <c r="C180" s="8"/>
      <c r="D180" s="8"/>
      <c r="E180" s="8"/>
      <c r="F180" s="8"/>
      <c r="G180" s="8"/>
      <c r="H180" s="8"/>
      <c r="I180" s="8"/>
      <c r="J180" s="13"/>
      <c r="K180" s="8"/>
      <c r="L180" s="13"/>
      <c r="M180" s="8"/>
      <c r="N180" s="8"/>
      <c r="O180" s="8"/>
      <c r="P180" s="8"/>
      <c r="Q180" s="13"/>
      <c r="R180" s="13"/>
      <c r="S180" s="14" t="str">
        <f t="shared" si="2"/>
        <v/>
      </c>
      <c r="T180" s="8"/>
      <c r="U180" s="8"/>
      <c r="V180" s="10"/>
      <c r="W180" s="8"/>
    </row>
    <row r="181" spans="1:23">
      <c r="A181" s="8"/>
      <c r="B181" s="10"/>
      <c r="C181" s="8"/>
      <c r="D181" s="8"/>
      <c r="E181" s="8"/>
      <c r="F181" s="8"/>
      <c r="G181" s="8"/>
      <c r="H181" s="8"/>
      <c r="I181" s="8"/>
      <c r="J181" s="13"/>
      <c r="K181" s="8"/>
      <c r="L181" s="13"/>
      <c r="M181" s="8"/>
      <c r="N181" s="8"/>
      <c r="O181" s="8"/>
      <c r="P181" s="8"/>
      <c r="Q181" s="13"/>
      <c r="R181" s="13"/>
      <c r="S181" s="14" t="str">
        <f t="shared" si="2"/>
        <v/>
      </c>
      <c r="T181" s="8"/>
      <c r="U181" s="8"/>
      <c r="V181" s="10"/>
      <c r="W181" s="8"/>
    </row>
    <row r="182" spans="1:23">
      <c r="A182" s="8"/>
      <c r="B182" s="10"/>
      <c r="C182" s="8"/>
      <c r="D182" s="8"/>
      <c r="E182" s="8"/>
      <c r="F182" s="8"/>
      <c r="G182" s="8"/>
      <c r="H182" s="8"/>
      <c r="I182" s="8"/>
      <c r="J182" s="13"/>
      <c r="K182" s="8"/>
      <c r="L182" s="13"/>
      <c r="M182" s="8"/>
      <c r="N182" s="8"/>
      <c r="O182" s="8"/>
      <c r="P182" s="8"/>
      <c r="Q182" s="13"/>
      <c r="R182" s="13"/>
      <c r="S182" s="14" t="str">
        <f t="shared" si="2"/>
        <v/>
      </c>
      <c r="T182" s="8"/>
      <c r="U182" s="8"/>
      <c r="V182" s="10"/>
      <c r="W182" s="8"/>
    </row>
    <row r="183" spans="1:23">
      <c r="A183" s="8"/>
      <c r="B183" s="10"/>
      <c r="C183" s="8"/>
      <c r="D183" s="8"/>
      <c r="E183" s="8"/>
      <c r="F183" s="8"/>
      <c r="G183" s="8"/>
      <c r="H183" s="8"/>
      <c r="I183" s="8"/>
      <c r="J183" s="13"/>
      <c r="K183" s="8"/>
      <c r="L183" s="13"/>
      <c r="M183" s="8"/>
      <c r="N183" s="8"/>
      <c r="O183" s="8"/>
      <c r="P183" s="8"/>
      <c r="Q183" s="13"/>
      <c r="R183" s="13"/>
      <c r="S183" s="14" t="str">
        <f t="shared" si="2"/>
        <v/>
      </c>
      <c r="T183" s="8"/>
      <c r="U183" s="8"/>
      <c r="V183" s="10"/>
      <c r="W183" s="8"/>
    </row>
    <row r="184" spans="1:23">
      <c r="A184" s="8"/>
      <c r="B184" s="10"/>
      <c r="C184" s="8"/>
      <c r="D184" s="8"/>
      <c r="E184" s="8"/>
      <c r="F184" s="8"/>
      <c r="G184" s="8"/>
      <c r="H184" s="8"/>
      <c r="I184" s="8"/>
      <c r="J184" s="13"/>
      <c r="K184" s="8"/>
      <c r="L184" s="13"/>
      <c r="M184" s="8"/>
      <c r="N184" s="8"/>
      <c r="O184" s="8"/>
      <c r="P184" s="8"/>
      <c r="Q184" s="13"/>
      <c r="R184" s="13"/>
      <c r="S184" s="14" t="str">
        <f t="shared" si="2"/>
        <v/>
      </c>
      <c r="T184" s="8"/>
      <c r="U184" s="8"/>
      <c r="V184" s="10"/>
      <c r="W184" s="8"/>
    </row>
    <row r="185" spans="1:23">
      <c r="A185" s="8"/>
      <c r="B185" s="10"/>
      <c r="C185" s="8"/>
      <c r="D185" s="8"/>
      <c r="E185" s="8"/>
      <c r="F185" s="8"/>
      <c r="G185" s="8"/>
      <c r="H185" s="8"/>
      <c r="I185" s="8"/>
      <c r="J185" s="13"/>
      <c r="K185" s="8"/>
      <c r="L185" s="13"/>
      <c r="M185" s="8"/>
      <c r="N185" s="8"/>
      <c r="O185" s="8"/>
      <c r="P185" s="8"/>
      <c r="Q185" s="13"/>
      <c r="R185" s="13"/>
      <c r="S185" s="14" t="str">
        <f t="shared" si="2"/>
        <v/>
      </c>
      <c r="T185" s="8"/>
      <c r="U185" s="8"/>
      <c r="V185" s="10"/>
      <c r="W185" s="8"/>
    </row>
    <row r="186" spans="1:23">
      <c r="A186" s="8"/>
      <c r="B186" s="10"/>
      <c r="C186" s="8"/>
      <c r="D186" s="8"/>
      <c r="E186" s="8"/>
      <c r="F186" s="8"/>
      <c r="G186" s="8"/>
      <c r="H186" s="8"/>
      <c r="I186" s="8"/>
      <c r="J186" s="13"/>
      <c r="K186" s="8"/>
      <c r="L186" s="13"/>
      <c r="M186" s="8"/>
      <c r="N186" s="8"/>
      <c r="O186" s="8"/>
      <c r="P186" s="8"/>
      <c r="Q186" s="13"/>
      <c r="R186" s="13"/>
      <c r="S186" s="14" t="str">
        <f t="shared" si="2"/>
        <v/>
      </c>
      <c r="T186" s="8"/>
      <c r="U186" s="8"/>
      <c r="V186" s="10"/>
      <c r="W186" s="8"/>
    </row>
    <row r="187" spans="1:23">
      <c r="A187" s="8"/>
      <c r="B187" s="10"/>
      <c r="C187" s="8"/>
      <c r="D187" s="8"/>
      <c r="E187" s="8"/>
      <c r="F187" s="8"/>
      <c r="G187" s="8"/>
      <c r="H187" s="8"/>
      <c r="I187" s="8"/>
      <c r="J187" s="13"/>
      <c r="K187" s="8"/>
      <c r="L187" s="13"/>
      <c r="M187" s="8"/>
      <c r="N187" s="8"/>
      <c r="O187" s="8"/>
      <c r="P187" s="8"/>
      <c r="Q187" s="13"/>
      <c r="R187" s="13"/>
      <c r="S187" s="14" t="str">
        <f t="shared" si="2"/>
        <v/>
      </c>
      <c r="T187" s="8"/>
      <c r="U187" s="8"/>
      <c r="V187" s="10"/>
      <c r="W187" s="8"/>
    </row>
    <row r="188" spans="1:23">
      <c r="A188" s="8"/>
      <c r="B188" s="10"/>
      <c r="C188" s="8"/>
      <c r="D188" s="8"/>
      <c r="E188" s="8"/>
      <c r="F188" s="8"/>
      <c r="G188" s="8"/>
      <c r="H188" s="8"/>
      <c r="I188" s="8"/>
      <c r="J188" s="13"/>
      <c r="K188" s="8"/>
      <c r="L188" s="13"/>
      <c r="M188" s="8"/>
      <c r="N188" s="8"/>
      <c r="O188" s="8"/>
      <c r="P188" s="8"/>
      <c r="Q188" s="13"/>
      <c r="R188" s="13"/>
      <c r="S188" s="14" t="str">
        <f t="shared" si="2"/>
        <v/>
      </c>
      <c r="T188" s="8"/>
      <c r="U188" s="8"/>
      <c r="V188" s="10"/>
      <c r="W188" s="8"/>
    </row>
    <row r="189" spans="1:23">
      <c r="A189" s="8"/>
      <c r="B189" s="10"/>
      <c r="C189" s="8"/>
      <c r="D189" s="8"/>
      <c r="E189" s="8"/>
      <c r="F189" s="8"/>
      <c r="G189" s="8"/>
      <c r="H189" s="8"/>
      <c r="I189" s="8"/>
      <c r="J189" s="13"/>
      <c r="K189" s="8"/>
      <c r="L189" s="13"/>
      <c r="M189" s="8"/>
      <c r="N189" s="8"/>
      <c r="O189" s="8"/>
      <c r="P189" s="8"/>
      <c r="Q189" s="13"/>
      <c r="R189" s="13"/>
      <c r="S189" s="14" t="str">
        <f t="shared" si="2"/>
        <v/>
      </c>
      <c r="T189" s="8"/>
      <c r="U189" s="8"/>
      <c r="V189" s="10"/>
      <c r="W189" s="8"/>
    </row>
    <row r="190" spans="1:23">
      <c r="A190" s="8"/>
      <c r="B190" s="10"/>
      <c r="C190" s="8"/>
      <c r="D190" s="8"/>
      <c r="E190" s="8"/>
      <c r="F190" s="8"/>
      <c r="G190" s="8"/>
      <c r="H190" s="8"/>
      <c r="I190" s="8"/>
      <c r="J190" s="13"/>
      <c r="K190" s="8"/>
      <c r="L190" s="13"/>
      <c r="M190" s="8"/>
      <c r="N190" s="8"/>
      <c r="O190" s="8"/>
      <c r="P190" s="8"/>
      <c r="Q190" s="13"/>
      <c r="R190" s="13"/>
      <c r="S190" s="14" t="str">
        <f t="shared" si="2"/>
        <v/>
      </c>
      <c r="T190" s="8"/>
      <c r="U190" s="8"/>
      <c r="V190" s="10"/>
      <c r="W190" s="8"/>
    </row>
    <row r="191" spans="1:23">
      <c r="A191" s="8"/>
      <c r="B191" s="10"/>
      <c r="C191" s="8"/>
      <c r="D191" s="8"/>
      <c r="E191" s="8"/>
      <c r="F191" s="8"/>
      <c r="G191" s="8"/>
      <c r="H191" s="8"/>
      <c r="I191" s="8"/>
      <c r="J191" s="13"/>
      <c r="K191" s="8"/>
      <c r="L191" s="13"/>
      <c r="M191" s="8"/>
      <c r="N191" s="8"/>
      <c r="O191" s="8"/>
      <c r="P191" s="8"/>
      <c r="Q191" s="13"/>
      <c r="R191" s="13"/>
      <c r="S191" s="14" t="str">
        <f t="shared" si="2"/>
        <v/>
      </c>
      <c r="T191" s="8"/>
      <c r="U191" s="8"/>
      <c r="V191" s="10"/>
      <c r="W191" s="8"/>
    </row>
    <row r="192" spans="1:23">
      <c r="A192" s="8"/>
      <c r="B192" s="10"/>
      <c r="C192" s="8"/>
      <c r="D192" s="8"/>
      <c r="E192" s="8"/>
      <c r="F192" s="8"/>
      <c r="G192" s="8"/>
      <c r="H192" s="8"/>
      <c r="I192" s="8"/>
      <c r="J192" s="13"/>
      <c r="K192" s="8"/>
      <c r="L192" s="13"/>
      <c r="M192" s="8"/>
      <c r="N192" s="8"/>
      <c r="O192" s="8"/>
      <c r="P192" s="8"/>
      <c r="Q192" s="13"/>
      <c r="R192" s="13"/>
      <c r="S192" s="14" t="str">
        <f t="shared" si="2"/>
        <v/>
      </c>
      <c r="T192" s="8"/>
      <c r="U192" s="8"/>
      <c r="V192" s="10"/>
      <c r="W192" s="8"/>
    </row>
    <row r="193" spans="1:23">
      <c r="A193" s="8"/>
      <c r="B193" s="10"/>
      <c r="C193" s="8"/>
      <c r="D193" s="8"/>
      <c r="E193" s="8"/>
      <c r="F193" s="8"/>
      <c r="G193" s="8"/>
      <c r="H193" s="8"/>
      <c r="I193" s="8"/>
      <c r="J193" s="13"/>
      <c r="K193" s="8"/>
      <c r="L193" s="13"/>
      <c r="M193" s="8"/>
      <c r="N193" s="8"/>
      <c r="O193" s="8"/>
      <c r="P193" s="8"/>
      <c r="Q193" s="13"/>
      <c r="R193" s="13"/>
      <c r="S193" s="14" t="str">
        <f t="shared" si="2"/>
        <v/>
      </c>
      <c r="T193" s="8"/>
      <c r="U193" s="8"/>
      <c r="V193" s="10"/>
      <c r="W193" s="8"/>
    </row>
    <row r="194" spans="1:23">
      <c r="A194" s="8"/>
      <c r="B194" s="10"/>
      <c r="C194" s="8"/>
      <c r="D194" s="8"/>
      <c r="E194" s="8"/>
      <c r="F194" s="8"/>
      <c r="G194" s="8"/>
      <c r="H194" s="8"/>
      <c r="I194" s="8"/>
      <c r="J194" s="13"/>
      <c r="K194" s="8"/>
      <c r="L194" s="13"/>
      <c r="M194" s="8"/>
      <c r="N194" s="8"/>
      <c r="O194" s="8"/>
      <c r="P194" s="8"/>
      <c r="Q194" s="13"/>
      <c r="R194" s="13"/>
      <c r="S194" s="14" t="str">
        <f t="shared" si="2"/>
        <v/>
      </c>
      <c r="T194" s="8"/>
      <c r="U194" s="8"/>
      <c r="V194" s="10"/>
      <c r="W194" s="8"/>
    </row>
    <row r="195" spans="1:23">
      <c r="A195" s="8"/>
      <c r="B195" s="10"/>
      <c r="C195" s="8"/>
      <c r="D195" s="8"/>
      <c r="E195" s="8"/>
      <c r="F195" s="8"/>
      <c r="G195" s="8"/>
      <c r="H195" s="8"/>
      <c r="I195" s="8"/>
      <c r="J195" s="13"/>
      <c r="K195" s="8"/>
      <c r="L195" s="13"/>
      <c r="M195" s="8"/>
      <c r="N195" s="8"/>
      <c r="O195" s="8"/>
      <c r="P195" s="8"/>
      <c r="Q195" s="13"/>
      <c r="R195" s="13"/>
      <c r="S195" s="14" t="str">
        <f t="shared" si="2"/>
        <v/>
      </c>
      <c r="T195" s="8"/>
      <c r="U195" s="8"/>
      <c r="V195" s="10"/>
      <c r="W195" s="8"/>
    </row>
    <row r="196" spans="1:23">
      <c r="A196" s="8"/>
      <c r="B196" s="10"/>
      <c r="C196" s="8"/>
      <c r="D196" s="8"/>
      <c r="E196" s="8"/>
      <c r="F196" s="8"/>
      <c r="G196" s="8"/>
      <c r="H196" s="8"/>
      <c r="I196" s="8"/>
      <c r="J196" s="13"/>
      <c r="K196" s="8"/>
      <c r="L196" s="13"/>
      <c r="M196" s="8"/>
      <c r="N196" s="8"/>
      <c r="O196" s="8"/>
      <c r="P196" s="8"/>
      <c r="Q196" s="13"/>
      <c r="R196" s="13"/>
      <c r="S196" s="14" t="str">
        <f t="shared" si="2"/>
        <v/>
      </c>
      <c r="T196" s="8"/>
      <c r="U196" s="8"/>
      <c r="V196" s="10"/>
      <c r="W196" s="8"/>
    </row>
    <row r="197" spans="1:23">
      <c r="A197" s="8"/>
      <c r="B197" s="10"/>
      <c r="C197" s="8"/>
      <c r="D197" s="8"/>
      <c r="E197" s="8"/>
      <c r="F197" s="8"/>
      <c r="G197" s="8"/>
      <c r="H197" s="8"/>
      <c r="I197" s="8"/>
      <c r="J197" s="13"/>
      <c r="K197" s="8"/>
      <c r="L197" s="13"/>
      <c r="M197" s="8"/>
      <c r="N197" s="8"/>
      <c r="O197" s="8"/>
      <c r="P197" s="8"/>
      <c r="Q197" s="13"/>
      <c r="R197" s="13"/>
      <c r="S197" s="14" t="str">
        <f t="shared" ref="S197:S260" si="3">IF(A197="","",MAX(0,J197-Q197))</f>
        <v/>
      </c>
      <c r="T197" s="8"/>
      <c r="U197" s="8"/>
      <c r="V197" s="10"/>
      <c r="W197" s="8"/>
    </row>
    <row r="198" spans="1:23">
      <c r="A198" s="8"/>
      <c r="B198" s="10"/>
      <c r="C198" s="8"/>
      <c r="D198" s="8"/>
      <c r="E198" s="8"/>
      <c r="F198" s="8"/>
      <c r="G198" s="8"/>
      <c r="H198" s="8"/>
      <c r="I198" s="8"/>
      <c r="J198" s="13"/>
      <c r="K198" s="8"/>
      <c r="L198" s="13"/>
      <c r="M198" s="8"/>
      <c r="N198" s="8"/>
      <c r="O198" s="8"/>
      <c r="P198" s="8"/>
      <c r="Q198" s="13"/>
      <c r="R198" s="13"/>
      <c r="S198" s="14" t="str">
        <f t="shared" si="3"/>
        <v/>
      </c>
      <c r="T198" s="8"/>
      <c r="U198" s="8"/>
      <c r="V198" s="10"/>
      <c r="W198" s="8"/>
    </row>
    <row r="199" spans="1:23">
      <c r="A199" s="8"/>
      <c r="B199" s="10"/>
      <c r="C199" s="8"/>
      <c r="D199" s="8"/>
      <c r="E199" s="8"/>
      <c r="F199" s="8"/>
      <c r="G199" s="8"/>
      <c r="H199" s="8"/>
      <c r="I199" s="8"/>
      <c r="J199" s="13"/>
      <c r="K199" s="8"/>
      <c r="L199" s="13"/>
      <c r="M199" s="8"/>
      <c r="N199" s="8"/>
      <c r="O199" s="8"/>
      <c r="P199" s="8"/>
      <c r="Q199" s="13"/>
      <c r="R199" s="13"/>
      <c r="S199" s="14" t="str">
        <f t="shared" si="3"/>
        <v/>
      </c>
      <c r="T199" s="8"/>
      <c r="U199" s="8"/>
      <c r="V199" s="10"/>
      <c r="W199" s="8"/>
    </row>
    <row r="200" spans="1:23">
      <c r="A200" s="8"/>
      <c r="B200" s="10"/>
      <c r="C200" s="8"/>
      <c r="D200" s="8"/>
      <c r="E200" s="8"/>
      <c r="F200" s="8"/>
      <c r="G200" s="8"/>
      <c r="H200" s="8"/>
      <c r="I200" s="8"/>
      <c r="J200" s="13"/>
      <c r="K200" s="8"/>
      <c r="L200" s="13"/>
      <c r="M200" s="8"/>
      <c r="N200" s="8"/>
      <c r="O200" s="8"/>
      <c r="P200" s="8"/>
      <c r="Q200" s="13"/>
      <c r="R200" s="13"/>
      <c r="S200" s="14" t="str">
        <f t="shared" si="3"/>
        <v/>
      </c>
      <c r="T200" s="8"/>
      <c r="U200" s="8"/>
      <c r="V200" s="10"/>
      <c r="W200" s="8"/>
    </row>
    <row r="201" spans="1:23">
      <c r="A201" s="8"/>
      <c r="B201" s="10"/>
      <c r="C201" s="8"/>
      <c r="D201" s="8"/>
      <c r="E201" s="8"/>
      <c r="F201" s="8"/>
      <c r="G201" s="8"/>
      <c r="H201" s="8"/>
      <c r="I201" s="8"/>
      <c r="J201" s="13"/>
      <c r="K201" s="8"/>
      <c r="L201" s="13"/>
      <c r="M201" s="8"/>
      <c r="N201" s="8"/>
      <c r="O201" s="8"/>
      <c r="P201" s="8"/>
      <c r="Q201" s="13"/>
      <c r="R201" s="13"/>
      <c r="S201" s="14" t="str">
        <f t="shared" si="3"/>
        <v/>
      </c>
      <c r="T201" s="8"/>
      <c r="U201" s="8"/>
      <c r="V201" s="10"/>
      <c r="W201" s="8"/>
    </row>
    <row r="202" spans="1:23">
      <c r="A202" s="8"/>
      <c r="B202" s="10"/>
      <c r="C202" s="8"/>
      <c r="D202" s="8"/>
      <c r="E202" s="8"/>
      <c r="F202" s="8"/>
      <c r="G202" s="8"/>
      <c r="H202" s="8"/>
      <c r="I202" s="8"/>
      <c r="J202" s="13"/>
      <c r="K202" s="8"/>
      <c r="L202" s="13"/>
      <c r="M202" s="8"/>
      <c r="N202" s="8"/>
      <c r="O202" s="8"/>
      <c r="P202" s="8"/>
      <c r="Q202" s="13"/>
      <c r="R202" s="13"/>
      <c r="S202" s="14" t="str">
        <f t="shared" si="3"/>
        <v/>
      </c>
      <c r="T202" s="8"/>
      <c r="U202" s="8"/>
      <c r="V202" s="10"/>
      <c r="W202" s="8"/>
    </row>
    <row r="203" spans="1:23">
      <c r="A203" s="8"/>
      <c r="B203" s="10"/>
      <c r="C203" s="8"/>
      <c r="D203" s="8"/>
      <c r="E203" s="8"/>
      <c r="F203" s="8"/>
      <c r="G203" s="8"/>
      <c r="H203" s="8"/>
      <c r="I203" s="8"/>
      <c r="J203" s="13"/>
      <c r="K203" s="8"/>
      <c r="L203" s="13"/>
      <c r="M203" s="8"/>
      <c r="N203" s="8"/>
      <c r="O203" s="8"/>
      <c r="P203" s="8"/>
      <c r="Q203" s="13"/>
      <c r="R203" s="13"/>
      <c r="S203" s="14" t="str">
        <f t="shared" si="3"/>
        <v/>
      </c>
      <c r="T203" s="8"/>
      <c r="U203" s="8"/>
      <c r="V203" s="10"/>
      <c r="W203" s="8"/>
    </row>
    <row r="204" spans="1:23">
      <c r="A204" s="8"/>
      <c r="B204" s="10"/>
      <c r="C204" s="8"/>
      <c r="D204" s="8"/>
      <c r="E204" s="8"/>
      <c r="F204" s="8"/>
      <c r="G204" s="8"/>
      <c r="H204" s="8"/>
      <c r="I204" s="8"/>
      <c r="J204" s="13"/>
      <c r="K204" s="8"/>
      <c r="L204" s="13"/>
      <c r="M204" s="8"/>
      <c r="N204" s="8"/>
      <c r="O204" s="8"/>
      <c r="P204" s="8"/>
      <c r="Q204" s="13"/>
      <c r="R204" s="13"/>
      <c r="S204" s="14" t="str">
        <f t="shared" si="3"/>
        <v/>
      </c>
      <c r="T204" s="8"/>
      <c r="U204" s="8"/>
      <c r="V204" s="10"/>
      <c r="W204" s="8"/>
    </row>
    <row r="205" spans="1:23">
      <c r="A205" s="8"/>
      <c r="B205" s="10"/>
      <c r="C205" s="8"/>
      <c r="D205" s="8"/>
      <c r="E205" s="8"/>
      <c r="F205" s="8"/>
      <c r="G205" s="8"/>
      <c r="H205" s="8"/>
      <c r="I205" s="8"/>
      <c r="J205" s="13"/>
      <c r="K205" s="8"/>
      <c r="L205" s="13"/>
      <c r="M205" s="8"/>
      <c r="N205" s="8"/>
      <c r="O205" s="8"/>
      <c r="P205" s="8"/>
      <c r="Q205" s="13"/>
      <c r="R205" s="13"/>
      <c r="S205" s="14" t="str">
        <f t="shared" si="3"/>
        <v/>
      </c>
      <c r="T205" s="8"/>
      <c r="U205" s="8"/>
      <c r="V205" s="10"/>
      <c r="W205" s="8"/>
    </row>
    <row r="206" spans="1:23">
      <c r="A206" s="8"/>
      <c r="B206" s="10"/>
      <c r="C206" s="8"/>
      <c r="D206" s="8"/>
      <c r="E206" s="8"/>
      <c r="F206" s="8"/>
      <c r="G206" s="8"/>
      <c r="H206" s="8"/>
      <c r="I206" s="8"/>
      <c r="J206" s="13"/>
      <c r="K206" s="8"/>
      <c r="L206" s="13"/>
      <c r="M206" s="8"/>
      <c r="N206" s="8"/>
      <c r="O206" s="8"/>
      <c r="P206" s="8"/>
      <c r="Q206" s="13"/>
      <c r="R206" s="13"/>
      <c r="S206" s="14" t="str">
        <f t="shared" si="3"/>
        <v/>
      </c>
      <c r="T206" s="8"/>
      <c r="U206" s="8"/>
      <c r="V206" s="10"/>
      <c r="W206" s="8"/>
    </row>
    <row r="207" spans="1:23">
      <c r="A207" s="8"/>
      <c r="B207" s="10"/>
      <c r="C207" s="8"/>
      <c r="D207" s="8"/>
      <c r="E207" s="8"/>
      <c r="F207" s="8"/>
      <c r="G207" s="8"/>
      <c r="H207" s="8"/>
      <c r="I207" s="8"/>
      <c r="J207" s="13"/>
      <c r="K207" s="8"/>
      <c r="L207" s="13"/>
      <c r="M207" s="8"/>
      <c r="N207" s="8"/>
      <c r="O207" s="8"/>
      <c r="P207" s="8"/>
      <c r="Q207" s="13"/>
      <c r="R207" s="13"/>
      <c r="S207" s="14" t="str">
        <f t="shared" si="3"/>
        <v/>
      </c>
      <c r="T207" s="8"/>
      <c r="U207" s="8"/>
      <c r="V207" s="10"/>
      <c r="W207" s="8"/>
    </row>
    <row r="208" spans="1:23">
      <c r="A208" s="8"/>
      <c r="B208" s="10"/>
      <c r="C208" s="8"/>
      <c r="D208" s="8"/>
      <c r="E208" s="8"/>
      <c r="F208" s="8"/>
      <c r="G208" s="8"/>
      <c r="H208" s="8"/>
      <c r="I208" s="8"/>
      <c r="J208" s="13"/>
      <c r="K208" s="8"/>
      <c r="L208" s="13"/>
      <c r="M208" s="8"/>
      <c r="N208" s="8"/>
      <c r="O208" s="8"/>
      <c r="P208" s="8"/>
      <c r="Q208" s="13"/>
      <c r="R208" s="13"/>
      <c r="S208" s="14" t="str">
        <f t="shared" si="3"/>
        <v/>
      </c>
      <c r="T208" s="8"/>
      <c r="U208" s="8"/>
      <c r="V208" s="10"/>
      <c r="W208" s="8"/>
    </row>
    <row r="209" spans="1:23">
      <c r="A209" s="8"/>
      <c r="B209" s="10"/>
      <c r="C209" s="8"/>
      <c r="D209" s="8"/>
      <c r="E209" s="8"/>
      <c r="F209" s="8"/>
      <c r="G209" s="8"/>
      <c r="H209" s="8"/>
      <c r="I209" s="8"/>
      <c r="J209" s="13"/>
      <c r="K209" s="8"/>
      <c r="L209" s="13"/>
      <c r="M209" s="8"/>
      <c r="N209" s="8"/>
      <c r="O209" s="8"/>
      <c r="P209" s="8"/>
      <c r="Q209" s="13"/>
      <c r="R209" s="13"/>
      <c r="S209" s="14" t="str">
        <f t="shared" si="3"/>
        <v/>
      </c>
      <c r="T209" s="8"/>
      <c r="U209" s="8"/>
      <c r="V209" s="10"/>
      <c r="W209" s="8"/>
    </row>
    <row r="210" spans="1:23">
      <c r="A210" s="8"/>
      <c r="B210" s="10"/>
      <c r="C210" s="8"/>
      <c r="D210" s="8"/>
      <c r="E210" s="8"/>
      <c r="F210" s="8"/>
      <c r="G210" s="8"/>
      <c r="H210" s="8"/>
      <c r="I210" s="8"/>
      <c r="J210" s="13"/>
      <c r="K210" s="8"/>
      <c r="L210" s="13"/>
      <c r="M210" s="8"/>
      <c r="N210" s="8"/>
      <c r="O210" s="8"/>
      <c r="P210" s="8"/>
      <c r="Q210" s="13"/>
      <c r="R210" s="13"/>
      <c r="S210" s="14" t="str">
        <f t="shared" si="3"/>
        <v/>
      </c>
      <c r="T210" s="8"/>
      <c r="U210" s="8"/>
      <c r="V210" s="10"/>
      <c r="W210" s="8"/>
    </row>
    <row r="211" spans="1:23">
      <c r="A211" s="8"/>
      <c r="B211" s="10"/>
      <c r="C211" s="8"/>
      <c r="D211" s="8"/>
      <c r="E211" s="8"/>
      <c r="F211" s="8"/>
      <c r="G211" s="8"/>
      <c r="H211" s="8"/>
      <c r="I211" s="8"/>
      <c r="J211" s="13"/>
      <c r="K211" s="8"/>
      <c r="L211" s="13"/>
      <c r="M211" s="8"/>
      <c r="N211" s="8"/>
      <c r="O211" s="8"/>
      <c r="P211" s="8"/>
      <c r="Q211" s="13"/>
      <c r="R211" s="13"/>
      <c r="S211" s="14" t="str">
        <f t="shared" si="3"/>
        <v/>
      </c>
      <c r="T211" s="8"/>
      <c r="U211" s="8"/>
      <c r="V211" s="10"/>
      <c r="W211" s="8"/>
    </row>
    <row r="212" spans="1:23">
      <c r="A212" s="8"/>
      <c r="B212" s="10"/>
      <c r="C212" s="8"/>
      <c r="D212" s="8"/>
      <c r="E212" s="8"/>
      <c r="F212" s="8"/>
      <c r="G212" s="8"/>
      <c r="H212" s="8"/>
      <c r="I212" s="8"/>
      <c r="J212" s="13"/>
      <c r="K212" s="8"/>
      <c r="L212" s="13"/>
      <c r="M212" s="8"/>
      <c r="N212" s="8"/>
      <c r="O212" s="8"/>
      <c r="P212" s="8"/>
      <c r="Q212" s="13"/>
      <c r="R212" s="13"/>
      <c r="S212" s="14" t="str">
        <f t="shared" si="3"/>
        <v/>
      </c>
      <c r="T212" s="8"/>
      <c r="U212" s="8"/>
      <c r="V212" s="10"/>
      <c r="W212" s="8"/>
    </row>
    <row r="213" spans="1:23">
      <c r="A213" s="8"/>
      <c r="B213" s="10"/>
      <c r="C213" s="8"/>
      <c r="D213" s="8"/>
      <c r="E213" s="8"/>
      <c r="F213" s="8"/>
      <c r="G213" s="8"/>
      <c r="H213" s="8"/>
      <c r="I213" s="8"/>
      <c r="J213" s="13"/>
      <c r="K213" s="8"/>
      <c r="L213" s="13"/>
      <c r="M213" s="8"/>
      <c r="N213" s="8"/>
      <c r="O213" s="8"/>
      <c r="P213" s="8"/>
      <c r="Q213" s="13"/>
      <c r="R213" s="13"/>
      <c r="S213" s="14" t="str">
        <f t="shared" si="3"/>
        <v/>
      </c>
      <c r="T213" s="8"/>
      <c r="U213" s="8"/>
      <c r="V213" s="10"/>
      <c r="W213" s="8"/>
    </row>
    <row r="214" spans="1:23">
      <c r="A214" s="8"/>
      <c r="B214" s="10"/>
      <c r="C214" s="8"/>
      <c r="D214" s="8"/>
      <c r="E214" s="8"/>
      <c r="F214" s="8"/>
      <c r="G214" s="8"/>
      <c r="H214" s="8"/>
      <c r="I214" s="8"/>
      <c r="J214" s="13"/>
      <c r="K214" s="8"/>
      <c r="L214" s="13"/>
      <c r="M214" s="8"/>
      <c r="N214" s="8"/>
      <c r="O214" s="8"/>
      <c r="P214" s="8"/>
      <c r="Q214" s="13"/>
      <c r="R214" s="13"/>
      <c r="S214" s="14" t="str">
        <f t="shared" si="3"/>
        <v/>
      </c>
      <c r="T214" s="8"/>
      <c r="U214" s="8"/>
      <c r="V214" s="10"/>
      <c r="W214" s="8"/>
    </row>
    <row r="215" spans="1:23">
      <c r="A215" s="8"/>
      <c r="B215" s="10"/>
      <c r="C215" s="8"/>
      <c r="D215" s="8"/>
      <c r="E215" s="8"/>
      <c r="F215" s="8"/>
      <c r="G215" s="8"/>
      <c r="H215" s="8"/>
      <c r="I215" s="8"/>
      <c r="J215" s="13"/>
      <c r="K215" s="8"/>
      <c r="L215" s="13"/>
      <c r="M215" s="8"/>
      <c r="N215" s="8"/>
      <c r="O215" s="8"/>
      <c r="P215" s="8"/>
      <c r="Q215" s="13"/>
      <c r="R215" s="13"/>
      <c r="S215" s="14" t="str">
        <f t="shared" si="3"/>
        <v/>
      </c>
      <c r="T215" s="8"/>
      <c r="U215" s="8"/>
      <c r="V215" s="10"/>
      <c r="W215" s="8"/>
    </row>
    <row r="216" spans="1:23">
      <c r="A216" s="8"/>
      <c r="B216" s="10"/>
      <c r="C216" s="8"/>
      <c r="D216" s="8"/>
      <c r="E216" s="8"/>
      <c r="F216" s="8"/>
      <c r="G216" s="8"/>
      <c r="H216" s="8"/>
      <c r="I216" s="8"/>
      <c r="J216" s="13"/>
      <c r="K216" s="8"/>
      <c r="L216" s="13"/>
      <c r="M216" s="8"/>
      <c r="N216" s="8"/>
      <c r="O216" s="8"/>
      <c r="P216" s="8"/>
      <c r="Q216" s="13"/>
      <c r="R216" s="13"/>
      <c r="S216" s="14" t="str">
        <f t="shared" si="3"/>
        <v/>
      </c>
      <c r="T216" s="8"/>
      <c r="U216" s="8"/>
      <c r="V216" s="10"/>
      <c r="W216" s="8"/>
    </row>
    <row r="217" spans="1:23">
      <c r="A217" s="8"/>
      <c r="B217" s="10"/>
      <c r="C217" s="8"/>
      <c r="D217" s="8"/>
      <c r="E217" s="8"/>
      <c r="F217" s="8"/>
      <c r="G217" s="8"/>
      <c r="H217" s="8"/>
      <c r="I217" s="8"/>
      <c r="J217" s="13"/>
      <c r="K217" s="8"/>
      <c r="L217" s="13"/>
      <c r="M217" s="8"/>
      <c r="N217" s="8"/>
      <c r="O217" s="8"/>
      <c r="P217" s="8"/>
      <c r="Q217" s="13"/>
      <c r="R217" s="13"/>
      <c r="S217" s="14" t="str">
        <f t="shared" si="3"/>
        <v/>
      </c>
      <c r="T217" s="8"/>
      <c r="U217" s="8"/>
      <c r="V217" s="10"/>
      <c r="W217" s="8"/>
    </row>
    <row r="218" spans="1:23">
      <c r="A218" s="8"/>
      <c r="B218" s="10"/>
      <c r="C218" s="8"/>
      <c r="D218" s="8"/>
      <c r="E218" s="8"/>
      <c r="F218" s="8"/>
      <c r="G218" s="8"/>
      <c r="H218" s="8"/>
      <c r="I218" s="8"/>
      <c r="J218" s="13"/>
      <c r="K218" s="8"/>
      <c r="L218" s="13"/>
      <c r="M218" s="8"/>
      <c r="N218" s="8"/>
      <c r="O218" s="8"/>
      <c r="P218" s="8"/>
      <c r="Q218" s="13"/>
      <c r="R218" s="13"/>
      <c r="S218" s="14" t="str">
        <f t="shared" si="3"/>
        <v/>
      </c>
      <c r="T218" s="8"/>
      <c r="U218" s="8"/>
      <c r="V218" s="10"/>
      <c r="W218" s="8"/>
    </row>
    <row r="219" spans="1:23">
      <c r="A219" s="8"/>
      <c r="B219" s="10"/>
      <c r="C219" s="8"/>
      <c r="D219" s="8"/>
      <c r="E219" s="8"/>
      <c r="F219" s="8"/>
      <c r="G219" s="8"/>
      <c r="H219" s="8"/>
      <c r="I219" s="8"/>
      <c r="J219" s="13"/>
      <c r="K219" s="8"/>
      <c r="L219" s="13"/>
      <c r="M219" s="8"/>
      <c r="N219" s="8"/>
      <c r="O219" s="8"/>
      <c r="P219" s="8"/>
      <c r="Q219" s="13"/>
      <c r="R219" s="13"/>
      <c r="S219" s="14" t="str">
        <f t="shared" si="3"/>
        <v/>
      </c>
      <c r="T219" s="8"/>
      <c r="U219" s="8"/>
      <c r="V219" s="10"/>
      <c r="W219" s="8"/>
    </row>
    <row r="220" spans="1:23">
      <c r="A220" s="8"/>
      <c r="B220" s="10"/>
      <c r="C220" s="8"/>
      <c r="D220" s="8"/>
      <c r="E220" s="8"/>
      <c r="F220" s="8"/>
      <c r="G220" s="8"/>
      <c r="H220" s="8"/>
      <c r="I220" s="8"/>
      <c r="J220" s="13"/>
      <c r="K220" s="8"/>
      <c r="L220" s="13"/>
      <c r="M220" s="8"/>
      <c r="N220" s="8"/>
      <c r="O220" s="8"/>
      <c r="P220" s="8"/>
      <c r="Q220" s="13"/>
      <c r="R220" s="13"/>
      <c r="S220" s="14" t="str">
        <f t="shared" si="3"/>
        <v/>
      </c>
      <c r="T220" s="8"/>
      <c r="U220" s="8"/>
      <c r="V220" s="10"/>
      <c r="W220" s="8"/>
    </row>
    <row r="221" spans="1:23">
      <c r="A221" s="8"/>
      <c r="B221" s="10"/>
      <c r="C221" s="8"/>
      <c r="D221" s="8"/>
      <c r="E221" s="8"/>
      <c r="F221" s="8"/>
      <c r="G221" s="8"/>
      <c r="H221" s="8"/>
      <c r="I221" s="8"/>
      <c r="J221" s="13"/>
      <c r="K221" s="8"/>
      <c r="L221" s="13"/>
      <c r="M221" s="8"/>
      <c r="N221" s="8"/>
      <c r="O221" s="8"/>
      <c r="P221" s="8"/>
      <c r="Q221" s="13"/>
      <c r="R221" s="13"/>
      <c r="S221" s="14" t="str">
        <f t="shared" si="3"/>
        <v/>
      </c>
      <c r="T221" s="8"/>
      <c r="U221" s="8"/>
      <c r="V221" s="10"/>
      <c r="W221" s="8"/>
    </row>
    <row r="222" spans="1:23">
      <c r="A222" s="8"/>
      <c r="B222" s="10"/>
      <c r="C222" s="8"/>
      <c r="D222" s="8"/>
      <c r="E222" s="8"/>
      <c r="F222" s="8"/>
      <c r="G222" s="8"/>
      <c r="H222" s="8"/>
      <c r="I222" s="8"/>
      <c r="J222" s="13"/>
      <c r="K222" s="8"/>
      <c r="L222" s="13"/>
      <c r="M222" s="8"/>
      <c r="N222" s="8"/>
      <c r="O222" s="8"/>
      <c r="P222" s="8"/>
      <c r="Q222" s="13"/>
      <c r="R222" s="13"/>
      <c r="S222" s="14" t="str">
        <f t="shared" si="3"/>
        <v/>
      </c>
      <c r="T222" s="8"/>
      <c r="U222" s="8"/>
      <c r="V222" s="10"/>
      <c r="W222" s="8"/>
    </row>
    <row r="223" spans="1:23">
      <c r="A223" s="8"/>
      <c r="B223" s="10"/>
      <c r="C223" s="8"/>
      <c r="D223" s="8"/>
      <c r="E223" s="8"/>
      <c r="F223" s="8"/>
      <c r="G223" s="8"/>
      <c r="H223" s="8"/>
      <c r="I223" s="8"/>
      <c r="J223" s="13"/>
      <c r="K223" s="8"/>
      <c r="L223" s="13"/>
      <c r="M223" s="8"/>
      <c r="N223" s="8"/>
      <c r="O223" s="8"/>
      <c r="P223" s="8"/>
      <c r="Q223" s="13"/>
      <c r="R223" s="13"/>
      <c r="S223" s="14" t="str">
        <f t="shared" si="3"/>
        <v/>
      </c>
      <c r="T223" s="8"/>
      <c r="U223" s="8"/>
      <c r="V223" s="10"/>
      <c r="W223" s="8"/>
    </row>
    <row r="224" spans="1:23">
      <c r="A224" s="8"/>
      <c r="B224" s="10"/>
      <c r="C224" s="8"/>
      <c r="D224" s="8"/>
      <c r="E224" s="8"/>
      <c r="F224" s="8"/>
      <c r="G224" s="8"/>
      <c r="H224" s="8"/>
      <c r="I224" s="8"/>
      <c r="J224" s="13"/>
      <c r="K224" s="8"/>
      <c r="L224" s="13"/>
      <c r="M224" s="8"/>
      <c r="N224" s="8"/>
      <c r="O224" s="8"/>
      <c r="P224" s="8"/>
      <c r="Q224" s="13"/>
      <c r="R224" s="13"/>
      <c r="S224" s="14" t="str">
        <f t="shared" si="3"/>
        <v/>
      </c>
      <c r="T224" s="8"/>
      <c r="U224" s="8"/>
      <c r="V224" s="10"/>
      <c r="W224" s="8"/>
    </row>
    <row r="225" spans="1:23">
      <c r="A225" s="8"/>
      <c r="B225" s="10"/>
      <c r="C225" s="8"/>
      <c r="D225" s="8"/>
      <c r="E225" s="8"/>
      <c r="F225" s="8"/>
      <c r="G225" s="8"/>
      <c r="H225" s="8"/>
      <c r="I225" s="8"/>
      <c r="J225" s="13"/>
      <c r="K225" s="8"/>
      <c r="L225" s="13"/>
      <c r="M225" s="8"/>
      <c r="N225" s="8"/>
      <c r="O225" s="8"/>
      <c r="P225" s="8"/>
      <c r="Q225" s="13"/>
      <c r="R225" s="13"/>
      <c r="S225" s="14" t="str">
        <f t="shared" si="3"/>
        <v/>
      </c>
      <c r="T225" s="8"/>
      <c r="U225" s="8"/>
      <c r="V225" s="10"/>
      <c r="W225" s="8"/>
    </row>
    <row r="226" spans="1:23">
      <c r="A226" s="8"/>
      <c r="B226" s="10"/>
      <c r="C226" s="8"/>
      <c r="D226" s="8"/>
      <c r="E226" s="8"/>
      <c r="F226" s="8"/>
      <c r="G226" s="8"/>
      <c r="H226" s="8"/>
      <c r="I226" s="8"/>
      <c r="J226" s="13"/>
      <c r="K226" s="8"/>
      <c r="L226" s="13"/>
      <c r="M226" s="8"/>
      <c r="N226" s="8"/>
      <c r="O226" s="8"/>
      <c r="P226" s="8"/>
      <c r="Q226" s="13"/>
      <c r="R226" s="13"/>
      <c r="S226" s="14" t="str">
        <f t="shared" si="3"/>
        <v/>
      </c>
      <c r="T226" s="8"/>
      <c r="U226" s="8"/>
      <c r="V226" s="10"/>
      <c r="W226" s="8"/>
    </row>
    <row r="227" spans="1:23">
      <c r="A227" s="8"/>
      <c r="B227" s="10"/>
      <c r="C227" s="8"/>
      <c r="D227" s="8"/>
      <c r="E227" s="8"/>
      <c r="F227" s="8"/>
      <c r="G227" s="8"/>
      <c r="H227" s="8"/>
      <c r="I227" s="8"/>
      <c r="J227" s="13"/>
      <c r="K227" s="8"/>
      <c r="L227" s="13"/>
      <c r="M227" s="8"/>
      <c r="N227" s="8"/>
      <c r="O227" s="8"/>
      <c r="P227" s="8"/>
      <c r="Q227" s="13"/>
      <c r="R227" s="13"/>
      <c r="S227" s="14" t="str">
        <f t="shared" si="3"/>
        <v/>
      </c>
      <c r="T227" s="8"/>
      <c r="U227" s="8"/>
      <c r="V227" s="10"/>
      <c r="W227" s="8"/>
    </row>
    <row r="228" spans="1:23">
      <c r="A228" s="8"/>
      <c r="B228" s="10"/>
      <c r="C228" s="8"/>
      <c r="D228" s="8"/>
      <c r="E228" s="8"/>
      <c r="F228" s="8"/>
      <c r="G228" s="8"/>
      <c r="H228" s="8"/>
      <c r="I228" s="8"/>
      <c r="J228" s="13"/>
      <c r="K228" s="8"/>
      <c r="L228" s="13"/>
      <c r="M228" s="8"/>
      <c r="N228" s="8"/>
      <c r="O228" s="8"/>
      <c r="P228" s="8"/>
      <c r="Q228" s="13"/>
      <c r="R228" s="13"/>
      <c r="S228" s="14" t="str">
        <f t="shared" si="3"/>
        <v/>
      </c>
      <c r="T228" s="8"/>
      <c r="U228" s="8"/>
      <c r="V228" s="10"/>
      <c r="W228" s="8"/>
    </row>
    <row r="229" spans="1:23">
      <c r="A229" s="8"/>
      <c r="B229" s="10"/>
      <c r="C229" s="8"/>
      <c r="D229" s="8"/>
      <c r="E229" s="8"/>
      <c r="F229" s="8"/>
      <c r="G229" s="8"/>
      <c r="H229" s="8"/>
      <c r="I229" s="8"/>
      <c r="J229" s="13"/>
      <c r="K229" s="8"/>
      <c r="L229" s="13"/>
      <c r="M229" s="8"/>
      <c r="N229" s="8"/>
      <c r="O229" s="8"/>
      <c r="P229" s="8"/>
      <c r="Q229" s="13"/>
      <c r="R229" s="13"/>
      <c r="S229" s="14" t="str">
        <f t="shared" si="3"/>
        <v/>
      </c>
      <c r="T229" s="8"/>
      <c r="U229" s="8"/>
      <c r="V229" s="10"/>
      <c r="W229" s="8"/>
    </row>
    <row r="230" spans="1:23">
      <c r="A230" s="8"/>
      <c r="B230" s="10"/>
      <c r="C230" s="8"/>
      <c r="D230" s="8"/>
      <c r="E230" s="8"/>
      <c r="F230" s="8"/>
      <c r="G230" s="8"/>
      <c r="H230" s="8"/>
      <c r="I230" s="8"/>
      <c r="J230" s="13"/>
      <c r="K230" s="8"/>
      <c r="L230" s="13"/>
      <c r="M230" s="8"/>
      <c r="N230" s="8"/>
      <c r="O230" s="8"/>
      <c r="P230" s="8"/>
      <c r="Q230" s="13"/>
      <c r="R230" s="13"/>
      <c r="S230" s="14" t="str">
        <f t="shared" si="3"/>
        <v/>
      </c>
      <c r="T230" s="8"/>
      <c r="U230" s="8"/>
      <c r="V230" s="10"/>
      <c r="W230" s="8"/>
    </row>
    <row r="231" spans="1:23">
      <c r="A231" s="8"/>
      <c r="B231" s="10"/>
      <c r="C231" s="8"/>
      <c r="D231" s="8"/>
      <c r="E231" s="8"/>
      <c r="F231" s="8"/>
      <c r="G231" s="8"/>
      <c r="H231" s="8"/>
      <c r="I231" s="8"/>
      <c r="J231" s="13"/>
      <c r="K231" s="8"/>
      <c r="L231" s="13"/>
      <c r="M231" s="8"/>
      <c r="N231" s="8"/>
      <c r="O231" s="8"/>
      <c r="P231" s="8"/>
      <c r="Q231" s="13"/>
      <c r="R231" s="13"/>
      <c r="S231" s="14" t="str">
        <f t="shared" si="3"/>
        <v/>
      </c>
      <c r="T231" s="8"/>
      <c r="U231" s="8"/>
      <c r="V231" s="10"/>
      <c r="W231" s="8"/>
    </row>
    <row r="232" spans="1:23">
      <c r="A232" s="8"/>
      <c r="B232" s="10"/>
      <c r="C232" s="8"/>
      <c r="D232" s="8"/>
      <c r="E232" s="8"/>
      <c r="F232" s="8"/>
      <c r="G232" s="8"/>
      <c r="H232" s="8"/>
      <c r="I232" s="8"/>
      <c r="J232" s="13"/>
      <c r="K232" s="8"/>
      <c r="L232" s="13"/>
      <c r="M232" s="8"/>
      <c r="N232" s="8"/>
      <c r="O232" s="8"/>
      <c r="P232" s="8"/>
      <c r="Q232" s="13"/>
      <c r="R232" s="13"/>
      <c r="S232" s="14" t="str">
        <f t="shared" si="3"/>
        <v/>
      </c>
      <c r="T232" s="8"/>
      <c r="U232" s="8"/>
      <c r="V232" s="10"/>
      <c r="W232" s="8"/>
    </row>
    <row r="233" spans="1:23">
      <c r="A233" s="8"/>
      <c r="B233" s="10"/>
      <c r="C233" s="8"/>
      <c r="D233" s="8"/>
      <c r="E233" s="8"/>
      <c r="F233" s="8"/>
      <c r="G233" s="8"/>
      <c r="H233" s="8"/>
      <c r="I233" s="8"/>
      <c r="J233" s="13"/>
      <c r="K233" s="8"/>
      <c r="L233" s="13"/>
      <c r="M233" s="8"/>
      <c r="N233" s="8"/>
      <c r="O233" s="8"/>
      <c r="P233" s="8"/>
      <c r="Q233" s="13"/>
      <c r="R233" s="13"/>
      <c r="S233" s="14" t="str">
        <f t="shared" si="3"/>
        <v/>
      </c>
      <c r="T233" s="8"/>
      <c r="U233" s="8"/>
      <c r="V233" s="10"/>
      <c r="W233" s="8"/>
    </row>
    <row r="234" spans="1:23">
      <c r="A234" s="8"/>
      <c r="B234" s="10"/>
      <c r="C234" s="8"/>
      <c r="D234" s="8"/>
      <c r="E234" s="8"/>
      <c r="F234" s="8"/>
      <c r="G234" s="8"/>
      <c r="H234" s="8"/>
      <c r="I234" s="8"/>
      <c r="J234" s="13"/>
      <c r="K234" s="8"/>
      <c r="L234" s="13"/>
      <c r="M234" s="8"/>
      <c r="N234" s="8"/>
      <c r="O234" s="8"/>
      <c r="P234" s="8"/>
      <c r="Q234" s="13"/>
      <c r="R234" s="13"/>
      <c r="S234" s="14" t="str">
        <f t="shared" si="3"/>
        <v/>
      </c>
      <c r="T234" s="8"/>
      <c r="U234" s="8"/>
      <c r="V234" s="10"/>
      <c r="W234" s="8"/>
    </row>
    <row r="235" spans="1:23">
      <c r="A235" s="8"/>
      <c r="B235" s="10"/>
      <c r="C235" s="8"/>
      <c r="D235" s="8"/>
      <c r="E235" s="8"/>
      <c r="F235" s="8"/>
      <c r="G235" s="8"/>
      <c r="H235" s="8"/>
      <c r="I235" s="8"/>
      <c r="J235" s="13"/>
      <c r="K235" s="8"/>
      <c r="L235" s="13"/>
      <c r="M235" s="8"/>
      <c r="N235" s="8"/>
      <c r="O235" s="8"/>
      <c r="P235" s="8"/>
      <c r="Q235" s="13"/>
      <c r="R235" s="13"/>
      <c r="S235" s="14" t="str">
        <f t="shared" si="3"/>
        <v/>
      </c>
      <c r="T235" s="8"/>
      <c r="U235" s="8"/>
      <c r="V235" s="10"/>
      <c r="W235" s="8"/>
    </row>
    <row r="236" spans="1:23">
      <c r="A236" s="8"/>
      <c r="B236" s="10"/>
      <c r="C236" s="8"/>
      <c r="D236" s="8"/>
      <c r="E236" s="8"/>
      <c r="F236" s="8"/>
      <c r="G236" s="8"/>
      <c r="H236" s="8"/>
      <c r="I236" s="8"/>
      <c r="J236" s="13"/>
      <c r="K236" s="8"/>
      <c r="L236" s="13"/>
      <c r="M236" s="8"/>
      <c r="N236" s="8"/>
      <c r="O236" s="8"/>
      <c r="P236" s="8"/>
      <c r="Q236" s="13"/>
      <c r="R236" s="13"/>
      <c r="S236" s="14" t="str">
        <f t="shared" si="3"/>
        <v/>
      </c>
      <c r="T236" s="8"/>
      <c r="U236" s="8"/>
      <c r="V236" s="10"/>
      <c r="W236" s="8"/>
    </row>
    <row r="237" spans="1:23">
      <c r="A237" s="8"/>
      <c r="B237" s="10"/>
      <c r="C237" s="8"/>
      <c r="D237" s="8"/>
      <c r="E237" s="8"/>
      <c r="F237" s="8"/>
      <c r="G237" s="8"/>
      <c r="H237" s="8"/>
      <c r="I237" s="8"/>
      <c r="J237" s="13"/>
      <c r="K237" s="8"/>
      <c r="L237" s="13"/>
      <c r="M237" s="8"/>
      <c r="N237" s="8"/>
      <c r="O237" s="8"/>
      <c r="P237" s="8"/>
      <c r="Q237" s="13"/>
      <c r="R237" s="13"/>
      <c r="S237" s="14" t="str">
        <f t="shared" si="3"/>
        <v/>
      </c>
      <c r="T237" s="8"/>
      <c r="U237" s="8"/>
      <c r="V237" s="10"/>
      <c r="W237" s="8"/>
    </row>
    <row r="238" spans="1:23">
      <c r="A238" s="8"/>
      <c r="B238" s="10"/>
      <c r="C238" s="8"/>
      <c r="D238" s="8"/>
      <c r="E238" s="8"/>
      <c r="F238" s="8"/>
      <c r="G238" s="8"/>
      <c r="H238" s="8"/>
      <c r="I238" s="8"/>
      <c r="J238" s="13"/>
      <c r="K238" s="8"/>
      <c r="L238" s="13"/>
      <c r="M238" s="8"/>
      <c r="N238" s="8"/>
      <c r="O238" s="8"/>
      <c r="P238" s="8"/>
      <c r="Q238" s="13"/>
      <c r="R238" s="13"/>
      <c r="S238" s="14" t="str">
        <f t="shared" si="3"/>
        <v/>
      </c>
      <c r="T238" s="8"/>
      <c r="U238" s="8"/>
      <c r="V238" s="10"/>
      <c r="W238" s="8"/>
    </row>
    <row r="239" spans="1:23">
      <c r="A239" s="8"/>
      <c r="B239" s="10"/>
      <c r="C239" s="8"/>
      <c r="D239" s="8"/>
      <c r="E239" s="8"/>
      <c r="F239" s="8"/>
      <c r="G239" s="8"/>
      <c r="H239" s="8"/>
      <c r="I239" s="8"/>
      <c r="J239" s="13"/>
      <c r="K239" s="8"/>
      <c r="L239" s="13"/>
      <c r="M239" s="8"/>
      <c r="N239" s="8"/>
      <c r="O239" s="8"/>
      <c r="P239" s="8"/>
      <c r="Q239" s="13"/>
      <c r="R239" s="13"/>
      <c r="S239" s="14" t="str">
        <f t="shared" si="3"/>
        <v/>
      </c>
      <c r="T239" s="8"/>
      <c r="U239" s="8"/>
      <c r="V239" s="10"/>
      <c r="W239" s="8"/>
    </row>
    <row r="240" spans="1:23">
      <c r="A240" s="8"/>
      <c r="B240" s="10"/>
      <c r="C240" s="8"/>
      <c r="D240" s="8"/>
      <c r="E240" s="8"/>
      <c r="F240" s="8"/>
      <c r="G240" s="8"/>
      <c r="H240" s="8"/>
      <c r="I240" s="8"/>
      <c r="J240" s="13"/>
      <c r="K240" s="8"/>
      <c r="L240" s="13"/>
      <c r="M240" s="8"/>
      <c r="N240" s="8"/>
      <c r="O240" s="8"/>
      <c r="P240" s="8"/>
      <c r="Q240" s="13"/>
      <c r="R240" s="13"/>
      <c r="S240" s="14" t="str">
        <f t="shared" si="3"/>
        <v/>
      </c>
      <c r="T240" s="8"/>
      <c r="U240" s="8"/>
      <c r="V240" s="10"/>
      <c r="W240" s="8"/>
    </row>
    <row r="241" spans="1:23">
      <c r="A241" s="8"/>
      <c r="B241" s="10"/>
      <c r="C241" s="8"/>
      <c r="D241" s="8"/>
      <c r="E241" s="8"/>
      <c r="F241" s="8"/>
      <c r="G241" s="8"/>
      <c r="H241" s="8"/>
      <c r="I241" s="8"/>
      <c r="J241" s="13"/>
      <c r="K241" s="8"/>
      <c r="L241" s="13"/>
      <c r="M241" s="8"/>
      <c r="N241" s="8"/>
      <c r="O241" s="8"/>
      <c r="P241" s="8"/>
      <c r="Q241" s="13"/>
      <c r="R241" s="13"/>
      <c r="S241" s="14" t="str">
        <f t="shared" si="3"/>
        <v/>
      </c>
      <c r="T241" s="8"/>
      <c r="U241" s="8"/>
      <c r="V241" s="10"/>
      <c r="W241" s="8"/>
    </row>
    <row r="242" spans="1:23">
      <c r="A242" s="8"/>
      <c r="B242" s="10"/>
      <c r="C242" s="8"/>
      <c r="D242" s="8"/>
      <c r="E242" s="8"/>
      <c r="F242" s="8"/>
      <c r="G242" s="8"/>
      <c r="H242" s="8"/>
      <c r="I242" s="8"/>
      <c r="J242" s="13"/>
      <c r="K242" s="8"/>
      <c r="L242" s="13"/>
      <c r="M242" s="8"/>
      <c r="N242" s="8"/>
      <c r="O242" s="8"/>
      <c r="P242" s="8"/>
      <c r="Q242" s="13"/>
      <c r="R242" s="13"/>
      <c r="S242" s="14" t="str">
        <f t="shared" si="3"/>
        <v/>
      </c>
      <c r="T242" s="8"/>
      <c r="U242" s="8"/>
      <c r="V242" s="10"/>
      <c r="W242" s="8"/>
    </row>
    <row r="243" spans="1:23">
      <c r="A243" s="8"/>
      <c r="B243" s="10"/>
      <c r="C243" s="8"/>
      <c r="D243" s="8"/>
      <c r="E243" s="8"/>
      <c r="F243" s="8"/>
      <c r="G243" s="8"/>
      <c r="H243" s="8"/>
      <c r="I243" s="8"/>
      <c r="J243" s="13"/>
      <c r="K243" s="8"/>
      <c r="L243" s="13"/>
      <c r="M243" s="8"/>
      <c r="N243" s="8"/>
      <c r="O243" s="8"/>
      <c r="P243" s="8"/>
      <c r="Q243" s="13"/>
      <c r="R243" s="13"/>
      <c r="S243" s="14" t="str">
        <f t="shared" si="3"/>
        <v/>
      </c>
      <c r="T243" s="8"/>
      <c r="U243" s="8"/>
      <c r="V243" s="10"/>
      <c r="W243" s="8"/>
    </row>
    <row r="244" spans="1:23">
      <c r="A244" s="8"/>
      <c r="B244" s="10"/>
      <c r="C244" s="8"/>
      <c r="D244" s="8"/>
      <c r="E244" s="8"/>
      <c r="F244" s="8"/>
      <c r="G244" s="8"/>
      <c r="H244" s="8"/>
      <c r="I244" s="8"/>
      <c r="J244" s="13"/>
      <c r="K244" s="8"/>
      <c r="L244" s="13"/>
      <c r="M244" s="8"/>
      <c r="N244" s="8"/>
      <c r="O244" s="8"/>
      <c r="P244" s="8"/>
      <c r="Q244" s="13"/>
      <c r="R244" s="13"/>
      <c r="S244" s="14" t="str">
        <f t="shared" si="3"/>
        <v/>
      </c>
      <c r="T244" s="8"/>
      <c r="U244" s="8"/>
      <c r="V244" s="10"/>
      <c r="W244" s="8"/>
    </row>
    <row r="245" spans="1:23">
      <c r="A245" s="8"/>
      <c r="B245" s="10"/>
      <c r="C245" s="8"/>
      <c r="D245" s="8"/>
      <c r="E245" s="8"/>
      <c r="F245" s="8"/>
      <c r="G245" s="8"/>
      <c r="H245" s="8"/>
      <c r="I245" s="8"/>
      <c r="J245" s="13"/>
      <c r="K245" s="8"/>
      <c r="L245" s="13"/>
      <c r="M245" s="8"/>
      <c r="N245" s="8"/>
      <c r="O245" s="8"/>
      <c r="P245" s="8"/>
      <c r="Q245" s="13"/>
      <c r="R245" s="13"/>
      <c r="S245" s="14" t="str">
        <f t="shared" si="3"/>
        <v/>
      </c>
      <c r="T245" s="8"/>
      <c r="U245" s="8"/>
      <c r="V245" s="10"/>
      <c r="W245" s="8"/>
    </row>
    <row r="246" spans="1:23">
      <c r="A246" s="8"/>
      <c r="B246" s="10"/>
      <c r="C246" s="8"/>
      <c r="D246" s="8"/>
      <c r="E246" s="8"/>
      <c r="F246" s="8"/>
      <c r="G246" s="8"/>
      <c r="H246" s="8"/>
      <c r="I246" s="8"/>
      <c r="J246" s="13"/>
      <c r="K246" s="8"/>
      <c r="L246" s="13"/>
      <c r="M246" s="8"/>
      <c r="N246" s="8"/>
      <c r="O246" s="8"/>
      <c r="P246" s="8"/>
      <c r="Q246" s="13"/>
      <c r="R246" s="13"/>
      <c r="S246" s="14" t="str">
        <f t="shared" si="3"/>
        <v/>
      </c>
      <c r="T246" s="8"/>
      <c r="U246" s="8"/>
      <c r="V246" s="10"/>
      <c r="W246" s="8"/>
    </row>
    <row r="247" spans="1:23">
      <c r="A247" s="8"/>
      <c r="B247" s="10"/>
      <c r="C247" s="8"/>
      <c r="D247" s="8"/>
      <c r="E247" s="8"/>
      <c r="F247" s="8"/>
      <c r="G247" s="8"/>
      <c r="H247" s="8"/>
      <c r="I247" s="8"/>
      <c r="J247" s="13"/>
      <c r="K247" s="8"/>
      <c r="L247" s="13"/>
      <c r="M247" s="8"/>
      <c r="N247" s="8"/>
      <c r="O247" s="8"/>
      <c r="P247" s="8"/>
      <c r="Q247" s="13"/>
      <c r="R247" s="13"/>
      <c r="S247" s="14" t="str">
        <f t="shared" si="3"/>
        <v/>
      </c>
      <c r="T247" s="8"/>
      <c r="U247" s="8"/>
      <c r="V247" s="10"/>
      <c r="W247" s="8"/>
    </row>
    <row r="248" spans="1:23">
      <c r="A248" s="8"/>
      <c r="B248" s="10"/>
      <c r="C248" s="8"/>
      <c r="D248" s="8"/>
      <c r="E248" s="8"/>
      <c r="F248" s="8"/>
      <c r="G248" s="8"/>
      <c r="H248" s="8"/>
      <c r="I248" s="8"/>
      <c r="J248" s="13"/>
      <c r="K248" s="8"/>
      <c r="L248" s="13"/>
      <c r="M248" s="8"/>
      <c r="N248" s="8"/>
      <c r="O248" s="8"/>
      <c r="P248" s="8"/>
      <c r="Q248" s="13"/>
      <c r="R248" s="13"/>
      <c r="S248" s="14" t="str">
        <f t="shared" si="3"/>
        <v/>
      </c>
      <c r="T248" s="8"/>
      <c r="U248" s="8"/>
      <c r="V248" s="10"/>
      <c r="W248" s="8"/>
    </row>
    <row r="249" spans="1:23">
      <c r="A249" s="8"/>
      <c r="B249" s="10"/>
      <c r="C249" s="8"/>
      <c r="D249" s="8"/>
      <c r="E249" s="8"/>
      <c r="F249" s="8"/>
      <c r="G249" s="8"/>
      <c r="H249" s="8"/>
      <c r="I249" s="8"/>
      <c r="J249" s="13"/>
      <c r="K249" s="8"/>
      <c r="L249" s="13"/>
      <c r="M249" s="8"/>
      <c r="N249" s="8"/>
      <c r="O249" s="8"/>
      <c r="P249" s="8"/>
      <c r="Q249" s="13"/>
      <c r="R249" s="13"/>
      <c r="S249" s="14" t="str">
        <f t="shared" si="3"/>
        <v/>
      </c>
      <c r="T249" s="8"/>
      <c r="U249" s="8"/>
      <c r="V249" s="10"/>
      <c r="W249" s="8"/>
    </row>
    <row r="250" spans="1:23">
      <c r="A250" s="8"/>
      <c r="B250" s="10"/>
      <c r="C250" s="8"/>
      <c r="D250" s="8"/>
      <c r="E250" s="8"/>
      <c r="F250" s="8"/>
      <c r="G250" s="8"/>
      <c r="H250" s="8"/>
      <c r="I250" s="8"/>
      <c r="J250" s="13"/>
      <c r="K250" s="8"/>
      <c r="L250" s="13"/>
      <c r="M250" s="8"/>
      <c r="N250" s="8"/>
      <c r="O250" s="8"/>
      <c r="P250" s="8"/>
      <c r="Q250" s="13"/>
      <c r="R250" s="13"/>
      <c r="S250" s="14" t="str">
        <f t="shared" si="3"/>
        <v/>
      </c>
      <c r="T250" s="8"/>
      <c r="U250" s="8"/>
      <c r="V250" s="10"/>
      <c r="W250" s="8"/>
    </row>
    <row r="251" spans="1:23">
      <c r="A251" s="8"/>
      <c r="B251" s="10"/>
      <c r="C251" s="8"/>
      <c r="D251" s="8"/>
      <c r="E251" s="8"/>
      <c r="F251" s="8"/>
      <c r="G251" s="8"/>
      <c r="H251" s="8"/>
      <c r="I251" s="8"/>
      <c r="J251" s="13"/>
      <c r="K251" s="8"/>
      <c r="L251" s="13"/>
      <c r="M251" s="8"/>
      <c r="N251" s="8"/>
      <c r="O251" s="8"/>
      <c r="P251" s="8"/>
      <c r="Q251" s="13"/>
      <c r="R251" s="13"/>
      <c r="S251" s="14" t="str">
        <f t="shared" si="3"/>
        <v/>
      </c>
      <c r="T251" s="8"/>
      <c r="U251" s="8"/>
      <c r="V251" s="10"/>
      <c r="W251" s="8"/>
    </row>
    <row r="252" spans="1:23">
      <c r="A252" s="8"/>
      <c r="B252" s="10"/>
      <c r="C252" s="8"/>
      <c r="D252" s="8"/>
      <c r="E252" s="8"/>
      <c r="F252" s="8"/>
      <c r="G252" s="8"/>
      <c r="H252" s="8"/>
      <c r="I252" s="8"/>
      <c r="J252" s="13"/>
      <c r="K252" s="8"/>
      <c r="L252" s="13"/>
      <c r="M252" s="8"/>
      <c r="N252" s="8"/>
      <c r="O252" s="8"/>
      <c r="P252" s="8"/>
      <c r="Q252" s="13"/>
      <c r="R252" s="13"/>
      <c r="S252" s="14" t="str">
        <f t="shared" si="3"/>
        <v/>
      </c>
      <c r="T252" s="8"/>
      <c r="U252" s="8"/>
      <c r="V252" s="10"/>
      <c r="W252" s="8"/>
    </row>
    <row r="253" spans="1:23">
      <c r="A253" s="8"/>
      <c r="B253" s="10"/>
      <c r="C253" s="8"/>
      <c r="D253" s="8"/>
      <c r="E253" s="8"/>
      <c r="F253" s="8"/>
      <c r="G253" s="8"/>
      <c r="H253" s="8"/>
      <c r="I253" s="8"/>
      <c r="J253" s="13"/>
      <c r="K253" s="8"/>
      <c r="L253" s="13"/>
      <c r="M253" s="8"/>
      <c r="N253" s="8"/>
      <c r="O253" s="8"/>
      <c r="P253" s="8"/>
      <c r="Q253" s="13"/>
      <c r="R253" s="13"/>
      <c r="S253" s="14" t="str">
        <f t="shared" si="3"/>
        <v/>
      </c>
      <c r="T253" s="8"/>
      <c r="U253" s="8"/>
      <c r="V253" s="10"/>
      <c r="W253" s="8"/>
    </row>
    <row r="254" spans="1:23">
      <c r="A254" s="8"/>
      <c r="B254" s="10"/>
      <c r="C254" s="8"/>
      <c r="D254" s="8"/>
      <c r="E254" s="8"/>
      <c r="F254" s="8"/>
      <c r="G254" s="8"/>
      <c r="H254" s="8"/>
      <c r="I254" s="8"/>
      <c r="J254" s="13"/>
      <c r="K254" s="8"/>
      <c r="L254" s="13"/>
      <c r="M254" s="8"/>
      <c r="N254" s="8"/>
      <c r="O254" s="8"/>
      <c r="P254" s="8"/>
      <c r="Q254" s="13"/>
      <c r="R254" s="13"/>
      <c r="S254" s="14" t="str">
        <f t="shared" si="3"/>
        <v/>
      </c>
      <c r="T254" s="8"/>
      <c r="U254" s="8"/>
      <c r="V254" s="10"/>
      <c r="W254" s="8"/>
    </row>
    <row r="255" spans="1:23">
      <c r="A255" s="8"/>
      <c r="B255" s="10"/>
      <c r="C255" s="8"/>
      <c r="D255" s="8"/>
      <c r="E255" s="8"/>
      <c r="F255" s="8"/>
      <c r="G255" s="8"/>
      <c r="H255" s="8"/>
      <c r="I255" s="8"/>
      <c r="J255" s="13"/>
      <c r="K255" s="8"/>
      <c r="L255" s="13"/>
      <c r="M255" s="8"/>
      <c r="N255" s="8"/>
      <c r="O255" s="8"/>
      <c r="P255" s="8"/>
      <c r="Q255" s="13"/>
      <c r="R255" s="13"/>
      <c r="S255" s="14" t="str">
        <f t="shared" si="3"/>
        <v/>
      </c>
      <c r="T255" s="8"/>
      <c r="U255" s="8"/>
      <c r="V255" s="10"/>
      <c r="W255" s="8"/>
    </row>
    <row r="256" spans="1:23">
      <c r="A256" s="8"/>
      <c r="B256" s="10"/>
      <c r="C256" s="8"/>
      <c r="D256" s="8"/>
      <c r="E256" s="8"/>
      <c r="F256" s="8"/>
      <c r="G256" s="8"/>
      <c r="H256" s="8"/>
      <c r="I256" s="8"/>
      <c r="J256" s="13"/>
      <c r="K256" s="8"/>
      <c r="L256" s="13"/>
      <c r="M256" s="8"/>
      <c r="N256" s="8"/>
      <c r="O256" s="8"/>
      <c r="P256" s="8"/>
      <c r="Q256" s="13"/>
      <c r="R256" s="13"/>
      <c r="S256" s="14" t="str">
        <f t="shared" si="3"/>
        <v/>
      </c>
      <c r="T256" s="8"/>
      <c r="U256" s="8"/>
      <c r="V256" s="10"/>
      <c r="W256" s="8"/>
    </row>
    <row r="257" spans="1:23">
      <c r="A257" s="8"/>
      <c r="B257" s="10"/>
      <c r="C257" s="8"/>
      <c r="D257" s="8"/>
      <c r="E257" s="8"/>
      <c r="F257" s="8"/>
      <c r="G257" s="8"/>
      <c r="H257" s="8"/>
      <c r="I257" s="8"/>
      <c r="J257" s="13"/>
      <c r="K257" s="8"/>
      <c r="L257" s="13"/>
      <c r="M257" s="8"/>
      <c r="N257" s="8"/>
      <c r="O257" s="8"/>
      <c r="P257" s="8"/>
      <c r="Q257" s="13"/>
      <c r="R257" s="13"/>
      <c r="S257" s="14" t="str">
        <f t="shared" si="3"/>
        <v/>
      </c>
      <c r="T257" s="8"/>
      <c r="U257" s="8"/>
      <c r="V257" s="10"/>
      <c r="W257" s="8"/>
    </row>
    <row r="258" spans="1:23">
      <c r="A258" s="8"/>
      <c r="B258" s="10"/>
      <c r="C258" s="8"/>
      <c r="D258" s="8"/>
      <c r="E258" s="8"/>
      <c r="F258" s="8"/>
      <c r="G258" s="8"/>
      <c r="H258" s="8"/>
      <c r="I258" s="8"/>
      <c r="J258" s="13"/>
      <c r="K258" s="8"/>
      <c r="L258" s="13"/>
      <c r="M258" s="8"/>
      <c r="N258" s="8"/>
      <c r="O258" s="8"/>
      <c r="P258" s="8"/>
      <c r="Q258" s="13"/>
      <c r="R258" s="13"/>
      <c r="S258" s="14" t="str">
        <f t="shared" si="3"/>
        <v/>
      </c>
      <c r="T258" s="8"/>
      <c r="U258" s="8"/>
      <c r="V258" s="10"/>
      <c r="W258" s="8"/>
    </row>
    <row r="259" spans="1:23">
      <c r="A259" s="8"/>
      <c r="B259" s="10"/>
      <c r="C259" s="8"/>
      <c r="D259" s="8"/>
      <c r="E259" s="8"/>
      <c r="F259" s="8"/>
      <c r="G259" s="8"/>
      <c r="H259" s="8"/>
      <c r="I259" s="8"/>
      <c r="J259" s="13"/>
      <c r="K259" s="8"/>
      <c r="L259" s="13"/>
      <c r="M259" s="8"/>
      <c r="N259" s="8"/>
      <c r="O259" s="8"/>
      <c r="P259" s="8"/>
      <c r="Q259" s="13"/>
      <c r="R259" s="13"/>
      <c r="S259" s="14" t="str">
        <f t="shared" si="3"/>
        <v/>
      </c>
      <c r="T259" s="8"/>
      <c r="U259" s="8"/>
      <c r="V259" s="10"/>
      <c r="W259" s="8"/>
    </row>
    <row r="260" spans="1:23">
      <c r="A260" s="8"/>
      <c r="B260" s="10"/>
      <c r="C260" s="8"/>
      <c r="D260" s="8"/>
      <c r="E260" s="8"/>
      <c r="F260" s="8"/>
      <c r="G260" s="8"/>
      <c r="H260" s="8"/>
      <c r="I260" s="8"/>
      <c r="J260" s="13"/>
      <c r="K260" s="8"/>
      <c r="L260" s="13"/>
      <c r="M260" s="8"/>
      <c r="N260" s="8"/>
      <c r="O260" s="8"/>
      <c r="P260" s="8"/>
      <c r="Q260" s="13"/>
      <c r="R260" s="13"/>
      <c r="S260" s="14" t="str">
        <f t="shared" si="3"/>
        <v/>
      </c>
      <c r="T260" s="8"/>
      <c r="U260" s="8"/>
      <c r="V260" s="10"/>
      <c r="W260" s="8"/>
    </row>
    <row r="261" spans="1:23">
      <c r="A261" s="8"/>
      <c r="B261" s="10"/>
      <c r="C261" s="8"/>
      <c r="D261" s="8"/>
      <c r="E261" s="8"/>
      <c r="F261" s="8"/>
      <c r="G261" s="8"/>
      <c r="H261" s="8"/>
      <c r="I261" s="8"/>
      <c r="J261" s="13"/>
      <c r="K261" s="8"/>
      <c r="L261" s="13"/>
      <c r="M261" s="8"/>
      <c r="N261" s="8"/>
      <c r="O261" s="8"/>
      <c r="P261" s="8"/>
      <c r="Q261" s="13"/>
      <c r="R261" s="13"/>
      <c r="S261" s="14" t="str">
        <f t="shared" ref="S261:S304" si="4">IF(A261="","",MAX(0,J261-Q261))</f>
        <v/>
      </c>
      <c r="T261" s="8"/>
      <c r="U261" s="8"/>
      <c r="V261" s="10"/>
      <c r="W261" s="8"/>
    </row>
    <row r="262" spans="1:23">
      <c r="A262" s="8"/>
      <c r="B262" s="10"/>
      <c r="C262" s="8"/>
      <c r="D262" s="8"/>
      <c r="E262" s="8"/>
      <c r="F262" s="8"/>
      <c r="G262" s="8"/>
      <c r="H262" s="8"/>
      <c r="I262" s="8"/>
      <c r="J262" s="13"/>
      <c r="K262" s="8"/>
      <c r="L262" s="13"/>
      <c r="M262" s="8"/>
      <c r="N262" s="8"/>
      <c r="O262" s="8"/>
      <c r="P262" s="8"/>
      <c r="Q262" s="13"/>
      <c r="R262" s="13"/>
      <c r="S262" s="14" t="str">
        <f t="shared" si="4"/>
        <v/>
      </c>
      <c r="T262" s="8"/>
      <c r="U262" s="8"/>
      <c r="V262" s="10"/>
      <c r="W262" s="8"/>
    </row>
    <row r="263" spans="1:23">
      <c r="A263" s="8"/>
      <c r="B263" s="10"/>
      <c r="C263" s="8"/>
      <c r="D263" s="8"/>
      <c r="E263" s="8"/>
      <c r="F263" s="8"/>
      <c r="G263" s="8"/>
      <c r="H263" s="8"/>
      <c r="I263" s="8"/>
      <c r="J263" s="13"/>
      <c r="K263" s="8"/>
      <c r="L263" s="13"/>
      <c r="M263" s="8"/>
      <c r="N263" s="8"/>
      <c r="O263" s="8"/>
      <c r="P263" s="8"/>
      <c r="Q263" s="13"/>
      <c r="R263" s="13"/>
      <c r="S263" s="14" t="str">
        <f t="shared" si="4"/>
        <v/>
      </c>
      <c r="T263" s="8"/>
      <c r="U263" s="8"/>
      <c r="V263" s="10"/>
      <c r="W263" s="8"/>
    </row>
    <row r="264" spans="1:23">
      <c r="A264" s="8"/>
      <c r="B264" s="10"/>
      <c r="C264" s="8"/>
      <c r="D264" s="8"/>
      <c r="E264" s="8"/>
      <c r="F264" s="8"/>
      <c r="G264" s="8"/>
      <c r="H264" s="8"/>
      <c r="I264" s="8"/>
      <c r="J264" s="13"/>
      <c r="K264" s="8"/>
      <c r="L264" s="13"/>
      <c r="M264" s="8"/>
      <c r="N264" s="8"/>
      <c r="O264" s="8"/>
      <c r="P264" s="8"/>
      <c r="Q264" s="13"/>
      <c r="R264" s="13"/>
      <c r="S264" s="14" t="str">
        <f t="shared" si="4"/>
        <v/>
      </c>
      <c r="T264" s="8"/>
      <c r="U264" s="8"/>
      <c r="V264" s="10"/>
      <c r="W264" s="8"/>
    </row>
    <row r="265" spans="1:23">
      <c r="A265" s="8"/>
      <c r="B265" s="10"/>
      <c r="C265" s="8"/>
      <c r="D265" s="8"/>
      <c r="E265" s="8"/>
      <c r="F265" s="8"/>
      <c r="G265" s="8"/>
      <c r="H265" s="8"/>
      <c r="I265" s="8"/>
      <c r="J265" s="13"/>
      <c r="K265" s="8"/>
      <c r="L265" s="13"/>
      <c r="M265" s="8"/>
      <c r="N265" s="8"/>
      <c r="O265" s="8"/>
      <c r="P265" s="8"/>
      <c r="Q265" s="13"/>
      <c r="R265" s="13"/>
      <c r="S265" s="14" t="str">
        <f t="shared" si="4"/>
        <v/>
      </c>
      <c r="T265" s="8"/>
      <c r="U265" s="8"/>
      <c r="V265" s="10"/>
      <c r="W265" s="8"/>
    </row>
    <row r="266" spans="1:23">
      <c r="A266" s="8"/>
      <c r="B266" s="10"/>
      <c r="C266" s="8"/>
      <c r="D266" s="8"/>
      <c r="E266" s="8"/>
      <c r="F266" s="8"/>
      <c r="G266" s="8"/>
      <c r="H266" s="8"/>
      <c r="I266" s="8"/>
      <c r="J266" s="13"/>
      <c r="K266" s="8"/>
      <c r="L266" s="13"/>
      <c r="M266" s="8"/>
      <c r="N266" s="8"/>
      <c r="O266" s="8"/>
      <c r="P266" s="8"/>
      <c r="Q266" s="13"/>
      <c r="R266" s="13"/>
      <c r="S266" s="14" t="str">
        <f t="shared" si="4"/>
        <v/>
      </c>
      <c r="T266" s="8"/>
      <c r="U266" s="8"/>
      <c r="V266" s="10"/>
      <c r="W266" s="8"/>
    </row>
    <row r="267" spans="1:23">
      <c r="A267" s="8"/>
      <c r="B267" s="10"/>
      <c r="C267" s="8"/>
      <c r="D267" s="8"/>
      <c r="E267" s="8"/>
      <c r="F267" s="8"/>
      <c r="G267" s="8"/>
      <c r="H267" s="8"/>
      <c r="I267" s="8"/>
      <c r="J267" s="13"/>
      <c r="K267" s="8"/>
      <c r="L267" s="13"/>
      <c r="M267" s="8"/>
      <c r="N267" s="8"/>
      <c r="O267" s="8"/>
      <c r="P267" s="8"/>
      <c r="Q267" s="13"/>
      <c r="R267" s="13"/>
      <c r="S267" s="14" t="str">
        <f t="shared" si="4"/>
        <v/>
      </c>
      <c r="T267" s="8"/>
      <c r="U267" s="8"/>
      <c r="V267" s="10"/>
      <c r="W267" s="8"/>
    </row>
    <row r="268" spans="1:23">
      <c r="A268" s="8"/>
      <c r="B268" s="10"/>
      <c r="C268" s="8"/>
      <c r="D268" s="8"/>
      <c r="E268" s="8"/>
      <c r="F268" s="8"/>
      <c r="G268" s="8"/>
      <c r="H268" s="8"/>
      <c r="I268" s="8"/>
      <c r="J268" s="13"/>
      <c r="K268" s="8"/>
      <c r="L268" s="13"/>
      <c r="M268" s="8"/>
      <c r="N268" s="8"/>
      <c r="O268" s="8"/>
      <c r="P268" s="8"/>
      <c r="Q268" s="13"/>
      <c r="R268" s="13"/>
      <c r="S268" s="14" t="str">
        <f t="shared" si="4"/>
        <v/>
      </c>
      <c r="T268" s="8"/>
      <c r="U268" s="8"/>
      <c r="V268" s="10"/>
      <c r="W268" s="8"/>
    </row>
    <row r="269" spans="1:23">
      <c r="A269" s="8"/>
      <c r="B269" s="10"/>
      <c r="C269" s="8"/>
      <c r="D269" s="8"/>
      <c r="E269" s="8"/>
      <c r="F269" s="8"/>
      <c r="G269" s="8"/>
      <c r="H269" s="8"/>
      <c r="I269" s="8"/>
      <c r="J269" s="13"/>
      <c r="K269" s="8"/>
      <c r="L269" s="13"/>
      <c r="M269" s="8"/>
      <c r="N269" s="8"/>
      <c r="O269" s="8"/>
      <c r="P269" s="8"/>
      <c r="Q269" s="13"/>
      <c r="R269" s="13"/>
      <c r="S269" s="14" t="str">
        <f t="shared" si="4"/>
        <v/>
      </c>
      <c r="T269" s="8"/>
      <c r="U269" s="8"/>
      <c r="V269" s="10"/>
      <c r="W269" s="8"/>
    </row>
    <row r="270" spans="1:23">
      <c r="A270" s="8"/>
      <c r="B270" s="10"/>
      <c r="C270" s="8"/>
      <c r="D270" s="8"/>
      <c r="E270" s="8"/>
      <c r="F270" s="8"/>
      <c r="G270" s="8"/>
      <c r="H270" s="8"/>
      <c r="I270" s="8"/>
      <c r="J270" s="13"/>
      <c r="K270" s="8"/>
      <c r="L270" s="13"/>
      <c r="M270" s="8"/>
      <c r="N270" s="8"/>
      <c r="O270" s="8"/>
      <c r="P270" s="8"/>
      <c r="Q270" s="13"/>
      <c r="R270" s="13"/>
      <c r="S270" s="14" t="str">
        <f t="shared" si="4"/>
        <v/>
      </c>
      <c r="T270" s="8"/>
      <c r="U270" s="8"/>
      <c r="V270" s="10"/>
      <c r="W270" s="8"/>
    </row>
    <row r="271" spans="1:23">
      <c r="A271" s="8"/>
      <c r="B271" s="10"/>
      <c r="C271" s="8"/>
      <c r="D271" s="8"/>
      <c r="E271" s="8"/>
      <c r="F271" s="8"/>
      <c r="G271" s="8"/>
      <c r="H271" s="8"/>
      <c r="I271" s="8"/>
      <c r="J271" s="13"/>
      <c r="K271" s="8"/>
      <c r="L271" s="13"/>
      <c r="M271" s="8"/>
      <c r="N271" s="8"/>
      <c r="O271" s="8"/>
      <c r="P271" s="8"/>
      <c r="Q271" s="13"/>
      <c r="R271" s="13"/>
      <c r="S271" s="14" t="str">
        <f t="shared" si="4"/>
        <v/>
      </c>
      <c r="T271" s="8"/>
      <c r="U271" s="8"/>
      <c r="V271" s="10"/>
      <c r="W271" s="8"/>
    </row>
    <row r="272" spans="1:23">
      <c r="A272" s="8"/>
      <c r="B272" s="10"/>
      <c r="C272" s="8"/>
      <c r="D272" s="8"/>
      <c r="E272" s="8"/>
      <c r="F272" s="8"/>
      <c r="G272" s="8"/>
      <c r="H272" s="8"/>
      <c r="I272" s="8"/>
      <c r="J272" s="13"/>
      <c r="K272" s="8"/>
      <c r="L272" s="13"/>
      <c r="M272" s="8"/>
      <c r="N272" s="8"/>
      <c r="O272" s="8"/>
      <c r="P272" s="8"/>
      <c r="Q272" s="13"/>
      <c r="R272" s="13"/>
      <c r="S272" s="14" t="str">
        <f t="shared" si="4"/>
        <v/>
      </c>
      <c r="T272" s="8"/>
      <c r="U272" s="8"/>
      <c r="V272" s="10"/>
      <c r="W272" s="8"/>
    </row>
    <row r="273" spans="1:23">
      <c r="A273" s="8"/>
      <c r="B273" s="10"/>
      <c r="C273" s="8"/>
      <c r="D273" s="8"/>
      <c r="E273" s="8"/>
      <c r="F273" s="8"/>
      <c r="G273" s="8"/>
      <c r="H273" s="8"/>
      <c r="I273" s="8"/>
      <c r="J273" s="13"/>
      <c r="K273" s="8"/>
      <c r="L273" s="13"/>
      <c r="M273" s="8"/>
      <c r="N273" s="8"/>
      <c r="O273" s="8"/>
      <c r="P273" s="8"/>
      <c r="Q273" s="13"/>
      <c r="R273" s="13"/>
      <c r="S273" s="14" t="str">
        <f t="shared" si="4"/>
        <v/>
      </c>
      <c r="T273" s="8"/>
      <c r="U273" s="8"/>
      <c r="V273" s="10"/>
      <c r="W273" s="8"/>
    </row>
    <row r="274" spans="1:23">
      <c r="A274" s="8"/>
      <c r="B274" s="10"/>
      <c r="C274" s="8"/>
      <c r="D274" s="8"/>
      <c r="E274" s="8"/>
      <c r="F274" s="8"/>
      <c r="G274" s="8"/>
      <c r="H274" s="8"/>
      <c r="I274" s="8"/>
      <c r="J274" s="13"/>
      <c r="K274" s="8"/>
      <c r="L274" s="13"/>
      <c r="M274" s="8"/>
      <c r="N274" s="8"/>
      <c r="O274" s="8"/>
      <c r="P274" s="8"/>
      <c r="Q274" s="13"/>
      <c r="R274" s="13"/>
      <c r="S274" s="14" t="str">
        <f t="shared" si="4"/>
        <v/>
      </c>
      <c r="T274" s="8"/>
      <c r="U274" s="8"/>
      <c r="V274" s="10"/>
      <c r="W274" s="8"/>
    </row>
    <row r="275" spans="1:23">
      <c r="A275" s="8"/>
      <c r="B275" s="10"/>
      <c r="C275" s="8"/>
      <c r="D275" s="8"/>
      <c r="E275" s="8"/>
      <c r="F275" s="8"/>
      <c r="G275" s="8"/>
      <c r="H275" s="8"/>
      <c r="I275" s="8"/>
      <c r="J275" s="13"/>
      <c r="K275" s="8"/>
      <c r="L275" s="13"/>
      <c r="M275" s="8"/>
      <c r="N275" s="8"/>
      <c r="O275" s="8"/>
      <c r="P275" s="8"/>
      <c r="Q275" s="13"/>
      <c r="R275" s="13"/>
      <c r="S275" s="14" t="str">
        <f t="shared" si="4"/>
        <v/>
      </c>
      <c r="T275" s="8"/>
      <c r="U275" s="8"/>
      <c r="V275" s="10"/>
      <c r="W275" s="8"/>
    </row>
    <row r="276" spans="1:23">
      <c r="A276" s="8"/>
      <c r="B276" s="10"/>
      <c r="C276" s="8"/>
      <c r="D276" s="8"/>
      <c r="E276" s="8"/>
      <c r="F276" s="8"/>
      <c r="G276" s="8"/>
      <c r="H276" s="8"/>
      <c r="I276" s="8"/>
      <c r="J276" s="13"/>
      <c r="K276" s="8"/>
      <c r="L276" s="13"/>
      <c r="M276" s="8"/>
      <c r="N276" s="8"/>
      <c r="O276" s="8"/>
      <c r="P276" s="8"/>
      <c r="Q276" s="13"/>
      <c r="R276" s="13"/>
      <c r="S276" s="14" t="str">
        <f t="shared" si="4"/>
        <v/>
      </c>
      <c r="T276" s="8"/>
      <c r="U276" s="8"/>
      <c r="V276" s="10"/>
      <c r="W276" s="8"/>
    </row>
    <row r="277" spans="1:23">
      <c r="A277" s="8"/>
      <c r="B277" s="10"/>
      <c r="C277" s="8"/>
      <c r="D277" s="8"/>
      <c r="E277" s="8"/>
      <c r="F277" s="8"/>
      <c r="G277" s="8"/>
      <c r="H277" s="8"/>
      <c r="I277" s="8"/>
      <c r="J277" s="13"/>
      <c r="K277" s="8"/>
      <c r="L277" s="13"/>
      <c r="M277" s="8"/>
      <c r="N277" s="8"/>
      <c r="O277" s="8"/>
      <c r="P277" s="8"/>
      <c r="Q277" s="13"/>
      <c r="R277" s="13"/>
      <c r="S277" s="14" t="str">
        <f t="shared" si="4"/>
        <v/>
      </c>
      <c r="T277" s="8"/>
      <c r="U277" s="8"/>
      <c r="V277" s="10"/>
      <c r="W277" s="8"/>
    </row>
    <row r="278" spans="1:23">
      <c r="A278" s="8"/>
      <c r="B278" s="10"/>
      <c r="C278" s="8"/>
      <c r="D278" s="8"/>
      <c r="E278" s="8"/>
      <c r="F278" s="8"/>
      <c r="G278" s="8"/>
      <c r="H278" s="8"/>
      <c r="I278" s="8"/>
      <c r="J278" s="13"/>
      <c r="K278" s="8"/>
      <c r="L278" s="13"/>
      <c r="M278" s="8"/>
      <c r="N278" s="8"/>
      <c r="O278" s="8"/>
      <c r="P278" s="8"/>
      <c r="Q278" s="13"/>
      <c r="R278" s="13"/>
      <c r="S278" s="14" t="str">
        <f t="shared" si="4"/>
        <v/>
      </c>
      <c r="T278" s="8"/>
      <c r="U278" s="8"/>
      <c r="V278" s="10"/>
      <c r="W278" s="8"/>
    </row>
    <row r="279" spans="1:23">
      <c r="A279" s="8"/>
      <c r="B279" s="10"/>
      <c r="C279" s="8"/>
      <c r="D279" s="8"/>
      <c r="E279" s="8"/>
      <c r="F279" s="8"/>
      <c r="G279" s="8"/>
      <c r="H279" s="8"/>
      <c r="I279" s="8"/>
      <c r="J279" s="13"/>
      <c r="K279" s="8"/>
      <c r="L279" s="13"/>
      <c r="M279" s="8"/>
      <c r="N279" s="8"/>
      <c r="O279" s="8"/>
      <c r="P279" s="8"/>
      <c r="Q279" s="13"/>
      <c r="R279" s="13"/>
      <c r="S279" s="14" t="str">
        <f t="shared" si="4"/>
        <v/>
      </c>
      <c r="T279" s="8"/>
      <c r="U279" s="8"/>
      <c r="V279" s="10"/>
      <c r="W279" s="8"/>
    </row>
    <row r="280" spans="1:23">
      <c r="A280" s="8"/>
      <c r="B280" s="10"/>
      <c r="C280" s="8"/>
      <c r="D280" s="8"/>
      <c r="E280" s="8"/>
      <c r="F280" s="8"/>
      <c r="G280" s="8"/>
      <c r="H280" s="8"/>
      <c r="I280" s="8"/>
      <c r="J280" s="13"/>
      <c r="K280" s="8"/>
      <c r="L280" s="13"/>
      <c r="M280" s="8"/>
      <c r="N280" s="8"/>
      <c r="O280" s="8"/>
      <c r="P280" s="8"/>
      <c r="Q280" s="13"/>
      <c r="R280" s="13"/>
      <c r="S280" s="14" t="str">
        <f t="shared" si="4"/>
        <v/>
      </c>
      <c r="T280" s="8"/>
      <c r="U280" s="8"/>
      <c r="V280" s="10"/>
      <c r="W280" s="8"/>
    </row>
    <row r="281" spans="1:23">
      <c r="A281" s="8"/>
      <c r="B281" s="10"/>
      <c r="C281" s="8"/>
      <c r="D281" s="8"/>
      <c r="E281" s="8"/>
      <c r="F281" s="8"/>
      <c r="G281" s="8"/>
      <c r="H281" s="8"/>
      <c r="I281" s="8"/>
      <c r="J281" s="13"/>
      <c r="K281" s="8"/>
      <c r="L281" s="13"/>
      <c r="M281" s="8"/>
      <c r="N281" s="8"/>
      <c r="O281" s="8"/>
      <c r="P281" s="8"/>
      <c r="Q281" s="13"/>
      <c r="R281" s="13"/>
      <c r="S281" s="14" t="str">
        <f t="shared" si="4"/>
        <v/>
      </c>
      <c r="T281" s="8"/>
      <c r="U281" s="8"/>
      <c r="V281" s="10"/>
      <c r="W281" s="8"/>
    </row>
    <row r="282" spans="1:23">
      <c r="A282" s="8"/>
      <c r="B282" s="10"/>
      <c r="C282" s="8"/>
      <c r="D282" s="8"/>
      <c r="E282" s="8"/>
      <c r="F282" s="8"/>
      <c r="G282" s="8"/>
      <c r="H282" s="8"/>
      <c r="I282" s="8"/>
      <c r="J282" s="13"/>
      <c r="K282" s="8"/>
      <c r="L282" s="13"/>
      <c r="M282" s="8"/>
      <c r="N282" s="8"/>
      <c r="O282" s="8"/>
      <c r="P282" s="8"/>
      <c r="Q282" s="13"/>
      <c r="R282" s="13"/>
      <c r="S282" s="14" t="str">
        <f t="shared" si="4"/>
        <v/>
      </c>
      <c r="T282" s="8"/>
      <c r="U282" s="8"/>
      <c r="V282" s="10"/>
      <c r="W282" s="8"/>
    </row>
    <row r="283" spans="1:23">
      <c r="A283" s="8"/>
      <c r="B283" s="10"/>
      <c r="C283" s="8"/>
      <c r="D283" s="8"/>
      <c r="E283" s="8"/>
      <c r="F283" s="8"/>
      <c r="G283" s="8"/>
      <c r="H283" s="8"/>
      <c r="I283" s="8"/>
      <c r="J283" s="13"/>
      <c r="K283" s="8"/>
      <c r="L283" s="13"/>
      <c r="M283" s="8"/>
      <c r="N283" s="8"/>
      <c r="O283" s="8"/>
      <c r="P283" s="8"/>
      <c r="Q283" s="13"/>
      <c r="R283" s="13"/>
      <c r="S283" s="14" t="str">
        <f t="shared" si="4"/>
        <v/>
      </c>
      <c r="T283" s="8"/>
      <c r="U283" s="8"/>
      <c r="V283" s="10"/>
      <c r="W283" s="8"/>
    </row>
    <row r="284" spans="1:23">
      <c r="A284" s="8"/>
      <c r="B284" s="10"/>
      <c r="C284" s="8"/>
      <c r="D284" s="8"/>
      <c r="E284" s="8"/>
      <c r="F284" s="8"/>
      <c r="G284" s="8"/>
      <c r="H284" s="8"/>
      <c r="I284" s="8"/>
      <c r="J284" s="13"/>
      <c r="K284" s="8"/>
      <c r="L284" s="13"/>
      <c r="M284" s="8"/>
      <c r="N284" s="8"/>
      <c r="O284" s="8"/>
      <c r="P284" s="8"/>
      <c r="Q284" s="13"/>
      <c r="R284" s="13"/>
      <c r="S284" s="14" t="str">
        <f t="shared" si="4"/>
        <v/>
      </c>
      <c r="T284" s="8"/>
      <c r="U284" s="8"/>
      <c r="V284" s="10"/>
      <c r="W284" s="8"/>
    </row>
    <row r="285" spans="1:23">
      <c r="A285" s="8"/>
      <c r="B285" s="10"/>
      <c r="C285" s="8"/>
      <c r="D285" s="8"/>
      <c r="E285" s="8"/>
      <c r="F285" s="8"/>
      <c r="G285" s="8"/>
      <c r="H285" s="8"/>
      <c r="I285" s="8"/>
      <c r="J285" s="13"/>
      <c r="K285" s="8"/>
      <c r="L285" s="13"/>
      <c r="M285" s="8"/>
      <c r="N285" s="8"/>
      <c r="O285" s="8"/>
      <c r="P285" s="8"/>
      <c r="Q285" s="13"/>
      <c r="R285" s="13"/>
      <c r="S285" s="14" t="str">
        <f t="shared" si="4"/>
        <v/>
      </c>
      <c r="T285" s="8"/>
      <c r="U285" s="8"/>
      <c r="V285" s="10"/>
      <c r="W285" s="8"/>
    </row>
    <row r="286" spans="1:23">
      <c r="A286" s="8"/>
      <c r="B286" s="10"/>
      <c r="C286" s="8"/>
      <c r="D286" s="8"/>
      <c r="E286" s="8"/>
      <c r="F286" s="8"/>
      <c r="G286" s="8"/>
      <c r="H286" s="8"/>
      <c r="I286" s="8"/>
      <c r="J286" s="13"/>
      <c r="K286" s="8"/>
      <c r="L286" s="13"/>
      <c r="M286" s="8"/>
      <c r="N286" s="8"/>
      <c r="O286" s="8"/>
      <c r="P286" s="8"/>
      <c r="Q286" s="13"/>
      <c r="R286" s="13"/>
      <c r="S286" s="14" t="str">
        <f t="shared" si="4"/>
        <v/>
      </c>
      <c r="T286" s="8"/>
      <c r="U286" s="8"/>
      <c r="V286" s="10"/>
      <c r="W286" s="8"/>
    </row>
    <row r="287" spans="1:23">
      <c r="A287" s="8"/>
      <c r="B287" s="10"/>
      <c r="C287" s="8"/>
      <c r="D287" s="8"/>
      <c r="E287" s="8"/>
      <c r="F287" s="8"/>
      <c r="G287" s="8"/>
      <c r="H287" s="8"/>
      <c r="I287" s="8"/>
      <c r="J287" s="13"/>
      <c r="K287" s="8"/>
      <c r="L287" s="13"/>
      <c r="M287" s="8"/>
      <c r="N287" s="8"/>
      <c r="O287" s="8"/>
      <c r="P287" s="8"/>
      <c r="Q287" s="13"/>
      <c r="R287" s="13"/>
      <c r="S287" s="14" t="str">
        <f t="shared" si="4"/>
        <v/>
      </c>
      <c r="T287" s="8"/>
      <c r="U287" s="8"/>
      <c r="V287" s="10"/>
      <c r="W287" s="8"/>
    </row>
    <row r="288" spans="1:23">
      <c r="A288" s="8"/>
      <c r="B288" s="10"/>
      <c r="C288" s="8"/>
      <c r="D288" s="8"/>
      <c r="E288" s="8"/>
      <c r="F288" s="8"/>
      <c r="G288" s="8"/>
      <c r="H288" s="8"/>
      <c r="I288" s="8"/>
      <c r="J288" s="13"/>
      <c r="K288" s="8"/>
      <c r="L288" s="13"/>
      <c r="M288" s="8"/>
      <c r="N288" s="8"/>
      <c r="O288" s="8"/>
      <c r="P288" s="8"/>
      <c r="Q288" s="13"/>
      <c r="R288" s="13"/>
      <c r="S288" s="14" t="str">
        <f t="shared" si="4"/>
        <v/>
      </c>
      <c r="T288" s="8"/>
      <c r="U288" s="8"/>
      <c r="V288" s="10"/>
      <c r="W288" s="8"/>
    </row>
    <row r="289" spans="1:23">
      <c r="A289" s="8"/>
      <c r="B289" s="10"/>
      <c r="C289" s="8"/>
      <c r="D289" s="8"/>
      <c r="E289" s="8"/>
      <c r="F289" s="8"/>
      <c r="G289" s="8"/>
      <c r="H289" s="8"/>
      <c r="I289" s="8"/>
      <c r="J289" s="13"/>
      <c r="K289" s="8"/>
      <c r="L289" s="13"/>
      <c r="M289" s="8"/>
      <c r="N289" s="8"/>
      <c r="O289" s="8"/>
      <c r="P289" s="8"/>
      <c r="Q289" s="13"/>
      <c r="R289" s="13"/>
      <c r="S289" s="14" t="str">
        <f t="shared" si="4"/>
        <v/>
      </c>
      <c r="T289" s="8"/>
      <c r="U289" s="8"/>
      <c r="V289" s="10"/>
      <c r="W289" s="8"/>
    </row>
    <row r="290" spans="1:23">
      <c r="A290" s="8"/>
      <c r="B290" s="10"/>
      <c r="C290" s="8"/>
      <c r="D290" s="8"/>
      <c r="E290" s="8"/>
      <c r="F290" s="8"/>
      <c r="G290" s="8"/>
      <c r="H290" s="8"/>
      <c r="I290" s="8"/>
      <c r="J290" s="13"/>
      <c r="K290" s="8"/>
      <c r="L290" s="13"/>
      <c r="M290" s="8"/>
      <c r="N290" s="8"/>
      <c r="O290" s="8"/>
      <c r="P290" s="8"/>
      <c r="Q290" s="13"/>
      <c r="R290" s="13"/>
      <c r="S290" s="14" t="str">
        <f t="shared" si="4"/>
        <v/>
      </c>
      <c r="T290" s="8"/>
      <c r="U290" s="8"/>
      <c r="V290" s="10"/>
      <c r="W290" s="8"/>
    </row>
    <row r="291" spans="1:23">
      <c r="A291" s="8"/>
      <c r="B291" s="10"/>
      <c r="C291" s="8"/>
      <c r="D291" s="8"/>
      <c r="E291" s="8"/>
      <c r="F291" s="8"/>
      <c r="G291" s="8"/>
      <c r="H291" s="8"/>
      <c r="I291" s="8"/>
      <c r="J291" s="13"/>
      <c r="K291" s="8"/>
      <c r="L291" s="13"/>
      <c r="M291" s="8"/>
      <c r="N291" s="8"/>
      <c r="O291" s="8"/>
      <c r="P291" s="8"/>
      <c r="Q291" s="13"/>
      <c r="R291" s="13"/>
      <c r="S291" s="14" t="str">
        <f t="shared" si="4"/>
        <v/>
      </c>
      <c r="T291" s="8"/>
      <c r="U291" s="8"/>
      <c r="V291" s="10"/>
      <c r="W291" s="8"/>
    </row>
    <row r="292" spans="1:23">
      <c r="A292" s="8"/>
      <c r="B292" s="10"/>
      <c r="C292" s="8"/>
      <c r="D292" s="8"/>
      <c r="E292" s="8"/>
      <c r="F292" s="8"/>
      <c r="G292" s="8"/>
      <c r="H292" s="8"/>
      <c r="I292" s="8"/>
      <c r="J292" s="13"/>
      <c r="K292" s="8"/>
      <c r="L292" s="13"/>
      <c r="M292" s="8"/>
      <c r="N292" s="8"/>
      <c r="O292" s="8"/>
      <c r="P292" s="8"/>
      <c r="Q292" s="13"/>
      <c r="R292" s="13"/>
      <c r="S292" s="14" t="str">
        <f t="shared" si="4"/>
        <v/>
      </c>
      <c r="T292" s="8"/>
      <c r="U292" s="8"/>
      <c r="V292" s="10"/>
      <c r="W292" s="8"/>
    </row>
    <row r="293" spans="1:23">
      <c r="A293" s="8"/>
      <c r="B293" s="10"/>
      <c r="C293" s="8"/>
      <c r="D293" s="8"/>
      <c r="E293" s="8"/>
      <c r="F293" s="8"/>
      <c r="G293" s="8"/>
      <c r="H293" s="8"/>
      <c r="I293" s="8"/>
      <c r="J293" s="13"/>
      <c r="K293" s="8"/>
      <c r="L293" s="13"/>
      <c r="M293" s="8"/>
      <c r="N293" s="8"/>
      <c r="O293" s="8"/>
      <c r="P293" s="8"/>
      <c r="Q293" s="13"/>
      <c r="R293" s="13"/>
      <c r="S293" s="14" t="str">
        <f t="shared" si="4"/>
        <v/>
      </c>
      <c r="T293" s="8"/>
      <c r="U293" s="8"/>
      <c r="V293" s="10"/>
      <c r="W293" s="8"/>
    </row>
    <row r="294" spans="1:23">
      <c r="A294" s="8"/>
      <c r="B294" s="10"/>
      <c r="C294" s="8"/>
      <c r="D294" s="8"/>
      <c r="E294" s="8"/>
      <c r="F294" s="8"/>
      <c r="G294" s="8"/>
      <c r="H294" s="8"/>
      <c r="I294" s="8"/>
      <c r="J294" s="13"/>
      <c r="K294" s="8"/>
      <c r="L294" s="13"/>
      <c r="M294" s="8"/>
      <c r="N294" s="8"/>
      <c r="O294" s="8"/>
      <c r="P294" s="8"/>
      <c r="Q294" s="13"/>
      <c r="R294" s="13"/>
      <c r="S294" s="14" t="str">
        <f t="shared" si="4"/>
        <v/>
      </c>
      <c r="T294" s="8"/>
      <c r="U294" s="8"/>
      <c r="V294" s="10"/>
      <c r="W294" s="8"/>
    </row>
    <row r="295" spans="1:23">
      <c r="A295" s="8"/>
      <c r="B295" s="10"/>
      <c r="C295" s="8"/>
      <c r="D295" s="8"/>
      <c r="E295" s="8"/>
      <c r="F295" s="8"/>
      <c r="G295" s="8"/>
      <c r="H295" s="8"/>
      <c r="I295" s="8"/>
      <c r="J295" s="13"/>
      <c r="K295" s="8"/>
      <c r="L295" s="13"/>
      <c r="M295" s="8"/>
      <c r="N295" s="8"/>
      <c r="O295" s="8"/>
      <c r="P295" s="8"/>
      <c r="Q295" s="13"/>
      <c r="R295" s="13"/>
      <c r="S295" s="14" t="str">
        <f t="shared" si="4"/>
        <v/>
      </c>
      <c r="T295" s="8"/>
      <c r="U295" s="8"/>
      <c r="V295" s="10"/>
      <c r="W295" s="8"/>
    </row>
    <row r="296" spans="1:23">
      <c r="A296" s="8"/>
      <c r="B296" s="10"/>
      <c r="C296" s="8"/>
      <c r="D296" s="8"/>
      <c r="E296" s="8"/>
      <c r="F296" s="8"/>
      <c r="G296" s="8"/>
      <c r="H296" s="8"/>
      <c r="I296" s="8"/>
      <c r="J296" s="13"/>
      <c r="K296" s="8"/>
      <c r="L296" s="13"/>
      <c r="M296" s="8"/>
      <c r="N296" s="8"/>
      <c r="O296" s="8"/>
      <c r="P296" s="8"/>
      <c r="Q296" s="13"/>
      <c r="R296" s="13"/>
      <c r="S296" s="14" t="str">
        <f t="shared" si="4"/>
        <v/>
      </c>
      <c r="T296" s="8"/>
      <c r="U296" s="8"/>
      <c r="V296" s="10"/>
      <c r="W296" s="8"/>
    </row>
    <row r="297" spans="1:23">
      <c r="A297" s="8"/>
      <c r="B297" s="10"/>
      <c r="C297" s="8"/>
      <c r="D297" s="8"/>
      <c r="E297" s="8"/>
      <c r="F297" s="8"/>
      <c r="G297" s="8"/>
      <c r="H297" s="8"/>
      <c r="I297" s="8"/>
      <c r="J297" s="13"/>
      <c r="K297" s="8"/>
      <c r="L297" s="13"/>
      <c r="M297" s="8"/>
      <c r="N297" s="8"/>
      <c r="O297" s="8"/>
      <c r="P297" s="8"/>
      <c r="Q297" s="13"/>
      <c r="R297" s="13"/>
      <c r="S297" s="14" t="str">
        <f t="shared" si="4"/>
        <v/>
      </c>
      <c r="T297" s="8"/>
      <c r="U297" s="8"/>
      <c r="V297" s="10"/>
      <c r="W297" s="8"/>
    </row>
    <row r="298" spans="1:23">
      <c r="A298" s="8"/>
      <c r="B298" s="10"/>
      <c r="C298" s="8"/>
      <c r="D298" s="8"/>
      <c r="E298" s="8"/>
      <c r="F298" s="8"/>
      <c r="G298" s="8"/>
      <c r="H298" s="8"/>
      <c r="I298" s="8"/>
      <c r="J298" s="13"/>
      <c r="K298" s="8"/>
      <c r="L298" s="13"/>
      <c r="M298" s="8"/>
      <c r="N298" s="8"/>
      <c r="O298" s="8"/>
      <c r="P298" s="8"/>
      <c r="Q298" s="13"/>
      <c r="R298" s="13"/>
      <c r="S298" s="14" t="str">
        <f t="shared" si="4"/>
        <v/>
      </c>
      <c r="T298" s="8"/>
      <c r="U298" s="8"/>
      <c r="V298" s="10"/>
      <c r="W298" s="8"/>
    </row>
    <row r="299" spans="1:23">
      <c r="A299" s="8"/>
      <c r="B299" s="10"/>
      <c r="C299" s="8"/>
      <c r="D299" s="8"/>
      <c r="E299" s="8"/>
      <c r="F299" s="8"/>
      <c r="G299" s="8"/>
      <c r="H299" s="8"/>
      <c r="I299" s="8"/>
      <c r="J299" s="13"/>
      <c r="K299" s="8"/>
      <c r="L299" s="13"/>
      <c r="M299" s="8"/>
      <c r="N299" s="8"/>
      <c r="O299" s="8"/>
      <c r="P299" s="8"/>
      <c r="Q299" s="13"/>
      <c r="R299" s="13"/>
      <c r="S299" s="14" t="str">
        <f t="shared" si="4"/>
        <v/>
      </c>
      <c r="T299" s="8"/>
      <c r="U299" s="8"/>
      <c r="V299" s="10"/>
      <c r="W299" s="8"/>
    </row>
    <row r="300" spans="1:23">
      <c r="A300" s="8"/>
      <c r="B300" s="10"/>
      <c r="C300" s="8"/>
      <c r="D300" s="8"/>
      <c r="E300" s="8"/>
      <c r="F300" s="8"/>
      <c r="G300" s="8"/>
      <c r="H300" s="8"/>
      <c r="I300" s="8"/>
      <c r="J300" s="13"/>
      <c r="K300" s="8"/>
      <c r="L300" s="13"/>
      <c r="M300" s="8"/>
      <c r="N300" s="8"/>
      <c r="O300" s="8"/>
      <c r="P300" s="8"/>
      <c r="Q300" s="13"/>
      <c r="R300" s="13"/>
      <c r="S300" s="14" t="str">
        <f t="shared" si="4"/>
        <v/>
      </c>
      <c r="T300" s="8"/>
      <c r="U300" s="8"/>
      <c r="V300" s="10"/>
      <c r="W300" s="8"/>
    </row>
    <row r="301" spans="1:23">
      <c r="A301" s="8"/>
      <c r="B301" s="10"/>
      <c r="C301" s="8"/>
      <c r="D301" s="8"/>
      <c r="E301" s="8"/>
      <c r="F301" s="8"/>
      <c r="G301" s="8"/>
      <c r="H301" s="8"/>
      <c r="I301" s="8"/>
      <c r="J301" s="13"/>
      <c r="K301" s="8"/>
      <c r="L301" s="13"/>
      <c r="M301" s="8"/>
      <c r="N301" s="8"/>
      <c r="O301" s="8"/>
      <c r="P301" s="8"/>
      <c r="Q301" s="13"/>
      <c r="R301" s="13"/>
      <c r="S301" s="14" t="str">
        <f t="shared" si="4"/>
        <v/>
      </c>
      <c r="T301" s="8"/>
      <c r="U301" s="8"/>
      <c r="V301" s="10"/>
      <c r="W301" s="8"/>
    </row>
    <row r="302" spans="1:23">
      <c r="A302" s="8"/>
      <c r="B302" s="10"/>
      <c r="C302" s="8"/>
      <c r="D302" s="8"/>
      <c r="E302" s="8"/>
      <c r="F302" s="8"/>
      <c r="G302" s="8"/>
      <c r="H302" s="8"/>
      <c r="I302" s="8"/>
      <c r="J302" s="13"/>
      <c r="K302" s="8"/>
      <c r="L302" s="13"/>
      <c r="M302" s="8"/>
      <c r="N302" s="8"/>
      <c r="O302" s="8"/>
      <c r="P302" s="8"/>
      <c r="Q302" s="13"/>
      <c r="R302" s="13"/>
      <c r="S302" s="14" t="str">
        <f t="shared" si="4"/>
        <v/>
      </c>
      <c r="T302" s="8"/>
      <c r="U302" s="8"/>
      <c r="V302" s="10"/>
      <c r="W302" s="8"/>
    </row>
    <row r="303" spans="1:23">
      <c r="A303" s="8"/>
      <c r="B303" s="10"/>
      <c r="C303" s="8"/>
      <c r="D303" s="8"/>
      <c r="E303" s="8"/>
      <c r="F303" s="8"/>
      <c r="G303" s="8"/>
      <c r="H303" s="8"/>
      <c r="I303" s="8"/>
      <c r="J303" s="13"/>
      <c r="K303" s="8"/>
      <c r="L303" s="13"/>
      <c r="M303" s="8"/>
      <c r="N303" s="8"/>
      <c r="O303" s="8"/>
      <c r="P303" s="8"/>
      <c r="Q303" s="13"/>
      <c r="R303" s="13"/>
      <c r="S303" s="14" t="str">
        <f t="shared" si="4"/>
        <v/>
      </c>
      <c r="T303" s="8"/>
      <c r="U303" s="8"/>
      <c r="V303" s="10"/>
      <c r="W303" s="8"/>
    </row>
    <row r="304" spans="1:23">
      <c r="A304" s="8"/>
      <c r="B304" s="10"/>
      <c r="C304" s="8"/>
      <c r="D304" s="8"/>
      <c r="E304" s="8"/>
      <c r="F304" s="8"/>
      <c r="G304" s="8"/>
      <c r="H304" s="8"/>
      <c r="I304" s="8"/>
      <c r="J304" s="13"/>
      <c r="K304" s="8"/>
      <c r="L304" s="13"/>
      <c r="M304" s="8"/>
      <c r="N304" s="8"/>
      <c r="O304" s="8"/>
      <c r="P304" s="8"/>
      <c r="Q304" s="13"/>
      <c r="R304" s="13"/>
      <c r="S304" s="14" t="str">
        <f t="shared" si="4"/>
        <v/>
      </c>
      <c r="T304" s="8"/>
      <c r="U304" s="8"/>
      <c r="V304" s="10"/>
      <c r="W304" s="8"/>
    </row>
  </sheetData>
  <mergeCells count="2">
    <mergeCell ref="A1:W1"/>
    <mergeCell ref="A2:W2"/>
  </mergeCells>
  <conditionalFormatting sqref="A5:A304">
    <cfRule type="duplicateValues" dxfId="64" priority="9"/>
  </conditionalFormatting>
  <conditionalFormatting sqref="T5:T304">
    <cfRule type="containsText" dxfId="63" priority="1" operator="containsText" text="Approved"/>
    <cfRule type="containsText" dxfId="62" priority="4" operator="containsText" text="Failed"/>
    <cfRule type="containsText" dxfId="61" priority="7" operator="containsText" text="On Hold"/>
  </conditionalFormatting>
  <dataValidations count="2">
    <dataValidation type="list" sqref="K5:K304" xr:uid="{00000000-0002-0000-1100-000000000000}">
      <formula1>"Yards,Meters,Kilograms,Pounds,Rolls"</formula1>
    </dataValidation>
    <dataValidation type="list" sqref="T5:T304" xr:uid="{00000000-0002-0000-1100-000001000000}">
      <formula1>"Pending,Approved,Rejected,On Hold"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304"/>
  <sheetViews>
    <sheetView showGridLines="0" workbookViewId="0">
      <selection sqref="A1:Y1"/>
    </sheetView>
  </sheetViews>
  <sheetFormatPr baseColWidth="10" defaultColWidth="8.83203125" defaultRowHeight="14"/>
  <cols>
    <col min="1" max="1" width="15" customWidth="1"/>
    <col min="2" max="2" width="14" customWidth="1"/>
    <col min="3" max="4" width="13" customWidth="1"/>
    <col min="5" max="5" width="16" customWidth="1"/>
    <col min="6" max="6" width="21" customWidth="1"/>
    <col min="7" max="7" width="16" customWidth="1"/>
    <col min="8" max="8" width="11" customWidth="1"/>
    <col min="9" max="9" width="19" customWidth="1"/>
    <col min="10" max="10" width="15" customWidth="1"/>
    <col min="11" max="12" width="14" customWidth="1"/>
    <col min="13" max="13" width="15" customWidth="1"/>
    <col min="14" max="15" width="14" customWidth="1"/>
    <col min="16" max="16" width="13" customWidth="1"/>
    <col min="17" max="18" width="15" customWidth="1"/>
    <col min="19" max="19" width="13" customWidth="1"/>
    <col min="20" max="20" width="18" customWidth="1"/>
    <col min="21" max="21" width="17" customWidth="1"/>
    <col min="22" max="22" width="18" customWidth="1"/>
    <col min="23" max="24" width="15" customWidth="1"/>
    <col min="25" max="25" width="24" customWidth="1"/>
  </cols>
  <sheetData>
    <row r="1" spans="1:25" ht="30" customHeight="1">
      <c r="A1" s="52" t="s">
        <v>290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4" spans="1:25" ht="44" customHeight="1">
      <c r="A4" s="6" t="s">
        <v>291</v>
      </c>
      <c r="B4" s="6" t="s">
        <v>44</v>
      </c>
      <c r="C4" s="6" t="s">
        <v>45</v>
      </c>
      <c r="D4" s="6" t="s">
        <v>46</v>
      </c>
      <c r="E4" s="6" t="s">
        <v>292</v>
      </c>
      <c r="F4" s="6" t="s">
        <v>293</v>
      </c>
      <c r="G4" s="6" t="s">
        <v>119</v>
      </c>
      <c r="H4" s="6" t="s">
        <v>109</v>
      </c>
      <c r="I4" s="6" t="s">
        <v>294</v>
      </c>
      <c r="J4" s="6" t="s">
        <v>295</v>
      </c>
      <c r="K4" s="6" t="s">
        <v>296</v>
      </c>
      <c r="L4" s="6" t="s">
        <v>60</v>
      </c>
      <c r="M4" s="6" t="s">
        <v>297</v>
      </c>
      <c r="N4" s="6" t="s">
        <v>213</v>
      </c>
      <c r="O4" s="6" t="s">
        <v>298</v>
      </c>
      <c r="P4" s="6" t="s">
        <v>299</v>
      </c>
      <c r="Q4" s="6" t="s">
        <v>300</v>
      </c>
      <c r="R4" s="6" t="s">
        <v>301</v>
      </c>
      <c r="S4" s="6" t="s">
        <v>171</v>
      </c>
      <c r="T4" s="6" t="s">
        <v>302</v>
      </c>
      <c r="U4" s="6" t="s">
        <v>289</v>
      </c>
      <c r="V4" s="6" t="s">
        <v>303</v>
      </c>
      <c r="W4" s="6" t="s">
        <v>100</v>
      </c>
      <c r="X4" s="6" t="s">
        <v>63</v>
      </c>
      <c r="Y4" s="6" t="s">
        <v>161</v>
      </c>
    </row>
    <row r="5" spans="1:25">
      <c r="A5" s="8"/>
      <c r="B5" s="8"/>
      <c r="C5" s="8"/>
      <c r="D5" s="8"/>
      <c r="E5" s="8"/>
      <c r="F5" s="8"/>
      <c r="G5" s="8"/>
      <c r="H5" s="8"/>
      <c r="I5" s="13"/>
      <c r="J5" s="13"/>
      <c r="K5" s="13"/>
      <c r="L5" s="13"/>
      <c r="M5" s="13"/>
      <c r="N5" s="13"/>
      <c r="O5" s="13"/>
      <c r="P5" s="13"/>
      <c r="Q5" s="14" t="str">
        <f t="shared" ref="Q5:Q68" si="0">IF(A5="","",MAX(0,M5-O5-P5))</f>
        <v/>
      </c>
      <c r="R5" s="14" t="str">
        <f t="shared" ref="R5:R68" si="1">IF(A5="","",MAX(0,J5-M5))</f>
        <v/>
      </c>
      <c r="S5" s="10"/>
      <c r="T5" s="8"/>
      <c r="U5" s="8"/>
      <c r="V5" s="9" t="str">
        <f t="shared" ref="V5:V68" si="2">IF(A5="","",IF(R5&gt;0,"Shortage",IF(Q5&gt;=J5,"Ready",IF(Q5&gt;0,"Partially Ready","Pending"))))</f>
        <v/>
      </c>
      <c r="W5" s="8"/>
      <c r="X5" s="10"/>
      <c r="Y5" s="8"/>
    </row>
    <row r="6" spans="1:25">
      <c r="A6" s="8"/>
      <c r="B6" s="8"/>
      <c r="C6" s="8"/>
      <c r="D6" s="8"/>
      <c r="E6" s="8"/>
      <c r="F6" s="8"/>
      <c r="G6" s="8"/>
      <c r="H6" s="8"/>
      <c r="I6" s="13"/>
      <c r="J6" s="13"/>
      <c r="K6" s="13"/>
      <c r="L6" s="13"/>
      <c r="M6" s="13"/>
      <c r="N6" s="13"/>
      <c r="O6" s="13"/>
      <c r="P6" s="13"/>
      <c r="Q6" s="14" t="str">
        <f t="shared" si="0"/>
        <v/>
      </c>
      <c r="R6" s="14" t="str">
        <f t="shared" si="1"/>
        <v/>
      </c>
      <c r="S6" s="10"/>
      <c r="T6" s="8"/>
      <c r="U6" s="8"/>
      <c r="V6" s="9" t="str">
        <f t="shared" si="2"/>
        <v/>
      </c>
      <c r="W6" s="8"/>
      <c r="X6" s="10"/>
      <c r="Y6" s="8"/>
    </row>
    <row r="7" spans="1:25">
      <c r="A7" s="8"/>
      <c r="B7" s="8"/>
      <c r="C7" s="8"/>
      <c r="D7" s="8"/>
      <c r="E7" s="8"/>
      <c r="F7" s="8"/>
      <c r="G7" s="8"/>
      <c r="H7" s="8"/>
      <c r="I7" s="13"/>
      <c r="J7" s="13"/>
      <c r="K7" s="13"/>
      <c r="L7" s="13"/>
      <c r="M7" s="13"/>
      <c r="N7" s="13"/>
      <c r="O7" s="13"/>
      <c r="P7" s="13"/>
      <c r="Q7" s="14" t="str">
        <f t="shared" si="0"/>
        <v/>
      </c>
      <c r="R7" s="14" t="str">
        <f t="shared" si="1"/>
        <v/>
      </c>
      <c r="S7" s="10"/>
      <c r="T7" s="8"/>
      <c r="U7" s="8"/>
      <c r="V7" s="9" t="str">
        <f t="shared" si="2"/>
        <v/>
      </c>
      <c r="W7" s="8"/>
      <c r="X7" s="10"/>
      <c r="Y7" s="8"/>
    </row>
    <row r="8" spans="1:25">
      <c r="A8" s="8"/>
      <c r="B8" s="8"/>
      <c r="C8" s="8"/>
      <c r="D8" s="8"/>
      <c r="E8" s="8"/>
      <c r="F8" s="8"/>
      <c r="G8" s="8"/>
      <c r="H8" s="8"/>
      <c r="I8" s="13"/>
      <c r="J8" s="13"/>
      <c r="K8" s="13"/>
      <c r="L8" s="13"/>
      <c r="M8" s="13"/>
      <c r="N8" s="13"/>
      <c r="O8" s="13"/>
      <c r="P8" s="13"/>
      <c r="Q8" s="14" t="str">
        <f t="shared" si="0"/>
        <v/>
      </c>
      <c r="R8" s="14" t="str">
        <f t="shared" si="1"/>
        <v/>
      </c>
      <c r="S8" s="10"/>
      <c r="T8" s="8"/>
      <c r="U8" s="8"/>
      <c r="V8" s="9" t="str">
        <f t="shared" si="2"/>
        <v/>
      </c>
      <c r="W8" s="8"/>
      <c r="X8" s="10"/>
      <c r="Y8" s="8"/>
    </row>
    <row r="9" spans="1:25">
      <c r="A9" s="8"/>
      <c r="B9" s="8"/>
      <c r="C9" s="8"/>
      <c r="D9" s="8"/>
      <c r="E9" s="8"/>
      <c r="F9" s="8"/>
      <c r="G9" s="8"/>
      <c r="H9" s="8"/>
      <c r="I9" s="13"/>
      <c r="J9" s="13"/>
      <c r="K9" s="13"/>
      <c r="L9" s="13"/>
      <c r="M9" s="13"/>
      <c r="N9" s="13"/>
      <c r="O9" s="13"/>
      <c r="P9" s="13"/>
      <c r="Q9" s="14" t="str">
        <f t="shared" si="0"/>
        <v/>
      </c>
      <c r="R9" s="14" t="str">
        <f t="shared" si="1"/>
        <v/>
      </c>
      <c r="S9" s="10"/>
      <c r="T9" s="8"/>
      <c r="U9" s="8"/>
      <c r="V9" s="9" t="str">
        <f t="shared" si="2"/>
        <v/>
      </c>
      <c r="W9" s="8"/>
      <c r="X9" s="10"/>
      <c r="Y9" s="8"/>
    </row>
    <row r="10" spans="1:25">
      <c r="A10" s="8"/>
      <c r="B10" s="8"/>
      <c r="C10" s="8"/>
      <c r="D10" s="8"/>
      <c r="E10" s="8"/>
      <c r="F10" s="8"/>
      <c r="G10" s="8"/>
      <c r="H10" s="8"/>
      <c r="I10" s="13"/>
      <c r="J10" s="13"/>
      <c r="K10" s="13"/>
      <c r="L10" s="13"/>
      <c r="M10" s="13"/>
      <c r="N10" s="13"/>
      <c r="O10" s="13"/>
      <c r="P10" s="13"/>
      <c r="Q10" s="14" t="str">
        <f t="shared" si="0"/>
        <v/>
      </c>
      <c r="R10" s="14" t="str">
        <f t="shared" si="1"/>
        <v/>
      </c>
      <c r="S10" s="10"/>
      <c r="T10" s="8"/>
      <c r="U10" s="8"/>
      <c r="V10" s="9" t="str">
        <f t="shared" si="2"/>
        <v/>
      </c>
      <c r="W10" s="8"/>
      <c r="X10" s="10"/>
      <c r="Y10" s="8"/>
    </row>
    <row r="11" spans="1:25">
      <c r="A11" s="8"/>
      <c r="B11" s="8"/>
      <c r="C11" s="8"/>
      <c r="D11" s="8"/>
      <c r="E11" s="8"/>
      <c r="F11" s="8"/>
      <c r="G11" s="8"/>
      <c r="H11" s="8"/>
      <c r="I11" s="13"/>
      <c r="J11" s="13"/>
      <c r="K11" s="13"/>
      <c r="L11" s="13"/>
      <c r="M11" s="13"/>
      <c r="N11" s="13"/>
      <c r="O11" s="13"/>
      <c r="P11" s="13"/>
      <c r="Q11" s="14" t="str">
        <f t="shared" si="0"/>
        <v/>
      </c>
      <c r="R11" s="14" t="str">
        <f t="shared" si="1"/>
        <v/>
      </c>
      <c r="S11" s="10"/>
      <c r="T11" s="8"/>
      <c r="U11" s="8"/>
      <c r="V11" s="9" t="str">
        <f t="shared" si="2"/>
        <v/>
      </c>
      <c r="W11" s="8"/>
      <c r="X11" s="10"/>
      <c r="Y11" s="8"/>
    </row>
    <row r="12" spans="1:25">
      <c r="A12" s="8"/>
      <c r="B12" s="8"/>
      <c r="C12" s="8"/>
      <c r="D12" s="8"/>
      <c r="E12" s="8"/>
      <c r="F12" s="8"/>
      <c r="G12" s="8"/>
      <c r="H12" s="8"/>
      <c r="I12" s="13"/>
      <c r="J12" s="13"/>
      <c r="K12" s="13"/>
      <c r="L12" s="13"/>
      <c r="M12" s="13"/>
      <c r="N12" s="13"/>
      <c r="O12" s="13"/>
      <c r="P12" s="13"/>
      <c r="Q12" s="14" t="str">
        <f t="shared" si="0"/>
        <v/>
      </c>
      <c r="R12" s="14" t="str">
        <f t="shared" si="1"/>
        <v/>
      </c>
      <c r="S12" s="10"/>
      <c r="T12" s="8"/>
      <c r="U12" s="8"/>
      <c r="V12" s="9" t="str">
        <f t="shared" si="2"/>
        <v/>
      </c>
      <c r="W12" s="8"/>
      <c r="X12" s="10"/>
      <c r="Y12" s="8"/>
    </row>
    <row r="13" spans="1:25">
      <c r="A13" s="8"/>
      <c r="B13" s="8"/>
      <c r="C13" s="8"/>
      <c r="D13" s="8"/>
      <c r="E13" s="8"/>
      <c r="F13" s="8"/>
      <c r="G13" s="8"/>
      <c r="H13" s="8"/>
      <c r="I13" s="13"/>
      <c r="J13" s="13"/>
      <c r="K13" s="13"/>
      <c r="L13" s="13"/>
      <c r="M13" s="13"/>
      <c r="N13" s="13"/>
      <c r="O13" s="13"/>
      <c r="P13" s="13"/>
      <c r="Q13" s="14" t="str">
        <f t="shared" si="0"/>
        <v/>
      </c>
      <c r="R13" s="14" t="str">
        <f t="shared" si="1"/>
        <v/>
      </c>
      <c r="S13" s="10"/>
      <c r="T13" s="8"/>
      <c r="U13" s="8"/>
      <c r="V13" s="9" t="str">
        <f t="shared" si="2"/>
        <v/>
      </c>
      <c r="W13" s="8"/>
      <c r="X13" s="10"/>
      <c r="Y13" s="8"/>
    </row>
    <row r="14" spans="1:25">
      <c r="A14" s="8"/>
      <c r="B14" s="8"/>
      <c r="C14" s="8"/>
      <c r="D14" s="8"/>
      <c r="E14" s="8"/>
      <c r="F14" s="8"/>
      <c r="G14" s="8"/>
      <c r="H14" s="8"/>
      <c r="I14" s="13"/>
      <c r="J14" s="13"/>
      <c r="K14" s="13"/>
      <c r="L14" s="13"/>
      <c r="M14" s="13"/>
      <c r="N14" s="13"/>
      <c r="O14" s="13"/>
      <c r="P14" s="13"/>
      <c r="Q14" s="14" t="str">
        <f t="shared" si="0"/>
        <v/>
      </c>
      <c r="R14" s="14" t="str">
        <f t="shared" si="1"/>
        <v/>
      </c>
      <c r="S14" s="10"/>
      <c r="T14" s="8"/>
      <c r="U14" s="8"/>
      <c r="V14" s="9" t="str">
        <f t="shared" si="2"/>
        <v/>
      </c>
      <c r="W14" s="8"/>
      <c r="X14" s="10"/>
      <c r="Y14" s="8"/>
    </row>
    <row r="15" spans="1:25">
      <c r="A15" s="8"/>
      <c r="B15" s="8"/>
      <c r="C15" s="8"/>
      <c r="D15" s="8"/>
      <c r="E15" s="8"/>
      <c r="F15" s="8"/>
      <c r="G15" s="8"/>
      <c r="H15" s="8"/>
      <c r="I15" s="13"/>
      <c r="J15" s="13"/>
      <c r="K15" s="13"/>
      <c r="L15" s="13"/>
      <c r="M15" s="13"/>
      <c r="N15" s="13"/>
      <c r="O15" s="13"/>
      <c r="P15" s="13"/>
      <c r="Q15" s="14" t="str">
        <f t="shared" si="0"/>
        <v/>
      </c>
      <c r="R15" s="14" t="str">
        <f t="shared" si="1"/>
        <v/>
      </c>
      <c r="S15" s="10"/>
      <c r="T15" s="8"/>
      <c r="U15" s="8"/>
      <c r="V15" s="9" t="str">
        <f t="shared" si="2"/>
        <v/>
      </c>
      <c r="W15" s="8"/>
      <c r="X15" s="10"/>
      <c r="Y15" s="8"/>
    </row>
    <row r="16" spans="1:25">
      <c r="A16" s="8"/>
      <c r="B16" s="8"/>
      <c r="C16" s="8"/>
      <c r="D16" s="8"/>
      <c r="E16" s="8"/>
      <c r="F16" s="8"/>
      <c r="G16" s="8"/>
      <c r="H16" s="8"/>
      <c r="I16" s="13"/>
      <c r="J16" s="13"/>
      <c r="K16" s="13"/>
      <c r="L16" s="13"/>
      <c r="M16" s="13"/>
      <c r="N16" s="13"/>
      <c r="O16" s="13"/>
      <c r="P16" s="13"/>
      <c r="Q16" s="14" t="str">
        <f t="shared" si="0"/>
        <v/>
      </c>
      <c r="R16" s="14" t="str">
        <f t="shared" si="1"/>
        <v/>
      </c>
      <c r="S16" s="10"/>
      <c r="T16" s="8"/>
      <c r="U16" s="8"/>
      <c r="V16" s="9" t="str">
        <f t="shared" si="2"/>
        <v/>
      </c>
      <c r="W16" s="8"/>
      <c r="X16" s="10"/>
      <c r="Y16" s="8"/>
    </row>
    <row r="17" spans="1:25">
      <c r="A17" s="8"/>
      <c r="B17" s="8"/>
      <c r="C17" s="8"/>
      <c r="D17" s="8"/>
      <c r="E17" s="8"/>
      <c r="F17" s="8"/>
      <c r="G17" s="8"/>
      <c r="H17" s="8"/>
      <c r="I17" s="13"/>
      <c r="J17" s="13"/>
      <c r="K17" s="13"/>
      <c r="L17" s="13"/>
      <c r="M17" s="13"/>
      <c r="N17" s="13"/>
      <c r="O17" s="13"/>
      <c r="P17" s="13"/>
      <c r="Q17" s="14" t="str">
        <f t="shared" si="0"/>
        <v/>
      </c>
      <c r="R17" s="14" t="str">
        <f t="shared" si="1"/>
        <v/>
      </c>
      <c r="S17" s="10"/>
      <c r="T17" s="8"/>
      <c r="U17" s="8"/>
      <c r="V17" s="9" t="str">
        <f t="shared" si="2"/>
        <v/>
      </c>
      <c r="W17" s="8"/>
      <c r="X17" s="10"/>
      <c r="Y17" s="8"/>
    </row>
    <row r="18" spans="1:25">
      <c r="A18" s="8"/>
      <c r="B18" s="8"/>
      <c r="C18" s="8"/>
      <c r="D18" s="8"/>
      <c r="E18" s="8"/>
      <c r="F18" s="8"/>
      <c r="G18" s="8"/>
      <c r="H18" s="8"/>
      <c r="I18" s="13"/>
      <c r="J18" s="13"/>
      <c r="K18" s="13"/>
      <c r="L18" s="13"/>
      <c r="M18" s="13"/>
      <c r="N18" s="13"/>
      <c r="O18" s="13"/>
      <c r="P18" s="13"/>
      <c r="Q18" s="14" t="str">
        <f t="shared" si="0"/>
        <v/>
      </c>
      <c r="R18" s="14" t="str">
        <f t="shared" si="1"/>
        <v/>
      </c>
      <c r="S18" s="10"/>
      <c r="T18" s="8"/>
      <c r="U18" s="8"/>
      <c r="V18" s="9" t="str">
        <f t="shared" si="2"/>
        <v/>
      </c>
      <c r="W18" s="8"/>
      <c r="X18" s="10"/>
      <c r="Y18" s="8"/>
    </row>
    <row r="19" spans="1:25">
      <c r="A19" s="8"/>
      <c r="B19" s="8"/>
      <c r="C19" s="8"/>
      <c r="D19" s="8"/>
      <c r="E19" s="8"/>
      <c r="F19" s="8"/>
      <c r="G19" s="8"/>
      <c r="H19" s="8"/>
      <c r="I19" s="13"/>
      <c r="J19" s="13"/>
      <c r="K19" s="13"/>
      <c r="L19" s="13"/>
      <c r="M19" s="13"/>
      <c r="N19" s="13"/>
      <c r="O19" s="13"/>
      <c r="P19" s="13"/>
      <c r="Q19" s="14" t="str">
        <f t="shared" si="0"/>
        <v/>
      </c>
      <c r="R19" s="14" t="str">
        <f t="shared" si="1"/>
        <v/>
      </c>
      <c r="S19" s="10"/>
      <c r="T19" s="8"/>
      <c r="U19" s="8"/>
      <c r="V19" s="9" t="str">
        <f t="shared" si="2"/>
        <v/>
      </c>
      <c r="W19" s="8"/>
      <c r="X19" s="10"/>
      <c r="Y19" s="8"/>
    </row>
    <row r="20" spans="1:25">
      <c r="A20" s="8"/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4" t="str">
        <f t="shared" si="0"/>
        <v/>
      </c>
      <c r="R20" s="14" t="str">
        <f t="shared" si="1"/>
        <v/>
      </c>
      <c r="S20" s="10"/>
      <c r="T20" s="8"/>
      <c r="U20" s="8"/>
      <c r="V20" s="9" t="str">
        <f t="shared" si="2"/>
        <v/>
      </c>
      <c r="W20" s="8"/>
      <c r="X20" s="10"/>
      <c r="Y20" s="8"/>
    </row>
    <row r="21" spans="1:25">
      <c r="A21" s="8"/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4" t="str">
        <f t="shared" si="0"/>
        <v/>
      </c>
      <c r="R21" s="14" t="str">
        <f t="shared" si="1"/>
        <v/>
      </c>
      <c r="S21" s="10"/>
      <c r="T21" s="8"/>
      <c r="U21" s="8"/>
      <c r="V21" s="9" t="str">
        <f t="shared" si="2"/>
        <v/>
      </c>
      <c r="W21" s="8"/>
      <c r="X21" s="10"/>
      <c r="Y21" s="8"/>
    </row>
    <row r="22" spans="1:25">
      <c r="A22" s="8"/>
      <c r="B22" s="8"/>
      <c r="C22" s="8"/>
      <c r="D22" s="8"/>
      <c r="E22" s="8"/>
      <c r="F22" s="8"/>
      <c r="G22" s="8"/>
      <c r="H22" s="8"/>
      <c r="I22" s="13"/>
      <c r="J22" s="13"/>
      <c r="K22" s="13"/>
      <c r="L22" s="13"/>
      <c r="M22" s="13"/>
      <c r="N22" s="13"/>
      <c r="O22" s="13"/>
      <c r="P22" s="13"/>
      <c r="Q22" s="14" t="str">
        <f t="shared" si="0"/>
        <v/>
      </c>
      <c r="R22" s="14" t="str">
        <f t="shared" si="1"/>
        <v/>
      </c>
      <c r="S22" s="10"/>
      <c r="T22" s="8"/>
      <c r="U22" s="8"/>
      <c r="V22" s="9" t="str">
        <f t="shared" si="2"/>
        <v/>
      </c>
      <c r="W22" s="8"/>
      <c r="X22" s="10"/>
      <c r="Y22" s="8"/>
    </row>
    <row r="23" spans="1:25">
      <c r="A23" s="8"/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4" t="str">
        <f t="shared" si="0"/>
        <v/>
      </c>
      <c r="R23" s="14" t="str">
        <f t="shared" si="1"/>
        <v/>
      </c>
      <c r="S23" s="10"/>
      <c r="T23" s="8"/>
      <c r="U23" s="8"/>
      <c r="V23" s="9" t="str">
        <f t="shared" si="2"/>
        <v/>
      </c>
      <c r="W23" s="8"/>
      <c r="X23" s="10"/>
      <c r="Y23" s="8"/>
    </row>
    <row r="24" spans="1:25">
      <c r="A24" s="8"/>
      <c r="B24" s="8"/>
      <c r="C24" s="8"/>
      <c r="D24" s="8"/>
      <c r="E24" s="8"/>
      <c r="F24" s="8"/>
      <c r="G24" s="8"/>
      <c r="H24" s="8"/>
      <c r="I24" s="13"/>
      <c r="J24" s="13"/>
      <c r="K24" s="13"/>
      <c r="L24" s="13"/>
      <c r="M24" s="13"/>
      <c r="N24" s="13"/>
      <c r="O24" s="13"/>
      <c r="P24" s="13"/>
      <c r="Q24" s="14" t="str">
        <f t="shared" si="0"/>
        <v/>
      </c>
      <c r="R24" s="14" t="str">
        <f t="shared" si="1"/>
        <v/>
      </c>
      <c r="S24" s="10"/>
      <c r="T24" s="8"/>
      <c r="U24" s="8"/>
      <c r="V24" s="9" t="str">
        <f t="shared" si="2"/>
        <v/>
      </c>
      <c r="W24" s="8"/>
      <c r="X24" s="10"/>
      <c r="Y24" s="8"/>
    </row>
    <row r="25" spans="1:25">
      <c r="A25" s="8"/>
      <c r="B25" s="8"/>
      <c r="C25" s="8"/>
      <c r="D25" s="8"/>
      <c r="E25" s="8"/>
      <c r="F25" s="8"/>
      <c r="G25" s="8"/>
      <c r="H25" s="8"/>
      <c r="I25" s="13"/>
      <c r="J25" s="13"/>
      <c r="K25" s="13"/>
      <c r="L25" s="13"/>
      <c r="M25" s="13"/>
      <c r="N25" s="13"/>
      <c r="O25" s="13"/>
      <c r="P25" s="13"/>
      <c r="Q25" s="14" t="str">
        <f t="shared" si="0"/>
        <v/>
      </c>
      <c r="R25" s="14" t="str">
        <f t="shared" si="1"/>
        <v/>
      </c>
      <c r="S25" s="10"/>
      <c r="T25" s="8"/>
      <c r="U25" s="8"/>
      <c r="V25" s="9" t="str">
        <f t="shared" si="2"/>
        <v/>
      </c>
      <c r="W25" s="8"/>
      <c r="X25" s="10"/>
      <c r="Y25" s="8"/>
    </row>
    <row r="26" spans="1:25">
      <c r="A26" s="8"/>
      <c r="B26" s="8"/>
      <c r="C26" s="8"/>
      <c r="D26" s="8"/>
      <c r="E26" s="8"/>
      <c r="F26" s="8"/>
      <c r="G26" s="8"/>
      <c r="H26" s="8"/>
      <c r="I26" s="13"/>
      <c r="J26" s="13"/>
      <c r="K26" s="13"/>
      <c r="L26" s="13"/>
      <c r="M26" s="13"/>
      <c r="N26" s="13"/>
      <c r="O26" s="13"/>
      <c r="P26" s="13"/>
      <c r="Q26" s="14" t="str">
        <f t="shared" si="0"/>
        <v/>
      </c>
      <c r="R26" s="14" t="str">
        <f t="shared" si="1"/>
        <v/>
      </c>
      <c r="S26" s="10"/>
      <c r="T26" s="8"/>
      <c r="U26" s="8"/>
      <c r="V26" s="9" t="str">
        <f t="shared" si="2"/>
        <v/>
      </c>
      <c r="W26" s="8"/>
      <c r="X26" s="10"/>
      <c r="Y26" s="8"/>
    </row>
    <row r="27" spans="1:25">
      <c r="A27" s="8"/>
      <c r="B27" s="8"/>
      <c r="C27" s="8"/>
      <c r="D27" s="8"/>
      <c r="E27" s="8"/>
      <c r="F27" s="8"/>
      <c r="G27" s="8"/>
      <c r="H27" s="8"/>
      <c r="I27" s="13"/>
      <c r="J27" s="13"/>
      <c r="K27" s="13"/>
      <c r="L27" s="13"/>
      <c r="M27" s="13"/>
      <c r="N27" s="13"/>
      <c r="O27" s="13"/>
      <c r="P27" s="13"/>
      <c r="Q27" s="14" t="str">
        <f t="shared" si="0"/>
        <v/>
      </c>
      <c r="R27" s="14" t="str">
        <f t="shared" si="1"/>
        <v/>
      </c>
      <c r="S27" s="10"/>
      <c r="T27" s="8"/>
      <c r="U27" s="8"/>
      <c r="V27" s="9" t="str">
        <f t="shared" si="2"/>
        <v/>
      </c>
      <c r="W27" s="8"/>
      <c r="X27" s="10"/>
      <c r="Y27" s="8"/>
    </row>
    <row r="28" spans="1:25">
      <c r="A28" s="8"/>
      <c r="B28" s="8"/>
      <c r="C28" s="8"/>
      <c r="D28" s="8"/>
      <c r="E28" s="8"/>
      <c r="F28" s="8"/>
      <c r="G28" s="8"/>
      <c r="H28" s="8"/>
      <c r="I28" s="13"/>
      <c r="J28" s="13"/>
      <c r="K28" s="13"/>
      <c r="L28" s="13"/>
      <c r="M28" s="13"/>
      <c r="N28" s="13"/>
      <c r="O28" s="13"/>
      <c r="P28" s="13"/>
      <c r="Q28" s="14" t="str">
        <f t="shared" si="0"/>
        <v/>
      </c>
      <c r="R28" s="14" t="str">
        <f t="shared" si="1"/>
        <v/>
      </c>
      <c r="S28" s="10"/>
      <c r="T28" s="8"/>
      <c r="U28" s="8"/>
      <c r="V28" s="9" t="str">
        <f t="shared" si="2"/>
        <v/>
      </c>
      <c r="W28" s="8"/>
      <c r="X28" s="10"/>
      <c r="Y28" s="8"/>
    </row>
    <row r="29" spans="1:25">
      <c r="A29" s="8"/>
      <c r="B29" s="8"/>
      <c r="C29" s="8"/>
      <c r="D29" s="8"/>
      <c r="E29" s="8"/>
      <c r="F29" s="8"/>
      <c r="G29" s="8"/>
      <c r="H29" s="8"/>
      <c r="I29" s="13"/>
      <c r="J29" s="13"/>
      <c r="K29" s="13"/>
      <c r="L29" s="13"/>
      <c r="M29" s="13"/>
      <c r="N29" s="13"/>
      <c r="O29" s="13"/>
      <c r="P29" s="13"/>
      <c r="Q29" s="14" t="str">
        <f t="shared" si="0"/>
        <v/>
      </c>
      <c r="R29" s="14" t="str">
        <f t="shared" si="1"/>
        <v/>
      </c>
      <c r="S29" s="10"/>
      <c r="T29" s="8"/>
      <c r="U29" s="8"/>
      <c r="V29" s="9" t="str">
        <f t="shared" si="2"/>
        <v/>
      </c>
      <c r="W29" s="8"/>
      <c r="X29" s="10"/>
      <c r="Y29" s="8"/>
    </row>
    <row r="30" spans="1:25">
      <c r="A30" s="8"/>
      <c r="B30" s="8"/>
      <c r="C30" s="8"/>
      <c r="D30" s="8"/>
      <c r="E30" s="8"/>
      <c r="F30" s="8"/>
      <c r="G30" s="8"/>
      <c r="H30" s="8"/>
      <c r="I30" s="13"/>
      <c r="J30" s="13"/>
      <c r="K30" s="13"/>
      <c r="L30" s="13"/>
      <c r="M30" s="13"/>
      <c r="N30" s="13"/>
      <c r="O30" s="13"/>
      <c r="P30" s="13"/>
      <c r="Q30" s="14" t="str">
        <f t="shared" si="0"/>
        <v/>
      </c>
      <c r="R30" s="14" t="str">
        <f t="shared" si="1"/>
        <v/>
      </c>
      <c r="S30" s="10"/>
      <c r="T30" s="8"/>
      <c r="U30" s="8"/>
      <c r="V30" s="9" t="str">
        <f t="shared" si="2"/>
        <v/>
      </c>
      <c r="W30" s="8"/>
      <c r="X30" s="10"/>
      <c r="Y30" s="8"/>
    </row>
    <row r="31" spans="1:25">
      <c r="A31" s="8"/>
      <c r="B31" s="8"/>
      <c r="C31" s="8"/>
      <c r="D31" s="8"/>
      <c r="E31" s="8"/>
      <c r="F31" s="8"/>
      <c r="G31" s="8"/>
      <c r="H31" s="8"/>
      <c r="I31" s="13"/>
      <c r="J31" s="13"/>
      <c r="K31" s="13"/>
      <c r="L31" s="13"/>
      <c r="M31" s="13"/>
      <c r="N31" s="13"/>
      <c r="O31" s="13"/>
      <c r="P31" s="13"/>
      <c r="Q31" s="14" t="str">
        <f t="shared" si="0"/>
        <v/>
      </c>
      <c r="R31" s="14" t="str">
        <f t="shared" si="1"/>
        <v/>
      </c>
      <c r="S31" s="10"/>
      <c r="T31" s="8"/>
      <c r="U31" s="8"/>
      <c r="V31" s="9" t="str">
        <f t="shared" si="2"/>
        <v/>
      </c>
      <c r="W31" s="8"/>
      <c r="X31" s="10"/>
      <c r="Y31" s="8"/>
    </row>
    <row r="32" spans="1:25">
      <c r="A32" s="8"/>
      <c r="B32" s="8"/>
      <c r="C32" s="8"/>
      <c r="D32" s="8"/>
      <c r="E32" s="8"/>
      <c r="F32" s="8"/>
      <c r="G32" s="8"/>
      <c r="H32" s="8"/>
      <c r="I32" s="13"/>
      <c r="J32" s="13"/>
      <c r="K32" s="13"/>
      <c r="L32" s="13"/>
      <c r="M32" s="13"/>
      <c r="N32" s="13"/>
      <c r="O32" s="13"/>
      <c r="P32" s="13"/>
      <c r="Q32" s="14" t="str">
        <f t="shared" si="0"/>
        <v/>
      </c>
      <c r="R32" s="14" t="str">
        <f t="shared" si="1"/>
        <v/>
      </c>
      <c r="S32" s="10"/>
      <c r="T32" s="8"/>
      <c r="U32" s="8"/>
      <c r="V32" s="9" t="str">
        <f t="shared" si="2"/>
        <v/>
      </c>
      <c r="W32" s="8"/>
      <c r="X32" s="10"/>
      <c r="Y32" s="8"/>
    </row>
    <row r="33" spans="1:25">
      <c r="A33" s="8"/>
      <c r="B33" s="8"/>
      <c r="C33" s="8"/>
      <c r="D33" s="8"/>
      <c r="E33" s="8"/>
      <c r="F33" s="8"/>
      <c r="G33" s="8"/>
      <c r="H33" s="8"/>
      <c r="I33" s="13"/>
      <c r="J33" s="13"/>
      <c r="K33" s="13"/>
      <c r="L33" s="13"/>
      <c r="M33" s="13"/>
      <c r="N33" s="13"/>
      <c r="O33" s="13"/>
      <c r="P33" s="13"/>
      <c r="Q33" s="14" t="str">
        <f t="shared" si="0"/>
        <v/>
      </c>
      <c r="R33" s="14" t="str">
        <f t="shared" si="1"/>
        <v/>
      </c>
      <c r="S33" s="10"/>
      <c r="T33" s="8"/>
      <c r="U33" s="8"/>
      <c r="V33" s="9" t="str">
        <f t="shared" si="2"/>
        <v/>
      </c>
      <c r="W33" s="8"/>
      <c r="X33" s="10"/>
      <c r="Y33" s="8"/>
    </row>
    <row r="34" spans="1:25">
      <c r="A34" s="8"/>
      <c r="B34" s="8"/>
      <c r="C34" s="8"/>
      <c r="D34" s="8"/>
      <c r="E34" s="8"/>
      <c r="F34" s="8"/>
      <c r="G34" s="8"/>
      <c r="H34" s="8"/>
      <c r="I34" s="13"/>
      <c r="J34" s="13"/>
      <c r="K34" s="13"/>
      <c r="L34" s="13"/>
      <c r="M34" s="13"/>
      <c r="N34" s="13"/>
      <c r="O34" s="13"/>
      <c r="P34" s="13"/>
      <c r="Q34" s="14" t="str">
        <f t="shared" si="0"/>
        <v/>
      </c>
      <c r="R34" s="14" t="str">
        <f t="shared" si="1"/>
        <v/>
      </c>
      <c r="S34" s="10"/>
      <c r="T34" s="8"/>
      <c r="U34" s="8"/>
      <c r="V34" s="9" t="str">
        <f t="shared" si="2"/>
        <v/>
      </c>
      <c r="W34" s="8"/>
      <c r="X34" s="10"/>
      <c r="Y34" s="8"/>
    </row>
    <row r="35" spans="1:25">
      <c r="A35" s="8"/>
      <c r="B35" s="8"/>
      <c r="C35" s="8"/>
      <c r="D35" s="8"/>
      <c r="E35" s="8"/>
      <c r="F35" s="8"/>
      <c r="G35" s="8"/>
      <c r="H35" s="8"/>
      <c r="I35" s="13"/>
      <c r="J35" s="13"/>
      <c r="K35" s="13"/>
      <c r="L35" s="13"/>
      <c r="M35" s="13"/>
      <c r="N35" s="13"/>
      <c r="O35" s="13"/>
      <c r="P35" s="13"/>
      <c r="Q35" s="14" t="str">
        <f t="shared" si="0"/>
        <v/>
      </c>
      <c r="R35" s="14" t="str">
        <f t="shared" si="1"/>
        <v/>
      </c>
      <c r="S35" s="10"/>
      <c r="T35" s="8"/>
      <c r="U35" s="8"/>
      <c r="V35" s="9" t="str">
        <f t="shared" si="2"/>
        <v/>
      </c>
      <c r="W35" s="8"/>
      <c r="X35" s="10"/>
      <c r="Y35" s="8"/>
    </row>
    <row r="36" spans="1:25">
      <c r="A36" s="8"/>
      <c r="B36" s="8"/>
      <c r="C36" s="8"/>
      <c r="D36" s="8"/>
      <c r="E36" s="8"/>
      <c r="F36" s="8"/>
      <c r="G36" s="8"/>
      <c r="H36" s="8"/>
      <c r="I36" s="13"/>
      <c r="J36" s="13"/>
      <c r="K36" s="13"/>
      <c r="L36" s="13"/>
      <c r="M36" s="13"/>
      <c r="N36" s="13"/>
      <c r="O36" s="13"/>
      <c r="P36" s="13"/>
      <c r="Q36" s="14" t="str">
        <f t="shared" si="0"/>
        <v/>
      </c>
      <c r="R36" s="14" t="str">
        <f t="shared" si="1"/>
        <v/>
      </c>
      <c r="S36" s="10"/>
      <c r="T36" s="8"/>
      <c r="U36" s="8"/>
      <c r="V36" s="9" t="str">
        <f t="shared" si="2"/>
        <v/>
      </c>
      <c r="W36" s="8"/>
      <c r="X36" s="10"/>
      <c r="Y36" s="8"/>
    </row>
    <row r="37" spans="1:25">
      <c r="A37" s="8"/>
      <c r="B37" s="8"/>
      <c r="C37" s="8"/>
      <c r="D37" s="8"/>
      <c r="E37" s="8"/>
      <c r="F37" s="8"/>
      <c r="G37" s="8"/>
      <c r="H37" s="8"/>
      <c r="I37" s="13"/>
      <c r="J37" s="13"/>
      <c r="K37" s="13"/>
      <c r="L37" s="13"/>
      <c r="M37" s="13"/>
      <c r="N37" s="13"/>
      <c r="O37" s="13"/>
      <c r="P37" s="13"/>
      <c r="Q37" s="14" t="str">
        <f t="shared" si="0"/>
        <v/>
      </c>
      <c r="R37" s="14" t="str">
        <f t="shared" si="1"/>
        <v/>
      </c>
      <c r="S37" s="10"/>
      <c r="T37" s="8"/>
      <c r="U37" s="8"/>
      <c r="V37" s="9" t="str">
        <f t="shared" si="2"/>
        <v/>
      </c>
      <c r="W37" s="8"/>
      <c r="X37" s="10"/>
      <c r="Y37" s="8"/>
    </row>
    <row r="38" spans="1:25">
      <c r="A38" s="8"/>
      <c r="B38" s="8"/>
      <c r="C38" s="8"/>
      <c r="D38" s="8"/>
      <c r="E38" s="8"/>
      <c r="F38" s="8"/>
      <c r="G38" s="8"/>
      <c r="H38" s="8"/>
      <c r="I38" s="13"/>
      <c r="J38" s="13"/>
      <c r="K38" s="13"/>
      <c r="L38" s="13"/>
      <c r="M38" s="13"/>
      <c r="N38" s="13"/>
      <c r="O38" s="13"/>
      <c r="P38" s="13"/>
      <c r="Q38" s="14" t="str">
        <f t="shared" si="0"/>
        <v/>
      </c>
      <c r="R38" s="14" t="str">
        <f t="shared" si="1"/>
        <v/>
      </c>
      <c r="S38" s="10"/>
      <c r="T38" s="8"/>
      <c r="U38" s="8"/>
      <c r="V38" s="9" t="str">
        <f t="shared" si="2"/>
        <v/>
      </c>
      <c r="W38" s="8"/>
      <c r="X38" s="10"/>
      <c r="Y38" s="8"/>
    </row>
    <row r="39" spans="1:25">
      <c r="A39" s="8"/>
      <c r="B39" s="8"/>
      <c r="C39" s="8"/>
      <c r="D39" s="8"/>
      <c r="E39" s="8"/>
      <c r="F39" s="8"/>
      <c r="G39" s="8"/>
      <c r="H39" s="8"/>
      <c r="I39" s="13"/>
      <c r="J39" s="13"/>
      <c r="K39" s="13"/>
      <c r="L39" s="13"/>
      <c r="M39" s="13"/>
      <c r="N39" s="13"/>
      <c r="O39" s="13"/>
      <c r="P39" s="13"/>
      <c r="Q39" s="14" t="str">
        <f t="shared" si="0"/>
        <v/>
      </c>
      <c r="R39" s="14" t="str">
        <f t="shared" si="1"/>
        <v/>
      </c>
      <c r="S39" s="10"/>
      <c r="T39" s="8"/>
      <c r="U39" s="8"/>
      <c r="V39" s="9" t="str">
        <f t="shared" si="2"/>
        <v/>
      </c>
      <c r="W39" s="8"/>
      <c r="X39" s="10"/>
      <c r="Y39" s="8"/>
    </row>
    <row r="40" spans="1:25">
      <c r="A40" s="8"/>
      <c r="B40" s="8"/>
      <c r="C40" s="8"/>
      <c r="D40" s="8"/>
      <c r="E40" s="8"/>
      <c r="F40" s="8"/>
      <c r="G40" s="8"/>
      <c r="H40" s="8"/>
      <c r="I40" s="13"/>
      <c r="J40" s="13"/>
      <c r="K40" s="13"/>
      <c r="L40" s="13"/>
      <c r="M40" s="13"/>
      <c r="N40" s="13"/>
      <c r="O40" s="13"/>
      <c r="P40" s="13"/>
      <c r="Q40" s="14" t="str">
        <f t="shared" si="0"/>
        <v/>
      </c>
      <c r="R40" s="14" t="str">
        <f t="shared" si="1"/>
        <v/>
      </c>
      <c r="S40" s="10"/>
      <c r="T40" s="8"/>
      <c r="U40" s="8"/>
      <c r="V40" s="9" t="str">
        <f t="shared" si="2"/>
        <v/>
      </c>
      <c r="W40" s="8"/>
      <c r="X40" s="10"/>
      <c r="Y40" s="8"/>
    </row>
    <row r="41" spans="1:25">
      <c r="A41" s="8"/>
      <c r="B41" s="8"/>
      <c r="C41" s="8"/>
      <c r="D41" s="8"/>
      <c r="E41" s="8"/>
      <c r="F41" s="8"/>
      <c r="G41" s="8"/>
      <c r="H41" s="8"/>
      <c r="I41" s="13"/>
      <c r="J41" s="13"/>
      <c r="K41" s="13"/>
      <c r="L41" s="13"/>
      <c r="M41" s="13"/>
      <c r="N41" s="13"/>
      <c r="O41" s="13"/>
      <c r="P41" s="13"/>
      <c r="Q41" s="14" t="str">
        <f t="shared" si="0"/>
        <v/>
      </c>
      <c r="R41" s="14" t="str">
        <f t="shared" si="1"/>
        <v/>
      </c>
      <c r="S41" s="10"/>
      <c r="T41" s="8"/>
      <c r="U41" s="8"/>
      <c r="V41" s="9" t="str">
        <f t="shared" si="2"/>
        <v/>
      </c>
      <c r="W41" s="8"/>
      <c r="X41" s="10"/>
      <c r="Y41" s="8"/>
    </row>
    <row r="42" spans="1:25">
      <c r="A42" s="8"/>
      <c r="B42" s="8"/>
      <c r="C42" s="8"/>
      <c r="D42" s="8"/>
      <c r="E42" s="8"/>
      <c r="F42" s="8"/>
      <c r="G42" s="8"/>
      <c r="H42" s="8"/>
      <c r="I42" s="13"/>
      <c r="J42" s="13"/>
      <c r="K42" s="13"/>
      <c r="L42" s="13"/>
      <c r="M42" s="13"/>
      <c r="N42" s="13"/>
      <c r="O42" s="13"/>
      <c r="P42" s="13"/>
      <c r="Q42" s="14" t="str">
        <f t="shared" si="0"/>
        <v/>
      </c>
      <c r="R42" s="14" t="str">
        <f t="shared" si="1"/>
        <v/>
      </c>
      <c r="S42" s="10"/>
      <c r="T42" s="8"/>
      <c r="U42" s="8"/>
      <c r="V42" s="9" t="str">
        <f t="shared" si="2"/>
        <v/>
      </c>
      <c r="W42" s="8"/>
      <c r="X42" s="10"/>
      <c r="Y42" s="8"/>
    </row>
    <row r="43" spans="1:25">
      <c r="A43" s="8"/>
      <c r="B43" s="8"/>
      <c r="C43" s="8"/>
      <c r="D43" s="8"/>
      <c r="E43" s="8"/>
      <c r="F43" s="8"/>
      <c r="G43" s="8"/>
      <c r="H43" s="8"/>
      <c r="I43" s="13"/>
      <c r="J43" s="13"/>
      <c r="K43" s="13"/>
      <c r="L43" s="13"/>
      <c r="M43" s="13"/>
      <c r="N43" s="13"/>
      <c r="O43" s="13"/>
      <c r="P43" s="13"/>
      <c r="Q43" s="14" t="str">
        <f t="shared" si="0"/>
        <v/>
      </c>
      <c r="R43" s="14" t="str">
        <f t="shared" si="1"/>
        <v/>
      </c>
      <c r="S43" s="10"/>
      <c r="T43" s="8"/>
      <c r="U43" s="8"/>
      <c r="V43" s="9" t="str">
        <f t="shared" si="2"/>
        <v/>
      </c>
      <c r="W43" s="8"/>
      <c r="X43" s="10"/>
      <c r="Y43" s="8"/>
    </row>
    <row r="44" spans="1:25">
      <c r="A44" s="8"/>
      <c r="B44" s="8"/>
      <c r="C44" s="8"/>
      <c r="D44" s="8"/>
      <c r="E44" s="8"/>
      <c r="F44" s="8"/>
      <c r="G44" s="8"/>
      <c r="H44" s="8"/>
      <c r="I44" s="13"/>
      <c r="J44" s="13"/>
      <c r="K44" s="13"/>
      <c r="L44" s="13"/>
      <c r="M44" s="13"/>
      <c r="N44" s="13"/>
      <c r="O44" s="13"/>
      <c r="P44" s="13"/>
      <c r="Q44" s="14" t="str">
        <f t="shared" si="0"/>
        <v/>
      </c>
      <c r="R44" s="14" t="str">
        <f t="shared" si="1"/>
        <v/>
      </c>
      <c r="S44" s="10"/>
      <c r="T44" s="8"/>
      <c r="U44" s="8"/>
      <c r="V44" s="9" t="str">
        <f t="shared" si="2"/>
        <v/>
      </c>
      <c r="W44" s="8"/>
      <c r="X44" s="10"/>
      <c r="Y44" s="8"/>
    </row>
    <row r="45" spans="1:25">
      <c r="A45" s="8"/>
      <c r="B45" s="8"/>
      <c r="C45" s="8"/>
      <c r="D45" s="8"/>
      <c r="E45" s="8"/>
      <c r="F45" s="8"/>
      <c r="G45" s="8"/>
      <c r="H45" s="8"/>
      <c r="I45" s="13"/>
      <c r="J45" s="13"/>
      <c r="K45" s="13"/>
      <c r="L45" s="13"/>
      <c r="M45" s="13"/>
      <c r="N45" s="13"/>
      <c r="O45" s="13"/>
      <c r="P45" s="13"/>
      <c r="Q45" s="14" t="str">
        <f t="shared" si="0"/>
        <v/>
      </c>
      <c r="R45" s="14" t="str">
        <f t="shared" si="1"/>
        <v/>
      </c>
      <c r="S45" s="10"/>
      <c r="T45" s="8"/>
      <c r="U45" s="8"/>
      <c r="V45" s="9" t="str">
        <f t="shared" si="2"/>
        <v/>
      </c>
      <c r="W45" s="8"/>
      <c r="X45" s="10"/>
      <c r="Y45" s="8"/>
    </row>
    <row r="46" spans="1:25">
      <c r="A46" s="8"/>
      <c r="B46" s="8"/>
      <c r="C46" s="8"/>
      <c r="D46" s="8"/>
      <c r="E46" s="8"/>
      <c r="F46" s="8"/>
      <c r="G46" s="8"/>
      <c r="H46" s="8"/>
      <c r="I46" s="13"/>
      <c r="J46" s="13"/>
      <c r="K46" s="13"/>
      <c r="L46" s="13"/>
      <c r="M46" s="13"/>
      <c r="N46" s="13"/>
      <c r="O46" s="13"/>
      <c r="P46" s="13"/>
      <c r="Q46" s="14" t="str">
        <f t="shared" si="0"/>
        <v/>
      </c>
      <c r="R46" s="14" t="str">
        <f t="shared" si="1"/>
        <v/>
      </c>
      <c r="S46" s="10"/>
      <c r="T46" s="8"/>
      <c r="U46" s="8"/>
      <c r="V46" s="9" t="str">
        <f t="shared" si="2"/>
        <v/>
      </c>
      <c r="W46" s="8"/>
      <c r="X46" s="10"/>
      <c r="Y46" s="8"/>
    </row>
    <row r="47" spans="1:25">
      <c r="A47" s="8"/>
      <c r="B47" s="8"/>
      <c r="C47" s="8"/>
      <c r="D47" s="8"/>
      <c r="E47" s="8"/>
      <c r="F47" s="8"/>
      <c r="G47" s="8"/>
      <c r="H47" s="8"/>
      <c r="I47" s="13"/>
      <c r="J47" s="13"/>
      <c r="K47" s="13"/>
      <c r="L47" s="13"/>
      <c r="M47" s="13"/>
      <c r="N47" s="13"/>
      <c r="O47" s="13"/>
      <c r="P47" s="13"/>
      <c r="Q47" s="14" t="str">
        <f t="shared" si="0"/>
        <v/>
      </c>
      <c r="R47" s="14" t="str">
        <f t="shared" si="1"/>
        <v/>
      </c>
      <c r="S47" s="10"/>
      <c r="T47" s="8"/>
      <c r="U47" s="8"/>
      <c r="V47" s="9" t="str">
        <f t="shared" si="2"/>
        <v/>
      </c>
      <c r="W47" s="8"/>
      <c r="X47" s="10"/>
      <c r="Y47" s="8"/>
    </row>
    <row r="48" spans="1:25">
      <c r="A48" s="8"/>
      <c r="B48" s="8"/>
      <c r="C48" s="8"/>
      <c r="D48" s="8"/>
      <c r="E48" s="8"/>
      <c r="F48" s="8"/>
      <c r="G48" s="8"/>
      <c r="H48" s="8"/>
      <c r="I48" s="13"/>
      <c r="J48" s="13"/>
      <c r="K48" s="13"/>
      <c r="L48" s="13"/>
      <c r="M48" s="13"/>
      <c r="N48" s="13"/>
      <c r="O48" s="13"/>
      <c r="P48" s="13"/>
      <c r="Q48" s="14" t="str">
        <f t="shared" si="0"/>
        <v/>
      </c>
      <c r="R48" s="14" t="str">
        <f t="shared" si="1"/>
        <v/>
      </c>
      <c r="S48" s="10"/>
      <c r="T48" s="8"/>
      <c r="U48" s="8"/>
      <c r="V48" s="9" t="str">
        <f t="shared" si="2"/>
        <v/>
      </c>
      <c r="W48" s="8"/>
      <c r="X48" s="10"/>
      <c r="Y48" s="8"/>
    </row>
    <row r="49" spans="1:25">
      <c r="A49" s="8"/>
      <c r="B49" s="8"/>
      <c r="C49" s="8"/>
      <c r="D49" s="8"/>
      <c r="E49" s="8"/>
      <c r="F49" s="8"/>
      <c r="G49" s="8"/>
      <c r="H49" s="8"/>
      <c r="I49" s="13"/>
      <c r="J49" s="13"/>
      <c r="K49" s="13"/>
      <c r="L49" s="13"/>
      <c r="M49" s="13"/>
      <c r="N49" s="13"/>
      <c r="O49" s="13"/>
      <c r="P49" s="13"/>
      <c r="Q49" s="14" t="str">
        <f t="shared" si="0"/>
        <v/>
      </c>
      <c r="R49" s="14" t="str">
        <f t="shared" si="1"/>
        <v/>
      </c>
      <c r="S49" s="10"/>
      <c r="T49" s="8"/>
      <c r="U49" s="8"/>
      <c r="V49" s="9" t="str">
        <f t="shared" si="2"/>
        <v/>
      </c>
      <c r="W49" s="8"/>
      <c r="X49" s="10"/>
      <c r="Y49" s="8"/>
    </row>
    <row r="50" spans="1:25">
      <c r="A50" s="8"/>
      <c r="B50" s="8"/>
      <c r="C50" s="8"/>
      <c r="D50" s="8"/>
      <c r="E50" s="8"/>
      <c r="F50" s="8"/>
      <c r="G50" s="8"/>
      <c r="H50" s="8"/>
      <c r="I50" s="13"/>
      <c r="J50" s="13"/>
      <c r="K50" s="13"/>
      <c r="L50" s="13"/>
      <c r="M50" s="13"/>
      <c r="N50" s="13"/>
      <c r="O50" s="13"/>
      <c r="P50" s="13"/>
      <c r="Q50" s="14" t="str">
        <f t="shared" si="0"/>
        <v/>
      </c>
      <c r="R50" s="14" t="str">
        <f t="shared" si="1"/>
        <v/>
      </c>
      <c r="S50" s="10"/>
      <c r="T50" s="8"/>
      <c r="U50" s="8"/>
      <c r="V50" s="9" t="str">
        <f t="shared" si="2"/>
        <v/>
      </c>
      <c r="W50" s="8"/>
      <c r="X50" s="10"/>
      <c r="Y50" s="8"/>
    </row>
    <row r="51" spans="1:25">
      <c r="A51" s="8"/>
      <c r="B51" s="8"/>
      <c r="C51" s="8"/>
      <c r="D51" s="8"/>
      <c r="E51" s="8"/>
      <c r="F51" s="8"/>
      <c r="G51" s="8"/>
      <c r="H51" s="8"/>
      <c r="I51" s="13"/>
      <c r="J51" s="13"/>
      <c r="K51" s="13"/>
      <c r="L51" s="13"/>
      <c r="M51" s="13"/>
      <c r="N51" s="13"/>
      <c r="O51" s="13"/>
      <c r="P51" s="13"/>
      <c r="Q51" s="14" t="str">
        <f t="shared" si="0"/>
        <v/>
      </c>
      <c r="R51" s="14" t="str">
        <f t="shared" si="1"/>
        <v/>
      </c>
      <c r="S51" s="10"/>
      <c r="T51" s="8"/>
      <c r="U51" s="8"/>
      <c r="V51" s="9" t="str">
        <f t="shared" si="2"/>
        <v/>
      </c>
      <c r="W51" s="8"/>
      <c r="X51" s="10"/>
      <c r="Y51" s="8"/>
    </row>
    <row r="52" spans="1:25">
      <c r="A52" s="8"/>
      <c r="B52" s="8"/>
      <c r="C52" s="8"/>
      <c r="D52" s="8"/>
      <c r="E52" s="8"/>
      <c r="F52" s="8"/>
      <c r="G52" s="8"/>
      <c r="H52" s="8"/>
      <c r="I52" s="13"/>
      <c r="J52" s="13"/>
      <c r="K52" s="13"/>
      <c r="L52" s="13"/>
      <c r="M52" s="13"/>
      <c r="N52" s="13"/>
      <c r="O52" s="13"/>
      <c r="P52" s="13"/>
      <c r="Q52" s="14" t="str">
        <f t="shared" si="0"/>
        <v/>
      </c>
      <c r="R52" s="14" t="str">
        <f t="shared" si="1"/>
        <v/>
      </c>
      <c r="S52" s="10"/>
      <c r="T52" s="8"/>
      <c r="U52" s="8"/>
      <c r="V52" s="9" t="str">
        <f t="shared" si="2"/>
        <v/>
      </c>
      <c r="W52" s="8"/>
      <c r="X52" s="10"/>
      <c r="Y52" s="8"/>
    </row>
    <row r="53" spans="1:25">
      <c r="A53" s="8"/>
      <c r="B53" s="8"/>
      <c r="C53" s="8"/>
      <c r="D53" s="8"/>
      <c r="E53" s="8"/>
      <c r="F53" s="8"/>
      <c r="G53" s="8"/>
      <c r="H53" s="8"/>
      <c r="I53" s="13"/>
      <c r="J53" s="13"/>
      <c r="K53" s="13"/>
      <c r="L53" s="13"/>
      <c r="M53" s="13"/>
      <c r="N53" s="13"/>
      <c r="O53" s="13"/>
      <c r="P53" s="13"/>
      <c r="Q53" s="14" t="str">
        <f t="shared" si="0"/>
        <v/>
      </c>
      <c r="R53" s="14" t="str">
        <f t="shared" si="1"/>
        <v/>
      </c>
      <c r="S53" s="10"/>
      <c r="T53" s="8"/>
      <c r="U53" s="8"/>
      <c r="V53" s="9" t="str">
        <f t="shared" si="2"/>
        <v/>
      </c>
      <c r="W53" s="8"/>
      <c r="X53" s="10"/>
      <c r="Y53" s="8"/>
    </row>
    <row r="54" spans="1:25">
      <c r="A54" s="8"/>
      <c r="B54" s="8"/>
      <c r="C54" s="8"/>
      <c r="D54" s="8"/>
      <c r="E54" s="8"/>
      <c r="F54" s="8"/>
      <c r="G54" s="8"/>
      <c r="H54" s="8"/>
      <c r="I54" s="13"/>
      <c r="J54" s="13"/>
      <c r="K54" s="13"/>
      <c r="L54" s="13"/>
      <c r="M54" s="13"/>
      <c r="N54" s="13"/>
      <c r="O54" s="13"/>
      <c r="P54" s="13"/>
      <c r="Q54" s="14" t="str">
        <f t="shared" si="0"/>
        <v/>
      </c>
      <c r="R54" s="14" t="str">
        <f t="shared" si="1"/>
        <v/>
      </c>
      <c r="S54" s="10"/>
      <c r="T54" s="8"/>
      <c r="U54" s="8"/>
      <c r="V54" s="9" t="str">
        <f t="shared" si="2"/>
        <v/>
      </c>
      <c r="W54" s="8"/>
      <c r="X54" s="10"/>
      <c r="Y54" s="8"/>
    </row>
    <row r="55" spans="1:25">
      <c r="A55" s="8"/>
      <c r="B55" s="8"/>
      <c r="C55" s="8"/>
      <c r="D55" s="8"/>
      <c r="E55" s="8"/>
      <c r="F55" s="8"/>
      <c r="G55" s="8"/>
      <c r="H55" s="8"/>
      <c r="I55" s="13"/>
      <c r="J55" s="13"/>
      <c r="K55" s="13"/>
      <c r="L55" s="13"/>
      <c r="M55" s="13"/>
      <c r="N55" s="13"/>
      <c r="O55" s="13"/>
      <c r="P55" s="13"/>
      <c r="Q55" s="14" t="str">
        <f t="shared" si="0"/>
        <v/>
      </c>
      <c r="R55" s="14" t="str">
        <f t="shared" si="1"/>
        <v/>
      </c>
      <c r="S55" s="10"/>
      <c r="T55" s="8"/>
      <c r="U55" s="8"/>
      <c r="V55" s="9" t="str">
        <f t="shared" si="2"/>
        <v/>
      </c>
      <c r="W55" s="8"/>
      <c r="X55" s="10"/>
      <c r="Y55" s="8"/>
    </row>
    <row r="56" spans="1:25">
      <c r="A56" s="8"/>
      <c r="B56" s="8"/>
      <c r="C56" s="8"/>
      <c r="D56" s="8"/>
      <c r="E56" s="8"/>
      <c r="F56" s="8"/>
      <c r="G56" s="8"/>
      <c r="H56" s="8"/>
      <c r="I56" s="13"/>
      <c r="J56" s="13"/>
      <c r="K56" s="13"/>
      <c r="L56" s="13"/>
      <c r="M56" s="13"/>
      <c r="N56" s="13"/>
      <c r="O56" s="13"/>
      <c r="P56" s="13"/>
      <c r="Q56" s="14" t="str">
        <f t="shared" si="0"/>
        <v/>
      </c>
      <c r="R56" s="14" t="str">
        <f t="shared" si="1"/>
        <v/>
      </c>
      <c r="S56" s="10"/>
      <c r="T56" s="8"/>
      <c r="U56" s="8"/>
      <c r="V56" s="9" t="str">
        <f t="shared" si="2"/>
        <v/>
      </c>
      <c r="W56" s="8"/>
      <c r="X56" s="10"/>
      <c r="Y56" s="8"/>
    </row>
    <row r="57" spans="1:25">
      <c r="A57" s="8"/>
      <c r="B57" s="8"/>
      <c r="C57" s="8"/>
      <c r="D57" s="8"/>
      <c r="E57" s="8"/>
      <c r="F57" s="8"/>
      <c r="G57" s="8"/>
      <c r="H57" s="8"/>
      <c r="I57" s="13"/>
      <c r="J57" s="13"/>
      <c r="K57" s="13"/>
      <c r="L57" s="13"/>
      <c r="M57" s="13"/>
      <c r="N57" s="13"/>
      <c r="O57" s="13"/>
      <c r="P57" s="13"/>
      <c r="Q57" s="14" t="str">
        <f t="shared" si="0"/>
        <v/>
      </c>
      <c r="R57" s="14" t="str">
        <f t="shared" si="1"/>
        <v/>
      </c>
      <c r="S57" s="10"/>
      <c r="T57" s="8"/>
      <c r="U57" s="8"/>
      <c r="V57" s="9" t="str">
        <f t="shared" si="2"/>
        <v/>
      </c>
      <c r="W57" s="8"/>
      <c r="X57" s="10"/>
      <c r="Y57" s="8"/>
    </row>
    <row r="58" spans="1:25">
      <c r="A58" s="8"/>
      <c r="B58" s="8"/>
      <c r="C58" s="8"/>
      <c r="D58" s="8"/>
      <c r="E58" s="8"/>
      <c r="F58" s="8"/>
      <c r="G58" s="8"/>
      <c r="H58" s="8"/>
      <c r="I58" s="13"/>
      <c r="J58" s="13"/>
      <c r="K58" s="13"/>
      <c r="L58" s="13"/>
      <c r="M58" s="13"/>
      <c r="N58" s="13"/>
      <c r="O58" s="13"/>
      <c r="P58" s="13"/>
      <c r="Q58" s="14" t="str">
        <f t="shared" si="0"/>
        <v/>
      </c>
      <c r="R58" s="14" t="str">
        <f t="shared" si="1"/>
        <v/>
      </c>
      <c r="S58" s="10"/>
      <c r="T58" s="8"/>
      <c r="U58" s="8"/>
      <c r="V58" s="9" t="str">
        <f t="shared" si="2"/>
        <v/>
      </c>
      <c r="W58" s="8"/>
      <c r="X58" s="10"/>
      <c r="Y58" s="8"/>
    </row>
    <row r="59" spans="1:25">
      <c r="A59" s="8"/>
      <c r="B59" s="8"/>
      <c r="C59" s="8"/>
      <c r="D59" s="8"/>
      <c r="E59" s="8"/>
      <c r="F59" s="8"/>
      <c r="G59" s="8"/>
      <c r="H59" s="8"/>
      <c r="I59" s="13"/>
      <c r="J59" s="13"/>
      <c r="K59" s="13"/>
      <c r="L59" s="13"/>
      <c r="M59" s="13"/>
      <c r="N59" s="13"/>
      <c r="O59" s="13"/>
      <c r="P59" s="13"/>
      <c r="Q59" s="14" t="str">
        <f t="shared" si="0"/>
        <v/>
      </c>
      <c r="R59" s="14" t="str">
        <f t="shared" si="1"/>
        <v/>
      </c>
      <c r="S59" s="10"/>
      <c r="T59" s="8"/>
      <c r="U59" s="8"/>
      <c r="V59" s="9" t="str">
        <f t="shared" si="2"/>
        <v/>
      </c>
      <c r="W59" s="8"/>
      <c r="X59" s="10"/>
      <c r="Y59" s="8"/>
    </row>
    <row r="60" spans="1:25">
      <c r="A60" s="8"/>
      <c r="B60" s="8"/>
      <c r="C60" s="8"/>
      <c r="D60" s="8"/>
      <c r="E60" s="8"/>
      <c r="F60" s="8"/>
      <c r="G60" s="8"/>
      <c r="H60" s="8"/>
      <c r="I60" s="13"/>
      <c r="J60" s="13"/>
      <c r="K60" s="13"/>
      <c r="L60" s="13"/>
      <c r="M60" s="13"/>
      <c r="N60" s="13"/>
      <c r="O60" s="13"/>
      <c r="P60" s="13"/>
      <c r="Q60" s="14" t="str">
        <f t="shared" si="0"/>
        <v/>
      </c>
      <c r="R60" s="14" t="str">
        <f t="shared" si="1"/>
        <v/>
      </c>
      <c r="S60" s="10"/>
      <c r="T60" s="8"/>
      <c r="U60" s="8"/>
      <c r="V60" s="9" t="str">
        <f t="shared" si="2"/>
        <v/>
      </c>
      <c r="W60" s="8"/>
      <c r="X60" s="10"/>
      <c r="Y60" s="8"/>
    </row>
    <row r="61" spans="1:25">
      <c r="A61" s="8"/>
      <c r="B61" s="8"/>
      <c r="C61" s="8"/>
      <c r="D61" s="8"/>
      <c r="E61" s="8"/>
      <c r="F61" s="8"/>
      <c r="G61" s="8"/>
      <c r="H61" s="8"/>
      <c r="I61" s="13"/>
      <c r="J61" s="13"/>
      <c r="K61" s="13"/>
      <c r="L61" s="13"/>
      <c r="M61" s="13"/>
      <c r="N61" s="13"/>
      <c r="O61" s="13"/>
      <c r="P61" s="13"/>
      <c r="Q61" s="14" t="str">
        <f t="shared" si="0"/>
        <v/>
      </c>
      <c r="R61" s="14" t="str">
        <f t="shared" si="1"/>
        <v/>
      </c>
      <c r="S61" s="10"/>
      <c r="T61" s="8"/>
      <c r="U61" s="8"/>
      <c r="V61" s="9" t="str">
        <f t="shared" si="2"/>
        <v/>
      </c>
      <c r="W61" s="8"/>
      <c r="X61" s="10"/>
      <c r="Y61" s="8"/>
    </row>
    <row r="62" spans="1:25">
      <c r="A62" s="8"/>
      <c r="B62" s="8"/>
      <c r="C62" s="8"/>
      <c r="D62" s="8"/>
      <c r="E62" s="8"/>
      <c r="F62" s="8"/>
      <c r="G62" s="8"/>
      <c r="H62" s="8"/>
      <c r="I62" s="13"/>
      <c r="J62" s="13"/>
      <c r="K62" s="13"/>
      <c r="L62" s="13"/>
      <c r="M62" s="13"/>
      <c r="N62" s="13"/>
      <c r="O62" s="13"/>
      <c r="P62" s="13"/>
      <c r="Q62" s="14" t="str">
        <f t="shared" si="0"/>
        <v/>
      </c>
      <c r="R62" s="14" t="str">
        <f t="shared" si="1"/>
        <v/>
      </c>
      <c r="S62" s="10"/>
      <c r="T62" s="8"/>
      <c r="U62" s="8"/>
      <c r="V62" s="9" t="str">
        <f t="shared" si="2"/>
        <v/>
      </c>
      <c r="W62" s="8"/>
      <c r="X62" s="10"/>
      <c r="Y62" s="8"/>
    </row>
    <row r="63" spans="1:25">
      <c r="A63" s="8"/>
      <c r="B63" s="8"/>
      <c r="C63" s="8"/>
      <c r="D63" s="8"/>
      <c r="E63" s="8"/>
      <c r="F63" s="8"/>
      <c r="G63" s="8"/>
      <c r="H63" s="8"/>
      <c r="I63" s="13"/>
      <c r="J63" s="13"/>
      <c r="K63" s="13"/>
      <c r="L63" s="13"/>
      <c r="M63" s="13"/>
      <c r="N63" s="13"/>
      <c r="O63" s="13"/>
      <c r="P63" s="13"/>
      <c r="Q63" s="14" t="str">
        <f t="shared" si="0"/>
        <v/>
      </c>
      <c r="R63" s="14" t="str">
        <f t="shared" si="1"/>
        <v/>
      </c>
      <c r="S63" s="10"/>
      <c r="T63" s="8"/>
      <c r="U63" s="8"/>
      <c r="V63" s="9" t="str">
        <f t="shared" si="2"/>
        <v/>
      </c>
      <c r="W63" s="8"/>
      <c r="X63" s="10"/>
      <c r="Y63" s="8"/>
    </row>
    <row r="64" spans="1:25">
      <c r="A64" s="8"/>
      <c r="B64" s="8"/>
      <c r="C64" s="8"/>
      <c r="D64" s="8"/>
      <c r="E64" s="8"/>
      <c r="F64" s="8"/>
      <c r="G64" s="8"/>
      <c r="H64" s="8"/>
      <c r="I64" s="13"/>
      <c r="J64" s="13"/>
      <c r="K64" s="13"/>
      <c r="L64" s="13"/>
      <c r="M64" s="13"/>
      <c r="N64" s="13"/>
      <c r="O64" s="13"/>
      <c r="P64" s="13"/>
      <c r="Q64" s="14" t="str">
        <f t="shared" si="0"/>
        <v/>
      </c>
      <c r="R64" s="14" t="str">
        <f t="shared" si="1"/>
        <v/>
      </c>
      <c r="S64" s="10"/>
      <c r="T64" s="8"/>
      <c r="U64" s="8"/>
      <c r="V64" s="9" t="str">
        <f t="shared" si="2"/>
        <v/>
      </c>
      <c r="W64" s="8"/>
      <c r="X64" s="10"/>
      <c r="Y64" s="8"/>
    </row>
    <row r="65" spans="1:25">
      <c r="A65" s="8"/>
      <c r="B65" s="8"/>
      <c r="C65" s="8"/>
      <c r="D65" s="8"/>
      <c r="E65" s="8"/>
      <c r="F65" s="8"/>
      <c r="G65" s="8"/>
      <c r="H65" s="8"/>
      <c r="I65" s="13"/>
      <c r="J65" s="13"/>
      <c r="K65" s="13"/>
      <c r="L65" s="13"/>
      <c r="M65" s="13"/>
      <c r="N65" s="13"/>
      <c r="O65" s="13"/>
      <c r="P65" s="13"/>
      <c r="Q65" s="14" t="str">
        <f t="shared" si="0"/>
        <v/>
      </c>
      <c r="R65" s="14" t="str">
        <f t="shared" si="1"/>
        <v/>
      </c>
      <c r="S65" s="10"/>
      <c r="T65" s="8"/>
      <c r="U65" s="8"/>
      <c r="V65" s="9" t="str">
        <f t="shared" si="2"/>
        <v/>
      </c>
      <c r="W65" s="8"/>
      <c r="X65" s="10"/>
      <c r="Y65" s="8"/>
    </row>
    <row r="66" spans="1:25">
      <c r="A66" s="8"/>
      <c r="B66" s="8"/>
      <c r="C66" s="8"/>
      <c r="D66" s="8"/>
      <c r="E66" s="8"/>
      <c r="F66" s="8"/>
      <c r="G66" s="8"/>
      <c r="H66" s="8"/>
      <c r="I66" s="13"/>
      <c r="J66" s="13"/>
      <c r="K66" s="13"/>
      <c r="L66" s="13"/>
      <c r="M66" s="13"/>
      <c r="N66" s="13"/>
      <c r="O66" s="13"/>
      <c r="P66" s="13"/>
      <c r="Q66" s="14" t="str">
        <f t="shared" si="0"/>
        <v/>
      </c>
      <c r="R66" s="14" t="str">
        <f t="shared" si="1"/>
        <v/>
      </c>
      <c r="S66" s="10"/>
      <c r="T66" s="8"/>
      <c r="U66" s="8"/>
      <c r="V66" s="9" t="str">
        <f t="shared" si="2"/>
        <v/>
      </c>
      <c r="W66" s="8"/>
      <c r="X66" s="10"/>
      <c r="Y66" s="8"/>
    </row>
    <row r="67" spans="1:25">
      <c r="A67" s="8"/>
      <c r="B67" s="8"/>
      <c r="C67" s="8"/>
      <c r="D67" s="8"/>
      <c r="E67" s="8"/>
      <c r="F67" s="8"/>
      <c r="G67" s="8"/>
      <c r="H67" s="8"/>
      <c r="I67" s="13"/>
      <c r="J67" s="13"/>
      <c r="K67" s="13"/>
      <c r="L67" s="13"/>
      <c r="M67" s="13"/>
      <c r="N67" s="13"/>
      <c r="O67" s="13"/>
      <c r="P67" s="13"/>
      <c r="Q67" s="14" t="str">
        <f t="shared" si="0"/>
        <v/>
      </c>
      <c r="R67" s="14" t="str">
        <f t="shared" si="1"/>
        <v/>
      </c>
      <c r="S67" s="10"/>
      <c r="T67" s="8"/>
      <c r="U67" s="8"/>
      <c r="V67" s="9" t="str">
        <f t="shared" si="2"/>
        <v/>
      </c>
      <c r="W67" s="8"/>
      <c r="X67" s="10"/>
      <c r="Y67" s="8"/>
    </row>
    <row r="68" spans="1:25">
      <c r="A68" s="8"/>
      <c r="B68" s="8"/>
      <c r="C68" s="8"/>
      <c r="D68" s="8"/>
      <c r="E68" s="8"/>
      <c r="F68" s="8"/>
      <c r="G68" s="8"/>
      <c r="H68" s="8"/>
      <c r="I68" s="13"/>
      <c r="J68" s="13"/>
      <c r="K68" s="13"/>
      <c r="L68" s="13"/>
      <c r="M68" s="13"/>
      <c r="N68" s="13"/>
      <c r="O68" s="13"/>
      <c r="P68" s="13"/>
      <c r="Q68" s="14" t="str">
        <f t="shared" si="0"/>
        <v/>
      </c>
      <c r="R68" s="14" t="str">
        <f t="shared" si="1"/>
        <v/>
      </c>
      <c r="S68" s="10"/>
      <c r="T68" s="8"/>
      <c r="U68" s="8"/>
      <c r="V68" s="9" t="str">
        <f t="shared" si="2"/>
        <v/>
      </c>
      <c r="W68" s="8"/>
      <c r="X68" s="10"/>
      <c r="Y68" s="8"/>
    </row>
    <row r="69" spans="1:25">
      <c r="A69" s="8"/>
      <c r="B69" s="8"/>
      <c r="C69" s="8"/>
      <c r="D69" s="8"/>
      <c r="E69" s="8"/>
      <c r="F69" s="8"/>
      <c r="G69" s="8"/>
      <c r="H69" s="8"/>
      <c r="I69" s="13"/>
      <c r="J69" s="13"/>
      <c r="K69" s="13"/>
      <c r="L69" s="13"/>
      <c r="M69" s="13"/>
      <c r="N69" s="13"/>
      <c r="O69" s="13"/>
      <c r="P69" s="13"/>
      <c r="Q69" s="14" t="str">
        <f t="shared" ref="Q69:Q132" si="3">IF(A69="","",MAX(0,M69-O69-P69))</f>
        <v/>
      </c>
      <c r="R69" s="14" t="str">
        <f t="shared" ref="R69:R132" si="4">IF(A69="","",MAX(0,J69-M69))</f>
        <v/>
      </c>
      <c r="S69" s="10"/>
      <c r="T69" s="8"/>
      <c r="U69" s="8"/>
      <c r="V69" s="9" t="str">
        <f t="shared" ref="V69:V132" si="5">IF(A69="","",IF(R69&gt;0,"Shortage",IF(Q69&gt;=J69,"Ready",IF(Q69&gt;0,"Partially Ready","Pending"))))</f>
        <v/>
      </c>
      <c r="W69" s="8"/>
      <c r="X69" s="10"/>
      <c r="Y69" s="8"/>
    </row>
    <row r="70" spans="1:25">
      <c r="A70" s="8"/>
      <c r="B70" s="8"/>
      <c r="C70" s="8"/>
      <c r="D70" s="8"/>
      <c r="E70" s="8"/>
      <c r="F70" s="8"/>
      <c r="G70" s="8"/>
      <c r="H70" s="8"/>
      <c r="I70" s="13"/>
      <c r="J70" s="13"/>
      <c r="K70" s="13"/>
      <c r="L70" s="13"/>
      <c r="M70" s="13"/>
      <c r="N70" s="13"/>
      <c r="O70" s="13"/>
      <c r="P70" s="13"/>
      <c r="Q70" s="14" t="str">
        <f t="shared" si="3"/>
        <v/>
      </c>
      <c r="R70" s="14" t="str">
        <f t="shared" si="4"/>
        <v/>
      </c>
      <c r="S70" s="10"/>
      <c r="T70" s="8"/>
      <c r="U70" s="8"/>
      <c r="V70" s="9" t="str">
        <f t="shared" si="5"/>
        <v/>
      </c>
      <c r="W70" s="8"/>
      <c r="X70" s="10"/>
      <c r="Y70" s="8"/>
    </row>
    <row r="71" spans="1:25">
      <c r="A71" s="8"/>
      <c r="B71" s="8"/>
      <c r="C71" s="8"/>
      <c r="D71" s="8"/>
      <c r="E71" s="8"/>
      <c r="F71" s="8"/>
      <c r="G71" s="8"/>
      <c r="H71" s="8"/>
      <c r="I71" s="13"/>
      <c r="J71" s="13"/>
      <c r="K71" s="13"/>
      <c r="L71" s="13"/>
      <c r="M71" s="13"/>
      <c r="N71" s="13"/>
      <c r="O71" s="13"/>
      <c r="P71" s="13"/>
      <c r="Q71" s="14" t="str">
        <f t="shared" si="3"/>
        <v/>
      </c>
      <c r="R71" s="14" t="str">
        <f t="shared" si="4"/>
        <v/>
      </c>
      <c r="S71" s="10"/>
      <c r="T71" s="8"/>
      <c r="U71" s="8"/>
      <c r="V71" s="9" t="str">
        <f t="shared" si="5"/>
        <v/>
      </c>
      <c r="W71" s="8"/>
      <c r="X71" s="10"/>
      <c r="Y71" s="8"/>
    </row>
    <row r="72" spans="1:25">
      <c r="A72" s="8"/>
      <c r="B72" s="8"/>
      <c r="C72" s="8"/>
      <c r="D72" s="8"/>
      <c r="E72" s="8"/>
      <c r="F72" s="8"/>
      <c r="G72" s="8"/>
      <c r="H72" s="8"/>
      <c r="I72" s="13"/>
      <c r="J72" s="13"/>
      <c r="K72" s="13"/>
      <c r="L72" s="13"/>
      <c r="M72" s="13"/>
      <c r="N72" s="13"/>
      <c r="O72" s="13"/>
      <c r="P72" s="13"/>
      <c r="Q72" s="14" t="str">
        <f t="shared" si="3"/>
        <v/>
      </c>
      <c r="R72" s="14" t="str">
        <f t="shared" si="4"/>
        <v/>
      </c>
      <c r="S72" s="10"/>
      <c r="T72" s="8"/>
      <c r="U72" s="8"/>
      <c r="V72" s="9" t="str">
        <f t="shared" si="5"/>
        <v/>
      </c>
      <c r="W72" s="8"/>
      <c r="X72" s="10"/>
      <c r="Y72" s="8"/>
    </row>
    <row r="73" spans="1:25">
      <c r="A73" s="8"/>
      <c r="B73" s="8"/>
      <c r="C73" s="8"/>
      <c r="D73" s="8"/>
      <c r="E73" s="8"/>
      <c r="F73" s="8"/>
      <c r="G73" s="8"/>
      <c r="H73" s="8"/>
      <c r="I73" s="13"/>
      <c r="J73" s="13"/>
      <c r="K73" s="13"/>
      <c r="L73" s="13"/>
      <c r="M73" s="13"/>
      <c r="N73" s="13"/>
      <c r="O73" s="13"/>
      <c r="P73" s="13"/>
      <c r="Q73" s="14" t="str">
        <f t="shared" si="3"/>
        <v/>
      </c>
      <c r="R73" s="14" t="str">
        <f t="shared" si="4"/>
        <v/>
      </c>
      <c r="S73" s="10"/>
      <c r="T73" s="8"/>
      <c r="U73" s="8"/>
      <c r="V73" s="9" t="str">
        <f t="shared" si="5"/>
        <v/>
      </c>
      <c r="W73" s="8"/>
      <c r="X73" s="10"/>
      <c r="Y73" s="8"/>
    </row>
    <row r="74" spans="1:25">
      <c r="A74" s="8"/>
      <c r="B74" s="8"/>
      <c r="C74" s="8"/>
      <c r="D74" s="8"/>
      <c r="E74" s="8"/>
      <c r="F74" s="8"/>
      <c r="G74" s="8"/>
      <c r="H74" s="8"/>
      <c r="I74" s="13"/>
      <c r="J74" s="13"/>
      <c r="K74" s="13"/>
      <c r="L74" s="13"/>
      <c r="M74" s="13"/>
      <c r="N74" s="13"/>
      <c r="O74" s="13"/>
      <c r="P74" s="13"/>
      <c r="Q74" s="14" t="str">
        <f t="shared" si="3"/>
        <v/>
      </c>
      <c r="R74" s="14" t="str">
        <f t="shared" si="4"/>
        <v/>
      </c>
      <c r="S74" s="10"/>
      <c r="T74" s="8"/>
      <c r="U74" s="8"/>
      <c r="V74" s="9" t="str">
        <f t="shared" si="5"/>
        <v/>
      </c>
      <c r="W74" s="8"/>
      <c r="X74" s="10"/>
      <c r="Y74" s="8"/>
    </row>
    <row r="75" spans="1:25">
      <c r="A75" s="8"/>
      <c r="B75" s="8"/>
      <c r="C75" s="8"/>
      <c r="D75" s="8"/>
      <c r="E75" s="8"/>
      <c r="F75" s="8"/>
      <c r="G75" s="8"/>
      <c r="H75" s="8"/>
      <c r="I75" s="13"/>
      <c r="J75" s="13"/>
      <c r="K75" s="13"/>
      <c r="L75" s="13"/>
      <c r="M75" s="13"/>
      <c r="N75" s="13"/>
      <c r="O75" s="13"/>
      <c r="P75" s="13"/>
      <c r="Q75" s="14" t="str">
        <f t="shared" si="3"/>
        <v/>
      </c>
      <c r="R75" s="14" t="str">
        <f t="shared" si="4"/>
        <v/>
      </c>
      <c r="S75" s="10"/>
      <c r="T75" s="8"/>
      <c r="U75" s="8"/>
      <c r="V75" s="9" t="str">
        <f t="shared" si="5"/>
        <v/>
      </c>
      <c r="W75" s="8"/>
      <c r="X75" s="10"/>
      <c r="Y75" s="8"/>
    </row>
    <row r="76" spans="1:25">
      <c r="A76" s="8"/>
      <c r="B76" s="8"/>
      <c r="C76" s="8"/>
      <c r="D76" s="8"/>
      <c r="E76" s="8"/>
      <c r="F76" s="8"/>
      <c r="G76" s="8"/>
      <c r="H76" s="8"/>
      <c r="I76" s="13"/>
      <c r="J76" s="13"/>
      <c r="K76" s="13"/>
      <c r="L76" s="13"/>
      <c r="M76" s="13"/>
      <c r="N76" s="13"/>
      <c r="O76" s="13"/>
      <c r="P76" s="13"/>
      <c r="Q76" s="14" t="str">
        <f t="shared" si="3"/>
        <v/>
      </c>
      <c r="R76" s="14" t="str">
        <f t="shared" si="4"/>
        <v/>
      </c>
      <c r="S76" s="10"/>
      <c r="T76" s="8"/>
      <c r="U76" s="8"/>
      <c r="V76" s="9" t="str">
        <f t="shared" si="5"/>
        <v/>
      </c>
      <c r="W76" s="8"/>
      <c r="X76" s="10"/>
      <c r="Y76" s="8"/>
    </row>
    <row r="77" spans="1:25">
      <c r="A77" s="8"/>
      <c r="B77" s="8"/>
      <c r="C77" s="8"/>
      <c r="D77" s="8"/>
      <c r="E77" s="8"/>
      <c r="F77" s="8"/>
      <c r="G77" s="8"/>
      <c r="H77" s="8"/>
      <c r="I77" s="13"/>
      <c r="J77" s="13"/>
      <c r="K77" s="13"/>
      <c r="L77" s="13"/>
      <c r="M77" s="13"/>
      <c r="N77" s="13"/>
      <c r="O77" s="13"/>
      <c r="P77" s="13"/>
      <c r="Q77" s="14" t="str">
        <f t="shared" si="3"/>
        <v/>
      </c>
      <c r="R77" s="14" t="str">
        <f t="shared" si="4"/>
        <v/>
      </c>
      <c r="S77" s="10"/>
      <c r="T77" s="8"/>
      <c r="U77" s="8"/>
      <c r="V77" s="9" t="str">
        <f t="shared" si="5"/>
        <v/>
      </c>
      <c r="W77" s="8"/>
      <c r="X77" s="10"/>
      <c r="Y77" s="8"/>
    </row>
    <row r="78" spans="1:25">
      <c r="A78" s="8"/>
      <c r="B78" s="8"/>
      <c r="C78" s="8"/>
      <c r="D78" s="8"/>
      <c r="E78" s="8"/>
      <c r="F78" s="8"/>
      <c r="G78" s="8"/>
      <c r="H78" s="8"/>
      <c r="I78" s="13"/>
      <c r="J78" s="13"/>
      <c r="K78" s="13"/>
      <c r="L78" s="13"/>
      <c r="M78" s="13"/>
      <c r="N78" s="13"/>
      <c r="O78" s="13"/>
      <c r="P78" s="13"/>
      <c r="Q78" s="14" t="str">
        <f t="shared" si="3"/>
        <v/>
      </c>
      <c r="R78" s="14" t="str">
        <f t="shared" si="4"/>
        <v/>
      </c>
      <c r="S78" s="10"/>
      <c r="T78" s="8"/>
      <c r="U78" s="8"/>
      <c r="V78" s="9" t="str">
        <f t="shared" si="5"/>
        <v/>
      </c>
      <c r="W78" s="8"/>
      <c r="X78" s="10"/>
      <c r="Y78" s="8"/>
    </row>
    <row r="79" spans="1:25">
      <c r="A79" s="8"/>
      <c r="B79" s="8"/>
      <c r="C79" s="8"/>
      <c r="D79" s="8"/>
      <c r="E79" s="8"/>
      <c r="F79" s="8"/>
      <c r="G79" s="8"/>
      <c r="H79" s="8"/>
      <c r="I79" s="13"/>
      <c r="J79" s="13"/>
      <c r="K79" s="13"/>
      <c r="L79" s="13"/>
      <c r="M79" s="13"/>
      <c r="N79" s="13"/>
      <c r="O79" s="13"/>
      <c r="P79" s="13"/>
      <c r="Q79" s="14" t="str">
        <f t="shared" si="3"/>
        <v/>
      </c>
      <c r="R79" s="14" t="str">
        <f t="shared" si="4"/>
        <v/>
      </c>
      <c r="S79" s="10"/>
      <c r="T79" s="8"/>
      <c r="U79" s="8"/>
      <c r="V79" s="9" t="str">
        <f t="shared" si="5"/>
        <v/>
      </c>
      <c r="W79" s="8"/>
      <c r="X79" s="10"/>
      <c r="Y79" s="8"/>
    </row>
    <row r="80" spans="1:25">
      <c r="A80" s="8"/>
      <c r="B80" s="8"/>
      <c r="C80" s="8"/>
      <c r="D80" s="8"/>
      <c r="E80" s="8"/>
      <c r="F80" s="8"/>
      <c r="G80" s="8"/>
      <c r="H80" s="8"/>
      <c r="I80" s="13"/>
      <c r="J80" s="13"/>
      <c r="K80" s="13"/>
      <c r="L80" s="13"/>
      <c r="M80" s="13"/>
      <c r="N80" s="13"/>
      <c r="O80" s="13"/>
      <c r="P80" s="13"/>
      <c r="Q80" s="14" t="str">
        <f t="shared" si="3"/>
        <v/>
      </c>
      <c r="R80" s="14" t="str">
        <f t="shared" si="4"/>
        <v/>
      </c>
      <c r="S80" s="10"/>
      <c r="T80" s="8"/>
      <c r="U80" s="8"/>
      <c r="V80" s="9" t="str">
        <f t="shared" si="5"/>
        <v/>
      </c>
      <c r="W80" s="8"/>
      <c r="X80" s="10"/>
      <c r="Y80" s="8"/>
    </row>
    <row r="81" spans="1:25">
      <c r="A81" s="8"/>
      <c r="B81" s="8"/>
      <c r="C81" s="8"/>
      <c r="D81" s="8"/>
      <c r="E81" s="8"/>
      <c r="F81" s="8"/>
      <c r="G81" s="8"/>
      <c r="H81" s="8"/>
      <c r="I81" s="13"/>
      <c r="J81" s="13"/>
      <c r="K81" s="13"/>
      <c r="L81" s="13"/>
      <c r="M81" s="13"/>
      <c r="N81" s="13"/>
      <c r="O81" s="13"/>
      <c r="P81" s="13"/>
      <c r="Q81" s="14" t="str">
        <f t="shared" si="3"/>
        <v/>
      </c>
      <c r="R81" s="14" t="str">
        <f t="shared" si="4"/>
        <v/>
      </c>
      <c r="S81" s="10"/>
      <c r="T81" s="8"/>
      <c r="U81" s="8"/>
      <c r="V81" s="9" t="str">
        <f t="shared" si="5"/>
        <v/>
      </c>
      <c r="W81" s="8"/>
      <c r="X81" s="10"/>
      <c r="Y81" s="8"/>
    </row>
    <row r="82" spans="1:25">
      <c r="A82" s="8"/>
      <c r="B82" s="8"/>
      <c r="C82" s="8"/>
      <c r="D82" s="8"/>
      <c r="E82" s="8"/>
      <c r="F82" s="8"/>
      <c r="G82" s="8"/>
      <c r="H82" s="8"/>
      <c r="I82" s="13"/>
      <c r="J82" s="13"/>
      <c r="K82" s="13"/>
      <c r="L82" s="13"/>
      <c r="M82" s="13"/>
      <c r="N82" s="13"/>
      <c r="O82" s="13"/>
      <c r="P82" s="13"/>
      <c r="Q82" s="14" t="str">
        <f t="shared" si="3"/>
        <v/>
      </c>
      <c r="R82" s="14" t="str">
        <f t="shared" si="4"/>
        <v/>
      </c>
      <c r="S82" s="10"/>
      <c r="T82" s="8"/>
      <c r="U82" s="8"/>
      <c r="V82" s="9" t="str">
        <f t="shared" si="5"/>
        <v/>
      </c>
      <c r="W82" s="8"/>
      <c r="X82" s="10"/>
      <c r="Y82" s="8"/>
    </row>
    <row r="83" spans="1:25">
      <c r="A83" s="8"/>
      <c r="B83" s="8"/>
      <c r="C83" s="8"/>
      <c r="D83" s="8"/>
      <c r="E83" s="8"/>
      <c r="F83" s="8"/>
      <c r="G83" s="8"/>
      <c r="H83" s="8"/>
      <c r="I83" s="13"/>
      <c r="J83" s="13"/>
      <c r="K83" s="13"/>
      <c r="L83" s="13"/>
      <c r="M83" s="13"/>
      <c r="N83" s="13"/>
      <c r="O83" s="13"/>
      <c r="P83" s="13"/>
      <c r="Q83" s="14" t="str">
        <f t="shared" si="3"/>
        <v/>
      </c>
      <c r="R83" s="14" t="str">
        <f t="shared" si="4"/>
        <v/>
      </c>
      <c r="S83" s="10"/>
      <c r="T83" s="8"/>
      <c r="U83" s="8"/>
      <c r="V83" s="9" t="str">
        <f t="shared" si="5"/>
        <v/>
      </c>
      <c r="W83" s="8"/>
      <c r="X83" s="10"/>
      <c r="Y83" s="8"/>
    </row>
    <row r="84" spans="1:25">
      <c r="A84" s="8"/>
      <c r="B84" s="8"/>
      <c r="C84" s="8"/>
      <c r="D84" s="8"/>
      <c r="E84" s="8"/>
      <c r="F84" s="8"/>
      <c r="G84" s="8"/>
      <c r="H84" s="8"/>
      <c r="I84" s="13"/>
      <c r="J84" s="13"/>
      <c r="K84" s="13"/>
      <c r="L84" s="13"/>
      <c r="M84" s="13"/>
      <c r="N84" s="13"/>
      <c r="O84" s="13"/>
      <c r="P84" s="13"/>
      <c r="Q84" s="14" t="str">
        <f t="shared" si="3"/>
        <v/>
      </c>
      <c r="R84" s="14" t="str">
        <f t="shared" si="4"/>
        <v/>
      </c>
      <c r="S84" s="10"/>
      <c r="T84" s="8"/>
      <c r="U84" s="8"/>
      <c r="V84" s="9" t="str">
        <f t="shared" si="5"/>
        <v/>
      </c>
      <c r="W84" s="8"/>
      <c r="X84" s="10"/>
      <c r="Y84" s="8"/>
    </row>
    <row r="85" spans="1:25">
      <c r="A85" s="8"/>
      <c r="B85" s="8"/>
      <c r="C85" s="8"/>
      <c r="D85" s="8"/>
      <c r="E85" s="8"/>
      <c r="F85" s="8"/>
      <c r="G85" s="8"/>
      <c r="H85" s="8"/>
      <c r="I85" s="13"/>
      <c r="J85" s="13"/>
      <c r="K85" s="13"/>
      <c r="L85" s="13"/>
      <c r="M85" s="13"/>
      <c r="N85" s="13"/>
      <c r="O85" s="13"/>
      <c r="P85" s="13"/>
      <c r="Q85" s="14" t="str">
        <f t="shared" si="3"/>
        <v/>
      </c>
      <c r="R85" s="14" t="str">
        <f t="shared" si="4"/>
        <v/>
      </c>
      <c r="S85" s="10"/>
      <c r="T85" s="8"/>
      <c r="U85" s="8"/>
      <c r="V85" s="9" t="str">
        <f t="shared" si="5"/>
        <v/>
      </c>
      <c r="W85" s="8"/>
      <c r="X85" s="10"/>
      <c r="Y85" s="8"/>
    </row>
    <row r="86" spans="1:25">
      <c r="A86" s="8"/>
      <c r="B86" s="8"/>
      <c r="C86" s="8"/>
      <c r="D86" s="8"/>
      <c r="E86" s="8"/>
      <c r="F86" s="8"/>
      <c r="G86" s="8"/>
      <c r="H86" s="8"/>
      <c r="I86" s="13"/>
      <c r="J86" s="13"/>
      <c r="K86" s="13"/>
      <c r="L86" s="13"/>
      <c r="M86" s="13"/>
      <c r="N86" s="13"/>
      <c r="O86" s="13"/>
      <c r="P86" s="13"/>
      <c r="Q86" s="14" t="str">
        <f t="shared" si="3"/>
        <v/>
      </c>
      <c r="R86" s="14" t="str">
        <f t="shared" si="4"/>
        <v/>
      </c>
      <c r="S86" s="10"/>
      <c r="T86" s="8"/>
      <c r="U86" s="8"/>
      <c r="V86" s="9" t="str">
        <f t="shared" si="5"/>
        <v/>
      </c>
      <c r="W86" s="8"/>
      <c r="X86" s="10"/>
      <c r="Y86" s="8"/>
    </row>
    <row r="87" spans="1:25">
      <c r="A87" s="8"/>
      <c r="B87" s="8"/>
      <c r="C87" s="8"/>
      <c r="D87" s="8"/>
      <c r="E87" s="8"/>
      <c r="F87" s="8"/>
      <c r="G87" s="8"/>
      <c r="H87" s="8"/>
      <c r="I87" s="13"/>
      <c r="J87" s="13"/>
      <c r="K87" s="13"/>
      <c r="L87" s="13"/>
      <c r="M87" s="13"/>
      <c r="N87" s="13"/>
      <c r="O87" s="13"/>
      <c r="P87" s="13"/>
      <c r="Q87" s="14" t="str">
        <f t="shared" si="3"/>
        <v/>
      </c>
      <c r="R87" s="14" t="str">
        <f t="shared" si="4"/>
        <v/>
      </c>
      <c r="S87" s="10"/>
      <c r="T87" s="8"/>
      <c r="U87" s="8"/>
      <c r="V87" s="9" t="str">
        <f t="shared" si="5"/>
        <v/>
      </c>
      <c r="W87" s="8"/>
      <c r="X87" s="10"/>
      <c r="Y87" s="8"/>
    </row>
    <row r="88" spans="1:25">
      <c r="A88" s="8"/>
      <c r="B88" s="8"/>
      <c r="C88" s="8"/>
      <c r="D88" s="8"/>
      <c r="E88" s="8"/>
      <c r="F88" s="8"/>
      <c r="G88" s="8"/>
      <c r="H88" s="8"/>
      <c r="I88" s="13"/>
      <c r="J88" s="13"/>
      <c r="K88" s="13"/>
      <c r="L88" s="13"/>
      <c r="M88" s="13"/>
      <c r="N88" s="13"/>
      <c r="O88" s="13"/>
      <c r="P88" s="13"/>
      <c r="Q88" s="14" t="str">
        <f t="shared" si="3"/>
        <v/>
      </c>
      <c r="R88" s="14" t="str">
        <f t="shared" si="4"/>
        <v/>
      </c>
      <c r="S88" s="10"/>
      <c r="T88" s="8"/>
      <c r="U88" s="8"/>
      <c r="V88" s="9" t="str">
        <f t="shared" si="5"/>
        <v/>
      </c>
      <c r="W88" s="8"/>
      <c r="X88" s="10"/>
      <c r="Y88" s="8"/>
    </row>
    <row r="89" spans="1:25">
      <c r="A89" s="8"/>
      <c r="B89" s="8"/>
      <c r="C89" s="8"/>
      <c r="D89" s="8"/>
      <c r="E89" s="8"/>
      <c r="F89" s="8"/>
      <c r="G89" s="8"/>
      <c r="H89" s="8"/>
      <c r="I89" s="13"/>
      <c r="J89" s="13"/>
      <c r="K89" s="13"/>
      <c r="L89" s="13"/>
      <c r="M89" s="13"/>
      <c r="N89" s="13"/>
      <c r="O89" s="13"/>
      <c r="P89" s="13"/>
      <c r="Q89" s="14" t="str">
        <f t="shared" si="3"/>
        <v/>
      </c>
      <c r="R89" s="14" t="str">
        <f t="shared" si="4"/>
        <v/>
      </c>
      <c r="S89" s="10"/>
      <c r="T89" s="8"/>
      <c r="U89" s="8"/>
      <c r="V89" s="9" t="str">
        <f t="shared" si="5"/>
        <v/>
      </c>
      <c r="W89" s="8"/>
      <c r="X89" s="10"/>
      <c r="Y89" s="8"/>
    </row>
    <row r="90" spans="1:25">
      <c r="A90" s="8"/>
      <c r="B90" s="8"/>
      <c r="C90" s="8"/>
      <c r="D90" s="8"/>
      <c r="E90" s="8"/>
      <c r="F90" s="8"/>
      <c r="G90" s="8"/>
      <c r="H90" s="8"/>
      <c r="I90" s="13"/>
      <c r="J90" s="13"/>
      <c r="K90" s="13"/>
      <c r="L90" s="13"/>
      <c r="M90" s="13"/>
      <c r="N90" s="13"/>
      <c r="O90" s="13"/>
      <c r="P90" s="13"/>
      <c r="Q90" s="14" t="str">
        <f t="shared" si="3"/>
        <v/>
      </c>
      <c r="R90" s="14" t="str">
        <f t="shared" si="4"/>
        <v/>
      </c>
      <c r="S90" s="10"/>
      <c r="T90" s="8"/>
      <c r="U90" s="8"/>
      <c r="V90" s="9" t="str">
        <f t="shared" si="5"/>
        <v/>
      </c>
      <c r="W90" s="8"/>
      <c r="X90" s="10"/>
      <c r="Y90" s="8"/>
    </row>
    <row r="91" spans="1:25">
      <c r="A91" s="8"/>
      <c r="B91" s="8"/>
      <c r="C91" s="8"/>
      <c r="D91" s="8"/>
      <c r="E91" s="8"/>
      <c r="F91" s="8"/>
      <c r="G91" s="8"/>
      <c r="H91" s="8"/>
      <c r="I91" s="13"/>
      <c r="J91" s="13"/>
      <c r="K91" s="13"/>
      <c r="L91" s="13"/>
      <c r="M91" s="13"/>
      <c r="N91" s="13"/>
      <c r="O91" s="13"/>
      <c r="P91" s="13"/>
      <c r="Q91" s="14" t="str">
        <f t="shared" si="3"/>
        <v/>
      </c>
      <c r="R91" s="14" t="str">
        <f t="shared" si="4"/>
        <v/>
      </c>
      <c r="S91" s="10"/>
      <c r="T91" s="8"/>
      <c r="U91" s="8"/>
      <c r="V91" s="9" t="str">
        <f t="shared" si="5"/>
        <v/>
      </c>
      <c r="W91" s="8"/>
      <c r="X91" s="10"/>
      <c r="Y91" s="8"/>
    </row>
    <row r="92" spans="1:25">
      <c r="A92" s="8"/>
      <c r="B92" s="8"/>
      <c r="C92" s="8"/>
      <c r="D92" s="8"/>
      <c r="E92" s="8"/>
      <c r="F92" s="8"/>
      <c r="G92" s="8"/>
      <c r="H92" s="8"/>
      <c r="I92" s="13"/>
      <c r="J92" s="13"/>
      <c r="K92" s="13"/>
      <c r="L92" s="13"/>
      <c r="M92" s="13"/>
      <c r="N92" s="13"/>
      <c r="O92" s="13"/>
      <c r="P92" s="13"/>
      <c r="Q92" s="14" t="str">
        <f t="shared" si="3"/>
        <v/>
      </c>
      <c r="R92" s="14" t="str">
        <f t="shared" si="4"/>
        <v/>
      </c>
      <c r="S92" s="10"/>
      <c r="T92" s="8"/>
      <c r="U92" s="8"/>
      <c r="V92" s="9" t="str">
        <f t="shared" si="5"/>
        <v/>
      </c>
      <c r="W92" s="8"/>
      <c r="X92" s="10"/>
      <c r="Y92" s="8"/>
    </row>
    <row r="93" spans="1:25">
      <c r="A93" s="8"/>
      <c r="B93" s="8"/>
      <c r="C93" s="8"/>
      <c r="D93" s="8"/>
      <c r="E93" s="8"/>
      <c r="F93" s="8"/>
      <c r="G93" s="8"/>
      <c r="H93" s="8"/>
      <c r="I93" s="13"/>
      <c r="J93" s="13"/>
      <c r="K93" s="13"/>
      <c r="L93" s="13"/>
      <c r="M93" s="13"/>
      <c r="N93" s="13"/>
      <c r="O93" s="13"/>
      <c r="P93" s="13"/>
      <c r="Q93" s="14" t="str">
        <f t="shared" si="3"/>
        <v/>
      </c>
      <c r="R93" s="14" t="str">
        <f t="shared" si="4"/>
        <v/>
      </c>
      <c r="S93" s="10"/>
      <c r="T93" s="8"/>
      <c r="U93" s="8"/>
      <c r="V93" s="9" t="str">
        <f t="shared" si="5"/>
        <v/>
      </c>
      <c r="W93" s="8"/>
      <c r="X93" s="10"/>
      <c r="Y93" s="8"/>
    </row>
    <row r="94" spans="1:25">
      <c r="A94" s="8"/>
      <c r="B94" s="8"/>
      <c r="C94" s="8"/>
      <c r="D94" s="8"/>
      <c r="E94" s="8"/>
      <c r="F94" s="8"/>
      <c r="G94" s="8"/>
      <c r="H94" s="8"/>
      <c r="I94" s="13"/>
      <c r="J94" s="13"/>
      <c r="K94" s="13"/>
      <c r="L94" s="13"/>
      <c r="M94" s="13"/>
      <c r="N94" s="13"/>
      <c r="O94" s="13"/>
      <c r="P94" s="13"/>
      <c r="Q94" s="14" t="str">
        <f t="shared" si="3"/>
        <v/>
      </c>
      <c r="R94" s="14" t="str">
        <f t="shared" si="4"/>
        <v/>
      </c>
      <c r="S94" s="10"/>
      <c r="T94" s="8"/>
      <c r="U94" s="8"/>
      <c r="V94" s="9" t="str">
        <f t="shared" si="5"/>
        <v/>
      </c>
      <c r="W94" s="8"/>
      <c r="X94" s="10"/>
      <c r="Y94" s="8"/>
    </row>
    <row r="95" spans="1:25">
      <c r="A95" s="8"/>
      <c r="B95" s="8"/>
      <c r="C95" s="8"/>
      <c r="D95" s="8"/>
      <c r="E95" s="8"/>
      <c r="F95" s="8"/>
      <c r="G95" s="8"/>
      <c r="H95" s="8"/>
      <c r="I95" s="13"/>
      <c r="J95" s="13"/>
      <c r="K95" s="13"/>
      <c r="L95" s="13"/>
      <c r="M95" s="13"/>
      <c r="N95" s="13"/>
      <c r="O95" s="13"/>
      <c r="P95" s="13"/>
      <c r="Q95" s="14" t="str">
        <f t="shared" si="3"/>
        <v/>
      </c>
      <c r="R95" s="14" t="str">
        <f t="shared" si="4"/>
        <v/>
      </c>
      <c r="S95" s="10"/>
      <c r="T95" s="8"/>
      <c r="U95" s="8"/>
      <c r="V95" s="9" t="str">
        <f t="shared" si="5"/>
        <v/>
      </c>
      <c r="W95" s="8"/>
      <c r="X95" s="10"/>
      <c r="Y95" s="8"/>
    </row>
    <row r="96" spans="1:25">
      <c r="A96" s="8"/>
      <c r="B96" s="8"/>
      <c r="C96" s="8"/>
      <c r="D96" s="8"/>
      <c r="E96" s="8"/>
      <c r="F96" s="8"/>
      <c r="G96" s="8"/>
      <c r="H96" s="8"/>
      <c r="I96" s="13"/>
      <c r="J96" s="13"/>
      <c r="K96" s="13"/>
      <c r="L96" s="13"/>
      <c r="M96" s="13"/>
      <c r="N96" s="13"/>
      <c r="O96" s="13"/>
      <c r="P96" s="13"/>
      <c r="Q96" s="14" t="str">
        <f t="shared" si="3"/>
        <v/>
      </c>
      <c r="R96" s="14" t="str">
        <f t="shared" si="4"/>
        <v/>
      </c>
      <c r="S96" s="10"/>
      <c r="T96" s="8"/>
      <c r="U96" s="8"/>
      <c r="V96" s="9" t="str">
        <f t="shared" si="5"/>
        <v/>
      </c>
      <c r="W96" s="8"/>
      <c r="X96" s="10"/>
      <c r="Y96" s="8"/>
    </row>
    <row r="97" spans="1:25">
      <c r="A97" s="8"/>
      <c r="B97" s="8"/>
      <c r="C97" s="8"/>
      <c r="D97" s="8"/>
      <c r="E97" s="8"/>
      <c r="F97" s="8"/>
      <c r="G97" s="8"/>
      <c r="H97" s="8"/>
      <c r="I97" s="13"/>
      <c r="J97" s="13"/>
      <c r="K97" s="13"/>
      <c r="L97" s="13"/>
      <c r="M97" s="13"/>
      <c r="N97" s="13"/>
      <c r="O97" s="13"/>
      <c r="P97" s="13"/>
      <c r="Q97" s="14" t="str">
        <f t="shared" si="3"/>
        <v/>
      </c>
      <c r="R97" s="14" t="str">
        <f t="shared" si="4"/>
        <v/>
      </c>
      <c r="S97" s="10"/>
      <c r="T97" s="8"/>
      <c r="U97" s="8"/>
      <c r="V97" s="9" t="str">
        <f t="shared" si="5"/>
        <v/>
      </c>
      <c r="W97" s="8"/>
      <c r="X97" s="10"/>
      <c r="Y97" s="8"/>
    </row>
    <row r="98" spans="1:25">
      <c r="A98" s="8"/>
      <c r="B98" s="8"/>
      <c r="C98" s="8"/>
      <c r="D98" s="8"/>
      <c r="E98" s="8"/>
      <c r="F98" s="8"/>
      <c r="G98" s="8"/>
      <c r="H98" s="8"/>
      <c r="I98" s="13"/>
      <c r="J98" s="13"/>
      <c r="K98" s="13"/>
      <c r="L98" s="13"/>
      <c r="M98" s="13"/>
      <c r="N98" s="13"/>
      <c r="O98" s="13"/>
      <c r="P98" s="13"/>
      <c r="Q98" s="14" t="str">
        <f t="shared" si="3"/>
        <v/>
      </c>
      <c r="R98" s="14" t="str">
        <f t="shared" si="4"/>
        <v/>
      </c>
      <c r="S98" s="10"/>
      <c r="T98" s="8"/>
      <c r="U98" s="8"/>
      <c r="V98" s="9" t="str">
        <f t="shared" si="5"/>
        <v/>
      </c>
      <c r="W98" s="8"/>
      <c r="X98" s="10"/>
      <c r="Y98" s="8"/>
    </row>
    <row r="99" spans="1:25">
      <c r="A99" s="8"/>
      <c r="B99" s="8"/>
      <c r="C99" s="8"/>
      <c r="D99" s="8"/>
      <c r="E99" s="8"/>
      <c r="F99" s="8"/>
      <c r="G99" s="8"/>
      <c r="H99" s="8"/>
      <c r="I99" s="13"/>
      <c r="J99" s="13"/>
      <c r="K99" s="13"/>
      <c r="L99" s="13"/>
      <c r="M99" s="13"/>
      <c r="N99" s="13"/>
      <c r="O99" s="13"/>
      <c r="P99" s="13"/>
      <c r="Q99" s="14" t="str">
        <f t="shared" si="3"/>
        <v/>
      </c>
      <c r="R99" s="14" t="str">
        <f t="shared" si="4"/>
        <v/>
      </c>
      <c r="S99" s="10"/>
      <c r="T99" s="8"/>
      <c r="U99" s="8"/>
      <c r="V99" s="9" t="str">
        <f t="shared" si="5"/>
        <v/>
      </c>
      <c r="W99" s="8"/>
      <c r="X99" s="10"/>
      <c r="Y99" s="8"/>
    </row>
    <row r="100" spans="1:25">
      <c r="A100" s="8"/>
      <c r="B100" s="8"/>
      <c r="C100" s="8"/>
      <c r="D100" s="8"/>
      <c r="E100" s="8"/>
      <c r="F100" s="8"/>
      <c r="G100" s="8"/>
      <c r="H100" s="8"/>
      <c r="I100" s="13"/>
      <c r="J100" s="13"/>
      <c r="K100" s="13"/>
      <c r="L100" s="13"/>
      <c r="M100" s="13"/>
      <c r="N100" s="13"/>
      <c r="O100" s="13"/>
      <c r="P100" s="13"/>
      <c r="Q100" s="14" t="str">
        <f t="shared" si="3"/>
        <v/>
      </c>
      <c r="R100" s="14" t="str">
        <f t="shared" si="4"/>
        <v/>
      </c>
      <c r="S100" s="10"/>
      <c r="T100" s="8"/>
      <c r="U100" s="8"/>
      <c r="V100" s="9" t="str">
        <f t="shared" si="5"/>
        <v/>
      </c>
      <c r="W100" s="8"/>
      <c r="X100" s="10"/>
      <c r="Y100" s="8"/>
    </row>
    <row r="101" spans="1:25">
      <c r="A101" s="8"/>
      <c r="B101" s="8"/>
      <c r="C101" s="8"/>
      <c r="D101" s="8"/>
      <c r="E101" s="8"/>
      <c r="F101" s="8"/>
      <c r="G101" s="8"/>
      <c r="H101" s="8"/>
      <c r="I101" s="13"/>
      <c r="J101" s="13"/>
      <c r="K101" s="13"/>
      <c r="L101" s="13"/>
      <c r="M101" s="13"/>
      <c r="N101" s="13"/>
      <c r="O101" s="13"/>
      <c r="P101" s="13"/>
      <c r="Q101" s="14" t="str">
        <f t="shared" si="3"/>
        <v/>
      </c>
      <c r="R101" s="14" t="str">
        <f t="shared" si="4"/>
        <v/>
      </c>
      <c r="S101" s="10"/>
      <c r="T101" s="8"/>
      <c r="U101" s="8"/>
      <c r="V101" s="9" t="str">
        <f t="shared" si="5"/>
        <v/>
      </c>
      <c r="W101" s="8"/>
      <c r="X101" s="10"/>
      <c r="Y101" s="8"/>
    </row>
    <row r="102" spans="1:25">
      <c r="A102" s="8"/>
      <c r="B102" s="8"/>
      <c r="C102" s="8"/>
      <c r="D102" s="8"/>
      <c r="E102" s="8"/>
      <c r="F102" s="8"/>
      <c r="G102" s="8"/>
      <c r="H102" s="8"/>
      <c r="I102" s="13"/>
      <c r="J102" s="13"/>
      <c r="K102" s="13"/>
      <c r="L102" s="13"/>
      <c r="M102" s="13"/>
      <c r="N102" s="13"/>
      <c r="O102" s="13"/>
      <c r="P102" s="13"/>
      <c r="Q102" s="14" t="str">
        <f t="shared" si="3"/>
        <v/>
      </c>
      <c r="R102" s="14" t="str">
        <f t="shared" si="4"/>
        <v/>
      </c>
      <c r="S102" s="10"/>
      <c r="T102" s="8"/>
      <c r="U102" s="8"/>
      <c r="V102" s="9" t="str">
        <f t="shared" si="5"/>
        <v/>
      </c>
      <c r="W102" s="8"/>
      <c r="X102" s="10"/>
      <c r="Y102" s="8"/>
    </row>
    <row r="103" spans="1:25">
      <c r="A103" s="8"/>
      <c r="B103" s="8"/>
      <c r="C103" s="8"/>
      <c r="D103" s="8"/>
      <c r="E103" s="8"/>
      <c r="F103" s="8"/>
      <c r="G103" s="8"/>
      <c r="H103" s="8"/>
      <c r="I103" s="13"/>
      <c r="J103" s="13"/>
      <c r="K103" s="13"/>
      <c r="L103" s="13"/>
      <c r="M103" s="13"/>
      <c r="N103" s="13"/>
      <c r="O103" s="13"/>
      <c r="P103" s="13"/>
      <c r="Q103" s="14" t="str">
        <f t="shared" si="3"/>
        <v/>
      </c>
      <c r="R103" s="14" t="str">
        <f t="shared" si="4"/>
        <v/>
      </c>
      <c r="S103" s="10"/>
      <c r="T103" s="8"/>
      <c r="U103" s="8"/>
      <c r="V103" s="9" t="str">
        <f t="shared" si="5"/>
        <v/>
      </c>
      <c r="W103" s="8"/>
      <c r="X103" s="10"/>
      <c r="Y103" s="8"/>
    </row>
    <row r="104" spans="1:25">
      <c r="A104" s="8"/>
      <c r="B104" s="8"/>
      <c r="C104" s="8"/>
      <c r="D104" s="8"/>
      <c r="E104" s="8"/>
      <c r="F104" s="8"/>
      <c r="G104" s="8"/>
      <c r="H104" s="8"/>
      <c r="I104" s="13"/>
      <c r="J104" s="13"/>
      <c r="K104" s="13"/>
      <c r="L104" s="13"/>
      <c r="M104" s="13"/>
      <c r="N104" s="13"/>
      <c r="O104" s="13"/>
      <c r="P104" s="13"/>
      <c r="Q104" s="14" t="str">
        <f t="shared" si="3"/>
        <v/>
      </c>
      <c r="R104" s="14" t="str">
        <f t="shared" si="4"/>
        <v/>
      </c>
      <c r="S104" s="10"/>
      <c r="T104" s="8"/>
      <c r="U104" s="8"/>
      <c r="V104" s="9" t="str">
        <f t="shared" si="5"/>
        <v/>
      </c>
      <c r="W104" s="8"/>
      <c r="X104" s="10"/>
      <c r="Y104" s="8"/>
    </row>
    <row r="105" spans="1:25">
      <c r="A105" s="8"/>
      <c r="B105" s="8"/>
      <c r="C105" s="8"/>
      <c r="D105" s="8"/>
      <c r="E105" s="8"/>
      <c r="F105" s="8"/>
      <c r="G105" s="8"/>
      <c r="H105" s="8"/>
      <c r="I105" s="13"/>
      <c r="J105" s="13"/>
      <c r="K105" s="13"/>
      <c r="L105" s="13"/>
      <c r="M105" s="13"/>
      <c r="N105" s="13"/>
      <c r="O105" s="13"/>
      <c r="P105" s="13"/>
      <c r="Q105" s="14" t="str">
        <f t="shared" si="3"/>
        <v/>
      </c>
      <c r="R105" s="14" t="str">
        <f t="shared" si="4"/>
        <v/>
      </c>
      <c r="S105" s="10"/>
      <c r="T105" s="8"/>
      <c r="U105" s="8"/>
      <c r="V105" s="9" t="str">
        <f t="shared" si="5"/>
        <v/>
      </c>
      <c r="W105" s="8"/>
      <c r="X105" s="10"/>
      <c r="Y105" s="8"/>
    </row>
    <row r="106" spans="1:25">
      <c r="A106" s="8"/>
      <c r="B106" s="8"/>
      <c r="C106" s="8"/>
      <c r="D106" s="8"/>
      <c r="E106" s="8"/>
      <c r="F106" s="8"/>
      <c r="G106" s="8"/>
      <c r="H106" s="8"/>
      <c r="I106" s="13"/>
      <c r="J106" s="13"/>
      <c r="K106" s="13"/>
      <c r="L106" s="13"/>
      <c r="M106" s="13"/>
      <c r="N106" s="13"/>
      <c r="O106" s="13"/>
      <c r="P106" s="13"/>
      <c r="Q106" s="14" t="str">
        <f t="shared" si="3"/>
        <v/>
      </c>
      <c r="R106" s="14" t="str">
        <f t="shared" si="4"/>
        <v/>
      </c>
      <c r="S106" s="10"/>
      <c r="T106" s="8"/>
      <c r="U106" s="8"/>
      <c r="V106" s="9" t="str">
        <f t="shared" si="5"/>
        <v/>
      </c>
      <c r="W106" s="8"/>
      <c r="X106" s="10"/>
      <c r="Y106" s="8"/>
    </row>
    <row r="107" spans="1:25">
      <c r="A107" s="8"/>
      <c r="B107" s="8"/>
      <c r="C107" s="8"/>
      <c r="D107" s="8"/>
      <c r="E107" s="8"/>
      <c r="F107" s="8"/>
      <c r="G107" s="8"/>
      <c r="H107" s="8"/>
      <c r="I107" s="13"/>
      <c r="J107" s="13"/>
      <c r="K107" s="13"/>
      <c r="L107" s="13"/>
      <c r="M107" s="13"/>
      <c r="N107" s="13"/>
      <c r="O107" s="13"/>
      <c r="P107" s="13"/>
      <c r="Q107" s="14" t="str">
        <f t="shared" si="3"/>
        <v/>
      </c>
      <c r="R107" s="14" t="str">
        <f t="shared" si="4"/>
        <v/>
      </c>
      <c r="S107" s="10"/>
      <c r="T107" s="8"/>
      <c r="U107" s="8"/>
      <c r="V107" s="9" t="str">
        <f t="shared" si="5"/>
        <v/>
      </c>
      <c r="W107" s="8"/>
      <c r="X107" s="10"/>
      <c r="Y107" s="8"/>
    </row>
    <row r="108" spans="1:25">
      <c r="A108" s="8"/>
      <c r="B108" s="8"/>
      <c r="C108" s="8"/>
      <c r="D108" s="8"/>
      <c r="E108" s="8"/>
      <c r="F108" s="8"/>
      <c r="G108" s="8"/>
      <c r="H108" s="8"/>
      <c r="I108" s="13"/>
      <c r="J108" s="13"/>
      <c r="K108" s="13"/>
      <c r="L108" s="13"/>
      <c r="M108" s="13"/>
      <c r="N108" s="13"/>
      <c r="O108" s="13"/>
      <c r="P108" s="13"/>
      <c r="Q108" s="14" t="str">
        <f t="shared" si="3"/>
        <v/>
      </c>
      <c r="R108" s="14" t="str">
        <f t="shared" si="4"/>
        <v/>
      </c>
      <c r="S108" s="10"/>
      <c r="T108" s="8"/>
      <c r="U108" s="8"/>
      <c r="V108" s="9" t="str">
        <f t="shared" si="5"/>
        <v/>
      </c>
      <c r="W108" s="8"/>
      <c r="X108" s="10"/>
      <c r="Y108" s="8"/>
    </row>
    <row r="109" spans="1:25">
      <c r="A109" s="8"/>
      <c r="B109" s="8"/>
      <c r="C109" s="8"/>
      <c r="D109" s="8"/>
      <c r="E109" s="8"/>
      <c r="F109" s="8"/>
      <c r="G109" s="8"/>
      <c r="H109" s="8"/>
      <c r="I109" s="13"/>
      <c r="J109" s="13"/>
      <c r="K109" s="13"/>
      <c r="L109" s="13"/>
      <c r="M109" s="13"/>
      <c r="N109" s="13"/>
      <c r="O109" s="13"/>
      <c r="P109" s="13"/>
      <c r="Q109" s="14" t="str">
        <f t="shared" si="3"/>
        <v/>
      </c>
      <c r="R109" s="14" t="str">
        <f t="shared" si="4"/>
        <v/>
      </c>
      <c r="S109" s="10"/>
      <c r="T109" s="8"/>
      <c r="U109" s="8"/>
      <c r="V109" s="9" t="str">
        <f t="shared" si="5"/>
        <v/>
      </c>
      <c r="W109" s="8"/>
      <c r="X109" s="10"/>
      <c r="Y109" s="8"/>
    </row>
    <row r="110" spans="1:25">
      <c r="A110" s="8"/>
      <c r="B110" s="8"/>
      <c r="C110" s="8"/>
      <c r="D110" s="8"/>
      <c r="E110" s="8"/>
      <c r="F110" s="8"/>
      <c r="G110" s="8"/>
      <c r="H110" s="8"/>
      <c r="I110" s="13"/>
      <c r="J110" s="13"/>
      <c r="K110" s="13"/>
      <c r="L110" s="13"/>
      <c r="M110" s="13"/>
      <c r="N110" s="13"/>
      <c r="O110" s="13"/>
      <c r="P110" s="13"/>
      <c r="Q110" s="14" t="str">
        <f t="shared" si="3"/>
        <v/>
      </c>
      <c r="R110" s="14" t="str">
        <f t="shared" si="4"/>
        <v/>
      </c>
      <c r="S110" s="10"/>
      <c r="T110" s="8"/>
      <c r="U110" s="8"/>
      <c r="V110" s="9" t="str">
        <f t="shared" si="5"/>
        <v/>
      </c>
      <c r="W110" s="8"/>
      <c r="X110" s="10"/>
      <c r="Y110" s="8"/>
    </row>
    <row r="111" spans="1:25">
      <c r="A111" s="8"/>
      <c r="B111" s="8"/>
      <c r="C111" s="8"/>
      <c r="D111" s="8"/>
      <c r="E111" s="8"/>
      <c r="F111" s="8"/>
      <c r="G111" s="8"/>
      <c r="H111" s="8"/>
      <c r="I111" s="13"/>
      <c r="J111" s="13"/>
      <c r="K111" s="13"/>
      <c r="L111" s="13"/>
      <c r="M111" s="13"/>
      <c r="N111" s="13"/>
      <c r="O111" s="13"/>
      <c r="P111" s="13"/>
      <c r="Q111" s="14" t="str">
        <f t="shared" si="3"/>
        <v/>
      </c>
      <c r="R111" s="14" t="str">
        <f t="shared" si="4"/>
        <v/>
      </c>
      <c r="S111" s="10"/>
      <c r="T111" s="8"/>
      <c r="U111" s="8"/>
      <c r="V111" s="9" t="str">
        <f t="shared" si="5"/>
        <v/>
      </c>
      <c r="W111" s="8"/>
      <c r="X111" s="10"/>
      <c r="Y111" s="8"/>
    </row>
    <row r="112" spans="1:25">
      <c r="A112" s="8"/>
      <c r="B112" s="8"/>
      <c r="C112" s="8"/>
      <c r="D112" s="8"/>
      <c r="E112" s="8"/>
      <c r="F112" s="8"/>
      <c r="G112" s="8"/>
      <c r="H112" s="8"/>
      <c r="I112" s="13"/>
      <c r="J112" s="13"/>
      <c r="K112" s="13"/>
      <c r="L112" s="13"/>
      <c r="M112" s="13"/>
      <c r="N112" s="13"/>
      <c r="O112" s="13"/>
      <c r="P112" s="13"/>
      <c r="Q112" s="14" t="str">
        <f t="shared" si="3"/>
        <v/>
      </c>
      <c r="R112" s="14" t="str">
        <f t="shared" si="4"/>
        <v/>
      </c>
      <c r="S112" s="10"/>
      <c r="T112" s="8"/>
      <c r="U112" s="8"/>
      <c r="V112" s="9" t="str">
        <f t="shared" si="5"/>
        <v/>
      </c>
      <c r="W112" s="8"/>
      <c r="X112" s="10"/>
      <c r="Y112" s="8"/>
    </row>
    <row r="113" spans="1:25">
      <c r="A113" s="8"/>
      <c r="B113" s="8"/>
      <c r="C113" s="8"/>
      <c r="D113" s="8"/>
      <c r="E113" s="8"/>
      <c r="F113" s="8"/>
      <c r="G113" s="8"/>
      <c r="H113" s="8"/>
      <c r="I113" s="13"/>
      <c r="J113" s="13"/>
      <c r="K113" s="13"/>
      <c r="L113" s="13"/>
      <c r="M113" s="13"/>
      <c r="N113" s="13"/>
      <c r="O113" s="13"/>
      <c r="P113" s="13"/>
      <c r="Q113" s="14" t="str">
        <f t="shared" si="3"/>
        <v/>
      </c>
      <c r="R113" s="14" t="str">
        <f t="shared" si="4"/>
        <v/>
      </c>
      <c r="S113" s="10"/>
      <c r="T113" s="8"/>
      <c r="U113" s="8"/>
      <c r="V113" s="9" t="str">
        <f t="shared" si="5"/>
        <v/>
      </c>
      <c r="W113" s="8"/>
      <c r="X113" s="10"/>
      <c r="Y113" s="8"/>
    </row>
    <row r="114" spans="1:25">
      <c r="A114" s="8"/>
      <c r="B114" s="8"/>
      <c r="C114" s="8"/>
      <c r="D114" s="8"/>
      <c r="E114" s="8"/>
      <c r="F114" s="8"/>
      <c r="G114" s="8"/>
      <c r="H114" s="8"/>
      <c r="I114" s="13"/>
      <c r="J114" s="13"/>
      <c r="K114" s="13"/>
      <c r="L114" s="13"/>
      <c r="M114" s="13"/>
      <c r="N114" s="13"/>
      <c r="O114" s="13"/>
      <c r="P114" s="13"/>
      <c r="Q114" s="14" t="str">
        <f t="shared" si="3"/>
        <v/>
      </c>
      <c r="R114" s="14" t="str">
        <f t="shared" si="4"/>
        <v/>
      </c>
      <c r="S114" s="10"/>
      <c r="T114" s="8"/>
      <c r="U114" s="8"/>
      <c r="V114" s="9" t="str">
        <f t="shared" si="5"/>
        <v/>
      </c>
      <c r="W114" s="8"/>
      <c r="X114" s="10"/>
      <c r="Y114" s="8"/>
    </row>
    <row r="115" spans="1:25">
      <c r="A115" s="8"/>
      <c r="B115" s="8"/>
      <c r="C115" s="8"/>
      <c r="D115" s="8"/>
      <c r="E115" s="8"/>
      <c r="F115" s="8"/>
      <c r="G115" s="8"/>
      <c r="H115" s="8"/>
      <c r="I115" s="13"/>
      <c r="J115" s="13"/>
      <c r="K115" s="13"/>
      <c r="L115" s="13"/>
      <c r="M115" s="13"/>
      <c r="N115" s="13"/>
      <c r="O115" s="13"/>
      <c r="P115" s="13"/>
      <c r="Q115" s="14" t="str">
        <f t="shared" si="3"/>
        <v/>
      </c>
      <c r="R115" s="14" t="str">
        <f t="shared" si="4"/>
        <v/>
      </c>
      <c r="S115" s="10"/>
      <c r="T115" s="8"/>
      <c r="U115" s="8"/>
      <c r="V115" s="9" t="str">
        <f t="shared" si="5"/>
        <v/>
      </c>
      <c r="W115" s="8"/>
      <c r="X115" s="10"/>
      <c r="Y115" s="8"/>
    </row>
    <row r="116" spans="1:25">
      <c r="A116" s="8"/>
      <c r="B116" s="8"/>
      <c r="C116" s="8"/>
      <c r="D116" s="8"/>
      <c r="E116" s="8"/>
      <c r="F116" s="8"/>
      <c r="G116" s="8"/>
      <c r="H116" s="8"/>
      <c r="I116" s="13"/>
      <c r="J116" s="13"/>
      <c r="K116" s="13"/>
      <c r="L116" s="13"/>
      <c r="M116" s="13"/>
      <c r="N116" s="13"/>
      <c r="O116" s="13"/>
      <c r="P116" s="13"/>
      <c r="Q116" s="14" t="str">
        <f t="shared" si="3"/>
        <v/>
      </c>
      <c r="R116" s="14" t="str">
        <f t="shared" si="4"/>
        <v/>
      </c>
      <c r="S116" s="10"/>
      <c r="T116" s="8"/>
      <c r="U116" s="8"/>
      <c r="V116" s="9" t="str">
        <f t="shared" si="5"/>
        <v/>
      </c>
      <c r="W116" s="8"/>
      <c r="X116" s="10"/>
      <c r="Y116" s="8"/>
    </row>
    <row r="117" spans="1:25">
      <c r="A117" s="8"/>
      <c r="B117" s="8"/>
      <c r="C117" s="8"/>
      <c r="D117" s="8"/>
      <c r="E117" s="8"/>
      <c r="F117" s="8"/>
      <c r="G117" s="8"/>
      <c r="H117" s="8"/>
      <c r="I117" s="13"/>
      <c r="J117" s="13"/>
      <c r="K117" s="13"/>
      <c r="L117" s="13"/>
      <c r="M117" s="13"/>
      <c r="N117" s="13"/>
      <c r="O117" s="13"/>
      <c r="P117" s="13"/>
      <c r="Q117" s="14" t="str">
        <f t="shared" si="3"/>
        <v/>
      </c>
      <c r="R117" s="14" t="str">
        <f t="shared" si="4"/>
        <v/>
      </c>
      <c r="S117" s="10"/>
      <c r="T117" s="8"/>
      <c r="U117" s="8"/>
      <c r="V117" s="9" t="str">
        <f t="shared" si="5"/>
        <v/>
      </c>
      <c r="W117" s="8"/>
      <c r="X117" s="10"/>
      <c r="Y117" s="8"/>
    </row>
    <row r="118" spans="1:25">
      <c r="A118" s="8"/>
      <c r="B118" s="8"/>
      <c r="C118" s="8"/>
      <c r="D118" s="8"/>
      <c r="E118" s="8"/>
      <c r="F118" s="8"/>
      <c r="G118" s="8"/>
      <c r="H118" s="8"/>
      <c r="I118" s="13"/>
      <c r="J118" s="13"/>
      <c r="K118" s="13"/>
      <c r="L118" s="13"/>
      <c r="M118" s="13"/>
      <c r="N118" s="13"/>
      <c r="O118" s="13"/>
      <c r="P118" s="13"/>
      <c r="Q118" s="14" t="str">
        <f t="shared" si="3"/>
        <v/>
      </c>
      <c r="R118" s="14" t="str">
        <f t="shared" si="4"/>
        <v/>
      </c>
      <c r="S118" s="10"/>
      <c r="T118" s="8"/>
      <c r="U118" s="8"/>
      <c r="V118" s="9" t="str">
        <f t="shared" si="5"/>
        <v/>
      </c>
      <c r="W118" s="8"/>
      <c r="X118" s="10"/>
      <c r="Y118" s="8"/>
    </row>
    <row r="119" spans="1:25">
      <c r="A119" s="8"/>
      <c r="B119" s="8"/>
      <c r="C119" s="8"/>
      <c r="D119" s="8"/>
      <c r="E119" s="8"/>
      <c r="F119" s="8"/>
      <c r="G119" s="8"/>
      <c r="H119" s="8"/>
      <c r="I119" s="13"/>
      <c r="J119" s="13"/>
      <c r="K119" s="13"/>
      <c r="L119" s="13"/>
      <c r="M119" s="13"/>
      <c r="N119" s="13"/>
      <c r="O119" s="13"/>
      <c r="P119" s="13"/>
      <c r="Q119" s="14" t="str">
        <f t="shared" si="3"/>
        <v/>
      </c>
      <c r="R119" s="14" t="str">
        <f t="shared" si="4"/>
        <v/>
      </c>
      <c r="S119" s="10"/>
      <c r="T119" s="8"/>
      <c r="U119" s="8"/>
      <c r="V119" s="9" t="str">
        <f t="shared" si="5"/>
        <v/>
      </c>
      <c r="W119" s="8"/>
      <c r="X119" s="10"/>
      <c r="Y119" s="8"/>
    </row>
    <row r="120" spans="1:25">
      <c r="A120" s="8"/>
      <c r="B120" s="8"/>
      <c r="C120" s="8"/>
      <c r="D120" s="8"/>
      <c r="E120" s="8"/>
      <c r="F120" s="8"/>
      <c r="G120" s="8"/>
      <c r="H120" s="8"/>
      <c r="I120" s="13"/>
      <c r="J120" s="13"/>
      <c r="K120" s="13"/>
      <c r="L120" s="13"/>
      <c r="M120" s="13"/>
      <c r="N120" s="13"/>
      <c r="O120" s="13"/>
      <c r="P120" s="13"/>
      <c r="Q120" s="14" t="str">
        <f t="shared" si="3"/>
        <v/>
      </c>
      <c r="R120" s="14" t="str">
        <f t="shared" si="4"/>
        <v/>
      </c>
      <c r="S120" s="10"/>
      <c r="T120" s="8"/>
      <c r="U120" s="8"/>
      <c r="V120" s="9" t="str">
        <f t="shared" si="5"/>
        <v/>
      </c>
      <c r="W120" s="8"/>
      <c r="X120" s="10"/>
      <c r="Y120" s="8"/>
    </row>
    <row r="121" spans="1:25">
      <c r="A121" s="8"/>
      <c r="B121" s="8"/>
      <c r="C121" s="8"/>
      <c r="D121" s="8"/>
      <c r="E121" s="8"/>
      <c r="F121" s="8"/>
      <c r="G121" s="8"/>
      <c r="H121" s="8"/>
      <c r="I121" s="13"/>
      <c r="J121" s="13"/>
      <c r="K121" s="13"/>
      <c r="L121" s="13"/>
      <c r="M121" s="13"/>
      <c r="N121" s="13"/>
      <c r="O121" s="13"/>
      <c r="P121" s="13"/>
      <c r="Q121" s="14" t="str">
        <f t="shared" si="3"/>
        <v/>
      </c>
      <c r="R121" s="14" t="str">
        <f t="shared" si="4"/>
        <v/>
      </c>
      <c r="S121" s="10"/>
      <c r="T121" s="8"/>
      <c r="U121" s="8"/>
      <c r="V121" s="9" t="str">
        <f t="shared" si="5"/>
        <v/>
      </c>
      <c r="W121" s="8"/>
      <c r="X121" s="10"/>
      <c r="Y121" s="8"/>
    </row>
    <row r="122" spans="1:25">
      <c r="A122" s="8"/>
      <c r="B122" s="8"/>
      <c r="C122" s="8"/>
      <c r="D122" s="8"/>
      <c r="E122" s="8"/>
      <c r="F122" s="8"/>
      <c r="G122" s="8"/>
      <c r="H122" s="8"/>
      <c r="I122" s="13"/>
      <c r="J122" s="13"/>
      <c r="K122" s="13"/>
      <c r="L122" s="13"/>
      <c r="M122" s="13"/>
      <c r="N122" s="13"/>
      <c r="O122" s="13"/>
      <c r="P122" s="13"/>
      <c r="Q122" s="14" t="str">
        <f t="shared" si="3"/>
        <v/>
      </c>
      <c r="R122" s="14" t="str">
        <f t="shared" si="4"/>
        <v/>
      </c>
      <c r="S122" s="10"/>
      <c r="T122" s="8"/>
      <c r="U122" s="8"/>
      <c r="V122" s="9" t="str">
        <f t="shared" si="5"/>
        <v/>
      </c>
      <c r="W122" s="8"/>
      <c r="X122" s="10"/>
      <c r="Y122" s="8"/>
    </row>
    <row r="123" spans="1:25">
      <c r="A123" s="8"/>
      <c r="B123" s="8"/>
      <c r="C123" s="8"/>
      <c r="D123" s="8"/>
      <c r="E123" s="8"/>
      <c r="F123" s="8"/>
      <c r="G123" s="8"/>
      <c r="H123" s="8"/>
      <c r="I123" s="13"/>
      <c r="J123" s="13"/>
      <c r="K123" s="13"/>
      <c r="L123" s="13"/>
      <c r="M123" s="13"/>
      <c r="N123" s="13"/>
      <c r="O123" s="13"/>
      <c r="P123" s="13"/>
      <c r="Q123" s="14" t="str">
        <f t="shared" si="3"/>
        <v/>
      </c>
      <c r="R123" s="14" t="str">
        <f t="shared" si="4"/>
        <v/>
      </c>
      <c r="S123" s="10"/>
      <c r="T123" s="8"/>
      <c r="U123" s="8"/>
      <c r="V123" s="9" t="str">
        <f t="shared" si="5"/>
        <v/>
      </c>
      <c r="W123" s="8"/>
      <c r="X123" s="10"/>
      <c r="Y123" s="8"/>
    </row>
    <row r="124" spans="1:25">
      <c r="A124" s="8"/>
      <c r="B124" s="8"/>
      <c r="C124" s="8"/>
      <c r="D124" s="8"/>
      <c r="E124" s="8"/>
      <c r="F124" s="8"/>
      <c r="G124" s="8"/>
      <c r="H124" s="8"/>
      <c r="I124" s="13"/>
      <c r="J124" s="13"/>
      <c r="K124" s="13"/>
      <c r="L124" s="13"/>
      <c r="M124" s="13"/>
      <c r="N124" s="13"/>
      <c r="O124" s="13"/>
      <c r="P124" s="13"/>
      <c r="Q124" s="14" t="str">
        <f t="shared" si="3"/>
        <v/>
      </c>
      <c r="R124" s="14" t="str">
        <f t="shared" si="4"/>
        <v/>
      </c>
      <c r="S124" s="10"/>
      <c r="T124" s="8"/>
      <c r="U124" s="8"/>
      <c r="V124" s="9" t="str">
        <f t="shared" si="5"/>
        <v/>
      </c>
      <c r="W124" s="8"/>
      <c r="X124" s="10"/>
      <c r="Y124" s="8"/>
    </row>
    <row r="125" spans="1:25">
      <c r="A125" s="8"/>
      <c r="B125" s="8"/>
      <c r="C125" s="8"/>
      <c r="D125" s="8"/>
      <c r="E125" s="8"/>
      <c r="F125" s="8"/>
      <c r="G125" s="8"/>
      <c r="H125" s="8"/>
      <c r="I125" s="13"/>
      <c r="J125" s="13"/>
      <c r="K125" s="13"/>
      <c r="L125" s="13"/>
      <c r="M125" s="13"/>
      <c r="N125" s="13"/>
      <c r="O125" s="13"/>
      <c r="P125" s="13"/>
      <c r="Q125" s="14" t="str">
        <f t="shared" si="3"/>
        <v/>
      </c>
      <c r="R125" s="14" t="str">
        <f t="shared" si="4"/>
        <v/>
      </c>
      <c r="S125" s="10"/>
      <c r="T125" s="8"/>
      <c r="U125" s="8"/>
      <c r="V125" s="9" t="str">
        <f t="shared" si="5"/>
        <v/>
      </c>
      <c r="W125" s="8"/>
      <c r="X125" s="10"/>
      <c r="Y125" s="8"/>
    </row>
    <row r="126" spans="1:25">
      <c r="A126" s="8"/>
      <c r="B126" s="8"/>
      <c r="C126" s="8"/>
      <c r="D126" s="8"/>
      <c r="E126" s="8"/>
      <c r="F126" s="8"/>
      <c r="G126" s="8"/>
      <c r="H126" s="8"/>
      <c r="I126" s="13"/>
      <c r="J126" s="13"/>
      <c r="K126" s="13"/>
      <c r="L126" s="13"/>
      <c r="M126" s="13"/>
      <c r="N126" s="13"/>
      <c r="O126" s="13"/>
      <c r="P126" s="13"/>
      <c r="Q126" s="14" t="str">
        <f t="shared" si="3"/>
        <v/>
      </c>
      <c r="R126" s="14" t="str">
        <f t="shared" si="4"/>
        <v/>
      </c>
      <c r="S126" s="10"/>
      <c r="T126" s="8"/>
      <c r="U126" s="8"/>
      <c r="V126" s="9" t="str">
        <f t="shared" si="5"/>
        <v/>
      </c>
      <c r="W126" s="8"/>
      <c r="X126" s="10"/>
      <c r="Y126" s="8"/>
    </row>
    <row r="127" spans="1:25">
      <c r="A127" s="8"/>
      <c r="B127" s="8"/>
      <c r="C127" s="8"/>
      <c r="D127" s="8"/>
      <c r="E127" s="8"/>
      <c r="F127" s="8"/>
      <c r="G127" s="8"/>
      <c r="H127" s="8"/>
      <c r="I127" s="13"/>
      <c r="J127" s="13"/>
      <c r="K127" s="13"/>
      <c r="L127" s="13"/>
      <c r="M127" s="13"/>
      <c r="N127" s="13"/>
      <c r="O127" s="13"/>
      <c r="P127" s="13"/>
      <c r="Q127" s="14" t="str">
        <f t="shared" si="3"/>
        <v/>
      </c>
      <c r="R127" s="14" t="str">
        <f t="shared" si="4"/>
        <v/>
      </c>
      <c r="S127" s="10"/>
      <c r="T127" s="8"/>
      <c r="U127" s="8"/>
      <c r="V127" s="9" t="str">
        <f t="shared" si="5"/>
        <v/>
      </c>
      <c r="W127" s="8"/>
      <c r="X127" s="10"/>
      <c r="Y127" s="8"/>
    </row>
    <row r="128" spans="1:25">
      <c r="A128" s="8"/>
      <c r="B128" s="8"/>
      <c r="C128" s="8"/>
      <c r="D128" s="8"/>
      <c r="E128" s="8"/>
      <c r="F128" s="8"/>
      <c r="G128" s="8"/>
      <c r="H128" s="8"/>
      <c r="I128" s="13"/>
      <c r="J128" s="13"/>
      <c r="K128" s="13"/>
      <c r="L128" s="13"/>
      <c r="M128" s="13"/>
      <c r="N128" s="13"/>
      <c r="O128" s="13"/>
      <c r="P128" s="13"/>
      <c r="Q128" s="14" t="str">
        <f t="shared" si="3"/>
        <v/>
      </c>
      <c r="R128" s="14" t="str">
        <f t="shared" si="4"/>
        <v/>
      </c>
      <c r="S128" s="10"/>
      <c r="T128" s="8"/>
      <c r="U128" s="8"/>
      <c r="V128" s="9" t="str">
        <f t="shared" si="5"/>
        <v/>
      </c>
      <c r="W128" s="8"/>
      <c r="X128" s="10"/>
      <c r="Y128" s="8"/>
    </row>
    <row r="129" spans="1:25">
      <c r="A129" s="8"/>
      <c r="B129" s="8"/>
      <c r="C129" s="8"/>
      <c r="D129" s="8"/>
      <c r="E129" s="8"/>
      <c r="F129" s="8"/>
      <c r="G129" s="8"/>
      <c r="H129" s="8"/>
      <c r="I129" s="13"/>
      <c r="J129" s="13"/>
      <c r="K129" s="13"/>
      <c r="L129" s="13"/>
      <c r="M129" s="13"/>
      <c r="N129" s="13"/>
      <c r="O129" s="13"/>
      <c r="P129" s="13"/>
      <c r="Q129" s="14" t="str">
        <f t="shared" si="3"/>
        <v/>
      </c>
      <c r="R129" s="14" t="str">
        <f t="shared" si="4"/>
        <v/>
      </c>
      <c r="S129" s="10"/>
      <c r="T129" s="8"/>
      <c r="U129" s="8"/>
      <c r="V129" s="9" t="str">
        <f t="shared" si="5"/>
        <v/>
      </c>
      <c r="W129" s="8"/>
      <c r="X129" s="10"/>
      <c r="Y129" s="8"/>
    </row>
    <row r="130" spans="1:25">
      <c r="A130" s="8"/>
      <c r="B130" s="8"/>
      <c r="C130" s="8"/>
      <c r="D130" s="8"/>
      <c r="E130" s="8"/>
      <c r="F130" s="8"/>
      <c r="G130" s="8"/>
      <c r="H130" s="8"/>
      <c r="I130" s="13"/>
      <c r="J130" s="13"/>
      <c r="K130" s="13"/>
      <c r="L130" s="13"/>
      <c r="M130" s="13"/>
      <c r="N130" s="13"/>
      <c r="O130" s="13"/>
      <c r="P130" s="13"/>
      <c r="Q130" s="14" t="str">
        <f t="shared" si="3"/>
        <v/>
      </c>
      <c r="R130" s="14" t="str">
        <f t="shared" si="4"/>
        <v/>
      </c>
      <c r="S130" s="10"/>
      <c r="T130" s="8"/>
      <c r="U130" s="8"/>
      <c r="V130" s="9" t="str">
        <f t="shared" si="5"/>
        <v/>
      </c>
      <c r="W130" s="8"/>
      <c r="X130" s="10"/>
      <c r="Y130" s="8"/>
    </row>
    <row r="131" spans="1:25">
      <c r="A131" s="8"/>
      <c r="B131" s="8"/>
      <c r="C131" s="8"/>
      <c r="D131" s="8"/>
      <c r="E131" s="8"/>
      <c r="F131" s="8"/>
      <c r="G131" s="8"/>
      <c r="H131" s="8"/>
      <c r="I131" s="13"/>
      <c r="J131" s="13"/>
      <c r="K131" s="13"/>
      <c r="L131" s="13"/>
      <c r="M131" s="13"/>
      <c r="N131" s="13"/>
      <c r="O131" s="13"/>
      <c r="P131" s="13"/>
      <c r="Q131" s="14" t="str">
        <f t="shared" si="3"/>
        <v/>
      </c>
      <c r="R131" s="14" t="str">
        <f t="shared" si="4"/>
        <v/>
      </c>
      <c r="S131" s="10"/>
      <c r="T131" s="8"/>
      <c r="U131" s="8"/>
      <c r="V131" s="9" t="str">
        <f t="shared" si="5"/>
        <v/>
      </c>
      <c r="W131" s="8"/>
      <c r="X131" s="10"/>
      <c r="Y131" s="8"/>
    </row>
    <row r="132" spans="1:25">
      <c r="A132" s="8"/>
      <c r="B132" s="8"/>
      <c r="C132" s="8"/>
      <c r="D132" s="8"/>
      <c r="E132" s="8"/>
      <c r="F132" s="8"/>
      <c r="G132" s="8"/>
      <c r="H132" s="8"/>
      <c r="I132" s="13"/>
      <c r="J132" s="13"/>
      <c r="K132" s="13"/>
      <c r="L132" s="13"/>
      <c r="M132" s="13"/>
      <c r="N132" s="13"/>
      <c r="O132" s="13"/>
      <c r="P132" s="13"/>
      <c r="Q132" s="14" t="str">
        <f t="shared" si="3"/>
        <v/>
      </c>
      <c r="R132" s="14" t="str">
        <f t="shared" si="4"/>
        <v/>
      </c>
      <c r="S132" s="10"/>
      <c r="T132" s="8"/>
      <c r="U132" s="8"/>
      <c r="V132" s="9" t="str">
        <f t="shared" si="5"/>
        <v/>
      </c>
      <c r="W132" s="8"/>
      <c r="X132" s="10"/>
      <c r="Y132" s="8"/>
    </row>
    <row r="133" spans="1:25">
      <c r="A133" s="8"/>
      <c r="B133" s="8"/>
      <c r="C133" s="8"/>
      <c r="D133" s="8"/>
      <c r="E133" s="8"/>
      <c r="F133" s="8"/>
      <c r="G133" s="8"/>
      <c r="H133" s="8"/>
      <c r="I133" s="13"/>
      <c r="J133" s="13"/>
      <c r="K133" s="13"/>
      <c r="L133" s="13"/>
      <c r="M133" s="13"/>
      <c r="N133" s="13"/>
      <c r="O133" s="13"/>
      <c r="P133" s="13"/>
      <c r="Q133" s="14" t="str">
        <f t="shared" ref="Q133:Q196" si="6">IF(A133="","",MAX(0,M133-O133-P133))</f>
        <v/>
      </c>
      <c r="R133" s="14" t="str">
        <f t="shared" ref="R133:R196" si="7">IF(A133="","",MAX(0,J133-M133))</f>
        <v/>
      </c>
      <c r="S133" s="10"/>
      <c r="T133" s="8"/>
      <c r="U133" s="8"/>
      <c r="V133" s="9" t="str">
        <f t="shared" ref="V133:V196" si="8">IF(A133="","",IF(R133&gt;0,"Shortage",IF(Q133&gt;=J133,"Ready",IF(Q133&gt;0,"Partially Ready","Pending"))))</f>
        <v/>
      </c>
      <c r="W133" s="8"/>
      <c r="X133" s="10"/>
      <c r="Y133" s="8"/>
    </row>
    <row r="134" spans="1:25">
      <c r="A134" s="8"/>
      <c r="B134" s="8"/>
      <c r="C134" s="8"/>
      <c r="D134" s="8"/>
      <c r="E134" s="8"/>
      <c r="F134" s="8"/>
      <c r="G134" s="8"/>
      <c r="H134" s="8"/>
      <c r="I134" s="13"/>
      <c r="J134" s="13"/>
      <c r="K134" s="13"/>
      <c r="L134" s="13"/>
      <c r="M134" s="13"/>
      <c r="N134" s="13"/>
      <c r="O134" s="13"/>
      <c r="P134" s="13"/>
      <c r="Q134" s="14" t="str">
        <f t="shared" si="6"/>
        <v/>
      </c>
      <c r="R134" s="14" t="str">
        <f t="shared" si="7"/>
        <v/>
      </c>
      <c r="S134" s="10"/>
      <c r="T134" s="8"/>
      <c r="U134" s="8"/>
      <c r="V134" s="9" t="str">
        <f t="shared" si="8"/>
        <v/>
      </c>
      <c r="W134" s="8"/>
      <c r="X134" s="10"/>
      <c r="Y134" s="8"/>
    </row>
    <row r="135" spans="1:25">
      <c r="A135" s="8"/>
      <c r="B135" s="8"/>
      <c r="C135" s="8"/>
      <c r="D135" s="8"/>
      <c r="E135" s="8"/>
      <c r="F135" s="8"/>
      <c r="G135" s="8"/>
      <c r="H135" s="8"/>
      <c r="I135" s="13"/>
      <c r="J135" s="13"/>
      <c r="K135" s="13"/>
      <c r="L135" s="13"/>
      <c r="M135" s="13"/>
      <c r="N135" s="13"/>
      <c r="O135" s="13"/>
      <c r="P135" s="13"/>
      <c r="Q135" s="14" t="str">
        <f t="shared" si="6"/>
        <v/>
      </c>
      <c r="R135" s="14" t="str">
        <f t="shared" si="7"/>
        <v/>
      </c>
      <c r="S135" s="10"/>
      <c r="T135" s="8"/>
      <c r="U135" s="8"/>
      <c r="V135" s="9" t="str">
        <f t="shared" si="8"/>
        <v/>
      </c>
      <c r="W135" s="8"/>
      <c r="X135" s="10"/>
      <c r="Y135" s="8"/>
    </row>
    <row r="136" spans="1:25">
      <c r="A136" s="8"/>
      <c r="B136" s="8"/>
      <c r="C136" s="8"/>
      <c r="D136" s="8"/>
      <c r="E136" s="8"/>
      <c r="F136" s="8"/>
      <c r="G136" s="8"/>
      <c r="H136" s="8"/>
      <c r="I136" s="13"/>
      <c r="J136" s="13"/>
      <c r="K136" s="13"/>
      <c r="L136" s="13"/>
      <c r="M136" s="13"/>
      <c r="N136" s="13"/>
      <c r="O136" s="13"/>
      <c r="P136" s="13"/>
      <c r="Q136" s="14" t="str">
        <f t="shared" si="6"/>
        <v/>
      </c>
      <c r="R136" s="14" t="str">
        <f t="shared" si="7"/>
        <v/>
      </c>
      <c r="S136" s="10"/>
      <c r="T136" s="8"/>
      <c r="U136" s="8"/>
      <c r="V136" s="9" t="str">
        <f t="shared" si="8"/>
        <v/>
      </c>
      <c r="W136" s="8"/>
      <c r="X136" s="10"/>
      <c r="Y136" s="8"/>
    </row>
    <row r="137" spans="1:25">
      <c r="A137" s="8"/>
      <c r="B137" s="8"/>
      <c r="C137" s="8"/>
      <c r="D137" s="8"/>
      <c r="E137" s="8"/>
      <c r="F137" s="8"/>
      <c r="G137" s="8"/>
      <c r="H137" s="8"/>
      <c r="I137" s="13"/>
      <c r="J137" s="13"/>
      <c r="K137" s="13"/>
      <c r="L137" s="13"/>
      <c r="M137" s="13"/>
      <c r="N137" s="13"/>
      <c r="O137" s="13"/>
      <c r="P137" s="13"/>
      <c r="Q137" s="14" t="str">
        <f t="shared" si="6"/>
        <v/>
      </c>
      <c r="R137" s="14" t="str">
        <f t="shared" si="7"/>
        <v/>
      </c>
      <c r="S137" s="10"/>
      <c r="T137" s="8"/>
      <c r="U137" s="8"/>
      <c r="V137" s="9" t="str">
        <f t="shared" si="8"/>
        <v/>
      </c>
      <c r="W137" s="8"/>
      <c r="X137" s="10"/>
      <c r="Y137" s="8"/>
    </row>
    <row r="138" spans="1:25">
      <c r="A138" s="8"/>
      <c r="B138" s="8"/>
      <c r="C138" s="8"/>
      <c r="D138" s="8"/>
      <c r="E138" s="8"/>
      <c r="F138" s="8"/>
      <c r="G138" s="8"/>
      <c r="H138" s="8"/>
      <c r="I138" s="13"/>
      <c r="J138" s="13"/>
      <c r="K138" s="13"/>
      <c r="L138" s="13"/>
      <c r="M138" s="13"/>
      <c r="N138" s="13"/>
      <c r="O138" s="13"/>
      <c r="P138" s="13"/>
      <c r="Q138" s="14" t="str">
        <f t="shared" si="6"/>
        <v/>
      </c>
      <c r="R138" s="14" t="str">
        <f t="shared" si="7"/>
        <v/>
      </c>
      <c r="S138" s="10"/>
      <c r="T138" s="8"/>
      <c r="U138" s="8"/>
      <c r="V138" s="9" t="str">
        <f t="shared" si="8"/>
        <v/>
      </c>
      <c r="W138" s="8"/>
      <c r="X138" s="10"/>
      <c r="Y138" s="8"/>
    </row>
    <row r="139" spans="1:25">
      <c r="A139" s="8"/>
      <c r="B139" s="8"/>
      <c r="C139" s="8"/>
      <c r="D139" s="8"/>
      <c r="E139" s="8"/>
      <c r="F139" s="8"/>
      <c r="G139" s="8"/>
      <c r="H139" s="8"/>
      <c r="I139" s="13"/>
      <c r="J139" s="13"/>
      <c r="K139" s="13"/>
      <c r="L139" s="13"/>
      <c r="M139" s="13"/>
      <c r="N139" s="13"/>
      <c r="O139" s="13"/>
      <c r="P139" s="13"/>
      <c r="Q139" s="14" t="str">
        <f t="shared" si="6"/>
        <v/>
      </c>
      <c r="R139" s="14" t="str">
        <f t="shared" si="7"/>
        <v/>
      </c>
      <c r="S139" s="10"/>
      <c r="T139" s="8"/>
      <c r="U139" s="8"/>
      <c r="V139" s="9" t="str">
        <f t="shared" si="8"/>
        <v/>
      </c>
      <c r="W139" s="8"/>
      <c r="X139" s="10"/>
      <c r="Y139" s="8"/>
    </row>
    <row r="140" spans="1:25">
      <c r="A140" s="8"/>
      <c r="B140" s="8"/>
      <c r="C140" s="8"/>
      <c r="D140" s="8"/>
      <c r="E140" s="8"/>
      <c r="F140" s="8"/>
      <c r="G140" s="8"/>
      <c r="H140" s="8"/>
      <c r="I140" s="13"/>
      <c r="J140" s="13"/>
      <c r="K140" s="13"/>
      <c r="L140" s="13"/>
      <c r="M140" s="13"/>
      <c r="N140" s="13"/>
      <c r="O140" s="13"/>
      <c r="P140" s="13"/>
      <c r="Q140" s="14" t="str">
        <f t="shared" si="6"/>
        <v/>
      </c>
      <c r="R140" s="14" t="str">
        <f t="shared" si="7"/>
        <v/>
      </c>
      <c r="S140" s="10"/>
      <c r="T140" s="8"/>
      <c r="U140" s="8"/>
      <c r="V140" s="9" t="str">
        <f t="shared" si="8"/>
        <v/>
      </c>
      <c r="W140" s="8"/>
      <c r="X140" s="10"/>
      <c r="Y140" s="8"/>
    </row>
    <row r="141" spans="1:25">
      <c r="A141" s="8"/>
      <c r="B141" s="8"/>
      <c r="C141" s="8"/>
      <c r="D141" s="8"/>
      <c r="E141" s="8"/>
      <c r="F141" s="8"/>
      <c r="G141" s="8"/>
      <c r="H141" s="8"/>
      <c r="I141" s="13"/>
      <c r="J141" s="13"/>
      <c r="K141" s="13"/>
      <c r="L141" s="13"/>
      <c r="M141" s="13"/>
      <c r="N141" s="13"/>
      <c r="O141" s="13"/>
      <c r="P141" s="13"/>
      <c r="Q141" s="14" t="str">
        <f t="shared" si="6"/>
        <v/>
      </c>
      <c r="R141" s="14" t="str">
        <f t="shared" si="7"/>
        <v/>
      </c>
      <c r="S141" s="10"/>
      <c r="T141" s="8"/>
      <c r="U141" s="8"/>
      <c r="V141" s="9" t="str">
        <f t="shared" si="8"/>
        <v/>
      </c>
      <c r="W141" s="8"/>
      <c r="X141" s="10"/>
      <c r="Y141" s="8"/>
    </row>
    <row r="142" spans="1:25">
      <c r="A142" s="8"/>
      <c r="B142" s="8"/>
      <c r="C142" s="8"/>
      <c r="D142" s="8"/>
      <c r="E142" s="8"/>
      <c r="F142" s="8"/>
      <c r="G142" s="8"/>
      <c r="H142" s="8"/>
      <c r="I142" s="13"/>
      <c r="J142" s="13"/>
      <c r="K142" s="13"/>
      <c r="L142" s="13"/>
      <c r="M142" s="13"/>
      <c r="N142" s="13"/>
      <c r="O142" s="13"/>
      <c r="P142" s="13"/>
      <c r="Q142" s="14" t="str">
        <f t="shared" si="6"/>
        <v/>
      </c>
      <c r="R142" s="14" t="str">
        <f t="shared" si="7"/>
        <v/>
      </c>
      <c r="S142" s="10"/>
      <c r="T142" s="8"/>
      <c r="U142" s="8"/>
      <c r="V142" s="9" t="str">
        <f t="shared" si="8"/>
        <v/>
      </c>
      <c r="W142" s="8"/>
      <c r="X142" s="10"/>
      <c r="Y142" s="8"/>
    </row>
    <row r="143" spans="1:25">
      <c r="A143" s="8"/>
      <c r="B143" s="8"/>
      <c r="C143" s="8"/>
      <c r="D143" s="8"/>
      <c r="E143" s="8"/>
      <c r="F143" s="8"/>
      <c r="G143" s="8"/>
      <c r="H143" s="8"/>
      <c r="I143" s="13"/>
      <c r="J143" s="13"/>
      <c r="K143" s="13"/>
      <c r="L143" s="13"/>
      <c r="M143" s="13"/>
      <c r="N143" s="13"/>
      <c r="O143" s="13"/>
      <c r="P143" s="13"/>
      <c r="Q143" s="14" t="str">
        <f t="shared" si="6"/>
        <v/>
      </c>
      <c r="R143" s="14" t="str">
        <f t="shared" si="7"/>
        <v/>
      </c>
      <c r="S143" s="10"/>
      <c r="T143" s="8"/>
      <c r="U143" s="8"/>
      <c r="V143" s="9" t="str">
        <f t="shared" si="8"/>
        <v/>
      </c>
      <c r="W143" s="8"/>
      <c r="X143" s="10"/>
      <c r="Y143" s="8"/>
    </row>
    <row r="144" spans="1:25">
      <c r="A144" s="8"/>
      <c r="B144" s="8"/>
      <c r="C144" s="8"/>
      <c r="D144" s="8"/>
      <c r="E144" s="8"/>
      <c r="F144" s="8"/>
      <c r="G144" s="8"/>
      <c r="H144" s="8"/>
      <c r="I144" s="13"/>
      <c r="J144" s="13"/>
      <c r="K144" s="13"/>
      <c r="L144" s="13"/>
      <c r="M144" s="13"/>
      <c r="N144" s="13"/>
      <c r="O144" s="13"/>
      <c r="P144" s="13"/>
      <c r="Q144" s="14" t="str">
        <f t="shared" si="6"/>
        <v/>
      </c>
      <c r="R144" s="14" t="str">
        <f t="shared" si="7"/>
        <v/>
      </c>
      <c r="S144" s="10"/>
      <c r="T144" s="8"/>
      <c r="U144" s="8"/>
      <c r="V144" s="9" t="str">
        <f t="shared" si="8"/>
        <v/>
      </c>
      <c r="W144" s="8"/>
      <c r="X144" s="10"/>
      <c r="Y144" s="8"/>
    </row>
    <row r="145" spans="1:25">
      <c r="A145" s="8"/>
      <c r="B145" s="8"/>
      <c r="C145" s="8"/>
      <c r="D145" s="8"/>
      <c r="E145" s="8"/>
      <c r="F145" s="8"/>
      <c r="G145" s="8"/>
      <c r="H145" s="8"/>
      <c r="I145" s="13"/>
      <c r="J145" s="13"/>
      <c r="K145" s="13"/>
      <c r="L145" s="13"/>
      <c r="M145" s="13"/>
      <c r="N145" s="13"/>
      <c r="O145" s="13"/>
      <c r="P145" s="13"/>
      <c r="Q145" s="14" t="str">
        <f t="shared" si="6"/>
        <v/>
      </c>
      <c r="R145" s="14" t="str">
        <f t="shared" si="7"/>
        <v/>
      </c>
      <c r="S145" s="10"/>
      <c r="T145" s="8"/>
      <c r="U145" s="8"/>
      <c r="V145" s="9" t="str">
        <f t="shared" si="8"/>
        <v/>
      </c>
      <c r="W145" s="8"/>
      <c r="X145" s="10"/>
      <c r="Y145" s="8"/>
    </row>
    <row r="146" spans="1:25">
      <c r="A146" s="8"/>
      <c r="B146" s="8"/>
      <c r="C146" s="8"/>
      <c r="D146" s="8"/>
      <c r="E146" s="8"/>
      <c r="F146" s="8"/>
      <c r="G146" s="8"/>
      <c r="H146" s="8"/>
      <c r="I146" s="13"/>
      <c r="J146" s="13"/>
      <c r="K146" s="13"/>
      <c r="L146" s="13"/>
      <c r="M146" s="13"/>
      <c r="N146" s="13"/>
      <c r="O146" s="13"/>
      <c r="P146" s="13"/>
      <c r="Q146" s="14" t="str">
        <f t="shared" si="6"/>
        <v/>
      </c>
      <c r="R146" s="14" t="str">
        <f t="shared" si="7"/>
        <v/>
      </c>
      <c r="S146" s="10"/>
      <c r="T146" s="8"/>
      <c r="U146" s="8"/>
      <c r="V146" s="9" t="str">
        <f t="shared" si="8"/>
        <v/>
      </c>
      <c r="W146" s="8"/>
      <c r="X146" s="10"/>
      <c r="Y146" s="8"/>
    </row>
    <row r="147" spans="1:25">
      <c r="A147" s="8"/>
      <c r="B147" s="8"/>
      <c r="C147" s="8"/>
      <c r="D147" s="8"/>
      <c r="E147" s="8"/>
      <c r="F147" s="8"/>
      <c r="G147" s="8"/>
      <c r="H147" s="8"/>
      <c r="I147" s="13"/>
      <c r="J147" s="13"/>
      <c r="K147" s="13"/>
      <c r="L147" s="13"/>
      <c r="M147" s="13"/>
      <c r="N147" s="13"/>
      <c r="O147" s="13"/>
      <c r="P147" s="13"/>
      <c r="Q147" s="14" t="str">
        <f t="shared" si="6"/>
        <v/>
      </c>
      <c r="R147" s="14" t="str">
        <f t="shared" si="7"/>
        <v/>
      </c>
      <c r="S147" s="10"/>
      <c r="T147" s="8"/>
      <c r="U147" s="8"/>
      <c r="V147" s="9" t="str">
        <f t="shared" si="8"/>
        <v/>
      </c>
      <c r="W147" s="8"/>
      <c r="X147" s="10"/>
      <c r="Y147" s="8"/>
    </row>
    <row r="148" spans="1:25">
      <c r="A148" s="8"/>
      <c r="B148" s="8"/>
      <c r="C148" s="8"/>
      <c r="D148" s="8"/>
      <c r="E148" s="8"/>
      <c r="F148" s="8"/>
      <c r="G148" s="8"/>
      <c r="H148" s="8"/>
      <c r="I148" s="13"/>
      <c r="J148" s="13"/>
      <c r="K148" s="13"/>
      <c r="L148" s="13"/>
      <c r="M148" s="13"/>
      <c r="N148" s="13"/>
      <c r="O148" s="13"/>
      <c r="P148" s="13"/>
      <c r="Q148" s="14" t="str">
        <f t="shared" si="6"/>
        <v/>
      </c>
      <c r="R148" s="14" t="str">
        <f t="shared" si="7"/>
        <v/>
      </c>
      <c r="S148" s="10"/>
      <c r="T148" s="8"/>
      <c r="U148" s="8"/>
      <c r="V148" s="9" t="str">
        <f t="shared" si="8"/>
        <v/>
      </c>
      <c r="W148" s="8"/>
      <c r="X148" s="10"/>
      <c r="Y148" s="8"/>
    </row>
    <row r="149" spans="1:25">
      <c r="A149" s="8"/>
      <c r="B149" s="8"/>
      <c r="C149" s="8"/>
      <c r="D149" s="8"/>
      <c r="E149" s="8"/>
      <c r="F149" s="8"/>
      <c r="G149" s="8"/>
      <c r="H149" s="8"/>
      <c r="I149" s="13"/>
      <c r="J149" s="13"/>
      <c r="K149" s="13"/>
      <c r="L149" s="13"/>
      <c r="M149" s="13"/>
      <c r="N149" s="13"/>
      <c r="O149" s="13"/>
      <c r="P149" s="13"/>
      <c r="Q149" s="14" t="str">
        <f t="shared" si="6"/>
        <v/>
      </c>
      <c r="R149" s="14" t="str">
        <f t="shared" si="7"/>
        <v/>
      </c>
      <c r="S149" s="10"/>
      <c r="T149" s="8"/>
      <c r="U149" s="8"/>
      <c r="V149" s="9" t="str">
        <f t="shared" si="8"/>
        <v/>
      </c>
      <c r="W149" s="8"/>
      <c r="X149" s="10"/>
      <c r="Y149" s="8"/>
    </row>
    <row r="150" spans="1:25">
      <c r="A150" s="8"/>
      <c r="B150" s="8"/>
      <c r="C150" s="8"/>
      <c r="D150" s="8"/>
      <c r="E150" s="8"/>
      <c r="F150" s="8"/>
      <c r="G150" s="8"/>
      <c r="H150" s="8"/>
      <c r="I150" s="13"/>
      <c r="J150" s="13"/>
      <c r="K150" s="13"/>
      <c r="L150" s="13"/>
      <c r="M150" s="13"/>
      <c r="N150" s="13"/>
      <c r="O150" s="13"/>
      <c r="P150" s="13"/>
      <c r="Q150" s="14" t="str">
        <f t="shared" si="6"/>
        <v/>
      </c>
      <c r="R150" s="14" t="str">
        <f t="shared" si="7"/>
        <v/>
      </c>
      <c r="S150" s="10"/>
      <c r="T150" s="8"/>
      <c r="U150" s="8"/>
      <c r="V150" s="9" t="str">
        <f t="shared" si="8"/>
        <v/>
      </c>
      <c r="W150" s="8"/>
      <c r="X150" s="10"/>
      <c r="Y150" s="8"/>
    </row>
    <row r="151" spans="1:25">
      <c r="A151" s="8"/>
      <c r="B151" s="8"/>
      <c r="C151" s="8"/>
      <c r="D151" s="8"/>
      <c r="E151" s="8"/>
      <c r="F151" s="8"/>
      <c r="G151" s="8"/>
      <c r="H151" s="8"/>
      <c r="I151" s="13"/>
      <c r="J151" s="13"/>
      <c r="K151" s="13"/>
      <c r="L151" s="13"/>
      <c r="M151" s="13"/>
      <c r="N151" s="13"/>
      <c r="O151" s="13"/>
      <c r="P151" s="13"/>
      <c r="Q151" s="14" t="str">
        <f t="shared" si="6"/>
        <v/>
      </c>
      <c r="R151" s="14" t="str">
        <f t="shared" si="7"/>
        <v/>
      </c>
      <c r="S151" s="10"/>
      <c r="T151" s="8"/>
      <c r="U151" s="8"/>
      <c r="V151" s="9" t="str">
        <f t="shared" si="8"/>
        <v/>
      </c>
      <c r="W151" s="8"/>
      <c r="X151" s="10"/>
      <c r="Y151" s="8"/>
    </row>
    <row r="152" spans="1:25">
      <c r="A152" s="8"/>
      <c r="B152" s="8"/>
      <c r="C152" s="8"/>
      <c r="D152" s="8"/>
      <c r="E152" s="8"/>
      <c r="F152" s="8"/>
      <c r="G152" s="8"/>
      <c r="H152" s="8"/>
      <c r="I152" s="13"/>
      <c r="J152" s="13"/>
      <c r="K152" s="13"/>
      <c r="L152" s="13"/>
      <c r="M152" s="13"/>
      <c r="N152" s="13"/>
      <c r="O152" s="13"/>
      <c r="P152" s="13"/>
      <c r="Q152" s="14" t="str">
        <f t="shared" si="6"/>
        <v/>
      </c>
      <c r="R152" s="14" t="str">
        <f t="shared" si="7"/>
        <v/>
      </c>
      <c r="S152" s="10"/>
      <c r="T152" s="8"/>
      <c r="U152" s="8"/>
      <c r="V152" s="9" t="str">
        <f t="shared" si="8"/>
        <v/>
      </c>
      <c r="W152" s="8"/>
      <c r="X152" s="10"/>
      <c r="Y152" s="8"/>
    </row>
    <row r="153" spans="1:25">
      <c r="A153" s="8"/>
      <c r="B153" s="8"/>
      <c r="C153" s="8"/>
      <c r="D153" s="8"/>
      <c r="E153" s="8"/>
      <c r="F153" s="8"/>
      <c r="G153" s="8"/>
      <c r="H153" s="8"/>
      <c r="I153" s="13"/>
      <c r="J153" s="13"/>
      <c r="K153" s="13"/>
      <c r="L153" s="13"/>
      <c r="M153" s="13"/>
      <c r="N153" s="13"/>
      <c r="O153" s="13"/>
      <c r="P153" s="13"/>
      <c r="Q153" s="14" t="str">
        <f t="shared" si="6"/>
        <v/>
      </c>
      <c r="R153" s="14" t="str">
        <f t="shared" si="7"/>
        <v/>
      </c>
      <c r="S153" s="10"/>
      <c r="T153" s="8"/>
      <c r="U153" s="8"/>
      <c r="V153" s="9" t="str">
        <f t="shared" si="8"/>
        <v/>
      </c>
      <c r="W153" s="8"/>
      <c r="X153" s="10"/>
      <c r="Y153" s="8"/>
    </row>
    <row r="154" spans="1:25">
      <c r="A154" s="8"/>
      <c r="B154" s="8"/>
      <c r="C154" s="8"/>
      <c r="D154" s="8"/>
      <c r="E154" s="8"/>
      <c r="F154" s="8"/>
      <c r="G154" s="8"/>
      <c r="H154" s="8"/>
      <c r="I154" s="13"/>
      <c r="J154" s="13"/>
      <c r="K154" s="13"/>
      <c r="L154" s="13"/>
      <c r="M154" s="13"/>
      <c r="N154" s="13"/>
      <c r="O154" s="13"/>
      <c r="P154" s="13"/>
      <c r="Q154" s="14" t="str">
        <f t="shared" si="6"/>
        <v/>
      </c>
      <c r="R154" s="14" t="str">
        <f t="shared" si="7"/>
        <v/>
      </c>
      <c r="S154" s="10"/>
      <c r="T154" s="8"/>
      <c r="U154" s="8"/>
      <c r="V154" s="9" t="str">
        <f t="shared" si="8"/>
        <v/>
      </c>
      <c r="W154" s="8"/>
      <c r="X154" s="10"/>
      <c r="Y154" s="8"/>
    </row>
    <row r="155" spans="1:25">
      <c r="A155" s="8"/>
      <c r="B155" s="8"/>
      <c r="C155" s="8"/>
      <c r="D155" s="8"/>
      <c r="E155" s="8"/>
      <c r="F155" s="8"/>
      <c r="G155" s="8"/>
      <c r="H155" s="8"/>
      <c r="I155" s="13"/>
      <c r="J155" s="13"/>
      <c r="K155" s="13"/>
      <c r="L155" s="13"/>
      <c r="M155" s="13"/>
      <c r="N155" s="13"/>
      <c r="O155" s="13"/>
      <c r="P155" s="13"/>
      <c r="Q155" s="14" t="str">
        <f t="shared" si="6"/>
        <v/>
      </c>
      <c r="R155" s="14" t="str">
        <f t="shared" si="7"/>
        <v/>
      </c>
      <c r="S155" s="10"/>
      <c r="T155" s="8"/>
      <c r="U155" s="8"/>
      <c r="V155" s="9" t="str">
        <f t="shared" si="8"/>
        <v/>
      </c>
      <c r="W155" s="8"/>
      <c r="X155" s="10"/>
      <c r="Y155" s="8"/>
    </row>
    <row r="156" spans="1:25">
      <c r="A156" s="8"/>
      <c r="B156" s="8"/>
      <c r="C156" s="8"/>
      <c r="D156" s="8"/>
      <c r="E156" s="8"/>
      <c r="F156" s="8"/>
      <c r="G156" s="8"/>
      <c r="H156" s="8"/>
      <c r="I156" s="13"/>
      <c r="J156" s="13"/>
      <c r="K156" s="13"/>
      <c r="L156" s="13"/>
      <c r="M156" s="13"/>
      <c r="N156" s="13"/>
      <c r="O156" s="13"/>
      <c r="P156" s="13"/>
      <c r="Q156" s="14" t="str">
        <f t="shared" si="6"/>
        <v/>
      </c>
      <c r="R156" s="14" t="str">
        <f t="shared" si="7"/>
        <v/>
      </c>
      <c r="S156" s="10"/>
      <c r="T156" s="8"/>
      <c r="U156" s="8"/>
      <c r="V156" s="9" t="str">
        <f t="shared" si="8"/>
        <v/>
      </c>
      <c r="W156" s="8"/>
      <c r="X156" s="10"/>
      <c r="Y156" s="8"/>
    </row>
    <row r="157" spans="1:25">
      <c r="A157" s="8"/>
      <c r="B157" s="8"/>
      <c r="C157" s="8"/>
      <c r="D157" s="8"/>
      <c r="E157" s="8"/>
      <c r="F157" s="8"/>
      <c r="G157" s="8"/>
      <c r="H157" s="8"/>
      <c r="I157" s="13"/>
      <c r="J157" s="13"/>
      <c r="K157" s="13"/>
      <c r="L157" s="13"/>
      <c r="M157" s="13"/>
      <c r="N157" s="13"/>
      <c r="O157" s="13"/>
      <c r="P157" s="13"/>
      <c r="Q157" s="14" t="str">
        <f t="shared" si="6"/>
        <v/>
      </c>
      <c r="R157" s="14" t="str">
        <f t="shared" si="7"/>
        <v/>
      </c>
      <c r="S157" s="10"/>
      <c r="T157" s="8"/>
      <c r="U157" s="8"/>
      <c r="V157" s="9" t="str">
        <f t="shared" si="8"/>
        <v/>
      </c>
      <c r="W157" s="8"/>
      <c r="X157" s="10"/>
      <c r="Y157" s="8"/>
    </row>
    <row r="158" spans="1:25">
      <c r="A158" s="8"/>
      <c r="B158" s="8"/>
      <c r="C158" s="8"/>
      <c r="D158" s="8"/>
      <c r="E158" s="8"/>
      <c r="F158" s="8"/>
      <c r="G158" s="8"/>
      <c r="H158" s="8"/>
      <c r="I158" s="13"/>
      <c r="J158" s="13"/>
      <c r="K158" s="13"/>
      <c r="L158" s="13"/>
      <c r="M158" s="13"/>
      <c r="N158" s="13"/>
      <c r="O158" s="13"/>
      <c r="P158" s="13"/>
      <c r="Q158" s="14" t="str">
        <f t="shared" si="6"/>
        <v/>
      </c>
      <c r="R158" s="14" t="str">
        <f t="shared" si="7"/>
        <v/>
      </c>
      <c r="S158" s="10"/>
      <c r="T158" s="8"/>
      <c r="U158" s="8"/>
      <c r="V158" s="9" t="str">
        <f t="shared" si="8"/>
        <v/>
      </c>
      <c r="W158" s="8"/>
      <c r="X158" s="10"/>
      <c r="Y158" s="8"/>
    </row>
    <row r="159" spans="1:25">
      <c r="A159" s="8"/>
      <c r="B159" s="8"/>
      <c r="C159" s="8"/>
      <c r="D159" s="8"/>
      <c r="E159" s="8"/>
      <c r="F159" s="8"/>
      <c r="G159" s="8"/>
      <c r="H159" s="8"/>
      <c r="I159" s="13"/>
      <c r="J159" s="13"/>
      <c r="K159" s="13"/>
      <c r="L159" s="13"/>
      <c r="M159" s="13"/>
      <c r="N159" s="13"/>
      <c r="O159" s="13"/>
      <c r="P159" s="13"/>
      <c r="Q159" s="14" t="str">
        <f t="shared" si="6"/>
        <v/>
      </c>
      <c r="R159" s="14" t="str">
        <f t="shared" si="7"/>
        <v/>
      </c>
      <c r="S159" s="10"/>
      <c r="T159" s="8"/>
      <c r="U159" s="8"/>
      <c r="V159" s="9" t="str">
        <f t="shared" si="8"/>
        <v/>
      </c>
      <c r="W159" s="8"/>
      <c r="X159" s="10"/>
      <c r="Y159" s="8"/>
    </row>
    <row r="160" spans="1:25">
      <c r="A160" s="8"/>
      <c r="B160" s="8"/>
      <c r="C160" s="8"/>
      <c r="D160" s="8"/>
      <c r="E160" s="8"/>
      <c r="F160" s="8"/>
      <c r="G160" s="8"/>
      <c r="H160" s="8"/>
      <c r="I160" s="13"/>
      <c r="J160" s="13"/>
      <c r="K160" s="13"/>
      <c r="L160" s="13"/>
      <c r="M160" s="13"/>
      <c r="N160" s="13"/>
      <c r="O160" s="13"/>
      <c r="P160" s="13"/>
      <c r="Q160" s="14" t="str">
        <f t="shared" si="6"/>
        <v/>
      </c>
      <c r="R160" s="14" t="str">
        <f t="shared" si="7"/>
        <v/>
      </c>
      <c r="S160" s="10"/>
      <c r="T160" s="8"/>
      <c r="U160" s="8"/>
      <c r="V160" s="9" t="str">
        <f t="shared" si="8"/>
        <v/>
      </c>
      <c r="W160" s="8"/>
      <c r="X160" s="10"/>
      <c r="Y160" s="8"/>
    </row>
    <row r="161" spans="1:25">
      <c r="A161" s="8"/>
      <c r="B161" s="8"/>
      <c r="C161" s="8"/>
      <c r="D161" s="8"/>
      <c r="E161" s="8"/>
      <c r="F161" s="8"/>
      <c r="G161" s="8"/>
      <c r="H161" s="8"/>
      <c r="I161" s="13"/>
      <c r="J161" s="13"/>
      <c r="K161" s="13"/>
      <c r="L161" s="13"/>
      <c r="M161" s="13"/>
      <c r="N161" s="13"/>
      <c r="O161" s="13"/>
      <c r="P161" s="13"/>
      <c r="Q161" s="14" t="str">
        <f t="shared" si="6"/>
        <v/>
      </c>
      <c r="R161" s="14" t="str">
        <f t="shared" si="7"/>
        <v/>
      </c>
      <c r="S161" s="10"/>
      <c r="T161" s="8"/>
      <c r="U161" s="8"/>
      <c r="V161" s="9" t="str">
        <f t="shared" si="8"/>
        <v/>
      </c>
      <c r="W161" s="8"/>
      <c r="X161" s="10"/>
      <c r="Y161" s="8"/>
    </row>
    <row r="162" spans="1:25">
      <c r="A162" s="8"/>
      <c r="B162" s="8"/>
      <c r="C162" s="8"/>
      <c r="D162" s="8"/>
      <c r="E162" s="8"/>
      <c r="F162" s="8"/>
      <c r="G162" s="8"/>
      <c r="H162" s="8"/>
      <c r="I162" s="13"/>
      <c r="J162" s="13"/>
      <c r="K162" s="13"/>
      <c r="L162" s="13"/>
      <c r="M162" s="13"/>
      <c r="N162" s="13"/>
      <c r="O162" s="13"/>
      <c r="P162" s="13"/>
      <c r="Q162" s="14" t="str">
        <f t="shared" si="6"/>
        <v/>
      </c>
      <c r="R162" s="14" t="str">
        <f t="shared" si="7"/>
        <v/>
      </c>
      <c r="S162" s="10"/>
      <c r="T162" s="8"/>
      <c r="U162" s="8"/>
      <c r="V162" s="9" t="str">
        <f t="shared" si="8"/>
        <v/>
      </c>
      <c r="W162" s="8"/>
      <c r="X162" s="10"/>
      <c r="Y162" s="8"/>
    </row>
    <row r="163" spans="1:25">
      <c r="A163" s="8"/>
      <c r="B163" s="8"/>
      <c r="C163" s="8"/>
      <c r="D163" s="8"/>
      <c r="E163" s="8"/>
      <c r="F163" s="8"/>
      <c r="G163" s="8"/>
      <c r="H163" s="8"/>
      <c r="I163" s="13"/>
      <c r="J163" s="13"/>
      <c r="K163" s="13"/>
      <c r="L163" s="13"/>
      <c r="M163" s="13"/>
      <c r="N163" s="13"/>
      <c r="O163" s="13"/>
      <c r="P163" s="13"/>
      <c r="Q163" s="14" t="str">
        <f t="shared" si="6"/>
        <v/>
      </c>
      <c r="R163" s="14" t="str">
        <f t="shared" si="7"/>
        <v/>
      </c>
      <c r="S163" s="10"/>
      <c r="T163" s="8"/>
      <c r="U163" s="8"/>
      <c r="V163" s="9" t="str">
        <f t="shared" si="8"/>
        <v/>
      </c>
      <c r="W163" s="8"/>
      <c r="X163" s="10"/>
      <c r="Y163" s="8"/>
    </row>
    <row r="164" spans="1:25">
      <c r="A164" s="8"/>
      <c r="B164" s="8"/>
      <c r="C164" s="8"/>
      <c r="D164" s="8"/>
      <c r="E164" s="8"/>
      <c r="F164" s="8"/>
      <c r="G164" s="8"/>
      <c r="H164" s="8"/>
      <c r="I164" s="13"/>
      <c r="J164" s="13"/>
      <c r="K164" s="13"/>
      <c r="L164" s="13"/>
      <c r="M164" s="13"/>
      <c r="N164" s="13"/>
      <c r="O164" s="13"/>
      <c r="P164" s="13"/>
      <c r="Q164" s="14" t="str">
        <f t="shared" si="6"/>
        <v/>
      </c>
      <c r="R164" s="14" t="str">
        <f t="shared" si="7"/>
        <v/>
      </c>
      <c r="S164" s="10"/>
      <c r="T164" s="8"/>
      <c r="U164" s="8"/>
      <c r="V164" s="9" t="str">
        <f t="shared" si="8"/>
        <v/>
      </c>
      <c r="W164" s="8"/>
      <c r="X164" s="10"/>
      <c r="Y164" s="8"/>
    </row>
    <row r="165" spans="1:25">
      <c r="A165" s="8"/>
      <c r="B165" s="8"/>
      <c r="C165" s="8"/>
      <c r="D165" s="8"/>
      <c r="E165" s="8"/>
      <c r="F165" s="8"/>
      <c r="G165" s="8"/>
      <c r="H165" s="8"/>
      <c r="I165" s="13"/>
      <c r="J165" s="13"/>
      <c r="K165" s="13"/>
      <c r="L165" s="13"/>
      <c r="M165" s="13"/>
      <c r="N165" s="13"/>
      <c r="O165" s="13"/>
      <c r="P165" s="13"/>
      <c r="Q165" s="14" t="str">
        <f t="shared" si="6"/>
        <v/>
      </c>
      <c r="R165" s="14" t="str">
        <f t="shared" si="7"/>
        <v/>
      </c>
      <c r="S165" s="10"/>
      <c r="T165" s="8"/>
      <c r="U165" s="8"/>
      <c r="V165" s="9" t="str">
        <f t="shared" si="8"/>
        <v/>
      </c>
      <c r="W165" s="8"/>
      <c r="X165" s="10"/>
      <c r="Y165" s="8"/>
    </row>
    <row r="166" spans="1:25">
      <c r="A166" s="8"/>
      <c r="B166" s="8"/>
      <c r="C166" s="8"/>
      <c r="D166" s="8"/>
      <c r="E166" s="8"/>
      <c r="F166" s="8"/>
      <c r="G166" s="8"/>
      <c r="H166" s="8"/>
      <c r="I166" s="13"/>
      <c r="J166" s="13"/>
      <c r="K166" s="13"/>
      <c r="L166" s="13"/>
      <c r="M166" s="13"/>
      <c r="N166" s="13"/>
      <c r="O166" s="13"/>
      <c r="P166" s="13"/>
      <c r="Q166" s="14" t="str">
        <f t="shared" si="6"/>
        <v/>
      </c>
      <c r="R166" s="14" t="str">
        <f t="shared" si="7"/>
        <v/>
      </c>
      <c r="S166" s="10"/>
      <c r="T166" s="8"/>
      <c r="U166" s="8"/>
      <c r="V166" s="9" t="str">
        <f t="shared" si="8"/>
        <v/>
      </c>
      <c r="W166" s="8"/>
      <c r="X166" s="10"/>
      <c r="Y166" s="8"/>
    </row>
    <row r="167" spans="1:25">
      <c r="A167" s="8"/>
      <c r="B167" s="8"/>
      <c r="C167" s="8"/>
      <c r="D167" s="8"/>
      <c r="E167" s="8"/>
      <c r="F167" s="8"/>
      <c r="G167" s="8"/>
      <c r="H167" s="8"/>
      <c r="I167" s="13"/>
      <c r="J167" s="13"/>
      <c r="K167" s="13"/>
      <c r="L167" s="13"/>
      <c r="M167" s="13"/>
      <c r="N167" s="13"/>
      <c r="O167" s="13"/>
      <c r="P167" s="13"/>
      <c r="Q167" s="14" t="str">
        <f t="shared" si="6"/>
        <v/>
      </c>
      <c r="R167" s="14" t="str">
        <f t="shared" si="7"/>
        <v/>
      </c>
      <c r="S167" s="10"/>
      <c r="T167" s="8"/>
      <c r="U167" s="8"/>
      <c r="V167" s="9" t="str">
        <f t="shared" si="8"/>
        <v/>
      </c>
      <c r="W167" s="8"/>
      <c r="X167" s="10"/>
      <c r="Y167" s="8"/>
    </row>
    <row r="168" spans="1:25">
      <c r="A168" s="8"/>
      <c r="B168" s="8"/>
      <c r="C168" s="8"/>
      <c r="D168" s="8"/>
      <c r="E168" s="8"/>
      <c r="F168" s="8"/>
      <c r="G168" s="8"/>
      <c r="H168" s="8"/>
      <c r="I168" s="13"/>
      <c r="J168" s="13"/>
      <c r="K168" s="13"/>
      <c r="L168" s="13"/>
      <c r="M168" s="13"/>
      <c r="N168" s="13"/>
      <c r="O168" s="13"/>
      <c r="P168" s="13"/>
      <c r="Q168" s="14" t="str">
        <f t="shared" si="6"/>
        <v/>
      </c>
      <c r="R168" s="14" t="str">
        <f t="shared" si="7"/>
        <v/>
      </c>
      <c r="S168" s="10"/>
      <c r="T168" s="8"/>
      <c r="U168" s="8"/>
      <c r="V168" s="9" t="str">
        <f t="shared" si="8"/>
        <v/>
      </c>
      <c r="W168" s="8"/>
      <c r="X168" s="10"/>
      <c r="Y168" s="8"/>
    </row>
    <row r="169" spans="1:25">
      <c r="A169" s="8"/>
      <c r="B169" s="8"/>
      <c r="C169" s="8"/>
      <c r="D169" s="8"/>
      <c r="E169" s="8"/>
      <c r="F169" s="8"/>
      <c r="G169" s="8"/>
      <c r="H169" s="8"/>
      <c r="I169" s="13"/>
      <c r="J169" s="13"/>
      <c r="K169" s="13"/>
      <c r="L169" s="13"/>
      <c r="M169" s="13"/>
      <c r="N169" s="13"/>
      <c r="O169" s="13"/>
      <c r="P169" s="13"/>
      <c r="Q169" s="14" t="str">
        <f t="shared" si="6"/>
        <v/>
      </c>
      <c r="R169" s="14" t="str">
        <f t="shared" si="7"/>
        <v/>
      </c>
      <c r="S169" s="10"/>
      <c r="T169" s="8"/>
      <c r="U169" s="8"/>
      <c r="V169" s="9" t="str">
        <f t="shared" si="8"/>
        <v/>
      </c>
      <c r="W169" s="8"/>
      <c r="X169" s="10"/>
      <c r="Y169" s="8"/>
    </row>
    <row r="170" spans="1:25">
      <c r="A170" s="8"/>
      <c r="B170" s="8"/>
      <c r="C170" s="8"/>
      <c r="D170" s="8"/>
      <c r="E170" s="8"/>
      <c r="F170" s="8"/>
      <c r="G170" s="8"/>
      <c r="H170" s="8"/>
      <c r="I170" s="13"/>
      <c r="J170" s="13"/>
      <c r="K170" s="13"/>
      <c r="L170" s="13"/>
      <c r="M170" s="13"/>
      <c r="N170" s="13"/>
      <c r="O170" s="13"/>
      <c r="P170" s="13"/>
      <c r="Q170" s="14" t="str">
        <f t="shared" si="6"/>
        <v/>
      </c>
      <c r="R170" s="14" t="str">
        <f t="shared" si="7"/>
        <v/>
      </c>
      <c r="S170" s="10"/>
      <c r="T170" s="8"/>
      <c r="U170" s="8"/>
      <c r="V170" s="9" t="str">
        <f t="shared" si="8"/>
        <v/>
      </c>
      <c r="W170" s="8"/>
      <c r="X170" s="10"/>
      <c r="Y170" s="8"/>
    </row>
    <row r="171" spans="1:25">
      <c r="A171" s="8"/>
      <c r="B171" s="8"/>
      <c r="C171" s="8"/>
      <c r="D171" s="8"/>
      <c r="E171" s="8"/>
      <c r="F171" s="8"/>
      <c r="G171" s="8"/>
      <c r="H171" s="8"/>
      <c r="I171" s="13"/>
      <c r="J171" s="13"/>
      <c r="K171" s="13"/>
      <c r="L171" s="13"/>
      <c r="M171" s="13"/>
      <c r="N171" s="13"/>
      <c r="O171" s="13"/>
      <c r="P171" s="13"/>
      <c r="Q171" s="14" t="str">
        <f t="shared" si="6"/>
        <v/>
      </c>
      <c r="R171" s="14" t="str">
        <f t="shared" si="7"/>
        <v/>
      </c>
      <c r="S171" s="10"/>
      <c r="T171" s="8"/>
      <c r="U171" s="8"/>
      <c r="V171" s="9" t="str">
        <f t="shared" si="8"/>
        <v/>
      </c>
      <c r="W171" s="8"/>
      <c r="X171" s="10"/>
      <c r="Y171" s="8"/>
    </row>
    <row r="172" spans="1:25">
      <c r="A172" s="8"/>
      <c r="B172" s="8"/>
      <c r="C172" s="8"/>
      <c r="D172" s="8"/>
      <c r="E172" s="8"/>
      <c r="F172" s="8"/>
      <c r="G172" s="8"/>
      <c r="H172" s="8"/>
      <c r="I172" s="13"/>
      <c r="J172" s="13"/>
      <c r="K172" s="13"/>
      <c r="L172" s="13"/>
      <c r="M172" s="13"/>
      <c r="N172" s="13"/>
      <c r="O172" s="13"/>
      <c r="P172" s="13"/>
      <c r="Q172" s="14" t="str">
        <f t="shared" si="6"/>
        <v/>
      </c>
      <c r="R172" s="14" t="str">
        <f t="shared" si="7"/>
        <v/>
      </c>
      <c r="S172" s="10"/>
      <c r="T172" s="8"/>
      <c r="U172" s="8"/>
      <c r="V172" s="9" t="str">
        <f t="shared" si="8"/>
        <v/>
      </c>
      <c r="W172" s="8"/>
      <c r="X172" s="10"/>
      <c r="Y172" s="8"/>
    </row>
    <row r="173" spans="1:25">
      <c r="A173" s="8"/>
      <c r="B173" s="8"/>
      <c r="C173" s="8"/>
      <c r="D173" s="8"/>
      <c r="E173" s="8"/>
      <c r="F173" s="8"/>
      <c r="G173" s="8"/>
      <c r="H173" s="8"/>
      <c r="I173" s="13"/>
      <c r="J173" s="13"/>
      <c r="K173" s="13"/>
      <c r="L173" s="13"/>
      <c r="M173" s="13"/>
      <c r="N173" s="13"/>
      <c r="O173" s="13"/>
      <c r="P173" s="13"/>
      <c r="Q173" s="14" t="str">
        <f t="shared" si="6"/>
        <v/>
      </c>
      <c r="R173" s="14" t="str">
        <f t="shared" si="7"/>
        <v/>
      </c>
      <c r="S173" s="10"/>
      <c r="T173" s="8"/>
      <c r="U173" s="8"/>
      <c r="V173" s="9" t="str">
        <f t="shared" si="8"/>
        <v/>
      </c>
      <c r="W173" s="8"/>
      <c r="X173" s="10"/>
      <c r="Y173" s="8"/>
    </row>
    <row r="174" spans="1:25">
      <c r="A174" s="8"/>
      <c r="B174" s="8"/>
      <c r="C174" s="8"/>
      <c r="D174" s="8"/>
      <c r="E174" s="8"/>
      <c r="F174" s="8"/>
      <c r="G174" s="8"/>
      <c r="H174" s="8"/>
      <c r="I174" s="13"/>
      <c r="J174" s="13"/>
      <c r="K174" s="13"/>
      <c r="L174" s="13"/>
      <c r="M174" s="13"/>
      <c r="N174" s="13"/>
      <c r="O174" s="13"/>
      <c r="P174" s="13"/>
      <c r="Q174" s="14" t="str">
        <f t="shared" si="6"/>
        <v/>
      </c>
      <c r="R174" s="14" t="str">
        <f t="shared" si="7"/>
        <v/>
      </c>
      <c r="S174" s="10"/>
      <c r="T174" s="8"/>
      <c r="U174" s="8"/>
      <c r="V174" s="9" t="str">
        <f t="shared" si="8"/>
        <v/>
      </c>
      <c r="W174" s="8"/>
      <c r="X174" s="10"/>
      <c r="Y174" s="8"/>
    </row>
    <row r="175" spans="1:25">
      <c r="A175" s="8"/>
      <c r="B175" s="8"/>
      <c r="C175" s="8"/>
      <c r="D175" s="8"/>
      <c r="E175" s="8"/>
      <c r="F175" s="8"/>
      <c r="G175" s="8"/>
      <c r="H175" s="8"/>
      <c r="I175" s="13"/>
      <c r="J175" s="13"/>
      <c r="K175" s="13"/>
      <c r="L175" s="13"/>
      <c r="M175" s="13"/>
      <c r="N175" s="13"/>
      <c r="O175" s="13"/>
      <c r="P175" s="13"/>
      <c r="Q175" s="14" t="str">
        <f t="shared" si="6"/>
        <v/>
      </c>
      <c r="R175" s="14" t="str">
        <f t="shared" si="7"/>
        <v/>
      </c>
      <c r="S175" s="10"/>
      <c r="T175" s="8"/>
      <c r="U175" s="8"/>
      <c r="V175" s="9" t="str">
        <f t="shared" si="8"/>
        <v/>
      </c>
      <c r="W175" s="8"/>
      <c r="X175" s="10"/>
      <c r="Y175" s="8"/>
    </row>
    <row r="176" spans="1:25">
      <c r="A176" s="8"/>
      <c r="B176" s="8"/>
      <c r="C176" s="8"/>
      <c r="D176" s="8"/>
      <c r="E176" s="8"/>
      <c r="F176" s="8"/>
      <c r="G176" s="8"/>
      <c r="H176" s="8"/>
      <c r="I176" s="13"/>
      <c r="J176" s="13"/>
      <c r="K176" s="13"/>
      <c r="L176" s="13"/>
      <c r="M176" s="13"/>
      <c r="N176" s="13"/>
      <c r="O176" s="13"/>
      <c r="P176" s="13"/>
      <c r="Q176" s="14" t="str">
        <f t="shared" si="6"/>
        <v/>
      </c>
      <c r="R176" s="14" t="str">
        <f t="shared" si="7"/>
        <v/>
      </c>
      <c r="S176" s="10"/>
      <c r="T176" s="8"/>
      <c r="U176" s="8"/>
      <c r="V176" s="9" t="str">
        <f t="shared" si="8"/>
        <v/>
      </c>
      <c r="W176" s="8"/>
      <c r="X176" s="10"/>
      <c r="Y176" s="8"/>
    </row>
    <row r="177" spans="1:25">
      <c r="A177" s="8"/>
      <c r="B177" s="8"/>
      <c r="C177" s="8"/>
      <c r="D177" s="8"/>
      <c r="E177" s="8"/>
      <c r="F177" s="8"/>
      <c r="G177" s="8"/>
      <c r="H177" s="8"/>
      <c r="I177" s="13"/>
      <c r="J177" s="13"/>
      <c r="K177" s="13"/>
      <c r="L177" s="13"/>
      <c r="M177" s="13"/>
      <c r="N177" s="13"/>
      <c r="O177" s="13"/>
      <c r="P177" s="13"/>
      <c r="Q177" s="14" t="str">
        <f t="shared" si="6"/>
        <v/>
      </c>
      <c r="R177" s="14" t="str">
        <f t="shared" si="7"/>
        <v/>
      </c>
      <c r="S177" s="10"/>
      <c r="T177" s="8"/>
      <c r="U177" s="8"/>
      <c r="V177" s="9" t="str">
        <f t="shared" si="8"/>
        <v/>
      </c>
      <c r="W177" s="8"/>
      <c r="X177" s="10"/>
      <c r="Y177" s="8"/>
    </row>
    <row r="178" spans="1:25">
      <c r="A178" s="8"/>
      <c r="B178" s="8"/>
      <c r="C178" s="8"/>
      <c r="D178" s="8"/>
      <c r="E178" s="8"/>
      <c r="F178" s="8"/>
      <c r="G178" s="8"/>
      <c r="H178" s="8"/>
      <c r="I178" s="13"/>
      <c r="J178" s="13"/>
      <c r="K178" s="13"/>
      <c r="L178" s="13"/>
      <c r="M178" s="13"/>
      <c r="N178" s="13"/>
      <c r="O178" s="13"/>
      <c r="P178" s="13"/>
      <c r="Q178" s="14" t="str">
        <f t="shared" si="6"/>
        <v/>
      </c>
      <c r="R178" s="14" t="str">
        <f t="shared" si="7"/>
        <v/>
      </c>
      <c r="S178" s="10"/>
      <c r="T178" s="8"/>
      <c r="U178" s="8"/>
      <c r="V178" s="9" t="str">
        <f t="shared" si="8"/>
        <v/>
      </c>
      <c r="W178" s="8"/>
      <c r="X178" s="10"/>
      <c r="Y178" s="8"/>
    </row>
    <row r="179" spans="1:25">
      <c r="A179" s="8"/>
      <c r="B179" s="8"/>
      <c r="C179" s="8"/>
      <c r="D179" s="8"/>
      <c r="E179" s="8"/>
      <c r="F179" s="8"/>
      <c r="G179" s="8"/>
      <c r="H179" s="8"/>
      <c r="I179" s="13"/>
      <c r="J179" s="13"/>
      <c r="K179" s="13"/>
      <c r="L179" s="13"/>
      <c r="M179" s="13"/>
      <c r="N179" s="13"/>
      <c r="O179" s="13"/>
      <c r="P179" s="13"/>
      <c r="Q179" s="14" t="str">
        <f t="shared" si="6"/>
        <v/>
      </c>
      <c r="R179" s="14" t="str">
        <f t="shared" si="7"/>
        <v/>
      </c>
      <c r="S179" s="10"/>
      <c r="T179" s="8"/>
      <c r="U179" s="8"/>
      <c r="V179" s="9" t="str">
        <f t="shared" si="8"/>
        <v/>
      </c>
      <c r="W179" s="8"/>
      <c r="X179" s="10"/>
      <c r="Y179" s="8"/>
    </row>
    <row r="180" spans="1:25">
      <c r="A180" s="8"/>
      <c r="B180" s="8"/>
      <c r="C180" s="8"/>
      <c r="D180" s="8"/>
      <c r="E180" s="8"/>
      <c r="F180" s="8"/>
      <c r="G180" s="8"/>
      <c r="H180" s="8"/>
      <c r="I180" s="13"/>
      <c r="J180" s="13"/>
      <c r="K180" s="13"/>
      <c r="L180" s="13"/>
      <c r="M180" s="13"/>
      <c r="N180" s="13"/>
      <c r="O180" s="13"/>
      <c r="P180" s="13"/>
      <c r="Q180" s="14" t="str">
        <f t="shared" si="6"/>
        <v/>
      </c>
      <c r="R180" s="14" t="str">
        <f t="shared" si="7"/>
        <v/>
      </c>
      <c r="S180" s="10"/>
      <c r="T180" s="8"/>
      <c r="U180" s="8"/>
      <c r="V180" s="9" t="str">
        <f t="shared" si="8"/>
        <v/>
      </c>
      <c r="W180" s="8"/>
      <c r="X180" s="10"/>
      <c r="Y180" s="8"/>
    </row>
    <row r="181" spans="1:25">
      <c r="A181" s="8"/>
      <c r="B181" s="8"/>
      <c r="C181" s="8"/>
      <c r="D181" s="8"/>
      <c r="E181" s="8"/>
      <c r="F181" s="8"/>
      <c r="G181" s="8"/>
      <c r="H181" s="8"/>
      <c r="I181" s="13"/>
      <c r="J181" s="13"/>
      <c r="K181" s="13"/>
      <c r="L181" s="13"/>
      <c r="M181" s="13"/>
      <c r="N181" s="13"/>
      <c r="O181" s="13"/>
      <c r="P181" s="13"/>
      <c r="Q181" s="14" t="str">
        <f t="shared" si="6"/>
        <v/>
      </c>
      <c r="R181" s="14" t="str">
        <f t="shared" si="7"/>
        <v/>
      </c>
      <c r="S181" s="10"/>
      <c r="T181" s="8"/>
      <c r="U181" s="8"/>
      <c r="V181" s="9" t="str">
        <f t="shared" si="8"/>
        <v/>
      </c>
      <c r="W181" s="8"/>
      <c r="X181" s="10"/>
      <c r="Y181" s="8"/>
    </row>
    <row r="182" spans="1:25">
      <c r="A182" s="8"/>
      <c r="B182" s="8"/>
      <c r="C182" s="8"/>
      <c r="D182" s="8"/>
      <c r="E182" s="8"/>
      <c r="F182" s="8"/>
      <c r="G182" s="8"/>
      <c r="H182" s="8"/>
      <c r="I182" s="13"/>
      <c r="J182" s="13"/>
      <c r="K182" s="13"/>
      <c r="L182" s="13"/>
      <c r="M182" s="13"/>
      <c r="N182" s="13"/>
      <c r="O182" s="13"/>
      <c r="P182" s="13"/>
      <c r="Q182" s="14" t="str">
        <f t="shared" si="6"/>
        <v/>
      </c>
      <c r="R182" s="14" t="str">
        <f t="shared" si="7"/>
        <v/>
      </c>
      <c r="S182" s="10"/>
      <c r="T182" s="8"/>
      <c r="U182" s="8"/>
      <c r="V182" s="9" t="str">
        <f t="shared" si="8"/>
        <v/>
      </c>
      <c r="W182" s="8"/>
      <c r="X182" s="10"/>
      <c r="Y182" s="8"/>
    </row>
    <row r="183" spans="1:25">
      <c r="A183" s="8"/>
      <c r="B183" s="8"/>
      <c r="C183" s="8"/>
      <c r="D183" s="8"/>
      <c r="E183" s="8"/>
      <c r="F183" s="8"/>
      <c r="G183" s="8"/>
      <c r="H183" s="8"/>
      <c r="I183" s="13"/>
      <c r="J183" s="13"/>
      <c r="K183" s="13"/>
      <c r="L183" s="13"/>
      <c r="M183" s="13"/>
      <c r="N183" s="13"/>
      <c r="O183" s="13"/>
      <c r="P183" s="13"/>
      <c r="Q183" s="14" t="str">
        <f t="shared" si="6"/>
        <v/>
      </c>
      <c r="R183" s="14" t="str">
        <f t="shared" si="7"/>
        <v/>
      </c>
      <c r="S183" s="10"/>
      <c r="T183" s="8"/>
      <c r="U183" s="8"/>
      <c r="V183" s="9" t="str">
        <f t="shared" si="8"/>
        <v/>
      </c>
      <c r="W183" s="8"/>
      <c r="X183" s="10"/>
      <c r="Y183" s="8"/>
    </row>
    <row r="184" spans="1:25">
      <c r="A184" s="8"/>
      <c r="B184" s="8"/>
      <c r="C184" s="8"/>
      <c r="D184" s="8"/>
      <c r="E184" s="8"/>
      <c r="F184" s="8"/>
      <c r="G184" s="8"/>
      <c r="H184" s="8"/>
      <c r="I184" s="13"/>
      <c r="J184" s="13"/>
      <c r="K184" s="13"/>
      <c r="L184" s="13"/>
      <c r="M184" s="13"/>
      <c r="N184" s="13"/>
      <c r="O184" s="13"/>
      <c r="P184" s="13"/>
      <c r="Q184" s="14" t="str">
        <f t="shared" si="6"/>
        <v/>
      </c>
      <c r="R184" s="14" t="str">
        <f t="shared" si="7"/>
        <v/>
      </c>
      <c r="S184" s="10"/>
      <c r="T184" s="8"/>
      <c r="U184" s="8"/>
      <c r="V184" s="9" t="str">
        <f t="shared" si="8"/>
        <v/>
      </c>
      <c r="W184" s="8"/>
      <c r="X184" s="10"/>
      <c r="Y184" s="8"/>
    </row>
    <row r="185" spans="1:25">
      <c r="A185" s="8"/>
      <c r="B185" s="8"/>
      <c r="C185" s="8"/>
      <c r="D185" s="8"/>
      <c r="E185" s="8"/>
      <c r="F185" s="8"/>
      <c r="G185" s="8"/>
      <c r="H185" s="8"/>
      <c r="I185" s="13"/>
      <c r="J185" s="13"/>
      <c r="K185" s="13"/>
      <c r="L185" s="13"/>
      <c r="M185" s="13"/>
      <c r="N185" s="13"/>
      <c r="O185" s="13"/>
      <c r="P185" s="13"/>
      <c r="Q185" s="14" t="str">
        <f t="shared" si="6"/>
        <v/>
      </c>
      <c r="R185" s="14" t="str">
        <f t="shared" si="7"/>
        <v/>
      </c>
      <c r="S185" s="10"/>
      <c r="T185" s="8"/>
      <c r="U185" s="8"/>
      <c r="V185" s="9" t="str">
        <f t="shared" si="8"/>
        <v/>
      </c>
      <c r="W185" s="8"/>
      <c r="X185" s="10"/>
      <c r="Y185" s="8"/>
    </row>
    <row r="186" spans="1:25">
      <c r="A186" s="8"/>
      <c r="B186" s="8"/>
      <c r="C186" s="8"/>
      <c r="D186" s="8"/>
      <c r="E186" s="8"/>
      <c r="F186" s="8"/>
      <c r="G186" s="8"/>
      <c r="H186" s="8"/>
      <c r="I186" s="13"/>
      <c r="J186" s="13"/>
      <c r="K186" s="13"/>
      <c r="L186" s="13"/>
      <c r="M186" s="13"/>
      <c r="N186" s="13"/>
      <c r="O186" s="13"/>
      <c r="P186" s="13"/>
      <c r="Q186" s="14" t="str">
        <f t="shared" si="6"/>
        <v/>
      </c>
      <c r="R186" s="14" t="str">
        <f t="shared" si="7"/>
        <v/>
      </c>
      <c r="S186" s="10"/>
      <c r="T186" s="8"/>
      <c r="U186" s="8"/>
      <c r="V186" s="9" t="str">
        <f t="shared" si="8"/>
        <v/>
      </c>
      <c r="W186" s="8"/>
      <c r="X186" s="10"/>
      <c r="Y186" s="8"/>
    </row>
    <row r="187" spans="1:25">
      <c r="A187" s="8"/>
      <c r="B187" s="8"/>
      <c r="C187" s="8"/>
      <c r="D187" s="8"/>
      <c r="E187" s="8"/>
      <c r="F187" s="8"/>
      <c r="G187" s="8"/>
      <c r="H187" s="8"/>
      <c r="I187" s="13"/>
      <c r="J187" s="13"/>
      <c r="K187" s="13"/>
      <c r="L187" s="13"/>
      <c r="M187" s="13"/>
      <c r="N187" s="13"/>
      <c r="O187" s="13"/>
      <c r="P187" s="13"/>
      <c r="Q187" s="14" t="str">
        <f t="shared" si="6"/>
        <v/>
      </c>
      <c r="R187" s="14" t="str">
        <f t="shared" si="7"/>
        <v/>
      </c>
      <c r="S187" s="10"/>
      <c r="T187" s="8"/>
      <c r="U187" s="8"/>
      <c r="V187" s="9" t="str">
        <f t="shared" si="8"/>
        <v/>
      </c>
      <c r="W187" s="8"/>
      <c r="X187" s="10"/>
      <c r="Y187" s="8"/>
    </row>
    <row r="188" spans="1:25">
      <c r="A188" s="8"/>
      <c r="B188" s="8"/>
      <c r="C188" s="8"/>
      <c r="D188" s="8"/>
      <c r="E188" s="8"/>
      <c r="F188" s="8"/>
      <c r="G188" s="8"/>
      <c r="H188" s="8"/>
      <c r="I188" s="13"/>
      <c r="J188" s="13"/>
      <c r="K188" s="13"/>
      <c r="L188" s="13"/>
      <c r="M188" s="13"/>
      <c r="N188" s="13"/>
      <c r="O188" s="13"/>
      <c r="P188" s="13"/>
      <c r="Q188" s="14" t="str">
        <f t="shared" si="6"/>
        <v/>
      </c>
      <c r="R188" s="14" t="str">
        <f t="shared" si="7"/>
        <v/>
      </c>
      <c r="S188" s="10"/>
      <c r="T188" s="8"/>
      <c r="U188" s="8"/>
      <c r="V188" s="9" t="str">
        <f t="shared" si="8"/>
        <v/>
      </c>
      <c r="W188" s="8"/>
      <c r="X188" s="10"/>
      <c r="Y188" s="8"/>
    </row>
    <row r="189" spans="1:25">
      <c r="A189" s="8"/>
      <c r="B189" s="8"/>
      <c r="C189" s="8"/>
      <c r="D189" s="8"/>
      <c r="E189" s="8"/>
      <c r="F189" s="8"/>
      <c r="G189" s="8"/>
      <c r="H189" s="8"/>
      <c r="I189" s="13"/>
      <c r="J189" s="13"/>
      <c r="K189" s="13"/>
      <c r="L189" s="13"/>
      <c r="M189" s="13"/>
      <c r="N189" s="13"/>
      <c r="O189" s="13"/>
      <c r="P189" s="13"/>
      <c r="Q189" s="14" t="str">
        <f t="shared" si="6"/>
        <v/>
      </c>
      <c r="R189" s="14" t="str">
        <f t="shared" si="7"/>
        <v/>
      </c>
      <c r="S189" s="10"/>
      <c r="T189" s="8"/>
      <c r="U189" s="8"/>
      <c r="V189" s="9" t="str">
        <f t="shared" si="8"/>
        <v/>
      </c>
      <c r="W189" s="8"/>
      <c r="X189" s="10"/>
      <c r="Y189" s="8"/>
    </row>
    <row r="190" spans="1:25">
      <c r="A190" s="8"/>
      <c r="B190" s="8"/>
      <c r="C190" s="8"/>
      <c r="D190" s="8"/>
      <c r="E190" s="8"/>
      <c r="F190" s="8"/>
      <c r="G190" s="8"/>
      <c r="H190" s="8"/>
      <c r="I190" s="13"/>
      <c r="J190" s="13"/>
      <c r="K190" s="13"/>
      <c r="L190" s="13"/>
      <c r="M190" s="13"/>
      <c r="N190" s="13"/>
      <c r="O190" s="13"/>
      <c r="P190" s="13"/>
      <c r="Q190" s="14" t="str">
        <f t="shared" si="6"/>
        <v/>
      </c>
      <c r="R190" s="14" t="str">
        <f t="shared" si="7"/>
        <v/>
      </c>
      <c r="S190" s="10"/>
      <c r="T190" s="8"/>
      <c r="U190" s="8"/>
      <c r="V190" s="9" t="str">
        <f t="shared" si="8"/>
        <v/>
      </c>
      <c r="W190" s="8"/>
      <c r="X190" s="10"/>
      <c r="Y190" s="8"/>
    </row>
    <row r="191" spans="1:25">
      <c r="A191" s="8"/>
      <c r="B191" s="8"/>
      <c r="C191" s="8"/>
      <c r="D191" s="8"/>
      <c r="E191" s="8"/>
      <c r="F191" s="8"/>
      <c r="G191" s="8"/>
      <c r="H191" s="8"/>
      <c r="I191" s="13"/>
      <c r="J191" s="13"/>
      <c r="K191" s="13"/>
      <c r="L191" s="13"/>
      <c r="M191" s="13"/>
      <c r="N191" s="13"/>
      <c r="O191" s="13"/>
      <c r="P191" s="13"/>
      <c r="Q191" s="14" t="str">
        <f t="shared" si="6"/>
        <v/>
      </c>
      <c r="R191" s="14" t="str">
        <f t="shared" si="7"/>
        <v/>
      </c>
      <c r="S191" s="10"/>
      <c r="T191" s="8"/>
      <c r="U191" s="8"/>
      <c r="V191" s="9" t="str">
        <f t="shared" si="8"/>
        <v/>
      </c>
      <c r="W191" s="8"/>
      <c r="X191" s="10"/>
      <c r="Y191" s="8"/>
    </row>
    <row r="192" spans="1:25">
      <c r="A192" s="8"/>
      <c r="B192" s="8"/>
      <c r="C192" s="8"/>
      <c r="D192" s="8"/>
      <c r="E192" s="8"/>
      <c r="F192" s="8"/>
      <c r="G192" s="8"/>
      <c r="H192" s="8"/>
      <c r="I192" s="13"/>
      <c r="J192" s="13"/>
      <c r="K192" s="13"/>
      <c r="L192" s="13"/>
      <c r="M192" s="13"/>
      <c r="N192" s="13"/>
      <c r="O192" s="13"/>
      <c r="P192" s="13"/>
      <c r="Q192" s="14" t="str">
        <f t="shared" si="6"/>
        <v/>
      </c>
      <c r="R192" s="14" t="str">
        <f t="shared" si="7"/>
        <v/>
      </c>
      <c r="S192" s="10"/>
      <c r="T192" s="8"/>
      <c r="U192" s="8"/>
      <c r="V192" s="9" t="str">
        <f t="shared" si="8"/>
        <v/>
      </c>
      <c r="W192" s="8"/>
      <c r="X192" s="10"/>
      <c r="Y192" s="8"/>
    </row>
    <row r="193" spans="1:25">
      <c r="A193" s="8"/>
      <c r="B193" s="8"/>
      <c r="C193" s="8"/>
      <c r="D193" s="8"/>
      <c r="E193" s="8"/>
      <c r="F193" s="8"/>
      <c r="G193" s="8"/>
      <c r="H193" s="8"/>
      <c r="I193" s="13"/>
      <c r="J193" s="13"/>
      <c r="K193" s="13"/>
      <c r="L193" s="13"/>
      <c r="M193" s="13"/>
      <c r="N193" s="13"/>
      <c r="O193" s="13"/>
      <c r="P193" s="13"/>
      <c r="Q193" s="14" t="str">
        <f t="shared" si="6"/>
        <v/>
      </c>
      <c r="R193" s="14" t="str">
        <f t="shared" si="7"/>
        <v/>
      </c>
      <c r="S193" s="10"/>
      <c r="T193" s="8"/>
      <c r="U193" s="8"/>
      <c r="V193" s="9" t="str">
        <f t="shared" si="8"/>
        <v/>
      </c>
      <c r="W193" s="8"/>
      <c r="X193" s="10"/>
      <c r="Y193" s="8"/>
    </row>
    <row r="194" spans="1:25">
      <c r="A194" s="8"/>
      <c r="B194" s="8"/>
      <c r="C194" s="8"/>
      <c r="D194" s="8"/>
      <c r="E194" s="8"/>
      <c r="F194" s="8"/>
      <c r="G194" s="8"/>
      <c r="H194" s="8"/>
      <c r="I194" s="13"/>
      <c r="J194" s="13"/>
      <c r="K194" s="13"/>
      <c r="L194" s="13"/>
      <c r="M194" s="13"/>
      <c r="N194" s="13"/>
      <c r="O194" s="13"/>
      <c r="P194" s="13"/>
      <c r="Q194" s="14" t="str">
        <f t="shared" si="6"/>
        <v/>
      </c>
      <c r="R194" s="14" t="str">
        <f t="shared" si="7"/>
        <v/>
      </c>
      <c r="S194" s="10"/>
      <c r="T194" s="8"/>
      <c r="U194" s="8"/>
      <c r="V194" s="9" t="str">
        <f t="shared" si="8"/>
        <v/>
      </c>
      <c r="W194" s="8"/>
      <c r="X194" s="10"/>
      <c r="Y194" s="8"/>
    </row>
    <row r="195" spans="1:25">
      <c r="A195" s="8"/>
      <c r="B195" s="8"/>
      <c r="C195" s="8"/>
      <c r="D195" s="8"/>
      <c r="E195" s="8"/>
      <c r="F195" s="8"/>
      <c r="G195" s="8"/>
      <c r="H195" s="8"/>
      <c r="I195" s="13"/>
      <c r="J195" s="13"/>
      <c r="K195" s="13"/>
      <c r="L195" s="13"/>
      <c r="M195" s="13"/>
      <c r="N195" s="13"/>
      <c r="O195" s="13"/>
      <c r="P195" s="13"/>
      <c r="Q195" s="14" t="str">
        <f t="shared" si="6"/>
        <v/>
      </c>
      <c r="R195" s="14" t="str">
        <f t="shared" si="7"/>
        <v/>
      </c>
      <c r="S195" s="10"/>
      <c r="T195" s="8"/>
      <c r="U195" s="8"/>
      <c r="V195" s="9" t="str">
        <f t="shared" si="8"/>
        <v/>
      </c>
      <c r="W195" s="8"/>
      <c r="X195" s="10"/>
      <c r="Y195" s="8"/>
    </row>
    <row r="196" spans="1:25">
      <c r="A196" s="8"/>
      <c r="B196" s="8"/>
      <c r="C196" s="8"/>
      <c r="D196" s="8"/>
      <c r="E196" s="8"/>
      <c r="F196" s="8"/>
      <c r="G196" s="8"/>
      <c r="H196" s="8"/>
      <c r="I196" s="13"/>
      <c r="J196" s="13"/>
      <c r="K196" s="13"/>
      <c r="L196" s="13"/>
      <c r="M196" s="13"/>
      <c r="N196" s="13"/>
      <c r="O196" s="13"/>
      <c r="P196" s="13"/>
      <c r="Q196" s="14" t="str">
        <f t="shared" si="6"/>
        <v/>
      </c>
      <c r="R196" s="14" t="str">
        <f t="shared" si="7"/>
        <v/>
      </c>
      <c r="S196" s="10"/>
      <c r="T196" s="8"/>
      <c r="U196" s="8"/>
      <c r="V196" s="9" t="str">
        <f t="shared" si="8"/>
        <v/>
      </c>
      <c r="W196" s="8"/>
      <c r="X196" s="10"/>
      <c r="Y196" s="8"/>
    </row>
    <row r="197" spans="1:25">
      <c r="A197" s="8"/>
      <c r="B197" s="8"/>
      <c r="C197" s="8"/>
      <c r="D197" s="8"/>
      <c r="E197" s="8"/>
      <c r="F197" s="8"/>
      <c r="G197" s="8"/>
      <c r="H197" s="8"/>
      <c r="I197" s="13"/>
      <c r="J197" s="13"/>
      <c r="K197" s="13"/>
      <c r="L197" s="13"/>
      <c r="M197" s="13"/>
      <c r="N197" s="13"/>
      <c r="O197" s="13"/>
      <c r="P197" s="13"/>
      <c r="Q197" s="14" t="str">
        <f t="shared" ref="Q197:Q260" si="9">IF(A197="","",MAX(0,M197-O197-P197))</f>
        <v/>
      </c>
      <c r="R197" s="14" t="str">
        <f t="shared" ref="R197:R260" si="10">IF(A197="","",MAX(0,J197-M197))</f>
        <v/>
      </c>
      <c r="S197" s="10"/>
      <c r="T197" s="8"/>
      <c r="U197" s="8"/>
      <c r="V197" s="9" t="str">
        <f t="shared" ref="V197:V260" si="11">IF(A197="","",IF(R197&gt;0,"Shortage",IF(Q197&gt;=J197,"Ready",IF(Q197&gt;0,"Partially Ready","Pending"))))</f>
        <v/>
      </c>
      <c r="W197" s="8"/>
      <c r="X197" s="10"/>
      <c r="Y197" s="8"/>
    </row>
    <row r="198" spans="1:25">
      <c r="A198" s="8"/>
      <c r="B198" s="8"/>
      <c r="C198" s="8"/>
      <c r="D198" s="8"/>
      <c r="E198" s="8"/>
      <c r="F198" s="8"/>
      <c r="G198" s="8"/>
      <c r="H198" s="8"/>
      <c r="I198" s="13"/>
      <c r="J198" s="13"/>
      <c r="K198" s="13"/>
      <c r="L198" s="13"/>
      <c r="M198" s="13"/>
      <c r="N198" s="13"/>
      <c r="O198" s="13"/>
      <c r="P198" s="13"/>
      <c r="Q198" s="14" t="str">
        <f t="shared" si="9"/>
        <v/>
      </c>
      <c r="R198" s="14" t="str">
        <f t="shared" si="10"/>
        <v/>
      </c>
      <c r="S198" s="10"/>
      <c r="T198" s="8"/>
      <c r="U198" s="8"/>
      <c r="V198" s="9" t="str">
        <f t="shared" si="11"/>
        <v/>
      </c>
      <c r="W198" s="8"/>
      <c r="X198" s="10"/>
      <c r="Y198" s="8"/>
    </row>
    <row r="199" spans="1:25">
      <c r="A199" s="8"/>
      <c r="B199" s="8"/>
      <c r="C199" s="8"/>
      <c r="D199" s="8"/>
      <c r="E199" s="8"/>
      <c r="F199" s="8"/>
      <c r="G199" s="8"/>
      <c r="H199" s="8"/>
      <c r="I199" s="13"/>
      <c r="J199" s="13"/>
      <c r="K199" s="13"/>
      <c r="L199" s="13"/>
      <c r="M199" s="13"/>
      <c r="N199" s="13"/>
      <c r="O199" s="13"/>
      <c r="P199" s="13"/>
      <c r="Q199" s="14" t="str">
        <f t="shared" si="9"/>
        <v/>
      </c>
      <c r="R199" s="14" t="str">
        <f t="shared" si="10"/>
        <v/>
      </c>
      <c r="S199" s="10"/>
      <c r="T199" s="8"/>
      <c r="U199" s="8"/>
      <c r="V199" s="9" t="str">
        <f t="shared" si="11"/>
        <v/>
      </c>
      <c r="W199" s="8"/>
      <c r="X199" s="10"/>
      <c r="Y199" s="8"/>
    </row>
    <row r="200" spans="1:25">
      <c r="A200" s="8"/>
      <c r="B200" s="8"/>
      <c r="C200" s="8"/>
      <c r="D200" s="8"/>
      <c r="E200" s="8"/>
      <c r="F200" s="8"/>
      <c r="G200" s="8"/>
      <c r="H200" s="8"/>
      <c r="I200" s="13"/>
      <c r="J200" s="13"/>
      <c r="K200" s="13"/>
      <c r="L200" s="13"/>
      <c r="M200" s="13"/>
      <c r="N200" s="13"/>
      <c r="O200" s="13"/>
      <c r="P200" s="13"/>
      <c r="Q200" s="14" t="str">
        <f t="shared" si="9"/>
        <v/>
      </c>
      <c r="R200" s="14" t="str">
        <f t="shared" si="10"/>
        <v/>
      </c>
      <c r="S200" s="10"/>
      <c r="T200" s="8"/>
      <c r="U200" s="8"/>
      <c r="V200" s="9" t="str">
        <f t="shared" si="11"/>
        <v/>
      </c>
      <c r="W200" s="8"/>
      <c r="X200" s="10"/>
      <c r="Y200" s="8"/>
    </row>
    <row r="201" spans="1:25">
      <c r="A201" s="8"/>
      <c r="B201" s="8"/>
      <c r="C201" s="8"/>
      <c r="D201" s="8"/>
      <c r="E201" s="8"/>
      <c r="F201" s="8"/>
      <c r="G201" s="8"/>
      <c r="H201" s="8"/>
      <c r="I201" s="13"/>
      <c r="J201" s="13"/>
      <c r="K201" s="13"/>
      <c r="L201" s="13"/>
      <c r="M201" s="13"/>
      <c r="N201" s="13"/>
      <c r="O201" s="13"/>
      <c r="P201" s="13"/>
      <c r="Q201" s="14" t="str">
        <f t="shared" si="9"/>
        <v/>
      </c>
      <c r="R201" s="14" t="str">
        <f t="shared" si="10"/>
        <v/>
      </c>
      <c r="S201" s="10"/>
      <c r="T201" s="8"/>
      <c r="U201" s="8"/>
      <c r="V201" s="9" t="str">
        <f t="shared" si="11"/>
        <v/>
      </c>
      <c r="W201" s="8"/>
      <c r="X201" s="10"/>
      <c r="Y201" s="8"/>
    </row>
    <row r="202" spans="1:25">
      <c r="A202" s="8"/>
      <c r="B202" s="8"/>
      <c r="C202" s="8"/>
      <c r="D202" s="8"/>
      <c r="E202" s="8"/>
      <c r="F202" s="8"/>
      <c r="G202" s="8"/>
      <c r="H202" s="8"/>
      <c r="I202" s="13"/>
      <c r="J202" s="13"/>
      <c r="K202" s="13"/>
      <c r="L202" s="13"/>
      <c r="M202" s="13"/>
      <c r="N202" s="13"/>
      <c r="O202" s="13"/>
      <c r="P202" s="13"/>
      <c r="Q202" s="14" t="str">
        <f t="shared" si="9"/>
        <v/>
      </c>
      <c r="R202" s="14" t="str">
        <f t="shared" si="10"/>
        <v/>
      </c>
      <c r="S202" s="10"/>
      <c r="T202" s="8"/>
      <c r="U202" s="8"/>
      <c r="V202" s="9" t="str">
        <f t="shared" si="11"/>
        <v/>
      </c>
      <c r="W202" s="8"/>
      <c r="X202" s="10"/>
      <c r="Y202" s="8"/>
    </row>
    <row r="203" spans="1:25">
      <c r="A203" s="8"/>
      <c r="B203" s="8"/>
      <c r="C203" s="8"/>
      <c r="D203" s="8"/>
      <c r="E203" s="8"/>
      <c r="F203" s="8"/>
      <c r="G203" s="8"/>
      <c r="H203" s="8"/>
      <c r="I203" s="13"/>
      <c r="J203" s="13"/>
      <c r="K203" s="13"/>
      <c r="L203" s="13"/>
      <c r="M203" s="13"/>
      <c r="N203" s="13"/>
      <c r="O203" s="13"/>
      <c r="P203" s="13"/>
      <c r="Q203" s="14" t="str">
        <f t="shared" si="9"/>
        <v/>
      </c>
      <c r="R203" s="14" t="str">
        <f t="shared" si="10"/>
        <v/>
      </c>
      <c r="S203" s="10"/>
      <c r="T203" s="8"/>
      <c r="U203" s="8"/>
      <c r="V203" s="9" t="str">
        <f t="shared" si="11"/>
        <v/>
      </c>
      <c r="W203" s="8"/>
      <c r="X203" s="10"/>
      <c r="Y203" s="8"/>
    </row>
    <row r="204" spans="1:25">
      <c r="A204" s="8"/>
      <c r="B204" s="8"/>
      <c r="C204" s="8"/>
      <c r="D204" s="8"/>
      <c r="E204" s="8"/>
      <c r="F204" s="8"/>
      <c r="G204" s="8"/>
      <c r="H204" s="8"/>
      <c r="I204" s="13"/>
      <c r="J204" s="13"/>
      <c r="K204" s="13"/>
      <c r="L204" s="13"/>
      <c r="M204" s="13"/>
      <c r="N204" s="13"/>
      <c r="O204" s="13"/>
      <c r="P204" s="13"/>
      <c r="Q204" s="14" t="str">
        <f t="shared" si="9"/>
        <v/>
      </c>
      <c r="R204" s="14" t="str">
        <f t="shared" si="10"/>
        <v/>
      </c>
      <c r="S204" s="10"/>
      <c r="T204" s="8"/>
      <c r="U204" s="8"/>
      <c r="V204" s="9" t="str">
        <f t="shared" si="11"/>
        <v/>
      </c>
      <c r="W204" s="8"/>
      <c r="X204" s="10"/>
      <c r="Y204" s="8"/>
    </row>
    <row r="205" spans="1:25">
      <c r="A205" s="8"/>
      <c r="B205" s="8"/>
      <c r="C205" s="8"/>
      <c r="D205" s="8"/>
      <c r="E205" s="8"/>
      <c r="F205" s="8"/>
      <c r="G205" s="8"/>
      <c r="H205" s="8"/>
      <c r="I205" s="13"/>
      <c r="J205" s="13"/>
      <c r="K205" s="13"/>
      <c r="L205" s="13"/>
      <c r="M205" s="13"/>
      <c r="N205" s="13"/>
      <c r="O205" s="13"/>
      <c r="P205" s="13"/>
      <c r="Q205" s="14" t="str">
        <f t="shared" si="9"/>
        <v/>
      </c>
      <c r="R205" s="14" t="str">
        <f t="shared" si="10"/>
        <v/>
      </c>
      <c r="S205" s="10"/>
      <c r="T205" s="8"/>
      <c r="U205" s="8"/>
      <c r="V205" s="9" t="str">
        <f t="shared" si="11"/>
        <v/>
      </c>
      <c r="W205" s="8"/>
      <c r="X205" s="10"/>
      <c r="Y205" s="8"/>
    </row>
    <row r="206" spans="1:25">
      <c r="A206" s="8"/>
      <c r="B206" s="8"/>
      <c r="C206" s="8"/>
      <c r="D206" s="8"/>
      <c r="E206" s="8"/>
      <c r="F206" s="8"/>
      <c r="G206" s="8"/>
      <c r="H206" s="8"/>
      <c r="I206" s="13"/>
      <c r="J206" s="13"/>
      <c r="K206" s="13"/>
      <c r="L206" s="13"/>
      <c r="M206" s="13"/>
      <c r="N206" s="13"/>
      <c r="O206" s="13"/>
      <c r="P206" s="13"/>
      <c r="Q206" s="14" t="str">
        <f t="shared" si="9"/>
        <v/>
      </c>
      <c r="R206" s="14" t="str">
        <f t="shared" si="10"/>
        <v/>
      </c>
      <c r="S206" s="10"/>
      <c r="T206" s="8"/>
      <c r="U206" s="8"/>
      <c r="V206" s="9" t="str">
        <f t="shared" si="11"/>
        <v/>
      </c>
      <c r="W206" s="8"/>
      <c r="X206" s="10"/>
      <c r="Y206" s="8"/>
    </row>
    <row r="207" spans="1:25">
      <c r="A207" s="8"/>
      <c r="B207" s="8"/>
      <c r="C207" s="8"/>
      <c r="D207" s="8"/>
      <c r="E207" s="8"/>
      <c r="F207" s="8"/>
      <c r="G207" s="8"/>
      <c r="H207" s="8"/>
      <c r="I207" s="13"/>
      <c r="J207" s="13"/>
      <c r="K207" s="13"/>
      <c r="L207" s="13"/>
      <c r="M207" s="13"/>
      <c r="N207" s="13"/>
      <c r="O207" s="13"/>
      <c r="P207" s="13"/>
      <c r="Q207" s="14" t="str">
        <f t="shared" si="9"/>
        <v/>
      </c>
      <c r="R207" s="14" t="str">
        <f t="shared" si="10"/>
        <v/>
      </c>
      <c r="S207" s="10"/>
      <c r="T207" s="8"/>
      <c r="U207" s="8"/>
      <c r="V207" s="9" t="str">
        <f t="shared" si="11"/>
        <v/>
      </c>
      <c r="W207" s="8"/>
      <c r="X207" s="10"/>
      <c r="Y207" s="8"/>
    </row>
    <row r="208" spans="1:25">
      <c r="A208" s="8"/>
      <c r="B208" s="8"/>
      <c r="C208" s="8"/>
      <c r="D208" s="8"/>
      <c r="E208" s="8"/>
      <c r="F208" s="8"/>
      <c r="G208" s="8"/>
      <c r="H208" s="8"/>
      <c r="I208" s="13"/>
      <c r="J208" s="13"/>
      <c r="K208" s="13"/>
      <c r="L208" s="13"/>
      <c r="M208" s="13"/>
      <c r="N208" s="13"/>
      <c r="O208" s="13"/>
      <c r="P208" s="13"/>
      <c r="Q208" s="14" t="str">
        <f t="shared" si="9"/>
        <v/>
      </c>
      <c r="R208" s="14" t="str">
        <f t="shared" si="10"/>
        <v/>
      </c>
      <c r="S208" s="10"/>
      <c r="T208" s="8"/>
      <c r="U208" s="8"/>
      <c r="V208" s="9" t="str">
        <f t="shared" si="11"/>
        <v/>
      </c>
      <c r="W208" s="8"/>
      <c r="X208" s="10"/>
      <c r="Y208" s="8"/>
    </row>
    <row r="209" spans="1:25">
      <c r="A209" s="8"/>
      <c r="B209" s="8"/>
      <c r="C209" s="8"/>
      <c r="D209" s="8"/>
      <c r="E209" s="8"/>
      <c r="F209" s="8"/>
      <c r="G209" s="8"/>
      <c r="H209" s="8"/>
      <c r="I209" s="13"/>
      <c r="J209" s="13"/>
      <c r="K209" s="13"/>
      <c r="L209" s="13"/>
      <c r="M209" s="13"/>
      <c r="N209" s="13"/>
      <c r="O209" s="13"/>
      <c r="P209" s="13"/>
      <c r="Q209" s="14" t="str">
        <f t="shared" si="9"/>
        <v/>
      </c>
      <c r="R209" s="14" t="str">
        <f t="shared" si="10"/>
        <v/>
      </c>
      <c r="S209" s="10"/>
      <c r="T209" s="8"/>
      <c r="U209" s="8"/>
      <c r="V209" s="9" t="str">
        <f t="shared" si="11"/>
        <v/>
      </c>
      <c r="W209" s="8"/>
      <c r="X209" s="10"/>
      <c r="Y209" s="8"/>
    </row>
    <row r="210" spans="1:25">
      <c r="A210" s="8"/>
      <c r="B210" s="8"/>
      <c r="C210" s="8"/>
      <c r="D210" s="8"/>
      <c r="E210" s="8"/>
      <c r="F210" s="8"/>
      <c r="G210" s="8"/>
      <c r="H210" s="8"/>
      <c r="I210" s="13"/>
      <c r="J210" s="13"/>
      <c r="K210" s="13"/>
      <c r="L210" s="13"/>
      <c r="M210" s="13"/>
      <c r="N210" s="13"/>
      <c r="O210" s="13"/>
      <c r="P210" s="13"/>
      <c r="Q210" s="14" t="str">
        <f t="shared" si="9"/>
        <v/>
      </c>
      <c r="R210" s="14" t="str">
        <f t="shared" si="10"/>
        <v/>
      </c>
      <c r="S210" s="10"/>
      <c r="T210" s="8"/>
      <c r="U210" s="8"/>
      <c r="V210" s="9" t="str">
        <f t="shared" si="11"/>
        <v/>
      </c>
      <c r="W210" s="8"/>
      <c r="X210" s="10"/>
      <c r="Y210" s="8"/>
    </row>
    <row r="211" spans="1:25">
      <c r="A211" s="8"/>
      <c r="B211" s="8"/>
      <c r="C211" s="8"/>
      <c r="D211" s="8"/>
      <c r="E211" s="8"/>
      <c r="F211" s="8"/>
      <c r="G211" s="8"/>
      <c r="H211" s="8"/>
      <c r="I211" s="13"/>
      <c r="J211" s="13"/>
      <c r="K211" s="13"/>
      <c r="L211" s="13"/>
      <c r="M211" s="13"/>
      <c r="N211" s="13"/>
      <c r="O211" s="13"/>
      <c r="P211" s="13"/>
      <c r="Q211" s="14" t="str">
        <f t="shared" si="9"/>
        <v/>
      </c>
      <c r="R211" s="14" t="str">
        <f t="shared" si="10"/>
        <v/>
      </c>
      <c r="S211" s="10"/>
      <c r="T211" s="8"/>
      <c r="U211" s="8"/>
      <c r="V211" s="9" t="str">
        <f t="shared" si="11"/>
        <v/>
      </c>
      <c r="W211" s="8"/>
      <c r="X211" s="10"/>
      <c r="Y211" s="8"/>
    </row>
    <row r="212" spans="1:25">
      <c r="A212" s="8"/>
      <c r="B212" s="8"/>
      <c r="C212" s="8"/>
      <c r="D212" s="8"/>
      <c r="E212" s="8"/>
      <c r="F212" s="8"/>
      <c r="G212" s="8"/>
      <c r="H212" s="8"/>
      <c r="I212" s="13"/>
      <c r="J212" s="13"/>
      <c r="K212" s="13"/>
      <c r="L212" s="13"/>
      <c r="M212" s="13"/>
      <c r="N212" s="13"/>
      <c r="O212" s="13"/>
      <c r="P212" s="13"/>
      <c r="Q212" s="14" t="str">
        <f t="shared" si="9"/>
        <v/>
      </c>
      <c r="R212" s="14" t="str">
        <f t="shared" si="10"/>
        <v/>
      </c>
      <c r="S212" s="10"/>
      <c r="T212" s="8"/>
      <c r="U212" s="8"/>
      <c r="V212" s="9" t="str">
        <f t="shared" si="11"/>
        <v/>
      </c>
      <c r="W212" s="8"/>
      <c r="X212" s="10"/>
      <c r="Y212" s="8"/>
    </row>
    <row r="213" spans="1:25">
      <c r="A213" s="8"/>
      <c r="B213" s="8"/>
      <c r="C213" s="8"/>
      <c r="D213" s="8"/>
      <c r="E213" s="8"/>
      <c r="F213" s="8"/>
      <c r="G213" s="8"/>
      <c r="H213" s="8"/>
      <c r="I213" s="13"/>
      <c r="J213" s="13"/>
      <c r="K213" s="13"/>
      <c r="L213" s="13"/>
      <c r="M213" s="13"/>
      <c r="N213" s="13"/>
      <c r="O213" s="13"/>
      <c r="P213" s="13"/>
      <c r="Q213" s="14" t="str">
        <f t="shared" si="9"/>
        <v/>
      </c>
      <c r="R213" s="14" t="str">
        <f t="shared" si="10"/>
        <v/>
      </c>
      <c r="S213" s="10"/>
      <c r="T213" s="8"/>
      <c r="U213" s="8"/>
      <c r="V213" s="9" t="str">
        <f t="shared" si="11"/>
        <v/>
      </c>
      <c r="W213" s="8"/>
      <c r="X213" s="10"/>
      <c r="Y213" s="8"/>
    </row>
    <row r="214" spans="1:25">
      <c r="A214" s="8"/>
      <c r="B214" s="8"/>
      <c r="C214" s="8"/>
      <c r="D214" s="8"/>
      <c r="E214" s="8"/>
      <c r="F214" s="8"/>
      <c r="G214" s="8"/>
      <c r="H214" s="8"/>
      <c r="I214" s="13"/>
      <c r="J214" s="13"/>
      <c r="K214" s="13"/>
      <c r="L214" s="13"/>
      <c r="M214" s="13"/>
      <c r="N214" s="13"/>
      <c r="O214" s="13"/>
      <c r="P214" s="13"/>
      <c r="Q214" s="14" t="str">
        <f t="shared" si="9"/>
        <v/>
      </c>
      <c r="R214" s="14" t="str">
        <f t="shared" si="10"/>
        <v/>
      </c>
      <c r="S214" s="10"/>
      <c r="T214" s="8"/>
      <c r="U214" s="8"/>
      <c r="V214" s="9" t="str">
        <f t="shared" si="11"/>
        <v/>
      </c>
      <c r="W214" s="8"/>
      <c r="X214" s="10"/>
      <c r="Y214" s="8"/>
    </row>
    <row r="215" spans="1:25">
      <c r="A215" s="8"/>
      <c r="B215" s="8"/>
      <c r="C215" s="8"/>
      <c r="D215" s="8"/>
      <c r="E215" s="8"/>
      <c r="F215" s="8"/>
      <c r="G215" s="8"/>
      <c r="H215" s="8"/>
      <c r="I215" s="13"/>
      <c r="J215" s="13"/>
      <c r="K215" s="13"/>
      <c r="L215" s="13"/>
      <c r="M215" s="13"/>
      <c r="N215" s="13"/>
      <c r="O215" s="13"/>
      <c r="P215" s="13"/>
      <c r="Q215" s="14" t="str">
        <f t="shared" si="9"/>
        <v/>
      </c>
      <c r="R215" s="14" t="str">
        <f t="shared" si="10"/>
        <v/>
      </c>
      <c r="S215" s="10"/>
      <c r="T215" s="8"/>
      <c r="U215" s="8"/>
      <c r="V215" s="9" t="str">
        <f t="shared" si="11"/>
        <v/>
      </c>
      <c r="W215" s="8"/>
      <c r="X215" s="10"/>
      <c r="Y215" s="8"/>
    </row>
    <row r="216" spans="1:25">
      <c r="A216" s="8"/>
      <c r="B216" s="8"/>
      <c r="C216" s="8"/>
      <c r="D216" s="8"/>
      <c r="E216" s="8"/>
      <c r="F216" s="8"/>
      <c r="G216" s="8"/>
      <c r="H216" s="8"/>
      <c r="I216" s="13"/>
      <c r="J216" s="13"/>
      <c r="K216" s="13"/>
      <c r="L216" s="13"/>
      <c r="M216" s="13"/>
      <c r="N216" s="13"/>
      <c r="O216" s="13"/>
      <c r="P216" s="13"/>
      <c r="Q216" s="14" t="str">
        <f t="shared" si="9"/>
        <v/>
      </c>
      <c r="R216" s="14" t="str">
        <f t="shared" si="10"/>
        <v/>
      </c>
      <c r="S216" s="10"/>
      <c r="T216" s="8"/>
      <c r="U216" s="8"/>
      <c r="V216" s="9" t="str">
        <f t="shared" si="11"/>
        <v/>
      </c>
      <c r="W216" s="8"/>
      <c r="X216" s="10"/>
      <c r="Y216" s="8"/>
    </row>
    <row r="217" spans="1:25">
      <c r="A217" s="8"/>
      <c r="B217" s="8"/>
      <c r="C217" s="8"/>
      <c r="D217" s="8"/>
      <c r="E217" s="8"/>
      <c r="F217" s="8"/>
      <c r="G217" s="8"/>
      <c r="H217" s="8"/>
      <c r="I217" s="13"/>
      <c r="J217" s="13"/>
      <c r="K217" s="13"/>
      <c r="L217" s="13"/>
      <c r="M217" s="13"/>
      <c r="N217" s="13"/>
      <c r="O217" s="13"/>
      <c r="P217" s="13"/>
      <c r="Q217" s="14" t="str">
        <f t="shared" si="9"/>
        <v/>
      </c>
      <c r="R217" s="14" t="str">
        <f t="shared" si="10"/>
        <v/>
      </c>
      <c r="S217" s="10"/>
      <c r="T217" s="8"/>
      <c r="U217" s="8"/>
      <c r="V217" s="9" t="str">
        <f t="shared" si="11"/>
        <v/>
      </c>
      <c r="W217" s="8"/>
      <c r="X217" s="10"/>
      <c r="Y217" s="8"/>
    </row>
    <row r="218" spans="1:25">
      <c r="A218" s="8"/>
      <c r="B218" s="8"/>
      <c r="C218" s="8"/>
      <c r="D218" s="8"/>
      <c r="E218" s="8"/>
      <c r="F218" s="8"/>
      <c r="G218" s="8"/>
      <c r="H218" s="8"/>
      <c r="I218" s="13"/>
      <c r="J218" s="13"/>
      <c r="K218" s="13"/>
      <c r="L218" s="13"/>
      <c r="M218" s="13"/>
      <c r="N218" s="13"/>
      <c r="O218" s="13"/>
      <c r="P218" s="13"/>
      <c r="Q218" s="14" t="str">
        <f t="shared" si="9"/>
        <v/>
      </c>
      <c r="R218" s="14" t="str">
        <f t="shared" si="10"/>
        <v/>
      </c>
      <c r="S218" s="10"/>
      <c r="T218" s="8"/>
      <c r="U218" s="8"/>
      <c r="V218" s="9" t="str">
        <f t="shared" si="11"/>
        <v/>
      </c>
      <c r="W218" s="8"/>
      <c r="X218" s="10"/>
      <c r="Y218" s="8"/>
    </row>
    <row r="219" spans="1:25">
      <c r="A219" s="8"/>
      <c r="B219" s="8"/>
      <c r="C219" s="8"/>
      <c r="D219" s="8"/>
      <c r="E219" s="8"/>
      <c r="F219" s="8"/>
      <c r="G219" s="8"/>
      <c r="H219" s="8"/>
      <c r="I219" s="13"/>
      <c r="J219" s="13"/>
      <c r="K219" s="13"/>
      <c r="L219" s="13"/>
      <c r="M219" s="13"/>
      <c r="N219" s="13"/>
      <c r="O219" s="13"/>
      <c r="P219" s="13"/>
      <c r="Q219" s="14" t="str">
        <f t="shared" si="9"/>
        <v/>
      </c>
      <c r="R219" s="14" t="str">
        <f t="shared" si="10"/>
        <v/>
      </c>
      <c r="S219" s="10"/>
      <c r="T219" s="8"/>
      <c r="U219" s="8"/>
      <c r="V219" s="9" t="str">
        <f t="shared" si="11"/>
        <v/>
      </c>
      <c r="W219" s="8"/>
      <c r="X219" s="10"/>
      <c r="Y219" s="8"/>
    </row>
    <row r="220" spans="1:25">
      <c r="A220" s="8"/>
      <c r="B220" s="8"/>
      <c r="C220" s="8"/>
      <c r="D220" s="8"/>
      <c r="E220" s="8"/>
      <c r="F220" s="8"/>
      <c r="G220" s="8"/>
      <c r="H220" s="8"/>
      <c r="I220" s="13"/>
      <c r="J220" s="13"/>
      <c r="K220" s="13"/>
      <c r="L220" s="13"/>
      <c r="M220" s="13"/>
      <c r="N220" s="13"/>
      <c r="O220" s="13"/>
      <c r="P220" s="13"/>
      <c r="Q220" s="14" t="str">
        <f t="shared" si="9"/>
        <v/>
      </c>
      <c r="R220" s="14" t="str">
        <f t="shared" si="10"/>
        <v/>
      </c>
      <c r="S220" s="10"/>
      <c r="T220" s="8"/>
      <c r="U220" s="8"/>
      <c r="V220" s="9" t="str">
        <f t="shared" si="11"/>
        <v/>
      </c>
      <c r="W220" s="8"/>
      <c r="X220" s="10"/>
      <c r="Y220" s="8"/>
    </row>
    <row r="221" spans="1:25">
      <c r="A221" s="8"/>
      <c r="B221" s="8"/>
      <c r="C221" s="8"/>
      <c r="D221" s="8"/>
      <c r="E221" s="8"/>
      <c r="F221" s="8"/>
      <c r="G221" s="8"/>
      <c r="H221" s="8"/>
      <c r="I221" s="13"/>
      <c r="J221" s="13"/>
      <c r="K221" s="13"/>
      <c r="L221" s="13"/>
      <c r="M221" s="13"/>
      <c r="N221" s="13"/>
      <c r="O221" s="13"/>
      <c r="P221" s="13"/>
      <c r="Q221" s="14" t="str">
        <f t="shared" si="9"/>
        <v/>
      </c>
      <c r="R221" s="14" t="str">
        <f t="shared" si="10"/>
        <v/>
      </c>
      <c r="S221" s="10"/>
      <c r="T221" s="8"/>
      <c r="U221" s="8"/>
      <c r="V221" s="9" t="str">
        <f t="shared" si="11"/>
        <v/>
      </c>
      <c r="W221" s="8"/>
      <c r="X221" s="10"/>
      <c r="Y221" s="8"/>
    </row>
    <row r="222" spans="1:25">
      <c r="A222" s="8"/>
      <c r="B222" s="8"/>
      <c r="C222" s="8"/>
      <c r="D222" s="8"/>
      <c r="E222" s="8"/>
      <c r="F222" s="8"/>
      <c r="G222" s="8"/>
      <c r="H222" s="8"/>
      <c r="I222" s="13"/>
      <c r="J222" s="13"/>
      <c r="K222" s="13"/>
      <c r="L222" s="13"/>
      <c r="M222" s="13"/>
      <c r="N222" s="13"/>
      <c r="O222" s="13"/>
      <c r="P222" s="13"/>
      <c r="Q222" s="14" t="str">
        <f t="shared" si="9"/>
        <v/>
      </c>
      <c r="R222" s="14" t="str">
        <f t="shared" si="10"/>
        <v/>
      </c>
      <c r="S222" s="10"/>
      <c r="T222" s="8"/>
      <c r="U222" s="8"/>
      <c r="V222" s="9" t="str">
        <f t="shared" si="11"/>
        <v/>
      </c>
      <c r="W222" s="8"/>
      <c r="X222" s="10"/>
      <c r="Y222" s="8"/>
    </row>
    <row r="223" spans="1:25">
      <c r="A223" s="8"/>
      <c r="B223" s="8"/>
      <c r="C223" s="8"/>
      <c r="D223" s="8"/>
      <c r="E223" s="8"/>
      <c r="F223" s="8"/>
      <c r="G223" s="8"/>
      <c r="H223" s="8"/>
      <c r="I223" s="13"/>
      <c r="J223" s="13"/>
      <c r="K223" s="13"/>
      <c r="L223" s="13"/>
      <c r="M223" s="13"/>
      <c r="N223" s="13"/>
      <c r="O223" s="13"/>
      <c r="P223" s="13"/>
      <c r="Q223" s="14" t="str">
        <f t="shared" si="9"/>
        <v/>
      </c>
      <c r="R223" s="14" t="str">
        <f t="shared" si="10"/>
        <v/>
      </c>
      <c r="S223" s="10"/>
      <c r="T223" s="8"/>
      <c r="U223" s="8"/>
      <c r="V223" s="9" t="str">
        <f t="shared" si="11"/>
        <v/>
      </c>
      <c r="W223" s="8"/>
      <c r="X223" s="10"/>
      <c r="Y223" s="8"/>
    </row>
    <row r="224" spans="1:25">
      <c r="A224" s="8"/>
      <c r="B224" s="8"/>
      <c r="C224" s="8"/>
      <c r="D224" s="8"/>
      <c r="E224" s="8"/>
      <c r="F224" s="8"/>
      <c r="G224" s="8"/>
      <c r="H224" s="8"/>
      <c r="I224" s="13"/>
      <c r="J224" s="13"/>
      <c r="K224" s="13"/>
      <c r="L224" s="13"/>
      <c r="M224" s="13"/>
      <c r="N224" s="13"/>
      <c r="O224" s="13"/>
      <c r="P224" s="13"/>
      <c r="Q224" s="14" t="str">
        <f t="shared" si="9"/>
        <v/>
      </c>
      <c r="R224" s="14" t="str">
        <f t="shared" si="10"/>
        <v/>
      </c>
      <c r="S224" s="10"/>
      <c r="T224" s="8"/>
      <c r="U224" s="8"/>
      <c r="V224" s="9" t="str">
        <f t="shared" si="11"/>
        <v/>
      </c>
      <c r="W224" s="8"/>
      <c r="X224" s="10"/>
      <c r="Y224" s="8"/>
    </row>
    <row r="225" spans="1:25">
      <c r="A225" s="8"/>
      <c r="B225" s="8"/>
      <c r="C225" s="8"/>
      <c r="D225" s="8"/>
      <c r="E225" s="8"/>
      <c r="F225" s="8"/>
      <c r="G225" s="8"/>
      <c r="H225" s="8"/>
      <c r="I225" s="13"/>
      <c r="J225" s="13"/>
      <c r="K225" s="13"/>
      <c r="L225" s="13"/>
      <c r="M225" s="13"/>
      <c r="N225" s="13"/>
      <c r="O225" s="13"/>
      <c r="P225" s="13"/>
      <c r="Q225" s="14" t="str">
        <f t="shared" si="9"/>
        <v/>
      </c>
      <c r="R225" s="14" t="str">
        <f t="shared" si="10"/>
        <v/>
      </c>
      <c r="S225" s="10"/>
      <c r="T225" s="8"/>
      <c r="U225" s="8"/>
      <c r="V225" s="9" t="str">
        <f t="shared" si="11"/>
        <v/>
      </c>
      <c r="W225" s="8"/>
      <c r="X225" s="10"/>
      <c r="Y225" s="8"/>
    </row>
    <row r="226" spans="1:25">
      <c r="A226" s="8"/>
      <c r="B226" s="8"/>
      <c r="C226" s="8"/>
      <c r="D226" s="8"/>
      <c r="E226" s="8"/>
      <c r="F226" s="8"/>
      <c r="G226" s="8"/>
      <c r="H226" s="8"/>
      <c r="I226" s="13"/>
      <c r="J226" s="13"/>
      <c r="K226" s="13"/>
      <c r="L226" s="13"/>
      <c r="M226" s="13"/>
      <c r="N226" s="13"/>
      <c r="O226" s="13"/>
      <c r="P226" s="13"/>
      <c r="Q226" s="14" t="str">
        <f t="shared" si="9"/>
        <v/>
      </c>
      <c r="R226" s="14" t="str">
        <f t="shared" si="10"/>
        <v/>
      </c>
      <c r="S226" s="10"/>
      <c r="T226" s="8"/>
      <c r="U226" s="8"/>
      <c r="V226" s="9" t="str">
        <f t="shared" si="11"/>
        <v/>
      </c>
      <c r="W226" s="8"/>
      <c r="X226" s="10"/>
      <c r="Y226" s="8"/>
    </row>
    <row r="227" spans="1:25">
      <c r="A227" s="8"/>
      <c r="B227" s="8"/>
      <c r="C227" s="8"/>
      <c r="D227" s="8"/>
      <c r="E227" s="8"/>
      <c r="F227" s="8"/>
      <c r="G227" s="8"/>
      <c r="H227" s="8"/>
      <c r="I227" s="13"/>
      <c r="J227" s="13"/>
      <c r="K227" s="13"/>
      <c r="L227" s="13"/>
      <c r="M227" s="13"/>
      <c r="N227" s="13"/>
      <c r="O227" s="13"/>
      <c r="P227" s="13"/>
      <c r="Q227" s="14" t="str">
        <f t="shared" si="9"/>
        <v/>
      </c>
      <c r="R227" s="14" t="str">
        <f t="shared" si="10"/>
        <v/>
      </c>
      <c r="S227" s="10"/>
      <c r="T227" s="8"/>
      <c r="U227" s="8"/>
      <c r="V227" s="9" t="str">
        <f t="shared" si="11"/>
        <v/>
      </c>
      <c r="W227" s="8"/>
      <c r="X227" s="10"/>
      <c r="Y227" s="8"/>
    </row>
    <row r="228" spans="1:25">
      <c r="A228" s="8"/>
      <c r="B228" s="8"/>
      <c r="C228" s="8"/>
      <c r="D228" s="8"/>
      <c r="E228" s="8"/>
      <c r="F228" s="8"/>
      <c r="G228" s="8"/>
      <c r="H228" s="8"/>
      <c r="I228" s="13"/>
      <c r="J228" s="13"/>
      <c r="K228" s="13"/>
      <c r="L228" s="13"/>
      <c r="M228" s="13"/>
      <c r="N228" s="13"/>
      <c r="O228" s="13"/>
      <c r="P228" s="13"/>
      <c r="Q228" s="14" t="str">
        <f t="shared" si="9"/>
        <v/>
      </c>
      <c r="R228" s="14" t="str">
        <f t="shared" si="10"/>
        <v/>
      </c>
      <c r="S228" s="10"/>
      <c r="T228" s="8"/>
      <c r="U228" s="8"/>
      <c r="V228" s="9" t="str">
        <f t="shared" si="11"/>
        <v/>
      </c>
      <c r="W228" s="8"/>
      <c r="X228" s="10"/>
      <c r="Y228" s="8"/>
    </row>
    <row r="229" spans="1:25">
      <c r="A229" s="8"/>
      <c r="B229" s="8"/>
      <c r="C229" s="8"/>
      <c r="D229" s="8"/>
      <c r="E229" s="8"/>
      <c r="F229" s="8"/>
      <c r="G229" s="8"/>
      <c r="H229" s="8"/>
      <c r="I229" s="13"/>
      <c r="J229" s="13"/>
      <c r="K229" s="13"/>
      <c r="L229" s="13"/>
      <c r="M229" s="13"/>
      <c r="N229" s="13"/>
      <c r="O229" s="13"/>
      <c r="P229" s="13"/>
      <c r="Q229" s="14" t="str">
        <f t="shared" si="9"/>
        <v/>
      </c>
      <c r="R229" s="14" t="str">
        <f t="shared" si="10"/>
        <v/>
      </c>
      <c r="S229" s="10"/>
      <c r="T229" s="8"/>
      <c r="U229" s="8"/>
      <c r="V229" s="9" t="str">
        <f t="shared" si="11"/>
        <v/>
      </c>
      <c r="W229" s="8"/>
      <c r="X229" s="10"/>
      <c r="Y229" s="8"/>
    </row>
    <row r="230" spans="1:25">
      <c r="A230" s="8"/>
      <c r="B230" s="8"/>
      <c r="C230" s="8"/>
      <c r="D230" s="8"/>
      <c r="E230" s="8"/>
      <c r="F230" s="8"/>
      <c r="G230" s="8"/>
      <c r="H230" s="8"/>
      <c r="I230" s="13"/>
      <c r="J230" s="13"/>
      <c r="K230" s="13"/>
      <c r="L230" s="13"/>
      <c r="M230" s="13"/>
      <c r="N230" s="13"/>
      <c r="O230" s="13"/>
      <c r="P230" s="13"/>
      <c r="Q230" s="14" t="str">
        <f t="shared" si="9"/>
        <v/>
      </c>
      <c r="R230" s="14" t="str">
        <f t="shared" si="10"/>
        <v/>
      </c>
      <c r="S230" s="10"/>
      <c r="T230" s="8"/>
      <c r="U230" s="8"/>
      <c r="V230" s="9" t="str">
        <f t="shared" si="11"/>
        <v/>
      </c>
      <c r="W230" s="8"/>
      <c r="X230" s="10"/>
      <c r="Y230" s="8"/>
    </row>
    <row r="231" spans="1:25">
      <c r="A231" s="8"/>
      <c r="B231" s="8"/>
      <c r="C231" s="8"/>
      <c r="D231" s="8"/>
      <c r="E231" s="8"/>
      <c r="F231" s="8"/>
      <c r="G231" s="8"/>
      <c r="H231" s="8"/>
      <c r="I231" s="13"/>
      <c r="J231" s="13"/>
      <c r="K231" s="13"/>
      <c r="L231" s="13"/>
      <c r="M231" s="13"/>
      <c r="N231" s="13"/>
      <c r="O231" s="13"/>
      <c r="P231" s="13"/>
      <c r="Q231" s="14" t="str">
        <f t="shared" si="9"/>
        <v/>
      </c>
      <c r="R231" s="14" t="str">
        <f t="shared" si="10"/>
        <v/>
      </c>
      <c r="S231" s="10"/>
      <c r="T231" s="8"/>
      <c r="U231" s="8"/>
      <c r="V231" s="9" t="str">
        <f t="shared" si="11"/>
        <v/>
      </c>
      <c r="W231" s="8"/>
      <c r="X231" s="10"/>
      <c r="Y231" s="8"/>
    </row>
    <row r="232" spans="1:25">
      <c r="A232" s="8"/>
      <c r="B232" s="8"/>
      <c r="C232" s="8"/>
      <c r="D232" s="8"/>
      <c r="E232" s="8"/>
      <c r="F232" s="8"/>
      <c r="G232" s="8"/>
      <c r="H232" s="8"/>
      <c r="I232" s="13"/>
      <c r="J232" s="13"/>
      <c r="K232" s="13"/>
      <c r="L232" s="13"/>
      <c r="M232" s="13"/>
      <c r="N232" s="13"/>
      <c r="O232" s="13"/>
      <c r="P232" s="13"/>
      <c r="Q232" s="14" t="str">
        <f t="shared" si="9"/>
        <v/>
      </c>
      <c r="R232" s="14" t="str">
        <f t="shared" si="10"/>
        <v/>
      </c>
      <c r="S232" s="10"/>
      <c r="T232" s="8"/>
      <c r="U232" s="8"/>
      <c r="V232" s="9" t="str">
        <f t="shared" si="11"/>
        <v/>
      </c>
      <c r="W232" s="8"/>
      <c r="X232" s="10"/>
      <c r="Y232" s="8"/>
    </row>
    <row r="233" spans="1:25">
      <c r="A233" s="8"/>
      <c r="B233" s="8"/>
      <c r="C233" s="8"/>
      <c r="D233" s="8"/>
      <c r="E233" s="8"/>
      <c r="F233" s="8"/>
      <c r="G233" s="8"/>
      <c r="H233" s="8"/>
      <c r="I233" s="13"/>
      <c r="J233" s="13"/>
      <c r="K233" s="13"/>
      <c r="L233" s="13"/>
      <c r="M233" s="13"/>
      <c r="N233" s="13"/>
      <c r="O233" s="13"/>
      <c r="P233" s="13"/>
      <c r="Q233" s="14" t="str">
        <f t="shared" si="9"/>
        <v/>
      </c>
      <c r="R233" s="14" t="str">
        <f t="shared" si="10"/>
        <v/>
      </c>
      <c r="S233" s="10"/>
      <c r="T233" s="8"/>
      <c r="U233" s="8"/>
      <c r="V233" s="9" t="str">
        <f t="shared" si="11"/>
        <v/>
      </c>
      <c r="W233" s="8"/>
      <c r="X233" s="10"/>
      <c r="Y233" s="8"/>
    </row>
    <row r="234" spans="1:25">
      <c r="A234" s="8"/>
      <c r="B234" s="8"/>
      <c r="C234" s="8"/>
      <c r="D234" s="8"/>
      <c r="E234" s="8"/>
      <c r="F234" s="8"/>
      <c r="G234" s="8"/>
      <c r="H234" s="8"/>
      <c r="I234" s="13"/>
      <c r="J234" s="13"/>
      <c r="K234" s="13"/>
      <c r="L234" s="13"/>
      <c r="M234" s="13"/>
      <c r="N234" s="13"/>
      <c r="O234" s="13"/>
      <c r="P234" s="13"/>
      <c r="Q234" s="14" t="str">
        <f t="shared" si="9"/>
        <v/>
      </c>
      <c r="R234" s="14" t="str">
        <f t="shared" si="10"/>
        <v/>
      </c>
      <c r="S234" s="10"/>
      <c r="T234" s="8"/>
      <c r="U234" s="8"/>
      <c r="V234" s="9" t="str">
        <f t="shared" si="11"/>
        <v/>
      </c>
      <c r="W234" s="8"/>
      <c r="X234" s="10"/>
      <c r="Y234" s="8"/>
    </row>
    <row r="235" spans="1:25">
      <c r="A235" s="8"/>
      <c r="B235" s="8"/>
      <c r="C235" s="8"/>
      <c r="D235" s="8"/>
      <c r="E235" s="8"/>
      <c r="F235" s="8"/>
      <c r="G235" s="8"/>
      <c r="H235" s="8"/>
      <c r="I235" s="13"/>
      <c r="J235" s="13"/>
      <c r="K235" s="13"/>
      <c r="L235" s="13"/>
      <c r="M235" s="13"/>
      <c r="N235" s="13"/>
      <c r="O235" s="13"/>
      <c r="P235" s="13"/>
      <c r="Q235" s="14" t="str">
        <f t="shared" si="9"/>
        <v/>
      </c>
      <c r="R235" s="14" t="str">
        <f t="shared" si="10"/>
        <v/>
      </c>
      <c r="S235" s="10"/>
      <c r="T235" s="8"/>
      <c r="U235" s="8"/>
      <c r="V235" s="9" t="str">
        <f t="shared" si="11"/>
        <v/>
      </c>
      <c r="W235" s="8"/>
      <c r="X235" s="10"/>
      <c r="Y235" s="8"/>
    </row>
    <row r="236" spans="1:25">
      <c r="A236" s="8"/>
      <c r="B236" s="8"/>
      <c r="C236" s="8"/>
      <c r="D236" s="8"/>
      <c r="E236" s="8"/>
      <c r="F236" s="8"/>
      <c r="G236" s="8"/>
      <c r="H236" s="8"/>
      <c r="I236" s="13"/>
      <c r="J236" s="13"/>
      <c r="K236" s="13"/>
      <c r="L236" s="13"/>
      <c r="M236" s="13"/>
      <c r="N236" s="13"/>
      <c r="O236" s="13"/>
      <c r="P236" s="13"/>
      <c r="Q236" s="14" t="str">
        <f t="shared" si="9"/>
        <v/>
      </c>
      <c r="R236" s="14" t="str">
        <f t="shared" si="10"/>
        <v/>
      </c>
      <c r="S236" s="10"/>
      <c r="T236" s="8"/>
      <c r="U236" s="8"/>
      <c r="V236" s="9" t="str">
        <f t="shared" si="11"/>
        <v/>
      </c>
      <c r="W236" s="8"/>
      <c r="X236" s="10"/>
      <c r="Y236" s="8"/>
    </row>
    <row r="237" spans="1:25">
      <c r="A237" s="8"/>
      <c r="B237" s="8"/>
      <c r="C237" s="8"/>
      <c r="D237" s="8"/>
      <c r="E237" s="8"/>
      <c r="F237" s="8"/>
      <c r="G237" s="8"/>
      <c r="H237" s="8"/>
      <c r="I237" s="13"/>
      <c r="J237" s="13"/>
      <c r="K237" s="13"/>
      <c r="L237" s="13"/>
      <c r="M237" s="13"/>
      <c r="N237" s="13"/>
      <c r="O237" s="13"/>
      <c r="P237" s="13"/>
      <c r="Q237" s="14" t="str">
        <f t="shared" si="9"/>
        <v/>
      </c>
      <c r="R237" s="14" t="str">
        <f t="shared" si="10"/>
        <v/>
      </c>
      <c r="S237" s="10"/>
      <c r="T237" s="8"/>
      <c r="U237" s="8"/>
      <c r="V237" s="9" t="str">
        <f t="shared" si="11"/>
        <v/>
      </c>
      <c r="W237" s="8"/>
      <c r="X237" s="10"/>
      <c r="Y237" s="8"/>
    </row>
    <row r="238" spans="1:25">
      <c r="A238" s="8"/>
      <c r="B238" s="8"/>
      <c r="C238" s="8"/>
      <c r="D238" s="8"/>
      <c r="E238" s="8"/>
      <c r="F238" s="8"/>
      <c r="G238" s="8"/>
      <c r="H238" s="8"/>
      <c r="I238" s="13"/>
      <c r="J238" s="13"/>
      <c r="K238" s="13"/>
      <c r="L238" s="13"/>
      <c r="M238" s="13"/>
      <c r="N238" s="13"/>
      <c r="O238" s="13"/>
      <c r="P238" s="13"/>
      <c r="Q238" s="14" t="str">
        <f t="shared" si="9"/>
        <v/>
      </c>
      <c r="R238" s="14" t="str">
        <f t="shared" si="10"/>
        <v/>
      </c>
      <c r="S238" s="10"/>
      <c r="T238" s="8"/>
      <c r="U238" s="8"/>
      <c r="V238" s="9" t="str">
        <f t="shared" si="11"/>
        <v/>
      </c>
      <c r="W238" s="8"/>
      <c r="X238" s="10"/>
      <c r="Y238" s="8"/>
    </row>
    <row r="239" spans="1:25">
      <c r="A239" s="8"/>
      <c r="B239" s="8"/>
      <c r="C239" s="8"/>
      <c r="D239" s="8"/>
      <c r="E239" s="8"/>
      <c r="F239" s="8"/>
      <c r="G239" s="8"/>
      <c r="H239" s="8"/>
      <c r="I239" s="13"/>
      <c r="J239" s="13"/>
      <c r="K239" s="13"/>
      <c r="L239" s="13"/>
      <c r="M239" s="13"/>
      <c r="N239" s="13"/>
      <c r="O239" s="13"/>
      <c r="P239" s="13"/>
      <c r="Q239" s="14" t="str">
        <f t="shared" si="9"/>
        <v/>
      </c>
      <c r="R239" s="14" t="str">
        <f t="shared" si="10"/>
        <v/>
      </c>
      <c r="S239" s="10"/>
      <c r="T239" s="8"/>
      <c r="U239" s="8"/>
      <c r="V239" s="9" t="str">
        <f t="shared" si="11"/>
        <v/>
      </c>
      <c r="W239" s="8"/>
      <c r="X239" s="10"/>
      <c r="Y239" s="8"/>
    </row>
    <row r="240" spans="1:25">
      <c r="A240" s="8"/>
      <c r="B240" s="8"/>
      <c r="C240" s="8"/>
      <c r="D240" s="8"/>
      <c r="E240" s="8"/>
      <c r="F240" s="8"/>
      <c r="G240" s="8"/>
      <c r="H240" s="8"/>
      <c r="I240" s="13"/>
      <c r="J240" s="13"/>
      <c r="K240" s="13"/>
      <c r="L240" s="13"/>
      <c r="M240" s="13"/>
      <c r="N240" s="13"/>
      <c r="O240" s="13"/>
      <c r="P240" s="13"/>
      <c r="Q240" s="14" t="str">
        <f t="shared" si="9"/>
        <v/>
      </c>
      <c r="R240" s="14" t="str">
        <f t="shared" si="10"/>
        <v/>
      </c>
      <c r="S240" s="10"/>
      <c r="T240" s="8"/>
      <c r="U240" s="8"/>
      <c r="V240" s="9" t="str">
        <f t="shared" si="11"/>
        <v/>
      </c>
      <c r="W240" s="8"/>
      <c r="X240" s="10"/>
      <c r="Y240" s="8"/>
    </row>
    <row r="241" spans="1:25">
      <c r="A241" s="8"/>
      <c r="B241" s="8"/>
      <c r="C241" s="8"/>
      <c r="D241" s="8"/>
      <c r="E241" s="8"/>
      <c r="F241" s="8"/>
      <c r="G241" s="8"/>
      <c r="H241" s="8"/>
      <c r="I241" s="13"/>
      <c r="J241" s="13"/>
      <c r="K241" s="13"/>
      <c r="L241" s="13"/>
      <c r="M241" s="13"/>
      <c r="N241" s="13"/>
      <c r="O241" s="13"/>
      <c r="P241" s="13"/>
      <c r="Q241" s="14" t="str">
        <f t="shared" si="9"/>
        <v/>
      </c>
      <c r="R241" s="14" t="str">
        <f t="shared" si="10"/>
        <v/>
      </c>
      <c r="S241" s="10"/>
      <c r="T241" s="8"/>
      <c r="U241" s="8"/>
      <c r="V241" s="9" t="str">
        <f t="shared" si="11"/>
        <v/>
      </c>
      <c r="W241" s="8"/>
      <c r="X241" s="10"/>
      <c r="Y241" s="8"/>
    </row>
    <row r="242" spans="1:25">
      <c r="A242" s="8"/>
      <c r="B242" s="8"/>
      <c r="C242" s="8"/>
      <c r="D242" s="8"/>
      <c r="E242" s="8"/>
      <c r="F242" s="8"/>
      <c r="G242" s="8"/>
      <c r="H242" s="8"/>
      <c r="I242" s="13"/>
      <c r="J242" s="13"/>
      <c r="K242" s="13"/>
      <c r="L242" s="13"/>
      <c r="M242" s="13"/>
      <c r="N242" s="13"/>
      <c r="O242" s="13"/>
      <c r="P242" s="13"/>
      <c r="Q242" s="14" t="str">
        <f t="shared" si="9"/>
        <v/>
      </c>
      <c r="R242" s="14" t="str">
        <f t="shared" si="10"/>
        <v/>
      </c>
      <c r="S242" s="10"/>
      <c r="T242" s="8"/>
      <c r="U242" s="8"/>
      <c r="V242" s="9" t="str">
        <f t="shared" si="11"/>
        <v/>
      </c>
      <c r="W242" s="8"/>
      <c r="X242" s="10"/>
      <c r="Y242" s="8"/>
    </row>
    <row r="243" spans="1:25">
      <c r="A243" s="8"/>
      <c r="B243" s="8"/>
      <c r="C243" s="8"/>
      <c r="D243" s="8"/>
      <c r="E243" s="8"/>
      <c r="F243" s="8"/>
      <c r="G243" s="8"/>
      <c r="H243" s="8"/>
      <c r="I243" s="13"/>
      <c r="J243" s="13"/>
      <c r="K243" s="13"/>
      <c r="L243" s="13"/>
      <c r="M243" s="13"/>
      <c r="N243" s="13"/>
      <c r="O243" s="13"/>
      <c r="P243" s="13"/>
      <c r="Q243" s="14" t="str">
        <f t="shared" si="9"/>
        <v/>
      </c>
      <c r="R243" s="14" t="str">
        <f t="shared" si="10"/>
        <v/>
      </c>
      <c r="S243" s="10"/>
      <c r="T243" s="8"/>
      <c r="U243" s="8"/>
      <c r="V243" s="9" t="str">
        <f t="shared" si="11"/>
        <v/>
      </c>
      <c r="W243" s="8"/>
      <c r="X243" s="10"/>
      <c r="Y243" s="8"/>
    </row>
    <row r="244" spans="1:25">
      <c r="A244" s="8"/>
      <c r="B244" s="8"/>
      <c r="C244" s="8"/>
      <c r="D244" s="8"/>
      <c r="E244" s="8"/>
      <c r="F244" s="8"/>
      <c r="G244" s="8"/>
      <c r="H244" s="8"/>
      <c r="I244" s="13"/>
      <c r="J244" s="13"/>
      <c r="K244" s="13"/>
      <c r="L244" s="13"/>
      <c r="M244" s="13"/>
      <c r="N244" s="13"/>
      <c r="O244" s="13"/>
      <c r="P244" s="13"/>
      <c r="Q244" s="14" t="str">
        <f t="shared" si="9"/>
        <v/>
      </c>
      <c r="R244" s="14" t="str">
        <f t="shared" si="10"/>
        <v/>
      </c>
      <c r="S244" s="10"/>
      <c r="T244" s="8"/>
      <c r="U244" s="8"/>
      <c r="V244" s="9" t="str">
        <f t="shared" si="11"/>
        <v/>
      </c>
      <c r="W244" s="8"/>
      <c r="X244" s="10"/>
      <c r="Y244" s="8"/>
    </row>
    <row r="245" spans="1:25">
      <c r="A245" s="8"/>
      <c r="B245" s="8"/>
      <c r="C245" s="8"/>
      <c r="D245" s="8"/>
      <c r="E245" s="8"/>
      <c r="F245" s="8"/>
      <c r="G245" s="8"/>
      <c r="H245" s="8"/>
      <c r="I245" s="13"/>
      <c r="J245" s="13"/>
      <c r="K245" s="13"/>
      <c r="L245" s="13"/>
      <c r="M245" s="13"/>
      <c r="N245" s="13"/>
      <c r="O245" s="13"/>
      <c r="P245" s="13"/>
      <c r="Q245" s="14" t="str">
        <f t="shared" si="9"/>
        <v/>
      </c>
      <c r="R245" s="14" t="str">
        <f t="shared" si="10"/>
        <v/>
      </c>
      <c r="S245" s="10"/>
      <c r="T245" s="8"/>
      <c r="U245" s="8"/>
      <c r="V245" s="9" t="str">
        <f t="shared" si="11"/>
        <v/>
      </c>
      <c r="W245" s="8"/>
      <c r="X245" s="10"/>
      <c r="Y245" s="8"/>
    </row>
    <row r="246" spans="1:25">
      <c r="A246" s="8"/>
      <c r="B246" s="8"/>
      <c r="C246" s="8"/>
      <c r="D246" s="8"/>
      <c r="E246" s="8"/>
      <c r="F246" s="8"/>
      <c r="G246" s="8"/>
      <c r="H246" s="8"/>
      <c r="I246" s="13"/>
      <c r="J246" s="13"/>
      <c r="K246" s="13"/>
      <c r="L246" s="13"/>
      <c r="M246" s="13"/>
      <c r="N246" s="13"/>
      <c r="O246" s="13"/>
      <c r="P246" s="13"/>
      <c r="Q246" s="14" t="str">
        <f t="shared" si="9"/>
        <v/>
      </c>
      <c r="R246" s="14" t="str">
        <f t="shared" si="10"/>
        <v/>
      </c>
      <c r="S246" s="10"/>
      <c r="T246" s="8"/>
      <c r="U246" s="8"/>
      <c r="V246" s="9" t="str">
        <f t="shared" si="11"/>
        <v/>
      </c>
      <c r="W246" s="8"/>
      <c r="X246" s="10"/>
      <c r="Y246" s="8"/>
    </row>
    <row r="247" spans="1:25">
      <c r="A247" s="8"/>
      <c r="B247" s="8"/>
      <c r="C247" s="8"/>
      <c r="D247" s="8"/>
      <c r="E247" s="8"/>
      <c r="F247" s="8"/>
      <c r="G247" s="8"/>
      <c r="H247" s="8"/>
      <c r="I247" s="13"/>
      <c r="J247" s="13"/>
      <c r="K247" s="13"/>
      <c r="L247" s="13"/>
      <c r="M247" s="13"/>
      <c r="N247" s="13"/>
      <c r="O247" s="13"/>
      <c r="P247" s="13"/>
      <c r="Q247" s="14" t="str">
        <f t="shared" si="9"/>
        <v/>
      </c>
      <c r="R247" s="14" t="str">
        <f t="shared" si="10"/>
        <v/>
      </c>
      <c r="S247" s="10"/>
      <c r="T247" s="8"/>
      <c r="U247" s="8"/>
      <c r="V247" s="9" t="str">
        <f t="shared" si="11"/>
        <v/>
      </c>
      <c r="W247" s="8"/>
      <c r="X247" s="10"/>
      <c r="Y247" s="8"/>
    </row>
    <row r="248" spans="1:25">
      <c r="A248" s="8"/>
      <c r="B248" s="8"/>
      <c r="C248" s="8"/>
      <c r="D248" s="8"/>
      <c r="E248" s="8"/>
      <c r="F248" s="8"/>
      <c r="G248" s="8"/>
      <c r="H248" s="8"/>
      <c r="I248" s="13"/>
      <c r="J248" s="13"/>
      <c r="K248" s="13"/>
      <c r="L248" s="13"/>
      <c r="M248" s="13"/>
      <c r="N248" s="13"/>
      <c r="O248" s="13"/>
      <c r="P248" s="13"/>
      <c r="Q248" s="14" t="str">
        <f t="shared" si="9"/>
        <v/>
      </c>
      <c r="R248" s="14" t="str">
        <f t="shared" si="10"/>
        <v/>
      </c>
      <c r="S248" s="10"/>
      <c r="T248" s="8"/>
      <c r="U248" s="8"/>
      <c r="V248" s="9" t="str">
        <f t="shared" si="11"/>
        <v/>
      </c>
      <c r="W248" s="8"/>
      <c r="X248" s="10"/>
      <c r="Y248" s="8"/>
    </row>
    <row r="249" spans="1:25">
      <c r="A249" s="8"/>
      <c r="B249" s="8"/>
      <c r="C249" s="8"/>
      <c r="D249" s="8"/>
      <c r="E249" s="8"/>
      <c r="F249" s="8"/>
      <c r="G249" s="8"/>
      <c r="H249" s="8"/>
      <c r="I249" s="13"/>
      <c r="J249" s="13"/>
      <c r="K249" s="13"/>
      <c r="L249" s="13"/>
      <c r="M249" s="13"/>
      <c r="N249" s="13"/>
      <c r="O249" s="13"/>
      <c r="P249" s="13"/>
      <c r="Q249" s="14" t="str">
        <f t="shared" si="9"/>
        <v/>
      </c>
      <c r="R249" s="14" t="str">
        <f t="shared" si="10"/>
        <v/>
      </c>
      <c r="S249" s="10"/>
      <c r="T249" s="8"/>
      <c r="U249" s="8"/>
      <c r="V249" s="9" t="str">
        <f t="shared" si="11"/>
        <v/>
      </c>
      <c r="W249" s="8"/>
      <c r="X249" s="10"/>
      <c r="Y249" s="8"/>
    </row>
    <row r="250" spans="1:25">
      <c r="A250" s="8"/>
      <c r="B250" s="8"/>
      <c r="C250" s="8"/>
      <c r="D250" s="8"/>
      <c r="E250" s="8"/>
      <c r="F250" s="8"/>
      <c r="G250" s="8"/>
      <c r="H250" s="8"/>
      <c r="I250" s="13"/>
      <c r="J250" s="13"/>
      <c r="K250" s="13"/>
      <c r="L250" s="13"/>
      <c r="M250" s="13"/>
      <c r="N250" s="13"/>
      <c r="O250" s="13"/>
      <c r="P250" s="13"/>
      <c r="Q250" s="14" t="str">
        <f t="shared" si="9"/>
        <v/>
      </c>
      <c r="R250" s="14" t="str">
        <f t="shared" si="10"/>
        <v/>
      </c>
      <c r="S250" s="10"/>
      <c r="T250" s="8"/>
      <c r="U250" s="8"/>
      <c r="V250" s="9" t="str">
        <f t="shared" si="11"/>
        <v/>
      </c>
      <c r="W250" s="8"/>
      <c r="X250" s="10"/>
      <c r="Y250" s="8"/>
    </row>
    <row r="251" spans="1:25">
      <c r="A251" s="8"/>
      <c r="B251" s="8"/>
      <c r="C251" s="8"/>
      <c r="D251" s="8"/>
      <c r="E251" s="8"/>
      <c r="F251" s="8"/>
      <c r="G251" s="8"/>
      <c r="H251" s="8"/>
      <c r="I251" s="13"/>
      <c r="J251" s="13"/>
      <c r="K251" s="13"/>
      <c r="L251" s="13"/>
      <c r="M251" s="13"/>
      <c r="N251" s="13"/>
      <c r="O251" s="13"/>
      <c r="P251" s="13"/>
      <c r="Q251" s="14" t="str">
        <f t="shared" si="9"/>
        <v/>
      </c>
      <c r="R251" s="14" t="str">
        <f t="shared" si="10"/>
        <v/>
      </c>
      <c r="S251" s="10"/>
      <c r="T251" s="8"/>
      <c r="U251" s="8"/>
      <c r="V251" s="9" t="str">
        <f t="shared" si="11"/>
        <v/>
      </c>
      <c r="W251" s="8"/>
      <c r="X251" s="10"/>
      <c r="Y251" s="8"/>
    </row>
    <row r="252" spans="1:25">
      <c r="A252" s="8"/>
      <c r="B252" s="8"/>
      <c r="C252" s="8"/>
      <c r="D252" s="8"/>
      <c r="E252" s="8"/>
      <c r="F252" s="8"/>
      <c r="G252" s="8"/>
      <c r="H252" s="8"/>
      <c r="I252" s="13"/>
      <c r="J252" s="13"/>
      <c r="K252" s="13"/>
      <c r="L252" s="13"/>
      <c r="M252" s="13"/>
      <c r="N252" s="13"/>
      <c r="O252" s="13"/>
      <c r="P252" s="13"/>
      <c r="Q252" s="14" t="str">
        <f t="shared" si="9"/>
        <v/>
      </c>
      <c r="R252" s="14" t="str">
        <f t="shared" si="10"/>
        <v/>
      </c>
      <c r="S252" s="10"/>
      <c r="T252" s="8"/>
      <c r="U252" s="8"/>
      <c r="V252" s="9" t="str">
        <f t="shared" si="11"/>
        <v/>
      </c>
      <c r="W252" s="8"/>
      <c r="X252" s="10"/>
      <c r="Y252" s="8"/>
    </row>
    <row r="253" spans="1:25">
      <c r="A253" s="8"/>
      <c r="B253" s="8"/>
      <c r="C253" s="8"/>
      <c r="D253" s="8"/>
      <c r="E253" s="8"/>
      <c r="F253" s="8"/>
      <c r="G253" s="8"/>
      <c r="H253" s="8"/>
      <c r="I253" s="13"/>
      <c r="J253" s="13"/>
      <c r="K253" s="13"/>
      <c r="L253" s="13"/>
      <c r="M253" s="13"/>
      <c r="N253" s="13"/>
      <c r="O253" s="13"/>
      <c r="P253" s="13"/>
      <c r="Q253" s="14" t="str">
        <f t="shared" si="9"/>
        <v/>
      </c>
      <c r="R253" s="14" t="str">
        <f t="shared" si="10"/>
        <v/>
      </c>
      <c r="S253" s="10"/>
      <c r="T253" s="8"/>
      <c r="U253" s="8"/>
      <c r="V253" s="9" t="str">
        <f t="shared" si="11"/>
        <v/>
      </c>
      <c r="W253" s="8"/>
      <c r="X253" s="10"/>
      <c r="Y253" s="8"/>
    </row>
    <row r="254" spans="1:25">
      <c r="A254" s="8"/>
      <c r="B254" s="8"/>
      <c r="C254" s="8"/>
      <c r="D254" s="8"/>
      <c r="E254" s="8"/>
      <c r="F254" s="8"/>
      <c r="G254" s="8"/>
      <c r="H254" s="8"/>
      <c r="I254" s="13"/>
      <c r="J254" s="13"/>
      <c r="K254" s="13"/>
      <c r="L254" s="13"/>
      <c r="M254" s="13"/>
      <c r="N254" s="13"/>
      <c r="O254" s="13"/>
      <c r="P254" s="13"/>
      <c r="Q254" s="14" t="str">
        <f t="shared" si="9"/>
        <v/>
      </c>
      <c r="R254" s="14" t="str">
        <f t="shared" si="10"/>
        <v/>
      </c>
      <c r="S254" s="10"/>
      <c r="T254" s="8"/>
      <c r="U254" s="8"/>
      <c r="V254" s="9" t="str">
        <f t="shared" si="11"/>
        <v/>
      </c>
      <c r="W254" s="8"/>
      <c r="X254" s="10"/>
      <c r="Y254" s="8"/>
    </row>
    <row r="255" spans="1:25">
      <c r="A255" s="8"/>
      <c r="B255" s="8"/>
      <c r="C255" s="8"/>
      <c r="D255" s="8"/>
      <c r="E255" s="8"/>
      <c r="F255" s="8"/>
      <c r="G255" s="8"/>
      <c r="H255" s="8"/>
      <c r="I255" s="13"/>
      <c r="J255" s="13"/>
      <c r="K255" s="13"/>
      <c r="L255" s="13"/>
      <c r="M255" s="13"/>
      <c r="N255" s="13"/>
      <c r="O255" s="13"/>
      <c r="P255" s="13"/>
      <c r="Q255" s="14" t="str">
        <f t="shared" si="9"/>
        <v/>
      </c>
      <c r="R255" s="14" t="str">
        <f t="shared" si="10"/>
        <v/>
      </c>
      <c r="S255" s="10"/>
      <c r="T255" s="8"/>
      <c r="U255" s="8"/>
      <c r="V255" s="9" t="str">
        <f t="shared" si="11"/>
        <v/>
      </c>
      <c r="W255" s="8"/>
      <c r="X255" s="10"/>
      <c r="Y255" s="8"/>
    </row>
    <row r="256" spans="1:25">
      <c r="A256" s="8"/>
      <c r="B256" s="8"/>
      <c r="C256" s="8"/>
      <c r="D256" s="8"/>
      <c r="E256" s="8"/>
      <c r="F256" s="8"/>
      <c r="G256" s="8"/>
      <c r="H256" s="8"/>
      <c r="I256" s="13"/>
      <c r="J256" s="13"/>
      <c r="K256" s="13"/>
      <c r="L256" s="13"/>
      <c r="M256" s="13"/>
      <c r="N256" s="13"/>
      <c r="O256" s="13"/>
      <c r="P256" s="13"/>
      <c r="Q256" s="14" t="str">
        <f t="shared" si="9"/>
        <v/>
      </c>
      <c r="R256" s="14" t="str">
        <f t="shared" si="10"/>
        <v/>
      </c>
      <c r="S256" s="10"/>
      <c r="T256" s="8"/>
      <c r="U256" s="8"/>
      <c r="V256" s="9" t="str">
        <f t="shared" si="11"/>
        <v/>
      </c>
      <c r="W256" s="8"/>
      <c r="X256" s="10"/>
      <c r="Y256" s="8"/>
    </row>
    <row r="257" spans="1:25">
      <c r="A257" s="8"/>
      <c r="B257" s="8"/>
      <c r="C257" s="8"/>
      <c r="D257" s="8"/>
      <c r="E257" s="8"/>
      <c r="F257" s="8"/>
      <c r="G257" s="8"/>
      <c r="H257" s="8"/>
      <c r="I257" s="13"/>
      <c r="J257" s="13"/>
      <c r="K257" s="13"/>
      <c r="L257" s="13"/>
      <c r="M257" s="13"/>
      <c r="N257" s="13"/>
      <c r="O257" s="13"/>
      <c r="P257" s="13"/>
      <c r="Q257" s="14" t="str">
        <f t="shared" si="9"/>
        <v/>
      </c>
      <c r="R257" s="14" t="str">
        <f t="shared" si="10"/>
        <v/>
      </c>
      <c r="S257" s="10"/>
      <c r="T257" s="8"/>
      <c r="U257" s="8"/>
      <c r="V257" s="9" t="str">
        <f t="shared" si="11"/>
        <v/>
      </c>
      <c r="W257" s="8"/>
      <c r="X257" s="10"/>
      <c r="Y257" s="8"/>
    </row>
    <row r="258" spans="1:25">
      <c r="A258" s="8"/>
      <c r="B258" s="8"/>
      <c r="C258" s="8"/>
      <c r="D258" s="8"/>
      <c r="E258" s="8"/>
      <c r="F258" s="8"/>
      <c r="G258" s="8"/>
      <c r="H258" s="8"/>
      <c r="I258" s="13"/>
      <c r="J258" s="13"/>
      <c r="K258" s="13"/>
      <c r="L258" s="13"/>
      <c r="M258" s="13"/>
      <c r="N258" s="13"/>
      <c r="O258" s="13"/>
      <c r="P258" s="13"/>
      <c r="Q258" s="14" t="str">
        <f t="shared" si="9"/>
        <v/>
      </c>
      <c r="R258" s="14" t="str">
        <f t="shared" si="10"/>
        <v/>
      </c>
      <c r="S258" s="10"/>
      <c r="T258" s="8"/>
      <c r="U258" s="8"/>
      <c r="V258" s="9" t="str">
        <f t="shared" si="11"/>
        <v/>
      </c>
      <c r="W258" s="8"/>
      <c r="X258" s="10"/>
      <c r="Y258" s="8"/>
    </row>
    <row r="259" spans="1:25">
      <c r="A259" s="8"/>
      <c r="B259" s="8"/>
      <c r="C259" s="8"/>
      <c r="D259" s="8"/>
      <c r="E259" s="8"/>
      <c r="F259" s="8"/>
      <c r="G259" s="8"/>
      <c r="H259" s="8"/>
      <c r="I259" s="13"/>
      <c r="J259" s="13"/>
      <c r="K259" s="13"/>
      <c r="L259" s="13"/>
      <c r="M259" s="13"/>
      <c r="N259" s="13"/>
      <c r="O259" s="13"/>
      <c r="P259" s="13"/>
      <c r="Q259" s="14" t="str">
        <f t="shared" si="9"/>
        <v/>
      </c>
      <c r="R259" s="14" t="str">
        <f t="shared" si="10"/>
        <v/>
      </c>
      <c r="S259" s="10"/>
      <c r="T259" s="8"/>
      <c r="U259" s="8"/>
      <c r="V259" s="9" t="str">
        <f t="shared" si="11"/>
        <v/>
      </c>
      <c r="W259" s="8"/>
      <c r="X259" s="10"/>
      <c r="Y259" s="8"/>
    </row>
    <row r="260" spans="1:25">
      <c r="A260" s="8"/>
      <c r="B260" s="8"/>
      <c r="C260" s="8"/>
      <c r="D260" s="8"/>
      <c r="E260" s="8"/>
      <c r="F260" s="8"/>
      <c r="G260" s="8"/>
      <c r="H260" s="8"/>
      <c r="I260" s="13"/>
      <c r="J260" s="13"/>
      <c r="K260" s="13"/>
      <c r="L260" s="13"/>
      <c r="M260" s="13"/>
      <c r="N260" s="13"/>
      <c r="O260" s="13"/>
      <c r="P260" s="13"/>
      <c r="Q260" s="14" t="str">
        <f t="shared" si="9"/>
        <v/>
      </c>
      <c r="R260" s="14" t="str">
        <f t="shared" si="10"/>
        <v/>
      </c>
      <c r="S260" s="10"/>
      <c r="T260" s="8"/>
      <c r="U260" s="8"/>
      <c r="V260" s="9" t="str">
        <f t="shared" si="11"/>
        <v/>
      </c>
      <c r="W260" s="8"/>
      <c r="X260" s="10"/>
      <c r="Y260" s="8"/>
    </row>
    <row r="261" spans="1:25">
      <c r="A261" s="8"/>
      <c r="B261" s="8"/>
      <c r="C261" s="8"/>
      <c r="D261" s="8"/>
      <c r="E261" s="8"/>
      <c r="F261" s="8"/>
      <c r="G261" s="8"/>
      <c r="H261" s="8"/>
      <c r="I261" s="13"/>
      <c r="J261" s="13"/>
      <c r="K261" s="13"/>
      <c r="L261" s="13"/>
      <c r="M261" s="13"/>
      <c r="N261" s="13"/>
      <c r="O261" s="13"/>
      <c r="P261" s="13"/>
      <c r="Q261" s="14" t="str">
        <f t="shared" ref="Q261:Q324" si="12">IF(A261="","",MAX(0,M261-O261-P261))</f>
        <v/>
      </c>
      <c r="R261" s="14" t="str">
        <f t="shared" ref="R261:R304" si="13">IF(A261="","",MAX(0,J261-M261))</f>
        <v/>
      </c>
      <c r="S261" s="10"/>
      <c r="T261" s="8"/>
      <c r="U261" s="8"/>
      <c r="V261" s="9" t="str">
        <f t="shared" ref="V261:V304" si="14">IF(A261="","",IF(R261&gt;0,"Shortage",IF(Q261&gt;=J261,"Ready",IF(Q261&gt;0,"Partially Ready","Pending"))))</f>
        <v/>
      </c>
      <c r="W261" s="8"/>
      <c r="X261" s="10"/>
      <c r="Y261" s="8"/>
    </row>
    <row r="262" spans="1:25">
      <c r="A262" s="8"/>
      <c r="B262" s="8"/>
      <c r="C262" s="8"/>
      <c r="D262" s="8"/>
      <c r="E262" s="8"/>
      <c r="F262" s="8"/>
      <c r="G262" s="8"/>
      <c r="H262" s="8"/>
      <c r="I262" s="13"/>
      <c r="J262" s="13"/>
      <c r="K262" s="13"/>
      <c r="L262" s="13"/>
      <c r="M262" s="13"/>
      <c r="N262" s="13"/>
      <c r="O262" s="13"/>
      <c r="P262" s="13"/>
      <c r="Q262" s="14" t="str">
        <f t="shared" si="12"/>
        <v/>
      </c>
      <c r="R262" s="14" t="str">
        <f t="shared" si="13"/>
        <v/>
      </c>
      <c r="S262" s="10"/>
      <c r="T262" s="8"/>
      <c r="U262" s="8"/>
      <c r="V262" s="9" t="str">
        <f t="shared" si="14"/>
        <v/>
      </c>
      <c r="W262" s="8"/>
      <c r="X262" s="10"/>
      <c r="Y262" s="8"/>
    </row>
    <row r="263" spans="1:25">
      <c r="A263" s="8"/>
      <c r="B263" s="8"/>
      <c r="C263" s="8"/>
      <c r="D263" s="8"/>
      <c r="E263" s="8"/>
      <c r="F263" s="8"/>
      <c r="G263" s="8"/>
      <c r="H263" s="8"/>
      <c r="I263" s="13"/>
      <c r="J263" s="13"/>
      <c r="K263" s="13"/>
      <c r="L263" s="13"/>
      <c r="M263" s="13"/>
      <c r="N263" s="13"/>
      <c r="O263" s="13"/>
      <c r="P263" s="13"/>
      <c r="Q263" s="14" t="str">
        <f t="shared" si="12"/>
        <v/>
      </c>
      <c r="R263" s="14" t="str">
        <f t="shared" si="13"/>
        <v/>
      </c>
      <c r="S263" s="10"/>
      <c r="T263" s="8"/>
      <c r="U263" s="8"/>
      <c r="V263" s="9" t="str">
        <f t="shared" si="14"/>
        <v/>
      </c>
      <c r="W263" s="8"/>
      <c r="X263" s="10"/>
      <c r="Y263" s="8"/>
    </row>
    <row r="264" spans="1:25">
      <c r="A264" s="8"/>
      <c r="B264" s="8"/>
      <c r="C264" s="8"/>
      <c r="D264" s="8"/>
      <c r="E264" s="8"/>
      <c r="F264" s="8"/>
      <c r="G264" s="8"/>
      <c r="H264" s="8"/>
      <c r="I264" s="13"/>
      <c r="J264" s="13"/>
      <c r="K264" s="13"/>
      <c r="L264" s="13"/>
      <c r="M264" s="13"/>
      <c r="N264" s="13"/>
      <c r="O264" s="13"/>
      <c r="P264" s="13"/>
      <c r="Q264" s="14" t="str">
        <f t="shared" si="12"/>
        <v/>
      </c>
      <c r="R264" s="14" t="str">
        <f t="shared" si="13"/>
        <v/>
      </c>
      <c r="S264" s="10"/>
      <c r="T264" s="8"/>
      <c r="U264" s="8"/>
      <c r="V264" s="9" t="str">
        <f t="shared" si="14"/>
        <v/>
      </c>
      <c r="W264" s="8"/>
      <c r="X264" s="10"/>
      <c r="Y264" s="8"/>
    </row>
    <row r="265" spans="1:25">
      <c r="A265" s="8"/>
      <c r="B265" s="8"/>
      <c r="C265" s="8"/>
      <c r="D265" s="8"/>
      <c r="E265" s="8"/>
      <c r="F265" s="8"/>
      <c r="G265" s="8"/>
      <c r="H265" s="8"/>
      <c r="I265" s="13"/>
      <c r="J265" s="13"/>
      <c r="K265" s="13"/>
      <c r="L265" s="13"/>
      <c r="M265" s="13"/>
      <c r="N265" s="13"/>
      <c r="O265" s="13"/>
      <c r="P265" s="13"/>
      <c r="Q265" s="14" t="str">
        <f t="shared" si="12"/>
        <v/>
      </c>
      <c r="R265" s="14" t="str">
        <f t="shared" si="13"/>
        <v/>
      </c>
      <c r="S265" s="10"/>
      <c r="T265" s="8"/>
      <c r="U265" s="8"/>
      <c r="V265" s="9" t="str">
        <f t="shared" si="14"/>
        <v/>
      </c>
      <c r="W265" s="8"/>
      <c r="X265" s="10"/>
      <c r="Y265" s="8"/>
    </row>
    <row r="266" spans="1:25">
      <c r="A266" s="8"/>
      <c r="B266" s="8"/>
      <c r="C266" s="8"/>
      <c r="D266" s="8"/>
      <c r="E266" s="8"/>
      <c r="F266" s="8"/>
      <c r="G266" s="8"/>
      <c r="H266" s="8"/>
      <c r="I266" s="13"/>
      <c r="J266" s="13"/>
      <c r="K266" s="13"/>
      <c r="L266" s="13"/>
      <c r="M266" s="13"/>
      <c r="N266" s="13"/>
      <c r="O266" s="13"/>
      <c r="P266" s="13"/>
      <c r="Q266" s="14" t="str">
        <f t="shared" si="12"/>
        <v/>
      </c>
      <c r="R266" s="14" t="str">
        <f t="shared" si="13"/>
        <v/>
      </c>
      <c r="S266" s="10"/>
      <c r="T266" s="8"/>
      <c r="U266" s="8"/>
      <c r="V266" s="9" t="str">
        <f t="shared" si="14"/>
        <v/>
      </c>
      <c r="W266" s="8"/>
      <c r="X266" s="10"/>
      <c r="Y266" s="8"/>
    </row>
    <row r="267" spans="1:25">
      <c r="A267" s="8"/>
      <c r="B267" s="8"/>
      <c r="C267" s="8"/>
      <c r="D267" s="8"/>
      <c r="E267" s="8"/>
      <c r="F267" s="8"/>
      <c r="G267" s="8"/>
      <c r="H267" s="8"/>
      <c r="I267" s="13"/>
      <c r="J267" s="13"/>
      <c r="K267" s="13"/>
      <c r="L267" s="13"/>
      <c r="M267" s="13"/>
      <c r="N267" s="13"/>
      <c r="O267" s="13"/>
      <c r="P267" s="13"/>
      <c r="Q267" s="14" t="str">
        <f t="shared" si="12"/>
        <v/>
      </c>
      <c r="R267" s="14" t="str">
        <f t="shared" si="13"/>
        <v/>
      </c>
      <c r="S267" s="10"/>
      <c r="T267" s="8"/>
      <c r="U267" s="8"/>
      <c r="V267" s="9" t="str">
        <f t="shared" si="14"/>
        <v/>
      </c>
      <c r="W267" s="8"/>
      <c r="X267" s="10"/>
      <c r="Y267" s="8"/>
    </row>
    <row r="268" spans="1:25">
      <c r="A268" s="8"/>
      <c r="B268" s="8"/>
      <c r="C268" s="8"/>
      <c r="D268" s="8"/>
      <c r="E268" s="8"/>
      <c r="F268" s="8"/>
      <c r="G268" s="8"/>
      <c r="H268" s="8"/>
      <c r="I268" s="13"/>
      <c r="J268" s="13"/>
      <c r="K268" s="13"/>
      <c r="L268" s="13"/>
      <c r="M268" s="13"/>
      <c r="N268" s="13"/>
      <c r="O268" s="13"/>
      <c r="P268" s="13"/>
      <c r="Q268" s="14" t="str">
        <f t="shared" si="12"/>
        <v/>
      </c>
      <c r="R268" s="14" t="str">
        <f t="shared" si="13"/>
        <v/>
      </c>
      <c r="S268" s="10"/>
      <c r="T268" s="8"/>
      <c r="U268" s="8"/>
      <c r="V268" s="9" t="str">
        <f t="shared" si="14"/>
        <v/>
      </c>
      <c r="W268" s="8"/>
      <c r="X268" s="10"/>
      <c r="Y268" s="8"/>
    </row>
    <row r="269" spans="1:25">
      <c r="A269" s="8"/>
      <c r="B269" s="8"/>
      <c r="C269" s="8"/>
      <c r="D269" s="8"/>
      <c r="E269" s="8"/>
      <c r="F269" s="8"/>
      <c r="G269" s="8"/>
      <c r="H269" s="8"/>
      <c r="I269" s="13"/>
      <c r="J269" s="13"/>
      <c r="K269" s="13"/>
      <c r="L269" s="13"/>
      <c r="M269" s="13"/>
      <c r="N269" s="13"/>
      <c r="O269" s="13"/>
      <c r="P269" s="13"/>
      <c r="Q269" s="14" t="str">
        <f t="shared" si="12"/>
        <v/>
      </c>
      <c r="R269" s="14" t="str">
        <f t="shared" si="13"/>
        <v/>
      </c>
      <c r="S269" s="10"/>
      <c r="T269" s="8"/>
      <c r="U269" s="8"/>
      <c r="V269" s="9" t="str">
        <f t="shared" si="14"/>
        <v/>
      </c>
      <c r="W269" s="8"/>
      <c r="X269" s="10"/>
      <c r="Y269" s="8"/>
    </row>
    <row r="270" spans="1:25">
      <c r="A270" s="8"/>
      <c r="B270" s="8"/>
      <c r="C270" s="8"/>
      <c r="D270" s="8"/>
      <c r="E270" s="8"/>
      <c r="F270" s="8"/>
      <c r="G270" s="8"/>
      <c r="H270" s="8"/>
      <c r="I270" s="13"/>
      <c r="J270" s="13"/>
      <c r="K270" s="13"/>
      <c r="L270" s="13"/>
      <c r="M270" s="13"/>
      <c r="N270" s="13"/>
      <c r="O270" s="13"/>
      <c r="P270" s="13"/>
      <c r="Q270" s="14" t="str">
        <f t="shared" si="12"/>
        <v/>
      </c>
      <c r="R270" s="14" t="str">
        <f t="shared" si="13"/>
        <v/>
      </c>
      <c r="S270" s="10"/>
      <c r="T270" s="8"/>
      <c r="U270" s="8"/>
      <c r="V270" s="9" t="str">
        <f t="shared" si="14"/>
        <v/>
      </c>
      <c r="W270" s="8"/>
      <c r="X270" s="10"/>
      <c r="Y270" s="8"/>
    </row>
    <row r="271" spans="1:25">
      <c r="A271" s="8"/>
      <c r="B271" s="8"/>
      <c r="C271" s="8"/>
      <c r="D271" s="8"/>
      <c r="E271" s="8"/>
      <c r="F271" s="8"/>
      <c r="G271" s="8"/>
      <c r="H271" s="8"/>
      <c r="I271" s="13"/>
      <c r="J271" s="13"/>
      <c r="K271" s="13"/>
      <c r="L271" s="13"/>
      <c r="M271" s="13"/>
      <c r="N271" s="13"/>
      <c r="O271" s="13"/>
      <c r="P271" s="13"/>
      <c r="Q271" s="14" t="str">
        <f t="shared" si="12"/>
        <v/>
      </c>
      <c r="R271" s="14" t="str">
        <f t="shared" si="13"/>
        <v/>
      </c>
      <c r="S271" s="10"/>
      <c r="T271" s="8"/>
      <c r="U271" s="8"/>
      <c r="V271" s="9" t="str">
        <f t="shared" si="14"/>
        <v/>
      </c>
      <c r="W271" s="8"/>
      <c r="X271" s="10"/>
      <c r="Y271" s="8"/>
    </row>
    <row r="272" spans="1:25">
      <c r="A272" s="8"/>
      <c r="B272" s="8"/>
      <c r="C272" s="8"/>
      <c r="D272" s="8"/>
      <c r="E272" s="8"/>
      <c r="F272" s="8"/>
      <c r="G272" s="8"/>
      <c r="H272" s="8"/>
      <c r="I272" s="13"/>
      <c r="J272" s="13"/>
      <c r="K272" s="13"/>
      <c r="L272" s="13"/>
      <c r="M272" s="13"/>
      <c r="N272" s="13"/>
      <c r="O272" s="13"/>
      <c r="P272" s="13"/>
      <c r="Q272" s="14" t="str">
        <f t="shared" si="12"/>
        <v/>
      </c>
      <c r="R272" s="14" t="str">
        <f t="shared" si="13"/>
        <v/>
      </c>
      <c r="S272" s="10"/>
      <c r="T272" s="8"/>
      <c r="U272" s="8"/>
      <c r="V272" s="9" t="str">
        <f t="shared" si="14"/>
        <v/>
      </c>
      <c r="W272" s="8"/>
      <c r="X272" s="10"/>
      <c r="Y272" s="8"/>
    </row>
    <row r="273" spans="1:25">
      <c r="A273" s="8"/>
      <c r="B273" s="8"/>
      <c r="C273" s="8"/>
      <c r="D273" s="8"/>
      <c r="E273" s="8"/>
      <c r="F273" s="8"/>
      <c r="G273" s="8"/>
      <c r="H273" s="8"/>
      <c r="I273" s="13"/>
      <c r="J273" s="13"/>
      <c r="K273" s="13"/>
      <c r="L273" s="13"/>
      <c r="M273" s="13"/>
      <c r="N273" s="13"/>
      <c r="O273" s="13"/>
      <c r="P273" s="13"/>
      <c r="Q273" s="14" t="str">
        <f t="shared" si="12"/>
        <v/>
      </c>
      <c r="R273" s="14" t="str">
        <f t="shared" si="13"/>
        <v/>
      </c>
      <c r="S273" s="10"/>
      <c r="T273" s="8"/>
      <c r="U273" s="8"/>
      <c r="V273" s="9" t="str">
        <f t="shared" si="14"/>
        <v/>
      </c>
      <c r="W273" s="8"/>
      <c r="X273" s="10"/>
      <c r="Y273" s="8"/>
    </row>
    <row r="274" spans="1:25">
      <c r="A274" s="8"/>
      <c r="B274" s="8"/>
      <c r="C274" s="8"/>
      <c r="D274" s="8"/>
      <c r="E274" s="8"/>
      <c r="F274" s="8"/>
      <c r="G274" s="8"/>
      <c r="H274" s="8"/>
      <c r="I274" s="13"/>
      <c r="J274" s="13"/>
      <c r="K274" s="13"/>
      <c r="L274" s="13"/>
      <c r="M274" s="13"/>
      <c r="N274" s="13"/>
      <c r="O274" s="13"/>
      <c r="P274" s="13"/>
      <c r="Q274" s="14" t="str">
        <f t="shared" si="12"/>
        <v/>
      </c>
      <c r="R274" s="14" t="str">
        <f t="shared" si="13"/>
        <v/>
      </c>
      <c r="S274" s="10"/>
      <c r="T274" s="8"/>
      <c r="U274" s="8"/>
      <c r="V274" s="9" t="str">
        <f t="shared" si="14"/>
        <v/>
      </c>
      <c r="W274" s="8"/>
      <c r="X274" s="10"/>
      <c r="Y274" s="8"/>
    </row>
    <row r="275" spans="1:25">
      <c r="A275" s="8"/>
      <c r="B275" s="8"/>
      <c r="C275" s="8"/>
      <c r="D275" s="8"/>
      <c r="E275" s="8"/>
      <c r="F275" s="8"/>
      <c r="G275" s="8"/>
      <c r="H275" s="8"/>
      <c r="I275" s="13"/>
      <c r="J275" s="13"/>
      <c r="K275" s="13"/>
      <c r="L275" s="13"/>
      <c r="M275" s="13"/>
      <c r="N275" s="13"/>
      <c r="O275" s="13"/>
      <c r="P275" s="13"/>
      <c r="Q275" s="14" t="str">
        <f t="shared" si="12"/>
        <v/>
      </c>
      <c r="R275" s="14" t="str">
        <f t="shared" si="13"/>
        <v/>
      </c>
      <c r="S275" s="10"/>
      <c r="T275" s="8"/>
      <c r="U275" s="8"/>
      <c r="V275" s="9" t="str">
        <f t="shared" si="14"/>
        <v/>
      </c>
      <c r="W275" s="8"/>
      <c r="X275" s="10"/>
      <c r="Y275" s="8"/>
    </row>
    <row r="276" spans="1:25">
      <c r="A276" s="8"/>
      <c r="B276" s="8"/>
      <c r="C276" s="8"/>
      <c r="D276" s="8"/>
      <c r="E276" s="8"/>
      <c r="F276" s="8"/>
      <c r="G276" s="8"/>
      <c r="H276" s="8"/>
      <c r="I276" s="13"/>
      <c r="J276" s="13"/>
      <c r="K276" s="13"/>
      <c r="L276" s="13"/>
      <c r="M276" s="13"/>
      <c r="N276" s="13"/>
      <c r="O276" s="13"/>
      <c r="P276" s="13"/>
      <c r="Q276" s="14" t="str">
        <f t="shared" si="12"/>
        <v/>
      </c>
      <c r="R276" s="14" t="str">
        <f t="shared" si="13"/>
        <v/>
      </c>
      <c r="S276" s="10"/>
      <c r="T276" s="8"/>
      <c r="U276" s="8"/>
      <c r="V276" s="9" t="str">
        <f t="shared" si="14"/>
        <v/>
      </c>
      <c r="W276" s="8"/>
      <c r="X276" s="10"/>
      <c r="Y276" s="8"/>
    </row>
    <row r="277" spans="1:25">
      <c r="A277" s="8"/>
      <c r="B277" s="8"/>
      <c r="C277" s="8"/>
      <c r="D277" s="8"/>
      <c r="E277" s="8"/>
      <c r="F277" s="8"/>
      <c r="G277" s="8"/>
      <c r="H277" s="8"/>
      <c r="I277" s="13"/>
      <c r="J277" s="13"/>
      <c r="K277" s="13"/>
      <c r="L277" s="13"/>
      <c r="M277" s="13"/>
      <c r="N277" s="13"/>
      <c r="O277" s="13"/>
      <c r="P277" s="13"/>
      <c r="Q277" s="14" t="str">
        <f t="shared" si="12"/>
        <v/>
      </c>
      <c r="R277" s="14" t="str">
        <f t="shared" si="13"/>
        <v/>
      </c>
      <c r="S277" s="10"/>
      <c r="T277" s="8"/>
      <c r="U277" s="8"/>
      <c r="V277" s="9" t="str">
        <f t="shared" si="14"/>
        <v/>
      </c>
      <c r="W277" s="8"/>
      <c r="X277" s="10"/>
      <c r="Y277" s="8"/>
    </row>
    <row r="278" spans="1:25">
      <c r="A278" s="8"/>
      <c r="B278" s="8"/>
      <c r="C278" s="8"/>
      <c r="D278" s="8"/>
      <c r="E278" s="8"/>
      <c r="F278" s="8"/>
      <c r="G278" s="8"/>
      <c r="H278" s="8"/>
      <c r="I278" s="13"/>
      <c r="J278" s="13"/>
      <c r="K278" s="13"/>
      <c r="L278" s="13"/>
      <c r="M278" s="13"/>
      <c r="N278" s="13"/>
      <c r="O278" s="13"/>
      <c r="P278" s="13"/>
      <c r="Q278" s="14" t="str">
        <f t="shared" si="12"/>
        <v/>
      </c>
      <c r="R278" s="14" t="str">
        <f t="shared" si="13"/>
        <v/>
      </c>
      <c r="S278" s="10"/>
      <c r="T278" s="8"/>
      <c r="U278" s="8"/>
      <c r="V278" s="9" t="str">
        <f t="shared" si="14"/>
        <v/>
      </c>
      <c r="W278" s="8"/>
      <c r="X278" s="10"/>
      <c r="Y278" s="8"/>
    </row>
    <row r="279" spans="1:25">
      <c r="A279" s="8"/>
      <c r="B279" s="8"/>
      <c r="C279" s="8"/>
      <c r="D279" s="8"/>
      <c r="E279" s="8"/>
      <c r="F279" s="8"/>
      <c r="G279" s="8"/>
      <c r="H279" s="8"/>
      <c r="I279" s="13"/>
      <c r="J279" s="13"/>
      <c r="K279" s="13"/>
      <c r="L279" s="13"/>
      <c r="M279" s="13"/>
      <c r="N279" s="13"/>
      <c r="O279" s="13"/>
      <c r="P279" s="13"/>
      <c r="Q279" s="14" t="str">
        <f t="shared" si="12"/>
        <v/>
      </c>
      <c r="R279" s="14" t="str">
        <f t="shared" si="13"/>
        <v/>
      </c>
      <c r="S279" s="10"/>
      <c r="T279" s="8"/>
      <c r="U279" s="8"/>
      <c r="V279" s="9" t="str">
        <f t="shared" si="14"/>
        <v/>
      </c>
      <c r="W279" s="8"/>
      <c r="X279" s="10"/>
      <c r="Y279" s="8"/>
    </row>
    <row r="280" spans="1:25">
      <c r="A280" s="8"/>
      <c r="B280" s="8"/>
      <c r="C280" s="8"/>
      <c r="D280" s="8"/>
      <c r="E280" s="8"/>
      <c r="F280" s="8"/>
      <c r="G280" s="8"/>
      <c r="H280" s="8"/>
      <c r="I280" s="13"/>
      <c r="J280" s="13"/>
      <c r="K280" s="13"/>
      <c r="L280" s="13"/>
      <c r="M280" s="13"/>
      <c r="N280" s="13"/>
      <c r="O280" s="13"/>
      <c r="P280" s="13"/>
      <c r="Q280" s="14" t="str">
        <f t="shared" si="12"/>
        <v/>
      </c>
      <c r="R280" s="14" t="str">
        <f t="shared" si="13"/>
        <v/>
      </c>
      <c r="S280" s="10"/>
      <c r="T280" s="8"/>
      <c r="U280" s="8"/>
      <c r="V280" s="9" t="str">
        <f t="shared" si="14"/>
        <v/>
      </c>
      <c r="W280" s="8"/>
      <c r="X280" s="10"/>
      <c r="Y280" s="8"/>
    </row>
    <row r="281" spans="1:25">
      <c r="A281" s="8"/>
      <c r="B281" s="8"/>
      <c r="C281" s="8"/>
      <c r="D281" s="8"/>
      <c r="E281" s="8"/>
      <c r="F281" s="8"/>
      <c r="G281" s="8"/>
      <c r="H281" s="8"/>
      <c r="I281" s="13"/>
      <c r="J281" s="13"/>
      <c r="K281" s="13"/>
      <c r="L281" s="13"/>
      <c r="M281" s="13"/>
      <c r="N281" s="13"/>
      <c r="O281" s="13"/>
      <c r="P281" s="13"/>
      <c r="Q281" s="14" t="str">
        <f t="shared" si="12"/>
        <v/>
      </c>
      <c r="R281" s="14" t="str">
        <f t="shared" si="13"/>
        <v/>
      </c>
      <c r="S281" s="10"/>
      <c r="T281" s="8"/>
      <c r="U281" s="8"/>
      <c r="V281" s="9" t="str">
        <f t="shared" si="14"/>
        <v/>
      </c>
      <c r="W281" s="8"/>
      <c r="X281" s="10"/>
      <c r="Y281" s="8"/>
    </row>
    <row r="282" spans="1:25">
      <c r="A282" s="8"/>
      <c r="B282" s="8"/>
      <c r="C282" s="8"/>
      <c r="D282" s="8"/>
      <c r="E282" s="8"/>
      <c r="F282" s="8"/>
      <c r="G282" s="8"/>
      <c r="H282" s="8"/>
      <c r="I282" s="13"/>
      <c r="J282" s="13"/>
      <c r="K282" s="13"/>
      <c r="L282" s="13"/>
      <c r="M282" s="13"/>
      <c r="N282" s="13"/>
      <c r="O282" s="13"/>
      <c r="P282" s="13"/>
      <c r="Q282" s="14" t="str">
        <f t="shared" si="12"/>
        <v/>
      </c>
      <c r="R282" s="14" t="str">
        <f t="shared" si="13"/>
        <v/>
      </c>
      <c r="S282" s="10"/>
      <c r="T282" s="8"/>
      <c r="U282" s="8"/>
      <c r="V282" s="9" t="str">
        <f t="shared" si="14"/>
        <v/>
      </c>
      <c r="W282" s="8"/>
      <c r="X282" s="10"/>
      <c r="Y282" s="8"/>
    </row>
    <row r="283" spans="1:25">
      <c r="A283" s="8"/>
      <c r="B283" s="8"/>
      <c r="C283" s="8"/>
      <c r="D283" s="8"/>
      <c r="E283" s="8"/>
      <c r="F283" s="8"/>
      <c r="G283" s="8"/>
      <c r="H283" s="8"/>
      <c r="I283" s="13"/>
      <c r="J283" s="13"/>
      <c r="K283" s="13"/>
      <c r="L283" s="13"/>
      <c r="M283" s="13"/>
      <c r="N283" s="13"/>
      <c r="O283" s="13"/>
      <c r="P283" s="13"/>
      <c r="Q283" s="14" t="str">
        <f t="shared" si="12"/>
        <v/>
      </c>
      <c r="R283" s="14" t="str">
        <f t="shared" si="13"/>
        <v/>
      </c>
      <c r="S283" s="10"/>
      <c r="T283" s="8"/>
      <c r="U283" s="8"/>
      <c r="V283" s="9" t="str">
        <f t="shared" si="14"/>
        <v/>
      </c>
      <c r="W283" s="8"/>
      <c r="X283" s="10"/>
      <c r="Y283" s="8"/>
    </row>
    <row r="284" spans="1:25">
      <c r="A284" s="8"/>
      <c r="B284" s="8"/>
      <c r="C284" s="8"/>
      <c r="D284" s="8"/>
      <c r="E284" s="8"/>
      <c r="F284" s="8"/>
      <c r="G284" s="8"/>
      <c r="H284" s="8"/>
      <c r="I284" s="13"/>
      <c r="J284" s="13"/>
      <c r="K284" s="13"/>
      <c r="L284" s="13"/>
      <c r="M284" s="13"/>
      <c r="N284" s="13"/>
      <c r="O284" s="13"/>
      <c r="P284" s="13"/>
      <c r="Q284" s="14" t="str">
        <f t="shared" si="12"/>
        <v/>
      </c>
      <c r="R284" s="14" t="str">
        <f t="shared" si="13"/>
        <v/>
      </c>
      <c r="S284" s="10"/>
      <c r="T284" s="8"/>
      <c r="U284" s="8"/>
      <c r="V284" s="9" t="str">
        <f t="shared" si="14"/>
        <v/>
      </c>
      <c r="W284" s="8"/>
      <c r="X284" s="10"/>
      <c r="Y284" s="8"/>
    </row>
    <row r="285" spans="1:25">
      <c r="A285" s="8"/>
      <c r="B285" s="8"/>
      <c r="C285" s="8"/>
      <c r="D285" s="8"/>
      <c r="E285" s="8"/>
      <c r="F285" s="8"/>
      <c r="G285" s="8"/>
      <c r="H285" s="8"/>
      <c r="I285" s="13"/>
      <c r="J285" s="13"/>
      <c r="K285" s="13"/>
      <c r="L285" s="13"/>
      <c r="M285" s="13"/>
      <c r="N285" s="13"/>
      <c r="O285" s="13"/>
      <c r="P285" s="13"/>
      <c r="Q285" s="14" t="str">
        <f t="shared" si="12"/>
        <v/>
      </c>
      <c r="R285" s="14" t="str">
        <f t="shared" si="13"/>
        <v/>
      </c>
      <c r="S285" s="10"/>
      <c r="T285" s="8"/>
      <c r="U285" s="8"/>
      <c r="V285" s="9" t="str">
        <f t="shared" si="14"/>
        <v/>
      </c>
      <c r="W285" s="8"/>
      <c r="X285" s="10"/>
      <c r="Y285" s="8"/>
    </row>
    <row r="286" spans="1:25">
      <c r="A286" s="8"/>
      <c r="B286" s="8"/>
      <c r="C286" s="8"/>
      <c r="D286" s="8"/>
      <c r="E286" s="8"/>
      <c r="F286" s="8"/>
      <c r="G286" s="8"/>
      <c r="H286" s="8"/>
      <c r="I286" s="13"/>
      <c r="J286" s="13"/>
      <c r="K286" s="13"/>
      <c r="L286" s="13"/>
      <c r="M286" s="13"/>
      <c r="N286" s="13"/>
      <c r="O286" s="13"/>
      <c r="P286" s="13"/>
      <c r="Q286" s="14" t="str">
        <f t="shared" si="12"/>
        <v/>
      </c>
      <c r="R286" s="14" t="str">
        <f t="shared" si="13"/>
        <v/>
      </c>
      <c r="S286" s="10"/>
      <c r="T286" s="8"/>
      <c r="U286" s="8"/>
      <c r="V286" s="9" t="str">
        <f t="shared" si="14"/>
        <v/>
      </c>
      <c r="W286" s="8"/>
      <c r="X286" s="10"/>
      <c r="Y286" s="8"/>
    </row>
    <row r="287" spans="1:25">
      <c r="A287" s="8"/>
      <c r="B287" s="8"/>
      <c r="C287" s="8"/>
      <c r="D287" s="8"/>
      <c r="E287" s="8"/>
      <c r="F287" s="8"/>
      <c r="G287" s="8"/>
      <c r="H287" s="8"/>
      <c r="I287" s="13"/>
      <c r="J287" s="13"/>
      <c r="K287" s="13"/>
      <c r="L287" s="13"/>
      <c r="M287" s="13"/>
      <c r="N287" s="13"/>
      <c r="O287" s="13"/>
      <c r="P287" s="13"/>
      <c r="Q287" s="14" t="str">
        <f t="shared" si="12"/>
        <v/>
      </c>
      <c r="R287" s="14" t="str">
        <f t="shared" si="13"/>
        <v/>
      </c>
      <c r="S287" s="10"/>
      <c r="T287" s="8"/>
      <c r="U287" s="8"/>
      <c r="V287" s="9" t="str">
        <f t="shared" si="14"/>
        <v/>
      </c>
      <c r="W287" s="8"/>
      <c r="X287" s="10"/>
      <c r="Y287" s="8"/>
    </row>
    <row r="288" spans="1:25">
      <c r="A288" s="8"/>
      <c r="B288" s="8"/>
      <c r="C288" s="8"/>
      <c r="D288" s="8"/>
      <c r="E288" s="8"/>
      <c r="F288" s="8"/>
      <c r="G288" s="8"/>
      <c r="H288" s="8"/>
      <c r="I288" s="13"/>
      <c r="J288" s="13"/>
      <c r="K288" s="13"/>
      <c r="L288" s="13"/>
      <c r="M288" s="13"/>
      <c r="N288" s="13"/>
      <c r="O288" s="13"/>
      <c r="P288" s="13"/>
      <c r="Q288" s="14" t="str">
        <f t="shared" si="12"/>
        <v/>
      </c>
      <c r="R288" s="14" t="str">
        <f t="shared" si="13"/>
        <v/>
      </c>
      <c r="S288" s="10"/>
      <c r="T288" s="8"/>
      <c r="U288" s="8"/>
      <c r="V288" s="9" t="str">
        <f t="shared" si="14"/>
        <v/>
      </c>
      <c r="W288" s="8"/>
      <c r="X288" s="10"/>
      <c r="Y288" s="8"/>
    </row>
    <row r="289" spans="1:25">
      <c r="A289" s="8"/>
      <c r="B289" s="8"/>
      <c r="C289" s="8"/>
      <c r="D289" s="8"/>
      <c r="E289" s="8"/>
      <c r="F289" s="8"/>
      <c r="G289" s="8"/>
      <c r="H289" s="8"/>
      <c r="I289" s="13"/>
      <c r="J289" s="13"/>
      <c r="K289" s="13"/>
      <c r="L289" s="13"/>
      <c r="M289" s="13"/>
      <c r="N289" s="13"/>
      <c r="O289" s="13"/>
      <c r="P289" s="13"/>
      <c r="Q289" s="14" t="str">
        <f t="shared" si="12"/>
        <v/>
      </c>
      <c r="R289" s="14" t="str">
        <f t="shared" si="13"/>
        <v/>
      </c>
      <c r="S289" s="10"/>
      <c r="T289" s="8"/>
      <c r="U289" s="8"/>
      <c r="V289" s="9" t="str">
        <f t="shared" si="14"/>
        <v/>
      </c>
      <c r="W289" s="8"/>
      <c r="X289" s="10"/>
      <c r="Y289" s="8"/>
    </row>
    <row r="290" spans="1:25">
      <c r="A290" s="8"/>
      <c r="B290" s="8"/>
      <c r="C290" s="8"/>
      <c r="D290" s="8"/>
      <c r="E290" s="8"/>
      <c r="F290" s="8"/>
      <c r="G290" s="8"/>
      <c r="H290" s="8"/>
      <c r="I290" s="13"/>
      <c r="J290" s="13"/>
      <c r="K290" s="13"/>
      <c r="L290" s="13"/>
      <c r="M290" s="13"/>
      <c r="N290" s="13"/>
      <c r="O290" s="13"/>
      <c r="P290" s="13"/>
      <c r="Q290" s="14" t="str">
        <f t="shared" si="12"/>
        <v/>
      </c>
      <c r="R290" s="14" t="str">
        <f t="shared" si="13"/>
        <v/>
      </c>
      <c r="S290" s="10"/>
      <c r="T290" s="8"/>
      <c r="U290" s="8"/>
      <c r="V290" s="9" t="str">
        <f t="shared" si="14"/>
        <v/>
      </c>
      <c r="W290" s="8"/>
      <c r="X290" s="10"/>
      <c r="Y290" s="8"/>
    </row>
    <row r="291" spans="1:25">
      <c r="A291" s="8"/>
      <c r="B291" s="8"/>
      <c r="C291" s="8"/>
      <c r="D291" s="8"/>
      <c r="E291" s="8"/>
      <c r="F291" s="8"/>
      <c r="G291" s="8"/>
      <c r="H291" s="8"/>
      <c r="I291" s="13"/>
      <c r="J291" s="13"/>
      <c r="K291" s="13"/>
      <c r="L291" s="13"/>
      <c r="M291" s="13"/>
      <c r="N291" s="13"/>
      <c r="O291" s="13"/>
      <c r="P291" s="13"/>
      <c r="Q291" s="14" t="str">
        <f t="shared" si="12"/>
        <v/>
      </c>
      <c r="R291" s="14" t="str">
        <f t="shared" si="13"/>
        <v/>
      </c>
      <c r="S291" s="10"/>
      <c r="T291" s="8"/>
      <c r="U291" s="8"/>
      <c r="V291" s="9" t="str">
        <f t="shared" si="14"/>
        <v/>
      </c>
      <c r="W291" s="8"/>
      <c r="X291" s="10"/>
      <c r="Y291" s="8"/>
    </row>
    <row r="292" spans="1:25">
      <c r="A292" s="8"/>
      <c r="B292" s="8"/>
      <c r="C292" s="8"/>
      <c r="D292" s="8"/>
      <c r="E292" s="8"/>
      <c r="F292" s="8"/>
      <c r="G292" s="8"/>
      <c r="H292" s="8"/>
      <c r="I292" s="13"/>
      <c r="J292" s="13"/>
      <c r="K292" s="13"/>
      <c r="L292" s="13"/>
      <c r="M292" s="13"/>
      <c r="N292" s="13"/>
      <c r="O292" s="13"/>
      <c r="P292" s="13"/>
      <c r="Q292" s="14" t="str">
        <f t="shared" si="12"/>
        <v/>
      </c>
      <c r="R292" s="14" t="str">
        <f t="shared" si="13"/>
        <v/>
      </c>
      <c r="S292" s="10"/>
      <c r="T292" s="8"/>
      <c r="U292" s="8"/>
      <c r="V292" s="9" t="str">
        <f t="shared" si="14"/>
        <v/>
      </c>
      <c r="W292" s="8"/>
      <c r="X292" s="10"/>
      <c r="Y292" s="8"/>
    </row>
    <row r="293" spans="1:25">
      <c r="A293" s="8"/>
      <c r="B293" s="8"/>
      <c r="C293" s="8"/>
      <c r="D293" s="8"/>
      <c r="E293" s="8"/>
      <c r="F293" s="8"/>
      <c r="G293" s="8"/>
      <c r="H293" s="8"/>
      <c r="I293" s="13"/>
      <c r="J293" s="13"/>
      <c r="K293" s="13"/>
      <c r="L293" s="13"/>
      <c r="M293" s="13"/>
      <c r="N293" s="13"/>
      <c r="O293" s="13"/>
      <c r="P293" s="13"/>
      <c r="Q293" s="14" t="str">
        <f t="shared" si="12"/>
        <v/>
      </c>
      <c r="R293" s="14" t="str">
        <f t="shared" si="13"/>
        <v/>
      </c>
      <c r="S293" s="10"/>
      <c r="T293" s="8"/>
      <c r="U293" s="8"/>
      <c r="V293" s="9" t="str">
        <f t="shared" si="14"/>
        <v/>
      </c>
      <c r="W293" s="8"/>
      <c r="X293" s="10"/>
      <c r="Y293" s="8"/>
    </row>
    <row r="294" spans="1:25">
      <c r="A294" s="8"/>
      <c r="B294" s="8"/>
      <c r="C294" s="8"/>
      <c r="D294" s="8"/>
      <c r="E294" s="8"/>
      <c r="F294" s="8"/>
      <c r="G294" s="8"/>
      <c r="H294" s="8"/>
      <c r="I294" s="13"/>
      <c r="J294" s="13"/>
      <c r="K294" s="13"/>
      <c r="L294" s="13"/>
      <c r="M294" s="13"/>
      <c r="N294" s="13"/>
      <c r="O294" s="13"/>
      <c r="P294" s="13"/>
      <c r="Q294" s="14" t="str">
        <f t="shared" si="12"/>
        <v/>
      </c>
      <c r="R294" s="14" t="str">
        <f t="shared" si="13"/>
        <v/>
      </c>
      <c r="S294" s="10"/>
      <c r="T294" s="8"/>
      <c r="U294" s="8"/>
      <c r="V294" s="9" t="str">
        <f t="shared" si="14"/>
        <v/>
      </c>
      <c r="W294" s="8"/>
      <c r="X294" s="10"/>
      <c r="Y294" s="8"/>
    </row>
    <row r="295" spans="1:25">
      <c r="A295" s="8"/>
      <c r="B295" s="8"/>
      <c r="C295" s="8"/>
      <c r="D295" s="8"/>
      <c r="E295" s="8"/>
      <c r="F295" s="8"/>
      <c r="G295" s="8"/>
      <c r="H295" s="8"/>
      <c r="I295" s="13"/>
      <c r="J295" s="13"/>
      <c r="K295" s="13"/>
      <c r="L295" s="13"/>
      <c r="M295" s="13"/>
      <c r="N295" s="13"/>
      <c r="O295" s="13"/>
      <c r="P295" s="13"/>
      <c r="Q295" s="14" t="str">
        <f t="shared" si="12"/>
        <v/>
      </c>
      <c r="R295" s="14" t="str">
        <f t="shared" si="13"/>
        <v/>
      </c>
      <c r="S295" s="10"/>
      <c r="T295" s="8"/>
      <c r="U295" s="8"/>
      <c r="V295" s="9" t="str">
        <f t="shared" si="14"/>
        <v/>
      </c>
      <c r="W295" s="8"/>
      <c r="X295" s="10"/>
      <c r="Y295" s="8"/>
    </row>
    <row r="296" spans="1:25">
      <c r="A296" s="8"/>
      <c r="B296" s="8"/>
      <c r="C296" s="8"/>
      <c r="D296" s="8"/>
      <c r="E296" s="8"/>
      <c r="F296" s="8"/>
      <c r="G296" s="8"/>
      <c r="H296" s="8"/>
      <c r="I296" s="13"/>
      <c r="J296" s="13"/>
      <c r="K296" s="13"/>
      <c r="L296" s="13"/>
      <c r="M296" s="13"/>
      <c r="N296" s="13"/>
      <c r="O296" s="13"/>
      <c r="P296" s="13"/>
      <c r="Q296" s="14" t="str">
        <f t="shared" si="12"/>
        <v/>
      </c>
      <c r="R296" s="14" t="str">
        <f t="shared" si="13"/>
        <v/>
      </c>
      <c r="S296" s="10"/>
      <c r="T296" s="8"/>
      <c r="U296" s="8"/>
      <c r="V296" s="9" t="str">
        <f t="shared" si="14"/>
        <v/>
      </c>
      <c r="W296" s="8"/>
      <c r="X296" s="10"/>
      <c r="Y296" s="8"/>
    </row>
    <row r="297" spans="1:25">
      <c r="A297" s="8"/>
      <c r="B297" s="8"/>
      <c r="C297" s="8"/>
      <c r="D297" s="8"/>
      <c r="E297" s="8"/>
      <c r="F297" s="8"/>
      <c r="G297" s="8"/>
      <c r="H297" s="8"/>
      <c r="I297" s="13"/>
      <c r="J297" s="13"/>
      <c r="K297" s="13"/>
      <c r="L297" s="13"/>
      <c r="M297" s="13"/>
      <c r="N297" s="13"/>
      <c r="O297" s="13"/>
      <c r="P297" s="13"/>
      <c r="Q297" s="14" t="str">
        <f t="shared" si="12"/>
        <v/>
      </c>
      <c r="R297" s="14" t="str">
        <f t="shared" si="13"/>
        <v/>
      </c>
      <c r="S297" s="10"/>
      <c r="T297" s="8"/>
      <c r="U297" s="8"/>
      <c r="V297" s="9" t="str">
        <f t="shared" si="14"/>
        <v/>
      </c>
      <c r="W297" s="8"/>
      <c r="X297" s="10"/>
      <c r="Y297" s="8"/>
    </row>
    <row r="298" spans="1:25">
      <c r="A298" s="8"/>
      <c r="B298" s="8"/>
      <c r="C298" s="8"/>
      <c r="D298" s="8"/>
      <c r="E298" s="8"/>
      <c r="F298" s="8"/>
      <c r="G298" s="8"/>
      <c r="H298" s="8"/>
      <c r="I298" s="13"/>
      <c r="J298" s="13"/>
      <c r="K298" s="13"/>
      <c r="L298" s="13"/>
      <c r="M298" s="13"/>
      <c r="N298" s="13"/>
      <c r="O298" s="13"/>
      <c r="P298" s="13"/>
      <c r="Q298" s="14" t="str">
        <f t="shared" si="12"/>
        <v/>
      </c>
      <c r="R298" s="14" t="str">
        <f t="shared" si="13"/>
        <v/>
      </c>
      <c r="S298" s="10"/>
      <c r="T298" s="8"/>
      <c r="U298" s="8"/>
      <c r="V298" s="9" t="str">
        <f t="shared" si="14"/>
        <v/>
      </c>
      <c r="W298" s="8"/>
      <c r="X298" s="10"/>
      <c r="Y298" s="8"/>
    </row>
    <row r="299" spans="1:25">
      <c r="A299" s="8"/>
      <c r="B299" s="8"/>
      <c r="C299" s="8"/>
      <c r="D299" s="8"/>
      <c r="E299" s="8"/>
      <c r="F299" s="8"/>
      <c r="G299" s="8"/>
      <c r="H299" s="8"/>
      <c r="I299" s="13"/>
      <c r="J299" s="13"/>
      <c r="K299" s="13"/>
      <c r="L299" s="13"/>
      <c r="M299" s="13"/>
      <c r="N299" s="13"/>
      <c r="O299" s="13"/>
      <c r="P299" s="13"/>
      <c r="Q299" s="14" t="str">
        <f t="shared" si="12"/>
        <v/>
      </c>
      <c r="R299" s="14" t="str">
        <f t="shared" si="13"/>
        <v/>
      </c>
      <c r="S299" s="10"/>
      <c r="T299" s="8"/>
      <c r="U299" s="8"/>
      <c r="V299" s="9" t="str">
        <f t="shared" si="14"/>
        <v/>
      </c>
      <c r="W299" s="8"/>
      <c r="X299" s="10"/>
      <c r="Y299" s="8"/>
    </row>
    <row r="300" spans="1:25">
      <c r="A300" s="8"/>
      <c r="B300" s="8"/>
      <c r="C300" s="8"/>
      <c r="D300" s="8"/>
      <c r="E300" s="8"/>
      <c r="F300" s="8"/>
      <c r="G300" s="8"/>
      <c r="H300" s="8"/>
      <c r="I300" s="13"/>
      <c r="J300" s="13"/>
      <c r="K300" s="13"/>
      <c r="L300" s="13"/>
      <c r="M300" s="13"/>
      <c r="N300" s="13"/>
      <c r="O300" s="13"/>
      <c r="P300" s="13"/>
      <c r="Q300" s="14" t="str">
        <f t="shared" si="12"/>
        <v/>
      </c>
      <c r="R300" s="14" t="str">
        <f t="shared" si="13"/>
        <v/>
      </c>
      <c r="S300" s="10"/>
      <c r="T300" s="8"/>
      <c r="U300" s="8"/>
      <c r="V300" s="9" t="str">
        <f t="shared" si="14"/>
        <v/>
      </c>
      <c r="W300" s="8"/>
      <c r="X300" s="10"/>
      <c r="Y300" s="8"/>
    </row>
    <row r="301" spans="1:25">
      <c r="A301" s="8"/>
      <c r="B301" s="8"/>
      <c r="C301" s="8"/>
      <c r="D301" s="8"/>
      <c r="E301" s="8"/>
      <c r="F301" s="8"/>
      <c r="G301" s="8"/>
      <c r="H301" s="8"/>
      <c r="I301" s="13"/>
      <c r="J301" s="13"/>
      <c r="K301" s="13"/>
      <c r="L301" s="13"/>
      <c r="M301" s="13"/>
      <c r="N301" s="13"/>
      <c r="O301" s="13"/>
      <c r="P301" s="13"/>
      <c r="Q301" s="14" t="str">
        <f t="shared" si="12"/>
        <v/>
      </c>
      <c r="R301" s="14" t="str">
        <f t="shared" si="13"/>
        <v/>
      </c>
      <c r="S301" s="10"/>
      <c r="T301" s="8"/>
      <c r="U301" s="8"/>
      <c r="V301" s="9" t="str">
        <f t="shared" si="14"/>
        <v/>
      </c>
      <c r="W301" s="8"/>
      <c r="X301" s="10"/>
      <c r="Y301" s="8"/>
    </row>
    <row r="302" spans="1:25">
      <c r="A302" s="8"/>
      <c r="B302" s="8"/>
      <c r="C302" s="8"/>
      <c r="D302" s="8"/>
      <c r="E302" s="8"/>
      <c r="F302" s="8"/>
      <c r="G302" s="8"/>
      <c r="H302" s="8"/>
      <c r="I302" s="13"/>
      <c r="J302" s="13"/>
      <c r="K302" s="13"/>
      <c r="L302" s="13"/>
      <c r="M302" s="13"/>
      <c r="N302" s="13"/>
      <c r="O302" s="13"/>
      <c r="P302" s="13"/>
      <c r="Q302" s="14" t="str">
        <f t="shared" si="12"/>
        <v/>
      </c>
      <c r="R302" s="14" t="str">
        <f t="shared" si="13"/>
        <v/>
      </c>
      <c r="S302" s="10"/>
      <c r="T302" s="8"/>
      <c r="U302" s="8"/>
      <c r="V302" s="9" t="str">
        <f t="shared" si="14"/>
        <v/>
      </c>
      <c r="W302" s="8"/>
      <c r="X302" s="10"/>
      <c r="Y302" s="8"/>
    </row>
    <row r="303" spans="1:25">
      <c r="A303" s="8"/>
      <c r="B303" s="8"/>
      <c r="C303" s="8"/>
      <c r="D303" s="8"/>
      <c r="E303" s="8"/>
      <c r="F303" s="8"/>
      <c r="G303" s="8"/>
      <c r="H303" s="8"/>
      <c r="I303" s="13"/>
      <c r="J303" s="13"/>
      <c r="K303" s="13"/>
      <c r="L303" s="13"/>
      <c r="M303" s="13"/>
      <c r="N303" s="13"/>
      <c r="O303" s="13"/>
      <c r="P303" s="13"/>
      <c r="Q303" s="14" t="str">
        <f t="shared" si="12"/>
        <v/>
      </c>
      <c r="R303" s="14" t="str">
        <f t="shared" si="13"/>
        <v/>
      </c>
      <c r="S303" s="10"/>
      <c r="T303" s="8"/>
      <c r="U303" s="8"/>
      <c r="V303" s="9" t="str">
        <f t="shared" si="14"/>
        <v/>
      </c>
      <c r="W303" s="8"/>
      <c r="X303" s="10"/>
      <c r="Y303" s="8"/>
    </row>
    <row r="304" spans="1:25">
      <c r="A304" s="8"/>
      <c r="B304" s="8"/>
      <c r="C304" s="8"/>
      <c r="D304" s="8"/>
      <c r="E304" s="8"/>
      <c r="F304" s="8"/>
      <c r="G304" s="8"/>
      <c r="H304" s="8"/>
      <c r="I304" s="13"/>
      <c r="J304" s="13"/>
      <c r="K304" s="13"/>
      <c r="L304" s="13"/>
      <c r="M304" s="13"/>
      <c r="N304" s="13"/>
      <c r="O304" s="13"/>
      <c r="P304" s="13"/>
      <c r="Q304" s="14" t="str">
        <f t="shared" si="12"/>
        <v/>
      </c>
      <c r="R304" s="14" t="str">
        <f t="shared" si="13"/>
        <v/>
      </c>
      <c r="S304" s="10"/>
      <c r="T304" s="8"/>
      <c r="U304" s="8"/>
      <c r="V304" s="9" t="str">
        <f t="shared" si="14"/>
        <v/>
      </c>
      <c r="W304" s="8"/>
      <c r="X304" s="10"/>
      <c r="Y304" s="8"/>
    </row>
  </sheetData>
  <mergeCells count="2">
    <mergeCell ref="A1:Y1"/>
    <mergeCell ref="A2:Y2"/>
  </mergeCells>
  <conditionalFormatting sqref="A5:A304">
    <cfRule type="duplicateValues" dxfId="60" priority="9"/>
  </conditionalFormatting>
  <conditionalFormatting sqref="T5:V304">
    <cfRule type="containsText" dxfId="59" priority="1" operator="containsText" text="Approved"/>
    <cfRule type="containsText" dxfId="58" priority="4" operator="containsText" text="Failed"/>
    <cfRule type="containsText" dxfId="57" priority="7" operator="containsText" text="On Hold"/>
  </conditionalFormatting>
  <dataValidations count="4">
    <dataValidation type="list" sqref="E5:E304" xr:uid="{00000000-0002-0000-1200-000000000000}">
      <formula1>"Main Label,Size Label,Care Label,Hangtag,Thread,Rib,Shoulder Tape,Polybag,Sticker,Carton,Carton Label,Button,Zipper,Elastic,Other"</formula1>
    </dataValidation>
    <dataValidation type="list" sqref="H5:H304" xr:uid="{00000000-0002-0000-1200-000001000000}">
      <formula1>"Pieces,Yards,Meters,Cones,Boxes,Cartons,Sets"</formula1>
    </dataValidation>
    <dataValidation type="list" sqref="T5:T304" xr:uid="{00000000-0002-0000-1200-000002000000}">
      <formula1>"Not Started,Development Requested,Sample Received,Under Review,Sent to Customer,Approved,Rejected,On Hold"</formula1>
    </dataValidation>
    <dataValidation type="list" sqref="U5:U304" xr:uid="{00000000-0002-0000-1200-000003000000}">
      <formula1>"Pending,Approved,Approved with Comments,Rejected,On Hold"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304"/>
  <sheetViews>
    <sheetView showGridLines="0" workbookViewId="0">
      <selection sqref="A1:Y1"/>
    </sheetView>
  </sheetViews>
  <sheetFormatPr baseColWidth="10" defaultColWidth="8.83203125" defaultRowHeight="14"/>
  <cols>
    <col min="1" max="2" width="14" customWidth="1"/>
    <col min="3" max="4" width="13" customWidth="1"/>
    <col min="5" max="5" width="10" customWidth="1"/>
    <col min="6" max="6" width="15" customWidth="1"/>
    <col min="7" max="8" width="14" customWidth="1"/>
    <col min="9" max="9" width="16" customWidth="1"/>
    <col min="10" max="10" width="15" customWidth="1"/>
    <col min="11" max="12" width="18" customWidth="1"/>
    <col min="13" max="13" width="14" customWidth="1"/>
    <col min="14" max="14" width="15" customWidth="1"/>
    <col min="15" max="16" width="14" customWidth="1"/>
    <col min="17" max="17" width="16" customWidth="1"/>
    <col min="18" max="18" width="17" customWidth="1"/>
    <col min="19" max="19" width="24" customWidth="1"/>
    <col min="20" max="21" width="14" customWidth="1"/>
    <col min="22" max="22" width="18" customWidth="1"/>
    <col min="23" max="24" width="20" customWidth="1"/>
    <col min="25" max="25" width="15" customWidth="1"/>
  </cols>
  <sheetData>
    <row r="1" spans="1:25" ht="30" customHeight="1">
      <c r="A1" s="52" t="s">
        <v>304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4" spans="1:25" ht="44" customHeight="1">
      <c r="A4" s="6" t="s">
        <v>305</v>
      </c>
      <c r="B4" s="6" t="s">
        <v>44</v>
      </c>
      <c r="C4" s="6" t="s">
        <v>45</v>
      </c>
      <c r="D4" s="6" t="s">
        <v>46</v>
      </c>
      <c r="E4" s="6" t="s">
        <v>306</v>
      </c>
      <c r="F4" s="6" t="s">
        <v>307</v>
      </c>
      <c r="G4" s="6" t="s">
        <v>308</v>
      </c>
      <c r="H4" s="6" t="s">
        <v>309</v>
      </c>
      <c r="I4" s="6" t="s">
        <v>310</v>
      </c>
      <c r="J4" s="6" t="s">
        <v>311</v>
      </c>
      <c r="K4" s="6" t="s">
        <v>312</v>
      </c>
      <c r="L4" s="6" t="s">
        <v>313</v>
      </c>
      <c r="M4" s="6" t="s">
        <v>314</v>
      </c>
      <c r="N4" s="6" t="s">
        <v>315</v>
      </c>
      <c r="O4" s="6" t="s">
        <v>316</v>
      </c>
      <c r="P4" s="6" t="s">
        <v>317</v>
      </c>
      <c r="Q4" s="6" t="s">
        <v>318</v>
      </c>
      <c r="R4" s="6" t="s">
        <v>319</v>
      </c>
      <c r="S4" s="6" t="s">
        <v>320</v>
      </c>
      <c r="T4" s="6" t="s">
        <v>248</v>
      </c>
      <c r="U4" s="6" t="s">
        <v>130</v>
      </c>
      <c r="V4" s="6" t="s">
        <v>73</v>
      </c>
      <c r="W4" s="6" t="s">
        <v>321</v>
      </c>
      <c r="X4" s="6" t="s">
        <v>322</v>
      </c>
      <c r="Y4" s="6" t="s">
        <v>63</v>
      </c>
    </row>
    <row r="5" spans="1:25">
      <c r="A5" s="8"/>
      <c r="B5" s="8"/>
      <c r="C5" s="8"/>
      <c r="D5" s="8"/>
      <c r="E5" s="8"/>
      <c r="F5" s="8"/>
      <c r="G5" s="8"/>
      <c r="H5" s="8"/>
      <c r="I5" s="10"/>
      <c r="J5" s="10"/>
      <c r="K5" s="8"/>
      <c r="L5" s="8"/>
      <c r="M5" s="8"/>
      <c r="N5" s="8"/>
      <c r="O5" s="8"/>
      <c r="P5" s="8"/>
      <c r="Q5" s="8"/>
      <c r="R5" s="8"/>
      <c r="S5" s="8"/>
      <c r="T5" s="10"/>
      <c r="U5" s="8"/>
      <c r="V5" s="8"/>
      <c r="W5" s="8"/>
      <c r="X5" s="8"/>
      <c r="Y5" s="10"/>
    </row>
    <row r="6" spans="1:25">
      <c r="A6" s="8"/>
      <c r="B6" s="8"/>
      <c r="C6" s="8"/>
      <c r="D6" s="8"/>
      <c r="E6" s="8"/>
      <c r="F6" s="8"/>
      <c r="G6" s="8"/>
      <c r="H6" s="8"/>
      <c r="I6" s="10"/>
      <c r="J6" s="10"/>
      <c r="K6" s="8"/>
      <c r="L6" s="8"/>
      <c r="M6" s="8"/>
      <c r="N6" s="8"/>
      <c r="O6" s="8"/>
      <c r="P6" s="8"/>
      <c r="Q6" s="8"/>
      <c r="R6" s="8"/>
      <c r="S6" s="8"/>
      <c r="T6" s="10"/>
      <c r="U6" s="8"/>
      <c r="V6" s="8"/>
      <c r="W6" s="8"/>
      <c r="X6" s="8"/>
      <c r="Y6" s="10"/>
    </row>
    <row r="7" spans="1:25">
      <c r="A7" s="8"/>
      <c r="B7" s="8"/>
      <c r="C7" s="8"/>
      <c r="D7" s="8"/>
      <c r="E7" s="8"/>
      <c r="F7" s="8"/>
      <c r="G7" s="8"/>
      <c r="H7" s="8"/>
      <c r="I7" s="10"/>
      <c r="J7" s="10"/>
      <c r="K7" s="8"/>
      <c r="L7" s="8"/>
      <c r="M7" s="8"/>
      <c r="N7" s="8"/>
      <c r="O7" s="8"/>
      <c r="P7" s="8"/>
      <c r="Q7" s="8"/>
      <c r="R7" s="8"/>
      <c r="S7" s="8"/>
      <c r="T7" s="10"/>
      <c r="U7" s="8"/>
      <c r="V7" s="8"/>
      <c r="W7" s="8"/>
      <c r="X7" s="8"/>
      <c r="Y7" s="10"/>
    </row>
    <row r="8" spans="1:25">
      <c r="A8" s="8"/>
      <c r="B8" s="8"/>
      <c r="C8" s="8"/>
      <c r="D8" s="8"/>
      <c r="E8" s="8"/>
      <c r="F8" s="8"/>
      <c r="G8" s="8"/>
      <c r="H8" s="8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10"/>
      <c r="U8" s="8"/>
      <c r="V8" s="8"/>
      <c r="W8" s="8"/>
      <c r="X8" s="8"/>
      <c r="Y8" s="10"/>
    </row>
    <row r="9" spans="1:25">
      <c r="A9" s="8"/>
      <c r="B9" s="8"/>
      <c r="C9" s="8"/>
      <c r="D9" s="8"/>
      <c r="E9" s="8"/>
      <c r="F9" s="8"/>
      <c r="G9" s="8"/>
      <c r="H9" s="8"/>
      <c r="I9" s="10"/>
      <c r="J9" s="10"/>
      <c r="K9" s="8"/>
      <c r="L9" s="8"/>
      <c r="M9" s="8"/>
      <c r="N9" s="8"/>
      <c r="O9" s="8"/>
      <c r="P9" s="8"/>
      <c r="Q9" s="8"/>
      <c r="R9" s="8"/>
      <c r="S9" s="8"/>
      <c r="T9" s="10"/>
      <c r="U9" s="8"/>
      <c r="V9" s="8"/>
      <c r="W9" s="8"/>
      <c r="X9" s="8"/>
      <c r="Y9" s="10"/>
    </row>
    <row r="10" spans="1:25">
      <c r="A10" s="8"/>
      <c r="B10" s="8"/>
      <c r="C10" s="8"/>
      <c r="D10" s="8"/>
      <c r="E10" s="8"/>
      <c r="F10" s="8"/>
      <c r="G10" s="8"/>
      <c r="H10" s="8"/>
      <c r="I10" s="10"/>
      <c r="J10" s="10"/>
      <c r="K10" s="8"/>
      <c r="L10" s="8"/>
      <c r="M10" s="8"/>
      <c r="N10" s="8"/>
      <c r="O10" s="8"/>
      <c r="P10" s="8"/>
      <c r="Q10" s="8"/>
      <c r="R10" s="8"/>
      <c r="S10" s="8"/>
      <c r="T10" s="10"/>
      <c r="U10" s="8"/>
      <c r="V10" s="8"/>
      <c r="W10" s="8"/>
      <c r="X10" s="8"/>
      <c r="Y10" s="10"/>
    </row>
    <row r="11" spans="1:25">
      <c r="A11" s="8"/>
      <c r="B11" s="8"/>
      <c r="C11" s="8"/>
      <c r="D11" s="8"/>
      <c r="E11" s="8"/>
      <c r="F11" s="8"/>
      <c r="G11" s="8"/>
      <c r="H11" s="8"/>
      <c r="I11" s="10"/>
      <c r="J11" s="10"/>
      <c r="K11" s="8"/>
      <c r="L11" s="8"/>
      <c r="M11" s="8"/>
      <c r="N11" s="8"/>
      <c r="O11" s="8"/>
      <c r="P11" s="8"/>
      <c r="Q11" s="8"/>
      <c r="R11" s="8"/>
      <c r="S11" s="8"/>
      <c r="T11" s="10"/>
      <c r="U11" s="8"/>
      <c r="V11" s="8"/>
      <c r="W11" s="8"/>
      <c r="X11" s="8"/>
      <c r="Y11" s="10"/>
    </row>
    <row r="12" spans="1:25">
      <c r="A12" s="8"/>
      <c r="B12" s="8"/>
      <c r="C12" s="8"/>
      <c r="D12" s="8"/>
      <c r="E12" s="8"/>
      <c r="F12" s="8"/>
      <c r="G12" s="8"/>
      <c r="H12" s="8"/>
      <c r="I12" s="10"/>
      <c r="J12" s="10"/>
      <c r="K12" s="8"/>
      <c r="L12" s="8"/>
      <c r="M12" s="8"/>
      <c r="N12" s="8"/>
      <c r="O12" s="8"/>
      <c r="P12" s="8"/>
      <c r="Q12" s="8"/>
      <c r="R12" s="8"/>
      <c r="S12" s="8"/>
      <c r="T12" s="10"/>
      <c r="U12" s="8"/>
      <c r="V12" s="8"/>
      <c r="W12" s="8"/>
      <c r="X12" s="8"/>
      <c r="Y12" s="10"/>
    </row>
    <row r="13" spans="1:25">
      <c r="A13" s="8"/>
      <c r="B13" s="8"/>
      <c r="C13" s="8"/>
      <c r="D13" s="8"/>
      <c r="E13" s="8"/>
      <c r="F13" s="8"/>
      <c r="G13" s="8"/>
      <c r="H13" s="8"/>
      <c r="I13" s="10"/>
      <c r="J13" s="10"/>
      <c r="K13" s="8"/>
      <c r="L13" s="8"/>
      <c r="M13" s="8"/>
      <c r="N13" s="8"/>
      <c r="O13" s="8"/>
      <c r="P13" s="8"/>
      <c r="Q13" s="8"/>
      <c r="R13" s="8"/>
      <c r="S13" s="8"/>
      <c r="T13" s="10"/>
      <c r="U13" s="8"/>
      <c r="V13" s="8"/>
      <c r="W13" s="8"/>
      <c r="X13" s="8"/>
      <c r="Y13" s="10"/>
    </row>
    <row r="14" spans="1:25">
      <c r="A14" s="8"/>
      <c r="B14" s="8"/>
      <c r="C14" s="8"/>
      <c r="D14" s="8"/>
      <c r="E14" s="8"/>
      <c r="F14" s="8"/>
      <c r="G14" s="8"/>
      <c r="H14" s="8"/>
      <c r="I14" s="10"/>
      <c r="J14" s="10"/>
      <c r="K14" s="8"/>
      <c r="L14" s="8"/>
      <c r="M14" s="8"/>
      <c r="N14" s="8"/>
      <c r="O14" s="8"/>
      <c r="P14" s="8"/>
      <c r="Q14" s="8"/>
      <c r="R14" s="8"/>
      <c r="S14" s="8"/>
      <c r="T14" s="10"/>
      <c r="U14" s="8"/>
      <c r="V14" s="8"/>
      <c r="W14" s="8"/>
      <c r="X14" s="8"/>
      <c r="Y14" s="10"/>
    </row>
    <row r="15" spans="1:25">
      <c r="A15" s="8"/>
      <c r="B15" s="8"/>
      <c r="C15" s="8"/>
      <c r="D15" s="8"/>
      <c r="E15" s="8"/>
      <c r="F15" s="8"/>
      <c r="G15" s="8"/>
      <c r="H15" s="8"/>
      <c r="I15" s="10"/>
      <c r="J15" s="10"/>
      <c r="K15" s="8"/>
      <c r="L15" s="8"/>
      <c r="M15" s="8"/>
      <c r="N15" s="8"/>
      <c r="O15" s="8"/>
      <c r="P15" s="8"/>
      <c r="Q15" s="8"/>
      <c r="R15" s="8"/>
      <c r="S15" s="8"/>
      <c r="T15" s="10"/>
      <c r="U15" s="8"/>
      <c r="V15" s="8"/>
      <c r="W15" s="8"/>
      <c r="X15" s="8"/>
      <c r="Y15" s="10"/>
    </row>
    <row r="16" spans="1:25">
      <c r="A16" s="8"/>
      <c r="B16" s="8"/>
      <c r="C16" s="8"/>
      <c r="D16" s="8"/>
      <c r="E16" s="8"/>
      <c r="F16" s="8"/>
      <c r="G16" s="8"/>
      <c r="H16" s="8"/>
      <c r="I16" s="10"/>
      <c r="J16" s="10"/>
      <c r="K16" s="8"/>
      <c r="L16" s="8"/>
      <c r="M16" s="8"/>
      <c r="N16" s="8"/>
      <c r="O16" s="8"/>
      <c r="P16" s="8"/>
      <c r="Q16" s="8"/>
      <c r="R16" s="8"/>
      <c r="S16" s="8"/>
      <c r="T16" s="10"/>
      <c r="U16" s="8"/>
      <c r="V16" s="8"/>
      <c r="W16" s="8"/>
      <c r="X16" s="8"/>
      <c r="Y16" s="10"/>
    </row>
    <row r="17" spans="1:25">
      <c r="A17" s="8"/>
      <c r="B17" s="8"/>
      <c r="C17" s="8"/>
      <c r="D17" s="8"/>
      <c r="E17" s="8"/>
      <c r="F17" s="8"/>
      <c r="G17" s="8"/>
      <c r="H17" s="8"/>
      <c r="I17" s="10"/>
      <c r="J17" s="10"/>
      <c r="K17" s="8"/>
      <c r="L17" s="8"/>
      <c r="M17" s="8"/>
      <c r="N17" s="8"/>
      <c r="O17" s="8"/>
      <c r="P17" s="8"/>
      <c r="Q17" s="8"/>
      <c r="R17" s="8"/>
      <c r="S17" s="8"/>
      <c r="T17" s="10"/>
      <c r="U17" s="8"/>
      <c r="V17" s="8"/>
      <c r="W17" s="8"/>
      <c r="X17" s="8"/>
      <c r="Y17" s="10"/>
    </row>
    <row r="18" spans="1:25">
      <c r="A18" s="8"/>
      <c r="B18" s="8"/>
      <c r="C18" s="8"/>
      <c r="D18" s="8"/>
      <c r="E18" s="8"/>
      <c r="F18" s="8"/>
      <c r="G18" s="8"/>
      <c r="H18" s="8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10"/>
      <c r="U18" s="8"/>
      <c r="V18" s="8"/>
      <c r="W18" s="8"/>
      <c r="X18" s="8"/>
      <c r="Y18" s="10"/>
    </row>
    <row r="19" spans="1:25">
      <c r="A19" s="8"/>
      <c r="B19" s="8"/>
      <c r="C19" s="8"/>
      <c r="D19" s="8"/>
      <c r="E19" s="8"/>
      <c r="F19" s="8"/>
      <c r="G19" s="8"/>
      <c r="H19" s="8"/>
      <c r="I19" s="10"/>
      <c r="J19" s="10"/>
      <c r="K19" s="8"/>
      <c r="L19" s="8"/>
      <c r="M19" s="8"/>
      <c r="N19" s="8"/>
      <c r="O19" s="8"/>
      <c r="P19" s="8"/>
      <c r="Q19" s="8"/>
      <c r="R19" s="8"/>
      <c r="S19" s="8"/>
      <c r="T19" s="10"/>
      <c r="U19" s="8"/>
      <c r="V19" s="8"/>
      <c r="W19" s="8"/>
      <c r="X19" s="8"/>
      <c r="Y19" s="10"/>
    </row>
    <row r="20" spans="1:25">
      <c r="A20" s="8"/>
      <c r="B20" s="8"/>
      <c r="C20" s="8"/>
      <c r="D20" s="8"/>
      <c r="E20" s="8"/>
      <c r="F20" s="8"/>
      <c r="G20" s="8"/>
      <c r="H20" s="8"/>
      <c r="I20" s="10"/>
      <c r="J20" s="10"/>
      <c r="K20" s="8"/>
      <c r="L20" s="8"/>
      <c r="M20" s="8"/>
      <c r="N20" s="8"/>
      <c r="O20" s="8"/>
      <c r="P20" s="8"/>
      <c r="Q20" s="8"/>
      <c r="R20" s="8"/>
      <c r="S20" s="8"/>
      <c r="T20" s="10"/>
      <c r="U20" s="8"/>
      <c r="V20" s="8"/>
      <c r="W20" s="8"/>
      <c r="X20" s="8"/>
      <c r="Y20" s="10"/>
    </row>
    <row r="21" spans="1:25">
      <c r="A21" s="8"/>
      <c r="B21" s="8"/>
      <c r="C21" s="8"/>
      <c r="D21" s="8"/>
      <c r="E21" s="8"/>
      <c r="F21" s="8"/>
      <c r="G21" s="8"/>
      <c r="H21" s="8"/>
      <c r="I21" s="10"/>
      <c r="J21" s="10"/>
      <c r="K21" s="8"/>
      <c r="L21" s="8"/>
      <c r="M21" s="8"/>
      <c r="N21" s="8"/>
      <c r="O21" s="8"/>
      <c r="P21" s="8"/>
      <c r="Q21" s="8"/>
      <c r="R21" s="8"/>
      <c r="S21" s="8"/>
      <c r="T21" s="10"/>
      <c r="U21" s="8"/>
      <c r="V21" s="8"/>
      <c r="W21" s="8"/>
      <c r="X21" s="8"/>
      <c r="Y21" s="10"/>
    </row>
    <row r="22" spans="1:25">
      <c r="A22" s="8"/>
      <c r="B22" s="8"/>
      <c r="C22" s="8"/>
      <c r="D22" s="8"/>
      <c r="E22" s="8"/>
      <c r="F22" s="8"/>
      <c r="G22" s="8"/>
      <c r="H22" s="8"/>
      <c r="I22" s="10"/>
      <c r="J22" s="10"/>
      <c r="K22" s="8"/>
      <c r="L22" s="8"/>
      <c r="M22" s="8"/>
      <c r="N22" s="8"/>
      <c r="O22" s="8"/>
      <c r="P22" s="8"/>
      <c r="Q22" s="8"/>
      <c r="R22" s="8"/>
      <c r="S22" s="8"/>
      <c r="T22" s="10"/>
      <c r="U22" s="8"/>
      <c r="V22" s="8"/>
      <c r="W22" s="8"/>
      <c r="X22" s="8"/>
      <c r="Y22" s="10"/>
    </row>
    <row r="23" spans="1:25">
      <c r="A23" s="8"/>
      <c r="B23" s="8"/>
      <c r="C23" s="8"/>
      <c r="D23" s="8"/>
      <c r="E23" s="8"/>
      <c r="F23" s="8"/>
      <c r="G23" s="8"/>
      <c r="H23" s="8"/>
      <c r="I23" s="10"/>
      <c r="J23" s="10"/>
      <c r="K23" s="8"/>
      <c r="L23" s="8"/>
      <c r="M23" s="8"/>
      <c r="N23" s="8"/>
      <c r="O23" s="8"/>
      <c r="P23" s="8"/>
      <c r="Q23" s="8"/>
      <c r="R23" s="8"/>
      <c r="S23" s="8"/>
      <c r="T23" s="10"/>
      <c r="U23" s="8"/>
      <c r="V23" s="8"/>
      <c r="W23" s="8"/>
      <c r="X23" s="8"/>
      <c r="Y23" s="10"/>
    </row>
    <row r="24" spans="1:25">
      <c r="A24" s="8"/>
      <c r="B24" s="8"/>
      <c r="C24" s="8"/>
      <c r="D24" s="8"/>
      <c r="E24" s="8"/>
      <c r="F24" s="8"/>
      <c r="G24" s="8"/>
      <c r="H24" s="8"/>
      <c r="I24" s="10"/>
      <c r="J24" s="10"/>
      <c r="K24" s="8"/>
      <c r="L24" s="8"/>
      <c r="M24" s="8"/>
      <c r="N24" s="8"/>
      <c r="O24" s="8"/>
      <c r="P24" s="8"/>
      <c r="Q24" s="8"/>
      <c r="R24" s="8"/>
      <c r="S24" s="8"/>
      <c r="T24" s="10"/>
      <c r="U24" s="8"/>
      <c r="V24" s="8"/>
      <c r="W24" s="8"/>
      <c r="X24" s="8"/>
      <c r="Y24" s="10"/>
    </row>
    <row r="25" spans="1:25">
      <c r="A25" s="8"/>
      <c r="B25" s="8"/>
      <c r="C25" s="8"/>
      <c r="D25" s="8"/>
      <c r="E25" s="8"/>
      <c r="F25" s="8"/>
      <c r="G25" s="8"/>
      <c r="H25" s="8"/>
      <c r="I25" s="10"/>
      <c r="J25" s="10"/>
      <c r="K25" s="8"/>
      <c r="L25" s="8"/>
      <c r="M25" s="8"/>
      <c r="N25" s="8"/>
      <c r="O25" s="8"/>
      <c r="P25" s="8"/>
      <c r="Q25" s="8"/>
      <c r="R25" s="8"/>
      <c r="S25" s="8"/>
      <c r="T25" s="10"/>
      <c r="U25" s="8"/>
      <c r="V25" s="8"/>
      <c r="W25" s="8"/>
      <c r="X25" s="8"/>
      <c r="Y25" s="10"/>
    </row>
    <row r="26" spans="1:25">
      <c r="A26" s="8"/>
      <c r="B26" s="8"/>
      <c r="C26" s="8"/>
      <c r="D26" s="8"/>
      <c r="E26" s="8"/>
      <c r="F26" s="8"/>
      <c r="G26" s="8"/>
      <c r="H26" s="8"/>
      <c r="I26" s="10"/>
      <c r="J26" s="10"/>
      <c r="K26" s="8"/>
      <c r="L26" s="8"/>
      <c r="M26" s="8"/>
      <c r="N26" s="8"/>
      <c r="O26" s="8"/>
      <c r="P26" s="8"/>
      <c r="Q26" s="8"/>
      <c r="R26" s="8"/>
      <c r="S26" s="8"/>
      <c r="T26" s="10"/>
      <c r="U26" s="8"/>
      <c r="V26" s="8"/>
      <c r="W26" s="8"/>
      <c r="X26" s="8"/>
      <c r="Y26" s="10"/>
    </row>
    <row r="27" spans="1:25">
      <c r="A27" s="8"/>
      <c r="B27" s="8"/>
      <c r="C27" s="8"/>
      <c r="D27" s="8"/>
      <c r="E27" s="8"/>
      <c r="F27" s="8"/>
      <c r="G27" s="8"/>
      <c r="H27" s="8"/>
      <c r="I27" s="10"/>
      <c r="J27" s="10"/>
      <c r="K27" s="8"/>
      <c r="L27" s="8"/>
      <c r="M27" s="8"/>
      <c r="N27" s="8"/>
      <c r="O27" s="8"/>
      <c r="P27" s="8"/>
      <c r="Q27" s="8"/>
      <c r="R27" s="8"/>
      <c r="S27" s="8"/>
      <c r="T27" s="10"/>
      <c r="U27" s="8"/>
      <c r="V27" s="8"/>
      <c r="W27" s="8"/>
      <c r="X27" s="8"/>
      <c r="Y27" s="10"/>
    </row>
    <row r="28" spans="1:25">
      <c r="A28" s="8"/>
      <c r="B28" s="8"/>
      <c r="C28" s="8"/>
      <c r="D28" s="8"/>
      <c r="E28" s="8"/>
      <c r="F28" s="8"/>
      <c r="G28" s="8"/>
      <c r="H28" s="8"/>
      <c r="I28" s="10"/>
      <c r="J28" s="10"/>
      <c r="K28" s="8"/>
      <c r="L28" s="8"/>
      <c r="M28" s="8"/>
      <c r="N28" s="8"/>
      <c r="O28" s="8"/>
      <c r="P28" s="8"/>
      <c r="Q28" s="8"/>
      <c r="R28" s="8"/>
      <c r="S28" s="8"/>
      <c r="T28" s="10"/>
      <c r="U28" s="8"/>
      <c r="V28" s="8"/>
      <c r="W28" s="8"/>
      <c r="X28" s="8"/>
      <c r="Y28" s="10"/>
    </row>
    <row r="29" spans="1:25">
      <c r="A29" s="8"/>
      <c r="B29" s="8"/>
      <c r="C29" s="8"/>
      <c r="D29" s="8"/>
      <c r="E29" s="8"/>
      <c r="F29" s="8"/>
      <c r="G29" s="8"/>
      <c r="H29" s="8"/>
      <c r="I29" s="10"/>
      <c r="J29" s="10"/>
      <c r="K29" s="8"/>
      <c r="L29" s="8"/>
      <c r="M29" s="8"/>
      <c r="N29" s="8"/>
      <c r="O29" s="8"/>
      <c r="P29" s="8"/>
      <c r="Q29" s="8"/>
      <c r="R29" s="8"/>
      <c r="S29" s="8"/>
      <c r="T29" s="10"/>
      <c r="U29" s="8"/>
      <c r="V29" s="8"/>
      <c r="W29" s="8"/>
      <c r="X29" s="8"/>
      <c r="Y29" s="10"/>
    </row>
    <row r="30" spans="1:25">
      <c r="A30" s="8"/>
      <c r="B30" s="8"/>
      <c r="C30" s="8"/>
      <c r="D30" s="8"/>
      <c r="E30" s="8"/>
      <c r="F30" s="8"/>
      <c r="G30" s="8"/>
      <c r="H30" s="8"/>
      <c r="I30" s="10"/>
      <c r="J30" s="10"/>
      <c r="K30" s="8"/>
      <c r="L30" s="8"/>
      <c r="M30" s="8"/>
      <c r="N30" s="8"/>
      <c r="O30" s="8"/>
      <c r="P30" s="8"/>
      <c r="Q30" s="8"/>
      <c r="R30" s="8"/>
      <c r="S30" s="8"/>
      <c r="T30" s="10"/>
      <c r="U30" s="8"/>
      <c r="V30" s="8"/>
      <c r="W30" s="8"/>
      <c r="X30" s="8"/>
      <c r="Y30" s="10"/>
    </row>
    <row r="31" spans="1:25">
      <c r="A31" s="8"/>
      <c r="B31" s="8"/>
      <c r="C31" s="8"/>
      <c r="D31" s="8"/>
      <c r="E31" s="8"/>
      <c r="F31" s="8"/>
      <c r="G31" s="8"/>
      <c r="H31" s="8"/>
      <c r="I31" s="10"/>
      <c r="J31" s="10"/>
      <c r="K31" s="8"/>
      <c r="L31" s="8"/>
      <c r="M31" s="8"/>
      <c r="N31" s="8"/>
      <c r="O31" s="8"/>
      <c r="P31" s="8"/>
      <c r="Q31" s="8"/>
      <c r="R31" s="8"/>
      <c r="S31" s="8"/>
      <c r="T31" s="10"/>
      <c r="U31" s="8"/>
      <c r="V31" s="8"/>
      <c r="W31" s="8"/>
      <c r="X31" s="8"/>
      <c r="Y31" s="10"/>
    </row>
    <row r="32" spans="1:25">
      <c r="A32" s="8"/>
      <c r="B32" s="8"/>
      <c r="C32" s="8"/>
      <c r="D32" s="8"/>
      <c r="E32" s="8"/>
      <c r="F32" s="8"/>
      <c r="G32" s="8"/>
      <c r="H32" s="8"/>
      <c r="I32" s="10"/>
      <c r="J32" s="10"/>
      <c r="K32" s="8"/>
      <c r="L32" s="8"/>
      <c r="M32" s="8"/>
      <c r="N32" s="8"/>
      <c r="O32" s="8"/>
      <c r="P32" s="8"/>
      <c r="Q32" s="8"/>
      <c r="R32" s="8"/>
      <c r="S32" s="8"/>
      <c r="T32" s="10"/>
      <c r="U32" s="8"/>
      <c r="V32" s="8"/>
      <c r="W32" s="8"/>
      <c r="X32" s="8"/>
      <c r="Y32" s="10"/>
    </row>
    <row r="33" spans="1:25">
      <c r="A33" s="8"/>
      <c r="B33" s="8"/>
      <c r="C33" s="8"/>
      <c r="D33" s="8"/>
      <c r="E33" s="8"/>
      <c r="F33" s="8"/>
      <c r="G33" s="8"/>
      <c r="H33" s="8"/>
      <c r="I33" s="10"/>
      <c r="J33" s="10"/>
      <c r="K33" s="8"/>
      <c r="L33" s="8"/>
      <c r="M33" s="8"/>
      <c r="N33" s="8"/>
      <c r="O33" s="8"/>
      <c r="P33" s="8"/>
      <c r="Q33" s="8"/>
      <c r="R33" s="8"/>
      <c r="S33" s="8"/>
      <c r="T33" s="10"/>
      <c r="U33" s="8"/>
      <c r="V33" s="8"/>
      <c r="W33" s="8"/>
      <c r="X33" s="8"/>
      <c r="Y33" s="10"/>
    </row>
    <row r="34" spans="1:25">
      <c r="A34" s="8"/>
      <c r="B34" s="8"/>
      <c r="C34" s="8"/>
      <c r="D34" s="8"/>
      <c r="E34" s="8"/>
      <c r="F34" s="8"/>
      <c r="G34" s="8"/>
      <c r="H34" s="8"/>
      <c r="I34" s="10"/>
      <c r="J34" s="10"/>
      <c r="K34" s="8"/>
      <c r="L34" s="8"/>
      <c r="M34" s="8"/>
      <c r="N34" s="8"/>
      <c r="O34" s="8"/>
      <c r="P34" s="8"/>
      <c r="Q34" s="8"/>
      <c r="R34" s="8"/>
      <c r="S34" s="8"/>
      <c r="T34" s="10"/>
      <c r="U34" s="8"/>
      <c r="V34" s="8"/>
      <c r="W34" s="8"/>
      <c r="X34" s="8"/>
      <c r="Y34" s="10"/>
    </row>
    <row r="35" spans="1:25">
      <c r="A35" s="8"/>
      <c r="B35" s="8"/>
      <c r="C35" s="8"/>
      <c r="D35" s="8"/>
      <c r="E35" s="8"/>
      <c r="F35" s="8"/>
      <c r="G35" s="8"/>
      <c r="H35" s="8"/>
      <c r="I35" s="10"/>
      <c r="J35" s="10"/>
      <c r="K35" s="8"/>
      <c r="L35" s="8"/>
      <c r="M35" s="8"/>
      <c r="N35" s="8"/>
      <c r="O35" s="8"/>
      <c r="P35" s="8"/>
      <c r="Q35" s="8"/>
      <c r="R35" s="8"/>
      <c r="S35" s="8"/>
      <c r="T35" s="10"/>
      <c r="U35" s="8"/>
      <c r="V35" s="8"/>
      <c r="W35" s="8"/>
      <c r="X35" s="8"/>
      <c r="Y35" s="10"/>
    </row>
    <row r="36" spans="1:25">
      <c r="A36" s="8"/>
      <c r="B36" s="8"/>
      <c r="C36" s="8"/>
      <c r="D36" s="8"/>
      <c r="E36" s="8"/>
      <c r="F36" s="8"/>
      <c r="G36" s="8"/>
      <c r="H36" s="8"/>
      <c r="I36" s="10"/>
      <c r="J36" s="10"/>
      <c r="K36" s="8"/>
      <c r="L36" s="8"/>
      <c r="M36" s="8"/>
      <c r="N36" s="8"/>
      <c r="O36" s="8"/>
      <c r="P36" s="8"/>
      <c r="Q36" s="8"/>
      <c r="R36" s="8"/>
      <c r="S36" s="8"/>
      <c r="T36" s="10"/>
      <c r="U36" s="8"/>
      <c r="V36" s="8"/>
      <c r="W36" s="8"/>
      <c r="X36" s="8"/>
      <c r="Y36" s="10"/>
    </row>
    <row r="37" spans="1:25">
      <c r="A37" s="8"/>
      <c r="B37" s="8"/>
      <c r="C37" s="8"/>
      <c r="D37" s="8"/>
      <c r="E37" s="8"/>
      <c r="F37" s="8"/>
      <c r="G37" s="8"/>
      <c r="H37" s="8"/>
      <c r="I37" s="10"/>
      <c r="J37" s="10"/>
      <c r="K37" s="8"/>
      <c r="L37" s="8"/>
      <c r="M37" s="8"/>
      <c r="N37" s="8"/>
      <c r="O37" s="8"/>
      <c r="P37" s="8"/>
      <c r="Q37" s="8"/>
      <c r="R37" s="8"/>
      <c r="S37" s="8"/>
      <c r="T37" s="10"/>
      <c r="U37" s="8"/>
      <c r="V37" s="8"/>
      <c r="W37" s="8"/>
      <c r="X37" s="8"/>
      <c r="Y37" s="10"/>
    </row>
    <row r="38" spans="1:25">
      <c r="A38" s="8"/>
      <c r="B38" s="8"/>
      <c r="C38" s="8"/>
      <c r="D38" s="8"/>
      <c r="E38" s="8"/>
      <c r="F38" s="8"/>
      <c r="G38" s="8"/>
      <c r="H38" s="8"/>
      <c r="I38" s="10"/>
      <c r="J38" s="10"/>
      <c r="K38" s="8"/>
      <c r="L38" s="8"/>
      <c r="M38" s="8"/>
      <c r="N38" s="8"/>
      <c r="O38" s="8"/>
      <c r="P38" s="8"/>
      <c r="Q38" s="8"/>
      <c r="R38" s="8"/>
      <c r="S38" s="8"/>
      <c r="T38" s="10"/>
      <c r="U38" s="8"/>
      <c r="V38" s="8"/>
      <c r="W38" s="8"/>
      <c r="X38" s="8"/>
      <c r="Y38" s="10"/>
    </row>
    <row r="39" spans="1:25">
      <c r="A39" s="8"/>
      <c r="B39" s="8"/>
      <c r="C39" s="8"/>
      <c r="D39" s="8"/>
      <c r="E39" s="8"/>
      <c r="F39" s="8"/>
      <c r="G39" s="8"/>
      <c r="H39" s="8"/>
      <c r="I39" s="10"/>
      <c r="J39" s="10"/>
      <c r="K39" s="8"/>
      <c r="L39" s="8"/>
      <c r="M39" s="8"/>
      <c r="N39" s="8"/>
      <c r="O39" s="8"/>
      <c r="P39" s="8"/>
      <c r="Q39" s="8"/>
      <c r="R39" s="8"/>
      <c r="S39" s="8"/>
      <c r="T39" s="10"/>
      <c r="U39" s="8"/>
      <c r="V39" s="8"/>
      <c r="W39" s="8"/>
      <c r="X39" s="8"/>
      <c r="Y39" s="10"/>
    </row>
    <row r="40" spans="1:25">
      <c r="A40" s="8"/>
      <c r="B40" s="8"/>
      <c r="C40" s="8"/>
      <c r="D40" s="8"/>
      <c r="E40" s="8"/>
      <c r="F40" s="8"/>
      <c r="G40" s="8"/>
      <c r="H40" s="8"/>
      <c r="I40" s="10"/>
      <c r="J40" s="10"/>
      <c r="K40" s="8"/>
      <c r="L40" s="8"/>
      <c r="M40" s="8"/>
      <c r="N40" s="8"/>
      <c r="O40" s="8"/>
      <c r="P40" s="8"/>
      <c r="Q40" s="8"/>
      <c r="R40" s="8"/>
      <c r="S40" s="8"/>
      <c r="T40" s="10"/>
      <c r="U40" s="8"/>
      <c r="V40" s="8"/>
      <c r="W40" s="8"/>
      <c r="X40" s="8"/>
      <c r="Y40" s="10"/>
    </row>
    <row r="41" spans="1:25">
      <c r="A41" s="8"/>
      <c r="B41" s="8"/>
      <c r="C41" s="8"/>
      <c r="D41" s="8"/>
      <c r="E41" s="8"/>
      <c r="F41" s="8"/>
      <c r="G41" s="8"/>
      <c r="H41" s="8"/>
      <c r="I41" s="10"/>
      <c r="J41" s="10"/>
      <c r="K41" s="8"/>
      <c r="L41" s="8"/>
      <c r="M41" s="8"/>
      <c r="N41" s="8"/>
      <c r="O41" s="8"/>
      <c r="P41" s="8"/>
      <c r="Q41" s="8"/>
      <c r="R41" s="8"/>
      <c r="S41" s="8"/>
      <c r="T41" s="10"/>
      <c r="U41" s="8"/>
      <c r="V41" s="8"/>
      <c r="W41" s="8"/>
      <c r="X41" s="8"/>
      <c r="Y41" s="10"/>
    </row>
    <row r="42" spans="1:25">
      <c r="A42" s="8"/>
      <c r="B42" s="8"/>
      <c r="C42" s="8"/>
      <c r="D42" s="8"/>
      <c r="E42" s="8"/>
      <c r="F42" s="8"/>
      <c r="G42" s="8"/>
      <c r="H42" s="8"/>
      <c r="I42" s="10"/>
      <c r="J42" s="10"/>
      <c r="K42" s="8"/>
      <c r="L42" s="8"/>
      <c r="M42" s="8"/>
      <c r="N42" s="8"/>
      <c r="O42" s="8"/>
      <c r="P42" s="8"/>
      <c r="Q42" s="8"/>
      <c r="R42" s="8"/>
      <c r="S42" s="8"/>
      <c r="T42" s="10"/>
      <c r="U42" s="8"/>
      <c r="V42" s="8"/>
      <c r="W42" s="8"/>
      <c r="X42" s="8"/>
      <c r="Y42" s="10"/>
    </row>
    <row r="43" spans="1:25">
      <c r="A43" s="8"/>
      <c r="B43" s="8"/>
      <c r="C43" s="8"/>
      <c r="D43" s="8"/>
      <c r="E43" s="8"/>
      <c r="F43" s="8"/>
      <c r="G43" s="8"/>
      <c r="H43" s="8"/>
      <c r="I43" s="10"/>
      <c r="J43" s="10"/>
      <c r="K43" s="8"/>
      <c r="L43" s="8"/>
      <c r="M43" s="8"/>
      <c r="N43" s="8"/>
      <c r="O43" s="8"/>
      <c r="P43" s="8"/>
      <c r="Q43" s="8"/>
      <c r="R43" s="8"/>
      <c r="S43" s="8"/>
      <c r="T43" s="10"/>
      <c r="U43" s="8"/>
      <c r="V43" s="8"/>
      <c r="W43" s="8"/>
      <c r="X43" s="8"/>
      <c r="Y43" s="10"/>
    </row>
    <row r="44" spans="1:25">
      <c r="A44" s="8"/>
      <c r="B44" s="8"/>
      <c r="C44" s="8"/>
      <c r="D44" s="8"/>
      <c r="E44" s="8"/>
      <c r="F44" s="8"/>
      <c r="G44" s="8"/>
      <c r="H44" s="8"/>
      <c r="I44" s="10"/>
      <c r="J44" s="10"/>
      <c r="K44" s="8"/>
      <c r="L44" s="8"/>
      <c r="M44" s="8"/>
      <c r="N44" s="8"/>
      <c r="O44" s="8"/>
      <c r="P44" s="8"/>
      <c r="Q44" s="8"/>
      <c r="R44" s="8"/>
      <c r="S44" s="8"/>
      <c r="T44" s="10"/>
      <c r="U44" s="8"/>
      <c r="V44" s="8"/>
      <c r="W44" s="8"/>
      <c r="X44" s="8"/>
      <c r="Y44" s="10"/>
    </row>
    <row r="45" spans="1:25">
      <c r="A45" s="8"/>
      <c r="B45" s="8"/>
      <c r="C45" s="8"/>
      <c r="D45" s="8"/>
      <c r="E45" s="8"/>
      <c r="F45" s="8"/>
      <c r="G45" s="8"/>
      <c r="H45" s="8"/>
      <c r="I45" s="10"/>
      <c r="J45" s="10"/>
      <c r="K45" s="8"/>
      <c r="L45" s="8"/>
      <c r="M45" s="8"/>
      <c r="N45" s="8"/>
      <c r="O45" s="8"/>
      <c r="P45" s="8"/>
      <c r="Q45" s="8"/>
      <c r="R45" s="8"/>
      <c r="S45" s="8"/>
      <c r="T45" s="10"/>
      <c r="U45" s="8"/>
      <c r="V45" s="8"/>
      <c r="W45" s="8"/>
      <c r="X45" s="8"/>
      <c r="Y45" s="10"/>
    </row>
    <row r="46" spans="1:25">
      <c r="A46" s="8"/>
      <c r="B46" s="8"/>
      <c r="C46" s="8"/>
      <c r="D46" s="8"/>
      <c r="E46" s="8"/>
      <c r="F46" s="8"/>
      <c r="G46" s="8"/>
      <c r="H46" s="8"/>
      <c r="I46" s="10"/>
      <c r="J46" s="10"/>
      <c r="K46" s="8"/>
      <c r="L46" s="8"/>
      <c r="M46" s="8"/>
      <c r="N46" s="8"/>
      <c r="O46" s="8"/>
      <c r="P46" s="8"/>
      <c r="Q46" s="8"/>
      <c r="R46" s="8"/>
      <c r="S46" s="8"/>
      <c r="T46" s="10"/>
      <c r="U46" s="8"/>
      <c r="V46" s="8"/>
      <c r="W46" s="8"/>
      <c r="X46" s="8"/>
      <c r="Y46" s="10"/>
    </row>
    <row r="47" spans="1:25">
      <c r="A47" s="8"/>
      <c r="B47" s="8"/>
      <c r="C47" s="8"/>
      <c r="D47" s="8"/>
      <c r="E47" s="8"/>
      <c r="F47" s="8"/>
      <c r="G47" s="8"/>
      <c r="H47" s="8"/>
      <c r="I47" s="10"/>
      <c r="J47" s="10"/>
      <c r="K47" s="8"/>
      <c r="L47" s="8"/>
      <c r="M47" s="8"/>
      <c r="N47" s="8"/>
      <c r="O47" s="8"/>
      <c r="P47" s="8"/>
      <c r="Q47" s="8"/>
      <c r="R47" s="8"/>
      <c r="S47" s="8"/>
      <c r="T47" s="10"/>
      <c r="U47" s="8"/>
      <c r="V47" s="8"/>
      <c r="W47" s="8"/>
      <c r="X47" s="8"/>
      <c r="Y47" s="10"/>
    </row>
    <row r="48" spans="1:25">
      <c r="A48" s="8"/>
      <c r="B48" s="8"/>
      <c r="C48" s="8"/>
      <c r="D48" s="8"/>
      <c r="E48" s="8"/>
      <c r="F48" s="8"/>
      <c r="G48" s="8"/>
      <c r="H48" s="8"/>
      <c r="I48" s="10"/>
      <c r="J48" s="10"/>
      <c r="K48" s="8"/>
      <c r="L48" s="8"/>
      <c r="M48" s="8"/>
      <c r="N48" s="8"/>
      <c r="O48" s="8"/>
      <c r="P48" s="8"/>
      <c r="Q48" s="8"/>
      <c r="R48" s="8"/>
      <c r="S48" s="8"/>
      <c r="T48" s="10"/>
      <c r="U48" s="8"/>
      <c r="V48" s="8"/>
      <c r="W48" s="8"/>
      <c r="X48" s="8"/>
      <c r="Y48" s="10"/>
    </row>
    <row r="49" spans="1:25">
      <c r="A49" s="8"/>
      <c r="B49" s="8"/>
      <c r="C49" s="8"/>
      <c r="D49" s="8"/>
      <c r="E49" s="8"/>
      <c r="F49" s="8"/>
      <c r="G49" s="8"/>
      <c r="H49" s="8"/>
      <c r="I49" s="10"/>
      <c r="J49" s="10"/>
      <c r="K49" s="8"/>
      <c r="L49" s="8"/>
      <c r="M49" s="8"/>
      <c r="N49" s="8"/>
      <c r="O49" s="8"/>
      <c r="P49" s="8"/>
      <c r="Q49" s="8"/>
      <c r="R49" s="8"/>
      <c r="S49" s="8"/>
      <c r="T49" s="10"/>
      <c r="U49" s="8"/>
      <c r="V49" s="8"/>
      <c r="W49" s="8"/>
      <c r="X49" s="8"/>
      <c r="Y49" s="10"/>
    </row>
    <row r="50" spans="1:25">
      <c r="A50" s="8"/>
      <c r="B50" s="8"/>
      <c r="C50" s="8"/>
      <c r="D50" s="8"/>
      <c r="E50" s="8"/>
      <c r="F50" s="8"/>
      <c r="G50" s="8"/>
      <c r="H50" s="8"/>
      <c r="I50" s="10"/>
      <c r="J50" s="10"/>
      <c r="K50" s="8"/>
      <c r="L50" s="8"/>
      <c r="M50" s="8"/>
      <c r="N50" s="8"/>
      <c r="O50" s="8"/>
      <c r="P50" s="8"/>
      <c r="Q50" s="8"/>
      <c r="R50" s="8"/>
      <c r="S50" s="8"/>
      <c r="T50" s="10"/>
      <c r="U50" s="8"/>
      <c r="V50" s="8"/>
      <c r="W50" s="8"/>
      <c r="X50" s="8"/>
      <c r="Y50" s="10"/>
    </row>
    <row r="51" spans="1:25">
      <c r="A51" s="8"/>
      <c r="B51" s="8"/>
      <c r="C51" s="8"/>
      <c r="D51" s="8"/>
      <c r="E51" s="8"/>
      <c r="F51" s="8"/>
      <c r="G51" s="8"/>
      <c r="H51" s="8"/>
      <c r="I51" s="10"/>
      <c r="J51" s="10"/>
      <c r="K51" s="8"/>
      <c r="L51" s="8"/>
      <c r="M51" s="8"/>
      <c r="N51" s="8"/>
      <c r="O51" s="8"/>
      <c r="P51" s="8"/>
      <c r="Q51" s="8"/>
      <c r="R51" s="8"/>
      <c r="S51" s="8"/>
      <c r="T51" s="10"/>
      <c r="U51" s="8"/>
      <c r="V51" s="8"/>
      <c r="W51" s="8"/>
      <c r="X51" s="8"/>
      <c r="Y51" s="10"/>
    </row>
    <row r="52" spans="1:25">
      <c r="A52" s="8"/>
      <c r="B52" s="8"/>
      <c r="C52" s="8"/>
      <c r="D52" s="8"/>
      <c r="E52" s="8"/>
      <c r="F52" s="8"/>
      <c r="G52" s="8"/>
      <c r="H52" s="8"/>
      <c r="I52" s="10"/>
      <c r="J52" s="10"/>
      <c r="K52" s="8"/>
      <c r="L52" s="8"/>
      <c r="M52" s="8"/>
      <c r="N52" s="8"/>
      <c r="O52" s="8"/>
      <c r="P52" s="8"/>
      <c r="Q52" s="8"/>
      <c r="R52" s="8"/>
      <c r="S52" s="8"/>
      <c r="T52" s="10"/>
      <c r="U52" s="8"/>
      <c r="V52" s="8"/>
      <c r="W52" s="8"/>
      <c r="X52" s="8"/>
      <c r="Y52" s="10"/>
    </row>
    <row r="53" spans="1:25">
      <c r="A53" s="8"/>
      <c r="B53" s="8"/>
      <c r="C53" s="8"/>
      <c r="D53" s="8"/>
      <c r="E53" s="8"/>
      <c r="F53" s="8"/>
      <c r="G53" s="8"/>
      <c r="H53" s="8"/>
      <c r="I53" s="10"/>
      <c r="J53" s="10"/>
      <c r="K53" s="8"/>
      <c r="L53" s="8"/>
      <c r="M53" s="8"/>
      <c r="N53" s="8"/>
      <c r="O53" s="8"/>
      <c r="P53" s="8"/>
      <c r="Q53" s="8"/>
      <c r="R53" s="8"/>
      <c r="S53" s="8"/>
      <c r="T53" s="10"/>
      <c r="U53" s="8"/>
      <c r="V53" s="8"/>
      <c r="W53" s="8"/>
      <c r="X53" s="8"/>
      <c r="Y53" s="10"/>
    </row>
    <row r="54" spans="1:25">
      <c r="A54" s="8"/>
      <c r="B54" s="8"/>
      <c r="C54" s="8"/>
      <c r="D54" s="8"/>
      <c r="E54" s="8"/>
      <c r="F54" s="8"/>
      <c r="G54" s="8"/>
      <c r="H54" s="8"/>
      <c r="I54" s="10"/>
      <c r="J54" s="10"/>
      <c r="K54" s="8"/>
      <c r="L54" s="8"/>
      <c r="M54" s="8"/>
      <c r="N54" s="8"/>
      <c r="O54" s="8"/>
      <c r="P54" s="8"/>
      <c r="Q54" s="8"/>
      <c r="R54" s="8"/>
      <c r="S54" s="8"/>
      <c r="T54" s="10"/>
      <c r="U54" s="8"/>
      <c r="V54" s="8"/>
      <c r="W54" s="8"/>
      <c r="X54" s="8"/>
      <c r="Y54" s="10"/>
    </row>
    <row r="55" spans="1:25">
      <c r="A55" s="8"/>
      <c r="B55" s="8"/>
      <c r="C55" s="8"/>
      <c r="D55" s="8"/>
      <c r="E55" s="8"/>
      <c r="F55" s="8"/>
      <c r="G55" s="8"/>
      <c r="H55" s="8"/>
      <c r="I55" s="10"/>
      <c r="J55" s="10"/>
      <c r="K55" s="8"/>
      <c r="L55" s="8"/>
      <c r="M55" s="8"/>
      <c r="N55" s="8"/>
      <c r="O55" s="8"/>
      <c r="P55" s="8"/>
      <c r="Q55" s="8"/>
      <c r="R55" s="8"/>
      <c r="S55" s="8"/>
      <c r="T55" s="10"/>
      <c r="U55" s="8"/>
      <c r="V55" s="8"/>
      <c r="W55" s="8"/>
      <c r="X55" s="8"/>
      <c r="Y55" s="10"/>
    </row>
    <row r="56" spans="1:25">
      <c r="A56" s="8"/>
      <c r="B56" s="8"/>
      <c r="C56" s="8"/>
      <c r="D56" s="8"/>
      <c r="E56" s="8"/>
      <c r="F56" s="8"/>
      <c r="G56" s="8"/>
      <c r="H56" s="8"/>
      <c r="I56" s="10"/>
      <c r="J56" s="10"/>
      <c r="K56" s="8"/>
      <c r="L56" s="8"/>
      <c r="M56" s="8"/>
      <c r="N56" s="8"/>
      <c r="O56" s="8"/>
      <c r="P56" s="8"/>
      <c r="Q56" s="8"/>
      <c r="R56" s="8"/>
      <c r="S56" s="8"/>
      <c r="T56" s="10"/>
      <c r="U56" s="8"/>
      <c r="V56" s="8"/>
      <c r="W56" s="8"/>
      <c r="X56" s="8"/>
      <c r="Y56" s="10"/>
    </row>
    <row r="57" spans="1:25">
      <c r="A57" s="8"/>
      <c r="B57" s="8"/>
      <c r="C57" s="8"/>
      <c r="D57" s="8"/>
      <c r="E57" s="8"/>
      <c r="F57" s="8"/>
      <c r="G57" s="8"/>
      <c r="H57" s="8"/>
      <c r="I57" s="10"/>
      <c r="J57" s="10"/>
      <c r="K57" s="8"/>
      <c r="L57" s="8"/>
      <c r="M57" s="8"/>
      <c r="N57" s="8"/>
      <c r="O57" s="8"/>
      <c r="P57" s="8"/>
      <c r="Q57" s="8"/>
      <c r="R57" s="8"/>
      <c r="S57" s="8"/>
      <c r="T57" s="10"/>
      <c r="U57" s="8"/>
      <c r="V57" s="8"/>
      <c r="W57" s="8"/>
      <c r="X57" s="8"/>
      <c r="Y57" s="10"/>
    </row>
    <row r="58" spans="1:25">
      <c r="A58" s="8"/>
      <c r="B58" s="8"/>
      <c r="C58" s="8"/>
      <c r="D58" s="8"/>
      <c r="E58" s="8"/>
      <c r="F58" s="8"/>
      <c r="G58" s="8"/>
      <c r="H58" s="8"/>
      <c r="I58" s="10"/>
      <c r="J58" s="10"/>
      <c r="K58" s="8"/>
      <c r="L58" s="8"/>
      <c r="M58" s="8"/>
      <c r="N58" s="8"/>
      <c r="O58" s="8"/>
      <c r="P58" s="8"/>
      <c r="Q58" s="8"/>
      <c r="R58" s="8"/>
      <c r="S58" s="8"/>
      <c r="T58" s="10"/>
      <c r="U58" s="8"/>
      <c r="V58" s="8"/>
      <c r="W58" s="8"/>
      <c r="X58" s="8"/>
      <c r="Y58" s="10"/>
    </row>
    <row r="59" spans="1:25">
      <c r="A59" s="8"/>
      <c r="B59" s="8"/>
      <c r="C59" s="8"/>
      <c r="D59" s="8"/>
      <c r="E59" s="8"/>
      <c r="F59" s="8"/>
      <c r="G59" s="8"/>
      <c r="H59" s="8"/>
      <c r="I59" s="10"/>
      <c r="J59" s="10"/>
      <c r="K59" s="8"/>
      <c r="L59" s="8"/>
      <c r="M59" s="8"/>
      <c r="N59" s="8"/>
      <c r="O59" s="8"/>
      <c r="P59" s="8"/>
      <c r="Q59" s="8"/>
      <c r="R59" s="8"/>
      <c r="S59" s="8"/>
      <c r="T59" s="10"/>
      <c r="U59" s="8"/>
      <c r="V59" s="8"/>
      <c r="W59" s="8"/>
      <c r="X59" s="8"/>
      <c r="Y59" s="10"/>
    </row>
    <row r="60" spans="1:25">
      <c r="A60" s="8"/>
      <c r="B60" s="8"/>
      <c r="C60" s="8"/>
      <c r="D60" s="8"/>
      <c r="E60" s="8"/>
      <c r="F60" s="8"/>
      <c r="G60" s="8"/>
      <c r="H60" s="8"/>
      <c r="I60" s="10"/>
      <c r="J60" s="10"/>
      <c r="K60" s="8"/>
      <c r="L60" s="8"/>
      <c r="M60" s="8"/>
      <c r="N60" s="8"/>
      <c r="O60" s="8"/>
      <c r="P60" s="8"/>
      <c r="Q60" s="8"/>
      <c r="R60" s="8"/>
      <c r="S60" s="8"/>
      <c r="T60" s="10"/>
      <c r="U60" s="8"/>
      <c r="V60" s="8"/>
      <c r="W60" s="8"/>
      <c r="X60" s="8"/>
      <c r="Y60" s="10"/>
    </row>
    <row r="61" spans="1:25">
      <c r="A61" s="8"/>
      <c r="B61" s="8"/>
      <c r="C61" s="8"/>
      <c r="D61" s="8"/>
      <c r="E61" s="8"/>
      <c r="F61" s="8"/>
      <c r="G61" s="8"/>
      <c r="H61" s="8"/>
      <c r="I61" s="10"/>
      <c r="J61" s="10"/>
      <c r="K61" s="8"/>
      <c r="L61" s="8"/>
      <c r="M61" s="8"/>
      <c r="N61" s="8"/>
      <c r="O61" s="8"/>
      <c r="P61" s="8"/>
      <c r="Q61" s="8"/>
      <c r="R61" s="8"/>
      <c r="S61" s="8"/>
      <c r="T61" s="10"/>
      <c r="U61" s="8"/>
      <c r="V61" s="8"/>
      <c r="W61" s="8"/>
      <c r="X61" s="8"/>
      <c r="Y61" s="10"/>
    </row>
    <row r="62" spans="1:25">
      <c r="A62" s="8"/>
      <c r="B62" s="8"/>
      <c r="C62" s="8"/>
      <c r="D62" s="8"/>
      <c r="E62" s="8"/>
      <c r="F62" s="8"/>
      <c r="G62" s="8"/>
      <c r="H62" s="8"/>
      <c r="I62" s="10"/>
      <c r="J62" s="10"/>
      <c r="K62" s="8"/>
      <c r="L62" s="8"/>
      <c r="M62" s="8"/>
      <c r="N62" s="8"/>
      <c r="O62" s="8"/>
      <c r="P62" s="8"/>
      <c r="Q62" s="8"/>
      <c r="R62" s="8"/>
      <c r="S62" s="8"/>
      <c r="T62" s="10"/>
      <c r="U62" s="8"/>
      <c r="V62" s="8"/>
      <c r="W62" s="8"/>
      <c r="X62" s="8"/>
      <c r="Y62" s="10"/>
    </row>
    <row r="63" spans="1:25">
      <c r="A63" s="8"/>
      <c r="B63" s="8"/>
      <c r="C63" s="8"/>
      <c r="D63" s="8"/>
      <c r="E63" s="8"/>
      <c r="F63" s="8"/>
      <c r="G63" s="8"/>
      <c r="H63" s="8"/>
      <c r="I63" s="10"/>
      <c r="J63" s="10"/>
      <c r="K63" s="8"/>
      <c r="L63" s="8"/>
      <c r="M63" s="8"/>
      <c r="N63" s="8"/>
      <c r="O63" s="8"/>
      <c r="P63" s="8"/>
      <c r="Q63" s="8"/>
      <c r="R63" s="8"/>
      <c r="S63" s="8"/>
      <c r="T63" s="10"/>
      <c r="U63" s="8"/>
      <c r="V63" s="8"/>
      <c r="W63" s="8"/>
      <c r="X63" s="8"/>
      <c r="Y63" s="10"/>
    </row>
    <row r="64" spans="1:25">
      <c r="A64" s="8"/>
      <c r="B64" s="8"/>
      <c r="C64" s="8"/>
      <c r="D64" s="8"/>
      <c r="E64" s="8"/>
      <c r="F64" s="8"/>
      <c r="G64" s="8"/>
      <c r="H64" s="8"/>
      <c r="I64" s="10"/>
      <c r="J64" s="10"/>
      <c r="K64" s="8"/>
      <c r="L64" s="8"/>
      <c r="M64" s="8"/>
      <c r="N64" s="8"/>
      <c r="O64" s="8"/>
      <c r="P64" s="8"/>
      <c r="Q64" s="8"/>
      <c r="R64" s="8"/>
      <c r="S64" s="8"/>
      <c r="T64" s="10"/>
      <c r="U64" s="8"/>
      <c r="V64" s="8"/>
      <c r="W64" s="8"/>
      <c r="X64" s="8"/>
      <c r="Y64" s="10"/>
    </row>
    <row r="65" spans="1:25">
      <c r="A65" s="8"/>
      <c r="B65" s="8"/>
      <c r="C65" s="8"/>
      <c r="D65" s="8"/>
      <c r="E65" s="8"/>
      <c r="F65" s="8"/>
      <c r="G65" s="8"/>
      <c r="H65" s="8"/>
      <c r="I65" s="10"/>
      <c r="J65" s="10"/>
      <c r="K65" s="8"/>
      <c r="L65" s="8"/>
      <c r="M65" s="8"/>
      <c r="N65" s="8"/>
      <c r="O65" s="8"/>
      <c r="P65" s="8"/>
      <c r="Q65" s="8"/>
      <c r="R65" s="8"/>
      <c r="S65" s="8"/>
      <c r="T65" s="10"/>
      <c r="U65" s="8"/>
      <c r="V65" s="8"/>
      <c r="W65" s="8"/>
      <c r="X65" s="8"/>
      <c r="Y65" s="10"/>
    </row>
    <row r="66" spans="1:25">
      <c r="A66" s="8"/>
      <c r="B66" s="8"/>
      <c r="C66" s="8"/>
      <c r="D66" s="8"/>
      <c r="E66" s="8"/>
      <c r="F66" s="8"/>
      <c r="G66" s="8"/>
      <c r="H66" s="8"/>
      <c r="I66" s="10"/>
      <c r="J66" s="10"/>
      <c r="K66" s="8"/>
      <c r="L66" s="8"/>
      <c r="M66" s="8"/>
      <c r="N66" s="8"/>
      <c r="O66" s="8"/>
      <c r="P66" s="8"/>
      <c r="Q66" s="8"/>
      <c r="R66" s="8"/>
      <c r="S66" s="8"/>
      <c r="T66" s="10"/>
      <c r="U66" s="8"/>
      <c r="V66" s="8"/>
      <c r="W66" s="8"/>
      <c r="X66" s="8"/>
      <c r="Y66" s="10"/>
    </row>
    <row r="67" spans="1:25">
      <c r="A67" s="8"/>
      <c r="B67" s="8"/>
      <c r="C67" s="8"/>
      <c r="D67" s="8"/>
      <c r="E67" s="8"/>
      <c r="F67" s="8"/>
      <c r="G67" s="8"/>
      <c r="H67" s="8"/>
      <c r="I67" s="10"/>
      <c r="J67" s="10"/>
      <c r="K67" s="8"/>
      <c r="L67" s="8"/>
      <c r="M67" s="8"/>
      <c r="N67" s="8"/>
      <c r="O67" s="8"/>
      <c r="P67" s="8"/>
      <c r="Q67" s="8"/>
      <c r="R67" s="8"/>
      <c r="S67" s="8"/>
      <c r="T67" s="10"/>
      <c r="U67" s="8"/>
      <c r="V67" s="8"/>
      <c r="W67" s="8"/>
      <c r="X67" s="8"/>
      <c r="Y67" s="10"/>
    </row>
    <row r="68" spans="1:25">
      <c r="A68" s="8"/>
      <c r="B68" s="8"/>
      <c r="C68" s="8"/>
      <c r="D68" s="8"/>
      <c r="E68" s="8"/>
      <c r="F68" s="8"/>
      <c r="G68" s="8"/>
      <c r="H68" s="8"/>
      <c r="I68" s="10"/>
      <c r="J68" s="10"/>
      <c r="K68" s="8"/>
      <c r="L68" s="8"/>
      <c r="M68" s="8"/>
      <c r="N68" s="8"/>
      <c r="O68" s="8"/>
      <c r="P68" s="8"/>
      <c r="Q68" s="8"/>
      <c r="R68" s="8"/>
      <c r="S68" s="8"/>
      <c r="T68" s="10"/>
      <c r="U68" s="8"/>
      <c r="V68" s="8"/>
      <c r="W68" s="8"/>
      <c r="X68" s="8"/>
      <c r="Y68" s="10"/>
    </row>
    <row r="69" spans="1:25">
      <c r="A69" s="8"/>
      <c r="B69" s="8"/>
      <c r="C69" s="8"/>
      <c r="D69" s="8"/>
      <c r="E69" s="8"/>
      <c r="F69" s="8"/>
      <c r="G69" s="8"/>
      <c r="H69" s="8"/>
      <c r="I69" s="10"/>
      <c r="J69" s="10"/>
      <c r="K69" s="8"/>
      <c r="L69" s="8"/>
      <c r="M69" s="8"/>
      <c r="N69" s="8"/>
      <c r="O69" s="8"/>
      <c r="P69" s="8"/>
      <c r="Q69" s="8"/>
      <c r="R69" s="8"/>
      <c r="S69" s="8"/>
      <c r="T69" s="10"/>
      <c r="U69" s="8"/>
      <c r="V69" s="8"/>
      <c r="W69" s="8"/>
      <c r="X69" s="8"/>
      <c r="Y69" s="10"/>
    </row>
    <row r="70" spans="1:25">
      <c r="A70" s="8"/>
      <c r="B70" s="8"/>
      <c r="C70" s="8"/>
      <c r="D70" s="8"/>
      <c r="E70" s="8"/>
      <c r="F70" s="8"/>
      <c r="G70" s="8"/>
      <c r="H70" s="8"/>
      <c r="I70" s="10"/>
      <c r="J70" s="10"/>
      <c r="K70" s="8"/>
      <c r="L70" s="8"/>
      <c r="M70" s="8"/>
      <c r="N70" s="8"/>
      <c r="O70" s="8"/>
      <c r="P70" s="8"/>
      <c r="Q70" s="8"/>
      <c r="R70" s="8"/>
      <c r="S70" s="8"/>
      <c r="T70" s="10"/>
      <c r="U70" s="8"/>
      <c r="V70" s="8"/>
      <c r="W70" s="8"/>
      <c r="X70" s="8"/>
      <c r="Y70" s="10"/>
    </row>
    <row r="71" spans="1:25">
      <c r="A71" s="8"/>
      <c r="B71" s="8"/>
      <c r="C71" s="8"/>
      <c r="D71" s="8"/>
      <c r="E71" s="8"/>
      <c r="F71" s="8"/>
      <c r="G71" s="8"/>
      <c r="H71" s="8"/>
      <c r="I71" s="10"/>
      <c r="J71" s="10"/>
      <c r="K71" s="8"/>
      <c r="L71" s="8"/>
      <c r="M71" s="8"/>
      <c r="N71" s="8"/>
      <c r="O71" s="8"/>
      <c r="P71" s="8"/>
      <c r="Q71" s="8"/>
      <c r="R71" s="8"/>
      <c r="S71" s="8"/>
      <c r="T71" s="10"/>
      <c r="U71" s="8"/>
      <c r="V71" s="8"/>
      <c r="W71" s="8"/>
      <c r="X71" s="8"/>
      <c r="Y71" s="10"/>
    </row>
    <row r="72" spans="1:25">
      <c r="A72" s="8"/>
      <c r="B72" s="8"/>
      <c r="C72" s="8"/>
      <c r="D72" s="8"/>
      <c r="E72" s="8"/>
      <c r="F72" s="8"/>
      <c r="G72" s="8"/>
      <c r="H72" s="8"/>
      <c r="I72" s="10"/>
      <c r="J72" s="10"/>
      <c r="K72" s="8"/>
      <c r="L72" s="8"/>
      <c r="M72" s="8"/>
      <c r="N72" s="8"/>
      <c r="O72" s="8"/>
      <c r="P72" s="8"/>
      <c r="Q72" s="8"/>
      <c r="R72" s="8"/>
      <c r="S72" s="8"/>
      <c r="T72" s="10"/>
      <c r="U72" s="8"/>
      <c r="V72" s="8"/>
      <c r="W72" s="8"/>
      <c r="X72" s="8"/>
      <c r="Y72" s="10"/>
    </row>
    <row r="73" spans="1:25">
      <c r="A73" s="8"/>
      <c r="B73" s="8"/>
      <c r="C73" s="8"/>
      <c r="D73" s="8"/>
      <c r="E73" s="8"/>
      <c r="F73" s="8"/>
      <c r="G73" s="8"/>
      <c r="H73" s="8"/>
      <c r="I73" s="10"/>
      <c r="J73" s="10"/>
      <c r="K73" s="8"/>
      <c r="L73" s="8"/>
      <c r="M73" s="8"/>
      <c r="N73" s="8"/>
      <c r="O73" s="8"/>
      <c r="P73" s="8"/>
      <c r="Q73" s="8"/>
      <c r="R73" s="8"/>
      <c r="S73" s="8"/>
      <c r="T73" s="10"/>
      <c r="U73" s="8"/>
      <c r="V73" s="8"/>
      <c r="W73" s="8"/>
      <c r="X73" s="8"/>
      <c r="Y73" s="10"/>
    </row>
    <row r="74" spans="1:25">
      <c r="A74" s="8"/>
      <c r="B74" s="8"/>
      <c r="C74" s="8"/>
      <c r="D74" s="8"/>
      <c r="E74" s="8"/>
      <c r="F74" s="8"/>
      <c r="G74" s="8"/>
      <c r="H74" s="8"/>
      <c r="I74" s="10"/>
      <c r="J74" s="10"/>
      <c r="K74" s="8"/>
      <c r="L74" s="8"/>
      <c r="M74" s="8"/>
      <c r="N74" s="8"/>
      <c r="O74" s="8"/>
      <c r="P74" s="8"/>
      <c r="Q74" s="8"/>
      <c r="R74" s="8"/>
      <c r="S74" s="8"/>
      <c r="T74" s="10"/>
      <c r="U74" s="8"/>
      <c r="V74" s="8"/>
      <c r="W74" s="8"/>
      <c r="X74" s="8"/>
      <c r="Y74" s="10"/>
    </row>
    <row r="75" spans="1:25">
      <c r="A75" s="8"/>
      <c r="B75" s="8"/>
      <c r="C75" s="8"/>
      <c r="D75" s="8"/>
      <c r="E75" s="8"/>
      <c r="F75" s="8"/>
      <c r="G75" s="8"/>
      <c r="H75" s="8"/>
      <c r="I75" s="10"/>
      <c r="J75" s="10"/>
      <c r="K75" s="8"/>
      <c r="L75" s="8"/>
      <c r="M75" s="8"/>
      <c r="N75" s="8"/>
      <c r="O75" s="8"/>
      <c r="P75" s="8"/>
      <c r="Q75" s="8"/>
      <c r="R75" s="8"/>
      <c r="S75" s="8"/>
      <c r="T75" s="10"/>
      <c r="U75" s="8"/>
      <c r="V75" s="8"/>
      <c r="W75" s="8"/>
      <c r="X75" s="8"/>
      <c r="Y75" s="10"/>
    </row>
    <row r="76" spans="1:25">
      <c r="A76" s="8"/>
      <c r="B76" s="8"/>
      <c r="C76" s="8"/>
      <c r="D76" s="8"/>
      <c r="E76" s="8"/>
      <c r="F76" s="8"/>
      <c r="G76" s="8"/>
      <c r="H76" s="8"/>
      <c r="I76" s="10"/>
      <c r="J76" s="10"/>
      <c r="K76" s="8"/>
      <c r="L76" s="8"/>
      <c r="M76" s="8"/>
      <c r="N76" s="8"/>
      <c r="O76" s="8"/>
      <c r="P76" s="8"/>
      <c r="Q76" s="8"/>
      <c r="R76" s="8"/>
      <c r="S76" s="8"/>
      <c r="T76" s="10"/>
      <c r="U76" s="8"/>
      <c r="V76" s="8"/>
      <c r="W76" s="8"/>
      <c r="X76" s="8"/>
      <c r="Y76" s="10"/>
    </row>
    <row r="77" spans="1:25">
      <c r="A77" s="8"/>
      <c r="B77" s="8"/>
      <c r="C77" s="8"/>
      <c r="D77" s="8"/>
      <c r="E77" s="8"/>
      <c r="F77" s="8"/>
      <c r="G77" s="8"/>
      <c r="H77" s="8"/>
      <c r="I77" s="10"/>
      <c r="J77" s="10"/>
      <c r="K77" s="8"/>
      <c r="L77" s="8"/>
      <c r="M77" s="8"/>
      <c r="N77" s="8"/>
      <c r="O77" s="8"/>
      <c r="P77" s="8"/>
      <c r="Q77" s="8"/>
      <c r="R77" s="8"/>
      <c r="S77" s="8"/>
      <c r="T77" s="10"/>
      <c r="U77" s="8"/>
      <c r="V77" s="8"/>
      <c r="W77" s="8"/>
      <c r="X77" s="8"/>
      <c r="Y77" s="10"/>
    </row>
    <row r="78" spans="1:25">
      <c r="A78" s="8"/>
      <c r="B78" s="8"/>
      <c r="C78" s="8"/>
      <c r="D78" s="8"/>
      <c r="E78" s="8"/>
      <c r="F78" s="8"/>
      <c r="G78" s="8"/>
      <c r="H78" s="8"/>
      <c r="I78" s="10"/>
      <c r="J78" s="10"/>
      <c r="K78" s="8"/>
      <c r="L78" s="8"/>
      <c r="M78" s="8"/>
      <c r="N78" s="8"/>
      <c r="O78" s="8"/>
      <c r="P78" s="8"/>
      <c r="Q78" s="8"/>
      <c r="R78" s="8"/>
      <c r="S78" s="8"/>
      <c r="T78" s="10"/>
      <c r="U78" s="8"/>
      <c r="V78" s="8"/>
      <c r="W78" s="8"/>
      <c r="X78" s="8"/>
      <c r="Y78" s="10"/>
    </row>
    <row r="79" spans="1:25">
      <c r="A79" s="8"/>
      <c r="B79" s="8"/>
      <c r="C79" s="8"/>
      <c r="D79" s="8"/>
      <c r="E79" s="8"/>
      <c r="F79" s="8"/>
      <c r="G79" s="8"/>
      <c r="H79" s="8"/>
      <c r="I79" s="10"/>
      <c r="J79" s="10"/>
      <c r="K79" s="8"/>
      <c r="L79" s="8"/>
      <c r="M79" s="8"/>
      <c r="N79" s="8"/>
      <c r="O79" s="8"/>
      <c r="P79" s="8"/>
      <c r="Q79" s="8"/>
      <c r="R79" s="8"/>
      <c r="S79" s="8"/>
      <c r="T79" s="10"/>
      <c r="U79" s="8"/>
      <c r="V79" s="8"/>
      <c r="W79" s="8"/>
      <c r="X79" s="8"/>
      <c r="Y79" s="10"/>
    </row>
    <row r="80" spans="1:25">
      <c r="A80" s="8"/>
      <c r="B80" s="8"/>
      <c r="C80" s="8"/>
      <c r="D80" s="8"/>
      <c r="E80" s="8"/>
      <c r="F80" s="8"/>
      <c r="G80" s="8"/>
      <c r="H80" s="8"/>
      <c r="I80" s="10"/>
      <c r="J80" s="10"/>
      <c r="K80" s="8"/>
      <c r="L80" s="8"/>
      <c r="M80" s="8"/>
      <c r="N80" s="8"/>
      <c r="O80" s="8"/>
      <c r="P80" s="8"/>
      <c r="Q80" s="8"/>
      <c r="R80" s="8"/>
      <c r="S80" s="8"/>
      <c r="T80" s="10"/>
      <c r="U80" s="8"/>
      <c r="V80" s="8"/>
      <c r="W80" s="8"/>
      <c r="X80" s="8"/>
      <c r="Y80" s="10"/>
    </row>
    <row r="81" spans="1:25">
      <c r="A81" s="8"/>
      <c r="B81" s="8"/>
      <c r="C81" s="8"/>
      <c r="D81" s="8"/>
      <c r="E81" s="8"/>
      <c r="F81" s="8"/>
      <c r="G81" s="8"/>
      <c r="H81" s="8"/>
      <c r="I81" s="10"/>
      <c r="J81" s="10"/>
      <c r="K81" s="8"/>
      <c r="L81" s="8"/>
      <c r="M81" s="8"/>
      <c r="N81" s="8"/>
      <c r="O81" s="8"/>
      <c r="P81" s="8"/>
      <c r="Q81" s="8"/>
      <c r="R81" s="8"/>
      <c r="S81" s="8"/>
      <c r="T81" s="10"/>
      <c r="U81" s="8"/>
      <c r="V81" s="8"/>
      <c r="W81" s="8"/>
      <c r="X81" s="8"/>
      <c r="Y81" s="10"/>
    </row>
    <row r="82" spans="1:25">
      <c r="A82" s="8"/>
      <c r="B82" s="8"/>
      <c r="C82" s="8"/>
      <c r="D82" s="8"/>
      <c r="E82" s="8"/>
      <c r="F82" s="8"/>
      <c r="G82" s="8"/>
      <c r="H82" s="8"/>
      <c r="I82" s="10"/>
      <c r="J82" s="10"/>
      <c r="K82" s="8"/>
      <c r="L82" s="8"/>
      <c r="M82" s="8"/>
      <c r="N82" s="8"/>
      <c r="O82" s="8"/>
      <c r="P82" s="8"/>
      <c r="Q82" s="8"/>
      <c r="R82" s="8"/>
      <c r="S82" s="8"/>
      <c r="T82" s="10"/>
      <c r="U82" s="8"/>
      <c r="V82" s="8"/>
      <c r="W82" s="8"/>
      <c r="X82" s="8"/>
      <c r="Y82" s="10"/>
    </row>
    <row r="83" spans="1:25">
      <c r="A83" s="8"/>
      <c r="B83" s="8"/>
      <c r="C83" s="8"/>
      <c r="D83" s="8"/>
      <c r="E83" s="8"/>
      <c r="F83" s="8"/>
      <c r="G83" s="8"/>
      <c r="H83" s="8"/>
      <c r="I83" s="10"/>
      <c r="J83" s="10"/>
      <c r="K83" s="8"/>
      <c r="L83" s="8"/>
      <c r="M83" s="8"/>
      <c r="N83" s="8"/>
      <c r="O83" s="8"/>
      <c r="P83" s="8"/>
      <c r="Q83" s="8"/>
      <c r="R83" s="8"/>
      <c r="S83" s="8"/>
      <c r="T83" s="10"/>
      <c r="U83" s="8"/>
      <c r="V83" s="8"/>
      <c r="W83" s="8"/>
      <c r="X83" s="8"/>
      <c r="Y83" s="10"/>
    </row>
    <row r="84" spans="1:25">
      <c r="A84" s="8"/>
      <c r="B84" s="8"/>
      <c r="C84" s="8"/>
      <c r="D84" s="8"/>
      <c r="E84" s="8"/>
      <c r="F84" s="8"/>
      <c r="G84" s="8"/>
      <c r="H84" s="8"/>
      <c r="I84" s="10"/>
      <c r="J84" s="10"/>
      <c r="K84" s="8"/>
      <c r="L84" s="8"/>
      <c r="M84" s="8"/>
      <c r="N84" s="8"/>
      <c r="O84" s="8"/>
      <c r="P84" s="8"/>
      <c r="Q84" s="8"/>
      <c r="R84" s="8"/>
      <c r="S84" s="8"/>
      <c r="T84" s="10"/>
      <c r="U84" s="8"/>
      <c r="V84" s="8"/>
      <c r="W84" s="8"/>
      <c r="X84" s="8"/>
      <c r="Y84" s="10"/>
    </row>
    <row r="85" spans="1:25">
      <c r="A85" s="8"/>
      <c r="B85" s="8"/>
      <c r="C85" s="8"/>
      <c r="D85" s="8"/>
      <c r="E85" s="8"/>
      <c r="F85" s="8"/>
      <c r="G85" s="8"/>
      <c r="H85" s="8"/>
      <c r="I85" s="10"/>
      <c r="J85" s="10"/>
      <c r="K85" s="8"/>
      <c r="L85" s="8"/>
      <c r="M85" s="8"/>
      <c r="N85" s="8"/>
      <c r="O85" s="8"/>
      <c r="P85" s="8"/>
      <c r="Q85" s="8"/>
      <c r="R85" s="8"/>
      <c r="S85" s="8"/>
      <c r="T85" s="10"/>
      <c r="U85" s="8"/>
      <c r="V85" s="8"/>
      <c r="W85" s="8"/>
      <c r="X85" s="8"/>
      <c r="Y85" s="10"/>
    </row>
    <row r="86" spans="1:25">
      <c r="A86" s="8"/>
      <c r="B86" s="8"/>
      <c r="C86" s="8"/>
      <c r="D86" s="8"/>
      <c r="E86" s="8"/>
      <c r="F86" s="8"/>
      <c r="G86" s="8"/>
      <c r="H86" s="8"/>
      <c r="I86" s="10"/>
      <c r="J86" s="10"/>
      <c r="K86" s="8"/>
      <c r="L86" s="8"/>
      <c r="M86" s="8"/>
      <c r="N86" s="8"/>
      <c r="O86" s="8"/>
      <c r="P86" s="8"/>
      <c r="Q86" s="8"/>
      <c r="R86" s="8"/>
      <c r="S86" s="8"/>
      <c r="T86" s="10"/>
      <c r="U86" s="8"/>
      <c r="V86" s="8"/>
      <c r="W86" s="8"/>
      <c r="X86" s="8"/>
      <c r="Y86" s="10"/>
    </row>
    <row r="87" spans="1:25">
      <c r="A87" s="8"/>
      <c r="B87" s="8"/>
      <c r="C87" s="8"/>
      <c r="D87" s="8"/>
      <c r="E87" s="8"/>
      <c r="F87" s="8"/>
      <c r="G87" s="8"/>
      <c r="H87" s="8"/>
      <c r="I87" s="10"/>
      <c r="J87" s="10"/>
      <c r="K87" s="8"/>
      <c r="L87" s="8"/>
      <c r="M87" s="8"/>
      <c r="N87" s="8"/>
      <c r="O87" s="8"/>
      <c r="P87" s="8"/>
      <c r="Q87" s="8"/>
      <c r="R87" s="8"/>
      <c r="S87" s="8"/>
      <c r="T87" s="10"/>
      <c r="U87" s="8"/>
      <c r="V87" s="8"/>
      <c r="W87" s="8"/>
      <c r="X87" s="8"/>
      <c r="Y87" s="10"/>
    </row>
    <row r="88" spans="1:25">
      <c r="A88" s="8"/>
      <c r="B88" s="8"/>
      <c r="C88" s="8"/>
      <c r="D88" s="8"/>
      <c r="E88" s="8"/>
      <c r="F88" s="8"/>
      <c r="G88" s="8"/>
      <c r="H88" s="8"/>
      <c r="I88" s="10"/>
      <c r="J88" s="10"/>
      <c r="K88" s="8"/>
      <c r="L88" s="8"/>
      <c r="M88" s="8"/>
      <c r="N88" s="8"/>
      <c r="O88" s="8"/>
      <c r="P88" s="8"/>
      <c r="Q88" s="8"/>
      <c r="R88" s="8"/>
      <c r="S88" s="8"/>
      <c r="T88" s="10"/>
      <c r="U88" s="8"/>
      <c r="V88" s="8"/>
      <c r="W88" s="8"/>
      <c r="X88" s="8"/>
      <c r="Y88" s="10"/>
    </row>
    <row r="89" spans="1:25">
      <c r="A89" s="8"/>
      <c r="B89" s="8"/>
      <c r="C89" s="8"/>
      <c r="D89" s="8"/>
      <c r="E89" s="8"/>
      <c r="F89" s="8"/>
      <c r="G89" s="8"/>
      <c r="H89" s="8"/>
      <c r="I89" s="10"/>
      <c r="J89" s="10"/>
      <c r="K89" s="8"/>
      <c r="L89" s="8"/>
      <c r="M89" s="8"/>
      <c r="N89" s="8"/>
      <c r="O89" s="8"/>
      <c r="P89" s="8"/>
      <c r="Q89" s="8"/>
      <c r="R89" s="8"/>
      <c r="S89" s="8"/>
      <c r="T89" s="10"/>
      <c r="U89" s="8"/>
      <c r="V89" s="8"/>
      <c r="W89" s="8"/>
      <c r="X89" s="8"/>
      <c r="Y89" s="10"/>
    </row>
    <row r="90" spans="1:25">
      <c r="A90" s="8"/>
      <c r="B90" s="8"/>
      <c r="C90" s="8"/>
      <c r="D90" s="8"/>
      <c r="E90" s="8"/>
      <c r="F90" s="8"/>
      <c r="G90" s="8"/>
      <c r="H90" s="8"/>
      <c r="I90" s="10"/>
      <c r="J90" s="10"/>
      <c r="K90" s="8"/>
      <c r="L90" s="8"/>
      <c r="M90" s="8"/>
      <c r="N90" s="8"/>
      <c r="O90" s="8"/>
      <c r="P90" s="8"/>
      <c r="Q90" s="8"/>
      <c r="R90" s="8"/>
      <c r="S90" s="8"/>
      <c r="T90" s="10"/>
      <c r="U90" s="8"/>
      <c r="V90" s="8"/>
      <c r="W90" s="8"/>
      <c r="X90" s="8"/>
      <c r="Y90" s="10"/>
    </row>
    <row r="91" spans="1:25">
      <c r="A91" s="8"/>
      <c r="B91" s="8"/>
      <c r="C91" s="8"/>
      <c r="D91" s="8"/>
      <c r="E91" s="8"/>
      <c r="F91" s="8"/>
      <c r="G91" s="8"/>
      <c r="H91" s="8"/>
      <c r="I91" s="10"/>
      <c r="J91" s="10"/>
      <c r="K91" s="8"/>
      <c r="L91" s="8"/>
      <c r="M91" s="8"/>
      <c r="N91" s="8"/>
      <c r="O91" s="8"/>
      <c r="P91" s="8"/>
      <c r="Q91" s="8"/>
      <c r="R91" s="8"/>
      <c r="S91" s="8"/>
      <c r="T91" s="10"/>
      <c r="U91" s="8"/>
      <c r="V91" s="8"/>
      <c r="W91" s="8"/>
      <c r="X91" s="8"/>
      <c r="Y91" s="10"/>
    </row>
    <row r="92" spans="1:25">
      <c r="A92" s="8"/>
      <c r="B92" s="8"/>
      <c r="C92" s="8"/>
      <c r="D92" s="8"/>
      <c r="E92" s="8"/>
      <c r="F92" s="8"/>
      <c r="G92" s="8"/>
      <c r="H92" s="8"/>
      <c r="I92" s="10"/>
      <c r="J92" s="10"/>
      <c r="K92" s="8"/>
      <c r="L92" s="8"/>
      <c r="M92" s="8"/>
      <c r="N92" s="8"/>
      <c r="O92" s="8"/>
      <c r="P92" s="8"/>
      <c r="Q92" s="8"/>
      <c r="R92" s="8"/>
      <c r="S92" s="8"/>
      <c r="T92" s="10"/>
      <c r="U92" s="8"/>
      <c r="V92" s="8"/>
      <c r="W92" s="8"/>
      <c r="X92" s="8"/>
      <c r="Y92" s="10"/>
    </row>
    <row r="93" spans="1:25">
      <c r="A93" s="8"/>
      <c r="B93" s="8"/>
      <c r="C93" s="8"/>
      <c r="D93" s="8"/>
      <c r="E93" s="8"/>
      <c r="F93" s="8"/>
      <c r="G93" s="8"/>
      <c r="H93" s="8"/>
      <c r="I93" s="10"/>
      <c r="J93" s="10"/>
      <c r="K93" s="8"/>
      <c r="L93" s="8"/>
      <c r="M93" s="8"/>
      <c r="N93" s="8"/>
      <c r="O93" s="8"/>
      <c r="P93" s="8"/>
      <c r="Q93" s="8"/>
      <c r="R93" s="8"/>
      <c r="S93" s="8"/>
      <c r="T93" s="10"/>
      <c r="U93" s="8"/>
      <c r="V93" s="8"/>
      <c r="W93" s="8"/>
      <c r="X93" s="8"/>
      <c r="Y93" s="10"/>
    </row>
    <row r="94" spans="1:25">
      <c r="A94" s="8"/>
      <c r="B94" s="8"/>
      <c r="C94" s="8"/>
      <c r="D94" s="8"/>
      <c r="E94" s="8"/>
      <c r="F94" s="8"/>
      <c r="G94" s="8"/>
      <c r="H94" s="8"/>
      <c r="I94" s="10"/>
      <c r="J94" s="10"/>
      <c r="K94" s="8"/>
      <c r="L94" s="8"/>
      <c r="M94" s="8"/>
      <c r="N94" s="8"/>
      <c r="O94" s="8"/>
      <c r="P94" s="8"/>
      <c r="Q94" s="8"/>
      <c r="R94" s="8"/>
      <c r="S94" s="8"/>
      <c r="T94" s="10"/>
      <c r="U94" s="8"/>
      <c r="V94" s="8"/>
      <c r="W94" s="8"/>
      <c r="X94" s="8"/>
      <c r="Y94" s="10"/>
    </row>
    <row r="95" spans="1:25">
      <c r="A95" s="8"/>
      <c r="B95" s="8"/>
      <c r="C95" s="8"/>
      <c r="D95" s="8"/>
      <c r="E95" s="8"/>
      <c r="F95" s="8"/>
      <c r="G95" s="8"/>
      <c r="H95" s="8"/>
      <c r="I95" s="10"/>
      <c r="J95" s="10"/>
      <c r="K95" s="8"/>
      <c r="L95" s="8"/>
      <c r="M95" s="8"/>
      <c r="N95" s="8"/>
      <c r="O95" s="8"/>
      <c r="P95" s="8"/>
      <c r="Q95" s="8"/>
      <c r="R95" s="8"/>
      <c r="S95" s="8"/>
      <c r="T95" s="10"/>
      <c r="U95" s="8"/>
      <c r="V95" s="8"/>
      <c r="W95" s="8"/>
      <c r="X95" s="8"/>
      <c r="Y95" s="10"/>
    </row>
    <row r="96" spans="1:25">
      <c r="A96" s="8"/>
      <c r="B96" s="8"/>
      <c r="C96" s="8"/>
      <c r="D96" s="8"/>
      <c r="E96" s="8"/>
      <c r="F96" s="8"/>
      <c r="G96" s="8"/>
      <c r="H96" s="8"/>
      <c r="I96" s="10"/>
      <c r="J96" s="10"/>
      <c r="K96" s="8"/>
      <c r="L96" s="8"/>
      <c r="M96" s="8"/>
      <c r="N96" s="8"/>
      <c r="O96" s="8"/>
      <c r="P96" s="8"/>
      <c r="Q96" s="8"/>
      <c r="R96" s="8"/>
      <c r="S96" s="8"/>
      <c r="T96" s="10"/>
      <c r="U96" s="8"/>
      <c r="V96" s="8"/>
      <c r="W96" s="8"/>
      <c r="X96" s="8"/>
      <c r="Y96" s="10"/>
    </row>
    <row r="97" spans="1:25">
      <c r="A97" s="8"/>
      <c r="B97" s="8"/>
      <c r="C97" s="8"/>
      <c r="D97" s="8"/>
      <c r="E97" s="8"/>
      <c r="F97" s="8"/>
      <c r="G97" s="8"/>
      <c r="H97" s="8"/>
      <c r="I97" s="10"/>
      <c r="J97" s="10"/>
      <c r="K97" s="8"/>
      <c r="L97" s="8"/>
      <c r="M97" s="8"/>
      <c r="N97" s="8"/>
      <c r="O97" s="8"/>
      <c r="P97" s="8"/>
      <c r="Q97" s="8"/>
      <c r="R97" s="8"/>
      <c r="S97" s="8"/>
      <c r="T97" s="10"/>
      <c r="U97" s="8"/>
      <c r="V97" s="8"/>
      <c r="W97" s="8"/>
      <c r="X97" s="8"/>
      <c r="Y97" s="10"/>
    </row>
    <row r="98" spans="1:25">
      <c r="A98" s="8"/>
      <c r="B98" s="8"/>
      <c r="C98" s="8"/>
      <c r="D98" s="8"/>
      <c r="E98" s="8"/>
      <c r="F98" s="8"/>
      <c r="G98" s="8"/>
      <c r="H98" s="8"/>
      <c r="I98" s="10"/>
      <c r="J98" s="10"/>
      <c r="K98" s="8"/>
      <c r="L98" s="8"/>
      <c r="M98" s="8"/>
      <c r="N98" s="8"/>
      <c r="O98" s="8"/>
      <c r="P98" s="8"/>
      <c r="Q98" s="8"/>
      <c r="R98" s="8"/>
      <c r="S98" s="8"/>
      <c r="T98" s="10"/>
      <c r="U98" s="8"/>
      <c r="V98" s="8"/>
      <c r="W98" s="8"/>
      <c r="X98" s="8"/>
      <c r="Y98" s="10"/>
    </row>
    <row r="99" spans="1:25">
      <c r="A99" s="8"/>
      <c r="B99" s="8"/>
      <c r="C99" s="8"/>
      <c r="D99" s="8"/>
      <c r="E99" s="8"/>
      <c r="F99" s="8"/>
      <c r="G99" s="8"/>
      <c r="H99" s="8"/>
      <c r="I99" s="10"/>
      <c r="J99" s="10"/>
      <c r="K99" s="8"/>
      <c r="L99" s="8"/>
      <c r="M99" s="8"/>
      <c r="N99" s="8"/>
      <c r="O99" s="8"/>
      <c r="P99" s="8"/>
      <c r="Q99" s="8"/>
      <c r="R99" s="8"/>
      <c r="S99" s="8"/>
      <c r="T99" s="10"/>
      <c r="U99" s="8"/>
      <c r="V99" s="8"/>
      <c r="W99" s="8"/>
      <c r="X99" s="8"/>
      <c r="Y99" s="10"/>
    </row>
    <row r="100" spans="1:25">
      <c r="A100" s="8"/>
      <c r="B100" s="8"/>
      <c r="C100" s="8"/>
      <c r="D100" s="8"/>
      <c r="E100" s="8"/>
      <c r="F100" s="8"/>
      <c r="G100" s="8"/>
      <c r="H100" s="8"/>
      <c r="I100" s="10"/>
      <c r="J100" s="10"/>
      <c r="K100" s="8"/>
      <c r="L100" s="8"/>
      <c r="M100" s="8"/>
      <c r="N100" s="8"/>
      <c r="O100" s="8"/>
      <c r="P100" s="8"/>
      <c r="Q100" s="8"/>
      <c r="R100" s="8"/>
      <c r="S100" s="8"/>
      <c r="T100" s="10"/>
      <c r="U100" s="8"/>
      <c r="V100" s="8"/>
      <c r="W100" s="8"/>
      <c r="X100" s="8"/>
      <c r="Y100" s="10"/>
    </row>
    <row r="101" spans="1:25">
      <c r="A101" s="8"/>
      <c r="B101" s="8"/>
      <c r="C101" s="8"/>
      <c r="D101" s="8"/>
      <c r="E101" s="8"/>
      <c r="F101" s="8"/>
      <c r="G101" s="8"/>
      <c r="H101" s="8"/>
      <c r="I101" s="10"/>
      <c r="J101" s="10"/>
      <c r="K101" s="8"/>
      <c r="L101" s="8"/>
      <c r="M101" s="8"/>
      <c r="N101" s="8"/>
      <c r="O101" s="8"/>
      <c r="P101" s="8"/>
      <c r="Q101" s="8"/>
      <c r="R101" s="8"/>
      <c r="S101" s="8"/>
      <c r="T101" s="10"/>
      <c r="U101" s="8"/>
      <c r="V101" s="8"/>
      <c r="W101" s="8"/>
      <c r="X101" s="8"/>
      <c r="Y101" s="10"/>
    </row>
    <row r="102" spans="1:25">
      <c r="A102" s="8"/>
      <c r="B102" s="8"/>
      <c r="C102" s="8"/>
      <c r="D102" s="8"/>
      <c r="E102" s="8"/>
      <c r="F102" s="8"/>
      <c r="G102" s="8"/>
      <c r="H102" s="8"/>
      <c r="I102" s="10"/>
      <c r="J102" s="10"/>
      <c r="K102" s="8"/>
      <c r="L102" s="8"/>
      <c r="M102" s="8"/>
      <c r="N102" s="8"/>
      <c r="O102" s="8"/>
      <c r="P102" s="8"/>
      <c r="Q102" s="8"/>
      <c r="R102" s="8"/>
      <c r="S102" s="8"/>
      <c r="T102" s="10"/>
      <c r="U102" s="8"/>
      <c r="V102" s="8"/>
      <c r="W102" s="8"/>
      <c r="X102" s="8"/>
      <c r="Y102" s="10"/>
    </row>
    <row r="103" spans="1:25">
      <c r="A103" s="8"/>
      <c r="B103" s="8"/>
      <c r="C103" s="8"/>
      <c r="D103" s="8"/>
      <c r="E103" s="8"/>
      <c r="F103" s="8"/>
      <c r="G103" s="8"/>
      <c r="H103" s="8"/>
      <c r="I103" s="10"/>
      <c r="J103" s="10"/>
      <c r="K103" s="8"/>
      <c r="L103" s="8"/>
      <c r="M103" s="8"/>
      <c r="N103" s="8"/>
      <c r="O103" s="8"/>
      <c r="P103" s="8"/>
      <c r="Q103" s="8"/>
      <c r="R103" s="8"/>
      <c r="S103" s="8"/>
      <c r="T103" s="10"/>
      <c r="U103" s="8"/>
      <c r="V103" s="8"/>
      <c r="W103" s="8"/>
      <c r="X103" s="8"/>
      <c r="Y103" s="10"/>
    </row>
    <row r="104" spans="1:25">
      <c r="A104" s="8"/>
      <c r="B104" s="8"/>
      <c r="C104" s="8"/>
      <c r="D104" s="8"/>
      <c r="E104" s="8"/>
      <c r="F104" s="8"/>
      <c r="G104" s="8"/>
      <c r="H104" s="8"/>
      <c r="I104" s="10"/>
      <c r="J104" s="10"/>
      <c r="K104" s="8"/>
      <c r="L104" s="8"/>
      <c r="M104" s="8"/>
      <c r="N104" s="8"/>
      <c r="O104" s="8"/>
      <c r="P104" s="8"/>
      <c r="Q104" s="8"/>
      <c r="R104" s="8"/>
      <c r="S104" s="8"/>
      <c r="T104" s="10"/>
      <c r="U104" s="8"/>
      <c r="V104" s="8"/>
      <c r="W104" s="8"/>
      <c r="X104" s="8"/>
      <c r="Y104" s="10"/>
    </row>
    <row r="105" spans="1:25">
      <c r="A105" s="8"/>
      <c r="B105" s="8"/>
      <c r="C105" s="8"/>
      <c r="D105" s="8"/>
      <c r="E105" s="8"/>
      <c r="F105" s="8"/>
      <c r="G105" s="8"/>
      <c r="H105" s="8"/>
      <c r="I105" s="10"/>
      <c r="J105" s="10"/>
      <c r="K105" s="8"/>
      <c r="L105" s="8"/>
      <c r="M105" s="8"/>
      <c r="N105" s="8"/>
      <c r="O105" s="8"/>
      <c r="P105" s="8"/>
      <c r="Q105" s="8"/>
      <c r="R105" s="8"/>
      <c r="S105" s="8"/>
      <c r="T105" s="10"/>
      <c r="U105" s="8"/>
      <c r="V105" s="8"/>
      <c r="W105" s="8"/>
      <c r="X105" s="8"/>
      <c r="Y105" s="10"/>
    </row>
    <row r="106" spans="1:25">
      <c r="A106" s="8"/>
      <c r="B106" s="8"/>
      <c r="C106" s="8"/>
      <c r="D106" s="8"/>
      <c r="E106" s="8"/>
      <c r="F106" s="8"/>
      <c r="G106" s="8"/>
      <c r="H106" s="8"/>
      <c r="I106" s="10"/>
      <c r="J106" s="10"/>
      <c r="K106" s="8"/>
      <c r="L106" s="8"/>
      <c r="M106" s="8"/>
      <c r="N106" s="8"/>
      <c r="O106" s="8"/>
      <c r="P106" s="8"/>
      <c r="Q106" s="8"/>
      <c r="R106" s="8"/>
      <c r="S106" s="8"/>
      <c r="T106" s="10"/>
      <c r="U106" s="8"/>
      <c r="V106" s="8"/>
      <c r="W106" s="8"/>
      <c r="X106" s="8"/>
      <c r="Y106" s="10"/>
    </row>
    <row r="107" spans="1:25">
      <c r="A107" s="8"/>
      <c r="B107" s="8"/>
      <c r="C107" s="8"/>
      <c r="D107" s="8"/>
      <c r="E107" s="8"/>
      <c r="F107" s="8"/>
      <c r="G107" s="8"/>
      <c r="H107" s="8"/>
      <c r="I107" s="10"/>
      <c r="J107" s="10"/>
      <c r="K107" s="8"/>
      <c r="L107" s="8"/>
      <c r="M107" s="8"/>
      <c r="N107" s="8"/>
      <c r="O107" s="8"/>
      <c r="P107" s="8"/>
      <c r="Q107" s="8"/>
      <c r="R107" s="8"/>
      <c r="S107" s="8"/>
      <c r="T107" s="10"/>
      <c r="U107" s="8"/>
      <c r="V107" s="8"/>
      <c r="W107" s="8"/>
      <c r="X107" s="8"/>
      <c r="Y107" s="10"/>
    </row>
    <row r="108" spans="1:25">
      <c r="A108" s="8"/>
      <c r="B108" s="8"/>
      <c r="C108" s="8"/>
      <c r="D108" s="8"/>
      <c r="E108" s="8"/>
      <c r="F108" s="8"/>
      <c r="G108" s="8"/>
      <c r="H108" s="8"/>
      <c r="I108" s="10"/>
      <c r="J108" s="10"/>
      <c r="K108" s="8"/>
      <c r="L108" s="8"/>
      <c r="M108" s="8"/>
      <c r="N108" s="8"/>
      <c r="O108" s="8"/>
      <c r="P108" s="8"/>
      <c r="Q108" s="8"/>
      <c r="R108" s="8"/>
      <c r="S108" s="8"/>
      <c r="T108" s="10"/>
      <c r="U108" s="8"/>
      <c r="V108" s="8"/>
      <c r="W108" s="8"/>
      <c r="X108" s="8"/>
      <c r="Y108" s="10"/>
    </row>
    <row r="109" spans="1:25">
      <c r="A109" s="8"/>
      <c r="B109" s="8"/>
      <c r="C109" s="8"/>
      <c r="D109" s="8"/>
      <c r="E109" s="8"/>
      <c r="F109" s="8"/>
      <c r="G109" s="8"/>
      <c r="H109" s="8"/>
      <c r="I109" s="10"/>
      <c r="J109" s="10"/>
      <c r="K109" s="8"/>
      <c r="L109" s="8"/>
      <c r="M109" s="8"/>
      <c r="N109" s="8"/>
      <c r="O109" s="8"/>
      <c r="P109" s="8"/>
      <c r="Q109" s="8"/>
      <c r="R109" s="8"/>
      <c r="S109" s="8"/>
      <c r="T109" s="10"/>
      <c r="U109" s="8"/>
      <c r="V109" s="8"/>
      <c r="W109" s="8"/>
      <c r="X109" s="8"/>
      <c r="Y109" s="10"/>
    </row>
    <row r="110" spans="1:25">
      <c r="A110" s="8"/>
      <c r="B110" s="8"/>
      <c r="C110" s="8"/>
      <c r="D110" s="8"/>
      <c r="E110" s="8"/>
      <c r="F110" s="8"/>
      <c r="G110" s="8"/>
      <c r="H110" s="8"/>
      <c r="I110" s="10"/>
      <c r="J110" s="10"/>
      <c r="K110" s="8"/>
      <c r="L110" s="8"/>
      <c r="M110" s="8"/>
      <c r="N110" s="8"/>
      <c r="O110" s="8"/>
      <c r="P110" s="8"/>
      <c r="Q110" s="8"/>
      <c r="R110" s="8"/>
      <c r="S110" s="8"/>
      <c r="T110" s="10"/>
      <c r="U110" s="8"/>
      <c r="V110" s="8"/>
      <c r="W110" s="8"/>
      <c r="X110" s="8"/>
      <c r="Y110" s="10"/>
    </row>
    <row r="111" spans="1:25">
      <c r="A111" s="8"/>
      <c r="B111" s="8"/>
      <c r="C111" s="8"/>
      <c r="D111" s="8"/>
      <c r="E111" s="8"/>
      <c r="F111" s="8"/>
      <c r="G111" s="8"/>
      <c r="H111" s="8"/>
      <c r="I111" s="10"/>
      <c r="J111" s="10"/>
      <c r="K111" s="8"/>
      <c r="L111" s="8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10"/>
    </row>
    <row r="112" spans="1:25">
      <c r="A112" s="8"/>
      <c r="B112" s="8"/>
      <c r="C112" s="8"/>
      <c r="D112" s="8"/>
      <c r="E112" s="8"/>
      <c r="F112" s="8"/>
      <c r="G112" s="8"/>
      <c r="H112" s="8"/>
      <c r="I112" s="10"/>
      <c r="J112" s="10"/>
      <c r="K112" s="8"/>
      <c r="L112" s="8"/>
      <c r="M112" s="8"/>
      <c r="N112" s="8"/>
      <c r="O112" s="8"/>
      <c r="P112" s="8"/>
      <c r="Q112" s="8"/>
      <c r="R112" s="8"/>
      <c r="S112" s="8"/>
      <c r="T112" s="10"/>
      <c r="U112" s="8"/>
      <c r="V112" s="8"/>
      <c r="W112" s="8"/>
      <c r="X112" s="8"/>
      <c r="Y112" s="10"/>
    </row>
    <row r="113" spans="1:25">
      <c r="A113" s="8"/>
      <c r="B113" s="8"/>
      <c r="C113" s="8"/>
      <c r="D113" s="8"/>
      <c r="E113" s="8"/>
      <c r="F113" s="8"/>
      <c r="G113" s="8"/>
      <c r="H113" s="8"/>
      <c r="I113" s="10"/>
      <c r="J113" s="10"/>
      <c r="K113" s="8"/>
      <c r="L113" s="8"/>
      <c r="M113" s="8"/>
      <c r="N113" s="8"/>
      <c r="O113" s="8"/>
      <c r="P113" s="8"/>
      <c r="Q113" s="8"/>
      <c r="R113" s="8"/>
      <c r="S113" s="8"/>
      <c r="T113" s="10"/>
      <c r="U113" s="8"/>
      <c r="V113" s="8"/>
      <c r="W113" s="8"/>
      <c r="X113" s="8"/>
      <c r="Y113" s="10"/>
    </row>
    <row r="114" spans="1:25">
      <c r="A114" s="8"/>
      <c r="B114" s="8"/>
      <c r="C114" s="8"/>
      <c r="D114" s="8"/>
      <c r="E114" s="8"/>
      <c r="F114" s="8"/>
      <c r="G114" s="8"/>
      <c r="H114" s="8"/>
      <c r="I114" s="10"/>
      <c r="J114" s="10"/>
      <c r="K114" s="8"/>
      <c r="L114" s="8"/>
      <c r="M114" s="8"/>
      <c r="N114" s="8"/>
      <c r="O114" s="8"/>
      <c r="P114" s="8"/>
      <c r="Q114" s="8"/>
      <c r="R114" s="8"/>
      <c r="S114" s="8"/>
      <c r="T114" s="10"/>
      <c r="U114" s="8"/>
      <c r="V114" s="8"/>
      <c r="W114" s="8"/>
      <c r="X114" s="8"/>
      <c r="Y114" s="10"/>
    </row>
    <row r="115" spans="1:25">
      <c r="A115" s="8"/>
      <c r="B115" s="8"/>
      <c r="C115" s="8"/>
      <c r="D115" s="8"/>
      <c r="E115" s="8"/>
      <c r="F115" s="8"/>
      <c r="G115" s="8"/>
      <c r="H115" s="8"/>
      <c r="I115" s="10"/>
      <c r="J115" s="10"/>
      <c r="K115" s="8"/>
      <c r="L115" s="8"/>
      <c r="M115" s="8"/>
      <c r="N115" s="8"/>
      <c r="O115" s="8"/>
      <c r="P115" s="8"/>
      <c r="Q115" s="8"/>
      <c r="R115" s="8"/>
      <c r="S115" s="8"/>
      <c r="T115" s="10"/>
      <c r="U115" s="8"/>
      <c r="V115" s="8"/>
      <c r="W115" s="8"/>
      <c r="X115" s="8"/>
      <c r="Y115" s="10"/>
    </row>
    <row r="116" spans="1:25">
      <c r="A116" s="8"/>
      <c r="B116" s="8"/>
      <c r="C116" s="8"/>
      <c r="D116" s="8"/>
      <c r="E116" s="8"/>
      <c r="F116" s="8"/>
      <c r="G116" s="8"/>
      <c r="H116" s="8"/>
      <c r="I116" s="10"/>
      <c r="J116" s="10"/>
      <c r="K116" s="8"/>
      <c r="L116" s="8"/>
      <c r="M116" s="8"/>
      <c r="N116" s="8"/>
      <c r="O116" s="8"/>
      <c r="P116" s="8"/>
      <c r="Q116" s="8"/>
      <c r="R116" s="8"/>
      <c r="S116" s="8"/>
      <c r="T116" s="10"/>
      <c r="U116" s="8"/>
      <c r="V116" s="8"/>
      <c r="W116" s="8"/>
      <c r="X116" s="8"/>
      <c r="Y116" s="10"/>
    </row>
    <row r="117" spans="1:25">
      <c r="A117" s="8"/>
      <c r="B117" s="8"/>
      <c r="C117" s="8"/>
      <c r="D117" s="8"/>
      <c r="E117" s="8"/>
      <c r="F117" s="8"/>
      <c r="G117" s="8"/>
      <c r="H117" s="8"/>
      <c r="I117" s="10"/>
      <c r="J117" s="10"/>
      <c r="K117" s="8"/>
      <c r="L117" s="8"/>
      <c r="M117" s="8"/>
      <c r="N117" s="8"/>
      <c r="O117" s="8"/>
      <c r="P117" s="8"/>
      <c r="Q117" s="8"/>
      <c r="R117" s="8"/>
      <c r="S117" s="8"/>
      <c r="T117" s="10"/>
      <c r="U117" s="8"/>
      <c r="V117" s="8"/>
      <c r="W117" s="8"/>
      <c r="X117" s="8"/>
      <c r="Y117" s="10"/>
    </row>
    <row r="118" spans="1:25">
      <c r="A118" s="8"/>
      <c r="B118" s="8"/>
      <c r="C118" s="8"/>
      <c r="D118" s="8"/>
      <c r="E118" s="8"/>
      <c r="F118" s="8"/>
      <c r="G118" s="8"/>
      <c r="H118" s="8"/>
      <c r="I118" s="10"/>
      <c r="J118" s="10"/>
      <c r="K118" s="8"/>
      <c r="L118" s="8"/>
      <c r="M118" s="8"/>
      <c r="N118" s="8"/>
      <c r="O118" s="8"/>
      <c r="P118" s="8"/>
      <c r="Q118" s="8"/>
      <c r="R118" s="8"/>
      <c r="S118" s="8"/>
      <c r="T118" s="10"/>
      <c r="U118" s="8"/>
      <c r="V118" s="8"/>
      <c r="W118" s="8"/>
      <c r="X118" s="8"/>
      <c r="Y118" s="10"/>
    </row>
    <row r="119" spans="1:25">
      <c r="A119" s="8"/>
      <c r="B119" s="8"/>
      <c r="C119" s="8"/>
      <c r="D119" s="8"/>
      <c r="E119" s="8"/>
      <c r="F119" s="8"/>
      <c r="G119" s="8"/>
      <c r="H119" s="8"/>
      <c r="I119" s="10"/>
      <c r="J119" s="10"/>
      <c r="K119" s="8"/>
      <c r="L119" s="8"/>
      <c r="M119" s="8"/>
      <c r="N119" s="8"/>
      <c r="O119" s="8"/>
      <c r="P119" s="8"/>
      <c r="Q119" s="8"/>
      <c r="R119" s="8"/>
      <c r="S119" s="8"/>
      <c r="T119" s="10"/>
      <c r="U119" s="8"/>
      <c r="V119" s="8"/>
      <c r="W119" s="8"/>
      <c r="X119" s="8"/>
      <c r="Y119" s="10"/>
    </row>
    <row r="120" spans="1:25">
      <c r="A120" s="8"/>
      <c r="B120" s="8"/>
      <c r="C120" s="8"/>
      <c r="D120" s="8"/>
      <c r="E120" s="8"/>
      <c r="F120" s="8"/>
      <c r="G120" s="8"/>
      <c r="H120" s="8"/>
      <c r="I120" s="10"/>
      <c r="J120" s="10"/>
      <c r="K120" s="8"/>
      <c r="L120" s="8"/>
      <c r="M120" s="8"/>
      <c r="N120" s="8"/>
      <c r="O120" s="8"/>
      <c r="P120" s="8"/>
      <c r="Q120" s="8"/>
      <c r="R120" s="8"/>
      <c r="S120" s="8"/>
      <c r="T120" s="10"/>
      <c r="U120" s="8"/>
      <c r="V120" s="8"/>
      <c r="W120" s="8"/>
      <c r="X120" s="8"/>
      <c r="Y120" s="10"/>
    </row>
    <row r="121" spans="1:25">
      <c r="A121" s="8"/>
      <c r="B121" s="8"/>
      <c r="C121" s="8"/>
      <c r="D121" s="8"/>
      <c r="E121" s="8"/>
      <c r="F121" s="8"/>
      <c r="G121" s="8"/>
      <c r="H121" s="8"/>
      <c r="I121" s="10"/>
      <c r="J121" s="10"/>
      <c r="K121" s="8"/>
      <c r="L121" s="8"/>
      <c r="M121" s="8"/>
      <c r="N121" s="8"/>
      <c r="O121" s="8"/>
      <c r="P121" s="8"/>
      <c r="Q121" s="8"/>
      <c r="R121" s="8"/>
      <c r="S121" s="8"/>
      <c r="T121" s="10"/>
      <c r="U121" s="8"/>
      <c r="V121" s="8"/>
      <c r="W121" s="8"/>
      <c r="X121" s="8"/>
      <c r="Y121" s="10"/>
    </row>
    <row r="122" spans="1:25">
      <c r="A122" s="8"/>
      <c r="B122" s="8"/>
      <c r="C122" s="8"/>
      <c r="D122" s="8"/>
      <c r="E122" s="8"/>
      <c r="F122" s="8"/>
      <c r="G122" s="8"/>
      <c r="H122" s="8"/>
      <c r="I122" s="10"/>
      <c r="J122" s="10"/>
      <c r="K122" s="8"/>
      <c r="L122" s="8"/>
      <c r="M122" s="8"/>
      <c r="N122" s="8"/>
      <c r="O122" s="8"/>
      <c r="P122" s="8"/>
      <c r="Q122" s="8"/>
      <c r="R122" s="8"/>
      <c r="S122" s="8"/>
      <c r="T122" s="10"/>
      <c r="U122" s="8"/>
      <c r="V122" s="8"/>
      <c r="W122" s="8"/>
      <c r="X122" s="8"/>
      <c r="Y122" s="10"/>
    </row>
    <row r="123" spans="1:25">
      <c r="A123" s="8"/>
      <c r="B123" s="8"/>
      <c r="C123" s="8"/>
      <c r="D123" s="8"/>
      <c r="E123" s="8"/>
      <c r="F123" s="8"/>
      <c r="G123" s="8"/>
      <c r="H123" s="8"/>
      <c r="I123" s="10"/>
      <c r="J123" s="10"/>
      <c r="K123" s="8"/>
      <c r="L123" s="8"/>
      <c r="M123" s="8"/>
      <c r="N123" s="8"/>
      <c r="O123" s="8"/>
      <c r="P123" s="8"/>
      <c r="Q123" s="8"/>
      <c r="R123" s="8"/>
      <c r="S123" s="8"/>
      <c r="T123" s="10"/>
      <c r="U123" s="8"/>
      <c r="V123" s="8"/>
      <c r="W123" s="8"/>
      <c r="X123" s="8"/>
      <c r="Y123" s="10"/>
    </row>
    <row r="124" spans="1:25">
      <c r="A124" s="8"/>
      <c r="B124" s="8"/>
      <c r="C124" s="8"/>
      <c r="D124" s="8"/>
      <c r="E124" s="8"/>
      <c r="F124" s="8"/>
      <c r="G124" s="8"/>
      <c r="H124" s="8"/>
      <c r="I124" s="10"/>
      <c r="J124" s="10"/>
      <c r="K124" s="8"/>
      <c r="L124" s="8"/>
      <c r="M124" s="8"/>
      <c r="N124" s="8"/>
      <c r="O124" s="8"/>
      <c r="P124" s="8"/>
      <c r="Q124" s="8"/>
      <c r="R124" s="8"/>
      <c r="S124" s="8"/>
      <c r="T124" s="10"/>
      <c r="U124" s="8"/>
      <c r="V124" s="8"/>
      <c r="W124" s="8"/>
      <c r="X124" s="8"/>
      <c r="Y124" s="10"/>
    </row>
    <row r="125" spans="1:25">
      <c r="A125" s="8"/>
      <c r="B125" s="8"/>
      <c r="C125" s="8"/>
      <c r="D125" s="8"/>
      <c r="E125" s="8"/>
      <c r="F125" s="8"/>
      <c r="G125" s="8"/>
      <c r="H125" s="8"/>
      <c r="I125" s="10"/>
      <c r="J125" s="10"/>
      <c r="K125" s="8"/>
      <c r="L125" s="8"/>
      <c r="M125" s="8"/>
      <c r="N125" s="8"/>
      <c r="O125" s="8"/>
      <c r="P125" s="8"/>
      <c r="Q125" s="8"/>
      <c r="R125" s="8"/>
      <c r="S125" s="8"/>
      <c r="T125" s="10"/>
      <c r="U125" s="8"/>
      <c r="V125" s="8"/>
      <c r="W125" s="8"/>
      <c r="X125" s="8"/>
      <c r="Y125" s="10"/>
    </row>
    <row r="126" spans="1:25">
      <c r="A126" s="8"/>
      <c r="B126" s="8"/>
      <c r="C126" s="8"/>
      <c r="D126" s="8"/>
      <c r="E126" s="8"/>
      <c r="F126" s="8"/>
      <c r="G126" s="8"/>
      <c r="H126" s="8"/>
      <c r="I126" s="10"/>
      <c r="J126" s="10"/>
      <c r="K126" s="8"/>
      <c r="L126" s="8"/>
      <c r="M126" s="8"/>
      <c r="N126" s="8"/>
      <c r="O126" s="8"/>
      <c r="P126" s="8"/>
      <c r="Q126" s="8"/>
      <c r="R126" s="8"/>
      <c r="S126" s="8"/>
      <c r="T126" s="10"/>
      <c r="U126" s="8"/>
      <c r="V126" s="8"/>
      <c r="W126" s="8"/>
      <c r="X126" s="8"/>
      <c r="Y126" s="10"/>
    </row>
    <row r="127" spans="1:25">
      <c r="A127" s="8"/>
      <c r="B127" s="8"/>
      <c r="C127" s="8"/>
      <c r="D127" s="8"/>
      <c r="E127" s="8"/>
      <c r="F127" s="8"/>
      <c r="G127" s="8"/>
      <c r="H127" s="8"/>
      <c r="I127" s="10"/>
      <c r="J127" s="10"/>
      <c r="K127" s="8"/>
      <c r="L127" s="8"/>
      <c r="M127" s="8"/>
      <c r="N127" s="8"/>
      <c r="O127" s="8"/>
      <c r="P127" s="8"/>
      <c r="Q127" s="8"/>
      <c r="R127" s="8"/>
      <c r="S127" s="8"/>
      <c r="T127" s="10"/>
      <c r="U127" s="8"/>
      <c r="V127" s="8"/>
      <c r="W127" s="8"/>
      <c r="X127" s="8"/>
      <c r="Y127" s="10"/>
    </row>
    <row r="128" spans="1:25">
      <c r="A128" s="8"/>
      <c r="B128" s="8"/>
      <c r="C128" s="8"/>
      <c r="D128" s="8"/>
      <c r="E128" s="8"/>
      <c r="F128" s="8"/>
      <c r="G128" s="8"/>
      <c r="H128" s="8"/>
      <c r="I128" s="10"/>
      <c r="J128" s="10"/>
      <c r="K128" s="8"/>
      <c r="L128" s="8"/>
      <c r="M128" s="8"/>
      <c r="N128" s="8"/>
      <c r="O128" s="8"/>
      <c r="P128" s="8"/>
      <c r="Q128" s="8"/>
      <c r="R128" s="8"/>
      <c r="S128" s="8"/>
      <c r="T128" s="10"/>
      <c r="U128" s="8"/>
      <c r="V128" s="8"/>
      <c r="W128" s="8"/>
      <c r="X128" s="8"/>
      <c r="Y128" s="10"/>
    </row>
    <row r="129" spans="1:25">
      <c r="A129" s="8"/>
      <c r="B129" s="8"/>
      <c r="C129" s="8"/>
      <c r="D129" s="8"/>
      <c r="E129" s="8"/>
      <c r="F129" s="8"/>
      <c r="G129" s="8"/>
      <c r="H129" s="8"/>
      <c r="I129" s="10"/>
      <c r="J129" s="10"/>
      <c r="K129" s="8"/>
      <c r="L129" s="8"/>
      <c r="M129" s="8"/>
      <c r="N129" s="8"/>
      <c r="O129" s="8"/>
      <c r="P129" s="8"/>
      <c r="Q129" s="8"/>
      <c r="R129" s="8"/>
      <c r="S129" s="8"/>
      <c r="T129" s="10"/>
      <c r="U129" s="8"/>
      <c r="V129" s="8"/>
      <c r="W129" s="8"/>
      <c r="X129" s="8"/>
      <c r="Y129" s="10"/>
    </row>
    <row r="130" spans="1:25">
      <c r="A130" s="8"/>
      <c r="B130" s="8"/>
      <c r="C130" s="8"/>
      <c r="D130" s="8"/>
      <c r="E130" s="8"/>
      <c r="F130" s="8"/>
      <c r="G130" s="8"/>
      <c r="H130" s="8"/>
      <c r="I130" s="10"/>
      <c r="J130" s="10"/>
      <c r="K130" s="8"/>
      <c r="L130" s="8"/>
      <c r="M130" s="8"/>
      <c r="N130" s="8"/>
      <c r="O130" s="8"/>
      <c r="P130" s="8"/>
      <c r="Q130" s="8"/>
      <c r="R130" s="8"/>
      <c r="S130" s="8"/>
      <c r="T130" s="10"/>
      <c r="U130" s="8"/>
      <c r="V130" s="8"/>
      <c r="W130" s="8"/>
      <c r="X130" s="8"/>
      <c r="Y130" s="10"/>
    </row>
    <row r="131" spans="1:25">
      <c r="A131" s="8"/>
      <c r="B131" s="8"/>
      <c r="C131" s="8"/>
      <c r="D131" s="8"/>
      <c r="E131" s="8"/>
      <c r="F131" s="8"/>
      <c r="G131" s="8"/>
      <c r="H131" s="8"/>
      <c r="I131" s="10"/>
      <c r="J131" s="10"/>
      <c r="K131" s="8"/>
      <c r="L131" s="8"/>
      <c r="M131" s="8"/>
      <c r="N131" s="8"/>
      <c r="O131" s="8"/>
      <c r="P131" s="8"/>
      <c r="Q131" s="8"/>
      <c r="R131" s="8"/>
      <c r="S131" s="8"/>
      <c r="T131" s="10"/>
      <c r="U131" s="8"/>
      <c r="V131" s="8"/>
      <c r="W131" s="8"/>
      <c r="X131" s="8"/>
      <c r="Y131" s="10"/>
    </row>
    <row r="132" spans="1:25">
      <c r="A132" s="8"/>
      <c r="B132" s="8"/>
      <c r="C132" s="8"/>
      <c r="D132" s="8"/>
      <c r="E132" s="8"/>
      <c r="F132" s="8"/>
      <c r="G132" s="8"/>
      <c r="H132" s="8"/>
      <c r="I132" s="10"/>
      <c r="J132" s="10"/>
      <c r="K132" s="8"/>
      <c r="L132" s="8"/>
      <c r="M132" s="8"/>
      <c r="N132" s="8"/>
      <c r="O132" s="8"/>
      <c r="P132" s="8"/>
      <c r="Q132" s="8"/>
      <c r="R132" s="8"/>
      <c r="S132" s="8"/>
      <c r="T132" s="10"/>
      <c r="U132" s="8"/>
      <c r="V132" s="8"/>
      <c r="W132" s="8"/>
      <c r="X132" s="8"/>
      <c r="Y132" s="10"/>
    </row>
    <row r="133" spans="1:25">
      <c r="A133" s="8"/>
      <c r="B133" s="8"/>
      <c r="C133" s="8"/>
      <c r="D133" s="8"/>
      <c r="E133" s="8"/>
      <c r="F133" s="8"/>
      <c r="G133" s="8"/>
      <c r="H133" s="8"/>
      <c r="I133" s="10"/>
      <c r="J133" s="10"/>
      <c r="K133" s="8"/>
      <c r="L133" s="8"/>
      <c r="M133" s="8"/>
      <c r="N133" s="8"/>
      <c r="O133" s="8"/>
      <c r="P133" s="8"/>
      <c r="Q133" s="8"/>
      <c r="R133" s="8"/>
      <c r="S133" s="8"/>
      <c r="T133" s="10"/>
      <c r="U133" s="8"/>
      <c r="V133" s="8"/>
      <c r="W133" s="8"/>
      <c r="X133" s="8"/>
      <c r="Y133" s="10"/>
    </row>
    <row r="134" spans="1:25">
      <c r="A134" s="8"/>
      <c r="B134" s="8"/>
      <c r="C134" s="8"/>
      <c r="D134" s="8"/>
      <c r="E134" s="8"/>
      <c r="F134" s="8"/>
      <c r="G134" s="8"/>
      <c r="H134" s="8"/>
      <c r="I134" s="10"/>
      <c r="J134" s="10"/>
      <c r="K134" s="8"/>
      <c r="L134" s="8"/>
      <c r="M134" s="8"/>
      <c r="N134" s="8"/>
      <c r="O134" s="8"/>
      <c r="P134" s="8"/>
      <c r="Q134" s="8"/>
      <c r="R134" s="8"/>
      <c r="S134" s="8"/>
      <c r="T134" s="10"/>
      <c r="U134" s="8"/>
      <c r="V134" s="8"/>
      <c r="W134" s="8"/>
      <c r="X134" s="8"/>
      <c r="Y134" s="10"/>
    </row>
    <row r="135" spans="1:25">
      <c r="A135" s="8"/>
      <c r="B135" s="8"/>
      <c r="C135" s="8"/>
      <c r="D135" s="8"/>
      <c r="E135" s="8"/>
      <c r="F135" s="8"/>
      <c r="G135" s="8"/>
      <c r="H135" s="8"/>
      <c r="I135" s="10"/>
      <c r="J135" s="10"/>
      <c r="K135" s="8"/>
      <c r="L135" s="8"/>
      <c r="M135" s="8"/>
      <c r="N135" s="8"/>
      <c r="O135" s="8"/>
      <c r="P135" s="8"/>
      <c r="Q135" s="8"/>
      <c r="R135" s="8"/>
      <c r="S135" s="8"/>
      <c r="T135" s="10"/>
      <c r="U135" s="8"/>
      <c r="V135" s="8"/>
      <c r="W135" s="8"/>
      <c r="X135" s="8"/>
      <c r="Y135" s="10"/>
    </row>
    <row r="136" spans="1:25">
      <c r="A136" s="8"/>
      <c r="B136" s="8"/>
      <c r="C136" s="8"/>
      <c r="D136" s="8"/>
      <c r="E136" s="8"/>
      <c r="F136" s="8"/>
      <c r="G136" s="8"/>
      <c r="H136" s="8"/>
      <c r="I136" s="10"/>
      <c r="J136" s="10"/>
      <c r="K136" s="8"/>
      <c r="L136" s="8"/>
      <c r="M136" s="8"/>
      <c r="N136" s="8"/>
      <c r="O136" s="8"/>
      <c r="P136" s="8"/>
      <c r="Q136" s="8"/>
      <c r="R136" s="8"/>
      <c r="S136" s="8"/>
      <c r="T136" s="10"/>
      <c r="U136" s="8"/>
      <c r="V136" s="8"/>
      <c r="W136" s="8"/>
      <c r="X136" s="8"/>
      <c r="Y136" s="10"/>
    </row>
    <row r="137" spans="1:25">
      <c r="A137" s="8"/>
      <c r="B137" s="8"/>
      <c r="C137" s="8"/>
      <c r="D137" s="8"/>
      <c r="E137" s="8"/>
      <c r="F137" s="8"/>
      <c r="G137" s="8"/>
      <c r="H137" s="8"/>
      <c r="I137" s="10"/>
      <c r="J137" s="10"/>
      <c r="K137" s="8"/>
      <c r="L137" s="8"/>
      <c r="M137" s="8"/>
      <c r="N137" s="8"/>
      <c r="O137" s="8"/>
      <c r="P137" s="8"/>
      <c r="Q137" s="8"/>
      <c r="R137" s="8"/>
      <c r="S137" s="8"/>
      <c r="T137" s="10"/>
      <c r="U137" s="8"/>
      <c r="V137" s="8"/>
      <c r="W137" s="8"/>
      <c r="X137" s="8"/>
      <c r="Y137" s="10"/>
    </row>
    <row r="138" spans="1:25">
      <c r="A138" s="8"/>
      <c r="B138" s="8"/>
      <c r="C138" s="8"/>
      <c r="D138" s="8"/>
      <c r="E138" s="8"/>
      <c r="F138" s="8"/>
      <c r="G138" s="8"/>
      <c r="H138" s="8"/>
      <c r="I138" s="10"/>
      <c r="J138" s="10"/>
      <c r="K138" s="8"/>
      <c r="L138" s="8"/>
      <c r="M138" s="8"/>
      <c r="N138" s="8"/>
      <c r="O138" s="8"/>
      <c r="P138" s="8"/>
      <c r="Q138" s="8"/>
      <c r="R138" s="8"/>
      <c r="S138" s="8"/>
      <c r="T138" s="10"/>
      <c r="U138" s="8"/>
      <c r="V138" s="8"/>
      <c r="W138" s="8"/>
      <c r="X138" s="8"/>
      <c r="Y138" s="10"/>
    </row>
    <row r="139" spans="1:25">
      <c r="A139" s="8"/>
      <c r="B139" s="8"/>
      <c r="C139" s="8"/>
      <c r="D139" s="8"/>
      <c r="E139" s="8"/>
      <c r="F139" s="8"/>
      <c r="G139" s="8"/>
      <c r="H139" s="8"/>
      <c r="I139" s="10"/>
      <c r="J139" s="10"/>
      <c r="K139" s="8"/>
      <c r="L139" s="8"/>
      <c r="M139" s="8"/>
      <c r="N139" s="8"/>
      <c r="O139" s="8"/>
      <c r="P139" s="8"/>
      <c r="Q139" s="8"/>
      <c r="R139" s="8"/>
      <c r="S139" s="8"/>
      <c r="T139" s="10"/>
      <c r="U139" s="8"/>
      <c r="V139" s="8"/>
      <c r="W139" s="8"/>
      <c r="X139" s="8"/>
      <c r="Y139" s="10"/>
    </row>
    <row r="140" spans="1:25">
      <c r="A140" s="8"/>
      <c r="B140" s="8"/>
      <c r="C140" s="8"/>
      <c r="D140" s="8"/>
      <c r="E140" s="8"/>
      <c r="F140" s="8"/>
      <c r="G140" s="8"/>
      <c r="H140" s="8"/>
      <c r="I140" s="10"/>
      <c r="J140" s="10"/>
      <c r="K140" s="8"/>
      <c r="L140" s="8"/>
      <c r="M140" s="8"/>
      <c r="N140" s="8"/>
      <c r="O140" s="8"/>
      <c r="P140" s="8"/>
      <c r="Q140" s="8"/>
      <c r="R140" s="8"/>
      <c r="S140" s="8"/>
      <c r="T140" s="10"/>
      <c r="U140" s="8"/>
      <c r="V140" s="8"/>
      <c r="W140" s="8"/>
      <c r="X140" s="8"/>
      <c r="Y140" s="10"/>
    </row>
    <row r="141" spans="1:25">
      <c r="A141" s="8"/>
      <c r="B141" s="8"/>
      <c r="C141" s="8"/>
      <c r="D141" s="8"/>
      <c r="E141" s="8"/>
      <c r="F141" s="8"/>
      <c r="G141" s="8"/>
      <c r="H141" s="8"/>
      <c r="I141" s="10"/>
      <c r="J141" s="10"/>
      <c r="K141" s="8"/>
      <c r="L141" s="8"/>
      <c r="M141" s="8"/>
      <c r="N141" s="8"/>
      <c r="O141" s="8"/>
      <c r="P141" s="8"/>
      <c r="Q141" s="8"/>
      <c r="R141" s="8"/>
      <c r="S141" s="8"/>
      <c r="T141" s="10"/>
      <c r="U141" s="8"/>
      <c r="V141" s="8"/>
      <c r="W141" s="8"/>
      <c r="X141" s="8"/>
      <c r="Y141" s="10"/>
    </row>
    <row r="142" spans="1:25">
      <c r="A142" s="8"/>
      <c r="B142" s="8"/>
      <c r="C142" s="8"/>
      <c r="D142" s="8"/>
      <c r="E142" s="8"/>
      <c r="F142" s="8"/>
      <c r="G142" s="8"/>
      <c r="H142" s="8"/>
      <c r="I142" s="10"/>
      <c r="J142" s="10"/>
      <c r="K142" s="8"/>
      <c r="L142" s="8"/>
      <c r="M142" s="8"/>
      <c r="N142" s="8"/>
      <c r="O142" s="8"/>
      <c r="P142" s="8"/>
      <c r="Q142" s="8"/>
      <c r="R142" s="8"/>
      <c r="S142" s="8"/>
      <c r="T142" s="10"/>
      <c r="U142" s="8"/>
      <c r="V142" s="8"/>
      <c r="W142" s="8"/>
      <c r="X142" s="8"/>
      <c r="Y142" s="10"/>
    </row>
    <row r="143" spans="1:25">
      <c r="A143" s="8"/>
      <c r="B143" s="8"/>
      <c r="C143" s="8"/>
      <c r="D143" s="8"/>
      <c r="E143" s="8"/>
      <c r="F143" s="8"/>
      <c r="G143" s="8"/>
      <c r="H143" s="8"/>
      <c r="I143" s="10"/>
      <c r="J143" s="10"/>
      <c r="K143" s="8"/>
      <c r="L143" s="8"/>
      <c r="M143" s="8"/>
      <c r="N143" s="8"/>
      <c r="O143" s="8"/>
      <c r="P143" s="8"/>
      <c r="Q143" s="8"/>
      <c r="R143" s="8"/>
      <c r="S143" s="8"/>
      <c r="T143" s="10"/>
      <c r="U143" s="8"/>
      <c r="V143" s="8"/>
      <c r="W143" s="8"/>
      <c r="X143" s="8"/>
      <c r="Y143" s="10"/>
    </row>
    <row r="144" spans="1:25">
      <c r="A144" s="8"/>
      <c r="B144" s="8"/>
      <c r="C144" s="8"/>
      <c r="D144" s="8"/>
      <c r="E144" s="8"/>
      <c r="F144" s="8"/>
      <c r="G144" s="8"/>
      <c r="H144" s="8"/>
      <c r="I144" s="10"/>
      <c r="J144" s="10"/>
      <c r="K144" s="8"/>
      <c r="L144" s="8"/>
      <c r="M144" s="8"/>
      <c r="N144" s="8"/>
      <c r="O144" s="8"/>
      <c r="P144" s="8"/>
      <c r="Q144" s="8"/>
      <c r="R144" s="8"/>
      <c r="S144" s="8"/>
      <c r="T144" s="10"/>
      <c r="U144" s="8"/>
      <c r="V144" s="8"/>
      <c r="W144" s="8"/>
      <c r="X144" s="8"/>
      <c r="Y144" s="10"/>
    </row>
    <row r="145" spans="1:25">
      <c r="A145" s="8"/>
      <c r="B145" s="8"/>
      <c r="C145" s="8"/>
      <c r="D145" s="8"/>
      <c r="E145" s="8"/>
      <c r="F145" s="8"/>
      <c r="G145" s="8"/>
      <c r="H145" s="8"/>
      <c r="I145" s="10"/>
      <c r="J145" s="10"/>
      <c r="K145" s="8"/>
      <c r="L145" s="8"/>
      <c r="M145" s="8"/>
      <c r="N145" s="8"/>
      <c r="O145" s="8"/>
      <c r="P145" s="8"/>
      <c r="Q145" s="8"/>
      <c r="R145" s="8"/>
      <c r="S145" s="8"/>
      <c r="T145" s="10"/>
      <c r="U145" s="8"/>
      <c r="V145" s="8"/>
      <c r="W145" s="8"/>
      <c r="X145" s="8"/>
      <c r="Y145" s="10"/>
    </row>
    <row r="146" spans="1:25">
      <c r="A146" s="8"/>
      <c r="B146" s="8"/>
      <c r="C146" s="8"/>
      <c r="D146" s="8"/>
      <c r="E146" s="8"/>
      <c r="F146" s="8"/>
      <c r="G146" s="8"/>
      <c r="H146" s="8"/>
      <c r="I146" s="10"/>
      <c r="J146" s="10"/>
      <c r="K146" s="8"/>
      <c r="L146" s="8"/>
      <c r="M146" s="8"/>
      <c r="N146" s="8"/>
      <c r="O146" s="8"/>
      <c r="P146" s="8"/>
      <c r="Q146" s="8"/>
      <c r="R146" s="8"/>
      <c r="S146" s="8"/>
      <c r="T146" s="10"/>
      <c r="U146" s="8"/>
      <c r="V146" s="8"/>
      <c r="W146" s="8"/>
      <c r="X146" s="8"/>
      <c r="Y146" s="10"/>
    </row>
    <row r="147" spans="1:25">
      <c r="A147" s="8"/>
      <c r="B147" s="8"/>
      <c r="C147" s="8"/>
      <c r="D147" s="8"/>
      <c r="E147" s="8"/>
      <c r="F147" s="8"/>
      <c r="G147" s="8"/>
      <c r="H147" s="8"/>
      <c r="I147" s="10"/>
      <c r="J147" s="10"/>
      <c r="K147" s="8"/>
      <c r="L147" s="8"/>
      <c r="M147" s="8"/>
      <c r="N147" s="8"/>
      <c r="O147" s="8"/>
      <c r="P147" s="8"/>
      <c r="Q147" s="8"/>
      <c r="R147" s="8"/>
      <c r="S147" s="8"/>
      <c r="T147" s="10"/>
      <c r="U147" s="8"/>
      <c r="V147" s="8"/>
      <c r="W147" s="8"/>
      <c r="X147" s="8"/>
      <c r="Y147" s="10"/>
    </row>
    <row r="148" spans="1:25">
      <c r="A148" s="8"/>
      <c r="B148" s="8"/>
      <c r="C148" s="8"/>
      <c r="D148" s="8"/>
      <c r="E148" s="8"/>
      <c r="F148" s="8"/>
      <c r="G148" s="8"/>
      <c r="H148" s="8"/>
      <c r="I148" s="10"/>
      <c r="J148" s="10"/>
      <c r="K148" s="8"/>
      <c r="L148" s="8"/>
      <c r="M148" s="8"/>
      <c r="N148" s="8"/>
      <c r="O148" s="8"/>
      <c r="P148" s="8"/>
      <c r="Q148" s="8"/>
      <c r="R148" s="8"/>
      <c r="S148" s="8"/>
      <c r="T148" s="10"/>
      <c r="U148" s="8"/>
      <c r="V148" s="8"/>
      <c r="W148" s="8"/>
      <c r="X148" s="8"/>
      <c r="Y148" s="10"/>
    </row>
    <row r="149" spans="1:25">
      <c r="A149" s="8"/>
      <c r="B149" s="8"/>
      <c r="C149" s="8"/>
      <c r="D149" s="8"/>
      <c r="E149" s="8"/>
      <c r="F149" s="8"/>
      <c r="G149" s="8"/>
      <c r="H149" s="8"/>
      <c r="I149" s="10"/>
      <c r="J149" s="10"/>
      <c r="K149" s="8"/>
      <c r="L149" s="8"/>
      <c r="M149" s="8"/>
      <c r="N149" s="8"/>
      <c r="O149" s="8"/>
      <c r="P149" s="8"/>
      <c r="Q149" s="8"/>
      <c r="R149" s="8"/>
      <c r="S149" s="8"/>
      <c r="T149" s="10"/>
      <c r="U149" s="8"/>
      <c r="V149" s="8"/>
      <c r="W149" s="8"/>
      <c r="X149" s="8"/>
      <c r="Y149" s="10"/>
    </row>
    <row r="150" spans="1:25">
      <c r="A150" s="8"/>
      <c r="B150" s="8"/>
      <c r="C150" s="8"/>
      <c r="D150" s="8"/>
      <c r="E150" s="8"/>
      <c r="F150" s="8"/>
      <c r="G150" s="8"/>
      <c r="H150" s="8"/>
      <c r="I150" s="10"/>
      <c r="J150" s="10"/>
      <c r="K150" s="8"/>
      <c r="L150" s="8"/>
      <c r="M150" s="8"/>
      <c r="N150" s="8"/>
      <c r="O150" s="8"/>
      <c r="P150" s="8"/>
      <c r="Q150" s="8"/>
      <c r="R150" s="8"/>
      <c r="S150" s="8"/>
      <c r="T150" s="10"/>
      <c r="U150" s="8"/>
      <c r="V150" s="8"/>
      <c r="W150" s="8"/>
      <c r="X150" s="8"/>
      <c r="Y150" s="10"/>
    </row>
    <row r="151" spans="1:25">
      <c r="A151" s="8"/>
      <c r="B151" s="8"/>
      <c r="C151" s="8"/>
      <c r="D151" s="8"/>
      <c r="E151" s="8"/>
      <c r="F151" s="8"/>
      <c r="G151" s="8"/>
      <c r="H151" s="8"/>
      <c r="I151" s="10"/>
      <c r="J151" s="10"/>
      <c r="K151" s="8"/>
      <c r="L151" s="8"/>
      <c r="M151" s="8"/>
      <c r="N151" s="8"/>
      <c r="O151" s="8"/>
      <c r="P151" s="8"/>
      <c r="Q151" s="8"/>
      <c r="R151" s="8"/>
      <c r="S151" s="8"/>
      <c r="T151" s="10"/>
      <c r="U151" s="8"/>
      <c r="V151" s="8"/>
      <c r="W151" s="8"/>
      <c r="X151" s="8"/>
      <c r="Y151" s="10"/>
    </row>
    <row r="152" spans="1:25">
      <c r="A152" s="8"/>
      <c r="B152" s="8"/>
      <c r="C152" s="8"/>
      <c r="D152" s="8"/>
      <c r="E152" s="8"/>
      <c r="F152" s="8"/>
      <c r="G152" s="8"/>
      <c r="H152" s="8"/>
      <c r="I152" s="10"/>
      <c r="J152" s="10"/>
      <c r="K152" s="8"/>
      <c r="L152" s="8"/>
      <c r="M152" s="8"/>
      <c r="N152" s="8"/>
      <c r="O152" s="8"/>
      <c r="P152" s="8"/>
      <c r="Q152" s="8"/>
      <c r="R152" s="8"/>
      <c r="S152" s="8"/>
      <c r="T152" s="10"/>
      <c r="U152" s="8"/>
      <c r="V152" s="8"/>
      <c r="W152" s="8"/>
      <c r="X152" s="8"/>
      <c r="Y152" s="10"/>
    </row>
    <row r="153" spans="1:25">
      <c r="A153" s="8"/>
      <c r="B153" s="8"/>
      <c r="C153" s="8"/>
      <c r="D153" s="8"/>
      <c r="E153" s="8"/>
      <c r="F153" s="8"/>
      <c r="G153" s="8"/>
      <c r="H153" s="8"/>
      <c r="I153" s="10"/>
      <c r="J153" s="10"/>
      <c r="K153" s="8"/>
      <c r="L153" s="8"/>
      <c r="M153" s="8"/>
      <c r="N153" s="8"/>
      <c r="O153" s="8"/>
      <c r="P153" s="8"/>
      <c r="Q153" s="8"/>
      <c r="R153" s="8"/>
      <c r="S153" s="8"/>
      <c r="T153" s="10"/>
      <c r="U153" s="8"/>
      <c r="V153" s="8"/>
      <c r="W153" s="8"/>
      <c r="X153" s="8"/>
      <c r="Y153" s="10"/>
    </row>
    <row r="154" spans="1:25">
      <c r="A154" s="8"/>
      <c r="B154" s="8"/>
      <c r="C154" s="8"/>
      <c r="D154" s="8"/>
      <c r="E154" s="8"/>
      <c r="F154" s="8"/>
      <c r="G154" s="8"/>
      <c r="H154" s="8"/>
      <c r="I154" s="10"/>
      <c r="J154" s="10"/>
      <c r="K154" s="8"/>
      <c r="L154" s="8"/>
      <c r="M154" s="8"/>
      <c r="N154" s="8"/>
      <c r="O154" s="8"/>
      <c r="P154" s="8"/>
      <c r="Q154" s="8"/>
      <c r="R154" s="8"/>
      <c r="S154" s="8"/>
      <c r="T154" s="10"/>
      <c r="U154" s="8"/>
      <c r="V154" s="8"/>
      <c r="W154" s="8"/>
      <c r="X154" s="8"/>
      <c r="Y154" s="10"/>
    </row>
    <row r="155" spans="1:25">
      <c r="A155" s="8"/>
      <c r="B155" s="8"/>
      <c r="C155" s="8"/>
      <c r="D155" s="8"/>
      <c r="E155" s="8"/>
      <c r="F155" s="8"/>
      <c r="G155" s="8"/>
      <c r="H155" s="8"/>
      <c r="I155" s="10"/>
      <c r="J155" s="10"/>
      <c r="K155" s="8"/>
      <c r="L155" s="8"/>
      <c r="M155" s="8"/>
      <c r="N155" s="8"/>
      <c r="O155" s="8"/>
      <c r="P155" s="8"/>
      <c r="Q155" s="8"/>
      <c r="R155" s="8"/>
      <c r="S155" s="8"/>
      <c r="T155" s="10"/>
      <c r="U155" s="8"/>
      <c r="V155" s="8"/>
      <c r="W155" s="8"/>
      <c r="X155" s="8"/>
      <c r="Y155" s="10"/>
    </row>
    <row r="156" spans="1:25">
      <c r="A156" s="8"/>
      <c r="B156" s="8"/>
      <c r="C156" s="8"/>
      <c r="D156" s="8"/>
      <c r="E156" s="8"/>
      <c r="F156" s="8"/>
      <c r="G156" s="8"/>
      <c r="H156" s="8"/>
      <c r="I156" s="10"/>
      <c r="J156" s="10"/>
      <c r="K156" s="8"/>
      <c r="L156" s="8"/>
      <c r="M156" s="8"/>
      <c r="N156" s="8"/>
      <c r="O156" s="8"/>
      <c r="P156" s="8"/>
      <c r="Q156" s="8"/>
      <c r="R156" s="8"/>
      <c r="S156" s="8"/>
      <c r="T156" s="10"/>
      <c r="U156" s="8"/>
      <c r="V156" s="8"/>
      <c r="W156" s="8"/>
      <c r="X156" s="8"/>
      <c r="Y156" s="10"/>
    </row>
    <row r="157" spans="1:25">
      <c r="A157" s="8"/>
      <c r="B157" s="8"/>
      <c r="C157" s="8"/>
      <c r="D157" s="8"/>
      <c r="E157" s="8"/>
      <c r="F157" s="8"/>
      <c r="G157" s="8"/>
      <c r="H157" s="8"/>
      <c r="I157" s="10"/>
      <c r="J157" s="10"/>
      <c r="K157" s="8"/>
      <c r="L157" s="8"/>
      <c r="M157" s="8"/>
      <c r="N157" s="8"/>
      <c r="O157" s="8"/>
      <c r="P157" s="8"/>
      <c r="Q157" s="8"/>
      <c r="R157" s="8"/>
      <c r="S157" s="8"/>
      <c r="T157" s="10"/>
      <c r="U157" s="8"/>
      <c r="V157" s="8"/>
      <c r="W157" s="8"/>
      <c r="X157" s="8"/>
      <c r="Y157" s="10"/>
    </row>
    <row r="158" spans="1:25">
      <c r="A158" s="8"/>
      <c r="B158" s="8"/>
      <c r="C158" s="8"/>
      <c r="D158" s="8"/>
      <c r="E158" s="8"/>
      <c r="F158" s="8"/>
      <c r="G158" s="8"/>
      <c r="H158" s="8"/>
      <c r="I158" s="10"/>
      <c r="J158" s="10"/>
      <c r="K158" s="8"/>
      <c r="L158" s="8"/>
      <c r="M158" s="8"/>
      <c r="N158" s="8"/>
      <c r="O158" s="8"/>
      <c r="P158" s="8"/>
      <c r="Q158" s="8"/>
      <c r="R158" s="8"/>
      <c r="S158" s="8"/>
      <c r="T158" s="10"/>
      <c r="U158" s="8"/>
      <c r="V158" s="8"/>
      <c r="W158" s="8"/>
      <c r="X158" s="8"/>
      <c r="Y158" s="10"/>
    </row>
    <row r="159" spans="1:25">
      <c r="A159" s="8"/>
      <c r="B159" s="8"/>
      <c r="C159" s="8"/>
      <c r="D159" s="8"/>
      <c r="E159" s="8"/>
      <c r="F159" s="8"/>
      <c r="G159" s="8"/>
      <c r="H159" s="8"/>
      <c r="I159" s="10"/>
      <c r="J159" s="10"/>
      <c r="K159" s="8"/>
      <c r="L159" s="8"/>
      <c r="M159" s="8"/>
      <c r="N159" s="8"/>
      <c r="O159" s="8"/>
      <c r="P159" s="8"/>
      <c r="Q159" s="8"/>
      <c r="R159" s="8"/>
      <c r="S159" s="8"/>
      <c r="T159" s="10"/>
      <c r="U159" s="8"/>
      <c r="V159" s="8"/>
      <c r="W159" s="8"/>
      <c r="X159" s="8"/>
      <c r="Y159" s="10"/>
    </row>
    <row r="160" spans="1:25">
      <c r="A160" s="8"/>
      <c r="B160" s="8"/>
      <c r="C160" s="8"/>
      <c r="D160" s="8"/>
      <c r="E160" s="8"/>
      <c r="F160" s="8"/>
      <c r="G160" s="8"/>
      <c r="H160" s="8"/>
      <c r="I160" s="10"/>
      <c r="J160" s="10"/>
      <c r="K160" s="8"/>
      <c r="L160" s="8"/>
      <c r="M160" s="8"/>
      <c r="N160" s="8"/>
      <c r="O160" s="8"/>
      <c r="P160" s="8"/>
      <c r="Q160" s="8"/>
      <c r="R160" s="8"/>
      <c r="S160" s="8"/>
      <c r="T160" s="10"/>
      <c r="U160" s="8"/>
      <c r="V160" s="8"/>
      <c r="W160" s="8"/>
      <c r="X160" s="8"/>
      <c r="Y160" s="10"/>
    </row>
    <row r="161" spans="1:25">
      <c r="A161" s="8"/>
      <c r="B161" s="8"/>
      <c r="C161" s="8"/>
      <c r="D161" s="8"/>
      <c r="E161" s="8"/>
      <c r="F161" s="8"/>
      <c r="G161" s="8"/>
      <c r="H161" s="8"/>
      <c r="I161" s="10"/>
      <c r="J161" s="10"/>
      <c r="K161" s="8"/>
      <c r="L161" s="8"/>
      <c r="M161" s="8"/>
      <c r="N161" s="8"/>
      <c r="O161" s="8"/>
      <c r="P161" s="8"/>
      <c r="Q161" s="8"/>
      <c r="R161" s="8"/>
      <c r="S161" s="8"/>
      <c r="T161" s="10"/>
      <c r="U161" s="8"/>
      <c r="V161" s="8"/>
      <c r="W161" s="8"/>
      <c r="X161" s="8"/>
      <c r="Y161" s="10"/>
    </row>
    <row r="162" spans="1:25">
      <c r="A162" s="8"/>
      <c r="B162" s="8"/>
      <c r="C162" s="8"/>
      <c r="D162" s="8"/>
      <c r="E162" s="8"/>
      <c r="F162" s="8"/>
      <c r="G162" s="8"/>
      <c r="H162" s="8"/>
      <c r="I162" s="10"/>
      <c r="J162" s="10"/>
      <c r="K162" s="8"/>
      <c r="L162" s="8"/>
      <c r="M162" s="8"/>
      <c r="N162" s="8"/>
      <c r="O162" s="8"/>
      <c r="P162" s="8"/>
      <c r="Q162" s="8"/>
      <c r="R162" s="8"/>
      <c r="S162" s="8"/>
      <c r="T162" s="10"/>
      <c r="U162" s="8"/>
      <c r="V162" s="8"/>
      <c r="W162" s="8"/>
      <c r="X162" s="8"/>
      <c r="Y162" s="10"/>
    </row>
    <row r="163" spans="1:25">
      <c r="A163" s="8"/>
      <c r="B163" s="8"/>
      <c r="C163" s="8"/>
      <c r="D163" s="8"/>
      <c r="E163" s="8"/>
      <c r="F163" s="8"/>
      <c r="G163" s="8"/>
      <c r="H163" s="8"/>
      <c r="I163" s="10"/>
      <c r="J163" s="10"/>
      <c r="K163" s="8"/>
      <c r="L163" s="8"/>
      <c r="M163" s="8"/>
      <c r="N163" s="8"/>
      <c r="O163" s="8"/>
      <c r="P163" s="8"/>
      <c r="Q163" s="8"/>
      <c r="R163" s="8"/>
      <c r="S163" s="8"/>
      <c r="T163" s="10"/>
      <c r="U163" s="8"/>
      <c r="V163" s="8"/>
      <c r="W163" s="8"/>
      <c r="X163" s="8"/>
      <c r="Y163" s="10"/>
    </row>
    <row r="164" spans="1:25">
      <c r="A164" s="8"/>
      <c r="B164" s="8"/>
      <c r="C164" s="8"/>
      <c r="D164" s="8"/>
      <c r="E164" s="8"/>
      <c r="F164" s="8"/>
      <c r="G164" s="8"/>
      <c r="H164" s="8"/>
      <c r="I164" s="10"/>
      <c r="J164" s="10"/>
      <c r="K164" s="8"/>
      <c r="L164" s="8"/>
      <c r="M164" s="8"/>
      <c r="N164" s="8"/>
      <c r="O164" s="8"/>
      <c r="P164" s="8"/>
      <c r="Q164" s="8"/>
      <c r="R164" s="8"/>
      <c r="S164" s="8"/>
      <c r="T164" s="10"/>
      <c r="U164" s="8"/>
      <c r="V164" s="8"/>
      <c r="W164" s="8"/>
      <c r="X164" s="8"/>
      <c r="Y164" s="10"/>
    </row>
    <row r="165" spans="1:25">
      <c r="A165" s="8"/>
      <c r="B165" s="8"/>
      <c r="C165" s="8"/>
      <c r="D165" s="8"/>
      <c r="E165" s="8"/>
      <c r="F165" s="8"/>
      <c r="G165" s="8"/>
      <c r="H165" s="8"/>
      <c r="I165" s="10"/>
      <c r="J165" s="10"/>
      <c r="K165" s="8"/>
      <c r="L165" s="8"/>
      <c r="M165" s="8"/>
      <c r="N165" s="8"/>
      <c r="O165" s="8"/>
      <c r="P165" s="8"/>
      <c r="Q165" s="8"/>
      <c r="R165" s="8"/>
      <c r="S165" s="8"/>
      <c r="T165" s="10"/>
      <c r="U165" s="8"/>
      <c r="V165" s="8"/>
      <c r="W165" s="8"/>
      <c r="X165" s="8"/>
      <c r="Y165" s="10"/>
    </row>
    <row r="166" spans="1:25">
      <c r="A166" s="8"/>
      <c r="B166" s="8"/>
      <c r="C166" s="8"/>
      <c r="D166" s="8"/>
      <c r="E166" s="8"/>
      <c r="F166" s="8"/>
      <c r="G166" s="8"/>
      <c r="H166" s="8"/>
      <c r="I166" s="10"/>
      <c r="J166" s="10"/>
      <c r="K166" s="8"/>
      <c r="L166" s="8"/>
      <c r="M166" s="8"/>
      <c r="N166" s="8"/>
      <c r="O166" s="8"/>
      <c r="P166" s="8"/>
      <c r="Q166" s="8"/>
      <c r="R166" s="8"/>
      <c r="S166" s="8"/>
      <c r="T166" s="10"/>
      <c r="U166" s="8"/>
      <c r="V166" s="8"/>
      <c r="W166" s="8"/>
      <c r="X166" s="8"/>
      <c r="Y166" s="10"/>
    </row>
    <row r="167" spans="1:25">
      <c r="A167" s="8"/>
      <c r="B167" s="8"/>
      <c r="C167" s="8"/>
      <c r="D167" s="8"/>
      <c r="E167" s="8"/>
      <c r="F167" s="8"/>
      <c r="G167" s="8"/>
      <c r="H167" s="8"/>
      <c r="I167" s="10"/>
      <c r="J167" s="10"/>
      <c r="K167" s="8"/>
      <c r="L167" s="8"/>
      <c r="M167" s="8"/>
      <c r="N167" s="8"/>
      <c r="O167" s="8"/>
      <c r="P167" s="8"/>
      <c r="Q167" s="8"/>
      <c r="R167" s="8"/>
      <c r="S167" s="8"/>
      <c r="T167" s="10"/>
      <c r="U167" s="8"/>
      <c r="V167" s="8"/>
      <c r="W167" s="8"/>
      <c r="X167" s="8"/>
      <c r="Y167" s="10"/>
    </row>
    <row r="168" spans="1:25">
      <c r="A168" s="8"/>
      <c r="B168" s="8"/>
      <c r="C168" s="8"/>
      <c r="D168" s="8"/>
      <c r="E168" s="8"/>
      <c r="F168" s="8"/>
      <c r="G168" s="8"/>
      <c r="H168" s="8"/>
      <c r="I168" s="10"/>
      <c r="J168" s="10"/>
      <c r="K168" s="8"/>
      <c r="L168" s="8"/>
      <c r="M168" s="8"/>
      <c r="N168" s="8"/>
      <c r="O168" s="8"/>
      <c r="P168" s="8"/>
      <c r="Q168" s="8"/>
      <c r="R168" s="8"/>
      <c r="S168" s="8"/>
      <c r="T168" s="10"/>
      <c r="U168" s="8"/>
      <c r="V168" s="8"/>
      <c r="W168" s="8"/>
      <c r="X168" s="8"/>
      <c r="Y168" s="10"/>
    </row>
    <row r="169" spans="1:25">
      <c r="A169" s="8"/>
      <c r="B169" s="8"/>
      <c r="C169" s="8"/>
      <c r="D169" s="8"/>
      <c r="E169" s="8"/>
      <c r="F169" s="8"/>
      <c r="G169" s="8"/>
      <c r="H169" s="8"/>
      <c r="I169" s="10"/>
      <c r="J169" s="10"/>
      <c r="K169" s="8"/>
      <c r="L169" s="8"/>
      <c r="M169" s="8"/>
      <c r="N169" s="8"/>
      <c r="O169" s="8"/>
      <c r="P169" s="8"/>
      <c r="Q169" s="8"/>
      <c r="R169" s="8"/>
      <c r="S169" s="8"/>
      <c r="T169" s="10"/>
      <c r="U169" s="8"/>
      <c r="V169" s="8"/>
      <c r="W169" s="8"/>
      <c r="X169" s="8"/>
      <c r="Y169" s="10"/>
    </row>
    <row r="170" spans="1:25">
      <c r="A170" s="8"/>
      <c r="B170" s="8"/>
      <c r="C170" s="8"/>
      <c r="D170" s="8"/>
      <c r="E170" s="8"/>
      <c r="F170" s="8"/>
      <c r="G170" s="8"/>
      <c r="H170" s="8"/>
      <c r="I170" s="10"/>
      <c r="J170" s="10"/>
      <c r="K170" s="8"/>
      <c r="L170" s="8"/>
      <c r="M170" s="8"/>
      <c r="N170" s="8"/>
      <c r="O170" s="8"/>
      <c r="P170" s="8"/>
      <c r="Q170" s="8"/>
      <c r="R170" s="8"/>
      <c r="S170" s="8"/>
      <c r="T170" s="10"/>
      <c r="U170" s="8"/>
      <c r="V170" s="8"/>
      <c r="W170" s="8"/>
      <c r="X170" s="8"/>
      <c r="Y170" s="10"/>
    </row>
    <row r="171" spans="1:25">
      <c r="A171" s="8"/>
      <c r="B171" s="8"/>
      <c r="C171" s="8"/>
      <c r="D171" s="8"/>
      <c r="E171" s="8"/>
      <c r="F171" s="8"/>
      <c r="G171" s="8"/>
      <c r="H171" s="8"/>
      <c r="I171" s="10"/>
      <c r="J171" s="10"/>
      <c r="K171" s="8"/>
      <c r="L171" s="8"/>
      <c r="M171" s="8"/>
      <c r="N171" s="8"/>
      <c r="O171" s="8"/>
      <c r="P171" s="8"/>
      <c r="Q171" s="8"/>
      <c r="R171" s="8"/>
      <c r="S171" s="8"/>
      <c r="T171" s="10"/>
      <c r="U171" s="8"/>
      <c r="V171" s="8"/>
      <c r="W171" s="8"/>
      <c r="X171" s="8"/>
      <c r="Y171" s="10"/>
    </row>
    <row r="172" spans="1:25">
      <c r="A172" s="8"/>
      <c r="B172" s="8"/>
      <c r="C172" s="8"/>
      <c r="D172" s="8"/>
      <c r="E172" s="8"/>
      <c r="F172" s="8"/>
      <c r="G172" s="8"/>
      <c r="H172" s="8"/>
      <c r="I172" s="10"/>
      <c r="J172" s="10"/>
      <c r="K172" s="8"/>
      <c r="L172" s="8"/>
      <c r="M172" s="8"/>
      <c r="N172" s="8"/>
      <c r="O172" s="8"/>
      <c r="P172" s="8"/>
      <c r="Q172" s="8"/>
      <c r="R172" s="8"/>
      <c r="S172" s="8"/>
      <c r="T172" s="10"/>
      <c r="U172" s="8"/>
      <c r="V172" s="8"/>
      <c r="W172" s="8"/>
      <c r="X172" s="8"/>
      <c r="Y172" s="10"/>
    </row>
    <row r="173" spans="1:25">
      <c r="A173" s="8"/>
      <c r="B173" s="8"/>
      <c r="C173" s="8"/>
      <c r="D173" s="8"/>
      <c r="E173" s="8"/>
      <c r="F173" s="8"/>
      <c r="G173" s="8"/>
      <c r="H173" s="8"/>
      <c r="I173" s="10"/>
      <c r="J173" s="10"/>
      <c r="K173" s="8"/>
      <c r="L173" s="8"/>
      <c r="M173" s="8"/>
      <c r="N173" s="8"/>
      <c r="O173" s="8"/>
      <c r="P173" s="8"/>
      <c r="Q173" s="8"/>
      <c r="R173" s="8"/>
      <c r="S173" s="8"/>
      <c r="T173" s="10"/>
      <c r="U173" s="8"/>
      <c r="V173" s="8"/>
      <c r="W173" s="8"/>
      <c r="X173" s="8"/>
      <c r="Y173" s="10"/>
    </row>
    <row r="174" spans="1:25">
      <c r="A174" s="8"/>
      <c r="B174" s="8"/>
      <c r="C174" s="8"/>
      <c r="D174" s="8"/>
      <c r="E174" s="8"/>
      <c r="F174" s="8"/>
      <c r="G174" s="8"/>
      <c r="H174" s="8"/>
      <c r="I174" s="10"/>
      <c r="J174" s="10"/>
      <c r="K174" s="8"/>
      <c r="L174" s="8"/>
      <c r="M174" s="8"/>
      <c r="N174" s="8"/>
      <c r="O174" s="8"/>
      <c r="P174" s="8"/>
      <c r="Q174" s="8"/>
      <c r="R174" s="8"/>
      <c r="S174" s="8"/>
      <c r="T174" s="10"/>
      <c r="U174" s="8"/>
      <c r="V174" s="8"/>
      <c r="W174" s="8"/>
      <c r="X174" s="8"/>
      <c r="Y174" s="10"/>
    </row>
    <row r="175" spans="1:25">
      <c r="A175" s="8"/>
      <c r="B175" s="8"/>
      <c r="C175" s="8"/>
      <c r="D175" s="8"/>
      <c r="E175" s="8"/>
      <c r="F175" s="8"/>
      <c r="G175" s="8"/>
      <c r="H175" s="8"/>
      <c r="I175" s="10"/>
      <c r="J175" s="10"/>
      <c r="K175" s="8"/>
      <c r="L175" s="8"/>
      <c r="M175" s="8"/>
      <c r="N175" s="8"/>
      <c r="O175" s="8"/>
      <c r="P175" s="8"/>
      <c r="Q175" s="8"/>
      <c r="R175" s="8"/>
      <c r="S175" s="8"/>
      <c r="T175" s="10"/>
      <c r="U175" s="8"/>
      <c r="V175" s="8"/>
      <c r="W175" s="8"/>
      <c r="X175" s="8"/>
      <c r="Y175" s="10"/>
    </row>
    <row r="176" spans="1:25">
      <c r="A176" s="8"/>
      <c r="B176" s="8"/>
      <c r="C176" s="8"/>
      <c r="D176" s="8"/>
      <c r="E176" s="8"/>
      <c r="F176" s="8"/>
      <c r="G176" s="8"/>
      <c r="H176" s="8"/>
      <c r="I176" s="10"/>
      <c r="J176" s="10"/>
      <c r="K176" s="8"/>
      <c r="L176" s="8"/>
      <c r="M176" s="8"/>
      <c r="N176" s="8"/>
      <c r="O176" s="8"/>
      <c r="P176" s="8"/>
      <c r="Q176" s="8"/>
      <c r="R176" s="8"/>
      <c r="S176" s="8"/>
      <c r="T176" s="10"/>
      <c r="U176" s="8"/>
      <c r="V176" s="8"/>
      <c r="W176" s="8"/>
      <c r="X176" s="8"/>
      <c r="Y176" s="10"/>
    </row>
    <row r="177" spans="1:25">
      <c r="A177" s="8"/>
      <c r="B177" s="8"/>
      <c r="C177" s="8"/>
      <c r="D177" s="8"/>
      <c r="E177" s="8"/>
      <c r="F177" s="8"/>
      <c r="G177" s="8"/>
      <c r="H177" s="8"/>
      <c r="I177" s="10"/>
      <c r="J177" s="10"/>
      <c r="K177" s="8"/>
      <c r="L177" s="8"/>
      <c r="M177" s="8"/>
      <c r="N177" s="8"/>
      <c r="O177" s="8"/>
      <c r="P177" s="8"/>
      <c r="Q177" s="8"/>
      <c r="R177" s="8"/>
      <c r="S177" s="8"/>
      <c r="T177" s="10"/>
      <c r="U177" s="8"/>
      <c r="V177" s="8"/>
      <c r="W177" s="8"/>
      <c r="X177" s="8"/>
      <c r="Y177" s="10"/>
    </row>
    <row r="178" spans="1:25">
      <c r="A178" s="8"/>
      <c r="B178" s="8"/>
      <c r="C178" s="8"/>
      <c r="D178" s="8"/>
      <c r="E178" s="8"/>
      <c r="F178" s="8"/>
      <c r="G178" s="8"/>
      <c r="H178" s="8"/>
      <c r="I178" s="10"/>
      <c r="J178" s="10"/>
      <c r="K178" s="8"/>
      <c r="L178" s="8"/>
      <c r="M178" s="8"/>
      <c r="N178" s="8"/>
      <c r="O178" s="8"/>
      <c r="P178" s="8"/>
      <c r="Q178" s="8"/>
      <c r="R178" s="8"/>
      <c r="S178" s="8"/>
      <c r="T178" s="10"/>
      <c r="U178" s="8"/>
      <c r="V178" s="8"/>
      <c r="W178" s="8"/>
      <c r="X178" s="8"/>
      <c r="Y178" s="10"/>
    </row>
    <row r="179" spans="1:25">
      <c r="A179" s="8"/>
      <c r="B179" s="8"/>
      <c r="C179" s="8"/>
      <c r="D179" s="8"/>
      <c r="E179" s="8"/>
      <c r="F179" s="8"/>
      <c r="G179" s="8"/>
      <c r="H179" s="8"/>
      <c r="I179" s="10"/>
      <c r="J179" s="10"/>
      <c r="K179" s="8"/>
      <c r="L179" s="8"/>
      <c r="M179" s="8"/>
      <c r="N179" s="8"/>
      <c r="O179" s="8"/>
      <c r="P179" s="8"/>
      <c r="Q179" s="8"/>
      <c r="R179" s="8"/>
      <c r="S179" s="8"/>
      <c r="T179" s="10"/>
      <c r="U179" s="8"/>
      <c r="V179" s="8"/>
      <c r="W179" s="8"/>
      <c r="X179" s="8"/>
      <c r="Y179" s="10"/>
    </row>
    <row r="180" spans="1:25">
      <c r="A180" s="8"/>
      <c r="B180" s="8"/>
      <c r="C180" s="8"/>
      <c r="D180" s="8"/>
      <c r="E180" s="8"/>
      <c r="F180" s="8"/>
      <c r="G180" s="8"/>
      <c r="H180" s="8"/>
      <c r="I180" s="10"/>
      <c r="J180" s="10"/>
      <c r="K180" s="8"/>
      <c r="L180" s="8"/>
      <c r="M180" s="8"/>
      <c r="N180" s="8"/>
      <c r="O180" s="8"/>
      <c r="P180" s="8"/>
      <c r="Q180" s="8"/>
      <c r="R180" s="8"/>
      <c r="S180" s="8"/>
      <c r="T180" s="10"/>
      <c r="U180" s="8"/>
      <c r="V180" s="8"/>
      <c r="W180" s="8"/>
      <c r="X180" s="8"/>
      <c r="Y180" s="10"/>
    </row>
    <row r="181" spans="1:25">
      <c r="A181" s="8"/>
      <c r="B181" s="8"/>
      <c r="C181" s="8"/>
      <c r="D181" s="8"/>
      <c r="E181" s="8"/>
      <c r="F181" s="8"/>
      <c r="G181" s="8"/>
      <c r="H181" s="8"/>
      <c r="I181" s="10"/>
      <c r="J181" s="10"/>
      <c r="K181" s="8"/>
      <c r="L181" s="8"/>
      <c r="M181" s="8"/>
      <c r="N181" s="8"/>
      <c r="O181" s="8"/>
      <c r="P181" s="8"/>
      <c r="Q181" s="8"/>
      <c r="R181" s="8"/>
      <c r="S181" s="8"/>
      <c r="T181" s="10"/>
      <c r="U181" s="8"/>
      <c r="V181" s="8"/>
      <c r="W181" s="8"/>
      <c r="X181" s="8"/>
      <c r="Y181" s="10"/>
    </row>
    <row r="182" spans="1:25">
      <c r="A182" s="8"/>
      <c r="B182" s="8"/>
      <c r="C182" s="8"/>
      <c r="D182" s="8"/>
      <c r="E182" s="8"/>
      <c r="F182" s="8"/>
      <c r="G182" s="8"/>
      <c r="H182" s="8"/>
      <c r="I182" s="10"/>
      <c r="J182" s="10"/>
      <c r="K182" s="8"/>
      <c r="L182" s="8"/>
      <c r="M182" s="8"/>
      <c r="N182" s="8"/>
      <c r="O182" s="8"/>
      <c r="P182" s="8"/>
      <c r="Q182" s="8"/>
      <c r="R182" s="8"/>
      <c r="S182" s="8"/>
      <c r="T182" s="10"/>
      <c r="U182" s="8"/>
      <c r="V182" s="8"/>
      <c r="W182" s="8"/>
      <c r="X182" s="8"/>
      <c r="Y182" s="10"/>
    </row>
    <row r="183" spans="1:25">
      <c r="A183" s="8"/>
      <c r="B183" s="8"/>
      <c r="C183" s="8"/>
      <c r="D183" s="8"/>
      <c r="E183" s="8"/>
      <c r="F183" s="8"/>
      <c r="G183" s="8"/>
      <c r="H183" s="8"/>
      <c r="I183" s="10"/>
      <c r="J183" s="10"/>
      <c r="K183" s="8"/>
      <c r="L183" s="8"/>
      <c r="M183" s="8"/>
      <c r="N183" s="8"/>
      <c r="O183" s="8"/>
      <c r="P183" s="8"/>
      <c r="Q183" s="8"/>
      <c r="R183" s="8"/>
      <c r="S183" s="8"/>
      <c r="T183" s="10"/>
      <c r="U183" s="8"/>
      <c r="V183" s="8"/>
      <c r="W183" s="8"/>
      <c r="X183" s="8"/>
      <c r="Y183" s="10"/>
    </row>
    <row r="184" spans="1:25">
      <c r="A184" s="8"/>
      <c r="B184" s="8"/>
      <c r="C184" s="8"/>
      <c r="D184" s="8"/>
      <c r="E184" s="8"/>
      <c r="F184" s="8"/>
      <c r="G184" s="8"/>
      <c r="H184" s="8"/>
      <c r="I184" s="10"/>
      <c r="J184" s="10"/>
      <c r="K184" s="8"/>
      <c r="L184" s="8"/>
      <c r="M184" s="8"/>
      <c r="N184" s="8"/>
      <c r="O184" s="8"/>
      <c r="P184" s="8"/>
      <c r="Q184" s="8"/>
      <c r="R184" s="8"/>
      <c r="S184" s="8"/>
      <c r="T184" s="10"/>
      <c r="U184" s="8"/>
      <c r="V184" s="8"/>
      <c r="W184" s="8"/>
      <c r="X184" s="8"/>
      <c r="Y184" s="10"/>
    </row>
    <row r="185" spans="1:25">
      <c r="A185" s="8"/>
      <c r="B185" s="8"/>
      <c r="C185" s="8"/>
      <c r="D185" s="8"/>
      <c r="E185" s="8"/>
      <c r="F185" s="8"/>
      <c r="G185" s="8"/>
      <c r="H185" s="8"/>
      <c r="I185" s="10"/>
      <c r="J185" s="10"/>
      <c r="K185" s="8"/>
      <c r="L185" s="8"/>
      <c r="M185" s="8"/>
      <c r="N185" s="8"/>
      <c r="O185" s="8"/>
      <c r="P185" s="8"/>
      <c r="Q185" s="8"/>
      <c r="R185" s="8"/>
      <c r="S185" s="8"/>
      <c r="T185" s="10"/>
      <c r="U185" s="8"/>
      <c r="V185" s="8"/>
      <c r="W185" s="8"/>
      <c r="X185" s="8"/>
      <c r="Y185" s="10"/>
    </row>
    <row r="186" spans="1:25">
      <c r="A186" s="8"/>
      <c r="B186" s="8"/>
      <c r="C186" s="8"/>
      <c r="D186" s="8"/>
      <c r="E186" s="8"/>
      <c r="F186" s="8"/>
      <c r="G186" s="8"/>
      <c r="H186" s="8"/>
      <c r="I186" s="10"/>
      <c r="J186" s="10"/>
      <c r="K186" s="8"/>
      <c r="L186" s="8"/>
      <c r="M186" s="8"/>
      <c r="N186" s="8"/>
      <c r="O186" s="8"/>
      <c r="P186" s="8"/>
      <c r="Q186" s="8"/>
      <c r="R186" s="8"/>
      <c r="S186" s="8"/>
      <c r="T186" s="10"/>
      <c r="U186" s="8"/>
      <c r="V186" s="8"/>
      <c r="W186" s="8"/>
      <c r="X186" s="8"/>
      <c r="Y186" s="10"/>
    </row>
    <row r="187" spans="1:25">
      <c r="A187" s="8"/>
      <c r="B187" s="8"/>
      <c r="C187" s="8"/>
      <c r="D187" s="8"/>
      <c r="E187" s="8"/>
      <c r="F187" s="8"/>
      <c r="G187" s="8"/>
      <c r="H187" s="8"/>
      <c r="I187" s="10"/>
      <c r="J187" s="10"/>
      <c r="K187" s="8"/>
      <c r="L187" s="8"/>
      <c r="M187" s="8"/>
      <c r="N187" s="8"/>
      <c r="O187" s="8"/>
      <c r="P187" s="8"/>
      <c r="Q187" s="8"/>
      <c r="R187" s="8"/>
      <c r="S187" s="8"/>
      <c r="T187" s="10"/>
      <c r="U187" s="8"/>
      <c r="V187" s="8"/>
      <c r="W187" s="8"/>
      <c r="X187" s="8"/>
      <c r="Y187" s="10"/>
    </row>
    <row r="188" spans="1:25">
      <c r="A188" s="8"/>
      <c r="B188" s="8"/>
      <c r="C188" s="8"/>
      <c r="D188" s="8"/>
      <c r="E188" s="8"/>
      <c r="F188" s="8"/>
      <c r="G188" s="8"/>
      <c r="H188" s="8"/>
      <c r="I188" s="10"/>
      <c r="J188" s="10"/>
      <c r="K188" s="8"/>
      <c r="L188" s="8"/>
      <c r="M188" s="8"/>
      <c r="N188" s="8"/>
      <c r="O188" s="8"/>
      <c r="P188" s="8"/>
      <c r="Q188" s="8"/>
      <c r="R188" s="8"/>
      <c r="S188" s="8"/>
      <c r="T188" s="10"/>
      <c r="U188" s="8"/>
      <c r="V188" s="8"/>
      <c r="W188" s="8"/>
      <c r="X188" s="8"/>
      <c r="Y188" s="10"/>
    </row>
    <row r="189" spans="1:25">
      <c r="A189" s="8"/>
      <c r="B189" s="8"/>
      <c r="C189" s="8"/>
      <c r="D189" s="8"/>
      <c r="E189" s="8"/>
      <c r="F189" s="8"/>
      <c r="G189" s="8"/>
      <c r="H189" s="8"/>
      <c r="I189" s="10"/>
      <c r="J189" s="10"/>
      <c r="K189" s="8"/>
      <c r="L189" s="8"/>
      <c r="M189" s="8"/>
      <c r="N189" s="8"/>
      <c r="O189" s="8"/>
      <c r="P189" s="8"/>
      <c r="Q189" s="8"/>
      <c r="R189" s="8"/>
      <c r="S189" s="8"/>
      <c r="T189" s="10"/>
      <c r="U189" s="8"/>
      <c r="V189" s="8"/>
      <c r="W189" s="8"/>
      <c r="X189" s="8"/>
      <c r="Y189" s="10"/>
    </row>
    <row r="190" spans="1:25">
      <c r="A190" s="8"/>
      <c r="B190" s="8"/>
      <c r="C190" s="8"/>
      <c r="D190" s="8"/>
      <c r="E190" s="8"/>
      <c r="F190" s="8"/>
      <c r="G190" s="8"/>
      <c r="H190" s="8"/>
      <c r="I190" s="10"/>
      <c r="J190" s="10"/>
      <c r="K190" s="8"/>
      <c r="L190" s="8"/>
      <c r="M190" s="8"/>
      <c r="N190" s="8"/>
      <c r="O190" s="8"/>
      <c r="P190" s="8"/>
      <c r="Q190" s="8"/>
      <c r="R190" s="8"/>
      <c r="S190" s="8"/>
      <c r="T190" s="10"/>
      <c r="U190" s="8"/>
      <c r="V190" s="8"/>
      <c r="W190" s="8"/>
      <c r="X190" s="8"/>
      <c r="Y190" s="10"/>
    </row>
    <row r="191" spans="1:25">
      <c r="A191" s="8"/>
      <c r="B191" s="8"/>
      <c r="C191" s="8"/>
      <c r="D191" s="8"/>
      <c r="E191" s="8"/>
      <c r="F191" s="8"/>
      <c r="G191" s="8"/>
      <c r="H191" s="8"/>
      <c r="I191" s="10"/>
      <c r="J191" s="10"/>
      <c r="K191" s="8"/>
      <c r="L191" s="8"/>
      <c r="M191" s="8"/>
      <c r="N191" s="8"/>
      <c r="O191" s="8"/>
      <c r="P191" s="8"/>
      <c r="Q191" s="8"/>
      <c r="R191" s="8"/>
      <c r="S191" s="8"/>
      <c r="T191" s="10"/>
      <c r="U191" s="8"/>
      <c r="V191" s="8"/>
      <c r="W191" s="8"/>
      <c r="X191" s="8"/>
      <c r="Y191" s="10"/>
    </row>
    <row r="192" spans="1:25">
      <c r="A192" s="8"/>
      <c r="B192" s="8"/>
      <c r="C192" s="8"/>
      <c r="D192" s="8"/>
      <c r="E192" s="8"/>
      <c r="F192" s="8"/>
      <c r="G192" s="8"/>
      <c r="H192" s="8"/>
      <c r="I192" s="10"/>
      <c r="J192" s="10"/>
      <c r="K192" s="8"/>
      <c r="L192" s="8"/>
      <c r="M192" s="8"/>
      <c r="N192" s="8"/>
      <c r="O192" s="8"/>
      <c r="P192" s="8"/>
      <c r="Q192" s="8"/>
      <c r="R192" s="8"/>
      <c r="S192" s="8"/>
      <c r="T192" s="10"/>
      <c r="U192" s="8"/>
      <c r="V192" s="8"/>
      <c r="W192" s="8"/>
      <c r="X192" s="8"/>
      <c r="Y192" s="10"/>
    </row>
    <row r="193" spans="1:25">
      <c r="A193" s="8"/>
      <c r="B193" s="8"/>
      <c r="C193" s="8"/>
      <c r="D193" s="8"/>
      <c r="E193" s="8"/>
      <c r="F193" s="8"/>
      <c r="G193" s="8"/>
      <c r="H193" s="8"/>
      <c r="I193" s="10"/>
      <c r="J193" s="10"/>
      <c r="K193" s="8"/>
      <c r="L193" s="8"/>
      <c r="M193" s="8"/>
      <c r="N193" s="8"/>
      <c r="O193" s="8"/>
      <c r="P193" s="8"/>
      <c r="Q193" s="8"/>
      <c r="R193" s="8"/>
      <c r="S193" s="8"/>
      <c r="T193" s="10"/>
      <c r="U193" s="8"/>
      <c r="V193" s="8"/>
      <c r="W193" s="8"/>
      <c r="X193" s="8"/>
      <c r="Y193" s="10"/>
    </row>
    <row r="194" spans="1:25">
      <c r="A194" s="8"/>
      <c r="B194" s="8"/>
      <c r="C194" s="8"/>
      <c r="D194" s="8"/>
      <c r="E194" s="8"/>
      <c r="F194" s="8"/>
      <c r="G194" s="8"/>
      <c r="H194" s="8"/>
      <c r="I194" s="10"/>
      <c r="J194" s="10"/>
      <c r="K194" s="8"/>
      <c r="L194" s="8"/>
      <c r="M194" s="8"/>
      <c r="N194" s="8"/>
      <c r="O194" s="8"/>
      <c r="P194" s="8"/>
      <c r="Q194" s="8"/>
      <c r="R194" s="8"/>
      <c r="S194" s="8"/>
      <c r="T194" s="10"/>
      <c r="U194" s="8"/>
      <c r="V194" s="8"/>
      <c r="W194" s="8"/>
      <c r="X194" s="8"/>
      <c r="Y194" s="10"/>
    </row>
    <row r="195" spans="1:25">
      <c r="A195" s="8"/>
      <c r="B195" s="8"/>
      <c r="C195" s="8"/>
      <c r="D195" s="8"/>
      <c r="E195" s="8"/>
      <c r="F195" s="8"/>
      <c r="G195" s="8"/>
      <c r="H195" s="8"/>
      <c r="I195" s="10"/>
      <c r="J195" s="10"/>
      <c r="K195" s="8"/>
      <c r="L195" s="8"/>
      <c r="M195" s="8"/>
      <c r="N195" s="8"/>
      <c r="O195" s="8"/>
      <c r="P195" s="8"/>
      <c r="Q195" s="8"/>
      <c r="R195" s="8"/>
      <c r="S195" s="8"/>
      <c r="T195" s="10"/>
      <c r="U195" s="8"/>
      <c r="V195" s="8"/>
      <c r="W195" s="8"/>
      <c r="X195" s="8"/>
      <c r="Y195" s="10"/>
    </row>
    <row r="196" spans="1:25">
      <c r="A196" s="8"/>
      <c r="B196" s="8"/>
      <c r="C196" s="8"/>
      <c r="D196" s="8"/>
      <c r="E196" s="8"/>
      <c r="F196" s="8"/>
      <c r="G196" s="8"/>
      <c r="H196" s="8"/>
      <c r="I196" s="10"/>
      <c r="J196" s="10"/>
      <c r="K196" s="8"/>
      <c r="L196" s="8"/>
      <c r="M196" s="8"/>
      <c r="N196" s="8"/>
      <c r="O196" s="8"/>
      <c r="P196" s="8"/>
      <c r="Q196" s="8"/>
      <c r="R196" s="8"/>
      <c r="S196" s="8"/>
      <c r="T196" s="10"/>
      <c r="U196" s="8"/>
      <c r="V196" s="8"/>
      <c r="W196" s="8"/>
      <c r="X196" s="8"/>
      <c r="Y196" s="10"/>
    </row>
    <row r="197" spans="1:25">
      <c r="A197" s="8"/>
      <c r="B197" s="8"/>
      <c r="C197" s="8"/>
      <c r="D197" s="8"/>
      <c r="E197" s="8"/>
      <c r="F197" s="8"/>
      <c r="G197" s="8"/>
      <c r="H197" s="8"/>
      <c r="I197" s="10"/>
      <c r="J197" s="10"/>
      <c r="K197" s="8"/>
      <c r="L197" s="8"/>
      <c r="M197" s="8"/>
      <c r="N197" s="8"/>
      <c r="O197" s="8"/>
      <c r="P197" s="8"/>
      <c r="Q197" s="8"/>
      <c r="R197" s="8"/>
      <c r="S197" s="8"/>
      <c r="T197" s="10"/>
      <c r="U197" s="8"/>
      <c r="V197" s="8"/>
      <c r="W197" s="8"/>
      <c r="X197" s="8"/>
      <c r="Y197" s="10"/>
    </row>
    <row r="198" spans="1:25">
      <c r="A198" s="8"/>
      <c r="B198" s="8"/>
      <c r="C198" s="8"/>
      <c r="D198" s="8"/>
      <c r="E198" s="8"/>
      <c r="F198" s="8"/>
      <c r="G198" s="8"/>
      <c r="H198" s="8"/>
      <c r="I198" s="10"/>
      <c r="J198" s="10"/>
      <c r="K198" s="8"/>
      <c r="L198" s="8"/>
      <c r="M198" s="8"/>
      <c r="N198" s="8"/>
      <c r="O198" s="8"/>
      <c r="P198" s="8"/>
      <c r="Q198" s="8"/>
      <c r="R198" s="8"/>
      <c r="S198" s="8"/>
      <c r="T198" s="10"/>
      <c r="U198" s="8"/>
      <c r="V198" s="8"/>
      <c r="W198" s="8"/>
      <c r="X198" s="8"/>
      <c r="Y198" s="10"/>
    </row>
    <row r="199" spans="1:25">
      <c r="A199" s="8"/>
      <c r="B199" s="8"/>
      <c r="C199" s="8"/>
      <c r="D199" s="8"/>
      <c r="E199" s="8"/>
      <c r="F199" s="8"/>
      <c r="G199" s="8"/>
      <c r="H199" s="8"/>
      <c r="I199" s="10"/>
      <c r="J199" s="10"/>
      <c r="K199" s="8"/>
      <c r="L199" s="8"/>
      <c r="M199" s="8"/>
      <c r="N199" s="8"/>
      <c r="O199" s="8"/>
      <c r="P199" s="8"/>
      <c r="Q199" s="8"/>
      <c r="R199" s="8"/>
      <c r="S199" s="8"/>
      <c r="T199" s="10"/>
      <c r="U199" s="8"/>
      <c r="V199" s="8"/>
      <c r="W199" s="8"/>
      <c r="X199" s="8"/>
      <c r="Y199" s="10"/>
    </row>
    <row r="200" spans="1:25">
      <c r="A200" s="8"/>
      <c r="B200" s="8"/>
      <c r="C200" s="8"/>
      <c r="D200" s="8"/>
      <c r="E200" s="8"/>
      <c r="F200" s="8"/>
      <c r="G200" s="8"/>
      <c r="H200" s="8"/>
      <c r="I200" s="10"/>
      <c r="J200" s="10"/>
      <c r="K200" s="8"/>
      <c r="L200" s="8"/>
      <c r="M200" s="8"/>
      <c r="N200" s="8"/>
      <c r="O200" s="8"/>
      <c r="P200" s="8"/>
      <c r="Q200" s="8"/>
      <c r="R200" s="8"/>
      <c r="S200" s="8"/>
      <c r="T200" s="10"/>
      <c r="U200" s="8"/>
      <c r="V200" s="8"/>
      <c r="W200" s="8"/>
      <c r="X200" s="8"/>
      <c r="Y200" s="10"/>
    </row>
    <row r="201" spans="1:25">
      <c r="A201" s="8"/>
      <c r="B201" s="8"/>
      <c r="C201" s="8"/>
      <c r="D201" s="8"/>
      <c r="E201" s="8"/>
      <c r="F201" s="8"/>
      <c r="G201" s="8"/>
      <c r="H201" s="8"/>
      <c r="I201" s="10"/>
      <c r="J201" s="10"/>
      <c r="K201" s="8"/>
      <c r="L201" s="8"/>
      <c r="M201" s="8"/>
      <c r="N201" s="8"/>
      <c r="O201" s="8"/>
      <c r="P201" s="8"/>
      <c r="Q201" s="8"/>
      <c r="R201" s="8"/>
      <c r="S201" s="8"/>
      <c r="T201" s="10"/>
      <c r="U201" s="8"/>
      <c r="V201" s="8"/>
      <c r="W201" s="8"/>
      <c r="X201" s="8"/>
      <c r="Y201" s="10"/>
    </row>
    <row r="202" spans="1:25">
      <c r="A202" s="8"/>
      <c r="B202" s="8"/>
      <c r="C202" s="8"/>
      <c r="D202" s="8"/>
      <c r="E202" s="8"/>
      <c r="F202" s="8"/>
      <c r="G202" s="8"/>
      <c r="H202" s="8"/>
      <c r="I202" s="10"/>
      <c r="J202" s="10"/>
      <c r="K202" s="8"/>
      <c r="L202" s="8"/>
      <c r="M202" s="8"/>
      <c r="N202" s="8"/>
      <c r="O202" s="8"/>
      <c r="P202" s="8"/>
      <c r="Q202" s="8"/>
      <c r="R202" s="8"/>
      <c r="S202" s="8"/>
      <c r="T202" s="10"/>
      <c r="U202" s="8"/>
      <c r="V202" s="8"/>
      <c r="W202" s="8"/>
      <c r="X202" s="8"/>
      <c r="Y202" s="10"/>
    </row>
    <row r="203" spans="1:25">
      <c r="A203" s="8"/>
      <c r="B203" s="8"/>
      <c r="C203" s="8"/>
      <c r="D203" s="8"/>
      <c r="E203" s="8"/>
      <c r="F203" s="8"/>
      <c r="G203" s="8"/>
      <c r="H203" s="8"/>
      <c r="I203" s="10"/>
      <c r="J203" s="10"/>
      <c r="K203" s="8"/>
      <c r="L203" s="8"/>
      <c r="M203" s="8"/>
      <c r="N203" s="8"/>
      <c r="O203" s="8"/>
      <c r="P203" s="8"/>
      <c r="Q203" s="8"/>
      <c r="R203" s="8"/>
      <c r="S203" s="8"/>
      <c r="T203" s="10"/>
      <c r="U203" s="8"/>
      <c r="V203" s="8"/>
      <c r="W203" s="8"/>
      <c r="X203" s="8"/>
      <c r="Y203" s="10"/>
    </row>
    <row r="204" spans="1:25">
      <c r="A204" s="8"/>
      <c r="B204" s="8"/>
      <c r="C204" s="8"/>
      <c r="D204" s="8"/>
      <c r="E204" s="8"/>
      <c r="F204" s="8"/>
      <c r="G204" s="8"/>
      <c r="H204" s="8"/>
      <c r="I204" s="10"/>
      <c r="J204" s="10"/>
      <c r="K204" s="8"/>
      <c r="L204" s="8"/>
      <c r="M204" s="8"/>
      <c r="N204" s="8"/>
      <c r="O204" s="8"/>
      <c r="P204" s="8"/>
      <c r="Q204" s="8"/>
      <c r="R204" s="8"/>
      <c r="S204" s="8"/>
      <c r="T204" s="10"/>
      <c r="U204" s="8"/>
      <c r="V204" s="8"/>
      <c r="W204" s="8"/>
      <c r="X204" s="8"/>
      <c r="Y204" s="10"/>
    </row>
    <row r="205" spans="1:25">
      <c r="A205" s="8"/>
      <c r="B205" s="8"/>
      <c r="C205" s="8"/>
      <c r="D205" s="8"/>
      <c r="E205" s="8"/>
      <c r="F205" s="8"/>
      <c r="G205" s="8"/>
      <c r="H205" s="8"/>
      <c r="I205" s="10"/>
      <c r="J205" s="10"/>
      <c r="K205" s="8"/>
      <c r="L205" s="8"/>
      <c r="M205" s="8"/>
      <c r="N205" s="8"/>
      <c r="O205" s="8"/>
      <c r="P205" s="8"/>
      <c r="Q205" s="8"/>
      <c r="R205" s="8"/>
      <c r="S205" s="8"/>
      <c r="T205" s="10"/>
      <c r="U205" s="8"/>
      <c r="V205" s="8"/>
      <c r="W205" s="8"/>
      <c r="X205" s="8"/>
      <c r="Y205" s="10"/>
    </row>
    <row r="206" spans="1:25">
      <c r="A206" s="8"/>
      <c r="B206" s="8"/>
      <c r="C206" s="8"/>
      <c r="D206" s="8"/>
      <c r="E206" s="8"/>
      <c r="F206" s="8"/>
      <c r="G206" s="8"/>
      <c r="H206" s="8"/>
      <c r="I206" s="10"/>
      <c r="J206" s="10"/>
      <c r="K206" s="8"/>
      <c r="L206" s="8"/>
      <c r="M206" s="8"/>
      <c r="N206" s="8"/>
      <c r="O206" s="8"/>
      <c r="P206" s="8"/>
      <c r="Q206" s="8"/>
      <c r="R206" s="8"/>
      <c r="S206" s="8"/>
      <c r="T206" s="10"/>
      <c r="U206" s="8"/>
      <c r="V206" s="8"/>
      <c r="W206" s="8"/>
      <c r="X206" s="8"/>
      <c r="Y206" s="10"/>
    </row>
    <row r="207" spans="1:25">
      <c r="A207" s="8"/>
      <c r="B207" s="8"/>
      <c r="C207" s="8"/>
      <c r="D207" s="8"/>
      <c r="E207" s="8"/>
      <c r="F207" s="8"/>
      <c r="G207" s="8"/>
      <c r="H207" s="8"/>
      <c r="I207" s="10"/>
      <c r="J207" s="10"/>
      <c r="K207" s="8"/>
      <c r="L207" s="8"/>
      <c r="M207" s="8"/>
      <c r="N207" s="8"/>
      <c r="O207" s="8"/>
      <c r="P207" s="8"/>
      <c r="Q207" s="8"/>
      <c r="R207" s="8"/>
      <c r="S207" s="8"/>
      <c r="T207" s="10"/>
      <c r="U207" s="8"/>
      <c r="V207" s="8"/>
      <c r="W207" s="8"/>
      <c r="X207" s="8"/>
      <c r="Y207" s="10"/>
    </row>
    <row r="208" spans="1:25">
      <c r="A208" s="8"/>
      <c r="B208" s="8"/>
      <c r="C208" s="8"/>
      <c r="D208" s="8"/>
      <c r="E208" s="8"/>
      <c r="F208" s="8"/>
      <c r="G208" s="8"/>
      <c r="H208" s="8"/>
      <c r="I208" s="10"/>
      <c r="J208" s="10"/>
      <c r="K208" s="8"/>
      <c r="L208" s="8"/>
      <c r="M208" s="8"/>
      <c r="N208" s="8"/>
      <c r="O208" s="8"/>
      <c r="P208" s="8"/>
      <c r="Q208" s="8"/>
      <c r="R208" s="8"/>
      <c r="S208" s="8"/>
      <c r="T208" s="10"/>
      <c r="U208" s="8"/>
      <c r="V208" s="8"/>
      <c r="W208" s="8"/>
      <c r="X208" s="8"/>
      <c r="Y208" s="10"/>
    </row>
    <row r="209" spans="1:25">
      <c r="A209" s="8"/>
      <c r="B209" s="8"/>
      <c r="C209" s="8"/>
      <c r="D209" s="8"/>
      <c r="E209" s="8"/>
      <c r="F209" s="8"/>
      <c r="G209" s="8"/>
      <c r="H209" s="8"/>
      <c r="I209" s="10"/>
      <c r="J209" s="10"/>
      <c r="K209" s="8"/>
      <c r="L209" s="8"/>
      <c r="M209" s="8"/>
      <c r="N209" s="8"/>
      <c r="O209" s="8"/>
      <c r="P209" s="8"/>
      <c r="Q209" s="8"/>
      <c r="R209" s="8"/>
      <c r="S209" s="8"/>
      <c r="T209" s="10"/>
      <c r="U209" s="8"/>
      <c r="V209" s="8"/>
      <c r="W209" s="8"/>
      <c r="X209" s="8"/>
      <c r="Y209" s="10"/>
    </row>
    <row r="210" spans="1:25">
      <c r="A210" s="8"/>
      <c r="B210" s="8"/>
      <c r="C210" s="8"/>
      <c r="D210" s="8"/>
      <c r="E210" s="8"/>
      <c r="F210" s="8"/>
      <c r="G210" s="8"/>
      <c r="H210" s="8"/>
      <c r="I210" s="10"/>
      <c r="J210" s="10"/>
      <c r="K210" s="8"/>
      <c r="L210" s="8"/>
      <c r="M210" s="8"/>
      <c r="N210" s="8"/>
      <c r="O210" s="8"/>
      <c r="P210" s="8"/>
      <c r="Q210" s="8"/>
      <c r="R210" s="8"/>
      <c r="S210" s="8"/>
      <c r="T210" s="10"/>
      <c r="U210" s="8"/>
      <c r="V210" s="8"/>
      <c r="W210" s="8"/>
      <c r="X210" s="8"/>
      <c r="Y210" s="10"/>
    </row>
    <row r="211" spans="1:25">
      <c r="A211" s="8"/>
      <c r="B211" s="8"/>
      <c r="C211" s="8"/>
      <c r="D211" s="8"/>
      <c r="E211" s="8"/>
      <c r="F211" s="8"/>
      <c r="G211" s="8"/>
      <c r="H211" s="8"/>
      <c r="I211" s="10"/>
      <c r="J211" s="10"/>
      <c r="K211" s="8"/>
      <c r="L211" s="8"/>
      <c r="M211" s="8"/>
      <c r="N211" s="8"/>
      <c r="O211" s="8"/>
      <c r="P211" s="8"/>
      <c r="Q211" s="8"/>
      <c r="R211" s="8"/>
      <c r="S211" s="8"/>
      <c r="T211" s="10"/>
      <c r="U211" s="8"/>
      <c r="V211" s="8"/>
      <c r="W211" s="8"/>
      <c r="X211" s="8"/>
      <c r="Y211" s="10"/>
    </row>
    <row r="212" spans="1:25">
      <c r="A212" s="8"/>
      <c r="B212" s="8"/>
      <c r="C212" s="8"/>
      <c r="D212" s="8"/>
      <c r="E212" s="8"/>
      <c r="F212" s="8"/>
      <c r="G212" s="8"/>
      <c r="H212" s="8"/>
      <c r="I212" s="10"/>
      <c r="J212" s="10"/>
      <c r="K212" s="8"/>
      <c r="L212" s="8"/>
      <c r="M212" s="8"/>
      <c r="N212" s="8"/>
      <c r="O212" s="8"/>
      <c r="P212" s="8"/>
      <c r="Q212" s="8"/>
      <c r="R212" s="8"/>
      <c r="S212" s="8"/>
      <c r="T212" s="10"/>
      <c r="U212" s="8"/>
      <c r="V212" s="8"/>
      <c r="W212" s="8"/>
      <c r="X212" s="8"/>
      <c r="Y212" s="10"/>
    </row>
    <row r="213" spans="1:25">
      <c r="A213" s="8"/>
      <c r="B213" s="8"/>
      <c r="C213" s="8"/>
      <c r="D213" s="8"/>
      <c r="E213" s="8"/>
      <c r="F213" s="8"/>
      <c r="G213" s="8"/>
      <c r="H213" s="8"/>
      <c r="I213" s="10"/>
      <c r="J213" s="10"/>
      <c r="K213" s="8"/>
      <c r="L213" s="8"/>
      <c r="M213" s="8"/>
      <c r="N213" s="8"/>
      <c r="O213" s="8"/>
      <c r="P213" s="8"/>
      <c r="Q213" s="8"/>
      <c r="R213" s="8"/>
      <c r="S213" s="8"/>
      <c r="T213" s="10"/>
      <c r="U213" s="8"/>
      <c r="V213" s="8"/>
      <c r="W213" s="8"/>
      <c r="X213" s="8"/>
      <c r="Y213" s="10"/>
    </row>
    <row r="214" spans="1:25">
      <c r="A214" s="8"/>
      <c r="B214" s="8"/>
      <c r="C214" s="8"/>
      <c r="D214" s="8"/>
      <c r="E214" s="8"/>
      <c r="F214" s="8"/>
      <c r="G214" s="8"/>
      <c r="H214" s="8"/>
      <c r="I214" s="10"/>
      <c r="J214" s="10"/>
      <c r="K214" s="8"/>
      <c r="L214" s="8"/>
      <c r="M214" s="8"/>
      <c r="N214" s="8"/>
      <c r="O214" s="8"/>
      <c r="P214" s="8"/>
      <c r="Q214" s="8"/>
      <c r="R214" s="8"/>
      <c r="S214" s="8"/>
      <c r="T214" s="10"/>
      <c r="U214" s="8"/>
      <c r="V214" s="8"/>
      <c r="W214" s="8"/>
      <c r="X214" s="8"/>
      <c r="Y214" s="10"/>
    </row>
    <row r="215" spans="1:25">
      <c r="A215" s="8"/>
      <c r="B215" s="8"/>
      <c r="C215" s="8"/>
      <c r="D215" s="8"/>
      <c r="E215" s="8"/>
      <c r="F215" s="8"/>
      <c r="G215" s="8"/>
      <c r="H215" s="8"/>
      <c r="I215" s="10"/>
      <c r="J215" s="10"/>
      <c r="K215" s="8"/>
      <c r="L215" s="8"/>
      <c r="M215" s="8"/>
      <c r="N215" s="8"/>
      <c r="O215" s="8"/>
      <c r="P215" s="8"/>
      <c r="Q215" s="8"/>
      <c r="R215" s="8"/>
      <c r="S215" s="8"/>
      <c r="T215" s="10"/>
      <c r="U215" s="8"/>
      <c r="V215" s="8"/>
      <c r="W215" s="8"/>
      <c r="X215" s="8"/>
      <c r="Y215" s="10"/>
    </row>
    <row r="216" spans="1:25">
      <c r="A216" s="8"/>
      <c r="B216" s="8"/>
      <c r="C216" s="8"/>
      <c r="D216" s="8"/>
      <c r="E216" s="8"/>
      <c r="F216" s="8"/>
      <c r="G216" s="8"/>
      <c r="H216" s="8"/>
      <c r="I216" s="10"/>
      <c r="J216" s="10"/>
      <c r="K216" s="8"/>
      <c r="L216" s="8"/>
      <c r="M216" s="8"/>
      <c r="N216" s="8"/>
      <c r="O216" s="8"/>
      <c r="P216" s="8"/>
      <c r="Q216" s="8"/>
      <c r="R216" s="8"/>
      <c r="S216" s="8"/>
      <c r="T216" s="10"/>
      <c r="U216" s="8"/>
      <c r="V216" s="8"/>
      <c r="W216" s="8"/>
      <c r="X216" s="8"/>
      <c r="Y216" s="10"/>
    </row>
    <row r="217" spans="1:25">
      <c r="A217" s="8"/>
      <c r="B217" s="8"/>
      <c r="C217" s="8"/>
      <c r="D217" s="8"/>
      <c r="E217" s="8"/>
      <c r="F217" s="8"/>
      <c r="G217" s="8"/>
      <c r="H217" s="8"/>
      <c r="I217" s="10"/>
      <c r="J217" s="10"/>
      <c r="K217" s="8"/>
      <c r="L217" s="8"/>
      <c r="M217" s="8"/>
      <c r="N217" s="8"/>
      <c r="O217" s="8"/>
      <c r="P217" s="8"/>
      <c r="Q217" s="8"/>
      <c r="R217" s="8"/>
      <c r="S217" s="8"/>
      <c r="T217" s="10"/>
      <c r="U217" s="8"/>
      <c r="V217" s="8"/>
      <c r="W217" s="8"/>
      <c r="X217" s="8"/>
      <c r="Y217" s="10"/>
    </row>
    <row r="218" spans="1:25">
      <c r="A218" s="8"/>
      <c r="B218" s="8"/>
      <c r="C218" s="8"/>
      <c r="D218" s="8"/>
      <c r="E218" s="8"/>
      <c r="F218" s="8"/>
      <c r="G218" s="8"/>
      <c r="H218" s="8"/>
      <c r="I218" s="10"/>
      <c r="J218" s="10"/>
      <c r="K218" s="8"/>
      <c r="L218" s="8"/>
      <c r="M218" s="8"/>
      <c r="N218" s="8"/>
      <c r="O218" s="8"/>
      <c r="P218" s="8"/>
      <c r="Q218" s="8"/>
      <c r="R218" s="8"/>
      <c r="S218" s="8"/>
      <c r="T218" s="10"/>
      <c r="U218" s="8"/>
      <c r="V218" s="8"/>
      <c r="W218" s="8"/>
      <c r="X218" s="8"/>
      <c r="Y218" s="10"/>
    </row>
    <row r="219" spans="1:25">
      <c r="A219" s="8"/>
      <c r="B219" s="8"/>
      <c r="C219" s="8"/>
      <c r="D219" s="8"/>
      <c r="E219" s="8"/>
      <c r="F219" s="8"/>
      <c r="G219" s="8"/>
      <c r="H219" s="8"/>
      <c r="I219" s="10"/>
      <c r="J219" s="10"/>
      <c r="K219" s="8"/>
      <c r="L219" s="8"/>
      <c r="M219" s="8"/>
      <c r="N219" s="8"/>
      <c r="O219" s="8"/>
      <c r="P219" s="8"/>
      <c r="Q219" s="8"/>
      <c r="R219" s="8"/>
      <c r="S219" s="8"/>
      <c r="T219" s="10"/>
      <c r="U219" s="8"/>
      <c r="V219" s="8"/>
      <c r="W219" s="8"/>
      <c r="X219" s="8"/>
      <c r="Y219" s="10"/>
    </row>
    <row r="220" spans="1:25">
      <c r="A220" s="8"/>
      <c r="B220" s="8"/>
      <c r="C220" s="8"/>
      <c r="D220" s="8"/>
      <c r="E220" s="8"/>
      <c r="F220" s="8"/>
      <c r="G220" s="8"/>
      <c r="H220" s="8"/>
      <c r="I220" s="10"/>
      <c r="J220" s="10"/>
      <c r="K220" s="8"/>
      <c r="L220" s="8"/>
      <c r="M220" s="8"/>
      <c r="N220" s="8"/>
      <c r="O220" s="8"/>
      <c r="P220" s="8"/>
      <c r="Q220" s="8"/>
      <c r="R220" s="8"/>
      <c r="S220" s="8"/>
      <c r="T220" s="10"/>
      <c r="U220" s="8"/>
      <c r="V220" s="8"/>
      <c r="W220" s="8"/>
      <c r="X220" s="8"/>
      <c r="Y220" s="10"/>
    </row>
    <row r="221" spans="1:25">
      <c r="A221" s="8"/>
      <c r="B221" s="8"/>
      <c r="C221" s="8"/>
      <c r="D221" s="8"/>
      <c r="E221" s="8"/>
      <c r="F221" s="8"/>
      <c r="G221" s="8"/>
      <c r="H221" s="8"/>
      <c r="I221" s="10"/>
      <c r="J221" s="10"/>
      <c r="K221" s="8"/>
      <c r="L221" s="8"/>
      <c r="M221" s="8"/>
      <c r="N221" s="8"/>
      <c r="O221" s="8"/>
      <c r="P221" s="8"/>
      <c r="Q221" s="8"/>
      <c r="R221" s="8"/>
      <c r="S221" s="8"/>
      <c r="T221" s="10"/>
      <c r="U221" s="8"/>
      <c r="V221" s="8"/>
      <c r="W221" s="8"/>
      <c r="X221" s="8"/>
      <c r="Y221" s="10"/>
    </row>
    <row r="222" spans="1:25">
      <c r="A222" s="8"/>
      <c r="B222" s="8"/>
      <c r="C222" s="8"/>
      <c r="D222" s="8"/>
      <c r="E222" s="8"/>
      <c r="F222" s="8"/>
      <c r="G222" s="8"/>
      <c r="H222" s="8"/>
      <c r="I222" s="10"/>
      <c r="J222" s="10"/>
      <c r="K222" s="8"/>
      <c r="L222" s="8"/>
      <c r="M222" s="8"/>
      <c r="N222" s="8"/>
      <c r="O222" s="8"/>
      <c r="P222" s="8"/>
      <c r="Q222" s="8"/>
      <c r="R222" s="8"/>
      <c r="S222" s="8"/>
      <c r="T222" s="10"/>
      <c r="U222" s="8"/>
      <c r="V222" s="8"/>
      <c r="W222" s="8"/>
      <c r="X222" s="8"/>
      <c r="Y222" s="10"/>
    </row>
    <row r="223" spans="1:25">
      <c r="A223" s="8"/>
      <c r="B223" s="8"/>
      <c r="C223" s="8"/>
      <c r="D223" s="8"/>
      <c r="E223" s="8"/>
      <c r="F223" s="8"/>
      <c r="G223" s="8"/>
      <c r="H223" s="8"/>
      <c r="I223" s="10"/>
      <c r="J223" s="10"/>
      <c r="K223" s="8"/>
      <c r="L223" s="8"/>
      <c r="M223" s="8"/>
      <c r="N223" s="8"/>
      <c r="O223" s="8"/>
      <c r="P223" s="8"/>
      <c r="Q223" s="8"/>
      <c r="R223" s="8"/>
      <c r="S223" s="8"/>
      <c r="T223" s="10"/>
      <c r="U223" s="8"/>
      <c r="V223" s="8"/>
      <c r="W223" s="8"/>
      <c r="X223" s="8"/>
      <c r="Y223" s="10"/>
    </row>
    <row r="224" spans="1:25">
      <c r="A224" s="8"/>
      <c r="B224" s="8"/>
      <c r="C224" s="8"/>
      <c r="D224" s="8"/>
      <c r="E224" s="8"/>
      <c r="F224" s="8"/>
      <c r="G224" s="8"/>
      <c r="H224" s="8"/>
      <c r="I224" s="10"/>
      <c r="J224" s="10"/>
      <c r="K224" s="8"/>
      <c r="L224" s="8"/>
      <c r="M224" s="8"/>
      <c r="N224" s="8"/>
      <c r="O224" s="8"/>
      <c r="P224" s="8"/>
      <c r="Q224" s="8"/>
      <c r="R224" s="8"/>
      <c r="S224" s="8"/>
      <c r="T224" s="10"/>
      <c r="U224" s="8"/>
      <c r="V224" s="8"/>
      <c r="W224" s="8"/>
      <c r="X224" s="8"/>
      <c r="Y224" s="10"/>
    </row>
    <row r="225" spans="1:25">
      <c r="A225" s="8"/>
      <c r="B225" s="8"/>
      <c r="C225" s="8"/>
      <c r="D225" s="8"/>
      <c r="E225" s="8"/>
      <c r="F225" s="8"/>
      <c r="G225" s="8"/>
      <c r="H225" s="8"/>
      <c r="I225" s="10"/>
      <c r="J225" s="10"/>
      <c r="K225" s="8"/>
      <c r="L225" s="8"/>
      <c r="M225" s="8"/>
      <c r="N225" s="8"/>
      <c r="O225" s="8"/>
      <c r="P225" s="8"/>
      <c r="Q225" s="8"/>
      <c r="R225" s="8"/>
      <c r="S225" s="8"/>
      <c r="T225" s="10"/>
      <c r="U225" s="8"/>
      <c r="V225" s="8"/>
      <c r="W225" s="8"/>
      <c r="X225" s="8"/>
      <c r="Y225" s="10"/>
    </row>
    <row r="226" spans="1:25">
      <c r="A226" s="8"/>
      <c r="B226" s="8"/>
      <c r="C226" s="8"/>
      <c r="D226" s="8"/>
      <c r="E226" s="8"/>
      <c r="F226" s="8"/>
      <c r="G226" s="8"/>
      <c r="H226" s="8"/>
      <c r="I226" s="10"/>
      <c r="J226" s="10"/>
      <c r="K226" s="8"/>
      <c r="L226" s="8"/>
      <c r="M226" s="8"/>
      <c r="N226" s="8"/>
      <c r="O226" s="8"/>
      <c r="P226" s="8"/>
      <c r="Q226" s="8"/>
      <c r="R226" s="8"/>
      <c r="S226" s="8"/>
      <c r="T226" s="10"/>
      <c r="U226" s="8"/>
      <c r="V226" s="8"/>
      <c r="W226" s="8"/>
      <c r="X226" s="8"/>
      <c r="Y226" s="10"/>
    </row>
    <row r="227" spans="1:25">
      <c r="A227" s="8"/>
      <c r="B227" s="8"/>
      <c r="C227" s="8"/>
      <c r="D227" s="8"/>
      <c r="E227" s="8"/>
      <c r="F227" s="8"/>
      <c r="G227" s="8"/>
      <c r="H227" s="8"/>
      <c r="I227" s="10"/>
      <c r="J227" s="10"/>
      <c r="K227" s="8"/>
      <c r="L227" s="8"/>
      <c r="M227" s="8"/>
      <c r="N227" s="8"/>
      <c r="O227" s="8"/>
      <c r="P227" s="8"/>
      <c r="Q227" s="8"/>
      <c r="R227" s="8"/>
      <c r="S227" s="8"/>
      <c r="T227" s="10"/>
      <c r="U227" s="8"/>
      <c r="V227" s="8"/>
      <c r="W227" s="8"/>
      <c r="X227" s="8"/>
      <c r="Y227" s="10"/>
    </row>
    <row r="228" spans="1:25">
      <c r="A228" s="8"/>
      <c r="B228" s="8"/>
      <c r="C228" s="8"/>
      <c r="D228" s="8"/>
      <c r="E228" s="8"/>
      <c r="F228" s="8"/>
      <c r="G228" s="8"/>
      <c r="H228" s="8"/>
      <c r="I228" s="10"/>
      <c r="J228" s="10"/>
      <c r="K228" s="8"/>
      <c r="L228" s="8"/>
      <c r="M228" s="8"/>
      <c r="N228" s="8"/>
      <c r="O228" s="8"/>
      <c r="P228" s="8"/>
      <c r="Q228" s="8"/>
      <c r="R228" s="8"/>
      <c r="S228" s="8"/>
      <c r="T228" s="10"/>
      <c r="U228" s="8"/>
      <c r="V228" s="8"/>
      <c r="W228" s="8"/>
      <c r="X228" s="8"/>
      <c r="Y228" s="10"/>
    </row>
    <row r="229" spans="1:25">
      <c r="A229" s="8"/>
      <c r="B229" s="8"/>
      <c r="C229" s="8"/>
      <c r="D229" s="8"/>
      <c r="E229" s="8"/>
      <c r="F229" s="8"/>
      <c r="G229" s="8"/>
      <c r="H229" s="8"/>
      <c r="I229" s="10"/>
      <c r="J229" s="10"/>
      <c r="K229" s="8"/>
      <c r="L229" s="8"/>
      <c r="M229" s="8"/>
      <c r="N229" s="8"/>
      <c r="O229" s="8"/>
      <c r="P229" s="8"/>
      <c r="Q229" s="8"/>
      <c r="R229" s="8"/>
      <c r="S229" s="8"/>
      <c r="T229" s="10"/>
      <c r="U229" s="8"/>
      <c r="V229" s="8"/>
      <c r="W229" s="8"/>
      <c r="X229" s="8"/>
      <c r="Y229" s="10"/>
    </row>
    <row r="230" spans="1:25">
      <c r="A230" s="8"/>
      <c r="B230" s="8"/>
      <c r="C230" s="8"/>
      <c r="D230" s="8"/>
      <c r="E230" s="8"/>
      <c r="F230" s="8"/>
      <c r="G230" s="8"/>
      <c r="H230" s="8"/>
      <c r="I230" s="10"/>
      <c r="J230" s="10"/>
      <c r="K230" s="8"/>
      <c r="L230" s="8"/>
      <c r="M230" s="8"/>
      <c r="N230" s="8"/>
      <c r="O230" s="8"/>
      <c r="P230" s="8"/>
      <c r="Q230" s="8"/>
      <c r="R230" s="8"/>
      <c r="S230" s="8"/>
      <c r="T230" s="10"/>
      <c r="U230" s="8"/>
      <c r="V230" s="8"/>
      <c r="W230" s="8"/>
      <c r="X230" s="8"/>
      <c r="Y230" s="10"/>
    </row>
    <row r="231" spans="1:25">
      <c r="A231" s="8"/>
      <c r="B231" s="8"/>
      <c r="C231" s="8"/>
      <c r="D231" s="8"/>
      <c r="E231" s="8"/>
      <c r="F231" s="8"/>
      <c r="G231" s="8"/>
      <c r="H231" s="8"/>
      <c r="I231" s="10"/>
      <c r="J231" s="10"/>
      <c r="K231" s="8"/>
      <c r="L231" s="8"/>
      <c r="M231" s="8"/>
      <c r="N231" s="8"/>
      <c r="O231" s="8"/>
      <c r="P231" s="8"/>
      <c r="Q231" s="8"/>
      <c r="R231" s="8"/>
      <c r="S231" s="8"/>
      <c r="T231" s="10"/>
      <c r="U231" s="8"/>
      <c r="V231" s="8"/>
      <c r="W231" s="8"/>
      <c r="X231" s="8"/>
      <c r="Y231" s="10"/>
    </row>
    <row r="232" spans="1:25">
      <c r="A232" s="8"/>
      <c r="B232" s="8"/>
      <c r="C232" s="8"/>
      <c r="D232" s="8"/>
      <c r="E232" s="8"/>
      <c r="F232" s="8"/>
      <c r="G232" s="8"/>
      <c r="H232" s="8"/>
      <c r="I232" s="10"/>
      <c r="J232" s="10"/>
      <c r="K232" s="8"/>
      <c r="L232" s="8"/>
      <c r="M232" s="8"/>
      <c r="N232" s="8"/>
      <c r="O232" s="8"/>
      <c r="P232" s="8"/>
      <c r="Q232" s="8"/>
      <c r="R232" s="8"/>
      <c r="S232" s="8"/>
      <c r="T232" s="10"/>
      <c r="U232" s="8"/>
      <c r="V232" s="8"/>
      <c r="W232" s="8"/>
      <c r="X232" s="8"/>
      <c r="Y232" s="10"/>
    </row>
    <row r="233" spans="1:25">
      <c r="A233" s="8"/>
      <c r="B233" s="8"/>
      <c r="C233" s="8"/>
      <c r="D233" s="8"/>
      <c r="E233" s="8"/>
      <c r="F233" s="8"/>
      <c r="G233" s="8"/>
      <c r="H233" s="8"/>
      <c r="I233" s="10"/>
      <c r="J233" s="10"/>
      <c r="K233" s="8"/>
      <c r="L233" s="8"/>
      <c r="M233" s="8"/>
      <c r="N233" s="8"/>
      <c r="O233" s="8"/>
      <c r="P233" s="8"/>
      <c r="Q233" s="8"/>
      <c r="R233" s="8"/>
      <c r="S233" s="8"/>
      <c r="T233" s="10"/>
      <c r="U233" s="8"/>
      <c r="V233" s="8"/>
      <c r="W233" s="8"/>
      <c r="X233" s="8"/>
      <c r="Y233" s="10"/>
    </row>
    <row r="234" spans="1:25">
      <c r="A234" s="8"/>
      <c r="B234" s="8"/>
      <c r="C234" s="8"/>
      <c r="D234" s="8"/>
      <c r="E234" s="8"/>
      <c r="F234" s="8"/>
      <c r="G234" s="8"/>
      <c r="H234" s="8"/>
      <c r="I234" s="10"/>
      <c r="J234" s="10"/>
      <c r="K234" s="8"/>
      <c r="L234" s="8"/>
      <c r="M234" s="8"/>
      <c r="N234" s="8"/>
      <c r="O234" s="8"/>
      <c r="P234" s="8"/>
      <c r="Q234" s="8"/>
      <c r="R234" s="8"/>
      <c r="S234" s="8"/>
      <c r="T234" s="10"/>
      <c r="U234" s="8"/>
      <c r="V234" s="8"/>
      <c r="W234" s="8"/>
      <c r="X234" s="8"/>
      <c r="Y234" s="10"/>
    </row>
    <row r="235" spans="1:25">
      <c r="A235" s="8"/>
      <c r="B235" s="8"/>
      <c r="C235" s="8"/>
      <c r="D235" s="8"/>
      <c r="E235" s="8"/>
      <c r="F235" s="8"/>
      <c r="G235" s="8"/>
      <c r="H235" s="8"/>
      <c r="I235" s="10"/>
      <c r="J235" s="10"/>
      <c r="K235" s="8"/>
      <c r="L235" s="8"/>
      <c r="M235" s="8"/>
      <c r="N235" s="8"/>
      <c r="O235" s="8"/>
      <c r="P235" s="8"/>
      <c r="Q235" s="8"/>
      <c r="R235" s="8"/>
      <c r="S235" s="8"/>
      <c r="T235" s="10"/>
      <c r="U235" s="8"/>
      <c r="V235" s="8"/>
      <c r="W235" s="8"/>
      <c r="X235" s="8"/>
      <c r="Y235" s="10"/>
    </row>
    <row r="236" spans="1:25">
      <c r="A236" s="8"/>
      <c r="B236" s="8"/>
      <c r="C236" s="8"/>
      <c r="D236" s="8"/>
      <c r="E236" s="8"/>
      <c r="F236" s="8"/>
      <c r="G236" s="8"/>
      <c r="H236" s="8"/>
      <c r="I236" s="10"/>
      <c r="J236" s="10"/>
      <c r="K236" s="8"/>
      <c r="L236" s="8"/>
      <c r="M236" s="8"/>
      <c r="N236" s="8"/>
      <c r="O236" s="8"/>
      <c r="P236" s="8"/>
      <c r="Q236" s="8"/>
      <c r="R236" s="8"/>
      <c r="S236" s="8"/>
      <c r="T236" s="10"/>
      <c r="U236" s="8"/>
      <c r="V236" s="8"/>
      <c r="W236" s="8"/>
      <c r="X236" s="8"/>
      <c r="Y236" s="10"/>
    </row>
    <row r="237" spans="1:25">
      <c r="A237" s="8"/>
      <c r="B237" s="8"/>
      <c r="C237" s="8"/>
      <c r="D237" s="8"/>
      <c r="E237" s="8"/>
      <c r="F237" s="8"/>
      <c r="G237" s="8"/>
      <c r="H237" s="8"/>
      <c r="I237" s="10"/>
      <c r="J237" s="10"/>
      <c r="K237" s="8"/>
      <c r="L237" s="8"/>
      <c r="M237" s="8"/>
      <c r="N237" s="8"/>
      <c r="O237" s="8"/>
      <c r="P237" s="8"/>
      <c r="Q237" s="8"/>
      <c r="R237" s="8"/>
      <c r="S237" s="8"/>
      <c r="T237" s="10"/>
      <c r="U237" s="8"/>
      <c r="V237" s="8"/>
      <c r="W237" s="8"/>
      <c r="X237" s="8"/>
      <c r="Y237" s="10"/>
    </row>
    <row r="238" spans="1:25">
      <c r="A238" s="8"/>
      <c r="B238" s="8"/>
      <c r="C238" s="8"/>
      <c r="D238" s="8"/>
      <c r="E238" s="8"/>
      <c r="F238" s="8"/>
      <c r="G238" s="8"/>
      <c r="H238" s="8"/>
      <c r="I238" s="10"/>
      <c r="J238" s="10"/>
      <c r="K238" s="8"/>
      <c r="L238" s="8"/>
      <c r="M238" s="8"/>
      <c r="N238" s="8"/>
      <c r="O238" s="8"/>
      <c r="P238" s="8"/>
      <c r="Q238" s="8"/>
      <c r="R238" s="8"/>
      <c r="S238" s="8"/>
      <c r="T238" s="10"/>
      <c r="U238" s="8"/>
      <c r="V238" s="8"/>
      <c r="W238" s="8"/>
      <c r="X238" s="8"/>
      <c r="Y238" s="10"/>
    </row>
    <row r="239" spans="1:25">
      <c r="A239" s="8"/>
      <c r="B239" s="8"/>
      <c r="C239" s="8"/>
      <c r="D239" s="8"/>
      <c r="E239" s="8"/>
      <c r="F239" s="8"/>
      <c r="G239" s="8"/>
      <c r="H239" s="8"/>
      <c r="I239" s="10"/>
      <c r="J239" s="10"/>
      <c r="K239" s="8"/>
      <c r="L239" s="8"/>
      <c r="M239" s="8"/>
      <c r="N239" s="8"/>
      <c r="O239" s="8"/>
      <c r="P239" s="8"/>
      <c r="Q239" s="8"/>
      <c r="R239" s="8"/>
      <c r="S239" s="8"/>
      <c r="T239" s="10"/>
      <c r="U239" s="8"/>
      <c r="V239" s="8"/>
      <c r="W239" s="8"/>
      <c r="X239" s="8"/>
      <c r="Y239" s="10"/>
    </row>
    <row r="240" spans="1:25">
      <c r="A240" s="8"/>
      <c r="B240" s="8"/>
      <c r="C240" s="8"/>
      <c r="D240" s="8"/>
      <c r="E240" s="8"/>
      <c r="F240" s="8"/>
      <c r="G240" s="8"/>
      <c r="H240" s="8"/>
      <c r="I240" s="10"/>
      <c r="J240" s="10"/>
      <c r="K240" s="8"/>
      <c r="L240" s="8"/>
      <c r="M240" s="8"/>
      <c r="N240" s="8"/>
      <c r="O240" s="8"/>
      <c r="P240" s="8"/>
      <c r="Q240" s="8"/>
      <c r="R240" s="8"/>
      <c r="S240" s="8"/>
      <c r="T240" s="10"/>
      <c r="U240" s="8"/>
      <c r="V240" s="8"/>
      <c r="W240" s="8"/>
      <c r="X240" s="8"/>
      <c r="Y240" s="10"/>
    </row>
    <row r="241" spans="1:25">
      <c r="A241" s="8"/>
      <c r="B241" s="8"/>
      <c r="C241" s="8"/>
      <c r="D241" s="8"/>
      <c r="E241" s="8"/>
      <c r="F241" s="8"/>
      <c r="G241" s="8"/>
      <c r="H241" s="8"/>
      <c r="I241" s="10"/>
      <c r="J241" s="10"/>
      <c r="K241" s="8"/>
      <c r="L241" s="8"/>
      <c r="M241" s="8"/>
      <c r="N241" s="8"/>
      <c r="O241" s="8"/>
      <c r="P241" s="8"/>
      <c r="Q241" s="8"/>
      <c r="R241" s="8"/>
      <c r="S241" s="8"/>
      <c r="T241" s="10"/>
      <c r="U241" s="8"/>
      <c r="V241" s="8"/>
      <c r="W241" s="8"/>
      <c r="X241" s="8"/>
      <c r="Y241" s="10"/>
    </row>
    <row r="242" spans="1:25">
      <c r="A242" s="8"/>
      <c r="B242" s="8"/>
      <c r="C242" s="8"/>
      <c r="D242" s="8"/>
      <c r="E242" s="8"/>
      <c r="F242" s="8"/>
      <c r="G242" s="8"/>
      <c r="H242" s="8"/>
      <c r="I242" s="10"/>
      <c r="J242" s="10"/>
      <c r="K242" s="8"/>
      <c r="L242" s="8"/>
      <c r="M242" s="8"/>
      <c r="N242" s="8"/>
      <c r="O242" s="8"/>
      <c r="P242" s="8"/>
      <c r="Q242" s="8"/>
      <c r="R242" s="8"/>
      <c r="S242" s="8"/>
      <c r="T242" s="10"/>
      <c r="U242" s="8"/>
      <c r="V242" s="8"/>
      <c r="W242" s="8"/>
      <c r="X242" s="8"/>
      <c r="Y242" s="10"/>
    </row>
    <row r="243" spans="1:25">
      <c r="A243" s="8"/>
      <c r="B243" s="8"/>
      <c r="C243" s="8"/>
      <c r="D243" s="8"/>
      <c r="E243" s="8"/>
      <c r="F243" s="8"/>
      <c r="G243" s="8"/>
      <c r="H243" s="8"/>
      <c r="I243" s="10"/>
      <c r="J243" s="10"/>
      <c r="K243" s="8"/>
      <c r="L243" s="8"/>
      <c r="M243" s="8"/>
      <c r="N243" s="8"/>
      <c r="O243" s="8"/>
      <c r="P243" s="8"/>
      <c r="Q243" s="8"/>
      <c r="R243" s="8"/>
      <c r="S243" s="8"/>
      <c r="T243" s="10"/>
      <c r="U243" s="8"/>
      <c r="V243" s="8"/>
      <c r="W243" s="8"/>
      <c r="X243" s="8"/>
      <c r="Y243" s="10"/>
    </row>
    <row r="244" spans="1:25">
      <c r="A244" s="8"/>
      <c r="B244" s="8"/>
      <c r="C244" s="8"/>
      <c r="D244" s="8"/>
      <c r="E244" s="8"/>
      <c r="F244" s="8"/>
      <c r="G244" s="8"/>
      <c r="H244" s="8"/>
      <c r="I244" s="10"/>
      <c r="J244" s="10"/>
      <c r="K244" s="8"/>
      <c r="L244" s="8"/>
      <c r="M244" s="8"/>
      <c r="N244" s="8"/>
      <c r="O244" s="8"/>
      <c r="P244" s="8"/>
      <c r="Q244" s="8"/>
      <c r="R244" s="8"/>
      <c r="S244" s="8"/>
      <c r="T244" s="10"/>
      <c r="U244" s="8"/>
      <c r="V244" s="8"/>
      <c r="W244" s="8"/>
      <c r="X244" s="8"/>
      <c r="Y244" s="10"/>
    </row>
    <row r="245" spans="1:25">
      <c r="A245" s="8"/>
      <c r="B245" s="8"/>
      <c r="C245" s="8"/>
      <c r="D245" s="8"/>
      <c r="E245" s="8"/>
      <c r="F245" s="8"/>
      <c r="G245" s="8"/>
      <c r="H245" s="8"/>
      <c r="I245" s="10"/>
      <c r="J245" s="10"/>
      <c r="K245" s="8"/>
      <c r="L245" s="8"/>
      <c r="M245" s="8"/>
      <c r="N245" s="8"/>
      <c r="O245" s="8"/>
      <c r="P245" s="8"/>
      <c r="Q245" s="8"/>
      <c r="R245" s="8"/>
      <c r="S245" s="8"/>
      <c r="T245" s="10"/>
      <c r="U245" s="8"/>
      <c r="V245" s="8"/>
      <c r="W245" s="8"/>
      <c r="X245" s="8"/>
      <c r="Y245" s="10"/>
    </row>
    <row r="246" spans="1:25">
      <c r="A246" s="8"/>
      <c r="B246" s="8"/>
      <c r="C246" s="8"/>
      <c r="D246" s="8"/>
      <c r="E246" s="8"/>
      <c r="F246" s="8"/>
      <c r="G246" s="8"/>
      <c r="H246" s="8"/>
      <c r="I246" s="10"/>
      <c r="J246" s="10"/>
      <c r="K246" s="8"/>
      <c r="L246" s="8"/>
      <c r="M246" s="8"/>
      <c r="N246" s="8"/>
      <c r="O246" s="8"/>
      <c r="P246" s="8"/>
      <c r="Q246" s="8"/>
      <c r="R246" s="8"/>
      <c r="S246" s="8"/>
      <c r="T246" s="10"/>
      <c r="U246" s="8"/>
      <c r="V246" s="8"/>
      <c r="W246" s="8"/>
      <c r="X246" s="8"/>
      <c r="Y246" s="10"/>
    </row>
    <row r="247" spans="1:25">
      <c r="A247" s="8"/>
      <c r="B247" s="8"/>
      <c r="C247" s="8"/>
      <c r="D247" s="8"/>
      <c r="E247" s="8"/>
      <c r="F247" s="8"/>
      <c r="G247" s="8"/>
      <c r="H247" s="8"/>
      <c r="I247" s="10"/>
      <c r="J247" s="10"/>
      <c r="K247" s="8"/>
      <c r="L247" s="8"/>
      <c r="M247" s="8"/>
      <c r="N247" s="8"/>
      <c r="O247" s="8"/>
      <c r="P247" s="8"/>
      <c r="Q247" s="8"/>
      <c r="R247" s="8"/>
      <c r="S247" s="8"/>
      <c r="T247" s="10"/>
      <c r="U247" s="8"/>
      <c r="V247" s="8"/>
      <c r="W247" s="8"/>
      <c r="X247" s="8"/>
      <c r="Y247" s="10"/>
    </row>
    <row r="248" spans="1:25">
      <c r="A248" s="8"/>
      <c r="B248" s="8"/>
      <c r="C248" s="8"/>
      <c r="D248" s="8"/>
      <c r="E248" s="8"/>
      <c r="F248" s="8"/>
      <c r="G248" s="8"/>
      <c r="H248" s="8"/>
      <c r="I248" s="10"/>
      <c r="J248" s="10"/>
      <c r="K248" s="8"/>
      <c r="L248" s="8"/>
      <c r="M248" s="8"/>
      <c r="N248" s="8"/>
      <c r="O248" s="8"/>
      <c r="P248" s="8"/>
      <c r="Q248" s="8"/>
      <c r="R248" s="8"/>
      <c r="S248" s="8"/>
      <c r="T248" s="10"/>
      <c r="U248" s="8"/>
      <c r="V248" s="8"/>
      <c r="W248" s="8"/>
      <c r="X248" s="8"/>
      <c r="Y248" s="10"/>
    </row>
    <row r="249" spans="1:25">
      <c r="A249" s="8"/>
      <c r="B249" s="8"/>
      <c r="C249" s="8"/>
      <c r="D249" s="8"/>
      <c r="E249" s="8"/>
      <c r="F249" s="8"/>
      <c r="G249" s="8"/>
      <c r="H249" s="8"/>
      <c r="I249" s="10"/>
      <c r="J249" s="10"/>
      <c r="K249" s="8"/>
      <c r="L249" s="8"/>
      <c r="M249" s="8"/>
      <c r="N249" s="8"/>
      <c r="O249" s="8"/>
      <c r="P249" s="8"/>
      <c r="Q249" s="8"/>
      <c r="R249" s="8"/>
      <c r="S249" s="8"/>
      <c r="T249" s="10"/>
      <c r="U249" s="8"/>
      <c r="V249" s="8"/>
      <c r="W249" s="8"/>
      <c r="X249" s="8"/>
      <c r="Y249" s="10"/>
    </row>
    <row r="250" spans="1:25">
      <c r="A250" s="8"/>
      <c r="B250" s="8"/>
      <c r="C250" s="8"/>
      <c r="D250" s="8"/>
      <c r="E250" s="8"/>
      <c r="F250" s="8"/>
      <c r="G250" s="8"/>
      <c r="H250" s="8"/>
      <c r="I250" s="10"/>
      <c r="J250" s="10"/>
      <c r="K250" s="8"/>
      <c r="L250" s="8"/>
      <c r="M250" s="8"/>
      <c r="N250" s="8"/>
      <c r="O250" s="8"/>
      <c r="P250" s="8"/>
      <c r="Q250" s="8"/>
      <c r="R250" s="8"/>
      <c r="S250" s="8"/>
      <c r="T250" s="10"/>
      <c r="U250" s="8"/>
      <c r="V250" s="8"/>
      <c r="W250" s="8"/>
      <c r="X250" s="8"/>
      <c r="Y250" s="10"/>
    </row>
    <row r="251" spans="1:25">
      <c r="A251" s="8"/>
      <c r="B251" s="8"/>
      <c r="C251" s="8"/>
      <c r="D251" s="8"/>
      <c r="E251" s="8"/>
      <c r="F251" s="8"/>
      <c r="G251" s="8"/>
      <c r="H251" s="8"/>
      <c r="I251" s="10"/>
      <c r="J251" s="10"/>
      <c r="K251" s="8"/>
      <c r="L251" s="8"/>
      <c r="M251" s="8"/>
      <c r="N251" s="8"/>
      <c r="O251" s="8"/>
      <c r="P251" s="8"/>
      <c r="Q251" s="8"/>
      <c r="R251" s="8"/>
      <c r="S251" s="8"/>
      <c r="T251" s="10"/>
      <c r="U251" s="8"/>
      <c r="V251" s="8"/>
      <c r="W251" s="8"/>
      <c r="X251" s="8"/>
      <c r="Y251" s="10"/>
    </row>
    <row r="252" spans="1:25">
      <c r="A252" s="8"/>
      <c r="B252" s="8"/>
      <c r="C252" s="8"/>
      <c r="D252" s="8"/>
      <c r="E252" s="8"/>
      <c r="F252" s="8"/>
      <c r="G252" s="8"/>
      <c r="H252" s="8"/>
      <c r="I252" s="10"/>
      <c r="J252" s="10"/>
      <c r="K252" s="8"/>
      <c r="L252" s="8"/>
      <c r="M252" s="8"/>
      <c r="N252" s="8"/>
      <c r="O252" s="8"/>
      <c r="P252" s="8"/>
      <c r="Q252" s="8"/>
      <c r="R252" s="8"/>
      <c r="S252" s="8"/>
      <c r="T252" s="10"/>
      <c r="U252" s="8"/>
      <c r="V252" s="8"/>
      <c r="W252" s="8"/>
      <c r="X252" s="8"/>
      <c r="Y252" s="10"/>
    </row>
    <row r="253" spans="1:25">
      <c r="A253" s="8"/>
      <c r="B253" s="8"/>
      <c r="C253" s="8"/>
      <c r="D253" s="8"/>
      <c r="E253" s="8"/>
      <c r="F253" s="8"/>
      <c r="G253" s="8"/>
      <c r="H253" s="8"/>
      <c r="I253" s="10"/>
      <c r="J253" s="10"/>
      <c r="K253" s="8"/>
      <c r="L253" s="8"/>
      <c r="M253" s="8"/>
      <c r="N253" s="8"/>
      <c r="O253" s="8"/>
      <c r="P253" s="8"/>
      <c r="Q253" s="8"/>
      <c r="R253" s="8"/>
      <c r="S253" s="8"/>
      <c r="T253" s="10"/>
      <c r="U253" s="8"/>
      <c r="V253" s="8"/>
      <c r="W253" s="8"/>
      <c r="X253" s="8"/>
      <c r="Y253" s="10"/>
    </row>
    <row r="254" spans="1:25">
      <c r="A254" s="8"/>
      <c r="B254" s="8"/>
      <c r="C254" s="8"/>
      <c r="D254" s="8"/>
      <c r="E254" s="8"/>
      <c r="F254" s="8"/>
      <c r="G254" s="8"/>
      <c r="H254" s="8"/>
      <c r="I254" s="10"/>
      <c r="J254" s="10"/>
      <c r="K254" s="8"/>
      <c r="L254" s="8"/>
      <c r="M254" s="8"/>
      <c r="N254" s="8"/>
      <c r="O254" s="8"/>
      <c r="P254" s="8"/>
      <c r="Q254" s="8"/>
      <c r="R254" s="8"/>
      <c r="S254" s="8"/>
      <c r="T254" s="10"/>
      <c r="U254" s="8"/>
      <c r="V254" s="8"/>
      <c r="W254" s="8"/>
      <c r="X254" s="8"/>
      <c r="Y254" s="10"/>
    </row>
    <row r="255" spans="1:25">
      <c r="A255" s="8"/>
      <c r="B255" s="8"/>
      <c r="C255" s="8"/>
      <c r="D255" s="8"/>
      <c r="E255" s="8"/>
      <c r="F255" s="8"/>
      <c r="G255" s="8"/>
      <c r="H255" s="8"/>
      <c r="I255" s="10"/>
      <c r="J255" s="10"/>
      <c r="K255" s="8"/>
      <c r="L255" s="8"/>
      <c r="M255" s="8"/>
      <c r="N255" s="8"/>
      <c r="O255" s="8"/>
      <c r="P255" s="8"/>
      <c r="Q255" s="8"/>
      <c r="R255" s="8"/>
      <c r="S255" s="8"/>
      <c r="T255" s="10"/>
      <c r="U255" s="8"/>
      <c r="V255" s="8"/>
      <c r="W255" s="8"/>
      <c r="X255" s="8"/>
      <c r="Y255" s="10"/>
    </row>
    <row r="256" spans="1:25">
      <c r="A256" s="8"/>
      <c r="B256" s="8"/>
      <c r="C256" s="8"/>
      <c r="D256" s="8"/>
      <c r="E256" s="8"/>
      <c r="F256" s="8"/>
      <c r="G256" s="8"/>
      <c r="H256" s="8"/>
      <c r="I256" s="10"/>
      <c r="J256" s="10"/>
      <c r="K256" s="8"/>
      <c r="L256" s="8"/>
      <c r="M256" s="8"/>
      <c r="N256" s="8"/>
      <c r="O256" s="8"/>
      <c r="P256" s="8"/>
      <c r="Q256" s="8"/>
      <c r="R256" s="8"/>
      <c r="S256" s="8"/>
      <c r="T256" s="10"/>
      <c r="U256" s="8"/>
      <c r="V256" s="8"/>
      <c r="W256" s="8"/>
      <c r="X256" s="8"/>
      <c r="Y256" s="10"/>
    </row>
    <row r="257" spans="1:25">
      <c r="A257" s="8"/>
      <c r="B257" s="8"/>
      <c r="C257" s="8"/>
      <c r="D257" s="8"/>
      <c r="E257" s="8"/>
      <c r="F257" s="8"/>
      <c r="G257" s="8"/>
      <c r="H257" s="8"/>
      <c r="I257" s="10"/>
      <c r="J257" s="10"/>
      <c r="K257" s="8"/>
      <c r="L257" s="8"/>
      <c r="M257" s="8"/>
      <c r="N257" s="8"/>
      <c r="O257" s="8"/>
      <c r="P257" s="8"/>
      <c r="Q257" s="8"/>
      <c r="R257" s="8"/>
      <c r="S257" s="8"/>
      <c r="T257" s="10"/>
      <c r="U257" s="8"/>
      <c r="V257" s="8"/>
      <c r="W257" s="8"/>
      <c r="X257" s="8"/>
      <c r="Y257" s="10"/>
    </row>
    <row r="258" spans="1:25">
      <c r="A258" s="8"/>
      <c r="B258" s="8"/>
      <c r="C258" s="8"/>
      <c r="D258" s="8"/>
      <c r="E258" s="8"/>
      <c r="F258" s="8"/>
      <c r="G258" s="8"/>
      <c r="H258" s="8"/>
      <c r="I258" s="10"/>
      <c r="J258" s="10"/>
      <c r="K258" s="8"/>
      <c r="L258" s="8"/>
      <c r="M258" s="8"/>
      <c r="N258" s="8"/>
      <c r="O258" s="8"/>
      <c r="P258" s="8"/>
      <c r="Q258" s="8"/>
      <c r="R258" s="8"/>
      <c r="S258" s="8"/>
      <c r="T258" s="10"/>
      <c r="U258" s="8"/>
      <c r="V258" s="8"/>
      <c r="W258" s="8"/>
      <c r="X258" s="8"/>
      <c r="Y258" s="10"/>
    </row>
    <row r="259" spans="1:25">
      <c r="A259" s="8"/>
      <c r="B259" s="8"/>
      <c r="C259" s="8"/>
      <c r="D259" s="8"/>
      <c r="E259" s="8"/>
      <c r="F259" s="8"/>
      <c r="G259" s="8"/>
      <c r="H259" s="8"/>
      <c r="I259" s="10"/>
      <c r="J259" s="10"/>
      <c r="K259" s="8"/>
      <c r="L259" s="8"/>
      <c r="M259" s="8"/>
      <c r="N259" s="8"/>
      <c r="O259" s="8"/>
      <c r="P259" s="8"/>
      <c r="Q259" s="8"/>
      <c r="R259" s="8"/>
      <c r="S259" s="8"/>
      <c r="T259" s="10"/>
      <c r="U259" s="8"/>
      <c r="V259" s="8"/>
      <c r="W259" s="8"/>
      <c r="X259" s="8"/>
      <c r="Y259" s="10"/>
    </row>
    <row r="260" spans="1:25">
      <c r="A260" s="8"/>
      <c r="B260" s="8"/>
      <c r="C260" s="8"/>
      <c r="D260" s="8"/>
      <c r="E260" s="8"/>
      <c r="F260" s="8"/>
      <c r="G260" s="8"/>
      <c r="H260" s="8"/>
      <c r="I260" s="10"/>
      <c r="J260" s="10"/>
      <c r="K260" s="8"/>
      <c r="L260" s="8"/>
      <c r="M260" s="8"/>
      <c r="N260" s="8"/>
      <c r="O260" s="8"/>
      <c r="P260" s="8"/>
      <c r="Q260" s="8"/>
      <c r="R260" s="8"/>
      <c r="S260" s="8"/>
      <c r="T260" s="10"/>
      <c r="U260" s="8"/>
      <c r="V260" s="8"/>
      <c r="W260" s="8"/>
      <c r="X260" s="8"/>
      <c r="Y260" s="10"/>
    </row>
    <row r="261" spans="1:25">
      <c r="A261" s="8"/>
      <c r="B261" s="8"/>
      <c r="C261" s="8"/>
      <c r="D261" s="8"/>
      <c r="E261" s="8"/>
      <c r="F261" s="8"/>
      <c r="G261" s="8"/>
      <c r="H261" s="8"/>
      <c r="I261" s="10"/>
      <c r="J261" s="10"/>
      <c r="K261" s="8"/>
      <c r="L261" s="8"/>
      <c r="M261" s="8"/>
      <c r="N261" s="8"/>
      <c r="O261" s="8"/>
      <c r="P261" s="8"/>
      <c r="Q261" s="8"/>
      <c r="R261" s="8"/>
      <c r="S261" s="8"/>
      <c r="T261" s="10"/>
      <c r="U261" s="8"/>
      <c r="V261" s="8"/>
      <c r="W261" s="8"/>
      <c r="X261" s="8"/>
      <c r="Y261" s="10"/>
    </row>
    <row r="262" spans="1:25">
      <c r="A262" s="8"/>
      <c r="B262" s="8"/>
      <c r="C262" s="8"/>
      <c r="D262" s="8"/>
      <c r="E262" s="8"/>
      <c r="F262" s="8"/>
      <c r="G262" s="8"/>
      <c r="H262" s="8"/>
      <c r="I262" s="10"/>
      <c r="J262" s="10"/>
      <c r="K262" s="8"/>
      <c r="L262" s="8"/>
      <c r="M262" s="8"/>
      <c r="N262" s="8"/>
      <c r="O262" s="8"/>
      <c r="P262" s="8"/>
      <c r="Q262" s="8"/>
      <c r="R262" s="8"/>
      <c r="S262" s="8"/>
      <c r="T262" s="10"/>
      <c r="U262" s="8"/>
      <c r="V262" s="8"/>
      <c r="W262" s="8"/>
      <c r="X262" s="8"/>
      <c r="Y262" s="10"/>
    </row>
    <row r="263" spans="1:25">
      <c r="A263" s="8"/>
      <c r="B263" s="8"/>
      <c r="C263" s="8"/>
      <c r="D263" s="8"/>
      <c r="E263" s="8"/>
      <c r="F263" s="8"/>
      <c r="G263" s="8"/>
      <c r="H263" s="8"/>
      <c r="I263" s="10"/>
      <c r="J263" s="10"/>
      <c r="K263" s="8"/>
      <c r="L263" s="8"/>
      <c r="M263" s="8"/>
      <c r="N263" s="8"/>
      <c r="O263" s="8"/>
      <c r="P263" s="8"/>
      <c r="Q263" s="8"/>
      <c r="R263" s="8"/>
      <c r="S263" s="8"/>
      <c r="T263" s="10"/>
      <c r="U263" s="8"/>
      <c r="V263" s="8"/>
      <c r="W263" s="8"/>
      <c r="X263" s="8"/>
      <c r="Y263" s="10"/>
    </row>
    <row r="264" spans="1:25">
      <c r="A264" s="8"/>
      <c r="B264" s="8"/>
      <c r="C264" s="8"/>
      <c r="D264" s="8"/>
      <c r="E264" s="8"/>
      <c r="F264" s="8"/>
      <c r="G264" s="8"/>
      <c r="H264" s="8"/>
      <c r="I264" s="10"/>
      <c r="J264" s="10"/>
      <c r="K264" s="8"/>
      <c r="L264" s="8"/>
      <c r="M264" s="8"/>
      <c r="N264" s="8"/>
      <c r="O264" s="8"/>
      <c r="P264" s="8"/>
      <c r="Q264" s="8"/>
      <c r="R264" s="8"/>
      <c r="S264" s="8"/>
      <c r="T264" s="10"/>
      <c r="U264" s="8"/>
      <c r="V264" s="8"/>
      <c r="W264" s="8"/>
      <c r="X264" s="8"/>
      <c r="Y264" s="10"/>
    </row>
    <row r="265" spans="1:25">
      <c r="A265" s="8"/>
      <c r="B265" s="8"/>
      <c r="C265" s="8"/>
      <c r="D265" s="8"/>
      <c r="E265" s="8"/>
      <c r="F265" s="8"/>
      <c r="G265" s="8"/>
      <c r="H265" s="8"/>
      <c r="I265" s="10"/>
      <c r="J265" s="10"/>
      <c r="K265" s="8"/>
      <c r="L265" s="8"/>
      <c r="M265" s="8"/>
      <c r="N265" s="8"/>
      <c r="O265" s="8"/>
      <c r="P265" s="8"/>
      <c r="Q265" s="8"/>
      <c r="R265" s="8"/>
      <c r="S265" s="8"/>
      <c r="T265" s="10"/>
      <c r="U265" s="8"/>
      <c r="V265" s="8"/>
      <c r="W265" s="8"/>
      <c r="X265" s="8"/>
      <c r="Y265" s="10"/>
    </row>
    <row r="266" spans="1:25">
      <c r="A266" s="8"/>
      <c r="B266" s="8"/>
      <c r="C266" s="8"/>
      <c r="D266" s="8"/>
      <c r="E266" s="8"/>
      <c r="F266" s="8"/>
      <c r="G266" s="8"/>
      <c r="H266" s="8"/>
      <c r="I266" s="10"/>
      <c r="J266" s="10"/>
      <c r="K266" s="8"/>
      <c r="L266" s="8"/>
      <c r="M266" s="8"/>
      <c r="N266" s="8"/>
      <c r="O266" s="8"/>
      <c r="P266" s="8"/>
      <c r="Q266" s="8"/>
      <c r="R266" s="8"/>
      <c r="S266" s="8"/>
      <c r="T266" s="10"/>
      <c r="U266" s="8"/>
      <c r="V266" s="8"/>
      <c r="W266" s="8"/>
      <c r="X266" s="8"/>
      <c r="Y266" s="10"/>
    </row>
    <row r="267" spans="1:25">
      <c r="A267" s="8"/>
      <c r="B267" s="8"/>
      <c r="C267" s="8"/>
      <c r="D267" s="8"/>
      <c r="E267" s="8"/>
      <c r="F267" s="8"/>
      <c r="G267" s="8"/>
      <c r="H267" s="8"/>
      <c r="I267" s="10"/>
      <c r="J267" s="10"/>
      <c r="K267" s="8"/>
      <c r="L267" s="8"/>
      <c r="M267" s="8"/>
      <c r="N267" s="8"/>
      <c r="O267" s="8"/>
      <c r="P267" s="8"/>
      <c r="Q267" s="8"/>
      <c r="R267" s="8"/>
      <c r="S267" s="8"/>
      <c r="T267" s="10"/>
      <c r="U267" s="8"/>
      <c r="V267" s="8"/>
      <c r="W267" s="8"/>
      <c r="X267" s="8"/>
      <c r="Y267" s="10"/>
    </row>
    <row r="268" spans="1:25">
      <c r="A268" s="8"/>
      <c r="B268" s="8"/>
      <c r="C268" s="8"/>
      <c r="D268" s="8"/>
      <c r="E268" s="8"/>
      <c r="F268" s="8"/>
      <c r="G268" s="8"/>
      <c r="H268" s="8"/>
      <c r="I268" s="10"/>
      <c r="J268" s="10"/>
      <c r="K268" s="8"/>
      <c r="L268" s="8"/>
      <c r="M268" s="8"/>
      <c r="N268" s="8"/>
      <c r="O268" s="8"/>
      <c r="P268" s="8"/>
      <c r="Q268" s="8"/>
      <c r="R268" s="8"/>
      <c r="S268" s="8"/>
      <c r="T268" s="10"/>
      <c r="U268" s="8"/>
      <c r="V268" s="8"/>
      <c r="W268" s="8"/>
      <c r="X268" s="8"/>
      <c r="Y268" s="10"/>
    </row>
    <row r="269" spans="1:25">
      <c r="A269" s="8"/>
      <c r="B269" s="8"/>
      <c r="C269" s="8"/>
      <c r="D269" s="8"/>
      <c r="E269" s="8"/>
      <c r="F269" s="8"/>
      <c r="G269" s="8"/>
      <c r="H269" s="8"/>
      <c r="I269" s="10"/>
      <c r="J269" s="10"/>
      <c r="K269" s="8"/>
      <c r="L269" s="8"/>
      <c r="M269" s="8"/>
      <c r="N269" s="8"/>
      <c r="O269" s="8"/>
      <c r="P269" s="8"/>
      <c r="Q269" s="8"/>
      <c r="R269" s="8"/>
      <c r="S269" s="8"/>
      <c r="T269" s="10"/>
      <c r="U269" s="8"/>
      <c r="V269" s="8"/>
      <c r="W269" s="8"/>
      <c r="X269" s="8"/>
      <c r="Y269" s="10"/>
    </row>
    <row r="270" spans="1:25">
      <c r="A270" s="8"/>
      <c r="B270" s="8"/>
      <c r="C270" s="8"/>
      <c r="D270" s="8"/>
      <c r="E270" s="8"/>
      <c r="F270" s="8"/>
      <c r="G270" s="8"/>
      <c r="H270" s="8"/>
      <c r="I270" s="10"/>
      <c r="J270" s="10"/>
      <c r="K270" s="8"/>
      <c r="L270" s="8"/>
      <c r="M270" s="8"/>
      <c r="N270" s="8"/>
      <c r="O270" s="8"/>
      <c r="P270" s="8"/>
      <c r="Q270" s="8"/>
      <c r="R270" s="8"/>
      <c r="S270" s="8"/>
      <c r="T270" s="10"/>
      <c r="U270" s="8"/>
      <c r="V270" s="8"/>
      <c r="W270" s="8"/>
      <c r="X270" s="8"/>
      <c r="Y270" s="10"/>
    </row>
    <row r="271" spans="1:25">
      <c r="A271" s="8"/>
      <c r="B271" s="8"/>
      <c r="C271" s="8"/>
      <c r="D271" s="8"/>
      <c r="E271" s="8"/>
      <c r="F271" s="8"/>
      <c r="G271" s="8"/>
      <c r="H271" s="8"/>
      <c r="I271" s="10"/>
      <c r="J271" s="10"/>
      <c r="K271" s="8"/>
      <c r="L271" s="8"/>
      <c r="M271" s="8"/>
      <c r="N271" s="8"/>
      <c r="O271" s="8"/>
      <c r="P271" s="8"/>
      <c r="Q271" s="8"/>
      <c r="R271" s="8"/>
      <c r="S271" s="8"/>
      <c r="T271" s="10"/>
      <c r="U271" s="8"/>
      <c r="V271" s="8"/>
      <c r="W271" s="8"/>
      <c r="X271" s="8"/>
      <c r="Y271" s="10"/>
    </row>
    <row r="272" spans="1:25">
      <c r="A272" s="8"/>
      <c r="B272" s="8"/>
      <c r="C272" s="8"/>
      <c r="D272" s="8"/>
      <c r="E272" s="8"/>
      <c r="F272" s="8"/>
      <c r="G272" s="8"/>
      <c r="H272" s="8"/>
      <c r="I272" s="10"/>
      <c r="J272" s="10"/>
      <c r="K272" s="8"/>
      <c r="L272" s="8"/>
      <c r="M272" s="8"/>
      <c r="N272" s="8"/>
      <c r="O272" s="8"/>
      <c r="P272" s="8"/>
      <c r="Q272" s="8"/>
      <c r="R272" s="8"/>
      <c r="S272" s="8"/>
      <c r="T272" s="10"/>
      <c r="U272" s="8"/>
      <c r="V272" s="8"/>
      <c r="W272" s="8"/>
      <c r="X272" s="8"/>
      <c r="Y272" s="10"/>
    </row>
    <row r="273" spans="1:25">
      <c r="A273" s="8"/>
      <c r="B273" s="8"/>
      <c r="C273" s="8"/>
      <c r="D273" s="8"/>
      <c r="E273" s="8"/>
      <c r="F273" s="8"/>
      <c r="G273" s="8"/>
      <c r="H273" s="8"/>
      <c r="I273" s="10"/>
      <c r="J273" s="10"/>
      <c r="K273" s="8"/>
      <c r="L273" s="8"/>
      <c r="M273" s="8"/>
      <c r="N273" s="8"/>
      <c r="O273" s="8"/>
      <c r="P273" s="8"/>
      <c r="Q273" s="8"/>
      <c r="R273" s="8"/>
      <c r="S273" s="8"/>
      <c r="T273" s="10"/>
      <c r="U273" s="8"/>
      <c r="V273" s="8"/>
      <c r="W273" s="8"/>
      <c r="X273" s="8"/>
      <c r="Y273" s="10"/>
    </row>
    <row r="274" spans="1:25">
      <c r="A274" s="8"/>
      <c r="B274" s="8"/>
      <c r="C274" s="8"/>
      <c r="D274" s="8"/>
      <c r="E274" s="8"/>
      <c r="F274" s="8"/>
      <c r="G274" s="8"/>
      <c r="H274" s="8"/>
      <c r="I274" s="10"/>
      <c r="J274" s="10"/>
      <c r="K274" s="8"/>
      <c r="L274" s="8"/>
      <c r="M274" s="8"/>
      <c r="N274" s="8"/>
      <c r="O274" s="8"/>
      <c r="P274" s="8"/>
      <c r="Q274" s="8"/>
      <c r="R274" s="8"/>
      <c r="S274" s="8"/>
      <c r="T274" s="10"/>
      <c r="U274" s="8"/>
      <c r="V274" s="8"/>
      <c r="W274" s="8"/>
      <c r="X274" s="8"/>
      <c r="Y274" s="10"/>
    </row>
    <row r="275" spans="1:25">
      <c r="A275" s="8"/>
      <c r="B275" s="8"/>
      <c r="C275" s="8"/>
      <c r="D275" s="8"/>
      <c r="E275" s="8"/>
      <c r="F275" s="8"/>
      <c r="G275" s="8"/>
      <c r="H275" s="8"/>
      <c r="I275" s="10"/>
      <c r="J275" s="10"/>
      <c r="K275" s="8"/>
      <c r="L275" s="8"/>
      <c r="M275" s="8"/>
      <c r="N275" s="8"/>
      <c r="O275" s="8"/>
      <c r="P275" s="8"/>
      <c r="Q275" s="8"/>
      <c r="R275" s="8"/>
      <c r="S275" s="8"/>
      <c r="T275" s="10"/>
      <c r="U275" s="8"/>
      <c r="V275" s="8"/>
      <c r="W275" s="8"/>
      <c r="X275" s="8"/>
      <c r="Y275" s="10"/>
    </row>
    <row r="276" spans="1:25">
      <c r="A276" s="8"/>
      <c r="B276" s="8"/>
      <c r="C276" s="8"/>
      <c r="D276" s="8"/>
      <c r="E276" s="8"/>
      <c r="F276" s="8"/>
      <c r="G276" s="8"/>
      <c r="H276" s="8"/>
      <c r="I276" s="10"/>
      <c r="J276" s="10"/>
      <c r="K276" s="8"/>
      <c r="L276" s="8"/>
      <c r="M276" s="8"/>
      <c r="N276" s="8"/>
      <c r="O276" s="8"/>
      <c r="P276" s="8"/>
      <c r="Q276" s="8"/>
      <c r="R276" s="8"/>
      <c r="S276" s="8"/>
      <c r="T276" s="10"/>
      <c r="U276" s="8"/>
      <c r="V276" s="8"/>
      <c r="W276" s="8"/>
      <c r="X276" s="8"/>
      <c r="Y276" s="10"/>
    </row>
    <row r="277" spans="1:25">
      <c r="A277" s="8"/>
      <c r="B277" s="8"/>
      <c r="C277" s="8"/>
      <c r="D277" s="8"/>
      <c r="E277" s="8"/>
      <c r="F277" s="8"/>
      <c r="G277" s="8"/>
      <c r="H277" s="8"/>
      <c r="I277" s="10"/>
      <c r="J277" s="10"/>
      <c r="K277" s="8"/>
      <c r="L277" s="8"/>
      <c r="M277" s="8"/>
      <c r="N277" s="8"/>
      <c r="O277" s="8"/>
      <c r="P277" s="8"/>
      <c r="Q277" s="8"/>
      <c r="R277" s="8"/>
      <c r="S277" s="8"/>
      <c r="T277" s="10"/>
      <c r="U277" s="8"/>
      <c r="V277" s="8"/>
      <c r="W277" s="8"/>
      <c r="X277" s="8"/>
      <c r="Y277" s="10"/>
    </row>
    <row r="278" spans="1:25">
      <c r="A278" s="8"/>
      <c r="B278" s="8"/>
      <c r="C278" s="8"/>
      <c r="D278" s="8"/>
      <c r="E278" s="8"/>
      <c r="F278" s="8"/>
      <c r="G278" s="8"/>
      <c r="H278" s="8"/>
      <c r="I278" s="10"/>
      <c r="J278" s="10"/>
      <c r="K278" s="8"/>
      <c r="L278" s="8"/>
      <c r="M278" s="8"/>
      <c r="N278" s="8"/>
      <c r="O278" s="8"/>
      <c r="P278" s="8"/>
      <c r="Q278" s="8"/>
      <c r="R278" s="8"/>
      <c r="S278" s="8"/>
      <c r="T278" s="10"/>
      <c r="U278" s="8"/>
      <c r="V278" s="8"/>
      <c r="W278" s="8"/>
      <c r="X278" s="8"/>
      <c r="Y278" s="10"/>
    </row>
    <row r="279" spans="1:25">
      <c r="A279" s="8"/>
      <c r="B279" s="8"/>
      <c r="C279" s="8"/>
      <c r="D279" s="8"/>
      <c r="E279" s="8"/>
      <c r="F279" s="8"/>
      <c r="G279" s="8"/>
      <c r="H279" s="8"/>
      <c r="I279" s="10"/>
      <c r="J279" s="10"/>
      <c r="K279" s="8"/>
      <c r="L279" s="8"/>
      <c r="M279" s="8"/>
      <c r="N279" s="8"/>
      <c r="O279" s="8"/>
      <c r="P279" s="8"/>
      <c r="Q279" s="8"/>
      <c r="R279" s="8"/>
      <c r="S279" s="8"/>
      <c r="T279" s="10"/>
      <c r="U279" s="8"/>
      <c r="V279" s="8"/>
      <c r="W279" s="8"/>
      <c r="X279" s="8"/>
      <c r="Y279" s="10"/>
    </row>
    <row r="280" spans="1:25">
      <c r="A280" s="8"/>
      <c r="B280" s="8"/>
      <c r="C280" s="8"/>
      <c r="D280" s="8"/>
      <c r="E280" s="8"/>
      <c r="F280" s="8"/>
      <c r="G280" s="8"/>
      <c r="H280" s="8"/>
      <c r="I280" s="10"/>
      <c r="J280" s="10"/>
      <c r="K280" s="8"/>
      <c r="L280" s="8"/>
      <c r="M280" s="8"/>
      <c r="N280" s="8"/>
      <c r="O280" s="8"/>
      <c r="P280" s="8"/>
      <c r="Q280" s="8"/>
      <c r="R280" s="8"/>
      <c r="S280" s="8"/>
      <c r="T280" s="10"/>
      <c r="U280" s="8"/>
      <c r="V280" s="8"/>
      <c r="W280" s="8"/>
      <c r="X280" s="8"/>
      <c r="Y280" s="10"/>
    </row>
    <row r="281" spans="1:25">
      <c r="A281" s="8"/>
      <c r="B281" s="8"/>
      <c r="C281" s="8"/>
      <c r="D281" s="8"/>
      <c r="E281" s="8"/>
      <c r="F281" s="8"/>
      <c r="G281" s="8"/>
      <c r="H281" s="8"/>
      <c r="I281" s="10"/>
      <c r="J281" s="10"/>
      <c r="K281" s="8"/>
      <c r="L281" s="8"/>
      <c r="M281" s="8"/>
      <c r="N281" s="8"/>
      <c r="O281" s="8"/>
      <c r="P281" s="8"/>
      <c r="Q281" s="8"/>
      <c r="R281" s="8"/>
      <c r="S281" s="8"/>
      <c r="T281" s="10"/>
      <c r="U281" s="8"/>
      <c r="V281" s="8"/>
      <c r="W281" s="8"/>
      <c r="X281" s="8"/>
      <c r="Y281" s="10"/>
    </row>
    <row r="282" spans="1:25">
      <c r="A282" s="8"/>
      <c r="B282" s="8"/>
      <c r="C282" s="8"/>
      <c r="D282" s="8"/>
      <c r="E282" s="8"/>
      <c r="F282" s="8"/>
      <c r="G282" s="8"/>
      <c r="H282" s="8"/>
      <c r="I282" s="10"/>
      <c r="J282" s="10"/>
      <c r="K282" s="8"/>
      <c r="L282" s="8"/>
      <c r="M282" s="8"/>
      <c r="N282" s="8"/>
      <c r="O282" s="8"/>
      <c r="P282" s="8"/>
      <c r="Q282" s="8"/>
      <c r="R282" s="8"/>
      <c r="S282" s="8"/>
      <c r="T282" s="10"/>
      <c r="U282" s="8"/>
      <c r="V282" s="8"/>
      <c r="W282" s="8"/>
      <c r="X282" s="8"/>
      <c r="Y282" s="10"/>
    </row>
    <row r="283" spans="1:25">
      <c r="A283" s="8"/>
      <c r="B283" s="8"/>
      <c r="C283" s="8"/>
      <c r="D283" s="8"/>
      <c r="E283" s="8"/>
      <c r="F283" s="8"/>
      <c r="G283" s="8"/>
      <c r="H283" s="8"/>
      <c r="I283" s="10"/>
      <c r="J283" s="10"/>
      <c r="K283" s="8"/>
      <c r="L283" s="8"/>
      <c r="M283" s="8"/>
      <c r="N283" s="8"/>
      <c r="O283" s="8"/>
      <c r="P283" s="8"/>
      <c r="Q283" s="8"/>
      <c r="R283" s="8"/>
      <c r="S283" s="8"/>
      <c r="T283" s="10"/>
      <c r="U283" s="8"/>
      <c r="V283" s="8"/>
      <c r="W283" s="8"/>
      <c r="X283" s="8"/>
      <c r="Y283" s="10"/>
    </row>
    <row r="284" spans="1:25">
      <c r="A284" s="8"/>
      <c r="B284" s="8"/>
      <c r="C284" s="8"/>
      <c r="D284" s="8"/>
      <c r="E284" s="8"/>
      <c r="F284" s="8"/>
      <c r="G284" s="8"/>
      <c r="H284" s="8"/>
      <c r="I284" s="10"/>
      <c r="J284" s="10"/>
      <c r="K284" s="8"/>
      <c r="L284" s="8"/>
      <c r="M284" s="8"/>
      <c r="N284" s="8"/>
      <c r="O284" s="8"/>
      <c r="P284" s="8"/>
      <c r="Q284" s="8"/>
      <c r="R284" s="8"/>
      <c r="S284" s="8"/>
      <c r="T284" s="10"/>
      <c r="U284" s="8"/>
      <c r="V284" s="8"/>
      <c r="W284" s="8"/>
      <c r="X284" s="8"/>
      <c r="Y284" s="10"/>
    </row>
    <row r="285" spans="1:25">
      <c r="A285" s="8"/>
      <c r="B285" s="8"/>
      <c r="C285" s="8"/>
      <c r="D285" s="8"/>
      <c r="E285" s="8"/>
      <c r="F285" s="8"/>
      <c r="G285" s="8"/>
      <c r="H285" s="8"/>
      <c r="I285" s="10"/>
      <c r="J285" s="10"/>
      <c r="K285" s="8"/>
      <c r="L285" s="8"/>
      <c r="M285" s="8"/>
      <c r="N285" s="8"/>
      <c r="O285" s="8"/>
      <c r="P285" s="8"/>
      <c r="Q285" s="8"/>
      <c r="R285" s="8"/>
      <c r="S285" s="8"/>
      <c r="T285" s="10"/>
      <c r="U285" s="8"/>
      <c r="V285" s="8"/>
      <c r="W285" s="8"/>
      <c r="X285" s="8"/>
      <c r="Y285" s="10"/>
    </row>
    <row r="286" spans="1:25">
      <c r="A286" s="8"/>
      <c r="B286" s="8"/>
      <c r="C286" s="8"/>
      <c r="D286" s="8"/>
      <c r="E286" s="8"/>
      <c r="F286" s="8"/>
      <c r="G286" s="8"/>
      <c r="H286" s="8"/>
      <c r="I286" s="10"/>
      <c r="J286" s="10"/>
      <c r="K286" s="8"/>
      <c r="L286" s="8"/>
      <c r="M286" s="8"/>
      <c r="N286" s="8"/>
      <c r="O286" s="8"/>
      <c r="P286" s="8"/>
      <c r="Q286" s="8"/>
      <c r="R286" s="8"/>
      <c r="S286" s="8"/>
      <c r="T286" s="10"/>
      <c r="U286" s="8"/>
      <c r="V286" s="8"/>
      <c r="W286" s="8"/>
      <c r="X286" s="8"/>
      <c r="Y286" s="10"/>
    </row>
    <row r="287" spans="1:25">
      <c r="A287" s="8"/>
      <c r="B287" s="8"/>
      <c r="C287" s="8"/>
      <c r="D287" s="8"/>
      <c r="E287" s="8"/>
      <c r="F287" s="8"/>
      <c r="G287" s="8"/>
      <c r="H287" s="8"/>
      <c r="I287" s="10"/>
      <c r="J287" s="10"/>
      <c r="K287" s="8"/>
      <c r="L287" s="8"/>
      <c r="M287" s="8"/>
      <c r="N287" s="8"/>
      <c r="O287" s="8"/>
      <c r="P287" s="8"/>
      <c r="Q287" s="8"/>
      <c r="R287" s="8"/>
      <c r="S287" s="8"/>
      <c r="T287" s="10"/>
      <c r="U287" s="8"/>
      <c r="V287" s="8"/>
      <c r="W287" s="8"/>
      <c r="X287" s="8"/>
      <c r="Y287" s="10"/>
    </row>
    <row r="288" spans="1:25">
      <c r="A288" s="8"/>
      <c r="B288" s="8"/>
      <c r="C288" s="8"/>
      <c r="D288" s="8"/>
      <c r="E288" s="8"/>
      <c r="F288" s="8"/>
      <c r="G288" s="8"/>
      <c r="H288" s="8"/>
      <c r="I288" s="10"/>
      <c r="J288" s="10"/>
      <c r="K288" s="8"/>
      <c r="L288" s="8"/>
      <c r="M288" s="8"/>
      <c r="N288" s="8"/>
      <c r="O288" s="8"/>
      <c r="P288" s="8"/>
      <c r="Q288" s="8"/>
      <c r="R288" s="8"/>
      <c r="S288" s="8"/>
      <c r="T288" s="10"/>
      <c r="U288" s="8"/>
      <c r="V288" s="8"/>
      <c r="W288" s="8"/>
      <c r="X288" s="8"/>
      <c r="Y288" s="10"/>
    </row>
    <row r="289" spans="1:25">
      <c r="A289" s="8"/>
      <c r="B289" s="8"/>
      <c r="C289" s="8"/>
      <c r="D289" s="8"/>
      <c r="E289" s="8"/>
      <c r="F289" s="8"/>
      <c r="G289" s="8"/>
      <c r="H289" s="8"/>
      <c r="I289" s="10"/>
      <c r="J289" s="10"/>
      <c r="K289" s="8"/>
      <c r="L289" s="8"/>
      <c r="M289" s="8"/>
      <c r="N289" s="8"/>
      <c r="O289" s="8"/>
      <c r="P289" s="8"/>
      <c r="Q289" s="8"/>
      <c r="R289" s="8"/>
      <c r="S289" s="8"/>
      <c r="T289" s="10"/>
      <c r="U289" s="8"/>
      <c r="V289" s="8"/>
      <c r="W289" s="8"/>
      <c r="X289" s="8"/>
      <c r="Y289" s="10"/>
    </row>
    <row r="290" spans="1:25">
      <c r="A290" s="8"/>
      <c r="B290" s="8"/>
      <c r="C290" s="8"/>
      <c r="D290" s="8"/>
      <c r="E290" s="8"/>
      <c r="F290" s="8"/>
      <c r="G290" s="8"/>
      <c r="H290" s="8"/>
      <c r="I290" s="10"/>
      <c r="J290" s="10"/>
      <c r="K290" s="8"/>
      <c r="L290" s="8"/>
      <c r="M290" s="8"/>
      <c r="N290" s="8"/>
      <c r="O290" s="8"/>
      <c r="P290" s="8"/>
      <c r="Q290" s="8"/>
      <c r="R290" s="8"/>
      <c r="S290" s="8"/>
      <c r="T290" s="10"/>
      <c r="U290" s="8"/>
      <c r="V290" s="8"/>
      <c r="W290" s="8"/>
      <c r="X290" s="8"/>
      <c r="Y290" s="10"/>
    </row>
    <row r="291" spans="1:25">
      <c r="A291" s="8"/>
      <c r="B291" s="8"/>
      <c r="C291" s="8"/>
      <c r="D291" s="8"/>
      <c r="E291" s="8"/>
      <c r="F291" s="8"/>
      <c r="G291" s="8"/>
      <c r="H291" s="8"/>
      <c r="I291" s="10"/>
      <c r="J291" s="10"/>
      <c r="K291" s="8"/>
      <c r="L291" s="8"/>
      <c r="M291" s="8"/>
      <c r="N291" s="8"/>
      <c r="O291" s="8"/>
      <c r="P291" s="8"/>
      <c r="Q291" s="8"/>
      <c r="R291" s="8"/>
      <c r="S291" s="8"/>
      <c r="T291" s="10"/>
      <c r="U291" s="8"/>
      <c r="V291" s="8"/>
      <c r="W291" s="8"/>
      <c r="X291" s="8"/>
      <c r="Y291" s="10"/>
    </row>
    <row r="292" spans="1:25">
      <c r="A292" s="8"/>
      <c r="B292" s="8"/>
      <c r="C292" s="8"/>
      <c r="D292" s="8"/>
      <c r="E292" s="8"/>
      <c r="F292" s="8"/>
      <c r="G292" s="8"/>
      <c r="H292" s="8"/>
      <c r="I292" s="10"/>
      <c r="J292" s="10"/>
      <c r="K292" s="8"/>
      <c r="L292" s="8"/>
      <c r="M292" s="8"/>
      <c r="N292" s="8"/>
      <c r="O292" s="8"/>
      <c r="P292" s="8"/>
      <c r="Q292" s="8"/>
      <c r="R292" s="8"/>
      <c r="S292" s="8"/>
      <c r="T292" s="10"/>
      <c r="U292" s="8"/>
      <c r="V292" s="8"/>
      <c r="W292" s="8"/>
      <c r="X292" s="8"/>
      <c r="Y292" s="10"/>
    </row>
    <row r="293" spans="1:25">
      <c r="A293" s="8"/>
      <c r="B293" s="8"/>
      <c r="C293" s="8"/>
      <c r="D293" s="8"/>
      <c r="E293" s="8"/>
      <c r="F293" s="8"/>
      <c r="G293" s="8"/>
      <c r="H293" s="8"/>
      <c r="I293" s="10"/>
      <c r="J293" s="10"/>
      <c r="K293" s="8"/>
      <c r="L293" s="8"/>
      <c r="M293" s="8"/>
      <c r="N293" s="8"/>
      <c r="O293" s="8"/>
      <c r="P293" s="8"/>
      <c r="Q293" s="8"/>
      <c r="R293" s="8"/>
      <c r="S293" s="8"/>
      <c r="T293" s="10"/>
      <c r="U293" s="8"/>
      <c r="V293" s="8"/>
      <c r="W293" s="8"/>
      <c r="X293" s="8"/>
      <c r="Y293" s="10"/>
    </row>
    <row r="294" spans="1:25">
      <c r="A294" s="8"/>
      <c r="B294" s="8"/>
      <c r="C294" s="8"/>
      <c r="D294" s="8"/>
      <c r="E294" s="8"/>
      <c r="F294" s="8"/>
      <c r="G294" s="8"/>
      <c r="H294" s="8"/>
      <c r="I294" s="10"/>
      <c r="J294" s="10"/>
      <c r="K294" s="8"/>
      <c r="L294" s="8"/>
      <c r="M294" s="8"/>
      <c r="N294" s="8"/>
      <c r="O294" s="8"/>
      <c r="P294" s="8"/>
      <c r="Q294" s="8"/>
      <c r="R294" s="8"/>
      <c r="S294" s="8"/>
      <c r="T294" s="10"/>
      <c r="U294" s="8"/>
      <c r="V294" s="8"/>
      <c r="W294" s="8"/>
      <c r="X294" s="8"/>
      <c r="Y294" s="10"/>
    </row>
    <row r="295" spans="1:25">
      <c r="A295" s="8"/>
      <c r="B295" s="8"/>
      <c r="C295" s="8"/>
      <c r="D295" s="8"/>
      <c r="E295" s="8"/>
      <c r="F295" s="8"/>
      <c r="G295" s="8"/>
      <c r="H295" s="8"/>
      <c r="I295" s="10"/>
      <c r="J295" s="10"/>
      <c r="K295" s="8"/>
      <c r="L295" s="8"/>
      <c r="M295" s="8"/>
      <c r="N295" s="8"/>
      <c r="O295" s="8"/>
      <c r="P295" s="8"/>
      <c r="Q295" s="8"/>
      <c r="R295" s="8"/>
      <c r="S295" s="8"/>
      <c r="T295" s="10"/>
      <c r="U295" s="8"/>
      <c r="V295" s="8"/>
      <c r="W295" s="8"/>
      <c r="X295" s="8"/>
      <c r="Y295" s="10"/>
    </row>
    <row r="296" spans="1:25">
      <c r="A296" s="8"/>
      <c r="B296" s="8"/>
      <c r="C296" s="8"/>
      <c r="D296" s="8"/>
      <c r="E296" s="8"/>
      <c r="F296" s="8"/>
      <c r="G296" s="8"/>
      <c r="H296" s="8"/>
      <c r="I296" s="10"/>
      <c r="J296" s="10"/>
      <c r="K296" s="8"/>
      <c r="L296" s="8"/>
      <c r="M296" s="8"/>
      <c r="N296" s="8"/>
      <c r="O296" s="8"/>
      <c r="P296" s="8"/>
      <c r="Q296" s="8"/>
      <c r="R296" s="8"/>
      <c r="S296" s="8"/>
      <c r="T296" s="10"/>
      <c r="U296" s="8"/>
      <c r="V296" s="8"/>
      <c r="W296" s="8"/>
      <c r="X296" s="8"/>
      <c r="Y296" s="10"/>
    </row>
    <row r="297" spans="1:25">
      <c r="A297" s="8"/>
      <c r="B297" s="8"/>
      <c r="C297" s="8"/>
      <c r="D297" s="8"/>
      <c r="E297" s="8"/>
      <c r="F297" s="8"/>
      <c r="G297" s="8"/>
      <c r="H297" s="8"/>
      <c r="I297" s="10"/>
      <c r="J297" s="10"/>
      <c r="K297" s="8"/>
      <c r="L297" s="8"/>
      <c r="M297" s="8"/>
      <c r="N297" s="8"/>
      <c r="O297" s="8"/>
      <c r="P297" s="8"/>
      <c r="Q297" s="8"/>
      <c r="R297" s="8"/>
      <c r="S297" s="8"/>
      <c r="T297" s="10"/>
      <c r="U297" s="8"/>
      <c r="V297" s="8"/>
      <c r="W297" s="8"/>
      <c r="X297" s="8"/>
      <c r="Y297" s="10"/>
    </row>
    <row r="298" spans="1:25">
      <c r="A298" s="8"/>
      <c r="B298" s="8"/>
      <c r="C298" s="8"/>
      <c r="D298" s="8"/>
      <c r="E298" s="8"/>
      <c r="F298" s="8"/>
      <c r="G298" s="8"/>
      <c r="H298" s="8"/>
      <c r="I298" s="10"/>
      <c r="J298" s="10"/>
      <c r="K298" s="8"/>
      <c r="L298" s="8"/>
      <c r="M298" s="8"/>
      <c r="N298" s="8"/>
      <c r="O298" s="8"/>
      <c r="P298" s="8"/>
      <c r="Q298" s="8"/>
      <c r="R298" s="8"/>
      <c r="S298" s="8"/>
      <c r="T298" s="10"/>
      <c r="U298" s="8"/>
      <c r="V298" s="8"/>
      <c r="W298" s="8"/>
      <c r="X298" s="8"/>
      <c r="Y298" s="10"/>
    </row>
    <row r="299" spans="1:25">
      <c r="A299" s="8"/>
      <c r="B299" s="8"/>
      <c r="C299" s="8"/>
      <c r="D299" s="8"/>
      <c r="E299" s="8"/>
      <c r="F299" s="8"/>
      <c r="G299" s="8"/>
      <c r="H299" s="8"/>
      <c r="I299" s="10"/>
      <c r="J299" s="10"/>
      <c r="K299" s="8"/>
      <c r="L299" s="8"/>
      <c r="M299" s="8"/>
      <c r="N299" s="8"/>
      <c r="O299" s="8"/>
      <c r="P299" s="8"/>
      <c r="Q299" s="8"/>
      <c r="R299" s="8"/>
      <c r="S299" s="8"/>
      <c r="T299" s="10"/>
      <c r="U299" s="8"/>
      <c r="V299" s="8"/>
      <c r="W299" s="8"/>
      <c r="X299" s="8"/>
      <c r="Y299" s="10"/>
    </row>
    <row r="300" spans="1:25">
      <c r="A300" s="8"/>
      <c r="B300" s="8"/>
      <c r="C300" s="8"/>
      <c r="D300" s="8"/>
      <c r="E300" s="8"/>
      <c r="F300" s="8"/>
      <c r="G300" s="8"/>
      <c r="H300" s="8"/>
      <c r="I300" s="10"/>
      <c r="J300" s="10"/>
      <c r="K300" s="8"/>
      <c r="L300" s="8"/>
      <c r="M300" s="8"/>
      <c r="N300" s="8"/>
      <c r="O300" s="8"/>
      <c r="P300" s="8"/>
      <c r="Q300" s="8"/>
      <c r="R300" s="8"/>
      <c r="S300" s="8"/>
      <c r="T300" s="10"/>
      <c r="U300" s="8"/>
      <c r="V300" s="8"/>
      <c r="W300" s="8"/>
      <c r="X300" s="8"/>
      <c r="Y300" s="10"/>
    </row>
    <row r="301" spans="1:25">
      <c r="A301" s="8"/>
      <c r="B301" s="8"/>
      <c r="C301" s="8"/>
      <c r="D301" s="8"/>
      <c r="E301" s="8"/>
      <c r="F301" s="8"/>
      <c r="G301" s="8"/>
      <c r="H301" s="8"/>
      <c r="I301" s="10"/>
      <c r="J301" s="10"/>
      <c r="K301" s="8"/>
      <c r="L301" s="8"/>
      <c r="M301" s="8"/>
      <c r="N301" s="8"/>
      <c r="O301" s="8"/>
      <c r="P301" s="8"/>
      <c r="Q301" s="8"/>
      <c r="R301" s="8"/>
      <c r="S301" s="8"/>
      <c r="T301" s="10"/>
      <c r="U301" s="8"/>
      <c r="V301" s="8"/>
      <c r="W301" s="8"/>
      <c r="X301" s="8"/>
      <c r="Y301" s="10"/>
    </row>
    <row r="302" spans="1:25">
      <c r="A302" s="8"/>
      <c r="B302" s="8"/>
      <c r="C302" s="8"/>
      <c r="D302" s="8"/>
      <c r="E302" s="8"/>
      <c r="F302" s="8"/>
      <c r="G302" s="8"/>
      <c r="H302" s="8"/>
      <c r="I302" s="10"/>
      <c r="J302" s="10"/>
      <c r="K302" s="8"/>
      <c r="L302" s="8"/>
      <c r="M302" s="8"/>
      <c r="N302" s="8"/>
      <c r="O302" s="8"/>
      <c r="P302" s="8"/>
      <c r="Q302" s="8"/>
      <c r="R302" s="8"/>
      <c r="S302" s="8"/>
      <c r="T302" s="10"/>
      <c r="U302" s="8"/>
      <c r="V302" s="8"/>
      <c r="W302" s="8"/>
      <c r="X302" s="8"/>
      <c r="Y302" s="10"/>
    </row>
    <row r="303" spans="1:25">
      <c r="A303" s="8"/>
      <c r="B303" s="8"/>
      <c r="C303" s="8"/>
      <c r="D303" s="8"/>
      <c r="E303" s="8"/>
      <c r="F303" s="8"/>
      <c r="G303" s="8"/>
      <c r="H303" s="8"/>
      <c r="I303" s="10"/>
      <c r="J303" s="10"/>
      <c r="K303" s="8"/>
      <c r="L303" s="8"/>
      <c r="M303" s="8"/>
      <c r="N303" s="8"/>
      <c r="O303" s="8"/>
      <c r="P303" s="8"/>
      <c r="Q303" s="8"/>
      <c r="R303" s="8"/>
      <c r="S303" s="8"/>
      <c r="T303" s="10"/>
      <c r="U303" s="8"/>
      <c r="V303" s="8"/>
      <c r="W303" s="8"/>
      <c r="X303" s="8"/>
      <c r="Y303" s="10"/>
    </row>
    <row r="304" spans="1:25">
      <c r="A304" s="8"/>
      <c r="B304" s="8"/>
      <c r="C304" s="8"/>
      <c r="D304" s="8"/>
      <c r="E304" s="8"/>
      <c r="F304" s="8"/>
      <c r="G304" s="8"/>
      <c r="H304" s="8"/>
      <c r="I304" s="10"/>
      <c r="J304" s="10"/>
      <c r="K304" s="8"/>
      <c r="L304" s="8"/>
      <c r="M304" s="8"/>
      <c r="N304" s="8"/>
      <c r="O304" s="8"/>
      <c r="P304" s="8"/>
      <c r="Q304" s="8"/>
      <c r="R304" s="8"/>
      <c r="S304" s="8"/>
      <c r="T304" s="10"/>
      <c r="U304" s="8"/>
      <c r="V304" s="8"/>
      <c r="W304" s="8"/>
      <c r="X304" s="8"/>
      <c r="Y304" s="10"/>
    </row>
  </sheetData>
  <mergeCells count="2">
    <mergeCell ref="A1:Y1"/>
    <mergeCell ref="A2:Y2"/>
  </mergeCells>
  <conditionalFormatting sqref="A5:A304">
    <cfRule type="duplicateValues" dxfId="56" priority="9"/>
  </conditionalFormatting>
  <conditionalFormatting sqref="V5:V304">
    <cfRule type="containsText" dxfId="55" priority="1" operator="containsText" text="Approved"/>
    <cfRule type="containsText" dxfId="54" priority="4" operator="containsText" text="Failed"/>
    <cfRule type="containsText" dxfId="53" priority="7" operator="containsText" text="On Hold"/>
  </conditionalFormatting>
  <dataValidations count="2">
    <dataValidation type="list" sqref="K5:R304" xr:uid="{00000000-0002-0000-1300-000000000000}">
      <formula1>"Pending,Passed,Failed,Approved with Comments,N/A"</formula1>
    </dataValidation>
    <dataValidation type="list" sqref="V5:V304" xr:uid="{00000000-0002-0000-1300-000008000000}">
      <formula1>"Not Started,In Preparation,Internal Review,Submitted to Customer,Approved,Approved with Comments,Rejected,Resubmission Required,On Hold"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304"/>
  <sheetViews>
    <sheetView showGridLines="0" workbookViewId="0">
      <selection sqref="A1:X1"/>
    </sheetView>
  </sheetViews>
  <sheetFormatPr baseColWidth="10" defaultColWidth="8.83203125" defaultRowHeight="14"/>
  <cols>
    <col min="1" max="3" width="14" customWidth="1"/>
    <col min="4" max="5" width="13" customWidth="1"/>
    <col min="6" max="6" width="15" customWidth="1"/>
    <col min="7" max="7" width="17" customWidth="1"/>
    <col min="8" max="10" width="16" customWidth="1"/>
    <col min="11" max="11" width="18" customWidth="1"/>
    <col min="12" max="12" width="16" customWidth="1"/>
    <col min="13" max="13" width="15" customWidth="1"/>
    <col min="14" max="14" width="19" customWidth="1"/>
    <col min="15" max="15" width="18" customWidth="1"/>
    <col min="16" max="16" width="15" customWidth="1"/>
    <col min="17" max="17" width="20" customWidth="1"/>
    <col min="18" max="18" width="14" customWidth="1"/>
    <col min="19" max="19" width="17" customWidth="1"/>
    <col min="20" max="20" width="24" customWidth="1"/>
    <col min="21" max="21" width="18" customWidth="1"/>
    <col min="22" max="23" width="14" customWidth="1"/>
    <col min="24" max="24" width="15" customWidth="1"/>
  </cols>
  <sheetData>
    <row r="1" spans="1:24" ht="30" customHeight="1">
      <c r="A1" s="52" t="s">
        <v>323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4" spans="1:24" ht="44" customHeight="1">
      <c r="A4" s="6" t="s">
        <v>324</v>
      </c>
      <c r="B4" s="6" t="s">
        <v>233</v>
      </c>
      <c r="C4" s="6" t="s">
        <v>44</v>
      </c>
      <c r="D4" s="6" t="s">
        <v>45</v>
      </c>
      <c r="E4" s="6" t="s">
        <v>46</v>
      </c>
      <c r="F4" s="6" t="s">
        <v>325</v>
      </c>
      <c r="G4" s="6" t="s">
        <v>326</v>
      </c>
      <c r="H4" s="6" t="s">
        <v>70</v>
      </c>
      <c r="I4" s="6" t="s">
        <v>327</v>
      </c>
      <c r="J4" s="6" t="s">
        <v>328</v>
      </c>
      <c r="K4" s="6" t="s">
        <v>329</v>
      </c>
      <c r="L4" s="6" t="s">
        <v>330</v>
      </c>
      <c r="M4" s="6" t="s">
        <v>331</v>
      </c>
      <c r="N4" s="6" t="s">
        <v>332</v>
      </c>
      <c r="O4" s="6" t="s">
        <v>333</v>
      </c>
      <c r="P4" s="6" t="s">
        <v>334</v>
      </c>
      <c r="Q4" s="6" t="s">
        <v>335</v>
      </c>
      <c r="R4" s="6" t="s">
        <v>336</v>
      </c>
      <c r="S4" s="6" t="s">
        <v>245</v>
      </c>
      <c r="T4" s="6" t="s">
        <v>337</v>
      </c>
      <c r="U4" s="6" t="s">
        <v>338</v>
      </c>
      <c r="V4" s="6" t="s">
        <v>339</v>
      </c>
      <c r="W4" s="6" t="s">
        <v>130</v>
      </c>
      <c r="X4" s="6" t="s">
        <v>63</v>
      </c>
    </row>
    <row r="5" spans="1:24">
      <c r="A5" s="8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 t="str">
        <f t="shared" ref="S5:S68" si="0">IF(A5="","",IF(COUNTIF(F5:R5,"Not Ready")&gt;0,"Blocked",IF(COUNTIF(F5:R5,"Pending")&gt;0,"Not Ready",IF(COUNTIF(F5:R5,"Exception Approved")&gt;0,"Ready with Conditions","Ready"))))</f>
        <v/>
      </c>
      <c r="T5" s="8"/>
      <c r="U5" s="8"/>
      <c r="V5" s="10"/>
      <c r="W5" s="8"/>
      <c r="X5" s="10"/>
    </row>
    <row r="6" spans="1:24">
      <c r="A6" s="8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 t="str">
        <f t="shared" si="0"/>
        <v/>
      </c>
      <c r="T6" s="8"/>
      <c r="U6" s="8"/>
      <c r="V6" s="10"/>
      <c r="W6" s="8"/>
      <c r="X6" s="10"/>
    </row>
    <row r="7" spans="1:24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 t="str">
        <f t="shared" si="0"/>
        <v/>
      </c>
      <c r="T7" s="8"/>
      <c r="U7" s="8"/>
      <c r="V7" s="10"/>
      <c r="W7" s="8"/>
      <c r="X7" s="10"/>
    </row>
    <row r="8" spans="1:24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 t="str">
        <f t="shared" si="0"/>
        <v/>
      </c>
      <c r="T8" s="8"/>
      <c r="U8" s="8"/>
      <c r="V8" s="10"/>
      <c r="W8" s="8"/>
      <c r="X8" s="10"/>
    </row>
    <row r="9" spans="1:24">
      <c r="A9" s="8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 t="str">
        <f t="shared" si="0"/>
        <v/>
      </c>
      <c r="T9" s="8"/>
      <c r="U9" s="8"/>
      <c r="V9" s="10"/>
      <c r="W9" s="8"/>
      <c r="X9" s="10"/>
    </row>
    <row r="10" spans="1:24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 t="str">
        <f t="shared" si="0"/>
        <v/>
      </c>
      <c r="T10" s="8"/>
      <c r="U10" s="8"/>
      <c r="V10" s="10"/>
      <c r="W10" s="8"/>
      <c r="X10" s="10"/>
    </row>
    <row r="11" spans="1:24">
      <c r="A11" s="8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 t="str">
        <f t="shared" si="0"/>
        <v/>
      </c>
      <c r="T11" s="8"/>
      <c r="U11" s="8"/>
      <c r="V11" s="10"/>
      <c r="W11" s="8"/>
      <c r="X11" s="10"/>
    </row>
    <row r="12" spans="1:24">
      <c r="A12" s="8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 t="str">
        <f t="shared" si="0"/>
        <v/>
      </c>
      <c r="T12" s="8"/>
      <c r="U12" s="8"/>
      <c r="V12" s="10"/>
      <c r="W12" s="8"/>
      <c r="X12" s="10"/>
    </row>
    <row r="13" spans="1:24">
      <c r="A13" s="8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 t="str">
        <f t="shared" si="0"/>
        <v/>
      </c>
      <c r="T13" s="8"/>
      <c r="U13" s="8"/>
      <c r="V13" s="10"/>
      <c r="W13" s="8"/>
      <c r="X13" s="10"/>
    </row>
    <row r="14" spans="1:24">
      <c r="A14" s="8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 t="str">
        <f t="shared" si="0"/>
        <v/>
      </c>
      <c r="T14" s="8"/>
      <c r="U14" s="8"/>
      <c r="V14" s="10"/>
      <c r="W14" s="8"/>
      <c r="X14" s="10"/>
    </row>
    <row r="15" spans="1:24">
      <c r="A15" s="8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 t="str">
        <f t="shared" si="0"/>
        <v/>
      </c>
      <c r="T15" s="8"/>
      <c r="U15" s="8"/>
      <c r="V15" s="10"/>
      <c r="W15" s="8"/>
      <c r="X15" s="10"/>
    </row>
    <row r="16" spans="1:24">
      <c r="A16" s="8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 t="str">
        <f t="shared" si="0"/>
        <v/>
      </c>
      <c r="T16" s="8"/>
      <c r="U16" s="8"/>
      <c r="V16" s="10"/>
      <c r="W16" s="8"/>
      <c r="X16" s="10"/>
    </row>
    <row r="17" spans="1:24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 t="str">
        <f t="shared" si="0"/>
        <v/>
      </c>
      <c r="T17" s="8"/>
      <c r="U17" s="8"/>
      <c r="V17" s="10"/>
      <c r="W17" s="8"/>
      <c r="X17" s="10"/>
    </row>
    <row r="18" spans="1:24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 t="str">
        <f t="shared" si="0"/>
        <v/>
      </c>
      <c r="T18" s="8"/>
      <c r="U18" s="8"/>
      <c r="V18" s="10"/>
      <c r="W18" s="8"/>
      <c r="X18" s="10"/>
    </row>
    <row r="19" spans="1:24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 t="str">
        <f t="shared" si="0"/>
        <v/>
      </c>
      <c r="T19" s="8"/>
      <c r="U19" s="8"/>
      <c r="V19" s="10"/>
      <c r="W19" s="8"/>
      <c r="X19" s="10"/>
    </row>
    <row r="20" spans="1:24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 t="str">
        <f t="shared" si="0"/>
        <v/>
      </c>
      <c r="T20" s="8"/>
      <c r="U20" s="8"/>
      <c r="V20" s="10"/>
      <c r="W20" s="8"/>
      <c r="X20" s="10"/>
    </row>
    <row r="21" spans="1:24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 t="str">
        <f t="shared" si="0"/>
        <v/>
      </c>
      <c r="T21" s="8"/>
      <c r="U21" s="8"/>
      <c r="V21" s="10"/>
      <c r="W21" s="8"/>
      <c r="X21" s="10"/>
    </row>
    <row r="22" spans="1:24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 t="str">
        <f t="shared" si="0"/>
        <v/>
      </c>
      <c r="T22" s="8"/>
      <c r="U22" s="8"/>
      <c r="V22" s="10"/>
      <c r="W22" s="8"/>
      <c r="X22" s="10"/>
    </row>
    <row r="23" spans="1:24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 t="str">
        <f t="shared" si="0"/>
        <v/>
      </c>
      <c r="T23" s="8"/>
      <c r="U23" s="8"/>
      <c r="V23" s="10"/>
      <c r="W23" s="8"/>
      <c r="X23" s="10"/>
    </row>
    <row r="24" spans="1:24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 t="str">
        <f t="shared" si="0"/>
        <v/>
      </c>
      <c r="T24" s="8"/>
      <c r="U24" s="8"/>
      <c r="V24" s="10"/>
      <c r="W24" s="8"/>
      <c r="X24" s="10"/>
    </row>
    <row r="25" spans="1:24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 t="str">
        <f t="shared" si="0"/>
        <v/>
      </c>
      <c r="T25" s="8"/>
      <c r="U25" s="8"/>
      <c r="V25" s="10"/>
      <c r="W25" s="8"/>
      <c r="X25" s="10"/>
    </row>
    <row r="26" spans="1:24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 t="str">
        <f t="shared" si="0"/>
        <v/>
      </c>
      <c r="T26" s="8"/>
      <c r="U26" s="8"/>
      <c r="V26" s="10"/>
      <c r="W26" s="8"/>
      <c r="X26" s="10"/>
    </row>
    <row r="27" spans="1:24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 t="str">
        <f t="shared" si="0"/>
        <v/>
      </c>
      <c r="T27" s="8"/>
      <c r="U27" s="8"/>
      <c r="V27" s="10"/>
      <c r="W27" s="8"/>
      <c r="X27" s="10"/>
    </row>
    <row r="28" spans="1:24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 t="str">
        <f t="shared" si="0"/>
        <v/>
      </c>
      <c r="T28" s="8"/>
      <c r="U28" s="8"/>
      <c r="V28" s="10"/>
      <c r="W28" s="8"/>
      <c r="X28" s="10"/>
    </row>
    <row r="29" spans="1:24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 t="str">
        <f t="shared" si="0"/>
        <v/>
      </c>
      <c r="T29" s="8"/>
      <c r="U29" s="8"/>
      <c r="V29" s="10"/>
      <c r="W29" s="8"/>
      <c r="X29" s="10"/>
    </row>
    <row r="30" spans="1:24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 t="str">
        <f t="shared" si="0"/>
        <v/>
      </c>
      <c r="T30" s="8"/>
      <c r="U30" s="8"/>
      <c r="V30" s="10"/>
      <c r="W30" s="8"/>
      <c r="X30" s="10"/>
    </row>
    <row r="31" spans="1:24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 t="str">
        <f t="shared" si="0"/>
        <v/>
      </c>
      <c r="T31" s="8"/>
      <c r="U31" s="8"/>
      <c r="V31" s="10"/>
      <c r="W31" s="8"/>
      <c r="X31" s="10"/>
    </row>
    <row r="32" spans="1:24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 t="str">
        <f t="shared" si="0"/>
        <v/>
      </c>
      <c r="T32" s="8"/>
      <c r="U32" s="8"/>
      <c r="V32" s="10"/>
      <c r="W32" s="8"/>
      <c r="X32" s="10"/>
    </row>
    <row r="33" spans="1:24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 t="str">
        <f t="shared" si="0"/>
        <v/>
      </c>
      <c r="T33" s="8"/>
      <c r="U33" s="8"/>
      <c r="V33" s="10"/>
      <c r="W33" s="8"/>
      <c r="X33" s="10"/>
    </row>
    <row r="34" spans="1:24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 t="str">
        <f t="shared" si="0"/>
        <v/>
      </c>
      <c r="T34" s="8"/>
      <c r="U34" s="8"/>
      <c r="V34" s="10"/>
      <c r="W34" s="8"/>
      <c r="X34" s="10"/>
    </row>
    <row r="35" spans="1:24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 t="str">
        <f t="shared" si="0"/>
        <v/>
      </c>
      <c r="T35" s="8"/>
      <c r="U35" s="8"/>
      <c r="V35" s="10"/>
      <c r="W35" s="8"/>
      <c r="X35" s="10"/>
    </row>
    <row r="36" spans="1:24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 t="str">
        <f t="shared" si="0"/>
        <v/>
      </c>
      <c r="T36" s="8"/>
      <c r="U36" s="8"/>
      <c r="V36" s="10"/>
      <c r="W36" s="8"/>
      <c r="X36" s="10"/>
    </row>
    <row r="37" spans="1:24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 t="str">
        <f t="shared" si="0"/>
        <v/>
      </c>
      <c r="T37" s="8"/>
      <c r="U37" s="8"/>
      <c r="V37" s="10"/>
      <c r="W37" s="8"/>
      <c r="X37" s="10"/>
    </row>
    <row r="38" spans="1:24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 t="str">
        <f t="shared" si="0"/>
        <v/>
      </c>
      <c r="T38" s="8"/>
      <c r="U38" s="8"/>
      <c r="V38" s="10"/>
      <c r="W38" s="8"/>
      <c r="X38" s="10"/>
    </row>
    <row r="39" spans="1:24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 t="str">
        <f t="shared" si="0"/>
        <v/>
      </c>
      <c r="T39" s="8"/>
      <c r="U39" s="8"/>
      <c r="V39" s="10"/>
      <c r="W39" s="8"/>
      <c r="X39" s="10"/>
    </row>
    <row r="40" spans="1:24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 t="str">
        <f t="shared" si="0"/>
        <v/>
      </c>
      <c r="T40" s="8"/>
      <c r="U40" s="8"/>
      <c r="V40" s="10"/>
      <c r="W40" s="8"/>
      <c r="X40" s="10"/>
    </row>
    <row r="41" spans="1:24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 t="str">
        <f t="shared" si="0"/>
        <v/>
      </c>
      <c r="T41" s="8"/>
      <c r="U41" s="8"/>
      <c r="V41" s="10"/>
      <c r="W41" s="8"/>
      <c r="X41" s="10"/>
    </row>
    <row r="42" spans="1:24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 t="str">
        <f t="shared" si="0"/>
        <v/>
      </c>
      <c r="T42" s="8"/>
      <c r="U42" s="8"/>
      <c r="V42" s="10"/>
      <c r="W42" s="8"/>
      <c r="X42" s="10"/>
    </row>
    <row r="43" spans="1:24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 t="str">
        <f t="shared" si="0"/>
        <v/>
      </c>
      <c r="T43" s="8"/>
      <c r="U43" s="8"/>
      <c r="V43" s="10"/>
      <c r="W43" s="8"/>
      <c r="X43" s="10"/>
    </row>
    <row r="44" spans="1:24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 t="str">
        <f t="shared" si="0"/>
        <v/>
      </c>
      <c r="T44" s="8"/>
      <c r="U44" s="8"/>
      <c r="V44" s="10"/>
      <c r="W44" s="8"/>
      <c r="X44" s="10"/>
    </row>
    <row r="45" spans="1:24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 t="str">
        <f t="shared" si="0"/>
        <v/>
      </c>
      <c r="T45" s="8"/>
      <c r="U45" s="8"/>
      <c r="V45" s="10"/>
      <c r="W45" s="8"/>
      <c r="X45" s="10"/>
    </row>
    <row r="46" spans="1:24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 t="str">
        <f t="shared" si="0"/>
        <v/>
      </c>
      <c r="T46" s="8"/>
      <c r="U46" s="8"/>
      <c r="V46" s="10"/>
      <c r="W46" s="8"/>
      <c r="X46" s="10"/>
    </row>
    <row r="47" spans="1:24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 t="str">
        <f t="shared" si="0"/>
        <v/>
      </c>
      <c r="T47" s="8"/>
      <c r="U47" s="8"/>
      <c r="V47" s="10"/>
      <c r="W47" s="8"/>
      <c r="X47" s="10"/>
    </row>
    <row r="48" spans="1:24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 t="str">
        <f t="shared" si="0"/>
        <v/>
      </c>
      <c r="T48" s="8"/>
      <c r="U48" s="8"/>
      <c r="V48" s="10"/>
      <c r="W48" s="8"/>
      <c r="X48" s="10"/>
    </row>
    <row r="49" spans="1:24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 t="str">
        <f t="shared" si="0"/>
        <v/>
      </c>
      <c r="T49" s="8"/>
      <c r="U49" s="8"/>
      <c r="V49" s="10"/>
      <c r="W49" s="8"/>
      <c r="X49" s="10"/>
    </row>
    <row r="50" spans="1:24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 t="str">
        <f t="shared" si="0"/>
        <v/>
      </c>
      <c r="T50" s="8"/>
      <c r="U50" s="8"/>
      <c r="V50" s="10"/>
      <c r="W50" s="8"/>
      <c r="X50" s="10"/>
    </row>
    <row r="51" spans="1:24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 t="str">
        <f t="shared" si="0"/>
        <v/>
      </c>
      <c r="T51" s="8"/>
      <c r="U51" s="8"/>
      <c r="V51" s="10"/>
      <c r="W51" s="8"/>
      <c r="X51" s="10"/>
    </row>
    <row r="52" spans="1:24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 t="str">
        <f t="shared" si="0"/>
        <v/>
      </c>
      <c r="T52" s="8"/>
      <c r="U52" s="8"/>
      <c r="V52" s="10"/>
      <c r="W52" s="8"/>
      <c r="X52" s="10"/>
    </row>
    <row r="53" spans="1:24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 t="str">
        <f t="shared" si="0"/>
        <v/>
      </c>
      <c r="T53" s="8"/>
      <c r="U53" s="8"/>
      <c r="V53" s="10"/>
      <c r="W53" s="8"/>
      <c r="X53" s="10"/>
    </row>
    <row r="54" spans="1:24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 t="str">
        <f t="shared" si="0"/>
        <v/>
      </c>
      <c r="T54" s="8"/>
      <c r="U54" s="8"/>
      <c r="V54" s="10"/>
      <c r="W54" s="8"/>
      <c r="X54" s="10"/>
    </row>
    <row r="55" spans="1:24">
      <c r="A55" s="8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 t="str">
        <f t="shared" si="0"/>
        <v/>
      </c>
      <c r="T55" s="8"/>
      <c r="U55" s="8"/>
      <c r="V55" s="10"/>
      <c r="W55" s="8"/>
      <c r="X55" s="10"/>
    </row>
    <row r="56" spans="1:24">
      <c r="A56" s="8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 t="str">
        <f t="shared" si="0"/>
        <v/>
      </c>
      <c r="T56" s="8"/>
      <c r="U56" s="8"/>
      <c r="V56" s="10"/>
      <c r="W56" s="8"/>
      <c r="X56" s="10"/>
    </row>
    <row r="57" spans="1:24">
      <c r="A57" s="8"/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 t="str">
        <f t="shared" si="0"/>
        <v/>
      </c>
      <c r="T57" s="8"/>
      <c r="U57" s="8"/>
      <c r="V57" s="10"/>
      <c r="W57" s="8"/>
      <c r="X57" s="10"/>
    </row>
    <row r="58" spans="1:24">
      <c r="A58" s="8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 t="str">
        <f t="shared" si="0"/>
        <v/>
      </c>
      <c r="T58" s="8"/>
      <c r="U58" s="8"/>
      <c r="V58" s="10"/>
      <c r="W58" s="8"/>
      <c r="X58" s="10"/>
    </row>
    <row r="59" spans="1:24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 t="str">
        <f t="shared" si="0"/>
        <v/>
      </c>
      <c r="T59" s="8"/>
      <c r="U59" s="8"/>
      <c r="V59" s="10"/>
      <c r="W59" s="8"/>
      <c r="X59" s="10"/>
    </row>
    <row r="60" spans="1:24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 t="str">
        <f t="shared" si="0"/>
        <v/>
      </c>
      <c r="T60" s="8"/>
      <c r="U60" s="8"/>
      <c r="V60" s="10"/>
      <c r="W60" s="8"/>
      <c r="X60" s="10"/>
    </row>
    <row r="61" spans="1:24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 t="str">
        <f t="shared" si="0"/>
        <v/>
      </c>
      <c r="T61" s="8"/>
      <c r="U61" s="8"/>
      <c r="V61" s="10"/>
      <c r="W61" s="8"/>
      <c r="X61" s="10"/>
    </row>
    <row r="62" spans="1:24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 t="str">
        <f t="shared" si="0"/>
        <v/>
      </c>
      <c r="T62" s="8"/>
      <c r="U62" s="8"/>
      <c r="V62" s="10"/>
      <c r="W62" s="8"/>
      <c r="X62" s="10"/>
    </row>
    <row r="63" spans="1:24">
      <c r="A63" s="8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 t="str">
        <f t="shared" si="0"/>
        <v/>
      </c>
      <c r="T63" s="8"/>
      <c r="U63" s="8"/>
      <c r="V63" s="10"/>
      <c r="W63" s="8"/>
      <c r="X63" s="10"/>
    </row>
    <row r="64" spans="1:24">
      <c r="A64" s="8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 t="str">
        <f t="shared" si="0"/>
        <v/>
      </c>
      <c r="T64" s="8"/>
      <c r="U64" s="8"/>
      <c r="V64" s="10"/>
      <c r="W64" s="8"/>
      <c r="X64" s="10"/>
    </row>
    <row r="65" spans="1:24">
      <c r="A65" s="8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 t="str">
        <f t="shared" si="0"/>
        <v/>
      </c>
      <c r="T65" s="8"/>
      <c r="U65" s="8"/>
      <c r="V65" s="10"/>
      <c r="W65" s="8"/>
      <c r="X65" s="10"/>
    </row>
    <row r="66" spans="1:24">
      <c r="A66" s="8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 t="str">
        <f t="shared" si="0"/>
        <v/>
      </c>
      <c r="T66" s="8"/>
      <c r="U66" s="8"/>
      <c r="V66" s="10"/>
      <c r="W66" s="8"/>
      <c r="X66" s="10"/>
    </row>
    <row r="67" spans="1:24">
      <c r="A67" s="8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 t="str">
        <f t="shared" si="0"/>
        <v/>
      </c>
      <c r="T67" s="8"/>
      <c r="U67" s="8"/>
      <c r="V67" s="10"/>
      <c r="W67" s="8"/>
      <c r="X67" s="10"/>
    </row>
    <row r="68" spans="1:24">
      <c r="A68" s="8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 t="str">
        <f t="shared" si="0"/>
        <v/>
      </c>
      <c r="T68" s="8"/>
      <c r="U68" s="8"/>
      <c r="V68" s="10"/>
      <c r="W68" s="8"/>
      <c r="X68" s="10"/>
    </row>
    <row r="69" spans="1:24">
      <c r="A69" s="8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 t="str">
        <f t="shared" ref="S69:S132" si="1">IF(A69="","",IF(COUNTIF(F69:R69,"Not Ready")&gt;0,"Blocked",IF(COUNTIF(F69:R69,"Pending")&gt;0,"Not Ready",IF(COUNTIF(F69:R69,"Exception Approved")&gt;0,"Ready with Conditions","Ready"))))</f>
        <v/>
      </c>
      <c r="T69" s="8"/>
      <c r="U69" s="8"/>
      <c r="V69" s="10"/>
      <c r="W69" s="8"/>
      <c r="X69" s="10"/>
    </row>
    <row r="70" spans="1:24">
      <c r="A70" s="8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 t="str">
        <f t="shared" si="1"/>
        <v/>
      </c>
      <c r="T70" s="8"/>
      <c r="U70" s="8"/>
      <c r="V70" s="10"/>
      <c r="W70" s="8"/>
      <c r="X70" s="10"/>
    </row>
    <row r="71" spans="1:24">
      <c r="A71" s="8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 t="str">
        <f t="shared" si="1"/>
        <v/>
      </c>
      <c r="T71" s="8"/>
      <c r="U71" s="8"/>
      <c r="V71" s="10"/>
      <c r="W71" s="8"/>
      <c r="X71" s="10"/>
    </row>
    <row r="72" spans="1:24">
      <c r="A72" s="8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 t="str">
        <f t="shared" si="1"/>
        <v/>
      </c>
      <c r="T72" s="8"/>
      <c r="U72" s="8"/>
      <c r="V72" s="10"/>
      <c r="W72" s="8"/>
      <c r="X72" s="10"/>
    </row>
    <row r="73" spans="1:24">
      <c r="A73" s="8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 t="str">
        <f t="shared" si="1"/>
        <v/>
      </c>
      <c r="T73" s="8"/>
      <c r="U73" s="8"/>
      <c r="V73" s="10"/>
      <c r="W73" s="8"/>
      <c r="X73" s="10"/>
    </row>
    <row r="74" spans="1:24">
      <c r="A74" s="8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 t="str">
        <f t="shared" si="1"/>
        <v/>
      </c>
      <c r="T74" s="8"/>
      <c r="U74" s="8"/>
      <c r="V74" s="10"/>
      <c r="W74" s="8"/>
      <c r="X74" s="10"/>
    </row>
    <row r="75" spans="1:24">
      <c r="A75" s="8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 t="str">
        <f t="shared" si="1"/>
        <v/>
      </c>
      <c r="T75" s="8"/>
      <c r="U75" s="8"/>
      <c r="V75" s="10"/>
      <c r="W75" s="8"/>
      <c r="X75" s="10"/>
    </row>
    <row r="76" spans="1:24">
      <c r="A76" s="8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 t="str">
        <f t="shared" si="1"/>
        <v/>
      </c>
      <c r="T76" s="8"/>
      <c r="U76" s="8"/>
      <c r="V76" s="10"/>
      <c r="W76" s="8"/>
      <c r="X76" s="10"/>
    </row>
    <row r="77" spans="1:24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 t="str">
        <f t="shared" si="1"/>
        <v/>
      </c>
      <c r="T77" s="8"/>
      <c r="U77" s="8"/>
      <c r="V77" s="10"/>
      <c r="W77" s="8"/>
      <c r="X77" s="10"/>
    </row>
    <row r="78" spans="1:24">
      <c r="A78" s="8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 t="str">
        <f t="shared" si="1"/>
        <v/>
      </c>
      <c r="T78" s="8"/>
      <c r="U78" s="8"/>
      <c r="V78" s="10"/>
      <c r="W78" s="8"/>
      <c r="X78" s="10"/>
    </row>
    <row r="79" spans="1:24">
      <c r="A79" s="8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 t="str">
        <f t="shared" si="1"/>
        <v/>
      </c>
      <c r="T79" s="8"/>
      <c r="U79" s="8"/>
      <c r="V79" s="10"/>
      <c r="W79" s="8"/>
      <c r="X79" s="10"/>
    </row>
    <row r="80" spans="1:24">
      <c r="A80" s="8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 t="str">
        <f t="shared" si="1"/>
        <v/>
      </c>
      <c r="T80" s="8"/>
      <c r="U80" s="8"/>
      <c r="V80" s="10"/>
      <c r="W80" s="8"/>
      <c r="X80" s="10"/>
    </row>
    <row r="81" spans="1:24">
      <c r="A81" s="8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 t="str">
        <f t="shared" si="1"/>
        <v/>
      </c>
      <c r="T81" s="8"/>
      <c r="U81" s="8"/>
      <c r="V81" s="10"/>
      <c r="W81" s="8"/>
      <c r="X81" s="10"/>
    </row>
    <row r="82" spans="1:24">
      <c r="A82" s="8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 t="str">
        <f t="shared" si="1"/>
        <v/>
      </c>
      <c r="T82" s="8"/>
      <c r="U82" s="8"/>
      <c r="V82" s="10"/>
      <c r="W82" s="8"/>
      <c r="X82" s="10"/>
    </row>
    <row r="83" spans="1:24">
      <c r="A83" s="8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 t="str">
        <f t="shared" si="1"/>
        <v/>
      </c>
      <c r="T83" s="8"/>
      <c r="U83" s="8"/>
      <c r="V83" s="10"/>
      <c r="W83" s="8"/>
      <c r="X83" s="10"/>
    </row>
    <row r="84" spans="1:24">
      <c r="A84" s="8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 t="str">
        <f t="shared" si="1"/>
        <v/>
      </c>
      <c r="T84" s="8"/>
      <c r="U84" s="8"/>
      <c r="V84" s="10"/>
      <c r="W84" s="8"/>
      <c r="X84" s="10"/>
    </row>
    <row r="85" spans="1:24">
      <c r="A85" s="8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 t="str">
        <f t="shared" si="1"/>
        <v/>
      </c>
      <c r="T85" s="8"/>
      <c r="U85" s="8"/>
      <c r="V85" s="10"/>
      <c r="W85" s="8"/>
      <c r="X85" s="10"/>
    </row>
    <row r="86" spans="1:24">
      <c r="A86" s="8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 t="str">
        <f t="shared" si="1"/>
        <v/>
      </c>
      <c r="T86" s="8"/>
      <c r="U86" s="8"/>
      <c r="V86" s="10"/>
      <c r="W86" s="8"/>
      <c r="X86" s="10"/>
    </row>
    <row r="87" spans="1:24">
      <c r="A87" s="8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 t="str">
        <f t="shared" si="1"/>
        <v/>
      </c>
      <c r="T87" s="8"/>
      <c r="U87" s="8"/>
      <c r="V87" s="10"/>
      <c r="W87" s="8"/>
      <c r="X87" s="10"/>
    </row>
    <row r="88" spans="1:24">
      <c r="A88" s="8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 t="str">
        <f t="shared" si="1"/>
        <v/>
      </c>
      <c r="T88" s="8"/>
      <c r="U88" s="8"/>
      <c r="V88" s="10"/>
      <c r="W88" s="8"/>
      <c r="X88" s="10"/>
    </row>
    <row r="89" spans="1:24">
      <c r="A89" s="8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9" t="str">
        <f t="shared" si="1"/>
        <v/>
      </c>
      <c r="T89" s="8"/>
      <c r="U89" s="8"/>
      <c r="V89" s="10"/>
      <c r="W89" s="8"/>
      <c r="X89" s="10"/>
    </row>
    <row r="90" spans="1:24">
      <c r="A90" s="8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 t="str">
        <f t="shared" si="1"/>
        <v/>
      </c>
      <c r="T90" s="8"/>
      <c r="U90" s="8"/>
      <c r="V90" s="10"/>
      <c r="W90" s="8"/>
      <c r="X90" s="10"/>
    </row>
    <row r="91" spans="1:24">
      <c r="A91" s="8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 t="str">
        <f t="shared" si="1"/>
        <v/>
      </c>
      <c r="T91" s="8"/>
      <c r="U91" s="8"/>
      <c r="V91" s="10"/>
      <c r="W91" s="8"/>
      <c r="X91" s="10"/>
    </row>
    <row r="92" spans="1:24">
      <c r="A92" s="8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 t="str">
        <f t="shared" si="1"/>
        <v/>
      </c>
      <c r="T92" s="8"/>
      <c r="U92" s="8"/>
      <c r="V92" s="10"/>
      <c r="W92" s="8"/>
      <c r="X92" s="10"/>
    </row>
    <row r="93" spans="1:24">
      <c r="A93" s="8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 t="str">
        <f t="shared" si="1"/>
        <v/>
      </c>
      <c r="T93" s="8"/>
      <c r="U93" s="8"/>
      <c r="V93" s="10"/>
      <c r="W93" s="8"/>
      <c r="X93" s="10"/>
    </row>
    <row r="94" spans="1:24">
      <c r="A94" s="8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 t="str">
        <f t="shared" si="1"/>
        <v/>
      </c>
      <c r="T94" s="8"/>
      <c r="U94" s="8"/>
      <c r="V94" s="10"/>
      <c r="W94" s="8"/>
      <c r="X94" s="10"/>
    </row>
    <row r="95" spans="1:24">
      <c r="A95" s="8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 t="str">
        <f t="shared" si="1"/>
        <v/>
      </c>
      <c r="T95" s="8"/>
      <c r="U95" s="8"/>
      <c r="V95" s="10"/>
      <c r="W95" s="8"/>
      <c r="X95" s="10"/>
    </row>
    <row r="96" spans="1:24">
      <c r="A96" s="8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 t="str">
        <f t="shared" si="1"/>
        <v/>
      </c>
      <c r="T96" s="8"/>
      <c r="U96" s="8"/>
      <c r="V96" s="10"/>
      <c r="W96" s="8"/>
      <c r="X96" s="10"/>
    </row>
    <row r="97" spans="1:24">
      <c r="A97" s="8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 t="str">
        <f t="shared" si="1"/>
        <v/>
      </c>
      <c r="T97" s="8"/>
      <c r="U97" s="8"/>
      <c r="V97" s="10"/>
      <c r="W97" s="8"/>
      <c r="X97" s="10"/>
    </row>
    <row r="98" spans="1:24">
      <c r="A98" s="8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 t="str">
        <f t="shared" si="1"/>
        <v/>
      </c>
      <c r="T98" s="8"/>
      <c r="U98" s="8"/>
      <c r="V98" s="10"/>
      <c r="W98" s="8"/>
      <c r="X98" s="10"/>
    </row>
    <row r="99" spans="1:24">
      <c r="A99" s="8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 t="str">
        <f t="shared" si="1"/>
        <v/>
      </c>
      <c r="T99" s="8"/>
      <c r="U99" s="8"/>
      <c r="V99" s="10"/>
      <c r="W99" s="8"/>
      <c r="X99" s="10"/>
    </row>
    <row r="100" spans="1:24">
      <c r="A100" s="8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 t="str">
        <f t="shared" si="1"/>
        <v/>
      </c>
      <c r="T100" s="8"/>
      <c r="U100" s="8"/>
      <c r="V100" s="10"/>
      <c r="W100" s="8"/>
      <c r="X100" s="10"/>
    </row>
    <row r="101" spans="1:24">
      <c r="A101" s="8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 t="str">
        <f t="shared" si="1"/>
        <v/>
      </c>
      <c r="T101" s="8"/>
      <c r="U101" s="8"/>
      <c r="V101" s="10"/>
      <c r="W101" s="8"/>
      <c r="X101" s="10"/>
    </row>
    <row r="102" spans="1:24">
      <c r="A102" s="8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 t="str">
        <f t="shared" si="1"/>
        <v/>
      </c>
      <c r="T102" s="8"/>
      <c r="U102" s="8"/>
      <c r="V102" s="10"/>
      <c r="W102" s="8"/>
      <c r="X102" s="10"/>
    </row>
    <row r="103" spans="1:24">
      <c r="A103" s="8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 t="str">
        <f t="shared" si="1"/>
        <v/>
      </c>
      <c r="T103" s="8"/>
      <c r="U103" s="8"/>
      <c r="V103" s="10"/>
      <c r="W103" s="8"/>
      <c r="X103" s="10"/>
    </row>
    <row r="104" spans="1:24">
      <c r="A104" s="8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 t="str">
        <f t="shared" si="1"/>
        <v/>
      </c>
      <c r="T104" s="8"/>
      <c r="U104" s="8"/>
      <c r="V104" s="10"/>
      <c r="W104" s="8"/>
      <c r="X104" s="10"/>
    </row>
    <row r="105" spans="1:24">
      <c r="A105" s="8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 t="str">
        <f t="shared" si="1"/>
        <v/>
      </c>
      <c r="T105" s="8"/>
      <c r="U105" s="8"/>
      <c r="V105" s="10"/>
      <c r="W105" s="8"/>
      <c r="X105" s="10"/>
    </row>
    <row r="106" spans="1:24">
      <c r="A106" s="8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 t="str">
        <f t="shared" si="1"/>
        <v/>
      </c>
      <c r="T106" s="8"/>
      <c r="U106" s="8"/>
      <c r="V106" s="10"/>
      <c r="W106" s="8"/>
      <c r="X106" s="10"/>
    </row>
    <row r="107" spans="1:24">
      <c r="A107" s="8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 t="str">
        <f t="shared" si="1"/>
        <v/>
      </c>
      <c r="T107" s="8"/>
      <c r="U107" s="8"/>
      <c r="V107" s="10"/>
      <c r="W107" s="8"/>
      <c r="X107" s="10"/>
    </row>
    <row r="108" spans="1:24">
      <c r="A108" s="8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 t="str">
        <f t="shared" si="1"/>
        <v/>
      </c>
      <c r="T108" s="8"/>
      <c r="U108" s="8"/>
      <c r="V108" s="10"/>
      <c r="W108" s="8"/>
      <c r="X108" s="10"/>
    </row>
    <row r="109" spans="1:24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 t="str">
        <f t="shared" si="1"/>
        <v/>
      </c>
      <c r="T109" s="8"/>
      <c r="U109" s="8"/>
      <c r="V109" s="10"/>
      <c r="W109" s="8"/>
      <c r="X109" s="10"/>
    </row>
    <row r="110" spans="1:24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 t="str">
        <f t="shared" si="1"/>
        <v/>
      </c>
      <c r="T110" s="8"/>
      <c r="U110" s="8"/>
      <c r="V110" s="10"/>
      <c r="W110" s="8"/>
      <c r="X110" s="10"/>
    </row>
    <row r="111" spans="1:24">
      <c r="A111" s="8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 t="str">
        <f t="shared" si="1"/>
        <v/>
      </c>
      <c r="T111" s="8"/>
      <c r="U111" s="8"/>
      <c r="V111" s="10"/>
      <c r="W111" s="8"/>
      <c r="X111" s="10"/>
    </row>
    <row r="112" spans="1:24">
      <c r="A112" s="8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 t="str">
        <f t="shared" si="1"/>
        <v/>
      </c>
      <c r="T112" s="8"/>
      <c r="U112" s="8"/>
      <c r="V112" s="10"/>
      <c r="W112" s="8"/>
      <c r="X112" s="10"/>
    </row>
    <row r="113" spans="1:24">
      <c r="A113" s="8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 t="str">
        <f t="shared" si="1"/>
        <v/>
      </c>
      <c r="T113" s="8"/>
      <c r="U113" s="8"/>
      <c r="V113" s="10"/>
      <c r="W113" s="8"/>
      <c r="X113" s="10"/>
    </row>
    <row r="114" spans="1:24">
      <c r="A114" s="8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 t="str">
        <f t="shared" si="1"/>
        <v/>
      </c>
      <c r="T114" s="8"/>
      <c r="U114" s="8"/>
      <c r="V114" s="10"/>
      <c r="W114" s="8"/>
      <c r="X114" s="10"/>
    </row>
    <row r="115" spans="1:24">
      <c r="A115" s="8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 t="str">
        <f t="shared" si="1"/>
        <v/>
      </c>
      <c r="T115" s="8"/>
      <c r="U115" s="8"/>
      <c r="V115" s="10"/>
      <c r="W115" s="8"/>
      <c r="X115" s="10"/>
    </row>
    <row r="116" spans="1:24">
      <c r="A116" s="8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 t="str">
        <f t="shared" si="1"/>
        <v/>
      </c>
      <c r="T116" s="8"/>
      <c r="U116" s="8"/>
      <c r="V116" s="10"/>
      <c r="W116" s="8"/>
      <c r="X116" s="10"/>
    </row>
    <row r="117" spans="1:24">
      <c r="A117" s="8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 t="str">
        <f t="shared" si="1"/>
        <v/>
      </c>
      <c r="T117" s="8"/>
      <c r="U117" s="8"/>
      <c r="V117" s="10"/>
      <c r="W117" s="8"/>
      <c r="X117" s="10"/>
    </row>
    <row r="118" spans="1:24">
      <c r="A118" s="8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 t="str">
        <f t="shared" si="1"/>
        <v/>
      </c>
      <c r="T118" s="8"/>
      <c r="U118" s="8"/>
      <c r="V118" s="10"/>
      <c r="W118" s="8"/>
      <c r="X118" s="10"/>
    </row>
    <row r="119" spans="1:24">
      <c r="A119" s="8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 t="str">
        <f t="shared" si="1"/>
        <v/>
      </c>
      <c r="T119" s="8"/>
      <c r="U119" s="8"/>
      <c r="V119" s="10"/>
      <c r="W119" s="8"/>
      <c r="X119" s="10"/>
    </row>
    <row r="120" spans="1:24">
      <c r="A120" s="8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 t="str">
        <f t="shared" si="1"/>
        <v/>
      </c>
      <c r="T120" s="8"/>
      <c r="U120" s="8"/>
      <c r="V120" s="10"/>
      <c r="W120" s="8"/>
      <c r="X120" s="10"/>
    </row>
    <row r="121" spans="1:24">
      <c r="A121" s="8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 t="str">
        <f t="shared" si="1"/>
        <v/>
      </c>
      <c r="T121" s="8"/>
      <c r="U121" s="8"/>
      <c r="V121" s="10"/>
      <c r="W121" s="8"/>
      <c r="X121" s="10"/>
    </row>
    <row r="122" spans="1:24">
      <c r="A122" s="8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 t="str">
        <f t="shared" si="1"/>
        <v/>
      </c>
      <c r="T122" s="8"/>
      <c r="U122" s="8"/>
      <c r="V122" s="10"/>
      <c r="W122" s="8"/>
      <c r="X122" s="10"/>
    </row>
    <row r="123" spans="1:24">
      <c r="A123" s="8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 t="str">
        <f t="shared" si="1"/>
        <v/>
      </c>
      <c r="T123" s="8"/>
      <c r="U123" s="8"/>
      <c r="V123" s="10"/>
      <c r="W123" s="8"/>
      <c r="X123" s="10"/>
    </row>
    <row r="124" spans="1:24">
      <c r="A124" s="8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 t="str">
        <f t="shared" si="1"/>
        <v/>
      </c>
      <c r="T124" s="8"/>
      <c r="U124" s="8"/>
      <c r="V124" s="10"/>
      <c r="W124" s="8"/>
      <c r="X124" s="10"/>
    </row>
    <row r="125" spans="1:24">
      <c r="A125" s="8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 t="str">
        <f t="shared" si="1"/>
        <v/>
      </c>
      <c r="T125" s="8"/>
      <c r="U125" s="8"/>
      <c r="V125" s="10"/>
      <c r="W125" s="8"/>
      <c r="X125" s="10"/>
    </row>
    <row r="126" spans="1:24">
      <c r="A126" s="8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 t="str">
        <f t="shared" si="1"/>
        <v/>
      </c>
      <c r="T126" s="8"/>
      <c r="U126" s="8"/>
      <c r="V126" s="10"/>
      <c r="W126" s="8"/>
      <c r="X126" s="10"/>
    </row>
    <row r="127" spans="1:24">
      <c r="A127" s="8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 t="str">
        <f t="shared" si="1"/>
        <v/>
      </c>
      <c r="T127" s="8"/>
      <c r="U127" s="8"/>
      <c r="V127" s="10"/>
      <c r="W127" s="8"/>
      <c r="X127" s="10"/>
    </row>
    <row r="128" spans="1:24">
      <c r="A128" s="8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 t="str">
        <f t="shared" si="1"/>
        <v/>
      </c>
      <c r="T128" s="8"/>
      <c r="U128" s="8"/>
      <c r="V128" s="10"/>
      <c r="W128" s="8"/>
      <c r="X128" s="10"/>
    </row>
    <row r="129" spans="1:24">
      <c r="A129" s="8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 t="str">
        <f t="shared" si="1"/>
        <v/>
      </c>
      <c r="T129" s="8"/>
      <c r="U129" s="8"/>
      <c r="V129" s="10"/>
      <c r="W129" s="8"/>
      <c r="X129" s="10"/>
    </row>
    <row r="130" spans="1:24">
      <c r="A130" s="8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 t="str">
        <f t="shared" si="1"/>
        <v/>
      </c>
      <c r="T130" s="8"/>
      <c r="U130" s="8"/>
      <c r="V130" s="10"/>
      <c r="W130" s="8"/>
      <c r="X130" s="10"/>
    </row>
    <row r="131" spans="1:24">
      <c r="A131" s="8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 t="str">
        <f t="shared" si="1"/>
        <v/>
      </c>
      <c r="T131" s="8"/>
      <c r="U131" s="8"/>
      <c r="V131" s="10"/>
      <c r="W131" s="8"/>
      <c r="X131" s="10"/>
    </row>
    <row r="132" spans="1:24">
      <c r="A132" s="8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 t="str">
        <f t="shared" si="1"/>
        <v/>
      </c>
      <c r="T132" s="8"/>
      <c r="U132" s="8"/>
      <c r="V132" s="10"/>
      <c r="W132" s="8"/>
      <c r="X132" s="10"/>
    </row>
    <row r="133" spans="1:24">
      <c r="A133" s="8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9" t="str">
        <f t="shared" ref="S133:S196" si="2">IF(A133="","",IF(COUNTIF(F133:R133,"Not Ready")&gt;0,"Blocked",IF(COUNTIF(F133:R133,"Pending")&gt;0,"Not Ready",IF(COUNTIF(F133:R133,"Exception Approved")&gt;0,"Ready with Conditions","Ready"))))</f>
        <v/>
      </c>
      <c r="T133" s="8"/>
      <c r="U133" s="8"/>
      <c r="V133" s="10"/>
      <c r="W133" s="8"/>
      <c r="X133" s="10"/>
    </row>
    <row r="134" spans="1:24">
      <c r="A134" s="8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9" t="str">
        <f t="shared" si="2"/>
        <v/>
      </c>
      <c r="T134" s="8"/>
      <c r="U134" s="8"/>
      <c r="V134" s="10"/>
      <c r="W134" s="8"/>
      <c r="X134" s="10"/>
    </row>
    <row r="135" spans="1:24">
      <c r="A135" s="8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 t="str">
        <f t="shared" si="2"/>
        <v/>
      </c>
      <c r="T135" s="8"/>
      <c r="U135" s="8"/>
      <c r="V135" s="10"/>
      <c r="W135" s="8"/>
      <c r="X135" s="10"/>
    </row>
    <row r="136" spans="1:24">
      <c r="A136" s="8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 t="str">
        <f t="shared" si="2"/>
        <v/>
      </c>
      <c r="T136" s="8"/>
      <c r="U136" s="8"/>
      <c r="V136" s="10"/>
      <c r="W136" s="8"/>
      <c r="X136" s="10"/>
    </row>
    <row r="137" spans="1:24">
      <c r="A137" s="8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 t="str">
        <f t="shared" si="2"/>
        <v/>
      </c>
      <c r="T137" s="8"/>
      <c r="U137" s="8"/>
      <c r="V137" s="10"/>
      <c r="W137" s="8"/>
      <c r="X137" s="10"/>
    </row>
    <row r="138" spans="1:24">
      <c r="A138" s="8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 t="str">
        <f t="shared" si="2"/>
        <v/>
      </c>
      <c r="T138" s="8"/>
      <c r="U138" s="8"/>
      <c r="V138" s="10"/>
      <c r="W138" s="8"/>
      <c r="X138" s="10"/>
    </row>
    <row r="139" spans="1:24">
      <c r="A139" s="8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 t="str">
        <f t="shared" si="2"/>
        <v/>
      </c>
      <c r="T139" s="8"/>
      <c r="U139" s="8"/>
      <c r="V139" s="10"/>
      <c r="W139" s="8"/>
      <c r="X139" s="10"/>
    </row>
    <row r="140" spans="1:24">
      <c r="A140" s="8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 t="str">
        <f t="shared" si="2"/>
        <v/>
      </c>
      <c r="T140" s="8"/>
      <c r="U140" s="8"/>
      <c r="V140" s="10"/>
      <c r="W140" s="8"/>
      <c r="X140" s="10"/>
    </row>
    <row r="141" spans="1:24">
      <c r="A141" s="8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 t="str">
        <f t="shared" si="2"/>
        <v/>
      </c>
      <c r="T141" s="8"/>
      <c r="U141" s="8"/>
      <c r="V141" s="10"/>
      <c r="W141" s="8"/>
      <c r="X141" s="10"/>
    </row>
    <row r="142" spans="1:24">
      <c r="A142" s="8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 t="str">
        <f t="shared" si="2"/>
        <v/>
      </c>
      <c r="T142" s="8"/>
      <c r="U142" s="8"/>
      <c r="V142" s="10"/>
      <c r="W142" s="8"/>
      <c r="X142" s="10"/>
    </row>
    <row r="143" spans="1:24">
      <c r="A143" s="8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 t="str">
        <f t="shared" si="2"/>
        <v/>
      </c>
      <c r="T143" s="8"/>
      <c r="U143" s="8"/>
      <c r="V143" s="10"/>
      <c r="W143" s="8"/>
      <c r="X143" s="10"/>
    </row>
    <row r="144" spans="1:24">
      <c r="A144" s="8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 t="str">
        <f t="shared" si="2"/>
        <v/>
      </c>
      <c r="T144" s="8"/>
      <c r="U144" s="8"/>
      <c r="V144" s="10"/>
      <c r="W144" s="8"/>
      <c r="X144" s="10"/>
    </row>
    <row r="145" spans="1:24">
      <c r="A145" s="8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 t="str">
        <f t="shared" si="2"/>
        <v/>
      </c>
      <c r="T145" s="8"/>
      <c r="U145" s="8"/>
      <c r="V145" s="10"/>
      <c r="W145" s="8"/>
      <c r="X145" s="10"/>
    </row>
    <row r="146" spans="1:24">
      <c r="A146" s="8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 t="str">
        <f t="shared" si="2"/>
        <v/>
      </c>
      <c r="T146" s="8"/>
      <c r="U146" s="8"/>
      <c r="V146" s="10"/>
      <c r="W146" s="8"/>
      <c r="X146" s="10"/>
    </row>
    <row r="147" spans="1:24">
      <c r="A147" s="8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 t="str">
        <f t="shared" si="2"/>
        <v/>
      </c>
      <c r="T147" s="8"/>
      <c r="U147" s="8"/>
      <c r="V147" s="10"/>
      <c r="W147" s="8"/>
      <c r="X147" s="10"/>
    </row>
    <row r="148" spans="1:24">
      <c r="A148" s="8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 t="str">
        <f t="shared" si="2"/>
        <v/>
      </c>
      <c r="T148" s="8"/>
      <c r="U148" s="8"/>
      <c r="V148" s="10"/>
      <c r="W148" s="8"/>
      <c r="X148" s="10"/>
    </row>
    <row r="149" spans="1:24">
      <c r="A149" s="8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 t="str">
        <f t="shared" si="2"/>
        <v/>
      </c>
      <c r="T149" s="8"/>
      <c r="U149" s="8"/>
      <c r="V149" s="10"/>
      <c r="W149" s="8"/>
      <c r="X149" s="10"/>
    </row>
    <row r="150" spans="1:24">
      <c r="A150" s="8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 t="str">
        <f t="shared" si="2"/>
        <v/>
      </c>
      <c r="T150" s="8"/>
      <c r="U150" s="8"/>
      <c r="V150" s="10"/>
      <c r="W150" s="8"/>
      <c r="X150" s="10"/>
    </row>
    <row r="151" spans="1:24">
      <c r="A151" s="8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 t="str">
        <f t="shared" si="2"/>
        <v/>
      </c>
      <c r="T151" s="8"/>
      <c r="U151" s="8"/>
      <c r="V151" s="10"/>
      <c r="W151" s="8"/>
      <c r="X151" s="10"/>
    </row>
    <row r="152" spans="1:24">
      <c r="A152" s="8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 t="str">
        <f t="shared" si="2"/>
        <v/>
      </c>
      <c r="T152" s="8"/>
      <c r="U152" s="8"/>
      <c r="V152" s="10"/>
      <c r="W152" s="8"/>
      <c r="X152" s="10"/>
    </row>
    <row r="153" spans="1:24">
      <c r="A153" s="8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 t="str">
        <f t="shared" si="2"/>
        <v/>
      </c>
      <c r="T153" s="8"/>
      <c r="U153" s="8"/>
      <c r="V153" s="10"/>
      <c r="W153" s="8"/>
      <c r="X153" s="10"/>
    </row>
    <row r="154" spans="1:24">
      <c r="A154" s="8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 t="str">
        <f t="shared" si="2"/>
        <v/>
      </c>
      <c r="T154" s="8"/>
      <c r="U154" s="8"/>
      <c r="V154" s="10"/>
      <c r="W154" s="8"/>
      <c r="X154" s="10"/>
    </row>
    <row r="155" spans="1:24">
      <c r="A155" s="8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 t="str">
        <f t="shared" si="2"/>
        <v/>
      </c>
      <c r="T155" s="8"/>
      <c r="U155" s="8"/>
      <c r="V155" s="10"/>
      <c r="W155" s="8"/>
      <c r="X155" s="10"/>
    </row>
    <row r="156" spans="1:24">
      <c r="A156" s="8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 t="str">
        <f t="shared" si="2"/>
        <v/>
      </c>
      <c r="T156" s="8"/>
      <c r="U156" s="8"/>
      <c r="V156" s="10"/>
      <c r="W156" s="8"/>
      <c r="X156" s="10"/>
    </row>
    <row r="157" spans="1:24">
      <c r="A157" s="8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 t="str">
        <f t="shared" si="2"/>
        <v/>
      </c>
      <c r="T157" s="8"/>
      <c r="U157" s="8"/>
      <c r="V157" s="10"/>
      <c r="W157" s="8"/>
      <c r="X157" s="10"/>
    </row>
    <row r="158" spans="1:24">
      <c r="A158" s="8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 t="str">
        <f t="shared" si="2"/>
        <v/>
      </c>
      <c r="T158" s="8"/>
      <c r="U158" s="8"/>
      <c r="V158" s="10"/>
      <c r="W158" s="8"/>
      <c r="X158" s="10"/>
    </row>
    <row r="159" spans="1:24">
      <c r="A159" s="8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 t="str">
        <f t="shared" si="2"/>
        <v/>
      </c>
      <c r="T159" s="8"/>
      <c r="U159" s="8"/>
      <c r="V159" s="10"/>
      <c r="W159" s="8"/>
      <c r="X159" s="10"/>
    </row>
    <row r="160" spans="1:24">
      <c r="A160" s="8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 t="str">
        <f t="shared" si="2"/>
        <v/>
      </c>
      <c r="T160" s="8"/>
      <c r="U160" s="8"/>
      <c r="V160" s="10"/>
      <c r="W160" s="8"/>
      <c r="X160" s="10"/>
    </row>
    <row r="161" spans="1:24">
      <c r="A161" s="8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 t="str">
        <f t="shared" si="2"/>
        <v/>
      </c>
      <c r="T161" s="8"/>
      <c r="U161" s="8"/>
      <c r="V161" s="10"/>
      <c r="W161" s="8"/>
      <c r="X161" s="10"/>
    </row>
    <row r="162" spans="1:24">
      <c r="A162" s="8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 t="str">
        <f t="shared" si="2"/>
        <v/>
      </c>
      <c r="T162" s="8"/>
      <c r="U162" s="8"/>
      <c r="V162" s="10"/>
      <c r="W162" s="8"/>
      <c r="X162" s="10"/>
    </row>
    <row r="163" spans="1:24">
      <c r="A163" s="8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 t="str">
        <f t="shared" si="2"/>
        <v/>
      </c>
      <c r="T163" s="8"/>
      <c r="U163" s="8"/>
      <c r="V163" s="10"/>
      <c r="W163" s="8"/>
      <c r="X163" s="10"/>
    </row>
    <row r="164" spans="1:24">
      <c r="A164" s="8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 t="str">
        <f t="shared" si="2"/>
        <v/>
      </c>
      <c r="T164" s="8"/>
      <c r="U164" s="8"/>
      <c r="V164" s="10"/>
      <c r="W164" s="8"/>
      <c r="X164" s="10"/>
    </row>
    <row r="165" spans="1:24">
      <c r="A165" s="8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 t="str">
        <f t="shared" si="2"/>
        <v/>
      </c>
      <c r="T165" s="8"/>
      <c r="U165" s="8"/>
      <c r="V165" s="10"/>
      <c r="W165" s="8"/>
      <c r="X165" s="10"/>
    </row>
    <row r="166" spans="1:24">
      <c r="A166" s="8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 t="str">
        <f t="shared" si="2"/>
        <v/>
      </c>
      <c r="T166" s="8"/>
      <c r="U166" s="8"/>
      <c r="V166" s="10"/>
      <c r="W166" s="8"/>
      <c r="X166" s="10"/>
    </row>
    <row r="167" spans="1:24">
      <c r="A167" s="8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 t="str">
        <f t="shared" si="2"/>
        <v/>
      </c>
      <c r="T167" s="8"/>
      <c r="U167" s="8"/>
      <c r="V167" s="10"/>
      <c r="W167" s="8"/>
      <c r="X167" s="10"/>
    </row>
    <row r="168" spans="1:24">
      <c r="A168" s="8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9" t="str">
        <f t="shared" si="2"/>
        <v/>
      </c>
      <c r="T168" s="8"/>
      <c r="U168" s="8"/>
      <c r="V168" s="10"/>
      <c r="W168" s="8"/>
      <c r="X168" s="10"/>
    </row>
    <row r="169" spans="1:24">
      <c r="A169" s="8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 t="str">
        <f t="shared" si="2"/>
        <v/>
      </c>
      <c r="T169" s="8"/>
      <c r="U169" s="8"/>
      <c r="V169" s="10"/>
      <c r="W169" s="8"/>
      <c r="X169" s="10"/>
    </row>
    <row r="170" spans="1:24">
      <c r="A170" s="8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 t="str">
        <f t="shared" si="2"/>
        <v/>
      </c>
      <c r="T170" s="8"/>
      <c r="U170" s="8"/>
      <c r="V170" s="10"/>
      <c r="W170" s="8"/>
      <c r="X170" s="10"/>
    </row>
    <row r="171" spans="1:24">
      <c r="A171" s="8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 t="str">
        <f t="shared" si="2"/>
        <v/>
      </c>
      <c r="T171" s="8"/>
      <c r="U171" s="8"/>
      <c r="V171" s="10"/>
      <c r="W171" s="8"/>
      <c r="X171" s="10"/>
    </row>
    <row r="172" spans="1:24">
      <c r="A172" s="8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9" t="str">
        <f t="shared" si="2"/>
        <v/>
      </c>
      <c r="T172" s="8"/>
      <c r="U172" s="8"/>
      <c r="V172" s="10"/>
      <c r="W172" s="8"/>
      <c r="X172" s="10"/>
    </row>
    <row r="173" spans="1:24">
      <c r="A173" s="8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 t="str">
        <f t="shared" si="2"/>
        <v/>
      </c>
      <c r="T173" s="8"/>
      <c r="U173" s="8"/>
      <c r="V173" s="10"/>
      <c r="W173" s="8"/>
      <c r="X173" s="10"/>
    </row>
    <row r="174" spans="1:24">
      <c r="A174" s="8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 t="str">
        <f t="shared" si="2"/>
        <v/>
      </c>
      <c r="T174" s="8"/>
      <c r="U174" s="8"/>
      <c r="V174" s="10"/>
      <c r="W174" s="8"/>
      <c r="X174" s="10"/>
    </row>
    <row r="175" spans="1:24">
      <c r="A175" s="8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 t="str">
        <f t="shared" si="2"/>
        <v/>
      </c>
      <c r="T175" s="8"/>
      <c r="U175" s="8"/>
      <c r="V175" s="10"/>
      <c r="W175" s="8"/>
      <c r="X175" s="10"/>
    </row>
    <row r="176" spans="1:24">
      <c r="A176" s="8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 t="str">
        <f t="shared" si="2"/>
        <v/>
      </c>
      <c r="T176" s="8"/>
      <c r="U176" s="8"/>
      <c r="V176" s="10"/>
      <c r="W176" s="8"/>
      <c r="X176" s="10"/>
    </row>
    <row r="177" spans="1:24">
      <c r="A177" s="8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 t="str">
        <f t="shared" si="2"/>
        <v/>
      </c>
      <c r="T177" s="8"/>
      <c r="U177" s="8"/>
      <c r="V177" s="10"/>
      <c r="W177" s="8"/>
      <c r="X177" s="10"/>
    </row>
    <row r="178" spans="1:24">
      <c r="A178" s="8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 t="str">
        <f t="shared" si="2"/>
        <v/>
      </c>
      <c r="T178" s="8"/>
      <c r="U178" s="8"/>
      <c r="V178" s="10"/>
      <c r="W178" s="8"/>
      <c r="X178" s="10"/>
    </row>
    <row r="179" spans="1:24">
      <c r="A179" s="8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 t="str">
        <f t="shared" si="2"/>
        <v/>
      </c>
      <c r="T179" s="8"/>
      <c r="U179" s="8"/>
      <c r="V179" s="10"/>
      <c r="W179" s="8"/>
      <c r="X179" s="10"/>
    </row>
    <row r="180" spans="1:24">
      <c r="A180" s="8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 t="str">
        <f t="shared" si="2"/>
        <v/>
      </c>
      <c r="T180" s="8"/>
      <c r="U180" s="8"/>
      <c r="V180" s="10"/>
      <c r="W180" s="8"/>
      <c r="X180" s="10"/>
    </row>
    <row r="181" spans="1:24">
      <c r="A181" s="8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 t="str">
        <f t="shared" si="2"/>
        <v/>
      </c>
      <c r="T181" s="8"/>
      <c r="U181" s="8"/>
      <c r="V181" s="10"/>
      <c r="W181" s="8"/>
      <c r="X181" s="10"/>
    </row>
    <row r="182" spans="1:24">
      <c r="A182" s="8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 t="str">
        <f t="shared" si="2"/>
        <v/>
      </c>
      <c r="T182" s="8"/>
      <c r="U182" s="8"/>
      <c r="V182" s="10"/>
      <c r="W182" s="8"/>
      <c r="X182" s="10"/>
    </row>
    <row r="183" spans="1:24">
      <c r="A183" s="8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 t="str">
        <f t="shared" si="2"/>
        <v/>
      </c>
      <c r="T183" s="8"/>
      <c r="U183" s="8"/>
      <c r="V183" s="10"/>
      <c r="W183" s="8"/>
      <c r="X183" s="10"/>
    </row>
    <row r="184" spans="1:24">
      <c r="A184" s="8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 t="str">
        <f t="shared" si="2"/>
        <v/>
      </c>
      <c r="T184" s="8"/>
      <c r="U184" s="8"/>
      <c r="V184" s="10"/>
      <c r="W184" s="8"/>
      <c r="X184" s="10"/>
    </row>
    <row r="185" spans="1:24">
      <c r="A185" s="8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 t="str">
        <f t="shared" si="2"/>
        <v/>
      </c>
      <c r="T185" s="8"/>
      <c r="U185" s="8"/>
      <c r="V185" s="10"/>
      <c r="W185" s="8"/>
      <c r="X185" s="10"/>
    </row>
    <row r="186" spans="1:24">
      <c r="A186" s="8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 t="str">
        <f t="shared" si="2"/>
        <v/>
      </c>
      <c r="T186" s="8"/>
      <c r="U186" s="8"/>
      <c r="V186" s="10"/>
      <c r="W186" s="8"/>
      <c r="X186" s="10"/>
    </row>
    <row r="187" spans="1:24">
      <c r="A187" s="8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 t="str">
        <f t="shared" si="2"/>
        <v/>
      </c>
      <c r="T187" s="8"/>
      <c r="U187" s="8"/>
      <c r="V187" s="10"/>
      <c r="W187" s="8"/>
      <c r="X187" s="10"/>
    </row>
    <row r="188" spans="1:24">
      <c r="A188" s="8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9" t="str">
        <f t="shared" si="2"/>
        <v/>
      </c>
      <c r="T188" s="8"/>
      <c r="U188" s="8"/>
      <c r="V188" s="10"/>
      <c r="W188" s="8"/>
      <c r="X188" s="10"/>
    </row>
    <row r="189" spans="1:24">
      <c r="A189" s="8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 t="str">
        <f t="shared" si="2"/>
        <v/>
      </c>
      <c r="T189" s="8"/>
      <c r="U189" s="8"/>
      <c r="V189" s="10"/>
      <c r="W189" s="8"/>
      <c r="X189" s="10"/>
    </row>
    <row r="190" spans="1:24">
      <c r="A190" s="8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 t="str">
        <f t="shared" si="2"/>
        <v/>
      </c>
      <c r="T190" s="8"/>
      <c r="U190" s="8"/>
      <c r="V190" s="10"/>
      <c r="W190" s="8"/>
      <c r="X190" s="10"/>
    </row>
    <row r="191" spans="1:24">
      <c r="A191" s="8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 t="str">
        <f t="shared" si="2"/>
        <v/>
      </c>
      <c r="T191" s="8"/>
      <c r="U191" s="8"/>
      <c r="V191" s="10"/>
      <c r="W191" s="8"/>
      <c r="X191" s="10"/>
    </row>
    <row r="192" spans="1:24">
      <c r="A192" s="8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 t="str">
        <f t="shared" si="2"/>
        <v/>
      </c>
      <c r="T192" s="8"/>
      <c r="U192" s="8"/>
      <c r="V192" s="10"/>
      <c r="W192" s="8"/>
      <c r="X192" s="10"/>
    </row>
    <row r="193" spans="1:24">
      <c r="A193" s="8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 t="str">
        <f t="shared" si="2"/>
        <v/>
      </c>
      <c r="T193" s="8"/>
      <c r="U193" s="8"/>
      <c r="V193" s="10"/>
      <c r="W193" s="8"/>
      <c r="X193" s="10"/>
    </row>
    <row r="194" spans="1:24">
      <c r="A194" s="8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 t="str">
        <f t="shared" si="2"/>
        <v/>
      </c>
      <c r="T194" s="8"/>
      <c r="U194" s="8"/>
      <c r="V194" s="10"/>
      <c r="W194" s="8"/>
      <c r="X194" s="10"/>
    </row>
    <row r="195" spans="1:24">
      <c r="A195" s="8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 t="str">
        <f t="shared" si="2"/>
        <v/>
      </c>
      <c r="T195" s="8"/>
      <c r="U195" s="8"/>
      <c r="V195" s="10"/>
      <c r="W195" s="8"/>
      <c r="X195" s="10"/>
    </row>
    <row r="196" spans="1:24">
      <c r="A196" s="8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 t="str">
        <f t="shared" si="2"/>
        <v/>
      </c>
      <c r="T196" s="8"/>
      <c r="U196" s="8"/>
      <c r="V196" s="10"/>
      <c r="W196" s="8"/>
      <c r="X196" s="10"/>
    </row>
    <row r="197" spans="1:24">
      <c r="A197" s="8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 t="str">
        <f t="shared" ref="S197:S260" si="3">IF(A197="","",IF(COUNTIF(F197:R197,"Not Ready")&gt;0,"Blocked",IF(COUNTIF(F197:R197,"Pending")&gt;0,"Not Ready",IF(COUNTIF(F197:R197,"Exception Approved")&gt;0,"Ready with Conditions","Ready"))))</f>
        <v/>
      </c>
      <c r="T197" s="8"/>
      <c r="U197" s="8"/>
      <c r="V197" s="10"/>
      <c r="W197" s="8"/>
      <c r="X197" s="10"/>
    </row>
    <row r="198" spans="1:24">
      <c r="A198" s="8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 t="str">
        <f t="shared" si="3"/>
        <v/>
      </c>
      <c r="T198" s="8"/>
      <c r="U198" s="8"/>
      <c r="V198" s="10"/>
      <c r="W198" s="8"/>
      <c r="X198" s="10"/>
    </row>
    <row r="199" spans="1:24">
      <c r="A199" s="8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 t="str">
        <f t="shared" si="3"/>
        <v/>
      </c>
      <c r="T199" s="8"/>
      <c r="U199" s="8"/>
      <c r="V199" s="10"/>
      <c r="W199" s="8"/>
      <c r="X199" s="10"/>
    </row>
    <row r="200" spans="1:24">
      <c r="A200" s="8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 t="str">
        <f t="shared" si="3"/>
        <v/>
      </c>
      <c r="T200" s="8"/>
      <c r="U200" s="8"/>
      <c r="V200" s="10"/>
      <c r="W200" s="8"/>
      <c r="X200" s="10"/>
    </row>
    <row r="201" spans="1:24">
      <c r="A201" s="8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 t="str">
        <f t="shared" si="3"/>
        <v/>
      </c>
      <c r="T201" s="8"/>
      <c r="U201" s="8"/>
      <c r="V201" s="10"/>
      <c r="W201" s="8"/>
      <c r="X201" s="10"/>
    </row>
    <row r="202" spans="1:24">
      <c r="A202" s="8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9" t="str">
        <f t="shared" si="3"/>
        <v/>
      </c>
      <c r="T202" s="8"/>
      <c r="U202" s="8"/>
      <c r="V202" s="10"/>
      <c r="W202" s="8"/>
      <c r="X202" s="10"/>
    </row>
    <row r="203" spans="1:24">
      <c r="A203" s="8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9" t="str">
        <f t="shared" si="3"/>
        <v/>
      </c>
      <c r="T203" s="8"/>
      <c r="U203" s="8"/>
      <c r="V203" s="10"/>
      <c r="W203" s="8"/>
      <c r="X203" s="10"/>
    </row>
    <row r="204" spans="1:24">
      <c r="A204" s="8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 t="str">
        <f t="shared" si="3"/>
        <v/>
      </c>
      <c r="T204" s="8"/>
      <c r="U204" s="8"/>
      <c r="V204" s="10"/>
      <c r="W204" s="8"/>
      <c r="X204" s="10"/>
    </row>
    <row r="205" spans="1:24">
      <c r="A205" s="8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 t="str">
        <f t="shared" si="3"/>
        <v/>
      </c>
      <c r="T205" s="8"/>
      <c r="U205" s="8"/>
      <c r="V205" s="10"/>
      <c r="W205" s="8"/>
      <c r="X205" s="10"/>
    </row>
    <row r="206" spans="1:24">
      <c r="A206" s="8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 t="str">
        <f t="shared" si="3"/>
        <v/>
      </c>
      <c r="T206" s="8"/>
      <c r="U206" s="8"/>
      <c r="V206" s="10"/>
      <c r="W206" s="8"/>
      <c r="X206" s="10"/>
    </row>
    <row r="207" spans="1:24">
      <c r="A207" s="8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9" t="str">
        <f t="shared" si="3"/>
        <v/>
      </c>
      <c r="T207" s="8"/>
      <c r="U207" s="8"/>
      <c r="V207" s="10"/>
      <c r="W207" s="8"/>
      <c r="X207" s="10"/>
    </row>
    <row r="208" spans="1:24">
      <c r="A208" s="8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9" t="str">
        <f t="shared" si="3"/>
        <v/>
      </c>
      <c r="T208" s="8"/>
      <c r="U208" s="8"/>
      <c r="V208" s="10"/>
      <c r="W208" s="8"/>
      <c r="X208" s="10"/>
    </row>
    <row r="209" spans="1:24">
      <c r="A209" s="8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 t="str">
        <f t="shared" si="3"/>
        <v/>
      </c>
      <c r="T209" s="8"/>
      <c r="U209" s="8"/>
      <c r="V209" s="10"/>
      <c r="W209" s="8"/>
      <c r="X209" s="10"/>
    </row>
    <row r="210" spans="1:24">
      <c r="A210" s="8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9" t="str">
        <f t="shared" si="3"/>
        <v/>
      </c>
      <c r="T210" s="8"/>
      <c r="U210" s="8"/>
      <c r="V210" s="10"/>
      <c r="W210" s="8"/>
      <c r="X210" s="10"/>
    </row>
    <row r="211" spans="1:24">
      <c r="A211" s="8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9" t="str">
        <f t="shared" si="3"/>
        <v/>
      </c>
      <c r="T211" s="8"/>
      <c r="U211" s="8"/>
      <c r="V211" s="10"/>
      <c r="W211" s="8"/>
      <c r="X211" s="10"/>
    </row>
    <row r="212" spans="1:24">
      <c r="A212" s="8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9" t="str">
        <f t="shared" si="3"/>
        <v/>
      </c>
      <c r="T212" s="8"/>
      <c r="U212" s="8"/>
      <c r="V212" s="10"/>
      <c r="W212" s="8"/>
      <c r="X212" s="10"/>
    </row>
    <row r="213" spans="1:24">
      <c r="A213" s="8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9" t="str">
        <f t="shared" si="3"/>
        <v/>
      </c>
      <c r="T213" s="8"/>
      <c r="U213" s="8"/>
      <c r="V213" s="10"/>
      <c r="W213" s="8"/>
      <c r="X213" s="10"/>
    </row>
    <row r="214" spans="1:24">
      <c r="A214" s="8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9" t="str">
        <f t="shared" si="3"/>
        <v/>
      </c>
      <c r="T214" s="8"/>
      <c r="U214" s="8"/>
      <c r="V214" s="10"/>
      <c r="W214" s="8"/>
      <c r="X214" s="10"/>
    </row>
    <row r="215" spans="1:24">
      <c r="A215" s="8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 t="str">
        <f t="shared" si="3"/>
        <v/>
      </c>
      <c r="T215" s="8"/>
      <c r="U215" s="8"/>
      <c r="V215" s="10"/>
      <c r="W215" s="8"/>
      <c r="X215" s="10"/>
    </row>
    <row r="216" spans="1:24">
      <c r="A216" s="8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 t="str">
        <f t="shared" si="3"/>
        <v/>
      </c>
      <c r="T216" s="8"/>
      <c r="U216" s="8"/>
      <c r="V216" s="10"/>
      <c r="W216" s="8"/>
      <c r="X216" s="10"/>
    </row>
    <row r="217" spans="1:24">
      <c r="A217" s="8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 t="str">
        <f t="shared" si="3"/>
        <v/>
      </c>
      <c r="T217" s="8"/>
      <c r="U217" s="8"/>
      <c r="V217" s="10"/>
      <c r="W217" s="8"/>
      <c r="X217" s="10"/>
    </row>
    <row r="218" spans="1:24">
      <c r="A218" s="8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 t="str">
        <f t="shared" si="3"/>
        <v/>
      </c>
      <c r="T218" s="8"/>
      <c r="U218" s="8"/>
      <c r="V218" s="10"/>
      <c r="W218" s="8"/>
      <c r="X218" s="10"/>
    </row>
    <row r="219" spans="1:24">
      <c r="A219" s="8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 t="str">
        <f t="shared" si="3"/>
        <v/>
      </c>
      <c r="T219" s="8"/>
      <c r="U219" s="8"/>
      <c r="V219" s="10"/>
      <c r="W219" s="8"/>
      <c r="X219" s="10"/>
    </row>
    <row r="220" spans="1:24">
      <c r="A220" s="8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 t="str">
        <f t="shared" si="3"/>
        <v/>
      </c>
      <c r="T220" s="8"/>
      <c r="U220" s="8"/>
      <c r="V220" s="10"/>
      <c r="W220" s="8"/>
      <c r="X220" s="10"/>
    </row>
    <row r="221" spans="1:24">
      <c r="A221" s="8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9" t="str">
        <f t="shared" si="3"/>
        <v/>
      </c>
      <c r="T221" s="8"/>
      <c r="U221" s="8"/>
      <c r="V221" s="10"/>
      <c r="W221" s="8"/>
      <c r="X221" s="10"/>
    </row>
    <row r="222" spans="1:24">
      <c r="A222" s="8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 t="str">
        <f t="shared" si="3"/>
        <v/>
      </c>
      <c r="T222" s="8"/>
      <c r="U222" s="8"/>
      <c r="V222" s="10"/>
      <c r="W222" s="8"/>
      <c r="X222" s="10"/>
    </row>
    <row r="223" spans="1:24">
      <c r="A223" s="8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 t="str">
        <f t="shared" si="3"/>
        <v/>
      </c>
      <c r="T223" s="8"/>
      <c r="U223" s="8"/>
      <c r="V223" s="10"/>
      <c r="W223" s="8"/>
      <c r="X223" s="10"/>
    </row>
    <row r="224" spans="1:24">
      <c r="A224" s="8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 t="str">
        <f t="shared" si="3"/>
        <v/>
      </c>
      <c r="T224" s="8"/>
      <c r="U224" s="8"/>
      <c r="V224" s="10"/>
      <c r="W224" s="8"/>
      <c r="X224" s="10"/>
    </row>
    <row r="225" spans="1:24">
      <c r="A225" s="8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 t="str">
        <f t="shared" si="3"/>
        <v/>
      </c>
      <c r="T225" s="8"/>
      <c r="U225" s="8"/>
      <c r="V225" s="10"/>
      <c r="W225" s="8"/>
      <c r="X225" s="10"/>
    </row>
    <row r="226" spans="1:24">
      <c r="A226" s="8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 t="str">
        <f t="shared" si="3"/>
        <v/>
      </c>
      <c r="T226" s="8"/>
      <c r="U226" s="8"/>
      <c r="V226" s="10"/>
      <c r="W226" s="8"/>
      <c r="X226" s="10"/>
    </row>
    <row r="227" spans="1:24">
      <c r="A227" s="8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9" t="str">
        <f t="shared" si="3"/>
        <v/>
      </c>
      <c r="T227" s="8"/>
      <c r="U227" s="8"/>
      <c r="V227" s="10"/>
      <c r="W227" s="8"/>
      <c r="X227" s="10"/>
    </row>
    <row r="228" spans="1:24">
      <c r="A228" s="8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9" t="str">
        <f t="shared" si="3"/>
        <v/>
      </c>
      <c r="T228" s="8"/>
      <c r="U228" s="8"/>
      <c r="V228" s="10"/>
      <c r="W228" s="8"/>
      <c r="X228" s="10"/>
    </row>
    <row r="229" spans="1:24">
      <c r="A229" s="8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9" t="str">
        <f t="shared" si="3"/>
        <v/>
      </c>
      <c r="T229" s="8"/>
      <c r="U229" s="8"/>
      <c r="V229" s="10"/>
      <c r="W229" s="8"/>
      <c r="X229" s="10"/>
    </row>
    <row r="230" spans="1:24">
      <c r="A230" s="8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9" t="str">
        <f t="shared" si="3"/>
        <v/>
      </c>
      <c r="T230" s="8"/>
      <c r="U230" s="8"/>
      <c r="V230" s="10"/>
      <c r="W230" s="8"/>
      <c r="X230" s="10"/>
    </row>
    <row r="231" spans="1:24">
      <c r="A231" s="8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 t="str">
        <f t="shared" si="3"/>
        <v/>
      </c>
      <c r="T231" s="8"/>
      <c r="U231" s="8"/>
      <c r="V231" s="10"/>
      <c r="W231" s="8"/>
      <c r="X231" s="10"/>
    </row>
    <row r="232" spans="1:24">
      <c r="A232" s="8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 t="str">
        <f t="shared" si="3"/>
        <v/>
      </c>
      <c r="T232" s="8"/>
      <c r="U232" s="8"/>
      <c r="V232" s="10"/>
      <c r="W232" s="8"/>
      <c r="X232" s="10"/>
    </row>
    <row r="233" spans="1:24">
      <c r="A233" s="8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 t="str">
        <f t="shared" si="3"/>
        <v/>
      </c>
      <c r="T233" s="8"/>
      <c r="U233" s="8"/>
      <c r="V233" s="10"/>
      <c r="W233" s="8"/>
      <c r="X233" s="10"/>
    </row>
    <row r="234" spans="1:24">
      <c r="A234" s="8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 t="str">
        <f t="shared" si="3"/>
        <v/>
      </c>
      <c r="T234" s="8"/>
      <c r="U234" s="8"/>
      <c r="V234" s="10"/>
      <c r="W234" s="8"/>
      <c r="X234" s="10"/>
    </row>
    <row r="235" spans="1:24">
      <c r="A235" s="8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 t="str">
        <f t="shared" si="3"/>
        <v/>
      </c>
      <c r="T235" s="8"/>
      <c r="U235" s="8"/>
      <c r="V235" s="10"/>
      <c r="W235" s="8"/>
      <c r="X235" s="10"/>
    </row>
    <row r="236" spans="1:24">
      <c r="A236" s="8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 t="str">
        <f t="shared" si="3"/>
        <v/>
      </c>
      <c r="T236" s="8"/>
      <c r="U236" s="8"/>
      <c r="V236" s="10"/>
      <c r="W236" s="8"/>
      <c r="X236" s="10"/>
    </row>
    <row r="237" spans="1:24">
      <c r="A237" s="8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 t="str">
        <f t="shared" si="3"/>
        <v/>
      </c>
      <c r="T237" s="8"/>
      <c r="U237" s="8"/>
      <c r="V237" s="10"/>
      <c r="W237" s="8"/>
      <c r="X237" s="10"/>
    </row>
    <row r="238" spans="1:24">
      <c r="A238" s="8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 t="str">
        <f t="shared" si="3"/>
        <v/>
      </c>
      <c r="T238" s="8"/>
      <c r="U238" s="8"/>
      <c r="V238" s="10"/>
      <c r="W238" s="8"/>
      <c r="X238" s="10"/>
    </row>
    <row r="239" spans="1:24">
      <c r="A239" s="8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9" t="str">
        <f t="shared" si="3"/>
        <v/>
      </c>
      <c r="T239" s="8"/>
      <c r="U239" s="8"/>
      <c r="V239" s="10"/>
      <c r="W239" s="8"/>
      <c r="X239" s="10"/>
    </row>
    <row r="240" spans="1:24">
      <c r="A240" s="8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9" t="str">
        <f t="shared" si="3"/>
        <v/>
      </c>
      <c r="T240" s="8"/>
      <c r="U240" s="8"/>
      <c r="V240" s="10"/>
      <c r="W240" s="8"/>
      <c r="X240" s="10"/>
    </row>
    <row r="241" spans="1:24">
      <c r="A241" s="8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9" t="str">
        <f t="shared" si="3"/>
        <v/>
      </c>
      <c r="T241" s="8"/>
      <c r="U241" s="8"/>
      <c r="V241" s="10"/>
      <c r="W241" s="8"/>
      <c r="X241" s="10"/>
    </row>
    <row r="242" spans="1:24">
      <c r="A242" s="8"/>
      <c r="B242" s="1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9" t="str">
        <f t="shared" si="3"/>
        <v/>
      </c>
      <c r="T242" s="8"/>
      <c r="U242" s="8"/>
      <c r="V242" s="10"/>
      <c r="W242" s="8"/>
      <c r="X242" s="10"/>
    </row>
    <row r="243" spans="1:24">
      <c r="A243" s="8"/>
      <c r="B243" s="1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9" t="str">
        <f t="shared" si="3"/>
        <v/>
      </c>
      <c r="T243" s="8"/>
      <c r="U243" s="8"/>
      <c r="V243" s="10"/>
      <c r="W243" s="8"/>
      <c r="X243" s="10"/>
    </row>
    <row r="244" spans="1:24">
      <c r="A244" s="8"/>
      <c r="B244" s="1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9" t="str">
        <f t="shared" si="3"/>
        <v/>
      </c>
      <c r="T244" s="8"/>
      <c r="U244" s="8"/>
      <c r="V244" s="10"/>
      <c r="W244" s="8"/>
      <c r="X244" s="10"/>
    </row>
    <row r="245" spans="1:24">
      <c r="A245" s="8"/>
      <c r="B245" s="1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9" t="str">
        <f t="shared" si="3"/>
        <v/>
      </c>
      <c r="T245" s="8"/>
      <c r="U245" s="8"/>
      <c r="V245" s="10"/>
      <c r="W245" s="8"/>
      <c r="X245" s="10"/>
    </row>
    <row r="246" spans="1:24">
      <c r="A246" s="8"/>
      <c r="B246" s="1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9" t="str">
        <f t="shared" si="3"/>
        <v/>
      </c>
      <c r="T246" s="8"/>
      <c r="U246" s="8"/>
      <c r="V246" s="10"/>
      <c r="W246" s="8"/>
      <c r="X246" s="10"/>
    </row>
    <row r="247" spans="1:24">
      <c r="A247" s="8"/>
      <c r="B247" s="1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9" t="str">
        <f t="shared" si="3"/>
        <v/>
      </c>
      <c r="T247" s="8"/>
      <c r="U247" s="8"/>
      <c r="V247" s="10"/>
      <c r="W247" s="8"/>
      <c r="X247" s="10"/>
    </row>
    <row r="248" spans="1:24">
      <c r="A248" s="8"/>
      <c r="B248" s="1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9" t="str">
        <f t="shared" si="3"/>
        <v/>
      </c>
      <c r="T248" s="8"/>
      <c r="U248" s="8"/>
      <c r="V248" s="10"/>
      <c r="W248" s="8"/>
      <c r="X248" s="10"/>
    </row>
    <row r="249" spans="1:24">
      <c r="A249" s="8"/>
      <c r="B249" s="1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 t="str">
        <f t="shared" si="3"/>
        <v/>
      </c>
      <c r="T249" s="8"/>
      <c r="U249" s="8"/>
      <c r="V249" s="10"/>
      <c r="W249" s="8"/>
      <c r="X249" s="10"/>
    </row>
    <row r="250" spans="1:24">
      <c r="A250" s="8"/>
      <c r="B250" s="1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9" t="str">
        <f t="shared" si="3"/>
        <v/>
      </c>
      <c r="T250" s="8"/>
      <c r="U250" s="8"/>
      <c r="V250" s="10"/>
      <c r="W250" s="8"/>
      <c r="X250" s="10"/>
    </row>
    <row r="251" spans="1:24">
      <c r="A251" s="8"/>
      <c r="B251" s="1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 t="str">
        <f t="shared" si="3"/>
        <v/>
      </c>
      <c r="T251" s="8"/>
      <c r="U251" s="8"/>
      <c r="V251" s="10"/>
      <c r="W251" s="8"/>
      <c r="X251" s="10"/>
    </row>
    <row r="252" spans="1:24">
      <c r="A252" s="8"/>
      <c r="B252" s="1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9" t="str">
        <f t="shared" si="3"/>
        <v/>
      </c>
      <c r="T252" s="8"/>
      <c r="U252" s="8"/>
      <c r="V252" s="10"/>
      <c r="W252" s="8"/>
      <c r="X252" s="10"/>
    </row>
    <row r="253" spans="1:24">
      <c r="A253" s="8"/>
      <c r="B253" s="1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9" t="str">
        <f t="shared" si="3"/>
        <v/>
      </c>
      <c r="T253" s="8"/>
      <c r="U253" s="8"/>
      <c r="V253" s="10"/>
      <c r="W253" s="8"/>
      <c r="X253" s="10"/>
    </row>
    <row r="254" spans="1:24">
      <c r="A254" s="8"/>
      <c r="B254" s="1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 t="str">
        <f t="shared" si="3"/>
        <v/>
      </c>
      <c r="T254" s="8"/>
      <c r="U254" s="8"/>
      <c r="V254" s="10"/>
      <c r="W254" s="8"/>
      <c r="X254" s="10"/>
    </row>
    <row r="255" spans="1:24">
      <c r="A255" s="8"/>
      <c r="B255" s="1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 t="str">
        <f t="shared" si="3"/>
        <v/>
      </c>
      <c r="T255" s="8"/>
      <c r="U255" s="8"/>
      <c r="V255" s="10"/>
      <c r="W255" s="8"/>
      <c r="X255" s="10"/>
    </row>
    <row r="256" spans="1:24">
      <c r="A256" s="8"/>
      <c r="B256" s="1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 t="str">
        <f t="shared" si="3"/>
        <v/>
      </c>
      <c r="T256" s="8"/>
      <c r="U256" s="8"/>
      <c r="V256" s="10"/>
      <c r="W256" s="8"/>
      <c r="X256" s="10"/>
    </row>
    <row r="257" spans="1:24">
      <c r="A257" s="8"/>
      <c r="B257" s="1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 t="str">
        <f t="shared" si="3"/>
        <v/>
      </c>
      <c r="T257" s="8"/>
      <c r="U257" s="8"/>
      <c r="V257" s="10"/>
      <c r="W257" s="8"/>
      <c r="X257" s="10"/>
    </row>
    <row r="258" spans="1:24">
      <c r="A258" s="8"/>
      <c r="B258" s="1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 t="str">
        <f t="shared" si="3"/>
        <v/>
      </c>
      <c r="T258" s="8"/>
      <c r="U258" s="8"/>
      <c r="V258" s="10"/>
      <c r="W258" s="8"/>
      <c r="X258" s="10"/>
    </row>
    <row r="259" spans="1:24">
      <c r="A259" s="8"/>
      <c r="B259" s="1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 t="str">
        <f t="shared" si="3"/>
        <v/>
      </c>
      <c r="T259" s="8"/>
      <c r="U259" s="8"/>
      <c r="V259" s="10"/>
      <c r="W259" s="8"/>
      <c r="X259" s="10"/>
    </row>
    <row r="260" spans="1:24">
      <c r="A260" s="8"/>
      <c r="B260" s="1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 t="str">
        <f t="shared" si="3"/>
        <v/>
      </c>
      <c r="T260" s="8"/>
      <c r="U260" s="8"/>
      <c r="V260" s="10"/>
      <c r="W260" s="8"/>
      <c r="X260" s="10"/>
    </row>
    <row r="261" spans="1:24">
      <c r="A261" s="8"/>
      <c r="B261" s="1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9" t="str">
        <f t="shared" ref="S261:S324" si="4">IF(A261="","",IF(COUNTIF(F261:R261,"Not Ready")&gt;0,"Blocked",IF(COUNTIF(F261:R261,"Pending")&gt;0,"Not Ready",IF(COUNTIF(F261:R261,"Exception Approved")&gt;0,"Ready with Conditions","Ready"))))</f>
        <v/>
      </c>
      <c r="T261" s="8"/>
      <c r="U261" s="8"/>
      <c r="V261" s="10"/>
      <c r="W261" s="8"/>
      <c r="X261" s="10"/>
    </row>
    <row r="262" spans="1:24">
      <c r="A262" s="8"/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 t="str">
        <f t="shared" si="4"/>
        <v/>
      </c>
      <c r="T262" s="8"/>
      <c r="U262" s="8"/>
      <c r="V262" s="10"/>
      <c r="W262" s="8"/>
      <c r="X262" s="10"/>
    </row>
    <row r="263" spans="1:24">
      <c r="A263" s="8"/>
      <c r="B263" s="1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 t="str">
        <f t="shared" si="4"/>
        <v/>
      </c>
      <c r="T263" s="8"/>
      <c r="U263" s="8"/>
      <c r="V263" s="10"/>
      <c r="W263" s="8"/>
      <c r="X263" s="10"/>
    </row>
    <row r="264" spans="1:24">
      <c r="A264" s="8"/>
      <c r="B264" s="1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9" t="str">
        <f t="shared" si="4"/>
        <v/>
      </c>
      <c r="T264" s="8"/>
      <c r="U264" s="8"/>
      <c r="V264" s="10"/>
      <c r="W264" s="8"/>
      <c r="X264" s="10"/>
    </row>
    <row r="265" spans="1:24">
      <c r="A265" s="8"/>
      <c r="B265" s="1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9" t="str">
        <f t="shared" si="4"/>
        <v/>
      </c>
      <c r="T265" s="8"/>
      <c r="U265" s="8"/>
      <c r="V265" s="10"/>
      <c r="W265" s="8"/>
      <c r="X265" s="10"/>
    </row>
    <row r="266" spans="1:24">
      <c r="A266" s="8"/>
      <c r="B266" s="1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9" t="str">
        <f t="shared" si="4"/>
        <v/>
      </c>
      <c r="T266" s="8"/>
      <c r="U266" s="8"/>
      <c r="V266" s="10"/>
      <c r="W266" s="8"/>
      <c r="X266" s="10"/>
    </row>
    <row r="267" spans="1:24">
      <c r="A267" s="8"/>
      <c r="B267" s="1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9" t="str">
        <f t="shared" si="4"/>
        <v/>
      </c>
      <c r="T267" s="8"/>
      <c r="U267" s="8"/>
      <c r="V267" s="10"/>
      <c r="W267" s="8"/>
      <c r="X267" s="10"/>
    </row>
    <row r="268" spans="1:24">
      <c r="A268" s="8"/>
      <c r="B268" s="1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9" t="str">
        <f t="shared" si="4"/>
        <v/>
      </c>
      <c r="T268" s="8"/>
      <c r="U268" s="8"/>
      <c r="V268" s="10"/>
      <c r="W268" s="8"/>
      <c r="X268" s="10"/>
    </row>
    <row r="269" spans="1:24">
      <c r="A269" s="8"/>
      <c r="B269" s="1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 t="str">
        <f t="shared" si="4"/>
        <v/>
      </c>
      <c r="T269" s="8"/>
      <c r="U269" s="8"/>
      <c r="V269" s="10"/>
      <c r="W269" s="8"/>
      <c r="X269" s="10"/>
    </row>
    <row r="270" spans="1:24">
      <c r="A270" s="8"/>
      <c r="B270" s="1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 t="str">
        <f t="shared" si="4"/>
        <v/>
      </c>
      <c r="T270" s="8"/>
      <c r="U270" s="8"/>
      <c r="V270" s="10"/>
      <c r="W270" s="8"/>
      <c r="X270" s="10"/>
    </row>
    <row r="271" spans="1:24">
      <c r="A271" s="8"/>
      <c r="B271" s="1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 t="str">
        <f t="shared" si="4"/>
        <v/>
      </c>
      <c r="T271" s="8"/>
      <c r="U271" s="8"/>
      <c r="V271" s="10"/>
      <c r="W271" s="8"/>
      <c r="X271" s="10"/>
    </row>
    <row r="272" spans="1:24">
      <c r="A272" s="8"/>
      <c r="B272" s="1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 t="str">
        <f t="shared" si="4"/>
        <v/>
      </c>
      <c r="T272" s="8"/>
      <c r="U272" s="8"/>
      <c r="V272" s="10"/>
      <c r="W272" s="8"/>
      <c r="X272" s="10"/>
    </row>
    <row r="273" spans="1:24">
      <c r="A273" s="8"/>
      <c r="B273" s="1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 t="str">
        <f t="shared" si="4"/>
        <v/>
      </c>
      <c r="T273" s="8"/>
      <c r="U273" s="8"/>
      <c r="V273" s="10"/>
      <c r="W273" s="8"/>
      <c r="X273" s="10"/>
    </row>
    <row r="274" spans="1:24">
      <c r="A274" s="8"/>
      <c r="B274" s="1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 t="str">
        <f t="shared" si="4"/>
        <v/>
      </c>
      <c r="T274" s="8"/>
      <c r="U274" s="8"/>
      <c r="V274" s="10"/>
      <c r="W274" s="8"/>
      <c r="X274" s="10"/>
    </row>
    <row r="275" spans="1:24">
      <c r="A275" s="8"/>
      <c r="B275" s="1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 t="str">
        <f t="shared" si="4"/>
        <v/>
      </c>
      <c r="T275" s="8"/>
      <c r="U275" s="8"/>
      <c r="V275" s="10"/>
      <c r="W275" s="8"/>
      <c r="X275" s="10"/>
    </row>
    <row r="276" spans="1:24">
      <c r="A276" s="8"/>
      <c r="B276" s="1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 t="str">
        <f t="shared" si="4"/>
        <v/>
      </c>
      <c r="T276" s="8"/>
      <c r="U276" s="8"/>
      <c r="V276" s="10"/>
      <c r="W276" s="8"/>
      <c r="X276" s="10"/>
    </row>
    <row r="277" spans="1:24">
      <c r="A277" s="8"/>
      <c r="B277" s="1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 t="str">
        <f t="shared" si="4"/>
        <v/>
      </c>
      <c r="T277" s="8"/>
      <c r="U277" s="8"/>
      <c r="V277" s="10"/>
      <c r="W277" s="8"/>
      <c r="X277" s="10"/>
    </row>
    <row r="278" spans="1:24">
      <c r="A278" s="8"/>
      <c r="B278" s="1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 t="str">
        <f t="shared" si="4"/>
        <v/>
      </c>
      <c r="T278" s="8"/>
      <c r="U278" s="8"/>
      <c r="V278" s="10"/>
      <c r="W278" s="8"/>
      <c r="X278" s="10"/>
    </row>
    <row r="279" spans="1:24">
      <c r="A279" s="8"/>
      <c r="B279" s="1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 t="str">
        <f t="shared" si="4"/>
        <v/>
      </c>
      <c r="T279" s="8"/>
      <c r="U279" s="8"/>
      <c r="V279" s="10"/>
      <c r="W279" s="8"/>
      <c r="X279" s="10"/>
    </row>
    <row r="280" spans="1:24">
      <c r="A280" s="8"/>
      <c r="B280" s="1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9" t="str">
        <f t="shared" si="4"/>
        <v/>
      </c>
      <c r="T280" s="8"/>
      <c r="U280" s="8"/>
      <c r="V280" s="10"/>
      <c r="W280" s="8"/>
      <c r="X280" s="10"/>
    </row>
    <row r="281" spans="1:24">
      <c r="A281" s="8"/>
      <c r="B281" s="1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9" t="str">
        <f t="shared" si="4"/>
        <v/>
      </c>
      <c r="T281" s="8"/>
      <c r="U281" s="8"/>
      <c r="V281" s="10"/>
      <c r="W281" s="8"/>
      <c r="X281" s="10"/>
    </row>
    <row r="282" spans="1:24">
      <c r="A282" s="8"/>
      <c r="B282" s="1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9" t="str">
        <f t="shared" si="4"/>
        <v/>
      </c>
      <c r="T282" s="8"/>
      <c r="U282" s="8"/>
      <c r="V282" s="10"/>
      <c r="W282" s="8"/>
      <c r="X282" s="10"/>
    </row>
    <row r="283" spans="1:24">
      <c r="A283" s="8"/>
      <c r="B283" s="1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 t="str">
        <f t="shared" si="4"/>
        <v/>
      </c>
      <c r="T283" s="8"/>
      <c r="U283" s="8"/>
      <c r="V283" s="10"/>
      <c r="W283" s="8"/>
      <c r="X283" s="10"/>
    </row>
    <row r="284" spans="1:24">
      <c r="A284" s="8"/>
      <c r="B284" s="1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 t="str">
        <f t="shared" si="4"/>
        <v/>
      </c>
      <c r="T284" s="8"/>
      <c r="U284" s="8"/>
      <c r="V284" s="10"/>
      <c r="W284" s="8"/>
      <c r="X284" s="10"/>
    </row>
    <row r="285" spans="1:24">
      <c r="A285" s="8"/>
      <c r="B285" s="1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 t="str">
        <f t="shared" si="4"/>
        <v/>
      </c>
      <c r="T285" s="8"/>
      <c r="U285" s="8"/>
      <c r="V285" s="10"/>
      <c r="W285" s="8"/>
      <c r="X285" s="10"/>
    </row>
    <row r="286" spans="1:24">
      <c r="A286" s="8"/>
      <c r="B286" s="1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 t="str">
        <f t="shared" si="4"/>
        <v/>
      </c>
      <c r="T286" s="8"/>
      <c r="U286" s="8"/>
      <c r="V286" s="10"/>
      <c r="W286" s="8"/>
      <c r="X286" s="10"/>
    </row>
    <row r="287" spans="1:24">
      <c r="A287" s="8"/>
      <c r="B287" s="1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 t="str">
        <f t="shared" si="4"/>
        <v/>
      </c>
      <c r="T287" s="8"/>
      <c r="U287" s="8"/>
      <c r="V287" s="10"/>
      <c r="W287" s="8"/>
      <c r="X287" s="10"/>
    </row>
    <row r="288" spans="1:24">
      <c r="A288" s="8"/>
      <c r="B288" s="1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 t="str">
        <f t="shared" si="4"/>
        <v/>
      </c>
      <c r="T288" s="8"/>
      <c r="U288" s="8"/>
      <c r="V288" s="10"/>
      <c r="W288" s="8"/>
      <c r="X288" s="10"/>
    </row>
    <row r="289" spans="1:24">
      <c r="A289" s="8"/>
      <c r="B289" s="1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 t="str">
        <f t="shared" si="4"/>
        <v/>
      </c>
      <c r="T289" s="8"/>
      <c r="U289" s="8"/>
      <c r="V289" s="10"/>
      <c r="W289" s="8"/>
      <c r="X289" s="10"/>
    </row>
    <row r="290" spans="1:24">
      <c r="A290" s="8"/>
      <c r="B290" s="1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 t="str">
        <f t="shared" si="4"/>
        <v/>
      </c>
      <c r="T290" s="8"/>
      <c r="U290" s="8"/>
      <c r="V290" s="10"/>
      <c r="W290" s="8"/>
      <c r="X290" s="10"/>
    </row>
    <row r="291" spans="1:24">
      <c r="A291" s="8"/>
      <c r="B291" s="1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 t="str">
        <f t="shared" si="4"/>
        <v/>
      </c>
      <c r="T291" s="8"/>
      <c r="U291" s="8"/>
      <c r="V291" s="10"/>
      <c r="W291" s="8"/>
      <c r="X291" s="10"/>
    </row>
    <row r="292" spans="1:24">
      <c r="A292" s="8"/>
      <c r="B292" s="1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 t="str">
        <f t="shared" si="4"/>
        <v/>
      </c>
      <c r="T292" s="8"/>
      <c r="U292" s="8"/>
      <c r="V292" s="10"/>
      <c r="W292" s="8"/>
      <c r="X292" s="10"/>
    </row>
    <row r="293" spans="1:24">
      <c r="A293" s="8"/>
      <c r="B293" s="1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 t="str">
        <f t="shared" si="4"/>
        <v/>
      </c>
      <c r="T293" s="8"/>
      <c r="U293" s="8"/>
      <c r="V293" s="10"/>
      <c r="W293" s="8"/>
      <c r="X293" s="10"/>
    </row>
    <row r="294" spans="1:24">
      <c r="A294" s="8"/>
      <c r="B294" s="1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 t="str">
        <f t="shared" si="4"/>
        <v/>
      </c>
      <c r="T294" s="8"/>
      <c r="U294" s="8"/>
      <c r="V294" s="10"/>
      <c r="W294" s="8"/>
      <c r="X294" s="10"/>
    </row>
    <row r="295" spans="1:24">
      <c r="A295" s="8"/>
      <c r="B295" s="1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 t="str">
        <f t="shared" si="4"/>
        <v/>
      </c>
      <c r="T295" s="8"/>
      <c r="U295" s="8"/>
      <c r="V295" s="10"/>
      <c r="W295" s="8"/>
      <c r="X295" s="10"/>
    </row>
    <row r="296" spans="1:24">
      <c r="A296" s="8"/>
      <c r="B296" s="1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 t="str">
        <f t="shared" si="4"/>
        <v/>
      </c>
      <c r="T296" s="8"/>
      <c r="U296" s="8"/>
      <c r="V296" s="10"/>
      <c r="W296" s="8"/>
      <c r="X296" s="10"/>
    </row>
    <row r="297" spans="1:24">
      <c r="A297" s="8"/>
      <c r="B297" s="1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 t="str">
        <f t="shared" si="4"/>
        <v/>
      </c>
      <c r="T297" s="8"/>
      <c r="U297" s="8"/>
      <c r="V297" s="10"/>
      <c r="W297" s="8"/>
      <c r="X297" s="10"/>
    </row>
    <row r="298" spans="1:24">
      <c r="A298" s="8"/>
      <c r="B298" s="1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 t="str">
        <f t="shared" si="4"/>
        <v/>
      </c>
      <c r="T298" s="8"/>
      <c r="U298" s="8"/>
      <c r="V298" s="10"/>
      <c r="W298" s="8"/>
      <c r="X298" s="10"/>
    </row>
    <row r="299" spans="1:24">
      <c r="A299" s="8"/>
      <c r="B299" s="1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 t="str">
        <f t="shared" si="4"/>
        <v/>
      </c>
      <c r="T299" s="8"/>
      <c r="U299" s="8"/>
      <c r="V299" s="10"/>
      <c r="W299" s="8"/>
      <c r="X299" s="10"/>
    </row>
    <row r="300" spans="1:24">
      <c r="A300" s="8"/>
      <c r="B300" s="1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 t="str">
        <f t="shared" si="4"/>
        <v/>
      </c>
      <c r="T300" s="8"/>
      <c r="U300" s="8"/>
      <c r="V300" s="10"/>
      <c r="W300" s="8"/>
      <c r="X300" s="10"/>
    </row>
    <row r="301" spans="1:24">
      <c r="A301" s="8"/>
      <c r="B301" s="1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9" t="str">
        <f t="shared" si="4"/>
        <v/>
      </c>
      <c r="T301" s="8"/>
      <c r="U301" s="8"/>
      <c r="V301" s="10"/>
      <c r="W301" s="8"/>
      <c r="X301" s="10"/>
    </row>
    <row r="302" spans="1:24">
      <c r="A302" s="8"/>
      <c r="B302" s="1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 t="str">
        <f t="shared" si="4"/>
        <v/>
      </c>
      <c r="T302" s="8"/>
      <c r="U302" s="8"/>
      <c r="V302" s="10"/>
      <c r="W302" s="8"/>
      <c r="X302" s="10"/>
    </row>
    <row r="303" spans="1:24">
      <c r="A303" s="8"/>
      <c r="B303" s="1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 t="str">
        <f t="shared" si="4"/>
        <v/>
      </c>
      <c r="T303" s="8"/>
      <c r="U303" s="8"/>
      <c r="V303" s="10"/>
      <c r="W303" s="8"/>
      <c r="X303" s="10"/>
    </row>
    <row r="304" spans="1:24">
      <c r="A304" s="8"/>
      <c r="B304" s="1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 t="str">
        <f t="shared" si="4"/>
        <v/>
      </c>
      <c r="T304" s="8"/>
      <c r="U304" s="8"/>
      <c r="V304" s="10"/>
      <c r="W304" s="8"/>
      <c r="X304" s="10"/>
    </row>
  </sheetData>
  <mergeCells count="2">
    <mergeCell ref="A1:X1"/>
    <mergeCell ref="A2:X2"/>
  </mergeCells>
  <conditionalFormatting sqref="A5:A304">
    <cfRule type="duplicateValues" dxfId="52" priority="9"/>
  </conditionalFormatting>
  <conditionalFormatting sqref="S5:S304">
    <cfRule type="containsText" dxfId="51" priority="1" operator="containsText" text="Approved"/>
    <cfRule type="containsText" dxfId="50" priority="4" operator="containsText" text="Failed"/>
    <cfRule type="containsText" dxfId="49" priority="7" operator="containsText" text="On Hold"/>
  </conditionalFormatting>
  <dataValidations count="1">
    <dataValidation type="list" sqref="F5:R304" xr:uid="{00000000-0002-0000-1400-000000000000}">
      <formula1>"Pending,Ready,Not Ready,N/A,Exception Approved"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304"/>
  <sheetViews>
    <sheetView showGridLines="0" workbookViewId="0">
      <selection sqref="A1:R1"/>
    </sheetView>
  </sheetViews>
  <sheetFormatPr baseColWidth="10" defaultColWidth="8.83203125" defaultRowHeight="14"/>
  <cols>
    <col min="1" max="1" width="17" customWidth="1"/>
    <col min="2" max="3" width="14" customWidth="1"/>
    <col min="4" max="5" width="13" customWidth="1"/>
    <col min="6" max="6" width="14" customWidth="1"/>
    <col min="7" max="7" width="18" customWidth="1"/>
    <col min="8" max="11" width="15" customWidth="1"/>
    <col min="12" max="13" width="14" customWidth="1"/>
    <col min="14" max="14" width="18" customWidth="1"/>
    <col min="15" max="15" width="22" customWidth="1"/>
    <col min="16" max="16" width="18" customWidth="1"/>
    <col min="17" max="17" width="15" customWidth="1"/>
    <col min="18" max="18" width="24" customWidth="1"/>
  </cols>
  <sheetData>
    <row r="1" spans="1:18" ht="30" customHeight="1">
      <c r="A1" s="52" t="s">
        <v>340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4" spans="1:18" ht="44" customHeight="1">
      <c r="A4" s="6" t="s">
        <v>341</v>
      </c>
      <c r="B4" s="6" t="s">
        <v>342</v>
      </c>
      <c r="C4" s="6" t="s">
        <v>44</v>
      </c>
      <c r="D4" s="6" t="s">
        <v>45</v>
      </c>
      <c r="E4" s="6" t="s">
        <v>46</v>
      </c>
      <c r="F4" s="6" t="s">
        <v>308</v>
      </c>
      <c r="G4" s="6" t="s">
        <v>343</v>
      </c>
      <c r="H4" s="6" t="s">
        <v>344</v>
      </c>
      <c r="I4" s="6" t="s">
        <v>283</v>
      </c>
      <c r="J4" s="6" t="s">
        <v>110</v>
      </c>
      <c r="K4" s="6" t="s">
        <v>345</v>
      </c>
      <c r="L4" s="6" t="s">
        <v>346</v>
      </c>
      <c r="M4" s="6" t="s">
        <v>347</v>
      </c>
      <c r="N4" s="6" t="s">
        <v>348</v>
      </c>
      <c r="O4" s="6" t="s">
        <v>349</v>
      </c>
      <c r="P4" s="6" t="s">
        <v>350</v>
      </c>
      <c r="Q4" s="6" t="s">
        <v>63</v>
      </c>
      <c r="R4" s="6" t="s">
        <v>161</v>
      </c>
    </row>
    <row r="5" spans="1:18">
      <c r="A5" s="8"/>
      <c r="B5" s="10"/>
      <c r="C5" s="8"/>
      <c r="D5" s="8"/>
      <c r="E5" s="8"/>
      <c r="F5" s="8"/>
      <c r="G5" s="13"/>
      <c r="H5" s="13"/>
      <c r="I5" s="8"/>
      <c r="J5" s="13"/>
      <c r="K5" s="8"/>
      <c r="L5" s="8"/>
      <c r="M5" s="8"/>
      <c r="N5" s="8"/>
      <c r="O5" s="8"/>
      <c r="P5" s="8"/>
      <c r="Q5" s="10"/>
      <c r="R5" s="8"/>
    </row>
    <row r="6" spans="1:18">
      <c r="A6" s="8"/>
      <c r="B6" s="10"/>
      <c r="C6" s="8"/>
      <c r="D6" s="8"/>
      <c r="E6" s="8"/>
      <c r="F6" s="8"/>
      <c r="G6" s="13"/>
      <c r="H6" s="13"/>
      <c r="I6" s="8"/>
      <c r="J6" s="13"/>
      <c r="K6" s="8"/>
      <c r="L6" s="8"/>
      <c r="M6" s="8"/>
      <c r="N6" s="8"/>
      <c r="O6" s="8"/>
      <c r="P6" s="8"/>
      <c r="Q6" s="10"/>
      <c r="R6" s="8"/>
    </row>
    <row r="7" spans="1:18">
      <c r="A7" s="8"/>
      <c r="B7" s="10"/>
      <c r="C7" s="8"/>
      <c r="D7" s="8"/>
      <c r="E7" s="8"/>
      <c r="F7" s="8"/>
      <c r="G7" s="13"/>
      <c r="H7" s="13"/>
      <c r="I7" s="8"/>
      <c r="J7" s="13"/>
      <c r="K7" s="8"/>
      <c r="L7" s="8"/>
      <c r="M7" s="8"/>
      <c r="N7" s="8"/>
      <c r="O7" s="8"/>
      <c r="P7" s="8"/>
      <c r="Q7" s="10"/>
      <c r="R7" s="8"/>
    </row>
    <row r="8" spans="1:18">
      <c r="A8" s="8"/>
      <c r="B8" s="10"/>
      <c r="C8" s="8"/>
      <c r="D8" s="8"/>
      <c r="E8" s="8"/>
      <c r="F8" s="8"/>
      <c r="G8" s="13"/>
      <c r="H8" s="13"/>
      <c r="I8" s="8"/>
      <c r="J8" s="13"/>
      <c r="K8" s="8"/>
      <c r="L8" s="8"/>
      <c r="M8" s="8"/>
      <c r="N8" s="8"/>
      <c r="O8" s="8"/>
      <c r="P8" s="8"/>
      <c r="Q8" s="10"/>
      <c r="R8" s="8"/>
    </row>
    <row r="9" spans="1:18">
      <c r="A9" s="8"/>
      <c r="B9" s="10"/>
      <c r="C9" s="8"/>
      <c r="D9" s="8"/>
      <c r="E9" s="8"/>
      <c r="F9" s="8"/>
      <c r="G9" s="13"/>
      <c r="H9" s="13"/>
      <c r="I9" s="8"/>
      <c r="J9" s="13"/>
      <c r="K9" s="8"/>
      <c r="L9" s="8"/>
      <c r="M9" s="8"/>
      <c r="N9" s="8"/>
      <c r="O9" s="8"/>
      <c r="P9" s="8"/>
      <c r="Q9" s="10"/>
      <c r="R9" s="8"/>
    </row>
    <row r="10" spans="1:18">
      <c r="A10" s="8"/>
      <c r="B10" s="10"/>
      <c r="C10" s="8"/>
      <c r="D10" s="8"/>
      <c r="E10" s="8"/>
      <c r="F10" s="8"/>
      <c r="G10" s="13"/>
      <c r="H10" s="13"/>
      <c r="I10" s="8"/>
      <c r="J10" s="13"/>
      <c r="K10" s="8"/>
      <c r="L10" s="8"/>
      <c r="M10" s="8"/>
      <c r="N10" s="8"/>
      <c r="O10" s="8"/>
      <c r="P10" s="8"/>
      <c r="Q10" s="10"/>
      <c r="R10" s="8"/>
    </row>
    <row r="11" spans="1:18">
      <c r="A11" s="8"/>
      <c r="B11" s="10"/>
      <c r="C11" s="8"/>
      <c r="D11" s="8"/>
      <c r="E11" s="8"/>
      <c r="F11" s="8"/>
      <c r="G11" s="13"/>
      <c r="H11" s="13"/>
      <c r="I11" s="8"/>
      <c r="J11" s="13"/>
      <c r="K11" s="8"/>
      <c r="L11" s="8"/>
      <c r="M11" s="8"/>
      <c r="N11" s="8"/>
      <c r="O11" s="8"/>
      <c r="P11" s="8"/>
      <c r="Q11" s="10"/>
      <c r="R11" s="8"/>
    </row>
    <row r="12" spans="1:18">
      <c r="A12" s="8"/>
      <c r="B12" s="10"/>
      <c r="C12" s="8"/>
      <c r="D12" s="8"/>
      <c r="E12" s="8"/>
      <c r="F12" s="8"/>
      <c r="G12" s="13"/>
      <c r="H12" s="13"/>
      <c r="I12" s="8"/>
      <c r="J12" s="13"/>
      <c r="K12" s="8"/>
      <c r="L12" s="8"/>
      <c r="M12" s="8"/>
      <c r="N12" s="8"/>
      <c r="O12" s="8"/>
      <c r="P12" s="8"/>
      <c r="Q12" s="10"/>
      <c r="R12" s="8"/>
    </row>
    <row r="13" spans="1:18">
      <c r="A13" s="8"/>
      <c r="B13" s="10"/>
      <c r="C13" s="8"/>
      <c r="D13" s="8"/>
      <c r="E13" s="8"/>
      <c r="F13" s="8"/>
      <c r="G13" s="13"/>
      <c r="H13" s="13"/>
      <c r="I13" s="8"/>
      <c r="J13" s="13"/>
      <c r="K13" s="8"/>
      <c r="L13" s="8"/>
      <c r="M13" s="8"/>
      <c r="N13" s="8"/>
      <c r="O13" s="8"/>
      <c r="P13" s="8"/>
      <c r="Q13" s="10"/>
      <c r="R13" s="8"/>
    </row>
    <row r="14" spans="1:18">
      <c r="A14" s="8"/>
      <c r="B14" s="10"/>
      <c r="C14" s="8"/>
      <c r="D14" s="8"/>
      <c r="E14" s="8"/>
      <c r="F14" s="8"/>
      <c r="G14" s="13"/>
      <c r="H14" s="13"/>
      <c r="I14" s="8"/>
      <c r="J14" s="13"/>
      <c r="K14" s="8"/>
      <c r="L14" s="8"/>
      <c r="M14" s="8"/>
      <c r="N14" s="8"/>
      <c r="O14" s="8"/>
      <c r="P14" s="8"/>
      <c r="Q14" s="10"/>
      <c r="R14" s="8"/>
    </row>
    <row r="15" spans="1:18">
      <c r="A15" s="8"/>
      <c r="B15" s="10"/>
      <c r="C15" s="8"/>
      <c r="D15" s="8"/>
      <c r="E15" s="8"/>
      <c r="F15" s="8"/>
      <c r="G15" s="13"/>
      <c r="H15" s="13"/>
      <c r="I15" s="8"/>
      <c r="J15" s="13"/>
      <c r="K15" s="8"/>
      <c r="L15" s="8"/>
      <c r="M15" s="8"/>
      <c r="N15" s="8"/>
      <c r="O15" s="8"/>
      <c r="P15" s="8"/>
      <c r="Q15" s="10"/>
      <c r="R15" s="8"/>
    </row>
    <row r="16" spans="1:18">
      <c r="A16" s="8"/>
      <c r="B16" s="10"/>
      <c r="C16" s="8"/>
      <c r="D16" s="8"/>
      <c r="E16" s="8"/>
      <c r="F16" s="8"/>
      <c r="G16" s="13"/>
      <c r="H16" s="13"/>
      <c r="I16" s="8"/>
      <c r="J16" s="13"/>
      <c r="K16" s="8"/>
      <c r="L16" s="8"/>
      <c r="M16" s="8"/>
      <c r="N16" s="8"/>
      <c r="O16" s="8"/>
      <c r="P16" s="8"/>
      <c r="Q16" s="10"/>
      <c r="R16" s="8"/>
    </row>
    <row r="17" spans="1:18">
      <c r="A17" s="8"/>
      <c r="B17" s="10"/>
      <c r="C17" s="8"/>
      <c r="D17" s="8"/>
      <c r="E17" s="8"/>
      <c r="F17" s="8"/>
      <c r="G17" s="13"/>
      <c r="H17" s="13"/>
      <c r="I17" s="8"/>
      <c r="J17" s="13"/>
      <c r="K17" s="8"/>
      <c r="L17" s="8"/>
      <c r="M17" s="8"/>
      <c r="N17" s="8"/>
      <c r="O17" s="8"/>
      <c r="P17" s="8"/>
      <c r="Q17" s="10"/>
      <c r="R17" s="8"/>
    </row>
    <row r="18" spans="1:18">
      <c r="A18" s="8"/>
      <c r="B18" s="10"/>
      <c r="C18" s="8"/>
      <c r="D18" s="8"/>
      <c r="E18" s="8"/>
      <c r="F18" s="8"/>
      <c r="G18" s="13"/>
      <c r="H18" s="13"/>
      <c r="I18" s="8"/>
      <c r="J18" s="13"/>
      <c r="K18" s="8"/>
      <c r="L18" s="8"/>
      <c r="M18" s="8"/>
      <c r="N18" s="8"/>
      <c r="O18" s="8"/>
      <c r="P18" s="8"/>
      <c r="Q18" s="10"/>
      <c r="R18" s="8"/>
    </row>
    <row r="19" spans="1:18">
      <c r="A19" s="8"/>
      <c r="B19" s="10"/>
      <c r="C19" s="8"/>
      <c r="D19" s="8"/>
      <c r="E19" s="8"/>
      <c r="F19" s="8"/>
      <c r="G19" s="13"/>
      <c r="H19" s="13"/>
      <c r="I19" s="8"/>
      <c r="J19" s="13"/>
      <c r="K19" s="8"/>
      <c r="L19" s="8"/>
      <c r="M19" s="8"/>
      <c r="N19" s="8"/>
      <c r="O19" s="8"/>
      <c r="P19" s="8"/>
      <c r="Q19" s="10"/>
      <c r="R19" s="8"/>
    </row>
    <row r="20" spans="1:18">
      <c r="A20" s="8"/>
      <c r="B20" s="10"/>
      <c r="C20" s="8"/>
      <c r="D20" s="8"/>
      <c r="E20" s="8"/>
      <c r="F20" s="8"/>
      <c r="G20" s="13"/>
      <c r="H20" s="13"/>
      <c r="I20" s="8"/>
      <c r="J20" s="13"/>
      <c r="K20" s="8"/>
      <c r="L20" s="8"/>
      <c r="M20" s="8"/>
      <c r="N20" s="8"/>
      <c r="O20" s="8"/>
      <c r="P20" s="8"/>
      <c r="Q20" s="10"/>
      <c r="R20" s="8"/>
    </row>
    <row r="21" spans="1:18">
      <c r="A21" s="8"/>
      <c r="B21" s="10"/>
      <c r="C21" s="8"/>
      <c r="D21" s="8"/>
      <c r="E21" s="8"/>
      <c r="F21" s="8"/>
      <c r="G21" s="13"/>
      <c r="H21" s="13"/>
      <c r="I21" s="8"/>
      <c r="J21" s="13"/>
      <c r="K21" s="8"/>
      <c r="L21" s="8"/>
      <c r="M21" s="8"/>
      <c r="N21" s="8"/>
      <c r="O21" s="8"/>
      <c r="P21" s="8"/>
      <c r="Q21" s="10"/>
      <c r="R21" s="8"/>
    </row>
    <row r="22" spans="1:18">
      <c r="A22" s="8"/>
      <c r="B22" s="10"/>
      <c r="C22" s="8"/>
      <c r="D22" s="8"/>
      <c r="E22" s="8"/>
      <c r="F22" s="8"/>
      <c r="G22" s="13"/>
      <c r="H22" s="13"/>
      <c r="I22" s="8"/>
      <c r="J22" s="13"/>
      <c r="K22" s="8"/>
      <c r="L22" s="8"/>
      <c r="M22" s="8"/>
      <c r="N22" s="8"/>
      <c r="O22" s="8"/>
      <c r="P22" s="8"/>
      <c r="Q22" s="10"/>
      <c r="R22" s="8"/>
    </row>
    <row r="23" spans="1:18">
      <c r="A23" s="8"/>
      <c r="B23" s="10"/>
      <c r="C23" s="8"/>
      <c r="D23" s="8"/>
      <c r="E23" s="8"/>
      <c r="F23" s="8"/>
      <c r="G23" s="13"/>
      <c r="H23" s="13"/>
      <c r="I23" s="8"/>
      <c r="J23" s="13"/>
      <c r="K23" s="8"/>
      <c r="L23" s="8"/>
      <c r="M23" s="8"/>
      <c r="N23" s="8"/>
      <c r="O23" s="8"/>
      <c r="P23" s="8"/>
      <c r="Q23" s="10"/>
      <c r="R23" s="8"/>
    </row>
    <row r="24" spans="1:18">
      <c r="A24" s="8"/>
      <c r="B24" s="10"/>
      <c r="C24" s="8"/>
      <c r="D24" s="8"/>
      <c r="E24" s="8"/>
      <c r="F24" s="8"/>
      <c r="G24" s="13"/>
      <c r="H24" s="13"/>
      <c r="I24" s="8"/>
      <c r="J24" s="13"/>
      <c r="K24" s="8"/>
      <c r="L24" s="8"/>
      <c r="M24" s="8"/>
      <c r="N24" s="8"/>
      <c r="O24" s="8"/>
      <c r="P24" s="8"/>
      <c r="Q24" s="10"/>
      <c r="R24" s="8"/>
    </row>
    <row r="25" spans="1:18">
      <c r="A25" s="8"/>
      <c r="B25" s="10"/>
      <c r="C25" s="8"/>
      <c r="D25" s="8"/>
      <c r="E25" s="8"/>
      <c r="F25" s="8"/>
      <c r="G25" s="13"/>
      <c r="H25" s="13"/>
      <c r="I25" s="8"/>
      <c r="J25" s="13"/>
      <c r="K25" s="8"/>
      <c r="L25" s="8"/>
      <c r="M25" s="8"/>
      <c r="N25" s="8"/>
      <c r="O25" s="8"/>
      <c r="P25" s="8"/>
      <c r="Q25" s="10"/>
      <c r="R25" s="8"/>
    </row>
    <row r="26" spans="1:18">
      <c r="A26" s="8"/>
      <c r="B26" s="10"/>
      <c r="C26" s="8"/>
      <c r="D26" s="8"/>
      <c r="E26" s="8"/>
      <c r="F26" s="8"/>
      <c r="G26" s="13"/>
      <c r="H26" s="13"/>
      <c r="I26" s="8"/>
      <c r="J26" s="13"/>
      <c r="K26" s="8"/>
      <c r="L26" s="8"/>
      <c r="M26" s="8"/>
      <c r="N26" s="8"/>
      <c r="O26" s="8"/>
      <c r="P26" s="8"/>
      <c r="Q26" s="10"/>
      <c r="R26" s="8"/>
    </row>
    <row r="27" spans="1:18">
      <c r="A27" s="8"/>
      <c r="B27" s="10"/>
      <c r="C27" s="8"/>
      <c r="D27" s="8"/>
      <c r="E27" s="8"/>
      <c r="F27" s="8"/>
      <c r="G27" s="13"/>
      <c r="H27" s="13"/>
      <c r="I27" s="8"/>
      <c r="J27" s="13"/>
      <c r="K27" s="8"/>
      <c r="L27" s="8"/>
      <c r="M27" s="8"/>
      <c r="N27" s="8"/>
      <c r="O27" s="8"/>
      <c r="P27" s="8"/>
      <c r="Q27" s="10"/>
      <c r="R27" s="8"/>
    </row>
    <row r="28" spans="1:18">
      <c r="A28" s="8"/>
      <c r="B28" s="10"/>
      <c r="C28" s="8"/>
      <c r="D28" s="8"/>
      <c r="E28" s="8"/>
      <c r="F28" s="8"/>
      <c r="G28" s="13"/>
      <c r="H28" s="13"/>
      <c r="I28" s="8"/>
      <c r="J28" s="13"/>
      <c r="K28" s="8"/>
      <c r="L28" s="8"/>
      <c r="M28" s="8"/>
      <c r="N28" s="8"/>
      <c r="O28" s="8"/>
      <c r="P28" s="8"/>
      <c r="Q28" s="10"/>
      <c r="R28" s="8"/>
    </row>
    <row r="29" spans="1:18">
      <c r="A29" s="8"/>
      <c r="B29" s="10"/>
      <c r="C29" s="8"/>
      <c r="D29" s="8"/>
      <c r="E29" s="8"/>
      <c r="F29" s="8"/>
      <c r="G29" s="13"/>
      <c r="H29" s="13"/>
      <c r="I29" s="8"/>
      <c r="J29" s="13"/>
      <c r="K29" s="8"/>
      <c r="L29" s="8"/>
      <c r="M29" s="8"/>
      <c r="N29" s="8"/>
      <c r="O29" s="8"/>
      <c r="P29" s="8"/>
      <c r="Q29" s="10"/>
      <c r="R29" s="8"/>
    </row>
    <row r="30" spans="1:18">
      <c r="A30" s="8"/>
      <c r="B30" s="10"/>
      <c r="C30" s="8"/>
      <c r="D30" s="8"/>
      <c r="E30" s="8"/>
      <c r="F30" s="8"/>
      <c r="G30" s="13"/>
      <c r="H30" s="13"/>
      <c r="I30" s="8"/>
      <c r="J30" s="13"/>
      <c r="K30" s="8"/>
      <c r="L30" s="8"/>
      <c r="M30" s="8"/>
      <c r="N30" s="8"/>
      <c r="O30" s="8"/>
      <c r="P30" s="8"/>
      <c r="Q30" s="10"/>
      <c r="R30" s="8"/>
    </row>
    <row r="31" spans="1:18">
      <c r="A31" s="8"/>
      <c r="B31" s="10"/>
      <c r="C31" s="8"/>
      <c r="D31" s="8"/>
      <c r="E31" s="8"/>
      <c r="F31" s="8"/>
      <c r="G31" s="13"/>
      <c r="H31" s="13"/>
      <c r="I31" s="8"/>
      <c r="J31" s="13"/>
      <c r="K31" s="8"/>
      <c r="L31" s="8"/>
      <c r="M31" s="8"/>
      <c r="N31" s="8"/>
      <c r="O31" s="8"/>
      <c r="P31" s="8"/>
      <c r="Q31" s="10"/>
      <c r="R31" s="8"/>
    </row>
    <row r="32" spans="1:18">
      <c r="A32" s="8"/>
      <c r="B32" s="10"/>
      <c r="C32" s="8"/>
      <c r="D32" s="8"/>
      <c r="E32" s="8"/>
      <c r="F32" s="8"/>
      <c r="G32" s="13"/>
      <c r="H32" s="13"/>
      <c r="I32" s="8"/>
      <c r="J32" s="13"/>
      <c r="K32" s="8"/>
      <c r="L32" s="8"/>
      <c r="M32" s="8"/>
      <c r="N32" s="8"/>
      <c r="O32" s="8"/>
      <c r="P32" s="8"/>
      <c r="Q32" s="10"/>
      <c r="R32" s="8"/>
    </row>
    <row r="33" spans="1:18">
      <c r="A33" s="8"/>
      <c r="B33" s="10"/>
      <c r="C33" s="8"/>
      <c r="D33" s="8"/>
      <c r="E33" s="8"/>
      <c r="F33" s="8"/>
      <c r="G33" s="13"/>
      <c r="H33" s="13"/>
      <c r="I33" s="8"/>
      <c r="J33" s="13"/>
      <c r="K33" s="8"/>
      <c r="L33" s="8"/>
      <c r="M33" s="8"/>
      <c r="N33" s="8"/>
      <c r="O33" s="8"/>
      <c r="P33" s="8"/>
      <c r="Q33" s="10"/>
      <c r="R33" s="8"/>
    </row>
    <row r="34" spans="1:18">
      <c r="A34" s="8"/>
      <c r="B34" s="10"/>
      <c r="C34" s="8"/>
      <c r="D34" s="8"/>
      <c r="E34" s="8"/>
      <c r="F34" s="8"/>
      <c r="G34" s="13"/>
      <c r="H34" s="13"/>
      <c r="I34" s="8"/>
      <c r="J34" s="13"/>
      <c r="K34" s="8"/>
      <c r="L34" s="8"/>
      <c r="M34" s="8"/>
      <c r="N34" s="8"/>
      <c r="O34" s="8"/>
      <c r="P34" s="8"/>
      <c r="Q34" s="10"/>
      <c r="R34" s="8"/>
    </row>
    <row r="35" spans="1:18">
      <c r="A35" s="8"/>
      <c r="B35" s="10"/>
      <c r="C35" s="8"/>
      <c r="D35" s="8"/>
      <c r="E35" s="8"/>
      <c r="F35" s="8"/>
      <c r="G35" s="13"/>
      <c r="H35" s="13"/>
      <c r="I35" s="8"/>
      <c r="J35" s="13"/>
      <c r="K35" s="8"/>
      <c r="L35" s="8"/>
      <c r="M35" s="8"/>
      <c r="N35" s="8"/>
      <c r="O35" s="8"/>
      <c r="P35" s="8"/>
      <c r="Q35" s="10"/>
      <c r="R35" s="8"/>
    </row>
    <row r="36" spans="1:18">
      <c r="A36" s="8"/>
      <c r="B36" s="10"/>
      <c r="C36" s="8"/>
      <c r="D36" s="8"/>
      <c r="E36" s="8"/>
      <c r="F36" s="8"/>
      <c r="G36" s="13"/>
      <c r="H36" s="13"/>
      <c r="I36" s="8"/>
      <c r="J36" s="13"/>
      <c r="K36" s="8"/>
      <c r="L36" s="8"/>
      <c r="M36" s="8"/>
      <c r="N36" s="8"/>
      <c r="O36" s="8"/>
      <c r="P36" s="8"/>
      <c r="Q36" s="10"/>
      <c r="R36" s="8"/>
    </row>
    <row r="37" spans="1:18">
      <c r="A37" s="8"/>
      <c r="B37" s="10"/>
      <c r="C37" s="8"/>
      <c r="D37" s="8"/>
      <c r="E37" s="8"/>
      <c r="F37" s="8"/>
      <c r="G37" s="13"/>
      <c r="H37" s="13"/>
      <c r="I37" s="8"/>
      <c r="J37" s="13"/>
      <c r="K37" s="8"/>
      <c r="L37" s="8"/>
      <c r="M37" s="8"/>
      <c r="N37" s="8"/>
      <c r="O37" s="8"/>
      <c r="P37" s="8"/>
      <c r="Q37" s="10"/>
      <c r="R37" s="8"/>
    </row>
    <row r="38" spans="1:18">
      <c r="A38" s="8"/>
      <c r="B38" s="10"/>
      <c r="C38" s="8"/>
      <c r="D38" s="8"/>
      <c r="E38" s="8"/>
      <c r="F38" s="8"/>
      <c r="G38" s="13"/>
      <c r="H38" s="13"/>
      <c r="I38" s="8"/>
      <c r="J38" s="13"/>
      <c r="K38" s="8"/>
      <c r="L38" s="8"/>
      <c r="M38" s="8"/>
      <c r="N38" s="8"/>
      <c r="O38" s="8"/>
      <c r="P38" s="8"/>
      <c r="Q38" s="10"/>
      <c r="R38" s="8"/>
    </row>
    <row r="39" spans="1:18">
      <c r="A39" s="8"/>
      <c r="B39" s="10"/>
      <c r="C39" s="8"/>
      <c r="D39" s="8"/>
      <c r="E39" s="8"/>
      <c r="F39" s="8"/>
      <c r="G39" s="13"/>
      <c r="H39" s="13"/>
      <c r="I39" s="8"/>
      <c r="J39" s="13"/>
      <c r="K39" s="8"/>
      <c r="L39" s="8"/>
      <c r="M39" s="8"/>
      <c r="N39" s="8"/>
      <c r="O39" s="8"/>
      <c r="P39" s="8"/>
      <c r="Q39" s="10"/>
      <c r="R39" s="8"/>
    </row>
    <row r="40" spans="1:18">
      <c r="A40" s="8"/>
      <c r="B40" s="10"/>
      <c r="C40" s="8"/>
      <c r="D40" s="8"/>
      <c r="E40" s="8"/>
      <c r="F40" s="8"/>
      <c r="G40" s="13"/>
      <c r="H40" s="13"/>
      <c r="I40" s="8"/>
      <c r="J40" s="13"/>
      <c r="K40" s="8"/>
      <c r="L40" s="8"/>
      <c r="M40" s="8"/>
      <c r="N40" s="8"/>
      <c r="O40" s="8"/>
      <c r="P40" s="8"/>
      <c r="Q40" s="10"/>
      <c r="R40" s="8"/>
    </row>
    <row r="41" spans="1:18">
      <c r="A41" s="8"/>
      <c r="B41" s="10"/>
      <c r="C41" s="8"/>
      <c r="D41" s="8"/>
      <c r="E41" s="8"/>
      <c r="F41" s="8"/>
      <c r="G41" s="13"/>
      <c r="H41" s="13"/>
      <c r="I41" s="8"/>
      <c r="J41" s="13"/>
      <c r="K41" s="8"/>
      <c r="L41" s="8"/>
      <c r="M41" s="8"/>
      <c r="N41" s="8"/>
      <c r="O41" s="8"/>
      <c r="P41" s="8"/>
      <c r="Q41" s="10"/>
      <c r="R41" s="8"/>
    </row>
    <row r="42" spans="1:18">
      <c r="A42" s="8"/>
      <c r="B42" s="10"/>
      <c r="C42" s="8"/>
      <c r="D42" s="8"/>
      <c r="E42" s="8"/>
      <c r="F42" s="8"/>
      <c r="G42" s="13"/>
      <c r="H42" s="13"/>
      <c r="I42" s="8"/>
      <c r="J42" s="13"/>
      <c r="K42" s="8"/>
      <c r="L42" s="8"/>
      <c r="M42" s="8"/>
      <c r="N42" s="8"/>
      <c r="O42" s="8"/>
      <c r="P42" s="8"/>
      <c r="Q42" s="10"/>
      <c r="R42" s="8"/>
    </row>
    <row r="43" spans="1:18">
      <c r="A43" s="8"/>
      <c r="B43" s="10"/>
      <c r="C43" s="8"/>
      <c r="D43" s="8"/>
      <c r="E43" s="8"/>
      <c r="F43" s="8"/>
      <c r="G43" s="13"/>
      <c r="H43" s="13"/>
      <c r="I43" s="8"/>
      <c r="J43" s="13"/>
      <c r="K43" s="8"/>
      <c r="L43" s="8"/>
      <c r="M43" s="8"/>
      <c r="N43" s="8"/>
      <c r="O43" s="8"/>
      <c r="P43" s="8"/>
      <c r="Q43" s="10"/>
      <c r="R43" s="8"/>
    </row>
    <row r="44" spans="1:18">
      <c r="A44" s="8"/>
      <c r="B44" s="10"/>
      <c r="C44" s="8"/>
      <c r="D44" s="8"/>
      <c r="E44" s="8"/>
      <c r="F44" s="8"/>
      <c r="G44" s="13"/>
      <c r="H44" s="13"/>
      <c r="I44" s="8"/>
      <c r="J44" s="13"/>
      <c r="K44" s="8"/>
      <c r="L44" s="8"/>
      <c r="M44" s="8"/>
      <c r="N44" s="8"/>
      <c r="O44" s="8"/>
      <c r="P44" s="8"/>
      <c r="Q44" s="10"/>
      <c r="R44" s="8"/>
    </row>
    <row r="45" spans="1:18">
      <c r="A45" s="8"/>
      <c r="B45" s="10"/>
      <c r="C45" s="8"/>
      <c r="D45" s="8"/>
      <c r="E45" s="8"/>
      <c r="F45" s="8"/>
      <c r="G45" s="13"/>
      <c r="H45" s="13"/>
      <c r="I45" s="8"/>
      <c r="J45" s="13"/>
      <c r="K45" s="8"/>
      <c r="L45" s="8"/>
      <c r="M45" s="8"/>
      <c r="N45" s="8"/>
      <c r="O45" s="8"/>
      <c r="P45" s="8"/>
      <c r="Q45" s="10"/>
      <c r="R45" s="8"/>
    </row>
    <row r="46" spans="1:18">
      <c r="A46" s="8"/>
      <c r="B46" s="10"/>
      <c r="C46" s="8"/>
      <c r="D46" s="8"/>
      <c r="E46" s="8"/>
      <c r="F46" s="8"/>
      <c r="G46" s="13"/>
      <c r="H46" s="13"/>
      <c r="I46" s="8"/>
      <c r="J46" s="13"/>
      <c r="K46" s="8"/>
      <c r="L46" s="8"/>
      <c r="M46" s="8"/>
      <c r="N46" s="8"/>
      <c r="O46" s="8"/>
      <c r="P46" s="8"/>
      <c r="Q46" s="10"/>
      <c r="R46" s="8"/>
    </row>
    <row r="47" spans="1:18">
      <c r="A47" s="8"/>
      <c r="B47" s="10"/>
      <c r="C47" s="8"/>
      <c r="D47" s="8"/>
      <c r="E47" s="8"/>
      <c r="F47" s="8"/>
      <c r="G47" s="13"/>
      <c r="H47" s="13"/>
      <c r="I47" s="8"/>
      <c r="J47" s="13"/>
      <c r="K47" s="8"/>
      <c r="L47" s="8"/>
      <c r="M47" s="8"/>
      <c r="N47" s="8"/>
      <c r="O47" s="8"/>
      <c r="P47" s="8"/>
      <c r="Q47" s="10"/>
      <c r="R47" s="8"/>
    </row>
    <row r="48" spans="1:18">
      <c r="A48" s="8"/>
      <c r="B48" s="10"/>
      <c r="C48" s="8"/>
      <c r="D48" s="8"/>
      <c r="E48" s="8"/>
      <c r="F48" s="8"/>
      <c r="G48" s="13"/>
      <c r="H48" s="13"/>
      <c r="I48" s="8"/>
      <c r="J48" s="13"/>
      <c r="K48" s="8"/>
      <c r="L48" s="8"/>
      <c r="M48" s="8"/>
      <c r="N48" s="8"/>
      <c r="O48" s="8"/>
      <c r="P48" s="8"/>
      <c r="Q48" s="10"/>
      <c r="R48" s="8"/>
    </row>
    <row r="49" spans="1:18">
      <c r="A49" s="8"/>
      <c r="B49" s="10"/>
      <c r="C49" s="8"/>
      <c r="D49" s="8"/>
      <c r="E49" s="8"/>
      <c r="F49" s="8"/>
      <c r="G49" s="13"/>
      <c r="H49" s="13"/>
      <c r="I49" s="8"/>
      <c r="J49" s="13"/>
      <c r="K49" s="8"/>
      <c r="L49" s="8"/>
      <c r="M49" s="8"/>
      <c r="N49" s="8"/>
      <c r="O49" s="8"/>
      <c r="P49" s="8"/>
      <c r="Q49" s="10"/>
      <c r="R49" s="8"/>
    </row>
    <row r="50" spans="1:18">
      <c r="A50" s="8"/>
      <c r="B50" s="10"/>
      <c r="C50" s="8"/>
      <c r="D50" s="8"/>
      <c r="E50" s="8"/>
      <c r="F50" s="8"/>
      <c r="G50" s="13"/>
      <c r="H50" s="13"/>
      <c r="I50" s="8"/>
      <c r="J50" s="13"/>
      <c r="K50" s="8"/>
      <c r="L50" s="8"/>
      <c r="M50" s="8"/>
      <c r="N50" s="8"/>
      <c r="O50" s="8"/>
      <c r="P50" s="8"/>
      <c r="Q50" s="10"/>
      <c r="R50" s="8"/>
    </row>
    <row r="51" spans="1:18">
      <c r="A51" s="8"/>
      <c r="B51" s="10"/>
      <c r="C51" s="8"/>
      <c r="D51" s="8"/>
      <c r="E51" s="8"/>
      <c r="F51" s="8"/>
      <c r="G51" s="13"/>
      <c r="H51" s="13"/>
      <c r="I51" s="8"/>
      <c r="J51" s="13"/>
      <c r="K51" s="8"/>
      <c r="L51" s="8"/>
      <c r="M51" s="8"/>
      <c r="N51" s="8"/>
      <c r="O51" s="8"/>
      <c r="P51" s="8"/>
      <c r="Q51" s="10"/>
      <c r="R51" s="8"/>
    </row>
    <row r="52" spans="1:18">
      <c r="A52" s="8"/>
      <c r="B52" s="10"/>
      <c r="C52" s="8"/>
      <c r="D52" s="8"/>
      <c r="E52" s="8"/>
      <c r="F52" s="8"/>
      <c r="G52" s="13"/>
      <c r="H52" s="13"/>
      <c r="I52" s="8"/>
      <c r="J52" s="13"/>
      <c r="K52" s="8"/>
      <c r="L52" s="8"/>
      <c r="M52" s="8"/>
      <c r="N52" s="8"/>
      <c r="O52" s="8"/>
      <c r="P52" s="8"/>
      <c r="Q52" s="10"/>
      <c r="R52" s="8"/>
    </row>
    <row r="53" spans="1:18">
      <c r="A53" s="8"/>
      <c r="B53" s="10"/>
      <c r="C53" s="8"/>
      <c r="D53" s="8"/>
      <c r="E53" s="8"/>
      <c r="F53" s="8"/>
      <c r="G53" s="13"/>
      <c r="H53" s="13"/>
      <c r="I53" s="8"/>
      <c r="J53" s="13"/>
      <c r="K53" s="8"/>
      <c r="L53" s="8"/>
      <c r="M53" s="8"/>
      <c r="N53" s="8"/>
      <c r="O53" s="8"/>
      <c r="P53" s="8"/>
      <c r="Q53" s="10"/>
      <c r="R53" s="8"/>
    </row>
    <row r="54" spans="1:18">
      <c r="A54" s="8"/>
      <c r="B54" s="10"/>
      <c r="C54" s="8"/>
      <c r="D54" s="8"/>
      <c r="E54" s="8"/>
      <c r="F54" s="8"/>
      <c r="G54" s="13"/>
      <c r="H54" s="13"/>
      <c r="I54" s="8"/>
      <c r="J54" s="13"/>
      <c r="K54" s="8"/>
      <c r="L54" s="8"/>
      <c r="M54" s="8"/>
      <c r="N54" s="8"/>
      <c r="O54" s="8"/>
      <c r="P54" s="8"/>
      <c r="Q54" s="10"/>
      <c r="R54" s="8"/>
    </row>
    <row r="55" spans="1:18">
      <c r="A55" s="8"/>
      <c r="B55" s="10"/>
      <c r="C55" s="8"/>
      <c r="D55" s="8"/>
      <c r="E55" s="8"/>
      <c r="F55" s="8"/>
      <c r="G55" s="13"/>
      <c r="H55" s="13"/>
      <c r="I55" s="8"/>
      <c r="J55" s="13"/>
      <c r="K55" s="8"/>
      <c r="L55" s="8"/>
      <c r="M55" s="8"/>
      <c r="N55" s="8"/>
      <c r="O55" s="8"/>
      <c r="P55" s="8"/>
      <c r="Q55" s="10"/>
      <c r="R55" s="8"/>
    </row>
    <row r="56" spans="1:18">
      <c r="A56" s="8"/>
      <c r="B56" s="10"/>
      <c r="C56" s="8"/>
      <c r="D56" s="8"/>
      <c r="E56" s="8"/>
      <c r="F56" s="8"/>
      <c r="G56" s="13"/>
      <c r="H56" s="13"/>
      <c r="I56" s="8"/>
      <c r="J56" s="13"/>
      <c r="K56" s="8"/>
      <c r="L56" s="8"/>
      <c r="M56" s="8"/>
      <c r="N56" s="8"/>
      <c r="O56" s="8"/>
      <c r="P56" s="8"/>
      <c r="Q56" s="10"/>
      <c r="R56" s="8"/>
    </row>
    <row r="57" spans="1:18">
      <c r="A57" s="8"/>
      <c r="B57" s="10"/>
      <c r="C57" s="8"/>
      <c r="D57" s="8"/>
      <c r="E57" s="8"/>
      <c r="F57" s="8"/>
      <c r="G57" s="13"/>
      <c r="H57" s="13"/>
      <c r="I57" s="8"/>
      <c r="J57" s="13"/>
      <c r="K57" s="8"/>
      <c r="L57" s="8"/>
      <c r="M57" s="8"/>
      <c r="N57" s="8"/>
      <c r="O57" s="8"/>
      <c r="P57" s="8"/>
      <c r="Q57" s="10"/>
      <c r="R57" s="8"/>
    </row>
    <row r="58" spans="1:18">
      <c r="A58" s="8"/>
      <c r="B58" s="10"/>
      <c r="C58" s="8"/>
      <c r="D58" s="8"/>
      <c r="E58" s="8"/>
      <c r="F58" s="8"/>
      <c r="G58" s="13"/>
      <c r="H58" s="13"/>
      <c r="I58" s="8"/>
      <c r="J58" s="13"/>
      <c r="K58" s="8"/>
      <c r="L58" s="8"/>
      <c r="M58" s="8"/>
      <c r="N58" s="8"/>
      <c r="O58" s="8"/>
      <c r="P58" s="8"/>
      <c r="Q58" s="10"/>
      <c r="R58" s="8"/>
    </row>
    <row r="59" spans="1:18">
      <c r="A59" s="8"/>
      <c r="B59" s="10"/>
      <c r="C59" s="8"/>
      <c r="D59" s="8"/>
      <c r="E59" s="8"/>
      <c r="F59" s="8"/>
      <c r="G59" s="13"/>
      <c r="H59" s="13"/>
      <c r="I59" s="8"/>
      <c r="J59" s="13"/>
      <c r="K59" s="8"/>
      <c r="L59" s="8"/>
      <c r="M59" s="8"/>
      <c r="N59" s="8"/>
      <c r="O59" s="8"/>
      <c r="P59" s="8"/>
      <c r="Q59" s="10"/>
      <c r="R59" s="8"/>
    </row>
    <row r="60" spans="1:18">
      <c r="A60" s="8"/>
      <c r="B60" s="10"/>
      <c r="C60" s="8"/>
      <c r="D60" s="8"/>
      <c r="E60" s="8"/>
      <c r="F60" s="8"/>
      <c r="G60" s="13"/>
      <c r="H60" s="13"/>
      <c r="I60" s="8"/>
      <c r="J60" s="13"/>
      <c r="K60" s="8"/>
      <c r="L60" s="8"/>
      <c r="M60" s="8"/>
      <c r="N60" s="8"/>
      <c r="O60" s="8"/>
      <c r="P60" s="8"/>
      <c r="Q60" s="10"/>
      <c r="R60" s="8"/>
    </row>
    <row r="61" spans="1:18">
      <c r="A61" s="8"/>
      <c r="B61" s="10"/>
      <c r="C61" s="8"/>
      <c r="D61" s="8"/>
      <c r="E61" s="8"/>
      <c r="F61" s="8"/>
      <c r="G61" s="13"/>
      <c r="H61" s="13"/>
      <c r="I61" s="8"/>
      <c r="J61" s="13"/>
      <c r="K61" s="8"/>
      <c r="L61" s="8"/>
      <c r="M61" s="8"/>
      <c r="N61" s="8"/>
      <c r="O61" s="8"/>
      <c r="P61" s="8"/>
      <c r="Q61" s="10"/>
      <c r="R61" s="8"/>
    </row>
    <row r="62" spans="1:18">
      <c r="A62" s="8"/>
      <c r="B62" s="10"/>
      <c r="C62" s="8"/>
      <c r="D62" s="8"/>
      <c r="E62" s="8"/>
      <c r="F62" s="8"/>
      <c r="G62" s="13"/>
      <c r="H62" s="13"/>
      <c r="I62" s="8"/>
      <c r="J62" s="13"/>
      <c r="K62" s="8"/>
      <c r="L62" s="8"/>
      <c r="M62" s="8"/>
      <c r="N62" s="8"/>
      <c r="O62" s="8"/>
      <c r="P62" s="8"/>
      <c r="Q62" s="10"/>
      <c r="R62" s="8"/>
    </row>
    <row r="63" spans="1:18">
      <c r="A63" s="8"/>
      <c r="B63" s="10"/>
      <c r="C63" s="8"/>
      <c r="D63" s="8"/>
      <c r="E63" s="8"/>
      <c r="F63" s="8"/>
      <c r="G63" s="13"/>
      <c r="H63" s="13"/>
      <c r="I63" s="8"/>
      <c r="J63" s="13"/>
      <c r="K63" s="8"/>
      <c r="L63" s="8"/>
      <c r="M63" s="8"/>
      <c r="N63" s="8"/>
      <c r="O63" s="8"/>
      <c r="P63" s="8"/>
      <c r="Q63" s="10"/>
      <c r="R63" s="8"/>
    </row>
    <row r="64" spans="1:18">
      <c r="A64" s="8"/>
      <c r="B64" s="10"/>
      <c r="C64" s="8"/>
      <c r="D64" s="8"/>
      <c r="E64" s="8"/>
      <c r="F64" s="8"/>
      <c r="G64" s="13"/>
      <c r="H64" s="13"/>
      <c r="I64" s="8"/>
      <c r="J64" s="13"/>
      <c r="K64" s="8"/>
      <c r="L64" s="8"/>
      <c r="M64" s="8"/>
      <c r="N64" s="8"/>
      <c r="O64" s="8"/>
      <c r="P64" s="8"/>
      <c r="Q64" s="10"/>
      <c r="R64" s="8"/>
    </row>
    <row r="65" spans="1:18">
      <c r="A65" s="8"/>
      <c r="B65" s="10"/>
      <c r="C65" s="8"/>
      <c r="D65" s="8"/>
      <c r="E65" s="8"/>
      <c r="F65" s="8"/>
      <c r="G65" s="13"/>
      <c r="H65" s="13"/>
      <c r="I65" s="8"/>
      <c r="J65" s="13"/>
      <c r="K65" s="8"/>
      <c r="L65" s="8"/>
      <c r="M65" s="8"/>
      <c r="N65" s="8"/>
      <c r="O65" s="8"/>
      <c r="P65" s="8"/>
      <c r="Q65" s="10"/>
      <c r="R65" s="8"/>
    </row>
    <row r="66" spans="1:18">
      <c r="A66" s="8"/>
      <c r="B66" s="10"/>
      <c r="C66" s="8"/>
      <c r="D66" s="8"/>
      <c r="E66" s="8"/>
      <c r="F66" s="8"/>
      <c r="G66" s="13"/>
      <c r="H66" s="13"/>
      <c r="I66" s="8"/>
      <c r="J66" s="13"/>
      <c r="K66" s="8"/>
      <c r="L66" s="8"/>
      <c r="M66" s="8"/>
      <c r="N66" s="8"/>
      <c r="O66" s="8"/>
      <c r="P66" s="8"/>
      <c r="Q66" s="10"/>
      <c r="R66" s="8"/>
    </row>
    <row r="67" spans="1:18">
      <c r="A67" s="8"/>
      <c r="B67" s="10"/>
      <c r="C67" s="8"/>
      <c r="D67" s="8"/>
      <c r="E67" s="8"/>
      <c r="F67" s="8"/>
      <c r="G67" s="13"/>
      <c r="H67" s="13"/>
      <c r="I67" s="8"/>
      <c r="J67" s="13"/>
      <c r="K67" s="8"/>
      <c r="L67" s="8"/>
      <c r="M67" s="8"/>
      <c r="N67" s="8"/>
      <c r="O67" s="8"/>
      <c r="P67" s="8"/>
      <c r="Q67" s="10"/>
      <c r="R67" s="8"/>
    </row>
    <row r="68" spans="1:18">
      <c r="A68" s="8"/>
      <c r="B68" s="10"/>
      <c r="C68" s="8"/>
      <c r="D68" s="8"/>
      <c r="E68" s="8"/>
      <c r="F68" s="8"/>
      <c r="G68" s="13"/>
      <c r="H68" s="13"/>
      <c r="I68" s="8"/>
      <c r="J68" s="13"/>
      <c r="K68" s="8"/>
      <c r="L68" s="8"/>
      <c r="M68" s="8"/>
      <c r="N68" s="8"/>
      <c r="O68" s="8"/>
      <c r="P68" s="8"/>
      <c r="Q68" s="10"/>
      <c r="R68" s="8"/>
    </row>
    <row r="69" spans="1:18">
      <c r="A69" s="8"/>
      <c r="B69" s="10"/>
      <c r="C69" s="8"/>
      <c r="D69" s="8"/>
      <c r="E69" s="8"/>
      <c r="F69" s="8"/>
      <c r="G69" s="13"/>
      <c r="H69" s="13"/>
      <c r="I69" s="8"/>
      <c r="J69" s="13"/>
      <c r="K69" s="8"/>
      <c r="L69" s="8"/>
      <c r="M69" s="8"/>
      <c r="N69" s="8"/>
      <c r="O69" s="8"/>
      <c r="P69" s="8"/>
      <c r="Q69" s="10"/>
      <c r="R69" s="8"/>
    </row>
    <row r="70" spans="1:18">
      <c r="A70" s="8"/>
      <c r="B70" s="10"/>
      <c r="C70" s="8"/>
      <c r="D70" s="8"/>
      <c r="E70" s="8"/>
      <c r="F70" s="8"/>
      <c r="G70" s="13"/>
      <c r="H70" s="13"/>
      <c r="I70" s="8"/>
      <c r="J70" s="13"/>
      <c r="K70" s="8"/>
      <c r="L70" s="8"/>
      <c r="M70" s="8"/>
      <c r="N70" s="8"/>
      <c r="O70" s="8"/>
      <c r="P70" s="8"/>
      <c r="Q70" s="10"/>
      <c r="R70" s="8"/>
    </row>
    <row r="71" spans="1:18">
      <c r="A71" s="8"/>
      <c r="B71" s="10"/>
      <c r="C71" s="8"/>
      <c r="D71" s="8"/>
      <c r="E71" s="8"/>
      <c r="F71" s="8"/>
      <c r="G71" s="13"/>
      <c r="H71" s="13"/>
      <c r="I71" s="8"/>
      <c r="J71" s="13"/>
      <c r="K71" s="8"/>
      <c r="L71" s="8"/>
      <c r="M71" s="8"/>
      <c r="N71" s="8"/>
      <c r="O71" s="8"/>
      <c r="P71" s="8"/>
      <c r="Q71" s="10"/>
      <c r="R71" s="8"/>
    </row>
    <row r="72" spans="1:18">
      <c r="A72" s="8"/>
      <c r="B72" s="10"/>
      <c r="C72" s="8"/>
      <c r="D72" s="8"/>
      <c r="E72" s="8"/>
      <c r="F72" s="8"/>
      <c r="G72" s="13"/>
      <c r="H72" s="13"/>
      <c r="I72" s="8"/>
      <c r="J72" s="13"/>
      <c r="K72" s="8"/>
      <c r="L72" s="8"/>
      <c r="M72" s="8"/>
      <c r="N72" s="8"/>
      <c r="O72" s="8"/>
      <c r="P72" s="8"/>
      <c r="Q72" s="10"/>
      <c r="R72" s="8"/>
    </row>
    <row r="73" spans="1:18">
      <c r="A73" s="8"/>
      <c r="B73" s="10"/>
      <c r="C73" s="8"/>
      <c r="D73" s="8"/>
      <c r="E73" s="8"/>
      <c r="F73" s="8"/>
      <c r="G73" s="13"/>
      <c r="H73" s="13"/>
      <c r="I73" s="8"/>
      <c r="J73" s="13"/>
      <c r="K73" s="8"/>
      <c r="L73" s="8"/>
      <c r="M73" s="8"/>
      <c r="N73" s="8"/>
      <c r="O73" s="8"/>
      <c r="P73" s="8"/>
      <c r="Q73" s="10"/>
      <c r="R73" s="8"/>
    </row>
    <row r="74" spans="1:18">
      <c r="A74" s="8"/>
      <c r="B74" s="10"/>
      <c r="C74" s="8"/>
      <c r="D74" s="8"/>
      <c r="E74" s="8"/>
      <c r="F74" s="8"/>
      <c r="G74" s="13"/>
      <c r="H74" s="13"/>
      <c r="I74" s="8"/>
      <c r="J74" s="13"/>
      <c r="K74" s="8"/>
      <c r="L74" s="8"/>
      <c r="M74" s="8"/>
      <c r="N74" s="8"/>
      <c r="O74" s="8"/>
      <c r="P74" s="8"/>
      <c r="Q74" s="10"/>
      <c r="R74" s="8"/>
    </row>
    <row r="75" spans="1:18">
      <c r="A75" s="8"/>
      <c r="B75" s="10"/>
      <c r="C75" s="8"/>
      <c r="D75" s="8"/>
      <c r="E75" s="8"/>
      <c r="F75" s="8"/>
      <c r="G75" s="13"/>
      <c r="H75" s="13"/>
      <c r="I75" s="8"/>
      <c r="J75" s="13"/>
      <c r="K75" s="8"/>
      <c r="L75" s="8"/>
      <c r="M75" s="8"/>
      <c r="N75" s="8"/>
      <c r="O75" s="8"/>
      <c r="P75" s="8"/>
      <c r="Q75" s="10"/>
      <c r="R75" s="8"/>
    </row>
    <row r="76" spans="1:18">
      <c r="A76" s="8"/>
      <c r="B76" s="10"/>
      <c r="C76" s="8"/>
      <c r="D76" s="8"/>
      <c r="E76" s="8"/>
      <c r="F76" s="8"/>
      <c r="G76" s="13"/>
      <c r="H76" s="13"/>
      <c r="I76" s="8"/>
      <c r="J76" s="13"/>
      <c r="K76" s="8"/>
      <c r="L76" s="8"/>
      <c r="M76" s="8"/>
      <c r="N76" s="8"/>
      <c r="O76" s="8"/>
      <c r="P76" s="8"/>
      <c r="Q76" s="10"/>
      <c r="R76" s="8"/>
    </row>
    <row r="77" spans="1:18">
      <c r="A77" s="8"/>
      <c r="B77" s="10"/>
      <c r="C77" s="8"/>
      <c r="D77" s="8"/>
      <c r="E77" s="8"/>
      <c r="F77" s="8"/>
      <c r="G77" s="13"/>
      <c r="H77" s="13"/>
      <c r="I77" s="8"/>
      <c r="J77" s="13"/>
      <c r="K77" s="8"/>
      <c r="L77" s="8"/>
      <c r="M77" s="8"/>
      <c r="N77" s="8"/>
      <c r="O77" s="8"/>
      <c r="P77" s="8"/>
      <c r="Q77" s="10"/>
      <c r="R77" s="8"/>
    </row>
    <row r="78" spans="1:18">
      <c r="A78" s="8"/>
      <c r="B78" s="10"/>
      <c r="C78" s="8"/>
      <c r="D78" s="8"/>
      <c r="E78" s="8"/>
      <c r="F78" s="8"/>
      <c r="G78" s="13"/>
      <c r="H78" s="13"/>
      <c r="I78" s="8"/>
      <c r="J78" s="13"/>
      <c r="K78" s="8"/>
      <c r="L78" s="8"/>
      <c r="M78" s="8"/>
      <c r="N78" s="8"/>
      <c r="O78" s="8"/>
      <c r="P78" s="8"/>
      <c r="Q78" s="10"/>
      <c r="R78" s="8"/>
    </row>
    <row r="79" spans="1:18">
      <c r="A79" s="8"/>
      <c r="B79" s="10"/>
      <c r="C79" s="8"/>
      <c r="D79" s="8"/>
      <c r="E79" s="8"/>
      <c r="F79" s="8"/>
      <c r="G79" s="13"/>
      <c r="H79" s="13"/>
      <c r="I79" s="8"/>
      <c r="J79" s="13"/>
      <c r="K79" s="8"/>
      <c r="L79" s="8"/>
      <c r="M79" s="8"/>
      <c r="N79" s="8"/>
      <c r="O79" s="8"/>
      <c r="P79" s="8"/>
      <c r="Q79" s="10"/>
      <c r="R79" s="8"/>
    </row>
    <row r="80" spans="1:18">
      <c r="A80" s="8"/>
      <c r="B80" s="10"/>
      <c r="C80" s="8"/>
      <c r="D80" s="8"/>
      <c r="E80" s="8"/>
      <c r="F80" s="8"/>
      <c r="G80" s="13"/>
      <c r="H80" s="13"/>
      <c r="I80" s="8"/>
      <c r="J80" s="13"/>
      <c r="K80" s="8"/>
      <c r="L80" s="8"/>
      <c r="M80" s="8"/>
      <c r="N80" s="8"/>
      <c r="O80" s="8"/>
      <c r="P80" s="8"/>
      <c r="Q80" s="10"/>
      <c r="R80" s="8"/>
    </row>
    <row r="81" spans="1:18">
      <c r="A81" s="8"/>
      <c r="B81" s="10"/>
      <c r="C81" s="8"/>
      <c r="D81" s="8"/>
      <c r="E81" s="8"/>
      <c r="F81" s="8"/>
      <c r="G81" s="13"/>
      <c r="H81" s="13"/>
      <c r="I81" s="8"/>
      <c r="J81" s="13"/>
      <c r="K81" s="8"/>
      <c r="L81" s="8"/>
      <c r="M81" s="8"/>
      <c r="N81" s="8"/>
      <c r="O81" s="8"/>
      <c r="P81" s="8"/>
      <c r="Q81" s="10"/>
      <c r="R81" s="8"/>
    </row>
    <row r="82" spans="1:18">
      <c r="A82" s="8"/>
      <c r="B82" s="10"/>
      <c r="C82" s="8"/>
      <c r="D82" s="8"/>
      <c r="E82" s="8"/>
      <c r="F82" s="8"/>
      <c r="G82" s="13"/>
      <c r="H82" s="13"/>
      <c r="I82" s="8"/>
      <c r="J82" s="13"/>
      <c r="K82" s="8"/>
      <c r="L82" s="8"/>
      <c r="M82" s="8"/>
      <c r="N82" s="8"/>
      <c r="O82" s="8"/>
      <c r="P82" s="8"/>
      <c r="Q82" s="10"/>
      <c r="R82" s="8"/>
    </row>
    <row r="83" spans="1:18">
      <c r="A83" s="8"/>
      <c r="B83" s="10"/>
      <c r="C83" s="8"/>
      <c r="D83" s="8"/>
      <c r="E83" s="8"/>
      <c r="F83" s="8"/>
      <c r="G83" s="13"/>
      <c r="H83" s="13"/>
      <c r="I83" s="8"/>
      <c r="J83" s="13"/>
      <c r="K83" s="8"/>
      <c r="L83" s="8"/>
      <c r="M83" s="8"/>
      <c r="N83" s="8"/>
      <c r="O83" s="8"/>
      <c r="P83" s="8"/>
      <c r="Q83" s="10"/>
      <c r="R83" s="8"/>
    </row>
    <row r="84" spans="1:18">
      <c r="A84" s="8"/>
      <c r="B84" s="10"/>
      <c r="C84" s="8"/>
      <c r="D84" s="8"/>
      <c r="E84" s="8"/>
      <c r="F84" s="8"/>
      <c r="G84" s="13"/>
      <c r="H84" s="13"/>
      <c r="I84" s="8"/>
      <c r="J84" s="13"/>
      <c r="K84" s="8"/>
      <c r="L84" s="8"/>
      <c r="M84" s="8"/>
      <c r="N84" s="8"/>
      <c r="O84" s="8"/>
      <c r="P84" s="8"/>
      <c r="Q84" s="10"/>
      <c r="R84" s="8"/>
    </row>
    <row r="85" spans="1:18">
      <c r="A85" s="8"/>
      <c r="B85" s="10"/>
      <c r="C85" s="8"/>
      <c r="D85" s="8"/>
      <c r="E85" s="8"/>
      <c r="F85" s="8"/>
      <c r="G85" s="13"/>
      <c r="H85" s="13"/>
      <c r="I85" s="8"/>
      <c r="J85" s="13"/>
      <c r="K85" s="8"/>
      <c r="L85" s="8"/>
      <c r="M85" s="8"/>
      <c r="N85" s="8"/>
      <c r="O85" s="8"/>
      <c r="P85" s="8"/>
      <c r="Q85" s="10"/>
      <c r="R85" s="8"/>
    </row>
    <row r="86" spans="1:18">
      <c r="A86" s="8"/>
      <c r="B86" s="10"/>
      <c r="C86" s="8"/>
      <c r="D86" s="8"/>
      <c r="E86" s="8"/>
      <c r="F86" s="8"/>
      <c r="G86" s="13"/>
      <c r="H86" s="13"/>
      <c r="I86" s="8"/>
      <c r="J86" s="13"/>
      <c r="K86" s="8"/>
      <c r="L86" s="8"/>
      <c r="M86" s="8"/>
      <c r="N86" s="8"/>
      <c r="O86" s="8"/>
      <c r="P86" s="8"/>
      <c r="Q86" s="10"/>
      <c r="R86" s="8"/>
    </row>
    <row r="87" spans="1:18">
      <c r="A87" s="8"/>
      <c r="B87" s="10"/>
      <c r="C87" s="8"/>
      <c r="D87" s="8"/>
      <c r="E87" s="8"/>
      <c r="F87" s="8"/>
      <c r="G87" s="13"/>
      <c r="H87" s="13"/>
      <c r="I87" s="8"/>
      <c r="J87" s="13"/>
      <c r="K87" s="8"/>
      <c r="L87" s="8"/>
      <c r="M87" s="8"/>
      <c r="N87" s="8"/>
      <c r="O87" s="8"/>
      <c r="P87" s="8"/>
      <c r="Q87" s="10"/>
      <c r="R87" s="8"/>
    </row>
    <row r="88" spans="1:18">
      <c r="A88" s="8"/>
      <c r="B88" s="10"/>
      <c r="C88" s="8"/>
      <c r="D88" s="8"/>
      <c r="E88" s="8"/>
      <c r="F88" s="8"/>
      <c r="G88" s="13"/>
      <c r="H88" s="13"/>
      <c r="I88" s="8"/>
      <c r="J88" s="13"/>
      <c r="K88" s="8"/>
      <c r="L88" s="8"/>
      <c r="M88" s="8"/>
      <c r="N88" s="8"/>
      <c r="O88" s="8"/>
      <c r="P88" s="8"/>
      <c r="Q88" s="10"/>
      <c r="R88" s="8"/>
    </row>
    <row r="89" spans="1:18">
      <c r="A89" s="8"/>
      <c r="B89" s="10"/>
      <c r="C89" s="8"/>
      <c r="D89" s="8"/>
      <c r="E89" s="8"/>
      <c r="F89" s="8"/>
      <c r="G89" s="13"/>
      <c r="H89" s="13"/>
      <c r="I89" s="8"/>
      <c r="J89" s="13"/>
      <c r="K89" s="8"/>
      <c r="L89" s="8"/>
      <c r="M89" s="8"/>
      <c r="N89" s="8"/>
      <c r="O89" s="8"/>
      <c r="P89" s="8"/>
      <c r="Q89" s="10"/>
      <c r="R89" s="8"/>
    </row>
    <row r="90" spans="1:18">
      <c r="A90" s="8"/>
      <c r="B90" s="10"/>
      <c r="C90" s="8"/>
      <c r="D90" s="8"/>
      <c r="E90" s="8"/>
      <c r="F90" s="8"/>
      <c r="G90" s="13"/>
      <c r="H90" s="13"/>
      <c r="I90" s="8"/>
      <c r="J90" s="13"/>
      <c r="K90" s="8"/>
      <c r="L90" s="8"/>
      <c r="M90" s="8"/>
      <c r="N90" s="8"/>
      <c r="O90" s="8"/>
      <c r="P90" s="8"/>
      <c r="Q90" s="10"/>
      <c r="R90" s="8"/>
    </row>
    <row r="91" spans="1:18">
      <c r="A91" s="8"/>
      <c r="B91" s="10"/>
      <c r="C91" s="8"/>
      <c r="D91" s="8"/>
      <c r="E91" s="8"/>
      <c r="F91" s="8"/>
      <c r="G91" s="13"/>
      <c r="H91" s="13"/>
      <c r="I91" s="8"/>
      <c r="J91" s="13"/>
      <c r="K91" s="8"/>
      <c r="L91" s="8"/>
      <c r="M91" s="8"/>
      <c r="N91" s="8"/>
      <c r="O91" s="8"/>
      <c r="P91" s="8"/>
      <c r="Q91" s="10"/>
      <c r="R91" s="8"/>
    </row>
    <row r="92" spans="1:18">
      <c r="A92" s="8"/>
      <c r="B92" s="10"/>
      <c r="C92" s="8"/>
      <c r="D92" s="8"/>
      <c r="E92" s="8"/>
      <c r="F92" s="8"/>
      <c r="G92" s="13"/>
      <c r="H92" s="13"/>
      <c r="I92" s="8"/>
      <c r="J92" s="13"/>
      <c r="K92" s="8"/>
      <c r="L92" s="8"/>
      <c r="M92" s="8"/>
      <c r="N92" s="8"/>
      <c r="O92" s="8"/>
      <c r="P92" s="8"/>
      <c r="Q92" s="10"/>
      <c r="R92" s="8"/>
    </row>
    <row r="93" spans="1:18">
      <c r="A93" s="8"/>
      <c r="B93" s="10"/>
      <c r="C93" s="8"/>
      <c r="D93" s="8"/>
      <c r="E93" s="8"/>
      <c r="F93" s="8"/>
      <c r="G93" s="13"/>
      <c r="H93" s="13"/>
      <c r="I93" s="8"/>
      <c r="J93" s="13"/>
      <c r="K93" s="8"/>
      <c r="L93" s="8"/>
      <c r="M93" s="8"/>
      <c r="N93" s="8"/>
      <c r="O93" s="8"/>
      <c r="P93" s="8"/>
      <c r="Q93" s="10"/>
      <c r="R93" s="8"/>
    </row>
    <row r="94" spans="1:18">
      <c r="A94" s="8"/>
      <c r="B94" s="10"/>
      <c r="C94" s="8"/>
      <c r="D94" s="8"/>
      <c r="E94" s="8"/>
      <c r="F94" s="8"/>
      <c r="G94" s="13"/>
      <c r="H94" s="13"/>
      <c r="I94" s="8"/>
      <c r="J94" s="13"/>
      <c r="K94" s="8"/>
      <c r="L94" s="8"/>
      <c r="M94" s="8"/>
      <c r="N94" s="8"/>
      <c r="O94" s="8"/>
      <c r="P94" s="8"/>
      <c r="Q94" s="10"/>
      <c r="R94" s="8"/>
    </row>
    <row r="95" spans="1:18">
      <c r="A95" s="8"/>
      <c r="B95" s="10"/>
      <c r="C95" s="8"/>
      <c r="D95" s="8"/>
      <c r="E95" s="8"/>
      <c r="F95" s="8"/>
      <c r="G95" s="13"/>
      <c r="H95" s="13"/>
      <c r="I95" s="8"/>
      <c r="J95" s="13"/>
      <c r="K95" s="8"/>
      <c r="L95" s="8"/>
      <c r="M95" s="8"/>
      <c r="N95" s="8"/>
      <c r="O95" s="8"/>
      <c r="P95" s="8"/>
      <c r="Q95" s="10"/>
      <c r="R95" s="8"/>
    </row>
    <row r="96" spans="1:18">
      <c r="A96" s="8"/>
      <c r="B96" s="10"/>
      <c r="C96" s="8"/>
      <c r="D96" s="8"/>
      <c r="E96" s="8"/>
      <c r="F96" s="8"/>
      <c r="G96" s="13"/>
      <c r="H96" s="13"/>
      <c r="I96" s="8"/>
      <c r="J96" s="13"/>
      <c r="K96" s="8"/>
      <c r="L96" s="8"/>
      <c r="M96" s="8"/>
      <c r="N96" s="8"/>
      <c r="O96" s="8"/>
      <c r="P96" s="8"/>
      <c r="Q96" s="10"/>
      <c r="R96" s="8"/>
    </row>
    <row r="97" spans="1:18">
      <c r="A97" s="8"/>
      <c r="B97" s="10"/>
      <c r="C97" s="8"/>
      <c r="D97" s="8"/>
      <c r="E97" s="8"/>
      <c r="F97" s="8"/>
      <c r="G97" s="13"/>
      <c r="H97" s="13"/>
      <c r="I97" s="8"/>
      <c r="J97" s="13"/>
      <c r="K97" s="8"/>
      <c r="L97" s="8"/>
      <c r="M97" s="8"/>
      <c r="N97" s="8"/>
      <c r="O97" s="8"/>
      <c r="P97" s="8"/>
      <c r="Q97" s="10"/>
      <c r="R97" s="8"/>
    </row>
    <row r="98" spans="1:18">
      <c r="A98" s="8"/>
      <c r="B98" s="10"/>
      <c r="C98" s="8"/>
      <c r="D98" s="8"/>
      <c r="E98" s="8"/>
      <c r="F98" s="8"/>
      <c r="G98" s="13"/>
      <c r="H98" s="13"/>
      <c r="I98" s="8"/>
      <c r="J98" s="13"/>
      <c r="K98" s="8"/>
      <c r="L98" s="8"/>
      <c r="M98" s="8"/>
      <c r="N98" s="8"/>
      <c r="O98" s="8"/>
      <c r="P98" s="8"/>
      <c r="Q98" s="10"/>
      <c r="R98" s="8"/>
    </row>
    <row r="99" spans="1:18">
      <c r="A99" s="8"/>
      <c r="B99" s="10"/>
      <c r="C99" s="8"/>
      <c r="D99" s="8"/>
      <c r="E99" s="8"/>
      <c r="F99" s="8"/>
      <c r="G99" s="13"/>
      <c r="H99" s="13"/>
      <c r="I99" s="8"/>
      <c r="J99" s="13"/>
      <c r="K99" s="8"/>
      <c r="L99" s="8"/>
      <c r="M99" s="8"/>
      <c r="N99" s="8"/>
      <c r="O99" s="8"/>
      <c r="P99" s="8"/>
      <c r="Q99" s="10"/>
      <c r="R99" s="8"/>
    </row>
    <row r="100" spans="1:18">
      <c r="A100" s="8"/>
      <c r="B100" s="10"/>
      <c r="C100" s="8"/>
      <c r="D100" s="8"/>
      <c r="E100" s="8"/>
      <c r="F100" s="8"/>
      <c r="G100" s="13"/>
      <c r="H100" s="13"/>
      <c r="I100" s="8"/>
      <c r="J100" s="13"/>
      <c r="K100" s="8"/>
      <c r="L100" s="8"/>
      <c r="M100" s="8"/>
      <c r="N100" s="8"/>
      <c r="O100" s="8"/>
      <c r="P100" s="8"/>
      <c r="Q100" s="10"/>
      <c r="R100" s="8"/>
    </row>
    <row r="101" spans="1:18">
      <c r="A101" s="8"/>
      <c r="B101" s="10"/>
      <c r="C101" s="8"/>
      <c r="D101" s="8"/>
      <c r="E101" s="8"/>
      <c r="F101" s="8"/>
      <c r="G101" s="13"/>
      <c r="H101" s="13"/>
      <c r="I101" s="8"/>
      <c r="J101" s="13"/>
      <c r="K101" s="8"/>
      <c r="L101" s="8"/>
      <c r="M101" s="8"/>
      <c r="N101" s="8"/>
      <c r="O101" s="8"/>
      <c r="P101" s="8"/>
      <c r="Q101" s="10"/>
      <c r="R101" s="8"/>
    </row>
    <row r="102" spans="1:18">
      <c r="A102" s="8"/>
      <c r="B102" s="10"/>
      <c r="C102" s="8"/>
      <c r="D102" s="8"/>
      <c r="E102" s="8"/>
      <c r="F102" s="8"/>
      <c r="G102" s="13"/>
      <c r="H102" s="13"/>
      <c r="I102" s="8"/>
      <c r="J102" s="13"/>
      <c r="K102" s="8"/>
      <c r="L102" s="8"/>
      <c r="M102" s="8"/>
      <c r="N102" s="8"/>
      <c r="O102" s="8"/>
      <c r="P102" s="8"/>
      <c r="Q102" s="10"/>
      <c r="R102" s="8"/>
    </row>
    <row r="103" spans="1:18">
      <c r="A103" s="8"/>
      <c r="B103" s="10"/>
      <c r="C103" s="8"/>
      <c r="D103" s="8"/>
      <c r="E103" s="8"/>
      <c r="F103" s="8"/>
      <c r="G103" s="13"/>
      <c r="H103" s="13"/>
      <c r="I103" s="8"/>
      <c r="J103" s="13"/>
      <c r="K103" s="8"/>
      <c r="L103" s="8"/>
      <c r="M103" s="8"/>
      <c r="N103" s="8"/>
      <c r="O103" s="8"/>
      <c r="P103" s="8"/>
      <c r="Q103" s="10"/>
      <c r="R103" s="8"/>
    </row>
    <row r="104" spans="1:18">
      <c r="A104" s="8"/>
      <c r="B104" s="10"/>
      <c r="C104" s="8"/>
      <c r="D104" s="8"/>
      <c r="E104" s="8"/>
      <c r="F104" s="8"/>
      <c r="G104" s="13"/>
      <c r="H104" s="13"/>
      <c r="I104" s="8"/>
      <c r="J104" s="13"/>
      <c r="K104" s="8"/>
      <c r="L104" s="8"/>
      <c r="M104" s="8"/>
      <c r="N104" s="8"/>
      <c r="O104" s="8"/>
      <c r="P104" s="8"/>
      <c r="Q104" s="10"/>
      <c r="R104" s="8"/>
    </row>
    <row r="105" spans="1:18">
      <c r="A105" s="8"/>
      <c r="B105" s="10"/>
      <c r="C105" s="8"/>
      <c r="D105" s="8"/>
      <c r="E105" s="8"/>
      <c r="F105" s="8"/>
      <c r="G105" s="13"/>
      <c r="H105" s="13"/>
      <c r="I105" s="8"/>
      <c r="J105" s="13"/>
      <c r="K105" s="8"/>
      <c r="L105" s="8"/>
      <c r="M105" s="8"/>
      <c r="N105" s="8"/>
      <c r="O105" s="8"/>
      <c r="P105" s="8"/>
      <c r="Q105" s="10"/>
      <c r="R105" s="8"/>
    </row>
    <row r="106" spans="1:18">
      <c r="A106" s="8"/>
      <c r="B106" s="10"/>
      <c r="C106" s="8"/>
      <c r="D106" s="8"/>
      <c r="E106" s="8"/>
      <c r="F106" s="8"/>
      <c r="G106" s="13"/>
      <c r="H106" s="13"/>
      <c r="I106" s="8"/>
      <c r="J106" s="13"/>
      <c r="K106" s="8"/>
      <c r="L106" s="8"/>
      <c r="M106" s="8"/>
      <c r="N106" s="8"/>
      <c r="O106" s="8"/>
      <c r="P106" s="8"/>
      <c r="Q106" s="10"/>
      <c r="R106" s="8"/>
    </row>
    <row r="107" spans="1:18">
      <c r="A107" s="8"/>
      <c r="B107" s="10"/>
      <c r="C107" s="8"/>
      <c r="D107" s="8"/>
      <c r="E107" s="8"/>
      <c r="F107" s="8"/>
      <c r="G107" s="13"/>
      <c r="H107" s="13"/>
      <c r="I107" s="8"/>
      <c r="J107" s="13"/>
      <c r="K107" s="8"/>
      <c r="L107" s="8"/>
      <c r="M107" s="8"/>
      <c r="N107" s="8"/>
      <c r="O107" s="8"/>
      <c r="P107" s="8"/>
      <c r="Q107" s="10"/>
      <c r="R107" s="8"/>
    </row>
    <row r="108" spans="1:18">
      <c r="A108" s="8"/>
      <c r="B108" s="10"/>
      <c r="C108" s="8"/>
      <c r="D108" s="8"/>
      <c r="E108" s="8"/>
      <c r="F108" s="8"/>
      <c r="G108" s="13"/>
      <c r="H108" s="13"/>
      <c r="I108" s="8"/>
      <c r="J108" s="13"/>
      <c r="K108" s="8"/>
      <c r="L108" s="8"/>
      <c r="M108" s="8"/>
      <c r="N108" s="8"/>
      <c r="O108" s="8"/>
      <c r="P108" s="8"/>
      <c r="Q108" s="10"/>
      <c r="R108" s="8"/>
    </row>
    <row r="109" spans="1:18">
      <c r="A109" s="8"/>
      <c r="B109" s="10"/>
      <c r="C109" s="8"/>
      <c r="D109" s="8"/>
      <c r="E109" s="8"/>
      <c r="F109" s="8"/>
      <c r="G109" s="13"/>
      <c r="H109" s="13"/>
      <c r="I109" s="8"/>
      <c r="J109" s="13"/>
      <c r="K109" s="8"/>
      <c r="L109" s="8"/>
      <c r="M109" s="8"/>
      <c r="N109" s="8"/>
      <c r="O109" s="8"/>
      <c r="P109" s="8"/>
      <c r="Q109" s="10"/>
      <c r="R109" s="8"/>
    </row>
    <row r="110" spans="1:18">
      <c r="A110" s="8"/>
      <c r="B110" s="10"/>
      <c r="C110" s="8"/>
      <c r="D110" s="8"/>
      <c r="E110" s="8"/>
      <c r="F110" s="8"/>
      <c r="G110" s="13"/>
      <c r="H110" s="13"/>
      <c r="I110" s="8"/>
      <c r="J110" s="13"/>
      <c r="K110" s="8"/>
      <c r="L110" s="8"/>
      <c r="M110" s="8"/>
      <c r="N110" s="8"/>
      <c r="O110" s="8"/>
      <c r="P110" s="8"/>
      <c r="Q110" s="10"/>
      <c r="R110" s="8"/>
    </row>
    <row r="111" spans="1:18">
      <c r="A111" s="8"/>
      <c r="B111" s="10"/>
      <c r="C111" s="8"/>
      <c r="D111" s="8"/>
      <c r="E111" s="8"/>
      <c r="F111" s="8"/>
      <c r="G111" s="13"/>
      <c r="H111" s="13"/>
      <c r="I111" s="8"/>
      <c r="J111" s="13"/>
      <c r="K111" s="8"/>
      <c r="L111" s="8"/>
      <c r="M111" s="8"/>
      <c r="N111" s="8"/>
      <c r="O111" s="8"/>
      <c r="P111" s="8"/>
      <c r="Q111" s="10"/>
      <c r="R111" s="8"/>
    </row>
    <row r="112" spans="1:18">
      <c r="A112" s="8"/>
      <c r="B112" s="10"/>
      <c r="C112" s="8"/>
      <c r="D112" s="8"/>
      <c r="E112" s="8"/>
      <c r="F112" s="8"/>
      <c r="G112" s="13"/>
      <c r="H112" s="13"/>
      <c r="I112" s="8"/>
      <c r="J112" s="13"/>
      <c r="K112" s="8"/>
      <c r="L112" s="8"/>
      <c r="M112" s="8"/>
      <c r="N112" s="8"/>
      <c r="O112" s="8"/>
      <c r="P112" s="8"/>
      <c r="Q112" s="10"/>
      <c r="R112" s="8"/>
    </row>
    <row r="113" spans="1:18">
      <c r="A113" s="8"/>
      <c r="B113" s="10"/>
      <c r="C113" s="8"/>
      <c r="D113" s="8"/>
      <c r="E113" s="8"/>
      <c r="F113" s="8"/>
      <c r="G113" s="13"/>
      <c r="H113" s="13"/>
      <c r="I113" s="8"/>
      <c r="J113" s="13"/>
      <c r="K113" s="8"/>
      <c r="L113" s="8"/>
      <c r="M113" s="8"/>
      <c r="N113" s="8"/>
      <c r="O113" s="8"/>
      <c r="P113" s="8"/>
      <c r="Q113" s="10"/>
      <c r="R113" s="8"/>
    </row>
    <row r="114" spans="1:18">
      <c r="A114" s="8"/>
      <c r="B114" s="10"/>
      <c r="C114" s="8"/>
      <c r="D114" s="8"/>
      <c r="E114" s="8"/>
      <c r="F114" s="8"/>
      <c r="G114" s="13"/>
      <c r="H114" s="13"/>
      <c r="I114" s="8"/>
      <c r="J114" s="13"/>
      <c r="K114" s="8"/>
      <c r="L114" s="8"/>
      <c r="M114" s="8"/>
      <c r="N114" s="8"/>
      <c r="O114" s="8"/>
      <c r="P114" s="8"/>
      <c r="Q114" s="10"/>
      <c r="R114" s="8"/>
    </row>
    <row r="115" spans="1:18">
      <c r="A115" s="8"/>
      <c r="B115" s="10"/>
      <c r="C115" s="8"/>
      <c r="D115" s="8"/>
      <c r="E115" s="8"/>
      <c r="F115" s="8"/>
      <c r="G115" s="13"/>
      <c r="H115" s="13"/>
      <c r="I115" s="8"/>
      <c r="J115" s="13"/>
      <c r="K115" s="8"/>
      <c r="L115" s="8"/>
      <c r="M115" s="8"/>
      <c r="N115" s="8"/>
      <c r="O115" s="8"/>
      <c r="P115" s="8"/>
      <c r="Q115" s="10"/>
      <c r="R115" s="8"/>
    </row>
    <row r="116" spans="1:18">
      <c r="A116" s="8"/>
      <c r="B116" s="10"/>
      <c r="C116" s="8"/>
      <c r="D116" s="8"/>
      <c r="E116" s="8"/>
      <c r="F116" s="8"/>
      <c r="G116" s="13"/>
      <c r="H116" s="13"/>
      <c r="I116" s="8"/>
      <c r="J116" s="13"/>
      <c r="K116" s="8"/>
      <c r="L116" s="8"/>
      <c r="M116" s="8"/>
      <c r="N116" s="8"/>
      <c r="O116" s="8"/>
      <c r="P116" s="8"/>
      <c r="Q116" s="10"/>
      <c r="R116" s="8"/>
    </row>
    <row r="117" spans="1:18">
      <c r="A117" s="8"/>
      <c r="B117" s="10"/>
      <c r="C117" s="8"/>
      <c r="D117" s="8"/>
      <c r="E117" s="8"/>
      <c r="F117" s="8"/>
      <c r="G117" s="13"/>
      <c r="H117" s="13"/>
      <c r="I117" s="8"/>
      <c r="J117" s="13"/>
      <c r="K117" s="8"/>
      <c r="L117" s="8"/>
      <c r="M117" s="8"/>
      <c r="N117" s="8"/>
      <c r="O117" s="8"/>
      <c r="P117" s="8"/>
      <c r="Q117" s="10"/>
      <c r="R117" s="8"/>
    </row>
    <row r="118" spans="1:18">
      <c r="A118" s="8"/>
      <c r="B118" s="10"/>
      <c r="C118" s="8"/>
      <c r="D118" s="8"/>
      <c r="E118" s="8"/>
      <c r="F118" s="8"/>
      <c r="G118" s="13"/>
      <c r="H118" s="13"/>
      <c r="I118" s="8"/>
      <c r="J118" s="13"/>
      <c r="K118" s="8"/>
      <c r="L118" s="8"/>
      <c r="M118" s="8"/>
      <c r="N118" s="8"/>
      <c r="O118" s="8"/>
      <c r="P118" s="8"/>
      <c r="Q118" s="10"/>
      <c r="R118" s="8"/>
    </row>
    <row r="119" spans="1:18">
      <c r="A119" s="8"/>
      <c r="B119" s="10"/>
      <c r="C119" s="8"/>
      <c r="D119" s="8"/>
      <c r="E119" s="8"/>
      <c r="F119" s="8"/>
      <c r="G119" s="13"/>
      <c r="H119" s="13"/>
      <c r="I119" s="8"/>
      <c r="J119" s="13"/>
      <c r="K119" s="8"/>
      <c r="L119" s="8"/>
      <c r="M119" s="8"/>
      <c r="N119" s="8"/>
      <c r="O119" s="8"/>
      <c r="P119" s="8"/>
      <c r="Q119" s="10"/>
      <c r="R119" s="8"/>
    </row>
    <row r="120" spans="1:18">
      <c r="A120" s="8"/>
      <c r="B120" s="10"/>
      <c r="C120" s="8"/>
      <c r="D120" s="8"/>
      <c r="E120" s="8"/>
      <c r="F120" s="8"/>
      <c r="G120" s="13"/>
      <c r="H120" s="13"/>
      <c r="I120" s="8"/>
      <c r="J120" s="13"/>
      <c r="K120" s="8"/>
      <c r="L120" s="8"/>
      <c r="M120" s="8"/>
      <c r="N120" s="8"/>
      <c r="O120" s="8"/>
      <c r="P120" s="8"/>
      <c r="Q120" s="10"/>
      <c r="R120" s="8"/>
    </row>
    <row r="121" spans="1:18">
      <c r="A121" s="8"/>
      <c r="B121" s="10"/>
      <c r="C121" s="8"/>
      <c r="D121" s="8"/>
      <c r="E121" s="8"/>
      <c r="F121" s="8"/>
      <c r="G121" s="13"/>
      <c r="H121" s="13"/>
      <c r="I121" s="8"/>
      <c r="J121" s="13"/>
      <c r="K121" s="8"/>
      <c r="L121" s="8"/>
      <c r="M121" s="8"/>
      <c r="N121" s="8"/>
      <c r="O121" s="8"/>
      <c r="P121" s="8"/>
      <c r="Q121" s="10"/>
      <c r="R121" s="8"/>
    </row>
    <row r="122" spans="1:18">
      <c r="A122" s="8"/>
      <c r="B122" s="10"/>
      <c r="C122" s="8"/>
      <c r="D122" s="8"/>
      <c r="E122" s="8"/>
      <c r="F122" s="8"/>
      <c r="G122" s="13"/>
      <c r="H122" s="13"/>
      <c r="I122" s="8"/>
      <c r="J122" s="13"/>
      <c r="K122" s="8"/>
      <c r="L122" s="8"/>
      <c r="M122" s="8"/>
      <c r="N122" s="8"/>
      <c r="O122" s="8"/>
      <c r="P122" s="8"/>
      <c r="Q122" s="10"/>
      <c r="R122" s="8"/>
    </row>
    <row r="123" spans="1:18">
      <c r="A123" s="8"/>
      <c r="B123" s="10"/>
      <c r="C123" s="8"/>
      <c r="D123" s="8"/>
      <c r="E123" s="8"/>
      <c r="F123" s="8"/>
      <c r="G123" s="13"/>
      <c r="H123" s="13"/>
      <c r="I123" s="8"/>
      <c r="J123" s="13"/>
      <c r="K123" s="8"/>
      <c r="L123" s="8"/>
      <c r="M123" s="8"/>
      <c r="N123" s="8"/>
      <c r="O123" s="8"/>
      <c r="P123" s="8"/>
      <c r="Q123" s="10"/>
      <c r="R123" s="8"/>
    </row>
    <row r="124" spans="1:18">
      <c r="A124" s="8"/>
      <c r="B124" s="10"/>
      <c r="C124" s="8"/>
      <c r="D124" s="8"/>
      <c r="E124" s="8"/>
      <c r="F124" s="8"/>
      <c r="G124" s="13"/>
      <c r="H124" s="13"/>
      <c r="I124" s="8"/>
      <c r="J124" s="13"/>
      <c r="K124" s="8"/>
      <c r="L124" s="8"/>
      <c r="M124" s="8"/>
      <c r="N124" s="8"/>
      <c r="O124" s="8"/>
      <c r="P124" s="8"/>
      <c r="Q124" s="10"/>
      <c r="R124" s="8"/>
    </row>
    <row r="125" spans="1:18">
      <c r="A125" s="8"/>
      <c r="B125" s="10"/>
      <c r="C125" s="8"/>
      <c r="D125" s="8"/>
      <c r="E125" s="8"/>
      <c r="F125" s="8"/>
      <c r="G125" s="13"/>
      <c r="H125" s="13"/>
      <c r="I125" s="8"/>
      <c r="J125" s="13"/>
      <c r="K125" s="8"/>
      <c r="L125" s="8"/>
      <c r="M125" s="8"/>
      <c r="N125" s="8"/>
      <c r="O125" s="8"/>
      <c r="P125" s="8"/>
      <c r="Q125" s="10"/>
      <c r="R125" s="8"/>
    </row>
    <row r="126" spans="1:18">
      <c r="A126" s="8"/>
      <c r="B126" s="10"/>
      <c r="C126" s="8"/>
      <c r="D126" s="8"/>
      <c r="E126" s="8"/>
      <c r="F126" s="8"/>
      <c r="G126" s="13"/>
      <c r="H126" s="13"/>
      <c r="I126" s="8"/>
      <c r="J126" s="13"/>
      <c r="K126" s="8"/>
      <c r="L126" s="8"/>
      <c r="M126" s="8"/>
      <c r="N126" s="8"/>
      <c r="O126" s="8"/>
      <c r="P126" s="8"/>
      <c r="Q126" s="10"/>
      <c r="R126" s="8"/>
    </row>
    <row r="127" spans="1:18">
      <c r="A127" s="8"/>
      <c r="B127" s="10"/>
      <c r="C127" s="8"/>
      <c r="D127" s="8"/>
      <c r="E127" s="8"/>
      <c r="F127" s="8"/>
      <c r="G127" s="13"/>
      <c r="H127" s="13"/>
      <c r="I127" s="8"/>
      <c r="J127" s="13"/>
      <c r="K127" s="8"/>
      <c r="L127" s="8"/>
      <c r="M127" s="8"/>
      <c r="N127" s="8"/>
      <c r="O127" s="8"/>
      <c r="P127" s="8"/>
      <c r="Q127" s="10"/>
      <c r="R127" s="8"/>
    </row>
    <row r="128" spans="1:18">
      <c r="A128" s="8"/>
      <c r="B128" s="10"/>
      <c r="C128" s="8"/>
      <c r="D128" s="8"/>
      <c r="E128" s="8"/>
      <c r="F128" s="8"/>
      <c r="G128" s="13"/>
      <c r="H128" s="13"/>
      <c r="I128" s="8"/>
      <c r="J128" s="13"/>
      <c r="K128" s="8"/>
      <c r="L128" s="8"/>
      <c r="M128" s="8"/>
      <c r="N128" s="8"/>
      <c r="O128" s="8"/>
      <c r="P128" s="8"/>
      <c r="Q128" s="10"/>
      <c r="R128" s="8"/>
    </row>
    <row r="129" spans="1:18">
      <c r="A129" s="8"/>
      <c r="B129" s="10"/>
      <c r="C129" s="8"/>
      <c r="D129" s="8"/>
      <c r="E129" s="8"/>
      <c r="F129" s="8"/>
      <c r="G129" s="13"/>
      <c r="H129" s="13"/>
      <c r="I129" s="8"/>
      <c r="J129" s="13"/>
      <c r="K129" s="8"/>
      <c r="L129" s="8"/>
      <c r="M129" s="8"/>
      <c r="N129" s="8"/>
      <c r="O129" s="8"/>
      <c r="P129" s="8"/>
      <c r="Q129" s="10"/>
      <c r="R129" s="8"/>
    </row>
    <row r="130" spans="1:18">
      <c r="A130" s="8"/>
      <c r="B130" s="10"/>
      <c r="C130" s="8"/>
      <c r="D130" s="8"/>
      <c r="E130" s="8"/>
      <c r="F130" s="8"/>
      <c r="G130" s="13"/>
      <c r="H130" s="13"/>
      <c r="I130" s="8"/>
      <c r="J130" s="13"/>
      <c r="K130" s="8"/>
      <c r="L130" s="8"/>
      <c r="M130" s="8"/>
      <c r="N130" s="8"/>
      <c r="O130" s="8"/>
      <c r="P130" s="8"/>
      <c r="Q130" s="10"/>
      <c r="R130" s="8"/>
    </row>
    <row r="131" spans="1:18">
      <c r="A131" s="8"/>
      <c r="B131" s="10"/>
      <c r="C131" s="8"/>
      <c r="D131" s="8"/>
      <c r="E131" s="8"/>
      <c r="F131" s="8"/>
      <c r="G131" s="13"/>
      <c r="H131" s="13"/>
      <c r="I131" s="8"/>
      <c r="J131" s="13"/>
      <c r="K131" s="8"/>
      <c r="L131" s="8"/>
      <c r="M131" s="8"/>
      <c r="N131" s="8"/>
      <c r="O131" s="8"/>
      <c r="P131" s="8"/>
      <c r="Q131" s="10"/>
      <c r="R131" s="8"/>
    </row>
    <row r="132" spans="1:18">
      <c r="A132" s="8"/>
      <c r="B132" s="10"/>
      <c r="C132" s="8"/>
      <c r="D132" s="8"/>
      <c r="E132" s="8"/>
      <c r="F132" s="8"/>
      <c r="G132" s="13"/>
      <c r="H132" s="13"/>
      <c r="I132" s="8"/>
      <c r="J132" s="13"/>
      <c r="K132" s="8"/>
      <c r="L132" s="8"/>
      <c r="M132" s="8"/>
      <c r="N132" s="8"/>
      <c r="O132" s="8"/>
      <c r="P132" s="8"/>
      <c r="Q132" s="10"/>
      <c r="R132" s="8"/>
    </row>
    <row r="133" spans="1:18">
      <c r="A133" s="8"/>
      <c r="B133" s="10"/>
      <c r="C133" s="8"/>
      <c r="D133" s="8"/>
      <c r="E133" s="8"/>
      <c r="F133" s="8"/>
      <c r="G133" s="13"/>
      <c r="H133" s="13"/>
      <c r="I133" s="8"/>
      <c r="J133" s="13"/>
      <c r="K133" s="8"/>
      <c r="L133" s="8"/>
      <c r="M133" s="8"/>
      <c r="N133" s="8"/>
      <c r="O133" s="8"/>
      <c r="P133" s="8"/>
      <c r="Q133" s="10"/>
      <c r="R133" s="8"/>
    </row>
    <row r="134" spans="1:18">
      <c r="A134" s="8"/>
      <c r="B134" s="10"/>
      <c r="C134" s="8"/>
      <c r="D134" s="8"/>
      <c r="E134" s="8"/>
      <c r="F134" s="8"/>
      <c r="G134" s="13"/>
      <c r="H134" s="13"/>
      <c r="I134" s="8"/>
      <c r="J134" s="13"/>
      <c r="K134" s="8"/>
      <c r="L134" s="8"/>
      <c r="M134" s="8"/>
      <c r="N134" s="8"/>
      <c r="O134" s="8"/>
      <c r="P134" s="8"/>
      <c r="Q134" s="10"/>
      <c r="R134" s="8"/>
    </row>
    <row r="135" spans="1:18">
      <c r="A135" s="8"/>
      <c r="B135" s="10"/>
      <c r="C135" s="8"/>
      <c r="D135" s="8"/>
      <c r="E135" s="8"/>
      <c r="F135" s="8"/>
      <c r="G135" s="13"/>
      <c r="H135" s="13"/>
      <c r="I135" s="8"/>
      <c r="J135" s="13"/>
      <c r="K135" s="8"/>
      <c r="L135" s="8"/>
      <c r="M135" s="8"/>
      <c r="N135" s="8"/>
      <c r="O135" s="8"/>
      <c r="P135" s="8"/>
      <c r="Q135" s="10"/>
      <c r="R135" s="8"/>
    </row>
    <row r="136" spans="1:18">
      <c r="A136" s="8"/>
      <c r="B136" s="10"/>
      <c r="C136" s="8"/>
      <c r="D136" s="8"/>
      <c r="E136" s="8"/>
      <c r="F136" s="8"/>
      <c r="G136" s="13"/>
      <c r="H136" s="13"/>
      <c r="I136" s="8"/>
      <c r="J136" s="13"/>
      <c r="K136" s="8"/>
      <c r="L136" s="8"/>
      <c r="M136" s="8"/>
      <c r="N136" s="8"/>
      <c r="O136" s="8"/>
      <c r="P136" s="8"/>
      <c r="Q136" s="10"/>
      <c r="R136" s="8"/>
    </row>
    <row r="137" spans="1:18">
      <c r="A137" s="8"/>
      <c r="B137" s="10"/>
      <c r="C137" s="8"/>
      <c r="D137" s="8"/>
      <c r="E137" s="8"/>
      <c r="F137" s="8"/>
      <c r="G137" s="13"/>
      <c r="H137" s="13"/>
      <c r="I137" s="8"/>
      <c r="J137" s="13"/>
      <c r="K137" s="8"/>
      <c r="L137" s="8"/>
      <c r="M137" s="8"/>
      <c r="N137" s="8"/>
      <c r="O137" s="8"/>
      <c r="P137" s="8"/>
      <c r="Q137" s="10"/>
      <c r="R137" s="8"/>
    </row>
    <row r="138" spans="1:18">
      <c r="A138" s="8"/>
      <c r="B138" s="10"/>
      <c r="C138" s="8"/>
      <c r="D138" s="8"/>
      <c r="E138" s="8"/>
      <c r="F138" s="8"/>
      <c r="G138" s="13"/>
      <c r="H138" s="13"/>
      <c r="I138" s="8"/>
      <c r="J138" s="13"/>
      <c r="K138" s="8"/>
      <c r="L138" s="8"/>
      <c r="M138" s="8"/>
      <c r="N138" s="8"/>
      <c r="O138" s="8"/>
      <c r="P138" s="8"/>
      <c r="Q138" s="10"/>
      <c r="R138" s="8"/>
    </row>
    <row r="139" spans="1:18">
      <c r="A139" s="8"/>
      <c r="B139" s="10"/>
      <c r="C139" s="8"/>
      <c r="D139" s="8"/>
      <c r="E139" s="8"/>
      <c r="F139" s="8"/>
      <c r="G139" s="13"/>
      <c r="H139" s="13"/>
      <c r="I139" s="8"/>
      <c r="J139" s="13"/>
      <c r="K139" s="8"/>
      <c r="L139" s="8"/>
      <c r="M139" s="8"/>
      <c r="N139" s="8"/>
      <c r="O139" s="8"/>
      <c r="P139" s="8"/>
      <c r="Q139" s="10"/>
      <c r="R139" s="8"/>
    </row>
    <row r="140" spans="1:18">
      <c r="A140" s="8"/>
      <c r="B140" s="10"/>
      <c r="C140" s="8"/>
      <c r="D140" s="8"/>
      <c r="E140" s="8"/>
      <c r="F140" s="8"/>
      <c r="G140" s="13"/>
      <c r="H140" s="13"/>
      <c r="I140" s="8"/>
      <c r="J140" s="13"/>
      <c r="K140" s="8"/>
      <c r="L140" s="8"/>
      <c r="M140" s="8"/>
      <c r="N140" s="8"/>
      <c r="O140" s="8"/>
      <c r="P140" s="8"/>
      <c r="Q140" s="10"/>
      <c r="R140" s="8"/>
    </row>
    <row r="141" spans="1:18">
      <c r="A141" s="8"/>
      <c r="B141" s="10"/>
      <c r="C141" s="8"/>
      <c r="D141" s="8"/>
      <c r="E141" s="8"/>
      <c r="F141" s="8"/>
      <c r="G141" s="13"/>
      <c r="H141" s="13"/>
      <c r="I141" s="8"/>
      <c r="J141" s="13"/>
      <c r="K141" s="8"/>
      <c r="L141" s="8"/>
      <c r="M141" s="8"/>
      <c r="N141" s="8"/>
      <c r="O141" s="8"/>
      <c r="P141" s="8"/>
      <c r="Q141" s="10"/>
      <c r="R141" s="8"/>
    </row>
    <row r="142" spans="1:18">
      <c r="A142" s="8"/>
      <c r="B142" s="10"/>
      <c r="C142" s="8"/>
      <c r="D142" s="8"/>
      <c r="E142" s="8"/>
      <c r="F142" s="8"/>
      <c r="G142" s="13"/>
      <c r="H142" s="13"/>
      <c r="I142" s="8"/>
      <c r="J142" s="13"/>
      <c r="K142" s="8"/>
      <c r="L142" s="8"/>
      <c r="M142" s="8"/>
      <c r="N142" s="8"/>
      <c r="O142" s="8"/>
      <c r="P142" s="8"/>
      <c r="Q142" s="10"/>
      <c r="R142" s="8"/>
    </row>
    <row r="143" spans="1:18">
      <c r="A143" s="8"/>
      <c r="B143" s="10"/>
      <c r="C143" s="8"/>
      <c r="D143" s="8"/>
      <c r="E143" s="8"/>
      <c r="F143" s="8"/>
      <c r="G143" s="13"/>
      <c r="H143" s="13"/>
      <c r="I143" s="8"/>
      <c r="J143" s="13"/>
      <c r="K143" s="8"/>
      <c r="L143" s="8"/>
      <c r="M143" s="8"/>
      <c r="N143" s="8"/>
      <c r="O143" s="8"/>
      <c r="P143" s="8"/>
      <c r="Q143" s="10"/>
      <c r="R143" s="8"/>
    </row>
    <row r="144" spans="1:18">
      <c r="A144" s="8"/>
      <c r="B144" s="10"/>
      <c r="C144" s="8"/>
      <c r="D144" s="8"/>
      <c r="E144" s="8"/>
      <c r="F144" s="8"/>
      <c r="G144" s="13"/>
      <c r="H144" s="13"/>
      <c r="I144" s="8"/>
      <c r="J144" s="13"/>
      <c r="K144" s="8"/>
      <c r="L144" s="8"/>
      <c r="M144" s="8"/>
      <c r="N144" s="8"/>
      <c r="O144" s="8"/>
      <c r="P144" s="8"/>
      <c r="Q144" s="10"/>
      <c r="R144" s="8"/>
    </row>
    <row r="145" spans="1:18">
      <c r="A145" s="8"/>
      <c r="B145" s="10"/>
      <c r="C145" s="8"/>
      <c r="D145" s="8"/>
      <c r="E145" s="8"/>
      <c r="F145" s="8"/>
      <c r="G145" s="13"/>
      <c r="H145" s="13"/>
      <c r="I145" s="8"/>
      <c r="J145" s="13"/>
      <c r="K145" s="8"/>
      <c r="L145" s="8"/>
      <c r="M145" s="8"/>
      <c r="N145" s="8"/>
      <c r="O145" s="8"/>
      <c r="P145" s="8"/>
      <c r="Q145" s="10"/>
      <c r="R145" s="8"/>
    </row>
    <row r="146" spans="1:18">
      <c r="A146" s="8"/>
      <c r="B146" s="10"/>
      <c r="C146" s="8"/>
      <c r="D146" s="8"/>
      <c r="E146" s="8"/>
      <c r="F146" s="8"/>
      <c r="G146" s="13"/>
      <c r="H146" s="13"/>
      <c r="I146" s="8"/>
      <c r="J146" s="13"/>
      <c r="K146" s="8"/>
      <c r="L146" s="8"/>
      <c r="M146" s="8"/>
      <c r="N146" s="8"/>
      <c r="O146" s="8"/>
      <c r="P146" s="8"/>
      <c r="Q146" s="10"/>
      <c r="R146" s="8"/>
    </row>
    <row r="147" spans="1:18">
      <c r="A147" s="8"/>
      <c r="B147" s="10"/>
      <c r="C147" s="8"/>
      <c r="D147" s="8"/>
      <c r="E147" s="8"/>
      <c r="F147" s="8"/>
      <c r="G147" s="13"/>
      <c r="H147" s="13"/>
      <c r="I147" s="8"/>
      <c r="J147" s="13"/>
      <c r="K147" s="8"/>
      <c r="L147" s="8"/>
      <c r="M147" s="8"/>
      <c r="N147" s="8"/>
      <c r="O147" s="8"/>
      <c r="P147" s="8"/>
      <c r="Q147" s="10"/>
      <c r="R147" s="8"/>
    </row>
    <row r="148" spans="1:18">
      <c r="A148" s="8"/>
      <c r="B148" s="10"/>
      <c r="C148" s="8"/>
      <c r="D148" s="8"/>
      <c r="E148" s="8"/>
      <c r="F148" s="8"/>
      <c r="G148" s="13"/>
      <c r="H148" s="13"/>
      <c r="I148" s="8"/>
      <c r="J148" s="13"/>
      <c r="K148" s="8"/>
      <c r="L148" s="8"/>
      <c r="M148" s="8"/>
      <c r="N148" s="8"/>
      <c r="O148" s="8"/>
      <c r="P148" s="8"/>
      <c r="Q148" s="10"/>
      <c r="R148" s="8"/>
    </row>
    <row r="149" spans="1:18">
      <c r="A149" s="8"/>
      <c r="B149" s="10"/>
      <c r="C149" s="8"/>
      <c r="D149" s="8"/>
      <c r="E149" s="8"/>
      <c r="F149" s="8"/>
      <c r="G149" s="13"/>
      <c r="H149" s="13"/>
      <c r="I149" s="8"/>
      <c r="J149" s="13"/>
      <c r="K149" s="8"/>
      <c r="L149" s="8"/>
      <c r="M149" s="8"/>
      <c r="N149" s="8"/>
      <c r="O149" s="8"/>
      <c r="P149" s="8"/>
      <c r="Q149" s="10"/>
      <c r="R149" s="8"/>
    </row>
    <row r="150" spans="1:18">
      <c r="A150" s="8"/>
      <c r="B150" s="10"/>
      <c r="C150" s="8"/>
      <c r="D150" s="8"/>
      <c r="E150" s="8"/>
      <c r="F150" s="8"/>
      <c r="G150" s="13"/>
      <c r="H150" s="13"/>
      <c r="I150" s="8"/>
      <c r="J150" s="13"/>
      <c r="K150" s="8"/>
      <c r="L150" s="8"/>
      <c r="M150" s="8"/>
      <c r="N150" s="8"/>
      <c r="O150" s="8"/>
      <c r="P150" s="8"/>
      <c r="Q150" s="10"/>
      <c r="R150" s="8"/>
    </row>
    <row r="151" spans="1:18">
      <c r="A151" s="8"/>
      <c r="B151" s="10"/>
      <c r="C151" s="8"/>
      <c r="D151" s="8"/>
      <c r="E151" s="8"/>
      <c r="F151" s="8"/>
      <c r="G151" s="13"/>
      <c r="H151" s="13"/>
      <c r="I151" s="8"/>
      <c r="J151" s="13"/>
      <c r="K151" s="8"/>
      <c r="L151" s="8"/>
      <c r="M151" s="8"/>
      <c r="N151" s="8"/>
      <c r="O151" s="8"/>
      <c r="P151" s="8"/>
      <c r="Q151" s="10"/>
      <c r="R151" s="8"/>
    </row>
    <row r="152" spans="1:18">
      <c r="A152" s="8"/>
      <c r="B152" s="10"/>
      <c r="C152" s="8"/>
      <c r="D152" s="8"/>
      <c r="E152" s="8"/>
      <c r="F152" s="8"/>
      <c r="G152" s="13"/>
      <c r="H152" s="13"/>
      <c r="I152" s="8"/>
      <c r="J152" s="13"/>
      <c r="K152" s="8"/>
      <c r="L152" s="8"/>
      <c r="M152" s="8"/>
      <c r="N152" s="8"/>
      <c r="O152" s="8"/>
      <c r="P152" s="8"/>
      <c r="Q152" s="10"/>
      <c r="R152" s="8"/>
    </row>
    <row r="153" spans="1:18">
      <c r="A153" s="8"/>
      <c r="B153" s="10"/>
      <c r="C153" s="8"/>
      <c r="D153" s="8"/>
      <c r="E153" s="8"/>
      <c r="F153" s="8"/>
      <c r="G153" s="13"/>
      <c r="H153" s="13"/>
      <c r="I153" s="8"/>
      <c r="J153" s="13"/>
      <c r="K153" s="8"/>
      <c r="L153" s="8"/>
      <c r="M153" s="8"/>
      <c r="N153" s="8"/>
      <c r="O153" s="8"/>
      <c r="P153" s="8"/>
      <c r="Q153" s="10"/>
      <c r="R153" s="8"/>
    </row>
    <row r="154" spans="1:18">
      <c r="A154" s="8"/>
      <c r="B154" s="10"/>
      <c r="C154" s="8"/>
      <c r="D154" s="8"/>
      <c r="E154" s="8"/>
      <c r="F154" s="8"/>
      <c r="G154" s="13"/>
      <c r="H154" s="13"/>
      <c r="I154" s="8"/>
      <c r="J154" s="13"/>
      <c r="K154" s="8"/>
      <c r="L154" s="8"/>
      <c r="M154" s="8"/>
      <c r="N154" s="8"/>
      <c r="O154" s="8"/>
      <c r="P154" s="8"/>
      <c r="Q154" s="10"/>
      <c r="R154" s="8"/>
    </row>
    <row r="155" spans="1:18">
      <c r="A155" s="8"/>
      <c r="B155" s="10"/>
      <c r="C155" s="8"/>
      <c r="D155" s="8"/>
      <c r="E155" s="8"/>
      <c r="F155" s="8"/>
      <c r="G155" s="13"/>
      <c r="H155" s="13"/>
      <c r="I155" s="8"/>
      <c r="J155" s="13"/>
      <c r="K155" s="8"/>
      <c r="L155" s="8"/>
      <c r="M155" s="8"/>
      <c r="N155" s="8"/>
      <c r="O155" s="8"/>
      <c r="P155" s="8"/>
      <c r="Q155" s="10"/>
      <c r="R155" s="8"/>
    </row>
    <row r="156" spans="1:18">
      <c r="A156" s="8"/>
      <c r="B156" s="10"/>
      <c r="C156" s="8"/>
      <c r="D156" s="8"/>
      <c r="E156" s="8"/>
      <c r="F156" s="8"/>
      <c r="G156" s="13"/>
      <c r="H156" s="13"/>
      <c r="I156" s="8"/>
      <c r="J156" s="13"/>
      <c r="K156" s="8"/>
      <c r="L156" s="8"/>
      <c r="M156" s="8"/>
      <c r="N156" s="8"/>
      <c r="O156" s="8"/>
      <c r="P156" s="8"/>
      <c r="Q156" s="10"/>
      <c r="R156" s="8"/>
    </row>
    <row r="157" spans="1:18">
      <c r="A157" s="8"/>
      <c r="B157" s="10"/>
      <c r="C157" s="8"/>
      <c r="D157" s="8"/>
      <c r="E157" s="8"/>
      <c r="F157" s="8"/>
      <c r="G157" s="13"/>
      <c r="H157" s="13"/>
      <c r="I157" s="8"/>
      <c r="J157" s="13"/>
      <c r="K157" s="8"/>
      <c r="L157" s="8"/>
      <c r="M157" s="8"/>
      <c r="N157" s="8"/>
      <c r="O157" s="8"/>
      <c r="P157" s="8"/>
      <c r="Q157" s="10"/>
      <c r="R157" s="8"/>
    </row>
    <row r="158" spans="1:18">
      <c r="A158" s="8"/>
      <c r="B158" s="10"/>
      <c r="C158" s="8"/>
      <c r="D158" s="8"/>
      <c r="E158" s="8"/>
      <c r="F158" s="8"/>
      <c r="G158" s="13"/>
      <c r="H158" s="13"/>
      <c r="I158" s="8"/>
      <c r="J158" s="13"/>
      <c r="K158" s="8"/>
      <c r="L158" s="8"/>
      <c r="M158" s="8"/>
      <c r="N158" s="8"/>
      <c r="O158" s="8"/>
      <c r="P158" s="8"/>
      <c r="Q158" s="10"/>
      <c r="R158" s="8"/>
    </row>
    <row r="159" spans="1:18">
      <c r="A159" s="8"/>
      <c r="B159" s="10"/>
      <c r="C159" s="8"/>
      <c r="D159" s="8"/>
      <c r="E159" s="8"/>
      <c r="F159" s="8"/>
      <c r="G159" s="13"/>
      <c r="H159" s="13"/>
      <c r="I159" s="8"/>
      <c r="J159" s="13"/>
      <c r="K159" s="8"/>
      <c r="L159" s="8"/>
      <c r="M159" s="8"/>
      <c r="N159" s="8"/>
      <c r="O159" s="8"/>
      <c r="P159" s="8"/>
      <c r="Q159" s="10"/>
      <c r="R159" s="8"/>
    </row>
    <row r="160" spans="1:18">
      <c r="A160" s="8"/>
      <c r="B160" s="10"/>
      <c r="C160" s="8"/>
      <c r="D160" s="8"/>
      <c r="E160" s="8"/>
      <c r="F160" s="8"/>
      <c r="G160" s="13"/>
      <c r="H160" s="13"/>
      <c r="I160" s="8"/>
      <c r="J160" s="13"/>
      <c r="K160" s="8"/>
      <c r="L160" s="8"/>
      <c r="M160" s="8"/>
      <c r="N160" s="8"/>
      <c r="O160" s="8"/>
      <c r="P160" s="8"/>
      <c r="Q160" s="10"/>
      <c r="R160" s="8"/>
    </row>
    <row r="161" spans="1:18">
      <c r="A161" s="8"/>
      <c r="B161" s="10"/>
      <c r="C161" s="8"/>
      <c r="D161" s="8"/>
      <c r="E161" s="8"/>
      <c r="F161" s="8"/>
      <c r="G161" s="13"/>
      <c r="H161" s="13"/>
      <c r="I161" s="8"/>
      <c r="J161" s="13"/>
      <c r="K161" s="8"/>
      <c r="L161" s="8"/>
      <c r="M161" s="8"/>
      <c r="N161" s="8"/>
      <c r="O161" s="8"/>
      <c r="P161" s="8"/>
      <c r="Q161" s="10"/>
      <c r="R161" s="8"/>
    </row>
    <row r="162" spans="1:18">
      <c r="A162" s="8"/>
      <c r="B162" s="10"/>
      <c r="C162" s="8"/>
      <c r="D162" s="8"/>
      <c r="E162" s="8"/>
      <c r="F162" s="8"/>
      <c r="G162" s="13"/>
      <c r="H162" s="13"/>
      <c r="I162" s="8"/>
      <c r="J162" s="13"/>
      <c r="K162" s="8"/>
      <c r="L162" s="8"/>
      <c r="M162" s="8"/>
      <c r="N162" s="8"/>
      <c r="O162" s="8"/>
      <c r="P162" s="8"/>
      <c r="Q162" s="10"/>
      <c r="R162" s="8"/>
    </row>
    <row r="163" spans="1:18">
      <c r="A163" s="8"/>
      <c r="B163" s="10"/>
      <c r="C163" s="8"/>
      <c r="D163" s="8"/>
      <c r="E163" s="8"/>
      <c r="F163" s="8"/>
      <c r="G163" s="13"/>
      <c r="H163" s="13"/>
      <c r="I163" s="8"/>
      <c r="J163" s="13"/>
      <c r="K163" s="8"/>
      <c r="L163" s="8"/>
      <c r="M163" s="8"/>
      <c r="N163" s="8"/>
      <c r="O163" s="8"/>
      <c r="P163" s="8"/>
      <c r="Q163" s="10"/>
      <c r="R163" s="8"/>
    </row>
    <row r="164" spans="1:18">
      <c r="A164" s="8"/>
      <c r="B164" s="10"/>
      <c r="C164" s="8"/>
      <c r="D164" s="8"/>
      <c r="E164" s="8"/>
      <c r="F164" s="8"/>
      <c r="G164" s="13"/>
      <c r="H164" s="13"/>
      <c r="I164" s="8"/>
      <c r="J164" s="13"/>
      <c r="K164" s="8"/>
      <c r="L164" s="8"/>
      <c r="M164" s="8"/>
      <c r="N164" s="8"/>
      <c r="O164" s="8"/>
      <c r="P164" s="8"/>
      <c r="Q164" s="10"/>
      <c r="R164" s="8"/>
    </row>
    <row r="165" spans="1:18">
      <c r="A165" s="8"/>
      <c r="B165" s="10"/>
      <c r="C165" s="8"/>
      <c r="D165" s="8"/>
      <c r="E165" s="8"/>
      <c r="F165" s="8"/>
      <c r="G165" s="13"/>
      <c r="H165" s="13"/>
      <c r="I165" s="8"/>
      <c r="J165" s="13"/>
      <c r="K165" s="8"/>
      <c r="L165" s="8"/>
      <c r="M165" s="8"/>
      <c r="N165" s="8"/>
      <c r="O165" s="8"/>
      <c r="P165" s="8"/>
      <c r="Q165" s="10"/>
      <c r="R165" s="8"/>
    </row>
    <row r="166" spans="1:18">
      <c r="A166" s="8"/>
      <c r="B166" s="10"/>
      <c r="C166" s="8"/>
      <c r="D166" s="8"/>
      <c r="E166" s="8"/>
      <c r="F166" s="8"/>
      <c r="G166" s="13"/>
      <c r="H166" s="13"/>
      <c r="I166" s="8"/>
      <c r="J166" s="13"/>
      <c r="K166" s="8"/>
      <c r="L166" s="8"/>
      <c r="M166" s="8"/>
      <c r="N166" s="8"/>
      <c r="O166" s="8"/>
      <c r="P166" s="8"/>
      <c r="Q166" s="10"/>
      <c r="R166" s="8"/>
    </row>
    <row r="167" spans="1:18">
      <c r="A167" s="8"/>
      <c r="B167" s="10"/>
      <c r="C167" s="8"/>
      <c r="D167" s="8"/>
      <c r="E167" s="8"/>
      <c r="F167" s="8"/>
      <c r="G167" s="13"/>
      <c r="H167" s="13"/>
      <c r="I167" s="8"/>
      <c r="J167" s="13"/>
      <c r="K167" s="8"/>
      <c r="L167" s="8"/>
      <c r="M167" s="8"/>
      <c r="N167" s="8"/>
      <c r="O167" s="8"/>
      <c r="P167" s="8"/>
      <c r="Q167" s="10"/>
      <c r="R167" s="8"/>
    </row>
    <row r="168" spans="1:18">
      <c r="A168" s="8"/>
      <c r="B168" s="10"/>
      <c r="C168" s="8"/>
      <c r="D168" s="8"/>
      <c r="E168" s="8"/>
      <c r="F168" s="8"/>
      <c r="G168" s="13"/>
      <c r="H168" s="13"/>
      <c r="I168" s="8"/>
      <c r="J168" s="13"/>
      <c r="K168" s="8"/>
      <c r="L168" s="8"/>
      <c r="M168" s="8"/>
      <c r="N168" s="8"/>
      <c r="O168" s="8"/>
      <c r="P168" s="8"/>
      <c r="Q168" s="10"/>
      <c r="R168" s="8"/>
    </row>
    <row r="169" spans="1:18">
      <c r="A169" s="8"/>
      <c r="B169" s="10"/>
      <c r="C169" s="8"/>
      <c r="D169" s="8"/>
      <c r="E169" s="8"/>
      <c r="F169" s="8"/>
      <c r="G169" s="13"/>
      <c r="H169" s="13"/>
      <c r="I169" s="8"/>
      <c r="J169" s="13"/>
      <c r="K169" s="8"/>
      <c r="L169" s="8"/>
      <c r="M169" s="8"/>
      <c r="N169" s="8"/>
      <c r="O169" s="8"/>
      <c r="P169" s="8"/>
      <c r="Q169" s="10"/>
      <c r="R169" s="8"/>
    </row>
    <row r="170" spans="1:18">
      <c r="A170" s="8"/>
      <c r="B170" s="10"/>
      <c r="C170" s="8"/>
      <c r="D170" s="8"/>
      <c r="E170" s="8"/>
      <c r="F170" s="8"/>
      <c r="G170" s="13"/>
      <c r="H170" s="13"/>
      <c r="I170" s="8"/>
      <c r="J170" s="13"/>
      <c r="K170" s="8"/>
      <c r="L170" s="8"/>
      <c r="M170" s="8"/>
      <c r="N170" s="8"/>
      <c r="O170" s="8"/>
      <c r="P170" s="8"/>
      <c r="Q170" s="10"/>
      <c r="R170" s="8"/>
    </row>
    <row r="171" spans="1:18">
      <c r="A171" s="8"/>
      <c r="B171" s="10"/>
      <c r="C171" s="8"/>
      <c r="D171" s="8"/>
      <c r="E171" s="8"/>
      <c r="F171" s="8"/>
      <c r="G171" s="13"/>
      <c r="H171" s="13"/>
      <c r="I171" s="8"/>
      <c r="J171" s="13"/>
      <c r="K171" s="8"/>
      <c r="L171" s="8"/>
      <c r="M171" s="8"/>
      <c r="N171" s="8"/>
      <c r="O171" s="8"/>
      <c r="P171" s="8"/>
      <c r="Q171" s="10"/>
      <c r="R171" s="8"/>
    </row>
    <row r="172" spans="1:18">
      <c r="A172" s="8"/>
      <c r="B172" s="10"/>
      <c r="C172" s="8"/>
      <c r="D172" s="8"/>
      <c r="E172" s="8"/>
      <c r="F172" s="8"/>
      <c r="G172" s="13"/>
      <c r="H172" s="13"/>
      <c r="I172" s="8"/>
      <c r="J172" s="13"/>
      <c r="K172" s="8"/>
      <c r="L172" s="8"/>
      <c r="M172" s="8"/>
      <c r="N172" s="8"/>
      <c r="O172" s="8"/>
      <c r="P172" s="8"/>
      <c r="Q172" s="10"/>
      <c r="R172" s="8"/>
    </row>
    <row r="173" spans="1:18">
      <c r="A173" s="8"/>
      <c r="B173" s="10"/>
      <c r="C173" s="8"/>
      <c r="D173" s="8"/>
      <c r="E173" s="8"/>
      <c r="F173" s="8"/>
      <c r="G173" s="13"/>
      <c r="H173" s="13"/>
      <c r="I173" s="8"/>
      <c r="J173" s="13"/>
      <c r="K173" s="8"/>
      <c r="L173" s="8"/>
      <c r="M173" s="8"/>
      <c r="N173" s="8"/>
      <c r="O173" s="8"/>
      <c r="P173" s="8"/>
      <c r="Q173" s="10"/>
      <c r="R173" s="8"/>
    </row>
    <row r="174" spans="1:18">
      <c r="A174" s="8"/>
      <c r="B174" s="10"/>
      <c r="C174" s="8"/>
      <c r="D174" s="8"/>
      <c r="E174" s="8"/>
      <c r="F174" s="8"/>
      <c r="G174" s="13"/>
      <c r="H174" s="13"/>
      <c r="I174" s="8"/>
      <c r="J174" s="13"/>
      <c r="K174" s="8"/>
      <c r="L174" s="8"/>
      <c r="M174" s="8"/>
      <c r="N174" s="8"/>
      <c r="O174" s="8"/>
      <c r="P174" s="8"/>
      <c r="Q174" s="10"/>
      <c r="R174" s="8"/>
    </row>
    <row r="175" spans="1:18">
      <c r="A175" s="8"/>
      <c r="B175" s="10"/>
      <c r="C175" s="8"/>
      <c r="D175" s="8"/>
      <c r="E175" s="8"/>
      <c r="F175" s="8"/>
      <c r="G175" s="13"/>
      <c r="H175" s="13"/>
      <c r="I175" s="8"/>
      <c r="J175" s="13"/>
      <c r="K175" s="8"/>
      <c r="L175" s="8"/>
      <c r="M175" s="8"/>
      <c r="N175" s="8"/>
      <c r="O175" s="8"/>
      <c r="P175" s="8"/>
      <c r="Q175" s="10"/>
      <c r="R175" s="8"/>
    </row>
    <row r="176" spans="1:18">
      <c r="A176" s="8"/>
      <c r="B176" s="10"/>
      <c r="C176" s="8"/>
      <c r="D176" s="8"/>
      <c r="E176" s="8"/>
      <c r="F176" s="8"/>
      <c r="G176" s="13"/>
      <c r="H176" s="13"/>
      <c r="I176" s="8"/>
      <c r="J176" s="13"/>
      <c r="K176" s="8"/>
      <c r="L176" s="8"/>
      <c r="M176" s="8"/>
      <c r="N176" s="8"/>
      <c r="O176" s="8"/>
      <c r="P176" s="8"/>
      <c r="Q176" s="10"/>
      <c r="R176" s="8"/>
    </row>
    <row r="177" spans="1:18">
      <c r="A177" s="8"/>
      <c r="B177" s="10"/>
      <c r="C177" s="8"/>
      <c r="D177" s="8"/>
      <c r="E177" s="8"/>
      <c r="F177" s="8"/>
      <c r="G177" s="13"/>
      <c r="H177" s="13"/>
      <c r="I177" s="8"/>
      <c r="J177" s="13"/>
      <c r="K177" s="8"/>
      <c r="L177" s="8"/>
      <c r="M177" s="8"/>
      <c r="N177" s="8"/>
      <c r="O177" s="8"/>
      <c r="P177" s="8"/>
      <c r="Q177" s="10"/>
      <c r="R177" s="8"/>
    </row>
    <row r="178" spans="1:18">
      <c r="A178" s="8"/>
      <c r="B178" s="10"/>
      <c r="C178" s="8"/>
      <c r="D178" s="8"/>
      <c r="E178" s="8"/>
      <c r="F178" s="8"/>
      <c r="G178" s="13"/>
      <c r="H178" s="13"/>
      <c r="I178" s="8"/>
      <c r="J178" s="13"/>
      <c r="K178" s="8"/>
      <c r="L178" s="8"/>
      <c r="M178" s="8"/>
      <c r="N178" s="8"/>
      <c r="O178" s="8"/>
      <c r="P178" s="8"/>
      <c r="Q178" s="10"/>
      <c r="R178" s="8"/>
    </row>
    <row r="179" spans="1:18">
      <c r="A179" s="8"/>
      <c r="B179" s="10"/>
      <c r="C179" s="8"/>
      <c r="D179" s="8"/>
      <c r="E179" s="8"/>
      <c r="F179" s="8"/>
      <c r="G179" s="13"/>
      <c r="H179" s="13"/>
      <c r="I179" s="8"/>
      <c r="J179" s="13"/>
      <c r="K179" s="8"/>
      <c r="L179" s="8"/>
      <c r="M179" s="8"/>
      <c r="N179" s="8"/>
      <c r="O179" s="8"/>
      <c r="P179" s="8"/>
      <c r="Q179" s="10"/>
      <c r="R179" s="8"/>
    </row>
    <row r="180" spans="1:18">
      <c r="A180" s="8"/>
      <c r="B180" s="10"/>
      <c r="C180" s="8"/>
      <c r="D180" s="8"/>
      <c r="E180" s="8"/>
      <c r="F180" s="8"/>
      <c r="G180" s="13"/>
      <c r="H180" s="13"/>
      <c r="I180" s="8"/>
      <c r="J180" s="13"/>
      <c r="K180" s="8"/>
      <c r="L180" s="8"/>
      <c r="M180" s="8"/>
      <c r="N180" s="8"/>
      <c r="O180" s="8"/>
      <c r="P180" s="8"/>
      <c r="Q180" s="10"/>
      <c r="R180" s="8"/>
    </row>
    <row r="181" spans="1:18">
      <c r="A181" s="8"/>
      <c r="B181" s="10"/>
      <c r="C181" s="8"/>
      <c r="D181" s="8"/>
      <c r="E181" s="8"/>
      <c r="F181" s="8"/>
      <c r="G181" s="13"/>
      <c r="H181" s="13"/>
      <c r="I181" s="8"/>
      <c r="J181" s="13"/>
      <c r="K181" s="8"/>
      <c r="L181" s="8"/>
      <c r="M181" s="8"/>
      <c r="N181" s="8"/>
      <c r="O181" s="8"/>
      <c r="P181" s="8"/>
      <c r="Q181" s="10"/>
      <c r="R181" s="8"/>
    </row>
    <row r="182" spans="1:18">
      <c r="A182" s="8"/>
      <c r="B182" s="10"/>
      <c r="C182" s="8"/>
      <c r="D182" s="8"/>
      <c r="E182" s="8"/>
      <c r="F182" s="8"/>
      <c r="G182" s="13"/>
      <c r="H182" s="13"/>
      <c r="I182" s="8"/>
      <c r="J182" s="13"/>
      <c r="K182" s="8"/>
      <c r="L182" s="8"/>
      <c r="M182" s="8"/>
      <c r="N182" s="8"/>
      <c r="O182" s="8"/>
      <c r="P182" s="8"/>
      <c r="Q182" s="10"/>
      <c r="R182" s="8"/>
    </row>
    <row r="183" spans="1:18">
      <c r="A183" s="8"/>
      <c r="B183" s="10"/>
      <c r="C183" s="8"/>
      <c r="D183" s="8"/>
      <c r="E183" s="8"/>
      <c r="F183" s="8"/>
      <c r="G183" s="13"/>
      <c r="H183" s="13"/>
      <c r="I183" s="8"/>
      <c r="J183" s="13"/>
      <c r="K183" s="8"/>
      <c r="L183" s="8"/>
      <c r="M183" s="8"/>
      <c r="N183" s="8"/>
      <c r="O183" s="8"/>
      <c r="P183" s="8"/>
      <c r="Q183" s="10"/>
      <c r="R183" s="8"/>
    </row>
    <row r="184" spans="1:18">
      <c r="A184" s="8"/>
      <c r="B184" s="10"/>
      <c r="C184" s="8"/>
      <c r="D184" s="8"/>
      <c r="E184" s="8"/>
      <c r="F184" s="8"/>
      <c r="G184" s="13"/>
      <c r="H184" s="13"/>
      <c r="I184" s="8"/>
      <c r="J184" s="13"/>
      <c r="K184" s="8"/>
      <c r="L184" s="8"/>
      <c r="M184" s="8"/>
      <c r="N184" s="8"/>
      <c r="O184" s="8"/>
      <c r="P184" s="8"/>
      <c r="Q184" s="10"/>
      <c r="R184" s="8"/>
    </row>
    <row r="185" spans="1:18">
      <c r="A185" s="8"/>
      <c r="B185" s="10"/>
      <c r="C185" s="8"/>
      <c r="D185" s="8"/>
      <c r="E185" s="8"/>
      <c r="F185" s="8"/>
      <c r="G185" s="13"/>
      <c r="H185" s="13"/>
      <c r="I185" s="8"/>
      <c r="J185" s="13"/>
      <c r="K185" s="8"/>
      <c r="L185" s="8"/>
      <c r="M185" s="8"/>
      <c r="N185" s="8"/>
      <c r="O185" s="8"/>
      <c r="P185" s="8"/>
      <c r="Q185" s="10"/>
      <c r="R185" s="8"/>
    </row>
    <row r="186" spans="1:18">
      <c r="A186" s="8"/>
      <c r="B186" s="10"/>
      <c r="C186" s="8"/>
      <c r="D186" s="8"/>
      <c r="E186" s="8"/>
      <c r="F186" s="8"/>
      <c r="G186" s="13"/>
      <c r="H186" s="13"/>
      <c r="I186" s="8"/>
      <c r="J186" s="13"/>
      <c r="K186" s="8"/>
      <c r="L186" s="8"/>
      <c r="M186" s="8"/>
      <c r="N186" s="8"/>
      <c r="O186" s="8"/>
      <c r="P186" s="8"/>
      <c r="Q186" s="10"/>
      <c r="R186" s="8"/>
    </row>
    <row r="187" spans="1:18">
      <c r="A187" s="8"/>
      <c r="B187" s="10"/>
      <c r="C187" s="8"/>
      <c r="D187" s="8"/>
      <c r="E187" s="8"/>
      <c r="F187" s="8"/>
      <c r="G187" s="13"/>
      <c r="H187" s="13"/>
      <c r="I187" s="8"/>
      <c r="J187" s="13"/>
      <c r="K187" s="8"/>
      <c r="L187" s="8"/>
      <c r="M187" s="8"/>
      <c r="N187" s="8"/>
      <c r="O187" s="8"/>
      <c r="P187" s="8"/>
      <c r="Q187" s="10"/>
      <c r="R187" s="8"/>
    </row>
    <row r="188" spans="1:18">
      <c r="A188" s="8"/>
      <c r="B188" s="10"/>
      <c r="C188" s="8"/>
      <c r="D188" s="8"/>
      <c r="E188" s="8"/>
      <c r="F188" s="8"/>
      <c r="G188" s="13"/>
      <c r="H188" s="13"/>
      <c r="I188" s="8"/>
      <c r="J188" s="13"/>
      <c r="K188" s="8"/>
      <c r="L188" s="8"/>
      <c r="M188" s="8"/>
      <c r="N188" s="8"/>
      <c r="O188" s="8"/>
      <c r="P188" s="8"/>
      <c r="Q188" s="10"/>
      <c r="R188" s="8"/>
    </row>
    <row r="189" spans="1:18">
      <c r="A189" s="8"/>
      <c r="B189" s="10"/>
      <c r="C189" s="8"/>
      <c r="D189" s="8"/>
      <c r="E189" s="8"/>
      <c r="F189" s="8"/>
      <c r="G189" s="13"/>
      <c r="H189" s="13"/>
      <c r="I189" s="8"/>
      <c r="J189" s="13"/>
      <c r="K189" s="8"/>
      <c r="L189" s="8"/>
      <c r="M189" s="8"/>
      <c r="N189" s="8"/>
      <c r="O189" s="8"/>
      <c r="P189" s="8"/>
      <c r="Q189" s="10"/>
      <c r="R189" s="8"/>
    </row>
    <row r="190" spans="1:18">
      <c r="A190" s="8"/>
      <c r="B190" s="10"/>
      <c r="C190" s="8"/>
      <c r="D190" s="8"/>
      <c r="E190" s="8"/>
      <c r="F190" s="8"/>
      <c r="G190" s="13"/>
      <c r="H190" s="13"/>
      <c r="I190" s="8"/>
      <c r="J190" s="13"/>
      <c r="K190" s="8"/>
      <c r="L190" s="8"/>
      <c r="M190" s="8"/>
      <c r="N190" s="8"/>
      <c r="O190" s="8"/>
      <c r="P190" s="8"/>
      <c r="Q190" s="10"/>
      <c r="R190" s="8"/>
    </row>
    <row r="191" spans="1:18">
      <c r="A191" s="8"/>
      <c r="B191" s="10"/>
      <c r="C191" s="8"/>
      <c r="D191" s="8"/>
      <c r="E191" s="8"/>
      <c r="F191" s="8"/>
      <c r="G191" s="13"/>
      <c r="H191" s="13"/>
      <c r="I191" s="8"/>
      <c r="J191" s="13"/>
      <c r="K191" s="8"/>
      <c r="L191" s="8"/>
      <c r="M191" s="8"/>
      <c r="N191" s="8"/>
      <c r="O191" s="8"/>
      <c r="P191" s="8"/>
      <c r="Q191" s="10"/>
      <c r="R191" s="8"/>
    </row>
    <row r="192" spans="1:18">
      <c r="A192" s="8"/>
      <c r="B192" s="10"/>
      <c r="C192" s="8"/>
      <c r="D192" s="8"/>
      <c r="E192" s="8"/>
      <c r="F192" s="8"/>
      <c r="G192" s="13"/>
      <c r="H192" s="13"/>
      <c r="I192" s="8"/>
      <c r="J192" s="13"/>
      <c r="K192" s="8"/>
      <c r="L192" s="8"/>
      <c r="M192" s="8"/>
      <c r="N192" s="8"/>
      <c r="O192" s="8"/>
      <c r="P192" s="8"/>
      <c r="Q192" s="10"/>
      <c r="R192" s="8"/>
    </row>
    <row r="193" spans="1:18">
      <c r="A193" s="8"/>
      <c r="B193" s="10"/>
      <c r="C193" s="8"/>
      <c r="D193" s="8"/>
      <c r="E193" s="8"/>
      <c r="F193" s="8"/>
      <c r="G193" s="13"/>
      <c r="H193" s="13"/>
      <c r="I193" s="8"/>
      <c r="J193" s="13"/>
      <c r="K193" s="8"/>
      <c r="L193" s="8"/>
      <c r="M193" s="8"/>
      <c r="N193" s="8"/>
      <c r="O193" s="8"/>
      <c r="P193" s="8"/>
      <c r="Q193" s="10"/>
      <c r="R193" s="8"/>
    </row>
    <row r="194" spans="1:18">
      <c r="A194" s="8"/>
      <c r="B194" s="10"/>
      <c r="C194" s="8"/>
      <c r="D194" s="8"/>
      <c r="E194" s="8"/>
      <c r="F194" s="8"/>
      <c r="G194" s="13"/>
      <c r="H194" s="13"/>
      <c r="I194" s="8"/>
      <c r="J194" s="13"/>
      <c r="K194" s="8"/>
      <c r="L194" s="8"/>
      <c r="M194" s="8"/>
      <c r="N194" s="8"/>
      <c r="O194" s="8"/>
      <c r="P194" s="8"/>
      <c r="Q194" s="10"/>
      <c r="R194" s="8"/>
    </row>
    <row r="195" spans="1:18">
      <c r="A195" s="8"/>
      <c r="B195" s="10"/>
      <c r="C195" s="8"/>
      <c r="D195" s="8"/>
      <c r="E195" s="8"/>
      <c r="F195" s="8"/>
      <c r="G195" s="13"/>
      <c r="H195" s="13"/>
      <c r="I195" s="8"/>
      <c r="J195" s="13"/>
      <c r="K195" s="8"/>
      <c r="L195" s="8"/>
      <c r="M195" s="8"/>
      <c r="N195" s="8"/>
      <c r="O195" s="8"/>
      <c r="P195" s="8"/>
      <c r="Q195" s="10"/>
      <c r="R195" s="8"/>
    </row>
    <row r="196" spans="1:18">
      <c r="A196" s="8"/>
      <c r="B196" s="10"/>
      <c r="C196" s="8"/>
      <c r="D196" s="8"/>
      <c r="E196" s="8"/>
      <c r="F196" s="8"/>
      <c r="G196" s="13"/>
      <c r="H196" s="13"/>
      <c r="I196" s="8"/>
      <c r="J196" s="13"/>
      <c r="K196" s="8"/>
      <c r="L196" s="8"/>
      <c r="M196" s="8"/>
      <c r="N196" s="8"/>
      <c r="O196" s="8"/>
      <c r="P196" s="8"/>
      <c r="Q196" s="10"/>
      <c r="R196" s="8"/>
    </row>
    <row r="197" spans="1:18">
      <c r="A197" s="8"/>
      <c r="B197" s="10"/>
      <c r="C197" s="8"/>
      <c r="D197" s="8"/>
      <c r="E197" s="8"/>
      <c r="F197" s="8"/>
      <c r="G197" s="13"/>
      <c r="H197" s="13"/>
      <c r="I197" s="8"/>
      <c r="J197" s="13"/>
      <c r="K197" s="8"/>
      <c r="L197" s="8"/>
      <c r="M197" s="8"/>
      <c r="N197" s="8"/>
      <c r="O197" s="8"/>
      <c r="P197" s="8"/>
      <c r="Q197" s="10"/>
      <c r="R197" s="8"/>
    </row>
    <row r="198" spans="1:18">
      <c r="A198" s="8"/>
      <c r="B198" s="10"/>
      <c r="C198" s="8"/>
      <c r="D198" s="8"/>
      <c r="E198" s="8"/>
      <c r="F198" s="8"/>
      <c r="G198" s="13"/>
      <c r="H198" s="13"/>
      <c r="I198" s="8"/>
      <c r="J198" s="13"/>
      <c r="K198" s="8"/>
      <c r="L198" s="8"/>
      <c r="M198" s="8"/>
      <c r="N198" s="8"/>
      <c r="O198" s="8"/>
      <c r="P198" s="8"/>
      <c r="Q198" s="10"/>
      <c r="R198" s="8"/>
    </row>
    <row r="199" spans="1:18">
      <c r="A199" s="8"/>
      <c r="B199" s="10"/>
      <c r="C199" s="8"/>
      <c r="D199" s="8"/>
      <c r="E199" s="8"/>
      <c r="F199" s="8"/>
      <c r="G199" s="13"/>
      <c r="H199" s="13"/>
      <c r="I199" s="8"/>
      <c r="J199" s="13"/>
      <c r="K199" s="8"/>
      <c r="L199" s="8"/>
      <c r="M199" s="8"/>
      <c r="N199" s="8"/>
      <c r="O199" s="8"/>
      <c r="P199" s="8"/>
      <c r="Q199" s="10"/>
      <c r="R199" s="8"/>
    </row>
    <row r="200" spans="1:18">
      <c r="A200" s="8"/>
      <c r="B200" s="10"/>
      <c r="C200" s="8"/>
      <c r="D200" s="8"/>
      <c r="E200" s="8"/>
      <c r="F200" s="8"/>
      <c r="G200" s="13"/>
      <c r="H200" s="13"/>
      <c r="I200" s="8"/>
      <c r="J200" s="13"/>
      <c r="K200" s="8"/>
      <c r="L200" s="8"/>
      <c r="M200" s="8"/>
      <c r="N200" s="8"/>
      <c r="O200" s="8"/>
      <c r="P200" s="8"/>
      <c r="Q200" s="10"/>
      <c r="R200" s="8"/>
    </row>
    <row r="201" spans="1:18">
      <c r="A201" s="8"/>
      <c r="B201" s="10"/>
      <c r="C201" s="8"/>
      <c r="D201" s="8"/>
      <c r="E201" s="8"/>
      <c r="F201" s="8"/>
      <c r="G201" s="13"/>
      <c r="H201" s="13"/>
      <c r="I201" s="8"/>
      <c r="J201" s="13"/>
      <c r="K201" s="8"/>
      <c r="L201" s="8"/>
      <c r="M201" s="8"/>
      <c r="N201" s="8"/>
      <c r="O201" s="8"/>
      <c r="P201" s="8"/>
      <c r="Q201" s="10"/>
      <c r="R201" s="8"/>
    </row>
    <row r="202" spans="1:18">
      <c r="A202" s="8"/>
      <c r="B202" s="10"/>
      <c r="C202" s="8"/>
      <c r="D202" s="8"/>
      <c r="E202" s="8"/>
      <c r="F202" s="8"/>
      <c r="G202" s="13"/>
      <c r="H202" s="13"/>
      <c r="I202" s="8"/>
      <c r="J202" s="13"/>
      <c r="K202" s="8"/>
      <c r="L202" s="8"/>
      <c r="M202" s="8"/>
      <c r="N202" s="8"/>
      <c r="O202" s="8"/>
      <c r="P202" s="8"/>
      <c r="Q202" s="10"/>
      <c r="R202" s="8"/>
    </row>
    <row r="203" spans="1:18">
      <c r="A203" s="8"/>
      <c r="B203" s="10"/>
      <c r="C203" s="8"/>
      <c r="D203" s="8"/>
      <c r="E203" s="8"/>
      <c r="F203" s="8"/>
      <c r="G203" s="13"/>
      <c r="H203" s="13"/>
      <c r="I203" s="8"/>
      <c r="J203" s="13"/>
      <c r="K203" s="8"/>
      <c r="L203" s="8"/>
      <c r="M203" s="8"/>
      <c r="N203" s="8"/>
      <c r="O203" s="8"/>
      <c r="P203" s="8"/>
      <c r="Q203" s="10"/>
      <c r="R203" s="8"/>
    </row>
    <row r="204" spans="1:18">
      <c r="A204" s="8"/>
      <c r="B204" s="10"/>
      <c r="C204" s="8"/>
      <c r="D204" s="8"/>
      <c r="E204" s="8"/>
      <c r="F204" s="8"/>
      <c r="G204" s="13"/>
      <c r="H204" s="13"/>
      <c r="I204" s="8"/>
      <c r="J204" s="13"/>
      <c r="K204" s="8"/>
      <c r="L204" s="8"/>
      <c r="M204" s="8"/>
      <c r="N204" s="8"/>
      <c r="O204" s="8"/>
      <c r="P204" s="8"/>
      <c r="Q204" s="10"/>
      <c r="R204" s="8"/>
    </row>
    <row r="205" spans="1:18">
      <c r="A205" s="8"/>
      <c r="B205" s="10"/>
      <c r="C205" s="8"/>
      <c r="D205" s="8"/>
      <c r="E205" s="8"/>
      <c r="F205" s="8"/>
      <c r="G205" s="13"/>
      <c r="H205" s="13"/>
      <c r="I205" s="8"/>
      <c r="J205" s="13"/>
      <c r="K205" s="8"/>
      <c r="L205" s="8"/>
      <c r="M205" s="8"/>
      <c r="N205" s="8"/>
      <c r="O205" s="8"/>
      <c r="P205" s="8"/>
      <c r="Q205" s="10"/>
      <c r="R205" s="8"/>
    </row>
    <row r="206" spans="1:18">
      <c r="A206" s="8"/>
      <c r="B206" s="10"/>
      <c r="C206" s="8"/>
      <c r="D206" s="8"/>
      <c r="E206" s="8"/>
      <c r="F206" s="8"/>
      <c r="G206" s="13"/>
      <c r="H206" s="13"/>
      <c r="I206" s="8"/>
      <c r="J206" s="13"/>
      <c r="K206" s="8"/>
      <c r="L206" s="8"/>
      <c r="M206" s="8"/>
      <c r="N206" s="8"/>
      <c r="O206" s="8"/>
      <c r="P206" s="8"/>
      <c r="Q206" s="10"/>
      <c r="R206" s="8"/>
    </row>
    <row r="207" spans="1:18">
      <c r="A207" s="8"/>
      <c r="B207" s="10"/>
      <c r="C207" s="8"/>
      <c r="D207" s="8"/>
      <c r="E207" s="8"/>
      <c r="F207" s="8"/>
      <c r="G207" s="13"/>
      <c r="H207" s="13"/>
      <c r="I207" s="8"/>
      <c r="J207" s="13"/>
      <c r="K207" s="8"/>
      <c r="L207" s="8"/>
      <c r="M207" s="8"/>
      <c r="N207" s="8"/>
      <c r="O207" s="8"/>
      <c r="P207" s="8"/>
      <c r="Q207" s="10"/>
      <c r="R207" s="8"/>
    </row>
    <row r="208" spans="1:18">
      <c r="A208" s="8"/>
      <c r="B208" s="10"/>
      <c r="C208" s="8"/>
      <c r="D208" s="8"/>
      <c r="E208" s="8"/>
      <c r="F208" s="8"/>
      <c r="G208" s="13"/>
      <c r="H208" s="13"/>
      <c r="I208" s="8"/>
      <c r="J208" s="13"/>
      <c r="K208" s="8"/>
      <c r="L208" s="8"/>
      <c r="M208" s="8"/>
      <c r="N208" s="8"/>
      <c r="O208" s="8"/>
      <c r="P208" s="8"/>
      <c r="Q208" s="10"/>
      <c r="R208" s="8"/>
    </row>
    <row r="209" spans="1:18">
      <c r="A209" s="8"/>
      <c r="B209" s="10"/>
      <c r="C209" s="8"/>
      <c r="D209" s="8"/>
      <c r="E209" s="8"/>
      <c r="F209" s="8"/>
      <c r="G209" s="13"/>
      <c r="H209" s="13"/>
      <c r="I209" s="8"/>
      <c r="J209" s="13"/>
      <c r="K209" s="8"/>
      <c r="L209" s="8"/>
      <c r="M209" s="8"/>
      <c r="N209" s="8"/>
      <c r="O209" s="8"/>
      <c r="P209" s="8"/>
      <c r="Q209" s="10"/>
      <c r="R209" s="8"/>
    </row>
    <row r="210" spans="1:18">
      <c r="A210" s="8"/>
      <c r="B210" s="10"/>
      <c r="C210" s="8"/>
      <c r="D210" s="8"/>
      <c r="E210" s="8"/>
      <c r="F210" s="8"/>
      <c r="G210" s="13"/>
      <c r="H210" s="13"/>
      <c r="I210" s="8"/>
      <c r="J210" s="13"/>
      <c r="K210" s="8"/>
      <c r="L210" s="8"/>
      <c r="M210" s="8"/>
      <c r="N210" s="8"/>
      <c r="O210" s="8"/>
      <c r="P210" s="8"/>
      <c r="Q210" s="10"/>
      <c r="R210" s="8"/>
    </row>
    <row r="211" spans="1:18">
      <c r="A211" s="8"/>
      <c r="B211" s="10"/>
      <c r="C211" s="8"/>
      <c r="D211" s="8"/>
      <c r="E211" s="8"/>
      <c r="F211" s="8"/>
      <c r="G211" s="13"/>
      <c r="H211" s="13"/>
      <c r="I211" s="8"/>
      <c r="J211" s="13"/>
      <c r="K211" s="8"/>
      <c r="L211" s="8"/>
      <c r="M211" s="8"/>
      <c r="N211" s="8"/>
      <c r="O211" s="8"/>
      <c r="P211" s="8"/>
      <c r="Q211" s="10"/>
      <c r="R211" s="8"/>
    </row>
    <row r="212" spans="1:18">
      <c r="A212" s="8"/>
      <c r="B212" s="10"/>
      <c r="C212" s="8"/>
      <c r="D212" s="8"/>
      <c r="E212" s="8"/>
      <c r="F212" s="8"/>
      <c r="G212" s="13"/>
      <c r="H212" s="13"/>
      <c r="I212" s="8"/>
      <c r="J212" s="13"/>
      <c r="K212" s="8"/>
      <c r="L212" s="8"/>
      <c r="M212" s="8"/>
      <c r="N212" s="8"/>
      <c r="O212" s="8"/>
      <c r="P212" s="8"/>
      <c r="Q212" s="10"/>
      <c r="R212" s="8"/>
    </row>
    <row r="213" spans="1:18">
      <c r="A213" s="8"/>
      <c r="B213" s="10"/>
      <c r="C213" s="8"/>
      <c r="D213" s="8"/>
      <c r="E213" s="8"/>
      <c r="F213" s="8"/>
      <c r="G213" s="13"/>
      <c r="H213" s="13"/>
      <c r="I213" s="8"/>
      <c r="J213" s="13"/>
      <c r="K213" s="8"/>
      <c r="L213" s="8"/>
      <c r="M213" s="8"/>
      <c r="N213" s="8"/>
      <c r="O213" s="8"/>
      <c r="P213" s="8"/>
      <c r="Q213" s="10"/>
      <c r="R213" s="8"/>
    </row>
    <row r="214" spans="1:18">
      <c r="A214" s="8"/>
      <c r="B214" s="10"/>
      <c r="C214" s="8"/>
      <c r="D214" s="8"/>
      <c r="E214" s="8"/>
      <c r="F214" s="8"/>
      <c r="G214" s="13"/>
      <c r="H214" s="13"/>
      <c r="I214" s="8"/>
      <c r="J214" s="13"/>
      <c r="K214" s="8"/>
      <c r="L214" s="8"/>
      <c r="M214" s="8"/>
      <c r="N214" s="8"/>
      <c r="O214" s="8"/>
      <c r="P214" s="8"/>
      <c r="Q214" s="10"/>
      <c r="R214" s="8"/>
    </row>
    <row r="215" spans="1:18">
      <c r="A215" s="8"/>
      <c r="B215" s="10"/>
      <c r="C215" s="8"/>
      <c r="D215" s="8"/>
      <c r="E215" s="8"/>
      <c r="F215" s="8"/>
      <c r="G215" s="13"/>
      <c r="H215" s="13"/>
      <c r="I215" s="8"/>
      <c r="J215" s="13"/>
      <c r="K215" s="8"/>
      <c r="L215" s="8"/>
      <c r="M215" s="8"/>
      <c r="N215" s="8"/>
      <c r="O215" s="8"/>
      <c r="P215" s="8"/>
      <c r="Q215" s="10"/>
      <c r="R215" s="8"/>
    </row>
    <row r="216" spans="1:18">
      <c r="A216" s="8"/>
      <c r="B216" s="10"/>
      <c r="C216" s="8"/>
      <c r="D216" s="8"/>
      <c r="E216" s="8"/>
      <c r="F216" s="8"/>
      <c r="G216" s="13"/>
      <c r="H216" s="13"/>
      <c r="I216" s="8"/>
      <c r="J216" s="13"/>
      <c r="K216" s="8"/>
      <c r="L216" s="8"/>
      <c r="M216" s="8"/>
      <c r="N216" s="8"/>
      <c r="O216" s="8"/>
      <c r="P216" s="8"/>
      <c r="Q216" s="10"/>
      <c r="R216" s="8"/>
    </row>
    <row r="217" spans="1:18">
      <c r="A217" s="8"/>
      <c r="B217" s="10"/>
      <c r="C217" s="8"/>
      <c r="D217" s="8"/>
      <c r="E217" s="8"/>
      <c r="F217" s="8"/>
      <c r="G217" s="13"/>
      <c r="H217" s="13"/>
      <c r="I217" s="8"/>
      <c r="J217" s="13"/>
      <c r="K217" s="8"/>
      <c r="L217" s="8"/>
      <c r="M217" s="8"/>
      <c r="N217" s="8"/>
      <c r="O217" s="8"/>
      <c r="P217" s="8"/>
      <c r="Q217" s="10"/>
      <c r="R217" s="8"/>
    </row>
    <row r="218" spans="1:18">
      <c r="A218" s="8"/>
      <c r="B218" s="10"/>
      <c r="C218" s="8"/>
      <c r="D218" s="8"/>
      <c r="E218" s="8"/>
      <c r="F218" s="8"/>
      <c r="G218" s="13"/>
      <c r="H218" s="13"/>
      <c r="I218" s="8"/>
      <c r="J218" s="13"/>
      <c r="K218" s="8"/>
      <c r="L218" s="8"/>
      <c r="M218" s="8"/>
      <c r="N218" s="8"/>
      <c r="O218" s="8"/>
      <c r="P218" s="8"/>
      <c r="Q218" s="10"/>
      <c r="R218" s="8"/>
    </row>
    <row r="219" spans="1:18">
      <c r="A219" s="8"/>
      <c r="B219" s="10"/>
      <c r="C219" s="8"/>
      <c r="D219" s="8"/>
      <c r="E219" s="8"/>
      <c r="F219" s="8"/>
      <c r="G219" s="13"/>
      <c r="H219" s="13"/>
      <c r="I219" s="8"/>
      <c r="J219" s="13"/>
      <c r="K219" s="8"/>
      <c r="L219" s="8"/>
      <c r="M219" s="8"/>
      <c r="N219" s="8"/>
      <c r="O219" s="8"/>
      <c r="P219" s="8"/>
      <c r="Q219" s="10"/>
      <c r="R219" s="8"/>
    </row>
    <row r="220" spans="1:18">
      <c r="A220" s="8"/>
      <c r="B220" s="10"/>
      <c r="C220" s="8"/>
      <c r="D220" s="8"/>
      <c r="E220" s="8"/>
      <c r="F220" s="8"/>
      <c r="G220" s="13"/>
      <c r="H220" s="13"/>
      <c r="I220" s="8"/>
      <c r="J220" s="13"/>
      <c r="K220" s="8"/>
      <c r="L220" s="8"/>
      <c r="M220" s="8"/>
      <c r="N220" s="8"/>
      <c r="O220" s="8"/>
      <c r="P220" s="8"/>
      <c r="Q220" s="10"/>
      <c r="R220" s="8"/>
    </row>
    <row r="221" spans="1:18">
      <c r="A221" s="8"/>
      <c r="B221" s="10"/>
      <c r="C221" s="8"/>
      <c r="D221" s="8"/>
      <c r="E221" s="8"/>
      <c r="F221" s="8"/>
      <c r="G221" s="13"/>
      <c r="H221" s="13"/>
      <c r="I221" s="8"/>
      <c r="J221" s="13"/>
      <c r="K221" s="8"/>
      <c r="L221" s="8"/>
      <c r="M221" s="8"/>
      <c r="N221" s="8"/>
      <c r="O221" s="8"/>
      <c r="P221" s="8"/>
      <c r="Q221" s="10"/>
      <c r="R221" s="8"/>
    </row>
    <row r="222" spans="1:18">
      <c r="A222" s="8"/>
      <c r="B222" s="10"/>
      <c r="C222" s="8"/>
      <c r="D222" s="8"/>
      <c r="E222" s="8"/>
      <c r="F222" s="8"/>
      <c r="G222" s="13"/>
      <c r="H222" s="13"/>
      <c r="I222" s="8"/>
      <c r="J222" s="13"/>
      <c r="K222" s="8"/>
      <c r="L222" s="8"/>
      <c r="M222" s="8"/>
      <c r="N222" s="8"/>
      <c r="O222" s="8"/>
      <c r="P222" s="8"/>
      <c r="Q222" s="10"/>
      <c r="R222" s="8"/>
    </row>
    <row r="223" spans="1:18">
      <c r="A223" s="8"/>
      <c r="B223" s="10"/>
      <c r="C223" s="8"/>
      <c r="D223" s="8"/>
      <c r="E223" s="8"/>
      <c r="F223" s="8"/>
      <c r="G223" s="13"/>
      <c r="H223" s="13"/>
      <c r="I223" s="8"/>
      <c r="J223" s="13"/>
      <c r="K223" s="8"/>
      <c r="L223" s="8"/>
      <c r="M223" s="8"/>
      <c r="N223" s="8"/>
      <c r="O223" s="8"/>
      <c r="P223" s="8"/>
      <c r="Q223" s="10"/>
      <c r="R223" s="8"/>
    </row>
    <row r="224" spans="1:18">
      <c r="A224" s="8"/>
      <c r="B224" s="10"/>
      <c r="C224" s="8"/>
      <c r="D224" s="8"/>
      <c r="E224" s="8"/>
      <c r="F224" s="8"/>
      <c r="G224" s="13"/>
      <c r="H224" s="13"/>
      <c r="I224" s="8"/>
      <c r="J224" s="13"/>
      <c r="K224" s="8"/>
      <c r="L224" s="8"/>
      <c r="M224" s="8"/>
      <c r="N224" s="8"/>
      <c r="O224" s="8"/>
      <c r="P224" s="8"/>
      <c r="Q224" s="10"/>
      <c r="R224" s="8"/>
    </row>
    <row r="225" spans="1:18">
      <c r="A225" s="8"/>
      <c r="B225" s="10"/>
      <c r="C225" s="8"/>
      <c r="D225" s="8"/>
      <c r="E225" s="8"/>
      <c r="F225" s="8"/>
      <c r="G225" s="13"/>
      <c r="H225" s="13"/>
      <c r="I225" s="8"/>
      <c r="J225" s="13"/>
      <c r="K225" s="8"/>
      <c r="L225" s="8"/>
      <c r="M225" s="8"/>
      <c r="N225" s="8"/>
      <c r="O225" s="8"/>
      <c r="P225" s="8"/>
      <c r="Q225" s="10"/>
      <c r="R225" s="8"/>
    </row>
    <row r="226" spans="1:18">
      <c r="A226" s="8"/>
      <c r="B226" s="10"/>
      <c r="C226" s="8"/>
      <c r="D226" s="8"/>
      <c r="E226" s="8"/>
      <c r="F226" s="8"/>
      <c r="G226" s="13"/>
      <c r="H226" s="13"/>
      <c r="I226" s="8"/>
      <c r="J226" s="13"/>
      <c r="K226" s="8"/>
      <c r="L226" s="8"/>
      <c r="M226" s="8"/>
      <c r="N226" s="8"/>
      <c r="O226" s="8"/>
      <c r="P226" s="8"/>
      <c r="Q226" s="10"/>
      <c r="R226" s="8"/>
    </row>
    <row r="227" spans="1:18">
      <c r="A227" s="8"/>
      <c r="B227" s="10"/>
      <c r="C227" s="8"/>
      <c r="D227" s="8"/>
      <c r="E227" s="8"/>
      <c r="F227" s="8"/>
      <c r="G227" s="13"/>
      <c r="H227" s="13"/>
      <c r="I227" s="8"/>
      <c r="J227" s="13"/>
      <c r="K227" s="8"/>
      <c r="L227" s="8"/>
      <c r="M227" s="8"/>
      <c r="N227" s="8"/>
      <c r="O227" s="8"/>
      <c r="P227" s="8"/>
      <c r="Q227" s="10"/>
      <c r="R227" s="8"/>
    </row>
    <row r="228" spans="1:18">
      <c r="A228" s="8"/>
      <c r="B228" s="10"/>
      <c r="C228" s="8"/>
      <c r="D228" s="8"/>
      <c r="E228" s="8"/>
      <c r="F228" s="8"/>
      <c r="G228" s="13"/>
      <c r="H228" s="13"/>
      <c r="I228" s="8"/>
      <c r="J228" s="13"/>
      <c r="K228" s="8"/>
      <c r="L228" s="8"/>
      <c r="M228" s="8"/>
      <c r="N228" s="8"/>
      <c r="O228" s="8"/>
      <c r="P228" s="8"/>
      <c r="Q228" s="10"/>
      <c r="R228" s="8"/>
    </row>
    <row r="229" spans="1:18">
      <c r="A229" s="8"/>
      <c r="B229" s="10"/>
      <c r="C229" s="8"/>
      <c r="D229" s="8"/>
      <c r="E229" s="8"/>
      <c r="F229" s="8"/>
      <c r="G229" s="13"/>
      <c r="H229" s="13"/>
      <c r="I229" s="8"/>
      <c r="J229" s="13"/>
      <c r="K229" s="8"/>
      <c r="L229" s="8"/>
      <c r="M229" s="8"/>
      <c r="N229" s="8"/>
      <c r="O229" s="8"/>
      <c r="P229" s="8"/>
      <c r="Q229" s="10"/>
      <c r="R229" s="8"/>
    </row>
    <row r="230" spans="1:18">
      <c r="A230" s="8"/>
      <c r="B230" s="10"/>
      <c r="C230" s="8"/>
      <c r="D230" s="8"/>
      <c r="E230" s="8"/>
      <c r="F230" s="8"/>
      <c r="G230" s="13"/>
      <c r="H230" s="13"/>
      <c r="I230" s="8"/>
      <c r="J230" s="13"/>
      <c r="K230" s="8"/>
      <c r="L230" s="8"/>
      <c r="M230" s="8"/>
      <c r="N230" s="8"/>
      <c r="O230" s="8"/>
      <c r="P230" s="8"/>
      <c r="Q230" s="10"/>
      <c r="R230" s="8"/>
    </row>
    <row r="231" spans="1:18">
      <c r="A231" s="8"/>
      <c r="B231" s="10"/>
      <c r="C231" s="8"/>
      <c r="D231" s="8"/>
      <c r="E231" s="8"/>
      <c r="F231" s="8"/>
      <c r="G231" s="13"/>
      <c r="H231" s="13"/>
      <c r="I231" s="8"/>
      <c r="J231" s="13"/>
      <c r="K231" s="8"/>
      <c r="L231" s="8"/>
      <c r="M231" s="8"/>
      <c r="N231" s="8"/>
      <c r="O231" s="8"/>
      <c r="P231" s="8"/>
      <c r="Q231" s="10"/>
      <c r="R231" s="8"/>
    </row>
    <row r="232" spans="1:18">
      <c r="A232" s="8"/>
      <c r="B232" s="10"/>
      <c r="C232" s="8"/>
      <c r="D232" s="8"/>
      <c r="E232" s="8"/>
      <c r="F232" s="8"/>
      <c r="G232" s="13"/>
      <c r="H232" s="13"/>
      <c r="I232" s="8"/>
      <c r="J232" s="13"/>
      <c r="K232" s="8"/>
      <c r="L232" s="8"/>
      <c r="M232" s="8"/>
      <c r="N232" s="8"/>
      <c r="O232" s="8"/>
      <c r="P232" s="8"/>
      <c r="Q232" s="10"/>
      <c r="R232" s="8"/>
    </row>
    <row r="233" spans="1:18">
      <c r="A233" s="8"/>
      <c r="B233" s="10"/>
      <c r="C233" s="8"/>
      <c r="D233" s="8"/>
      <c r="E233" s="8"/>
      <c r="F233" s="8"/>
      <c r="G233" s="13"/>
      <c r="H233" s="13"/>
      <c r="I233" s="8"/>
      <c r="J233" s="13"/>
      <c r="K233" s="8"/>
      <c r="L233" s="8"/>
      <c r="M233" s="8"/>
      <c r="N233" s="8"/>
      <c r="O233" s="8"/>
      <c r="P233" s="8"/>
      <c r="Q233" s="10"/>
      <c r="R233" s="8"/>
    </row>
    <row r="234" spans="1:18">
      <c r="A234" s="8"/>
      <c r="B234" s="10"/>
      <c r="C234" s="8"/>
      <c r="D234" s="8"/>
      <c r="E234" s="8"/>
      <c r="F234" s="8"/>
      <c r="G234" s="13"/>
      <c r="H234" s="13"/>
      <c r="I234" s="8"/>
      <c r="J234" s="13"/>
      <c r="K234" s="8"/>
      <c r="L234" s="8"/>
      <c r="M234" s="8"/>
      <c r="N234" s="8"/>
      <c r="O234" s="8"/>
      <c r="P234" s="8"/>
      <c r="Q234" s="10"/>
      <c r="R234" s="8"/>
    </row>
    <row r="235" spans="1:18">
      <c r="A235" s="8"/>
      <c r="B235" s="10"/>
      <c r="C235" s="8"/>
      <c r="D235" s="8"/>
      <c r="E235" s="8"/>
      <c r="F235" s="8"/>
      <c r="G235" s="13"/>
      <c r="H235" s="13"/>
      <c r="I235" s="8"/>
      <c r="J235" s="13"/>
      <c r="K235" s="8"/>
      <c r="L235" s="8"/>
      <c r="M235" s="8"/>
      <c r="N235" s="8"/>
      <c r="O235" s="8"/>
      <c r="P235" s="8"/>
      <c r="Q235" s="10"/>
      <c r="R235" s="8"/>
    </row>
    <row r="236" spans="1:18">
      <c r="A236" s="8"/>
      <c r="B236" s="10"/>
      <c r="C236" s="8"/>
      <c r="D236" s="8"/>
      <c r="E236" s="8"/>
      <c r="F236" s="8"/>
      <c r="G236" s="13"/>
      <c r="H236" s="13"/>
      <c r="I236" s="8"/>
      <c r="J236" s="13"/>
      <c r="K236" s="8"/>
      <c r="L236" s="8"/>
      <c r="M236" s="8"/>
      <c r="N236" s="8"/>
      <c r="O236" s="8"/>
      <c r="P236" s="8"/>
      <c r="Q236" s="10"/>
      <c r="R236" s="8"/>
    </row>
    <row r="237" spans="1:18">
      <c r="A237" s="8"/>
      <c r="B237" s="10"/>
      <c r="C237" s="8"/>
      <c r="D237" s="8"/>
      <c r="E237" s="8"/>
      <c r="F237" s="8"/>
      <c r="G237" s="13"/>
      <c r="H237" s="13"/>
      <c r="I237" s="8"/>
      <c r="J237" s="13"/>
      <c r="K237" s="8"/>
      <c r="L237" s="8"/>
      <c r="M237" s="8"/>
      <c r="N237" s="8"/>
      <c r="O237" s="8"/>
      <c r="P237" s="8"/>
      <c r="Q237" s="10"/>
      <c r="R237" s="8"/>
    </row>
    <row r="238" spans="1:18">
      <c r="A238" s="8"/>
      <c r="B238" s="10"/>
      <c r="C238" s="8"/>
      <c r="D238" s="8"/>
      <c r="E238" s="8"/>
      <c r="F238" s="8"/>
      <c r="G238" s="13"/>
      <c r="H238" s="13"/>
      <c r="I238" s="8"/>
      <c r="J238" s="13"/>
      <c r="K238" s="8"/>
      <c r="L238" s="8"/>
      <c r="M238" s="8"/>
      <c r="N238" s="8"/>
      <c r="O238" s="8"/>
      <c r="P238" s="8"/>
      <c r="Q238" s="10"/>
      <c r="R238" s="8"/>
    </row>
    <row r="239" spans="1:18">
      <c r="A239" s="8"/>
      <c r="B239" s="10"/>
      <c r="C239" s="8"/>
      <c r="D239" s="8"/>
      <c r="E239" s="8"/>
      <c r="F239" s="8"/>
      <c r="G239" s="13"/>
      <c r="H239" s="13"/>
      <c r="I239" s="8"/>
      <c r="J239" s="13"/>
      <c r="K239" s="8"/>
      <c r="L239" s="8"/>
      <c r="M239" s="8"/>
      <c r="N239" s="8"/>
      <c r="O239" s="8"/>
      <c r="P239" s="8"/>
      <c r="Q239" s="10"/>
      <c r="R239" s="8"/>
    </row>
    <row r="240" spans="1:18">
      <c r="A240" s="8"/>
      <c r="B240" s="10"/>
      <c r="C240" s="8"/>
      <c r="D240" s="8"/>
      <c r="E240" s="8"/>
      <c r="F240" s="8"/>
      <c r="G240" s="13"/>
      <c r="H240" s="13"/>
      <c r="I240" s="8"/>
      <c r="J240" s="13"/>
      <c r="K240" s="8"/>
      <c r="L240" s="8"/>
      <c r="M240" s="8"/>
      <c r="N240" s="8"/>
      <c r="O240" s="8"/>
      <c r="P240" s="8"/>
      <c r="Q240" s="10"/>
      <c r="R240" s="8"/>
    </row>
    <row r="241" spans="1:18">
      <c r="A241" s="8"/>
      <c r="B241" s="10"/>
      <c r="C241" s="8"/>
      <c r="D241" s="8"/>
      <c r="E241" s="8"/>
      <c r="F241" s="8"/>
      <c r="G241" s="13"/>
      <c r="H241" s="13"/>
      <c r="I241" s="8"/>
      <c r="J241" s="13"/>
      <c r="K241" s="8"/>
      <c r="L241" s="8"/>
      <c r="M241" s="8"/>
      <c r="N241" s="8"/>
      <c r="O241" s="8"/>
      <c r="P241" s="8"/>
      <c r="Q241" s="10"/>
      <c r="R241" s="8"/>
    </row>
    <row r="242" spans="1:18">
      <c r="A242" s="8"/>
      <c r="B242" s="10"/>
      <c r="C242" s="8"/>
      <c r="D242" s="8"/>
      <c r="E242" s="8"/>
      <c r="F242" s="8"/>
      <c r="G242" s="13"/>
      <c r="H242" s="13"/>
      <c r="I242" s="8"/>
      <c r="J242" s="13"/>
      <c r="K242" s="8"/>
      <c r="L242" s="8"/>
      <c r="M242" s="8"/>
      <c r="N242" s="8"/>
      <c r="O242" s="8"/>
      <c r="P242" s="8"/>
      <c r="Q242" s="10"/>
      <c r="R242" s="8"/>
    </row>
    <row r="243" spans="1:18">
      <c r="A243" s="8"/>
      <c r="B243" s="10"/>
      <c r="C243" s="8"/>
      <c r="D243" s="8"/>
      <c r="E243" s="8"/>
      <c r="F243" s="8"/>
      <c r="G243" s="13"/>
      <c r="H243" s="13"/>
      <c r="I243" s="8"/>
      <c r="J243" s="13"/>
      <c r="K243" s="8"/>
      <c r="L243" s="8"/>
      <c r="M243" s="8"/>
      <c r="N243" s="8"/>
      <c r="O243" s="8"/>
      <c r="P243" s="8"/>
      <c r="Q243" s="10"/>
      <c r="R243" s="8"/>
    </row>
    <row r="244" spans="1:18">
      <c r="A244" s="8"/>
      <c r="B244" s="10"/>
      <c r="C244" s="8"/>
      <c r="D244" s="8"/>
      <c r="E244" s="8"/>
      <c r="F244" s="8"/>
      <c r="G244" s="13"/>
      <c r="H244" s="13"/>
      <c r="I244" s="8"/>
      <c r="J244" s="13"/>
      <c r="K244" s="8"/>
      <c r="L244" s="8"/>
      <c r="M244" s="8"/>
      <c r="N244" s="8"/>
      <c r="O244" s="8"/>
      <c r="P244" s="8"/>
      <c r="Q244" s="10"/>
      <c r="R244" s="8"/>
    </row>
    <row r="245" spans="1:18">
      <c r="A245" s="8"/>
      <c r="B245" s="10"/>
      <c r="C245" s="8"/>
      <c r="D245" s="8"/>
      <c r="E245" s="8"/>
      <c r="F245" s="8"/>
      <c r="G245" s="13"/>
      <c r="H245" s="13"/>
      <c r="I245" s="8"/>
      <c r="J245" s="13"/>
      <c r="K245" s="8"/>
      <c r="L245" s="8"/>
      <c r="M245" s="8"/>
      <c r="N245" s="8"/>
      <c r="O245" s="8"/>
      <c r="P245" s="8"/>
      <c r="Q245" s="10"/>
      <c r="R245" s="8"/>
    </row>
    <row r="246" spans="1:18">
      <c r="A246" s="8"/>
      <c r="B246" s="10"/>
      <c r="C246" s="8"/>
      <c r="D246" s="8"/>
      <c r="E246" s="8"/>
      <c r="F246" s="8"/>
      <c r="G246" s="13"/>
      <c r="H246" s="13"/>
      <c r="I246" s="8"/>
      <c r="J246" s="13"/>
      <c r="K246" s="8"/>
      <c r="L246" s="8"/>
      <c r="M246" s="8"/>
      <c r="N246" s="8"/>
      <c r="O246" s="8"/>
      <c r="P246" s="8"/>
      <c r="Q246" s="10"/>
      <c r="R246" s="8"/>
    </row>
    <row r="247" spans="1:18">
      <c r="A247" s="8"/>
      <c r="B247" s="10"/>
      <c r="C247" s="8"/>
      <c r="D247" s="8"/>
      <c r="E247" s="8"/>
      <c r="F247" s="8"/>
      <c r="G247" s="13"/>
      <c r="H247" s="13"/>
      <c r="I247" s="8"/>
      <c r="J247" s="13"/>
      <c r="K247" s="8"/>
      <c r="L247" s="8"/>
      <c r="M247" s="8"/>
      <c r="N247" s="8"/>
      <c r="O247" s="8"/>
      <c r="P247" s="8"/>
      <c r="Q247" s="10"/>
      <c r="R247" s="8"/>
    </row>
    <row r="248" spans="1:18">
      <c r="A248" s="8"/>
      <c r="B248" s="10"/>
      <c r="C248" s="8"/>
      <c r="D248" s="8"/>
      <c r="E248" s="8"/>
      <c r="F248" s="8"/>
      <c r="G248" s="13"/>
      <c r="H248" s="13"/>
      <c r="I248" s="8"/>
      <c r="J248" s="13"/>
      <c r="K248" s="8"/>
      <c r="L248" s="8"/>
      <c r="M248" s="8"/>
      <c r="N248" s="8"/>
      <c r="O248" s="8"/>
      <c r="P248" s="8"/>
      <c r="Q248" s="10"/>
      <c r="R248" s="8"/>
    </row>
    <row r="249" spans="1:18">
      <c r="A249" s="8"/>
      <c r="B249" s="10"/>
      <c r="C249" s="8"/>
      <c r="D249" s="8"/>
      <c r="E249" s="8"/>
      <c r="F249" s="8"/>
      <c r="G249" s="13"/>
      <c r="H249" s="13"/>
      <c r="I249" s="8"/>
      <c r="J249" s="13"/>
      <c r="K249" s="8"/>
      <c r="L249" s="8"/>
      <c r="M249" s="8"/>
      <c r="N249" s="8"/>
      <c r="O249" s="8"/>
      <c r="P249" s="8"/>
      <c r="Q249" s="10"/>
      <c r="R249" s="8"/>
    </row>
    <row r="250" spans="1:18">
      <c r="A250" s="8"/>
      <c r="B250" s="10"/>
      <c r="C250" s="8"/>
      <c r="D250" s="8"/>
      <c r="E250" s="8"/>
      <c r="F250" s="8"/>
      <c r="G250" s="13"/>
      <c r="H250" s="13"/>
      <c r="I250" s="8"/>
      <c r="J250" s="13"/>
      <c r="K250" s="8"/>
      <c r="L250" s="8"/>
      <c r="M250" s="8"/>
      <c r="N250" s="8"/>
      <c r="O250" s="8"/>
      <c r="P250" s="8"/>
      <c r="Q250" s="10"/>
      <c r="R250" s="8"/>
    </row>
    <row r="251" spans="1:18">
      <c r="A251" s="8"/>
      <c r="B251" s="10"/>
      <c r="C251" s="8"/>
      <c r="D251" s="8"/>
      <c r="E251" s="8"/>
      <c r="F251" s="8"/>
      <c r="G251" s="13"/>
      <c r="H251" s="13"/>
      <c r="I251" s="8"/>
      <c r="J251" s="13"/>
      <c r="K251" s="8"/>
      <c r="L251" s="8"/>
      <c r="M251" s="8"/>
      <c r="N251" s="8"/>
      <c r="O251" s="8"/>
      <c r="P251" s="8"/>
      <c r="Q251" s="10"/>
      <c r="R251" s="8"/>
    </row>
    <row r="252" spans="1:18">
      <c r="A252" s="8"/>
      <c r="B252" s="10"/>
      <c r="C252" s="8"/>
      <c r="D252" s="8"/>
      <c r="E252" s="8"/>
      <c r="F252" s="8"/>
      <c r="G252" s="13"/>
      <c r="H252" s="13"/>
      <c r="I252" s="8"/>
      <c r="J252" s="13"/>
      <c r="K252" s="8"/>
      <c r="L252" s="8"/>
      <c r="M252" s="8"/>
      <c r="N252" s="8"/>
      <c r="O252" s="8"/>
      <c r="P252" s="8"/>
      <c r="Q252" s="10"/>
      <c r="R252" s="8"/>
    </row>
    <row r="253" spans="1:18">
      <c r="A253" s="8"/>
      <c r="B253" s="10"/>
      <c r="C253" s="8"/>
      <c r="D253" s="8"/>
      <c r="E253" s="8"/>
      <c r="F253" s="8"/>
      <c r="G253" s="13"/>
      <c r="H253" s="13"/>
      <c r="I253" s="8"/>
      <c r="J253" s="13"/>
      <c r="K253" s="8"/>
      <c r="L253" s="8"/>
      <c r="M253" s="8"/>
      <c r="N253" s="8"/>
      <c r="O253" s="8"/>
      <c r="P253" s="8"/>
      <c r="Q253" s="10"/>
      <c r="R253" s="8"/>
    </row>
    <row r="254" spans="1:18">
      <c r="A254" s="8"/>
      <c r="B254" s="10"/>
      <c r="C254" s="8"/>
      <c r="D254" s="8"/>
      <c r="E254" s="8"/>
      <c r="F254" s="8"/>
      <c r="G254" s="13"/>
      <c r="H254" s="13"/>
      <c r="I254" s="8"/>
      <c r="J254" s="13"/>
      <c r="K254" s="8"/>
      <c r="L254" s="8"/>
      <c r="M254" s="8"/>
      <c r="N254" s="8"/>
      <c r="O254" s="8"/>
      <c r="P254" s="8"/>
      <c r="Q254" s="10"/>
      <c r="R254" s="8"/>
    </row>
    <row r="255" spans="1:18">
      <c r="A255" s="8"/>
      <c r="B255" s="10"/>
      <c r="C255" s="8"/>
      <c r="D255" s="8"/>
      <c r="E255" s="8"/>
      <c r="F255" s="8"/>
      <c r="G255" s="13"/>
      <c r="H255" s="13"/>
      <c r="I255" s="8"/>
      <c r="J255" s="13"/>
      <c r="K255" s="8"/>
      <c r="L255" s="8"/>
      <c r="M255" s="8"/>
      <c r="N255" s="8"/>
      <c r="O255" s="8"/>
      <c r="P255" s="8"/>
      <c r="Q255" s="10"/>
      <c r="R255" s="8"/>
    </row>
    <row r="256" spans="1:18">
      <c r="A256" s="8"/>
      <c r="B256" s="10"/>
      <c r="C256" s="8"/>
      <c r="D256" s="8"/>
      <c r="E256" s="8"/>
      <c r="F256" s="8"/>
      <c r="G256" s="13"/>
      <c r="H256" s="13"/>
      <c r="I256" s="8"/>
      <c r="J256" s="13"/>
      <c r="K256" s="8"/>
      <c r="L256" s="8"/>
      <c r="M256" s="8"/>
      <c r="N256" s="8"/>
      <c r="O256" s="8"/>
      <c r="P256" s="8"/>
      <c r="Q256" s="10"/>
      <c r="R256" s="8"/>
    </row>
    <row r="257" spans="1:18">
      <c r="A257" s="8"/>
      <c r="B257" s="10"/>
      <c r="C257" s="8"/>
      <c r="D257" s="8"/>
      <c r="E257" s="8"/>
      <c r="F257" s="8"/>
      <c r="G257" s="13"/>
      <c r="H257" s="13"/>
      <c r="I257" s="8"/>
      <c r="J257" s="13"/>
      <c r="K257" s="8"/>
      <c r="L257" s="8"/>
      <c r="M257" s="8"/>
      <c r="N257" s="8"/>
      <c r="O257" s="8"/>
      <c r="P257" s="8"/>
      <c r="Q257" s="10"/>
      <c r="R257" s="8"/>
    </row>
    <row r="258" spans="1:18">
      <c r="A258" s="8"/>
      <c r="B258" s="10"/>
      <c r="C258" s="8"/>
      <c r="D258" s="8"/>
      <c r="E258" s="8"/>
      <c r="F258" s="8"/>
      <c r="G258" s="13"/>
      <c r="H258" s="13"/>
      <c r="I258" s="8"/>
      <c r="J258" s="13"/>
      <c r="K258" s="8"/>
      <c r="L258" s="8"/>
      <c r="M258" s="8"/>
      <c r="N258" s="8"/>
      <c r="O258" s="8"/>
      <c r="P258" s="8"/>
      <c r="Q258" s="10"/>
      <c r="R258" s="8"/>
    </row>
    <row r="259" spans="1:18">
      <c r="A259" s="8"/>
      <c r="B259" s="10"/>
      <c r="C259" s="8"/>
      <c r="D259" s="8"/>
      <c r="E259" s="8"/>
      <c r="F259" s="8"/>
      <c r="G259" s="13"/>
      <c r="H259" s="13"/>
      <c r="I259" s="8"/>
      <c r="J259" s="13"/>
      <c r="K259" s="8"/>
      <c r="L259" s="8"/>
      <c r="M259" s="8"/>
      <c r="N259" s="8"/>
      <c r="O259" s="8"/>
      <c r="P259" s="8"/>
      <c r="Q259" s="10"/>
      <c r="R259" s="8"/>
    </row>
    <row r="260" spans="1:18">
      <c r="A260" s="8"/>
      <c r="B260" s="10"/>
      <c r="C260" s="8"/>
      <c r="D260" s="8"/>
      <c r="E260" s="8"/>
      <c r="F260" s="8"/>
      <c r="G260" s="13"/>
      <c r="H260" s="13"/>
      <c r="I260" s="8"/>
      <c r="J260" s="13"/>
      <c r="K260" s="8"/>
      <c r="L260" s="8"/>
      <c r="M260" s="8"/>
      <c r="N260" s="8"/>
      <c r="O260" s="8"/>
      <c r="P260" s="8"/>
      <c r="Q260" s="10"/>
      <c r="R260" s="8"/>
    </row>
    <row r="261" spans="1:18">
      <c r="A261" s="8"/>
      <c r="B261" s="10"/>
      <c r="C261" s="8"/>
      <c r="D261" s="8"/>
      <c r="E261" s="8"/>
      <c r="F261" s="8"/>
      <c r="G261" s="13"/>
      <c r="H261" s="13"/>
      <c r="I261" s="8"/>
      <c r="J261" s="13"/>
      <c r="K261" s="8"/>
      <c r="L261" s="8"/>
      <c r="M261" s="8"/>
      <c r="N261" s="8"/>
      <c r="O261" s="8"/>
      <c r="P261" s="8"/>
      <c r="Q261" s="10"/>
      <c r="R261" s="8"/>
    </row>
    <row r="262" spans="1:18">
      <c r="A262" s="8"/>
      <c r="B262" s="10"/>
      <c r="C262" s="8"/>
      <c r="D262" s="8"/>
      <c r="E262" s="8"/>
      <c r="F262" s="8"/>
      <c r="G262" s="13"/>
      <c r="H262" s="13"/>
      <c r="I262" s="8"/>
      <c r="J262" s="13"/>
      <c r="K262" s="8"/>
      <c r="L262" s="8"/>
      <c r="M262" s="8"/>
      <c r="N262" s="8"/>
      <c r="O262" s="8"/>
      <c r="P262" s="8"/>
      <c r="Q262" s="10"/>
      <c r="R262" s="8"/>
    </row>
    <row r="263" spans="1:18">
      <c r="A263" s="8"/>
      <c r="B263" s="10"/>
      <c r="C263" s="8"/>
      <c r="D263" s="8"/>
      <c r="E263" s="8"/>
      <c r="F263" s="8"/>
      <c r="G263" s="13"/>
      <c r="H263" s="13"/>
      <c r="I263" s="8"/>
      <c r="J263" s="13"/>
      <c r="K263" s="8"/>
      <c r="L263" s="8"/>
      <c r="M263" s="8"/>
      <c r="N263" s="8"/>
      <c r="O263" s="8"/>
      <c r="P263" s="8"/>
      <c r="Q263" s="10"/>
      <c r="R263" s="8"/>
    </row>
    <row r="264" spans="1:18">
      <c r="A264" s="8"/>
      <c r="B264" s="10"/>
      <c r="C264" s="8"/>
      <c r="D264" s="8"/>
      <c r="E264" s="8"/>
      <c r="F264" s="8"/>
      <c r="G264" s="13"/>
      <c r="H264" s="13"/>
      <c r="I264" s="8"/>
      <c r="J264" s="13"/>
      <c r="K264" s="8"/>
      <c r="L264" s="8"/>
      <c r="M264" s="8"/>
      <c r="N264" s="8"/>
      <c r="O264" s="8"/>
      <c r="P264" s="8"/>
      <c r="Q264" s="10"/>
      <c r="R264" s="8"/>
    </row>
    <row r="265" spans="1:18">
      <c r="A265" s="8"/>
      <c r="B265" s="10"/>
      <c r="C265" s="8"/>
      <c r="D265" s="8"/>
      <c r="E265" s="8"/>
      <c r="F265" s="8"/>
      <c r="G265" s="13"/>
      <c r="H265" s="13"/>
      <c r="I265" s="8"/>
      <c r="J265" s="13"/>
      <c r="K265" s="8"/>
      <c r="L265" s="8"/>
      <c r="M265" s="8"/>
      <c r="N265" s="8"/>
      <c r="O265" s="8"/>
      <c r="P265" s="8"/>
      <c r="Q265" s="10"/>
      <c r="R265" s="8"/>
    </row>
    <row r="266" spans="1:18">
      <c r="A266" s="8"/>
      <c r="B266" s="10"/>
      <c r="C266" s="8"/>
      <c r="D266" s="8"/>
      <c r="E266" s="8"/>
      <c r="F266" s="8"/>
      <c r="G266" s="13"/>
      <c r="H266" s="13"/>
      <c r="I266" s="8"/>
      <c r="J266" s="13"/>
      <c r="K266" s="8"/>
      <c r="L266" s="8"/>
      <c r="M266" s="8"/>
      <c r="N266" s="8"/>
      <c r="O266" s="8"/>
      <c r="P266" s="8"/>
      <c r="Q266" s="10"/>
      <c r="R266" s="8"/>
    </row>
    <row r="267" spans="1:18">
      <c r="A267" s="8"/>
      <c r="B267" s="10"/>
      <c r="C267" s="8"/>
      <c r="D267" s="8"/>
      <c r="E267" s="8"/>
      <c r="F267" s="8"/>
      <c r="G267" s="13"/>
      <c r="H267" s="13"/>
      <c r="I267" s="8"/>
      <c r="J267" s="13"/>
      <c r="K267" s="8"/>
      <c r="L267" s="8"/>
      <c r="M267" s="8"/>
      <c r="N267" s="8"/>
      <c r="O267" s="8"/>
      <c r="P267" s="8"/>
      <c r="Q267" s="10"/>
      <c r="R267" s="8"/>
    </row>
    <row r="268" spans="1:18">
      <c r="A268" s="8"/>
      <c r="B268" s="10"/>
      <c r="C268" s="8"/>
      <c r="D268" s="8"/>
      <c r="E268" s="8"/>
      <c r="F268" s="8"/>
      <c r="G268" s="13"/>
      <c r="H268" s="13"/>
      <c r="I268" s="8"/>
      <c r="J268" s="13"/>
      <c r="K268" s="8"/>
      <c r="L268" s="8"/>
      <c r="M268" s="8"/>
      <c r="N268" s="8"/>
      <c r="O268" s="8"/>
      <c r="P268" s="8"/>
      <c r="Q268" s="10"/>
      <c r="R268" s="8"/>
    </row>
    <row r="269" spans="1:18">
      <c r="A269" s="8"/>
      <c r="B269" s="10"/>
      <c r="C269" s="8"/>
      <c r="D269" s="8"/>
      <c r="E269" s="8"/>
      <c r="F269" s="8"/>
      <c r="G269" s="13"/>
      <c r="H269" s="13"/>
      <c r="I269" s="8"/>
      <c r="J269" s="13"/>
      <c r="K269" s="8"/>
      <c r="L269" s="8"/>
      <c r="M269" s="8"/>
      <c r="N269" s="8"/>
      <c r="O269" s="8"/>
      <c r="P269" s="8"/>
      <c r="Q269" s="10"/>
      <c r="R269" s="8"/>
    </row>
    <row r="270" spans="1:18">
      <c r="A270" s="8"/>
      <c r="B270" s="10"/>
      <c r="C270" s="8"/>
      <c r="D270" s="8"/>
      <c r="E270" s="8"/>
      <c r="F270" s="8"/>
      <c r="G270" s="13"/>
      <c r="H270" s="13"/>
      <c r="I270" s="8"/>
      <c r="J270" s="13"/>
      <c r="K270" s="8"/>
      <c r="L270" s="8"/>
      <c r="M270" s="8"/>
      <c r="N270" s="8"/>
      <c r="O270" s="8"/>
      <c r="P270" s="8"/>
      <c r="Q270" s="10"/>
      <c r="R270" s="8"/>
    </row>
    <row r="271" spans="1:18">
      <c r="A271" s="8"/>
      <c r="B271" s="10"/>
      <c r="C271" s="8"/>
      <c r="D271" s="8"/>
      <c r="E271" s="8"/>
      <c r="F271" s="8"/>
      <c r="G271" s="13"/>
      <c r="H271" s="13"/>
      <c r="I271" s="8"/>
      <c r="J271" s="13"/>
      <c r="K271" s="8"/>
      <c r="L271" s="8"/>
      <c r="M271" s="8"/>
      <c r="N271" s="8"/>
      <c r="O271" s="8"/>
      <c r="P271" s="8"/>
      <c r="Q271" s="10"/>
      <c r="R271" s="8"/>
    </row>
    <row r="272" spans="1:18">
      <c r="A272" s="8"/>
      <c r="B272" s="10"/>
      <c r="C272" s="8"/>
      <c r="D272" s="8"/>
      <c r="E272" s="8"/>
      <c r="F272" s="8"/>
      <c r="G272" s="13"/>
      <c r="H272" s="13"/>
      <c r="I272" s="8"/>
      <c r="J272" s="13"/>
      <c r="K272" s="8"/>
      <c r="L272" s="8"/>
      <c r="M272" s="8"/>
      <c r="N272" s="8"/>
      <c r="O272" s="8"/>
      <c r="P272" s="8"/>
      <c r="Q272" s="10"/>
      <c r="R272" s="8"/>
    </row>
    <row r="273" spans="1:18">
      <c r="A273" s="8"/>
      <c r="B273" s="10"/>
      <c r="C273" s="8"/>
      <c r="D273" s="8"/>
      <c r="E273" s="8"/>
      <c r="F273" s="8"/>
      <c r="G273" s="13"/>
      <c r="H273" s="13"/>
      <c r="I273" s="8"/>
      <c r="J273" s="13"/>
      <c r="K273" s="8"/>
      <c r="L273" s="8"/>
      <c r="M273" s="8"/>
      <c r="N273" s="8"/>
      <c r="O273" s="8"/>
      <c r="P273" s="8"/>
      <c r="Q273" s="10"/>
      <c r="R273" s="8"/>
    </row>
    <row r="274" spans="1:18">
      <c r="A274" s="8"/>
      <c r="B274" s="10"/>
      <c r="C274" s="8"/>
      <c r="D274" s="8"/>
      <c r="E274" s="8"/>
      <c r="F274" s="8"/>
      <c r="G274" s="13"/>
      <c r="H274" s="13"/>
      <c r="I274" s="8"/>
      <c r="J274" s="13"/>
      <c r="K274" s="8"/>
      <c r="L274" s="8"/>
      <c r="M274" s="8"/>
      <c r="N274" s="8"/>
      <c r="O274" s="8"/>
      <c r="P274" s="8"/>
      <c r="Q274" s="10"/>
      <c r="R274" s="8"/>
    </row>
    <row r="275" spans="1:18">
      <c r="A275" s="8"/>
      <c r="B275" s="10"/>
      <c r="C275" s="8"/>
      <c r="D275" s="8"/>
      <c r="E275" s="8"/>
      <c r="F275" s="8"/>
      <c r="G275" s="13"/>
      <c r="H275" s="13"/>
      <c r="I275" s="8"/>
      <c r="J275" s="13"/>
      <c r="K275" s="8"/>
      <c r="L275" s="8"/>
      <c r="M275" s="8"/>
      <c r="N275" s="8"/>
      <c r="O275" s="8"/>
      <c r="P275" s="8"/>
      <c r="Q275" s="10"/>
      <c r="R275" s="8"/>
    </row>
    <row r="276" spans="1:18">
      <c r="A276" s="8"/>
      <c r="B276" s="10"/>
      <c r="C276" s="8"/>
      <c r="D276" s="8"/>
      <c r="E276" s="8"/>
      <c r="F276" s="8"/>
      <c r="G276" s="13"/>
      <c r="H276" s="13"/>
      <c r="I276" s="8"/>
      <c r="J276" s="13"/>
      <c r="K276" s="8"/>
      <c r="L276" s="8"/>
      <c r="M276" s="8"/>
      <c r="N276" s="8"/>
      <c r="O276" s="8"/>
      <c r="P276" s="8"/>
      <c r="Q276" s="10"/>
      <c r="R276" s="8"/>
    </row>
    <row r="277" spans="1:18">
      <c r="A277" s="8"/>
      <c r="B277" s="10"/>
      <c r="C277" s="8"/>
      <c r="D277" s="8"/>
      <c r="E277" s="8"/>
      <c r="F277" s="8"/>
      <c r="G277" s="13"/>
      <c r="H277" s="13"/>
      <c r="I277" s="8"/>
      <c r="J277" s="13"/>
      <c r="K277" s="8"/>
      <c r="L277" s="8"/>
      <c r="M277" s="8"/>
      <c r="N277" s="8"/>
      <c r="O277" s="8"/>
      <c r="P277" s="8"/>
      <c r="Q277" s="10"/>
      <c r="R277" s="8"/>
    </row>
    <row r="278" spans="1:18">
      <c r="A278" s="8"/>
      <c r="B278" s="10"/>
      <c r="C278" s="8"/>
      <c r="D278" s="8"/>
      <c r="E278" s="8"/>
      <c r="F278" s="8"/>
      <c r="G278" s="13"/>
      <c r="H278" s="13"/>
      <c r="I278" s="8"/>
      <c r="J278" s="13"/>
      <c r="K278" s="8"/>
      <c r="L278" s="8"/>
      <c r="M278" s="8"/>
      <c r="N278" s="8"/>
      <c r="O278" s="8"/>
      <c r="P278" s="8"/>
      <c r="Q278" s="10"/>
      <c r="R278" s="8"/>
    </row>
    <row r="279" spans="1:18">
      <c r="A279" s="8"/>
      <c r="B279" s="10"/>
      <c r="C279" s="8"/>
      <c r="D279" s="8"/>
      <c r="E279" s="8"/>
      <c r="F279" s="8"/>
      <c r="G279" s="13"/>
      <c r="H279" s="13"/>
      <c r="I279" s="8"/>
      <c r="J279" s="13"/>
      <c r="K279" s="8"/>
      <c r="L279" s="8"/>
      <c r="M279" s="8"/>
      <c r="N279" s="8"/>
      <c r="O279" s="8"/>
      <c r="P279" s="8"/>
      <c r="Q279" s="10"/>
      <c r="R279" s="8"/>
    </row>
    <row r="280" spans="1:18">
      <c r="A280" s="8"/>
      <c r="B280" s="10"/>
      <c r="C280" s="8"/>
      <c r="D280" s="8"/>
      <c r="E280" s="8"/>
      <c r="F280" s="8"/>
      <c r="G280" s="13"/>
      <c r="H280" s="13"/>
      <c r="I280" s="8"/>
      <c r="J280" s="13"/>
      <c r="K280" s="8"/>
      <c r="L280" s="8"/>
      <c r="M280" s="8"/>
      <c r="N280" s="8"/>
      <c r="O280" s="8"/>
      <c r="P280" s="8"/>
      <c r="Q280" s="10"/>
      <c r="R280" s="8"/>
    </row>
    <row r="281" spans="1:18">
      <c r="A281" s="8"/>
      <c r="B281" s="10"/>
      <c r="C281" s="8"/>
      <c r="D281" s="8"/>
      <c r="E281" s="8"/>
      <c r="F281" s="8"/>
      <c r="G281" s="13"/>
      <c r="H281" s="13"/>
      <c r="I281" s="8"/>
      <c r="J281" s="13"/>
      <c r="K281" s="8"/>
      <c r="L281" s="8"/>
      <c r="M281" s="8"/>
      <c r="N281" s="8"/>
      <c r="O281" s="8"/>
      <c r="P281" s="8"/>
      <c r="Q281" s="10"/>
      <c r="R281" s="8"/>
    </row>
    <row r="282" spans="1:18">
      <c r="A282" s="8"/>
      <c r="B282" s="10"/>
      <c r="C282" s="8"/>
      <c r="D282" s="8"/>
      <c r="E282" s="8"/>
      <c r="F282" s="8"/>
      <c r="G282" s="13"/>
      <c r="H282" s="13"/>
      <c r="I282" s="8"/>
      <c r="J282" s="13"/>
      <c r="K282" s="8"/>
      <c r="L282" s="8"/>
      <c r="M282" s="8"/>
      <c r="N282" s="8"/>
      <c r="O282" s="8"/>
      <c r="P282" s="8"/>
      <c r="Q282" s="10"/>
      <c r="R282" s="8"/>
    </row>
    <row r="283" spans="1:18">
      <c r="A283" s="8"/>
      <c r="B283" s="10"/>
      <c r="C283" s="8"/>
      <c r="D283" s="8"/>
      <c r="E283" s="8"/>
      <c r="F283" s="8"/>
      <c r="G283" s="13"/>
      <c r="H283" s="13"/>
      <c r="I283" s="8"/>
      <c r="J283" s="13"/>
      <c r="K283" s="8"/>
      <c r="L283" s="8"/>
      <c r="M283" s="8"/>
      <c r="N283" s="8"/>
      <c r="O283" s="8"/>
      <c r="P283" s="8"/>
      <c r="Q283" s="10"/>
      <c r="R283" s="8"/>
    </row>
    <row r="284" spans="1:18">
      <c r="A284" s="8"/>
      <c r="B284" s="10"/>
      <c r="C284" s="8"/>
      <c r="D284" s="8"/>
      <c r="E284" s="8"/>
      <c r="F284" s="8"/>
      <c r="G284" s="13"/>
      <c r="H284" s="13"/>
      <c r="I284" s="8"/>
      <c r="J284" s="13"/>
      <c r="K284" s="8"/>
      <c r="L284" s="8"/>
      <c r="M284" s="8"/>
      <c r="N284" s="8"/>
      <c r="O284" s="8"/>
      <c r="P284" s="8"/>
      <c r="Q284" s="10"/>
      <c r="R284" s="8"/>
    </row>
    <row r="285" spans="1:18">
      <c r="A285" s="8"/>
      <c r="B285" s="10"/>
      <c r="C285" s="8"/>
      <c r="D285" s="8"/>
      <c r="E285" s="8"/>
      <c r="F285" s="8"/>
      <c r="G285" s="13"/>
      <c r="H285" s="13"/>
      <c r="I285" s="8"/>
      <c r="J285" s="13"/>
      <c r="K285" s="8"/>
      <c r="L285" s="8"/>
      <c r="M285" s="8"/>
      <c r="N285" s="8"/>
      <c r="O285" s="8"/>
      <c r="P285" s="8"/>
      <c r="Q285" s="10"/>
      <c r="R285" s="8"/>
    </row>
    <row r="286" spans="1:18">
      <c r="A286" s="8"/>
      <c r="B286" s="10"/>
      <c r="C286" s="8"/>
      <c r="D286" s="8"/>
      <c r="E286" s="8"/>
      <c r="F286" s="8"/>
      <c r="G286" s="13"/>
      <c r="H286" s="13"/>
      <c r="I286" s="8"/>
      <c r="J286" s="13"/>
      <c r="K286" s="8"/>
      <c r="L286" s="8"/>
      <c r="M286" s="8"/>
      <c r="N286" s="8"/>
      <c r="O286" s="8"/>
      <c r="P286" s="8"/>
      <c r="Q286" s="10"/>
      <c r="R286" s="8"/>
    </row>
    <row r="287" spans="1:18">
      <c r="A287" s="8"/>
      <c r="B287" s="10"/>
      <c r="C287" s="8"/>
      <c r="D287" s="8"/>
      <c r="E287" s="8"/>
      <c r="F287" s="8"/>
      <c r="G287" s="13"/>
      <c r="H287" s="13"/>
      <c r="I287" s="8"/>
      <c r="J287" s="13"/>
      <c r="K287" s="8"/>
      <c r="L287" s="8"/>
      <c r="M287" s="8"/>
      <c r="N287" s="8"/>
      <c r="O287" s="8"/>
      <c r="P287" s="8"/>
      <c r="Q287" s="10"/>
      <c r="R287" s="8"/>
    </row>
    <row r="288" spans="1:18">
      <c r="A288" s="8"/>
      <c r="B288" s="10"/>
      <c r="C288" s="8"/>
      <c r="D288" s="8"/>
      <c r="E288" s="8"/>
      <c r="F288" s="8"/>
      <c r="G288" s="13"/>
      <c r="H288" s="13"/>
      <c r="I288" s="8"/>
      <c r="J288" s="13"/>
      <c r="K288" s="8"/>
      <c r="L288" s="8"/>
      <c r="M288" s="8"/>
      <c r="N288" s="8"/>
      <c r="O288" s="8"/>
      <c r="P288" s="8"/>
      <c r="Q288" s="10"/>
      <c r="R288" s="8"/>
    </row>
    <row r="289" spans="1:18">
      <c r="A289" s="8"/>
      <c r="B289" s="10"/>
      <c r="C289" s="8"/>
      <c r="D289" s="8"/>
      <c r="E289" s="8"/>
      <c r="F289" s="8"/>
      <c r="G289" s="13"/>
      <c r="H289" s="13"/>
      <c r="I289" s="8"/>
      <c r="J289" s="13"/>
      <c r="K289" s="8"/>
      <c r="L289" s="8"/>
      <c r="M289" s="8"/>
      <c r="N289" s="8"/>
      <c r="O289" s="8"/>
      <c r="P289" s="8"/>
      <c r="Q289" s="10"/>
      <c r="R289" s="8"/>
    </row>
    <row r="290" spans="1:18">
      <c r="A290" s="8"/>
      <c r="B290" s="10"/>
      <c r="C290" s="8"/>
      <c r="D290" s="8"/>
      <c r="E290" s="8"/>
      <c r="F290" s="8"/>
      <c r="G290" s="13"/>
      <c r="H290" s="13"/>
      <c r="I290" s="8"/>
      <c r="J290" s="13"/>
      <c r="K290" s="8"/>
      <c r="L290" s="8"/>
      <c r="M290" s="8"/>
      <c r="N290" s="8"/>
      <c r="O290" s="8"/>
      <c r="P290" s="8"/>
      <c r="Q290" s="10"/>
      <c r="R290" s="8"/>
    </row>
    <row r="291" spans="1:18">
      <c r="A291" s="8"/>
      <c r="B291" s="10"/>
      <c r="C291" s="8"/>
      <c r="D291" s="8"/>
      <c r="E291" s="8"/>
      <c r="F291" s="8"/>
      <c r="G291" s="13"/>
      <c r="H291" s="13"/>
      <c r="I291" s="8"/>
      <c r="J291" s="13"/>
      <c r="K291" s="8"/>
      <c r="L291" s="8"/>
      <c r="M291" s="8"/>
      <c r="N291" s="8"/>
      <c r="O291" s="8"/>
      <c r="P291" s="8"/>
      <c r="Q291" s="10"/>
      <c r="R291" s="8"/>
    </row>
    <row r="292" spans="1:18">
      <c r="A292" s="8"/>
      <c r="B292" s="10"/>
      <c r="C292" s="8"/>
      <c r="D292" s="8"/>
      <c r="E292" s="8"/>
      <c r="F292" s="8"/>
      <c r="G292" s="13"/>
      <c r="H292" s="13"/>
      <c r="I292" s="8"/>
      <c r="J292" s="13"/>
      <c r="K292" s="8"/>
      <c r="L292" s="8"/>
      <c r="M292" s="8"/>
      <c r="N292" s="8"/>
      <c r="O292" s="8"/>
      <c r="P292" s="8"/>
      <c r="Q292" s="10"/>
      <c r="R292" s="8"/>
    </row>
    <row r="293" spans="1:18">
      <c r="A293" s="8"/>
      <c r="B293" s="10"/>
      <c r="C293" s="8"/>
      <c r="D293" s="8"/>
      <c r="E293" s="8"/>
      <c r="F293" s="8"/>
      <c r="G293" s="13"/>
      <c r="H293" s="13"/>
      <c r="I293" s="8"/>
      <c r="J293" s="13"/>
      <c r="K293" s="8"/>
      <c r="L293" s="8"/>
      <c r="M293" s="8"/>
      <c r="N293" s="8"/>
      <c r="O293" s="8"/>
      <c r="P293" s="8"/>
      <c r="Q293" s="10"/>
      <c r="R293" s="8"/>
    </row>
    <row r="294" spans="1:18">
      <c r="A294" s="8"/>
      <c r="B294" s="10"/>
      <c r="C294" s="8"/>
      <c r="D294" s="8"/>
      <c r="E294" s="8"/>
      <c r="F294" s="8"/>
      <c r="G294" s="13"/>
      <c r="H294" s="13"/>
      <c r="I294" s="8"/>
      <c r="J294" s="13"/>
      <c r="K294" s="8"/>
      <c r="L294" s="8"/>
      <c r="M294" s="8"/>
      <c r="N294" s="8"/>
      <c r="O294" s="8"/>
      <c r="P294" s="8"/>
      <c r="Q294" s="10"/>
      <c r="R294" s="8"/>
    </row>
    <row r="295" spans="1:18">
      <c r="A295" s="8"/>
      <c r="B295" s="10"/>
      <c r="C295" s="8"/>
      <c r="D295" s="8"/>
      <c r="E295" s="8"/>
      <c r="F295" s="8"/>
      <c r="G295" s="13"/>
      <c r="H295" s="13"/>
      <c r="I295" s="8"/>
      <c r="J295" s="13"/>
      <c r="K295" s="8"/>
      <c r="L295" s="8"/>
      <c r="M295" s="8"/>
      <c r="N295" s="8"/>
      <c r="O295" s="8"/>
      <c r="P295" s="8"/>
      <c r="Q295" s="10"/>
      <c r="R295" s="8"/>
    </row>
    <row r="296" spans="1:18">
      <c r="A296" s="8"/>
      <c r="B296" s="10"/>
      <c r="C296" s="8"/>
      <c r="D296" s="8"/>
      <c r="E296" s="8"/>
      <c r="F296" s="8"/>
      <c r="G296" s="13"/>
      <c r="H296" s="13"/>
      <c r="I296" s="8"/>
      <c r="J296" s="13"/>
      <c r="K296" s="8"/>
      <c r="L296" s="8"/>
      <c r="M296" s="8"/>
      <c r="N296" s="8"/>
      <c r="O296" s="8"/>
      <c r="P296" s="8"/>
      <c r="Q296" s="10"/>
      <c r="R296" s="8"/>
    </row>
    <row r="297" spans="1:18">
      <c r="A297" s="8"/>
      <c r="B297" s="10"/>
      <c r="C297" s="8"/>
      <c r="D297" s="8"/>
      <c r="E297" s="8"/>
      <c r="F297" s="8"/>
      <c r="G297" s="13"/>
      <c r="H297" s="13"/>
      <c r="I297" s="8"/>
      <c r="J297" s="13"/>
      <c r="K297" s="8"/>
      <c r="L297" s="8"/>
      <c r="M297" s="8"/>
      <c r="N297" s="8"/>
      <c r="O297" s="8"/>
      <c r="P297" s="8"/>
      <c r="Q297" s="10"/>
      <c r="R297" s="8"/>
    </row>
    <row r="298" spans="1:18">
      <c r="A298" s="8"/>
      <c r="B298" s="10"/>
      <c r="C298" s="8"/>
      <c r="D298" s="8"/>
      <c r="E298" s="8"/>
      <c r="F298" s="8"/>
      <c r="G298" s="13"/>
      <c r="H298" s="13"/>
      <c r="I298" s="8"/>
      <c r="J298" s="13"/>
      <c r="K298" s="8"/>
      <c r="L298" s="8"/>
      <c r="M298" s="8"/>
      <c r="N298" s="8"/>
      <c r="O298" s="8"/>
      <c r="P298" s="8"/>
      <c r="Q298" s="10"/>
      <c r="R298" s="8"/>
    </row>
    <row r="299" spans="1:18">
      <c r="A299" s="8"/>
      <c r="B299" s="10"/>
      <c r="C299" s="8"/>
      <c r="D299" s="8"/>
      <c r="E299" s="8"/>
      <c r="F299" s="8"/>
      <c r="G299" s="13"/>
      <c r="H299" s="13"/>
      <c r="I299" s="8"/>
      <c r="J299" s="13"/>
      <c r="K299" s="8"/>
      <c r="L299" s="8"/>
      <c r="M299" s="8"/>
      <c r="N299" s="8"/>
      <c r="O299" s="8"/>
      <c r="P299" s="8"/>
      <c r="Q299" s="10"/>
      <c r="R299" s="8"/>
    </row>
    <row r="300" spans="1:18">
      <c r="A300" s="8"/>
      <c r="B300" s="10"/>
      <c r="C300" s="8"/>
      <c r="D300" s="8"/>
      <c r="E300" s="8"/>
      <c r="F300" s="8"/>
      <c r="G300" s="13"/>
      <c r="H300" s="13"/>
      <c r="I300" s="8"/>
      <c r="J300" s="13"/>
      <c r="K300" s="8"/>
      <c r="L300" s="8"/>
      <c r="M300" s="8"/>
      <c r="N300" s="8"/>
      <c r="O300" s="8"/>
      <c r="P300" s="8"/>
      <c r="Q300" s="10"/>
      <c r="R300" s="8"/>
    </row>
    <row r="301" spans="1:18">
      <c r="A301" s="8"/>
      <c r="B301" s="10"/>
      <c r="C301" s="8"/>
      <c r="D301" s="8"/>
      <c r="E301" s="8"/>
      <c r="F301" s="8"/>
      <c r="G301" s="13"/>
      <c r="H301" s="13"/>
      <c r="I301" s="8"/>
      <c r="J301" s="13"/>
      <c r="K301" s="8"/>
      <c r="L301" s="8"/>
      <c r="M301" s="8"/>
      <c r="N301" s="8"/>
      <c r="O301" s="8"/>
      <c r="P301" s="8"/>
      <c r="Q301" s="10"/>
      <c r="R301" s="8"/>
    </row>
    <row r="302" spans="1:18">
      <c r="A302" s="8"/>
      <c r="B302" s="10"/>
      <c r="C302" s="8"/>
      <c r="D302" s="8"/>
      <c r="E302" s="8"/>
      <c r="F302" s="8"/>
      <c r="G302" s="13"/>
      <c r="H302" s="13"/>
      <c r="I302" s="8"/>
      <c r="J302" s="13"/>
      <c r="K302" s="8"/>
      <c r="L302" s="8"/>
      <c r="M302" s="8"/>
      <c r="N302" s="8"/>
      <c r="O302" s="8"/>
      <c r="P302" s="8"/>
      <c r="Q302" s="10"/>
      <c r="R302" s="8"/>
    </row>
    <row r="303" spans="1:18">
      <c r="A303" s="8"/>
      <c r="B303" s="10"/>
      <c r="C303" s="8"/>
      <c r="D303" s="8"/>
      <c r="E303" s="8"/>
      <c r="F303" s="8"/>
      <c r="G303" s="13"/>
      <c r="H303" s="13"/>
      <c r="I303" s="8"/>
      <c r="J303" s="13"/>
      <c r="K303" s="8"/>
      <c r="L303" s="8"/>
      <c r="M303" s="8"/>
      <c r="N303" s="8"/>
      <c r="O303" s="8"/>
      <c r="P303" s="8"/>
      <c r="Q303" s="10"/>
      <c r="R303" s="8"/>
    </row>
    <row r="304" spans="1:18">
      <c r="A304" s="8"/>
      <c r="B304" s="10"/>
      <c r="C304" s="8"/>
      <c r="D304" s="8"/>
      <c r="E304" s="8"/>
      <c r="F304" s="8"/>
      <c r="G304" s="13"/>
      <c r="H304" s="13"/>
      <c r="I304" s="8"/>
      <c r="J304" s="13"/>
      <c r="K304" s="8"/>
      <c r="L304" s="8"/>
      <c r="M304" s="8"/>
      <c r="N304" s="8"/>
      <c r="O304" s="8"/>
      <c r="P304" s="8"/>
      <c r="Q304" s="10"/>
      <c r="R304" s="8"/>
    </row>
  </sheetData>
  <mergeCells count="2">
    <mergeCell ref="A1:R1"/>
    <mergeCell ref="A2:R2"/>
  </mergeCells>
  <conditionalFormatting sqref="A5:A304">
    <cfRule type="duplicateValues" dxfId="48" priority="9"/>
  </conditionalFormatting>
  <conditionalFormatting sqref="K5:P304">
    <cfRule type="containsText" dxfId="47" priority="1" operator="containsText" text="Approved"/>
    <cfRule type="containsText" dxfId="46" priority="4" operator="containsText" text="Failed"/>
    <cfRule type="containsText" dxfId="45" priority="7" operator="containsText" text="On Hold"/>
  </conditionalFormatting>
  <dataValidations count="2">
    <dataValidation type="list" sqref="K5:K304" xr:uid="{00000000-0002-0000-1500-000000000000}">
      <formula1>"Ready,Ready with Conditions,Not Ready,Blocked"</formula1>
    </dataValidation>
    <dataValidation type="list" sqref="P5:P304" xr:uid="{00000000-0002-0000-1500-000001000000}">
      <formula1>"Pending,Approved,Rejected,On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304"/>
  <sheetViews>
    <sheetView showGridLines="0" workbookViewId="0">
      <selection sqref="A1:V1"/>
    </sheetView>
  </sheetViews>
  <sheetFormatPr baseColWidth="10" defaultColWidth="8.83203125" defaultRowHeight="14"/>
  <cols>
    <col min="1" max="1" width="15" customWidth="1"/>
    <col min="2" max="2" width="13" customWidth="1"/>
    <col min="3" max="3" width="14" customWidth="1"/>
    <col min="4" max="5" width="13" customWidth="1"/>
    <col min="6" max="6" width="10" customWidth="1"/>
    <col min="7" max="7" width="14" customWidth="1"/>
    <col min="8" max="8" width="15" customWidth="1"/>
    <col min="9" max="10" width="14" customWidth="1"/>
    <col min="11" max="11" width="13" customWidth="1"/>
    <col min="12" max="12" width="14" customWidth="1"/>
    <col min="13" max="14" width="16" customWidth="1"/>
    <col min="15" max="15" width="17" customWidth="1"/>
    <col min="16" max="17" width="14" customWidth="1"/>
    <col min="18" max="18" width="19" customWidth="1"/>
    <col min="19" max="20" width="18" customWidth="1"/>
    <col min="21" max="21" width="15" customWidth="1"/>
    <col min="22" max="22" width="24" customWidth="1"/>
  </cols>
  <sheetData>
    <row r="1" spans="1:22" ht="30" customHeight="1">
      <c r="A1" s="52" t="s">
        <v>351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4" spans="1:22" ht="44" customHeight="1">
      <c r="A4" s="6" t="s">
        <v>352</v>
      </c>
      <c r="B4" s="6" t="s">
        <v>353</v>
      </c>
      <c r="C4" s="6" t="s">
        <v>44</v>
      </c>
      <c r="D4" s="6" t="s">
        <v>45</v>
      </c>
      <c r="E4" s="6" t="s">
        <v>46</v>
      </c>
      <c r="F4" s="6" t="s">
        <v>306</v>
      </c>
      <c r="G4" s="6" t="s">
        <v>308</v>
      </c>
      <c r="H4" s="6" t="s">
        <v>283</v>
      </c>
      <c r="I4" s="6" t="s">
        <v>354</v>
      </c>
      <c r="J4" s="6" t="s">
        <v>355</v>
      </c>
      <c r="K4" s="6" t="s">
        <v>356</v>
      </c>
      <c r="L4" s="6" t="s">
        <v>197</v>
      </c>
      <c r="M4" s="6" t="s">
        <v>357</v>
      </c>
      <c r="N4" s="6" t="s">
        <v>358</v>
      </c>
      <c r="O4" s="6" t="s">
        <v>359</v>
      </c>
      <c r="P4" s="6" t="s">
        <v>360</v>
      </c>
      <c r="Q4" s="6" t="s">
        <v>361</v>
      </c>
      <c r="R4" s="6" t="s">
        <v>362</v>
      </c>
      <c r="S4" s="6" t="s">
        <v>350</v>
      </c>
      <c r="T4" s="6" t="s">
        <v>363</v>
      </c>
      <c r="U4" s="6" t="s">
        <v>63</v>
      </c>
      <c r="V4" s="6" t="s">
        <v>161</v>
      </c>
    </row>
    <row r="5" spans="1:22">
      <c r="A5" s="8"/>
      <c r="B5" s="10"/>
      <c r="C5" s="8"/>
      <c r="D5" s="8"/>
      <c r="E5" s="8"/>
      <c r="F5" s="8"/>
      <c r="G5" s="8"/>
      <c r="H5" s="8"/>
      <c r="I5" s="11"/>
      <c r="J5" s="11"/>
      <c r="K5" s="11"/>
      <c r="L5" s="11"/>
      <c r="M5" s="11"/>
      <c r="N5" s="11"/>
      <c r="O5" s="12" t="str">
        <f t="shared" ref="O5:O68" si="0">IF(A5="","",K5-I5)</f>
        <v/>
      </c>
      <c r="P5" s="12" t="str">
        <f t="shared" ref="P5:P68" si="1">IF(A5="","",MAX(0,I5-K5))</f>
        <v/>
      </c>
      <c r="Q5" s="12" t="str">
        <f t="shared" ref="Q5:Q68" si="2">IF(A5="","",MAX(0,K5-I5))</f>
        <v/>
      </c>
      <c r="R5" s="12" t="str">
        <f t="shared" ref="R5:R68" si="3">IF(A5="","",K5-N5)</f>
        <v/>
      </c>
      <c r="S5" s="8"/>
      <c r="T5" s="8"/>
      <c r="U5" s="10"/>
      <c r="V5" s="8"/>
    </row>
    <row r="6" spans="1:22">
      <c r="A6" s="8"/>
      <c r="B6" s="10"/>
      <c r="C6" s="8"/>
      <c r="D6" s="8"/>
      <c r="E6" s="8"/>
      <c r="F6" s="8"/>
      <c r="G6" s="8"/>
      <c r="H6" s="8"/>
      <c r="I6" s="11"/>
      <c r="J6" s="11"/>
      <c r="K6" s="11"/>
      <c r="L6" s="11"/>
      <c r="M6" s="11"/>
      <c r="N6" s="11"/>
      <c r="O6" s="12" t="str">
        <f t="shared" si="0"/>
        <v/>
      </c>
      <c r="P6" s="12" t="str">
        <f t="shared" si="1"/>
        <v/>
      </c>
      <c r="Q6" s="12" t="str">
        <f t="shared" si="2"/>
        <v/>
      </c>
      <c r="R6" s="12" t="str">
        <f t="shared" si="3"/>
        <v/>
      </c>
      <c r="S6" s="8"/>
      <c r="T6" s="8"/>
      <c r="U6" s="10"/>
      <c r="V6" s="8"/>
    </row>
    <row r="7" spans="1:22">
      <c r="A7" s="8"/>
      <c r="B7" s="10"/>
      <c r="C7" s="8"/>
      <c r="D7" s="8"/>
      <c r="E7" s="8"/>
      <c r="F7" s="8"/>
      <c r="G7" s="8"/>
      <c r="H7" s="8"/>
      <c r="I7" s="11"/>
      <c r="J7" s="11"/>
      <c r="K7" s="11"/>
      <c r="L7" s="11"/>
      <c r="M7" s="11"/>
      <c r="N7" s="11"/>
      <c r="O7" s="12" t="str">
        <f t="shared" si="0"/>
        <v/>
      </c>
      <c r="P7" s="12" t="str">
        <f t="shared" si="1"/>
        <v/>
      </c>
      <c r="Q7" s="12" t="str">
        <f t="shared" si="2"/>
        <v/>
      </c>
      <c r="R7" s="12" t="str">
        <f t="shared" si="3"/>
        <v/>
      </c>
      <c r="S7" s="8"/>
      <c r="T7" s="8"/>
      <c r="U7" s="10"/>
      <c r="V7" s="8"/>
    </row>
    <row r="8" spans="1:22">
      <c r="A8" s="8"/>
      <c r="B8" s="10"/>
      <c r="C8" s="8"/>
      <c r="D8" s="8"/>
      <c r="E8" s="8"/>
      <c r="F8" s="8"/>
      <c r="G8" s="8"/>
      <c r="H8" s="8"/>
      <c r="I8" s="11"/>
      <c r="J8" s="11"/>
      <c r="K8" s="11"/>
      <c r="L8" s="11"/>
      <c r="M8" s="11"/>
      <c r="N8" s="11"/>
      <c r="O8" s="12" t="str">
        <f t="shared" si="0"/>
        <v/>
      </c>
      <c r="P8" s="12" t="str">
        <f t="shared" si="1"/>
        <v/>
      </c>
      <c r="Q8" s="12" t="str">
        <f t="shared" si="2"/>
        <v/>
      </c>
      <c r="R8" s="12" t="str">
        <f t="shared" si="3"/>
        <v/>
      </c>
      <c r="S8" s="8"/>
      <c r="T8" s="8"/>
      <c r="U8" s="10"/>
      <c r="V8" s="8"/>
    </row>
    <row r="9" spans="1:22">
      <c r="A9" s="8"/>
      <c r="B9" s="10"/>
      <c r="C9" s="8"/>
      <c r="D9" s="8"/>
      <c r="E9" s="8"/>
      <c r="F9" s="8"/>
      <c r="G9" s="8"/>
      <c r="H9" s="8"/>
      <c r="I9" s="11"/>
      <c r="J9" s="11"/>
      <c r="K9" s="11"/>
      <c r="L9" s="11"/>
      <c r="M9" s="11"/>
      <c r="N9" s="11"/>
      <c r="O9" s="12" t="str">
        <f t="shared" si="0"/>
        <v/>
      </c>
      <c r="P9" s="12" t="str">
        <f t="shared" si="1"/>
        <v/>
      </c>
      <c r="Q9" s="12" t="str">
        <f t="shared" si="2"/>
        <v/>
      </c>
      <c r="R9" s="12" t="str">
        <f t="shared" si="3"/>
        <v/>
      </c>
      <c r="S9" s="8"/>
      <c r="T9" s="8"/>
      <c r="U9" s="10"/>
      <c r="V9" s="8"/>
    </row>
    <row r="10" spans="1:22">
      <c r="A10" s="8"/>
      <c r="B10" s="10"/>
      <c r="C10" s="8"/>
      <c r="D10" s="8"/>
      <c r="E10" s="8"/>
      <c r="F10" s="8"/>
      <c r="G10" s="8"/>
      <c r="H10" s="8"/>
      <c r="I10" s="11"/>
      <c r="J10" s="11"/>
      <c r="K10" s="11"/>
      <c r="L10" s="11"/>
      <c r="M10" s="11"/>
      <c r="N10" s="11"/>
      <c r="O10" s="12" t="str">
        <f t="shared" si="0"/>
        <v/>
      </c>
      <c r="P10" s="12" t="str">
        <f t="shared" si="1"/>
        <v/>
      </c>
      <c r="Q10" s="12" t="str">
        <f t="shared" si="2"/>
        <v/>
      </c>
      <c r="R10" s="12" t="str">
        <f t="shared" si="3"/>
        <v/>
      </c>
      <c r="S10" s="8"/>
      <c r="T10" s="8"/>
      <c r="U10" s="10"/>
      <c r="V10" s="8"/>
    </row>
    <row r="11" spans="1:22">
      <c r="A11" s="8"/>
      <c r="B11" s="10"/>
      <c r="C11" s="8"/>
      <c r="D11" s="8"/>
      <c r="E11" s="8"/>
      <c r="F11" s="8"/>
      <c r="G11" s="8"/>
      <c r="H11" s="8"/>
      <c r="I11" s="11"/>
      <c r="J11" s="11"/>
      <c r="K11" s="11"/>
      <c r="L11" s="11"/>
      <c r="M11" s="11"/>
      <c r="N11" s="11"/>
      <c r="O11" s="12" t="str">
        <f t="shared" si="0"/>
        <v/>
      </c>
      <c r="P11" s="12" t="str">
        <f t="shared" si="1"/>
        <v/>
      </c>
      <c r="Q11" s="12" t="str">
        <f t="shared" si="2"/>
        <v/>
      </c>
      <c r="R11" s="12" t="str">
        <f t="shared" si="3"/>
        <v/>
      </c>
      <c r="S11" s="8"/>
      <c r="T11" s="8"/>
      <c r="U11" s="10"/>
      <c r="V11" s="8"/>
    </row>
    <row r="12" spans="1:22">
      <c r="A12" s="8"/>
      <c r="B12" s="10"/>
      <c r="C12" s="8"/>
      <c r="D12" s="8"/>
      <c r="E12" s="8"/>
      <c r="F12" s="8"/>
      <c r="G12" s="8"/>
      <c r="H12" s="8"/>
      <c r="I12" s="11"/>
      <c r="J12" s="11"/>
      <c r="K12" s="11"/>
      <c r="L12" s="11"/>
      <c r="M12" s="11"/>
      <c r="N12" s="11"/>
      <c r="O12" s="12" t="str">
        <f t="shared" si="0"/>
        <v/>
      </c>
      <c r="P12" s="12" t="str">
        <f t="shared" si="1"/>
        <v/>
      </c>
      <c r="Q12" s="12" t="str">
        <f t="shared" si="2"/>
        <v/>
      </c>
      <c r="R12" s="12" t="str">
        <f t="shared" si="3"/>
        <v/>
      </c>
      <c r="S12" s="8"/>
      <c r="T12" s="8"/>
      <c r="U12" s="10"/>
      <c r="V12" s="8"/>
    </row>
    <row r="13" spans="1:22">
      <c r="A13" s="8"/>
      <c r="B13" s="10"/>
      <c r="C13" s="8"/>
      <c r="D13" s="8"/>
      <c r="E13" s="8"/>
      <c r="F13" s="8"/>
      <c r="G13" s="8"/>
      <c r="H13" s="8"/>
      <c r="I13" s="11"/>
      <c r="J13" s="11"/>
      <c r="K13" s="11"/>
      <c r="L13" s="11"/>
      <c r="M13" s="11"/>
      <c r="N13" s="11"/>
      <c r="O13" s="12" t="str">
        <f t="shared" si="0"/>
        <v/>
      </c>
      <c r="P13" s="12" t="str">
        <f t="shared" si="1"/>
        <v/>
      </c>
      <c r="Q13" s="12" t="str">
        <f t="shared" si="2"/>
        <v/>
      </c>
      <c r="R13" s="12" t="str">
        <f t="shared" si="3"/>
        <v/>
      </c>
      <c r="S13" s="8"/>
      <c r="T13" s="8"/>
      <c r="U13" s="10"/>
      <c r="V13" s="8"/>
    </row>
    <row r="14" spans="1:22">
      <c r="A14" s="8"/>
      <c r="B14" s="10"/>
      <c r="C14" s="8"/>
      <c r="D14" s="8"/>
      <c r="E14" s="8"/>
      <c r="F14" s="8"/>
      <c r="G14" s="8"/>
      <c r="H14" s="8"/>
      <c r="I14" s="11"/>
      <c r="J14" s="11"/>
      <c r="K14" s="11"/>
      <c r="L14" s="11"/>
      <c r="M14" s="11"/>
      <c r="N14" s="11"/>
      <c r="O14" s="12" t="str">
        <f t="shared" si="0"/>
        <v/>
      </c>
      <c r="P14" s="12" t="str">
        <f t="shared" si="1"/>
        <v/>
      </c>
      <c r="Q14" s="12" t="str">
        <f t="shared" si="2"/>
        <v/>
      </c>
      <c r="R14" s="12" t="str">
        <f t="shared" si="3"/>
        <v/>
      </c>
      <c r="S14" s="8"/>
      <c r="T14" s="8"/>
      <c r="U14" s="10"/>
      <c r="V14" s="8"/>
    </row>
    <row r="15" spans="1:22">
      <c r="A15" s="8"/>
      <c r="B15" s="10"/>
      <c r="C15" s="8"/>
      <c r="D15" s="8"/>
      <c r="E15" s="8"/>
      <c r="F15" s="8"/>
      <c r="G15" s="8"/>
      <c r="H15" s="8"/>
      <c r="I15" s="11"/>
      <c r="J15" s="11"/>
      <c r="K15" s="11"/>
      <c r="L15" s="11"/>
      <c r="M15" s="11"/>
      <c r="N15" s="11"/>
      <c r="O15" s="12" t="str">
        <f t="shared" si="0"/>
        <v/>
      </c>
      <c r="P15" s="12" t="str">
        <f t="shared" si="1"/>
        <v/>
      </c>
      <c r="Q15" s="12" t="str">
        <f t="shared" si="2"/>
        <v/>
      </c>
      <c r="R15" s="12" t="str">
        <f t="shared" si="3"/>
        <v/>
      </c>
      <c r="S15" s="8"/>
      <c r="T15" s="8"/>
      <c r="U15" s="10"/>
      <c r="V15" s="8"/>
    </row>
    <row r="16" spans="1:22">
      <c r="A16" s="8"/>
      <c r="B16" s="10"/>
      <c r="C16" s="8"/>
      <c r="D16" s="8"/>
      <c r="E16" s="8"/>
      <c r="F16" s="8"/>
      <c r="G16" s="8"/>
      <c r="H16" s="8"/>
      <c r="I16" s="11"/>
      <c r="J16" s="11"/>
      <c r="K16" s="11"/>
      <c r="L16" s="11"/>
      <c r="M16" s="11"/>
      <c r="N16" s="11"/>
      <c r="O16" s="12" t="str">
        <f t="shared" si="0"/>
        <v/>
      </c>
      <c r="P16" s="12" t="str">
        <f t="shared" si="1"/>
        <v/>
      </c>
      <c r="Q16" s="12" t="str">
        <f t="shared" si="2"/>
        <v/>
      </c>
      <c r="R16" s="12" t="str">
        <f t="shared" si="3"/>
        <v/>
      </c>
      <c r="S16" s="8"/>
      <c r="T16" s="8"/>
      <c r="U16" s="10"/>
      <c r="V16" s="8"/>
    </row>
    <row r="17" spans="1:22">
      <c r="A17" s="8"/>
      <c r="B17" s="10"/>
      <c r="C17" s="8"/>
      <c r="D17" s="8"/>
      <c r="E17" s="8"/>
      <c r="F17" s="8"/>
      <c r="G17" s="8"/>
      <c r="H17" s="8"/>
      <c r="I17" s="11"/>
      <c r="J17" s="11"/>
      <c r="K17" s="11"/>
      <c r="L17" s="11"/>
      <c r="M17" s="11"/>
      <c r="N17" s="11"/>
      <c r="O17" s="12" t="str">
        <f t="shared" si="0"/>
        <v/>
      </c>
      <c r="P17" s="12" t="str">
        <f t="shared" si="1"/>
        <v/>
      </c>
      <c r="Q17" s="12" t="str">
        <f t="shared" si="2"/>
        <v/>
      </c>
      <c r="R17" s="12" t="str">
        <f t="shared" si="3"/>
        <v/>
      </c>
      <c r="S17" s="8"/>
      <c r="T17" s="8"/>
      <c r="U17" s="10"/>
      <c r="V17" s="8"/>
    </row>
    <row r="18" spans="1:22">
      <c r="A18" s="8"/>
      <c r="B18" s="10"/>
      <c r="C18" s="8"/>
      <c r="D18" s="8"/>
      <c r="E18" s="8"/>
      <c r="F18" s="8"/>
      <c r="G18" s="8"/>
      <c r="H18" s="8"/>
      <c r="I18" s="11"/>
      <c r="J18" s="11"/>
      <c r="K18" s="11"/>
      <c r="L18" s="11"/>
      <c r="M18" s="11"/>
      <c r="N18" s="11"/>
      <c r="O18" s="12" t="str">
        <f t="shared" si="0"/>
        <v/>
      </c>
      <c r="P18" s="12" t="str">
        <f t="shared" si="1"/>
        <v/>
      </c>
      <c r="Q18" s="12" t="str">
        <f t="shared" si="2"/>
        <v/>
      </c>
      <c r="R18" s="12" t="str">
        <f t="shared" si="3"/>
        <v/>
      </c>
      <c r="S18" s="8"/>
      <c r="T18" s="8"/>
      <c r="U18" s="10"/>
      <c r="V18" s="8"/>
    </row>
    <row r="19" spans="1:22">
      <c r="A19" s="8"/>
      <c r="B19" s="10"/>
      <c r="C19" s="8"/>
      <c r="D19" s="8"/>
      <c r="E19" s="8"/>
      <c r="F19" s="8"/>
      <c r="G19" s="8"/>
      <c r="H19" s="8"/>
      <c r="I19" s="11"/>
      <c r="J19" s="11"/>
      <c r="K19" s="11"/>
      <c r="L19" s="11"/>
      <c r="M19" s="11"/>
      <c r="N19" s="11"/>
      <c r="O19" s="12" t="str">
        <f t="shared" si="0"/>
        <v/>
      </c>
      <c r="P19" s="12" t="str">
        <f t="shared" si="1"/>
        <v/>
      </c>
      <c r="Q19" s="12" t="str">
        <f t="shared" si="2"/>
        <v/>
      </c>
      <c r="R19" s="12" t="str">
        <f t="shared" si="3"/>
        <v/>
      </c>
      <c r="S19" s="8"/>
      <c r="T19" s="8"/>
      <c r="U19" s="10"/>
      <c r="V19" s="8"/>
    </row>
    <row r="20" spans="1:22">
      <c r="A20" s="8"/>
      <c r="B20" s="10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2" t="str">
        <f t="shared" si="0"/>
        <v/>
      </c>
      <c r="P20" s="12" t="str">
        <f t="shared" si="1"/>
        <v/>
      </c>
      <c r="Q20" s="12" t="str">
        <f t="shared" si="2"/>
        <v/>
      </c>
      <c r="R20" s="12" t="str">
        <f t="shared" si="3"/>
        <v/>
      </c>
      <c r="S20" s="8"/>
      <c r="T20" s="8"/>
      <c r="U20" s="10"/>
      <c r="V20" s="8"/>
    </row>
    <row r="21" spans="1:22">
      <c r="A21" s="8"/>
      <c r="B21" s="10"/>
      <c r="C21" s="8"/>
      <c r="D21" s="8"/>
      <c r="E21" s="8"/>
      <c r="F21" s="8"/>
      <c r="G21" s="8"/>
      <c r="H21" s="8"/>
      <c r="I21" s="11"/>
      <c r="J21" s="11"/>
      <c r="K21" s="11"/>
      <c r="L21" s="11"/>
      <c r="M21" s="11"/>
      <c r="N21" s="11"/>
      <c r="O21" s="12" t="str">
        <f t="shared" si="0"/>
        <v/>
      </c>
      <c r="P21" s="12" t="str">
        <f t="shared" si="1"/>
        <v/>
      </c>
      <c r="Q21" s="12" t="str">
        <f t="shared" si="2"/>
        <v/>
      </c>
      <c r="R21" s="12" t="str">
        <f t="shared" si="3"/>
        <v/>
      </c>
      <c r="S21" s="8"/>
      <c r="T21" s="8"/>
      <c r="U21" s="10"/>
      <c r="V21" s="8"/>
    </row>
    <row r="22" spans="1:22">
      <c r="A22" s="8"/>
      <c r="B22" s="10"/>
      <c r="C22" s="8"/>
      <c r="D22" s="8"/>
      <c r="E22" s="8"/>
      <c r="F22" s="8"/>
      <c r="G22" s="8"/>
      <c r="H22" s="8"/>
      <c r="I22" s="11"/>
      <c r="J22" s="11"/>
      <c r="K22" s="11"/>
      <c r="L22" s="11"/>
      <c r="M22" s="11"/>
      <c r="N22" s="11"/>
      <c r="O22" s="12" t="str">
        <f t="shared" si="0"/>
        <v/>
      </c>
      <c r="P22" s="12" t="str">
        <f t="shared" si="1"/>
        <v/>
      </c>
      <c r="Q22" s="12" t="str">
        <f t="shared" si="2"/>
        <v/>
      </c>
      <c r="R22" s="12" t="str">
        <f t="shared" si="3"/>
        <v/>
      </c>
      <c r="S22" s="8"/>
      <c r="T22" s="8"/>
      <c r="U22" s="10"/>
      <c r="V22" s="8"/>
    </row>
    <row r="23" spans="1:22">
      <c r="A23" s="8"/>
      <c r="B23" s="10"/>
      <c r="C23" s="8"/>
      <c r="D23" s="8"/>
      <c r="E23" s="8"/>
      <c r="F23" s="8"/>
      <c r="G23" s="8"/>
      <c r="H23" s="8"/>
      <c r="I23" s="11"/>
      <c r="J23" s="11"/>
      <c r="K23" s="11"/>
      <c r="L23" s="11"/>
      <c r="M23" s="11"/>
      <c r="N23" s="11"/>
      <c r="O23" s="12" t="str">
        <f t="shared" si="0"/>
        <v/>
      </c>
      <c r="P23" s="12" t="str">
        <f t="shared" si="1"/>
        <v/>
      </c>
      <c r="Q23" s="12" t="str">
        <f t="shared" si="2"/>
        <v/>
      </c>
      <c r="R23" s="12" t="str">
        <f t="shared" si="3"/>
        <v/>
      </c>
      <c r="S23" s="8"/>
      <c r="T23" s="8"/>
      <c r="U23" s="10"/>
      <c r="V23" s="8"/>
    </row>
    <row r="24" spans="1:22">
      <c r="A24" s="8"/>
      <c r="B24" s="10"/>
      <c r="C24" s="8"/>
      <c r="D24" s="8"/>
      <c r="E24" s="8"/>
      <c r="F24" s="8"/>
      <c r="G24" s="8"/>
      <c r="H24" s="8"/>
      <c r="I24" s="11"/>
      <c r="J24" s="11"/>
      <c r="K24" s="11"/>
      <c r="L24" s="11"/>
      <c r="M24" s="11"/>
      <c r="N24" s="11"/>
      <c r="O24" s="12" t="str">
        <f t="shared" si="0"/>
        <v/>
      </c>
      <c r="P24" s="12" t="str">
        <f t="shared" si="1"/>
        <v/>
      </c>
      <c r="Q24" s="12" t="str">
        <f t="shared" si="2"/>
        <v/>
      </c>
      <c r="R24" s="12" t="str">
        <f t="shared" si="3"/>
        <v/>
      </c>
      <c r="S24" s="8"/>
      <c r="T24" s="8"/>
      <c r="U24" s="10"/>
      <c r="V24" s="8"/>
    </row>
    <row r="25" spans="1:22">
      <c r="A25" s="8"/>
      <c r="B25" s="10"/>
      <c r="C25" s="8"/>
      <c r="D25" s="8"/>
      <c r="E25" s="8"/>
      <c r="F25" s="8"/>
      <c r="G25" s="8"/>
      <c r="H25" s="8"/>
      <c r="I25" s="11"/>
      <c r="J25" s="11"/>
      <c r="K25" s="11"/>
      <c r="L25" s="11"/>
      <c r="M25" s="11"/>
      <c r="N25" s="11"/>
      <c r="O25" s="12" t="str">
        <f t="shared" si="0"/>
        <v/>
      </c>
      <c r="P25" s="12" t="str">
        <f t="shared" si="1"/>
        <v/>
      </c>
      <c r="Q25" s="12" t="str">
        <f t="shared" si="2"/>
        <v/>
      </c>
      <c r="R25" s="12" t="str">
        <f t="shared" si="3"/>
        <v/>
      </c>
      <c r="S25" s="8"/>
      <c r="T25" s="8"/>
      <c r="U25" s="10"/>
      <c r="V25" s="8"/>
    </row>
    <row r="26" spans="1:22">
      <c r="A26" s="8"/>
      <c r="B26" s="10"/>
      <c r="C26" s="8"/>
      <c r="D26" s="8"/>
      <c r="E26" s="8"/>
      <c r="F26" s="8"/>
      <c r="G26" s="8"/>
      <c r="H26" s="8"/>
      <c r="I26" s="11"/>
      <c r="J26" s="11"/>
      <c r="K26" s="11"/>
      <c r="L26" s="11"/>
      <c r="M26" s="11"/>
      <c r="N26" s="11"/>
      <c r="O26" s="12" t="str">
        <f t="shared" si="0"/>
        <v/>
      </c>
      <c r="P26" s="12" t="str">
        <f t="shared" si="1"/>
        <v/>
      </c>
      <c r="Q26" s="12" t="str">
        <f t="shared" si="2"/>
        <v/>
      </c>
      <c r="R26" s="12" t="str">
        <f t="shared" si="3"/>
        <v/>
      </c>
      <c r="S26" s="8"/>
      <c r="T26" s="8"/>
      <c r="U26" s="10"/>
      <c r="V26" s="8"/>
    </row>
    <row r="27" spans="1:22">
      <c r="A27" s="8"/>
      <c r="B27" s="10"/>
      <c r="C27" s="8"/>
      <c r="D27" s="8"/>
      <c r="E27" s="8"/>
      <c r="F27" s="8"/>
      <c r="G27" s="8"/>
      <c r="H27" s="8"/>
      <c r="I27" s="11"/>
      <c r="J27" s="11"/>
      <c r="K27" s="11"/>
      <c r="L27" s="11"/>
      <c r="M27" s="11"/>
      <c r="N27" s="11"/>
      <c r="O27" s="12" t="str">
        <f t="shared" si="0"/>
        <v/>
      </c>
      <c r="P27" s="12" t="str">
        <f t="shared" si="1"/>
        <v/>
      </c>
      <c r="Q27" s="12" t="str">
        <f t="shared" si="2"/>
        <v/>
      </c>
      <c r="R27" s="12" t="str">
        <f t="shared" si="3"/>
        <v/>
      </c>
      <c r="S27" s="8"/>
      <c r="T27" s="8"/>
      <c r="U27" s="10"/>
      <c r="V27" s="8"/>
    </row>
    <row r="28" spans="1:22">
      <c r="A28" s="8"/>
      <c r="B28" s="10"/>
      <c r="C28" s="8"/>
      <c r="D28" s="8"/>
      <c r="E28" s="8"/>
      <c r="F28" s="8"/>
      <c r="G28" s="8"/>
      <c r="H28" s="8"/>
      <c r="I28" s="11"/>
      <c r="J28" s="11"/>
      <c r="K28" s="11"/>
      <c r="L28" s="11"/>
      <c r="M28" s="11"/>
      <c r="N28" s="11"/>
      <c r="O28" s="12" t="str">
        <f t="shared" si="0"/>
        <v/>
      </c>
      <c r="P28" s="12" t="str">
        <f t="shared" si="1"/>
        <v/>
      </c>
      <c r="Q28" s="12" t="str">
        <f t="shared" si="2"/>
        <v/>
      </c>
      <c r="R28" s="12" t="str">
        <f t="shared" si="3"/>
        <v/>
      </c>
      <c r="S28" s="8"/>
      <c r="T28" s="8"/>
      <c r="U28" s="10"/>
      <c r="V28" s="8"/>
    </row>
    <row r="29" spans="1:22">
      <c r="A29" s="8"/>
      <c r="B29" s="10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2" t="str">
        <f t="shared" si="0"/>
        <v/>
      </c>
      <c r="P29" s="12" t="str">
        <f t="shared" si="1"/>
        <v/>
      </c>
      <c r="Q29" s="12" t="str">
        <f t="shared" si="2"/>
        <v/>
      </c>
      <c r="R29" s="12" t="str">
        <f t="shared" si="3"/>
        <v/>
      </c>
      <c r="S29" s="8"/>
      <c r="T29" s="8"/>
      <c r="U29" s="10"/>
      <c r="V29" s="8"/>
    </row>
    <row r="30" spans="1:22">
      <c r="A30" s="8"/>
      <c r="B30" s="10"/>
      <c r="C30" s="8"/>
      <c r="D30" s="8"/>
      <c r="E30" s="8"/>
      <c r="F30" s="8"/>
      <c r="G30" s="8"/>
      <c r="H30" s="8"/>
      <c r="I30" s="11"/>
      <c r="J30" s="11"/>
      <c r="K30" s="11"/>
      <c r="L30" s="11"/>
      <c r="M30" s="11"/>
      <c r="N30" s="11"/>
      <c r="O30" s="12" t="str">
        <f t="shared" si="0"/>
        <v/>
      </c>
      <c r="P30" s="12" t="str">
        <f t="shared" si="1"/>
        <v/>
      </c>
      <c r="Q30" s="12" t="str">
        <f t="shared" si="2"/>
        <v/>
      </c>
      <c r="R30" s="12" t="str">
        <f t="shared" si="3"/>
        <v/>
      </c>
      <c r="S30" s="8"/>
      <c r="T30" s="8"/>
      <c r="U30" s="10"/>
      <c r="V30" s="8"/>
    </row>
    <row r="31" spans="1:22">
      <c r="A31" s="8"/>
      <c r="B31" s="10"/>
      <c r="C31" s="8"/>
      <c r="D31" s="8"/>
      <c r="E31" s="8"/>
      <c r="F31" s="8"/>
      <c r="G31" s="8"/>
      <c r="H31" s="8"/>
      <c r="I31" s="11"/>
      <c r="J31" s="11"/>
      <c r="K31" s="11"/>
      <c r="L31" s="11"/>
      <c r="M31" s="11"/>
      <c r="N31" s="11"/>
      <c r="O31" s="12" t="str">
        <f t="shared" si="0"/>
        <v/>
      </c>
      <c r="P31" s="12" t="str">
        <f t="shared" si="1"/>
        <v/>
      </c>
      <c r="Q31" s="12" t="str">
        <f t="shared" si="2"/>
        <v/>
      </c>
      <c r="R31" s="12" t="str">
        <f t="shared" si="3"/>
        <v/>
      </c>
      <c r="S31" s="8"/>
      <c r="T31" s="8"/>
      <c r="U31" s="10"/>
      <c r="V31" s="8"/>
    </row>
    <row r="32" spans="1:22">
      <c r="A32" s="8"/>
      <c r="B32" s="10"/>
      <c r="C32" s="8"/>
      <c r="D32" s="8"/>
      <c r="E32" s="8"/>
      <c r="F32" s="8"/>
      <c r="G32" s="8"/>
      <c r="H32" s="8"/>
      <c r="I32" s="11"/>
      <c r="J32" s="11"/>
      <c r="K32" s="11"/>
      <c r="L32" s="11"/>
      <c r="M32" s="11"/>
      <c r="N32" s="11"/>
      <c r="O32" s="12" t="str">
        <f t="shared" si="0"/>
        <v/>
      </c>
      <c r="P32" s="12" t="str">
        <f t="shared" si="1"/>
        <v/>
      </c>
      <c r="Q32" s="12" t="str">
        <f t="shared" si="2"/>
        <v/>
      </c>
      <c r="R32" s="12" t="str">
        <f t="shared" si="3"/>
        <v/>
      </c>
      <c r="S32" s="8"/>
      <c r="T32" s="8"/>
      <c r="U32" s="10"/>
      <c r="V32" s="8"/>
    </row>
    <row r="33" spans="1:22">
      <c r="A33" s="8"/>
      <c r="B33" s="10"/>
      <c r="C33" s="8"/>
      <c r="D33" s="8"/>
      <c r="E33" s="8"/>
      <c r="F33" s="8"/>
      <c r="G33" s="8"/>
      <c r="H33" s="8"/>
      <c r="I33" s="11"/>
      <c r="J33" s="11"/>
      <c r="K33" s="11"/>
      <c r="L33" s="11"/>
      <c r="M33" s="11"/>
      <c r="N33" s="11"/>
      <c r="O33" s="12" t="str">
        <f t="shared" si="0"/>
        <v/>
      </c>
      <c r="P33" s="12" t="str">
        <f t="shared" si="1"/>
        <v/>
      </c>
      <c r="Q33" s="12" t="str">
        <f t="shared" si="2"/>
        <v/>
      </c>
      <c r="R33" s="12" t="str">
        <f t="shared" si="3"/>
        <v/>
      </c>
      <c r="S33" s="8"/>
      <c r="T33" s="8"/>
      <c r="U33" s="10"/>
      <c r="V33" s="8"/>
    </row>
    <row r="34" spans="1:22">
      <c r="A34" s="8"/>
      <c r="B34" s="10"/>
      <c r="C34" s="8"/>
      <c r="D34" s="8"/>
      <c r="E34" s="8"/>
      <c r="F34" s="8"/>
      <c r="G34" s="8"/>
      <c r="H34" s="8"/>
      <c r="I34" s="11"/>
      <c r="J34" s="11"/>
      <c r="K34" s="11"/>
      <c r="L34" s="11"/>
      <c r="M34" s="11"/>
      <c r="N34" s="11"/>
      <c r="O34" s="12" t="str">
        <f t="shared" si="0"/>
        <v/>
      </c>
      <c r="P34" s="12" t="str">
        <f t="shared" si="1"/>
        <v/>
      </c>
      <c r="Q34" s="12" t="str">
        <f t="shared" si="2"/>
        <v/>
      </c>
      <c r="R34" s="12" t="str">
        <f t="shared" si="3"/>
        <v/>
      </c>
      <c r="S34" s="8"/>
      <c r="T34" s="8"/>
      <c r="U34" s="10"/>
      <c r="V34" s="8"/>
    </row>
    <row r="35" spans="1:22">
      <c r="A35" s="8"/>
      <c r="B35" s="10"/>
      <c r="C35" s="8"/>
      <c r="D35" s="8"/>
      <c r="E35" s="8"/>
      <c r="F35" s="8"/>
      <c r="G35" s="8"/>
      <c r="H35" s="8"/>
      <c r="I35" s="11"/>
      <c r="J35" s="11"/>
      <c r="K35" s="11"/>
      <c r="L35" s="11"/>
      <c r="M35" s="11"/>
      <c r="N35" s="11"/>
      <c r="O35" s="12" t="str">
        <f t="shared" si="0"/>
        <v/>
      </c>
      <c r="P35" s="12" t="str">
        <f t="shared" si="1"/>
        <v/>
      </c>
      <c r="Q35" s="12" t="str">
        <f t="shared" si="2"/>
        <v/>
      </c>
      <c r="R35" s="12" t="str">
        <f t="shared" si="3"/>
        <v/>
      </c>
      <c r="S35" s="8"/>
      <c r="T35" s="8"/>
      <c r="U35" s="10"/>
      <c r="V35" s="8"/>
    </row>
    <row r="36" spans="1:22">
      <c r="A36" s="8"/>
      <c r="B36" s="10"/>
      <c r="C36" s="8"/>
      <c r="D36" s="8"/>
      <c r="E36" s="8"/>
      <c r="F36" s="8"/>
      <c r="G36" s="8"/>
      <c r="H36" s="8"/>
      <c r="I36" s="11"/>
      <c r="J36" s="11"/>
      <c r="K36" s="11"/>
      <c r="L36" s="11"/>
      <c r="M36" s="11"/>
      <c r="N36" s="11"/>
      <c r="O36" s="12" t="str">
        <f t="shared" si="0"/>
        <v/>
      </c>
      <c r="P36" s="12" t="str">
        <f t="shared" si="1"/>
        <v/>
      </c>
      <c r="Q36" s="12" t="str">
        <f t="shared" si="2"/>
        <v/>
      </c>
      <c r="R36" s="12" t="str">
        <f t="shared" si="3"/>
        <v/>
      </c>
      <c r="S36" s="8"/>
      <c r="T36" s="8"/>
      <c r="U36" s="10"/>
      <c r="V36" s="8"/>
    </row>
    <row r="37" spans="1:22">
      <c r="A37" s="8"/>
      <c r="B37" s="10"/>
      <c r="C37" s="8"/>
      <c r="D37" s="8"/>
      <c r="E37" s="8"/>
      <c r="F37" s="8"/>
      <c r="G37" s="8"/>
      <c r="H37" s="8"/>
      <c r="I37" s="11"/>
      <c r="J37" s="11"/>
      <c r="K37" s="11"/>
      <c r="L37" s="11"/>
      <c r="M37" s="11"/>
      <c r="N37" s="11"/>
      <c r="O37" s="12" t="str">
        <f t="shared" si="0"/>
        <v/>
      </c>
      <c r="P37" s="12" t="str">
        <f t="shared" si="1"/>
        <v/>
      </c>
      <c r="Q37" s="12" t="str">
        <f t="shared" si="2"/>
        <v/>
      </c>
      <c r="R37" s="12" t="str">
        <f t="shared" si="3"/>
        <v/>
      </c>
      <c r="S37" s="8"/>
      <c r="T37" s="8"/>
      <c r="U37" s="10"/>
      <c r="V37" s="8"/>
    </row>
    <row r="38" spans="1:22">
      <c r="A38" s="8"/>
      <c r="B38" s="10"/>
      <c r="C38" s="8"/>
      <c r="D38" s="8"/>
      <c r="E38" s="8"/>
      <c r="F38" s="8"/>
      <c r="G38" s="8"/>
      <c r="H38" s="8"/>
      <c r="I38" s="11"/>
      <c r="J38" s="11"/>
      <c r="K38" s="11"/>
      <c r="L38" s="11"/>
      <c r="M38" s="11"/>
      <c r="N38" s="11"/>
      <c r="O38" s="12" t="str">
        <f t="shared" si="0"/>
        <v/>
      </c>
      <c r="P38" s="12" t="str">
        <f t="shared" si="1"/>
        <v/>
      </c>
      <c r="Q38" s="12" t="str">
        <f t="shared" si="2"/>
        <v/>
      </c>
      <c r="R38" s="12" t="str">
        <f t="shared" si="3"/>
        <v/>
      </c>
      <c r="S38" s="8"/>
      <c r="T38" s="8"/>
      <c r="U38" s="10"/>
      <c r="V38" s="8"/>
    </row>
    <row r="39" spans="1:22">
      <c r="A39" s="8"/>
      <c r="B39" s="10"/>
      <c r="C39" s="8"/>
      <c r="D39" s="8"/>
      <c r="E39" s="8"/>
      <c r="F39" s="8"/>
      <c r="G39" s="8"/>
      <c r="H39" s="8"/>
      <c r="I39" s="11"/>
      <c r="J39" s="11"/>
      <c r="K39" s="11"/>
      <c r="L39" s="11"/>
      <c r="M39" s="11"/>
      <c r="N39" s="11"/>
      <c r="O39" s="12" t="str">
        <f t="shared" si="0"/>
        <v/>
      </c>
      <c r="P39" s="12" t="str">
        <f t="shared" si="1"/>
        <v/>
      </c>
      <c r="Q39" s="12" t="str">
        <f t="shared" si="2"/>
        <v/>
      </c>
      <c r="R39" s="12" t="str">
        <f t="shared" si="3"/>
        <v/>
      </c>
      <c r="S39" s="8"/>
      <c r="T39" s="8"/>
      <c r="U39" s="10"/>
      <c r="V39" s="8"/>
    </row>
    <row r="40" spans="1:22">
      <c r="A40" s="8"/>
      <c r="B40" s="10"/>
      <c r="C40" s="8"/>
      <c r="D40" s="8"/>
      <c r="E40" s="8"/>
      <c r="F40" s="8"/>
      <c r="G40" s="8"/>
      <c r="H40" s="8"/>
      <c r="I40" s="11"/>
      <c r="J40" s="11"/>
      <c r="K40" s="11"/>
      <c r="L40" s="11"/>
      <c r="M40" s="11"/>
      <c r="N40" s="11"/>
      <c r="O40" s="12" t="str">
        <f t="shared" si="0"/>
        <v/>
      </c>
      <c r="P40" s="12" t="str">
        <f t="shared" si="1"/>
        <v/>
      </c>
      <c r="Q40" s="12" t="str">
        <f t="shared" si="2"/>
        <v/>
      </c>
      <c r="R40" s="12" t="str">
        <f t="shared" si="3"/>
        <v/>
      </c>
      <c r="S40" s="8"/>
      <c r="T40" s="8"/>
      <c r="U40" s="10"/>
      <c r="V40" s="8"/>
    </row>
    <row r="41" spans="1:22">
      <c r="A41" s="8"/>
      <c r="B41" s="10"/>
      <c r="C41" s="8"/>
      <c r="D41" s="8"/>
      <c r="E41" s="8"/>
      <c r="F41" s="8"/>
      <c r="G41" s="8"/>
      <c r="H41" s="8"/>
      <c r="I41" s="11"/>
      <c r="J41" s="11"/>
      <c r="K41" s="11"/>
      <c r="L41" s="11"/>
      <c r="M41" s="11"/>
      <c r="N41" s="11"/>
      <c r="O41" s="12" t="str">
        <f t="shared" si="0"/>
        <v/>
      </c>
      <c r="P41" s="12" t="str">
        <f t="shared" si="1"/>
        <v/>
      </c>
      <c r="Q41" s="12" t="str">
        <f t="shared" si="2"/>
        <v/>
      </c>
      <c r="R41" s="12" t="str">
        <f t="shared" si="3"/>
        <v/>
      </c>
      <c r="S41" s="8"/>
      <c r="T41" s="8"/>
      <c r="U41" s="10"/>
      <c r="V41" s="8"/>
    </row>
    <row r="42" spans="1:22">
      <c r="A42" s="8"/>
      <c r="B42" s="10"/>
      <c r="C42" s="8"/>
      <c r="D42" s="8"/>
      <c r="E42" s="8"/>
      <c r="F42" s="8"/>
      <c r="G42" s="8"/>
      <c r="H42" s="8"/>
      <c r="I42" s="11"/>
      <c r="J42" s="11"/>
      <c r="K42" s="11"/>
      <c r="L42" s="11"/>
      <c r="M42" s="11"/>
      <c r="N42" s="11"/>
      <c r="O42" s="12" t="str">
        <f t="shared" si="0"/>
        <v/>
      </c>
      <c r="P42" s="12" t="str">
        <f t="shared" si="1"/>
        <v/>
      </c>
      <c r="Q42" s="12" t="str">
        <f t="shared" si="2"/>
        <v/>
      </c>
      <c r="R42" s="12" t="str">
        <f t="shared" si="3"/>
        <v/>
      </c>
      <c r="S42" s="8"/>
      <c r="T42" s="8"/>
      <c r="U42" s="10"/>
      <c r="V42" s="8"/>
    </row>
    <row r="43" spans="1:22">
      <c r="A43" s="8"/>
      <c r="B43" s="10"/>
      <c r="C43" s="8"/>
      <c r="D43" s="8"/>
      <c r="E43" s="8"/>
      <c r="F43" s="8"/>
      <c r="G43" s="8"/>
      <c r="H43" s="8"/>
      <c r="I43" s="11"/>
      <c r="J43" s="11"/>
      <c r="K43" s="11"/>
      <c r="L43" s="11"/>
      <c r="M43" s="11"/>
      <c r="N43" s="11"/>
      <c r="O43" s="12" t="str">
        <f t="shared" si="0"/>
        <v/>
      </c>
      <c r="P43" s="12" t="str">
        <f t="shared" si="1"/>
        <v/>
      </c>
      <c r="Q43" s="12" t="str">
        <f t="shared" si="2"/>
        <v/>
      </c>
      <c r="R43" s="12" t="str">
        <f t="shared" si="3"/>
        <v/>
      </c>
      <c r="S43" s="8"/>
      <c r="T43" s="8"/>
      <c r="U43" s="10"/>
      <c r="V43" s="8"/>
    </row>
    <row r="44" spans="1:22">
      <c r="A44" s="8"/>
      <c r="B44" s="10"/>
      <c r="C44" s="8"/>
      <c r="D44" s="8"/>
      <c r="E44" s="8"/>
      <c r="F44" s="8"/>
      <c r="G44" s="8"/>
      <c r="H44" s="8"/>
      <c r="I44" s="11"/>
      <c r="J44" s="11"/>
      <c r="K44" s="11"/>
      <c r="L44" s="11"/>
      <c r="M44" s="11"/>
      <c r="N44" s="11"/>
      <c r="O44" s="12" t="str">
        <f t="shared" si="0"/>
        <v/>
      </c>
      <c r="P44" s="12" t="str">
        <f t="shared" si="1"/>
        <v/>
      </c>
      <c r="Q44" s="12" t="str">
        <f t="shared" si="2"/>
        <v/>
      </c>
      <c r="R44" s="12" t="str">
        <f t="shared" si="3"/>
        <v/>
      </c>
      <c r="S44" s="8"/>
      <c r="T44" s="8"/>
      <c r="U44" s="10"/>
      <c r="V44" s="8"/>
    </row>
    <row r="45" spans="1:22">
      <c r="A45" s="8"/>
      <c r="B45" s="10"/>
      <c r="C45" s="8"/>
      <c r="D45" s="8"/>
      <c r="E45" s="8"/>
      <c r="F45" s="8"/>
      <c r="G45" s="8"/>
      <c r="H45" s="8"/>
      <c r="I45" s="11"/>
      <c r="J45" s="11"/>
      <c r="K45" s="11"/>
      <c r="L45" s="11"/>
      <c r="M45" s="11"/>
      <c r="N45" s="11"/>
      <c r="O45" s="12" t="str">
        <f t="shared" si="0"/>
        <v/>
      </c>
      <c r="P45" s="12" t="str">
        <f t="shared" si="1"/>
        <v/>
      </c>
      <c r="Q45" s="12" t="str">
        <f t="shared" si="2"/>
        <v/>
      </c>
      <c r="R45" s="12" t="str">
        <f t="shared" si="3"/>
        <v/>
      </c>
      <c r="S45" s="8"/>
      <c r="T45" s="8"/>
      <c r="U45" s="10"/>
      <c r="V45" s="8"/>
    </row>
    <row r="46" spans="1:22">
      <c r="A46" s="8"/>
      <c r="B46" s="10"/>
      <c r="C46" s="8"/>
      <c r="D46" s="8"/>
      <c r="E46" s="8"/>
      <c r="F46" s="8"/>
      <c r="G46" s="8"/>
      <c r="H46" s="8"/>
      <c r="I46" s="11"/>
      <c r="J46" s="11"/>
      <c r="K46" s="11"/>
      <c r="L46" s="11"/>
      <c r="M46" s="11"/>
      <c r="N46" s="11"/>
      <c r="O46" s="12" t="str">
        <f t="shared" si="0"/>
        <v/>
      </c>
      <c r="P46" s="12" t="str">
        <f t="shared" si="1"/>
        <v/>
      </c>
      <c r="Q46" s="12" t="str">
        <f t="shared" si="2"/>
        <v/>
      </c>
      <c r="R46" s="12" t="str">
        <f t="shared" si="3"/>
        <v/>
      </c>
      <c r="S46" s="8"/>
      <c r="T46" s="8"/>
      <c r="U46" s="10"/>
      <c r="V46" s="8"/>
    </row>
    <row r="47" spans="1:22">
      <c r="A47" s="8"/>
      <c r="B47" s="10"/>
      <c r="C47" s="8"/>
      <c r="D47" s="8"/>
      <c r="E47" s="8"/>
      <c r="F47" s="8"/>
      <c r="G47" s="8"/>
      <c r="H47" s="8"/>
      <c r="I47" s="11"/>
      <c r="J47" s="11"/>
      <c r="K47" s="11"/>
      <c r="L47" s="11"/>
      <c r="M47" s="11"/>
      <c r="N47" s="11"/>
      <c r="O47" s="12" t="str">
        <f t="shared" si="0"/>
        <v/>
      </c>
      <c r="P47" s="12" t="str">
        <f t="shared" si="1"/>
        <v/>
      </c>
      <c r="Q47" s="12" t="str">
        <f t="shared" si="2"/>
        <v/>
      </c>
      <c r="R47" s="12" t="str">
        <f t="shared" si="3"/>
        <v/>
      </c>
      <c r="S47" s="8"/>
      <c r="T47" s="8"/>
      <c r="U47" s="10"/>
      <c r="V47" s="8"/>
    </row>
    <row r="48" spans="1:22">
      <c r="A48" s="8"/>
      <c r="B48" s="10"/>
      <c r="C48" s="8"/>
      <c r="D48" s="8"/>
      <c r="E48" s="8"/>
      <c r="F48" s="8"/>
      <c r="G48" s="8"/>
      <c r="H48" s="8"/>
      <c r="I48" s="11"/>
      <c r="J48" s="11"/>
      <c r="K48" s="11"/>
      <c r="L48" s="11"/>
      <c r="M48" s="11"/>
      <c r="N48" s="11"/>
      <c r="O48" s="12" t="str">
        <f t="shared" si="0"/>
        <v/>
      </c>
      <c r="P48" s="12" t="str">
        <f t="shared" si="1"/>
        <v/>
      </c>
      <c r="Q48" s="12" t="str">
        <f t="shared" si="2"/>
        <v/>
      </c>
      <c r="R48" s="12" t="str">
        <f t="shared" si="3"/>
        <v/>
      </c>
      <c r="S48" s="8"/>
      <c r="T48" s="8"/>
      <c r="U48" s="10"/>
      <c r="V48" s="8"/>
    </row>
    <row r="49" spans="1:22">
      <c r="A49" s="8"/>
      <c r="B49" s="10"/>
      <c r="C49" s="8"/>
      <c r="D49" s="8"/>
      <c r="E49" s="8"/>
      <c r="F49" s="8"/>
      <c r="G49" s="8"/>
      <c r="H49" s="8"/>
      <c r="I49" s="11"/>
      <c r="J49" s="11"/>
      <c r="K49" s="11"/>
      <c r="L49" s="11"/>
      <c r="M49" s="11"/>
      <c r="N49" s="11"/>
      <c r="O49" s="12" t="str">
        <f t="shared" si="0"/>
        <v/>
      </c>
      <c r="P49" s="12" t="str">
        <f t="shared" si="1"/>
        <v/>
      </c>
      <c r="Q49" s="12" t="str">
        <f t="shared" si="2"/>
        <v/>
      </c>
      <c r="R49" s="12" t="str">
        <f t="shared" si="3"/>
        <v/>
      </c>
      <c r="S49" s="8"/>
      <c r="T49" s="8"/>
      <c r="U49" s="10"/>
      <c r="V49" s="8"/>
    </row>
    <row r="50" spans="1:22">
      <c r="A50" s="8"/>
      <c r="B50" s="10"/>
      <c r="C50" s="8"/>
      <c r="D50" s="8"/>
      <c r="E50" s="8"/>
      <c r="F50" s="8"/>
      <c r="G50" s="8"/>
      <c r="H50" s="8"/>
      <c r="I50" s="11"/>
      <c r="J50" s="11"/>
      <c r="K50" s="11"/>
      <c r="L50" s="11"/>
      <c r="M50" s="11"/>
      <c r="N50" s="11"/>
      <c r="O50" s="12" t="str">
        <f t="shared" si="0"/>
        <v/>
      </c>
      <c r="P50" s="12" t="str">
        <f t="shared" si="1"/>
        <v/>
      </c>
      <c r="Q50" s="12" t="str">
        <f t="shared" si="2"/>
        <v/>
      </c>
      <c r="R50" s="12" t="str">
        <f t="shared" si="3"/>
        <v/>
      </c>
      <c r="S50" s="8"/>
      <c r="T50" s="8"/>
      <c r="U50" s="10"/>
      <c r="V50" s="8"/>
    </row>
    <row r="51" spans="1:22">
      <c r="A51" s="8"/>
      <c r="B51" s="10"/>
      <c r="C51" s="8"/>
      <c r="D51" s="8"/>
      <c r="E51" s="8"/>
      <c r="F51" s="8"/>
      <c r="G51" s="8"/>
      <c r="H51" s="8"/>
      <c r="I51" s="11"/>
      <c r="J51" s="11"/>
      <c r="K51" s="11"/>
      <c r="L51" s="11"/>
      <c r="M51" s="11"/>
      <c r="N51" s="11"/>
      <c r="O51" s="12" t="str">
        <f t="shared" si="0"/>
        <v/>
      </c>
      <c r="P51" s="12" t="str">
        <f t="shared" si="1"/>
        <v/>
      </c>
      <c r="Q51" s="12" t="str">
        <f t="shared" si="2"/>
        <v/>
      </c>
      <c r="R51" s="12" t="str">
        <f t="shared" si="3"/>
        <v/>
      </c>
      <c r="S51" s="8"/>
      <c r="T51" s="8"/>
      <c r="U51" s="10"/>
      <c r="V51" s="8"/>
    </row>
    <row r="52" spans="1:22">
      <c r="A52" s="8"/>
      <c r="B52" s="10"/>
      <c r="C52" s="8"/>
      <c r="D52" s="8"/>
      <c r="E52" s="8"/>
      <c r="F52" s="8"/>
      <c r="G52" s="8"/>
      <c r="H52" s="8"/>
      <c r="I52" s="11"/>
      <c r="J52" s="11"/>
      <c r="K52" s="11"/>
      <c r="L52" s="11"/>
      <c r="M52" s="11"/>
      <c r="N52" s="11"/>
      <c r="O52" s="12" t="str">
        <f t="shared" si="0"/>
        <v/>
      </c>
      <c r="P52" s="12" t="str">
        <f t="shared" si="1"/>
        <v/>
      </c>
      <c r="Q52" s="12" t="str">
        <f t="shared" si="2"/>
        <v/>
      </c>
      <c r="R52" s="12" t="str">
        <f t="shared" si="3"/>
        <v/>
      </c>
      <c r="S52" s="8"/>
      <c r="T52" s="8"/>
      <c r="U52" s="10"/>
      <c r="V52" s="8"/>
    </row>
    <row r="53" spans="1:22">
      <c r="A53" s="8"/>
      <c r="B53" s="10"/>
      <c r="C53" s="8"/>
      <c r="D53" s="8"/>
      <c r="E53" s="8"/>
      <c r="F53" s="8"/>
      <c r="G53" s="8"/>
      <c r="H53" s="8"/>
      <c r="I53" s="11"/>
      <c r="J53" s="11"/>
      <c r="K53" s="11"/>
      <c r="L53" s="11"/>
      <c r="M53" s="11"/>
      <c r="N53" s="11"/>
      <c r="O53" s="12" t="str">
        <f t="shared" si="0"/>
        <v/>
      </c>
      <c r="P53" s="12" t="str">
        <f t="shared" si="1"/>
        <v/>
      </c>
      <c r="Q53" s="12" t="str">
        <f t="shared" si="2"/>
        <v/>
      </c>
      <c r="R53" s="12" t="str">
        <f t="shared" si="3"/>
        <v/>
      </c>
      <c r="S53" s="8"/>
      <c r="T53" s="8"/>
      <c r="U53" s="10"/>
      <c r="V53" s="8"/>
    </row>
    <row r="54" spans="1:22">
      <c r="A54" s="8"/>
      <c r="B54" s="10"/>
      <c r="C54" s="8"/>
      <c r="D54" s="8"/>
      <c r="E54" s="8"/>
      <c r="F54" s="8"/>
      <c r="G54" s="8"/>
      <c r="H54" s="8"/>
      <c r="I54" s="11"/>
      <c r="J54" s="11"/>
      <c r="K54" s="11"/>
      <c r="L54" s="11"/>
      <c r="M54" s="11"/>
      <c r="N54" s="11"/>
      <c r="O54" s="12" t="str">
        <f t="shared" si="0"/>
        <v/>
      </c>
      <c r="P54" s="12" t="str">
        <f t="shared" si="1"/>
        <v/>
      </c>
      <c r="Q54" s="12" t="str">
        <f t="shared" si="2"/>
        <v/>
      </c>
      <c r="R54" s="12" t="str">
        <f t="shared" si="3"/>
        <v/>
      </c>
      <c r="S54" s="8"/>
      <c r="T54" s="8"/>
      <c r="U54" s="10"/>
      <c r="V54" s="8"/>
    </row>
    <row r="55" spans="1:22">
      <c r="A55" s="8"/>
      <c r="B55" s="10"/>
      <c r="C55" s="8"/>
      <c r="D55" s="8"/>
      <c r="E55" s="8"/>
      <c r="F55" s="8"/>
      <c r="G55" s="8"/>
      <c r="H55" s="8"/>
      <c r="I55" s="11"/>
      <c r="J55" s="11"/>
      <c r="K55" s="11"/>
      <c r="L55" s="11"/>
      <c r="M55" s="11"/>
      <c r="N55" s="11"/>
      <c r="O55" s="12" t="str">
        <f t="shared" si="0"/>
        <v/>
      </c>
      <c r="P55" s="12" t="str">
        <f t="shared" si="1"/>
        <v/>
      </c>
      <c r="Q55" s="12" t="str">
        <f t="shared" si="2"/>
        <v/>
      </c>
      <c r="R55" s="12" t="str">
        <f t="shared" si="3"/>
        <v/>
      </c>
      <c r="S55" s="8"/>
      <c r="T55" s="8"/>
      <c r="U55" s="10"/>
      <c r="V55" s="8"/>
    </row>
    <row r="56" spans="1:22">
      <c r="A56" s="8"/>
      <c r="B56" s="10"/>
      <c r="C56" s="8"/>
      <c r="D56" s="8"/>
      <c r="E56" s="8"/>
      <c r="F56" s="8"/>
      <c r="G56" s="8"/>
      <c r="H56" s="8"/>
      <c r="I56" s="11"/>
      <c r="J56" s="11"/>
      <c r="K56" s="11"/>
      <c r="L56" s="11"/>
      <c r="M56" s="11"/>
      <c r="N56" s="11"/>
      <c r="O56" s="12" t="str">
        <f t="shared" si="0"/>
        <v/>
      </c>
      <c r="P56" s="12" t="str">
        <f t="shared" si="1"/>
        <v/>
      </c>
      <c r="Q56" s="12" t="str">
        <f t="shared" si="2"/>
        <v/>
      </c>
      <c r="R56" s="12" t="str">
        <f t="shared" si="3"/>
        <v/>
      </c>
      <c r="S56" s="8"/>
      <c r="T56" s="8"/>
      <c r="U56" s="10"/>
      <c r="V56" s="8"/>
    </row>
    <row r="57" spans="1:22">
      <c r="A57" s="8"/>
      <c r="B57" s="10"/>
      <c r="C57" s="8"/>
      <c r="D57" s="8"/>
      <c r="E57" s="8"/>
      <c r="F57" s="8"/>
      <c r="G57" s="8"/>
      <c r="H57" s="8"/>
      <c r="I57" s="11"/>
      <c r="J57" s="11"/>
      <c r="K57" s="11"/>
      <c r="L57" s="11"/>
      <c r="M57" s="11"/>
      <c r="N57" s="11"/>
      <c r="O57" s="12" t="str">
        <f t="shared" si="0"/>
        <v/>
      </c>
      <c r="P57" s="12" t="str">
        <f t="shared" si="1"/>
        <v/>
      </c>
      <c r="Q57" s="12" t="str">
        <f t="shared" si="2"/>
        <v/>
      </c>
      <c r="R57" s="12" t="str">
        <f t="shared" si="3"/>
        <v/>
      </c>
      <c r="S57" s="8"/>
      <c r="T57" s="8"/>
      <c r="U57" s="10"/>
      <c r="V57" s="8"/>
    </row>
    <row r="58" spans="1:22">
      <c r="A58" s="8"/>
      <c r="B58" s="10"/>
      <c r="C58" s="8"/>
      <c r="D58" s="8"/>
      <c r="E58" s="8"/>
      <c r="F58" s="8"/>
      <c r="G58" s="8"/>
      <c r="H58" s="8"/>
      <c r="I58" s="11"/>
      <c r="J58" s="11"/>
      <c r="K58" s="11"/>
      <c r="L58" s="11"/>
      <c r="M58" s="11"/>
      <c r="N58" s="11"/>
      <c r="O58" s="12" t="str">
        <f t="shared" si="0"/>
        <v/>
      </c>
      <c r="P58" s="12" t="str">
        <f t="shared" si="1"/>
        <v/>
      </c>
      <c r="Q58" s="12" t="str">
        <f t="shared" si="2"/>
        <v/>
      </c>
      <c r="R58" s="12" t="str">
        <f t="shared" si="3"/>
        <v/>
      </c>
      <c r="S58" s="8"/>
      <c r="T58" s="8"/>
      <c r="U58" s="10"/>
      <c r="V58" s="8"/>
    </row>
    <row r="59" spans="1:22">
      <c r="A59" s="8"/>
      <c r="B59" s="10"/>
      <c r="C59" s="8"/>
      <c r="D59" s="8"/>
      <c r="E59" s="8"/>
      <c r="F59" s="8"/>
      <c r="G59" s="8"/>
      <c r="H59" s="8"/>
      <c r="I59" s="11"/>
      <c r="J59" s="11"/>
      <c r="K59" s="11"/>
      <c r="L59" s="11"/>
      <c r="M59" s="11"/>
      <c r="N59" s="11"/>
      <c r="O59" s="12" t="str">
        <f t="shared" si="0"/>
        <v/>
      </c>
      <c r="P59" s="12" t="str">
        <f t="shared" si="1"/>
        <v/>
      </c>
      <c r="Q59" s="12" t="str">
        <f t="shared" si="2"/>
        <v/>
      </c>
      <c r="R59" s="12" t="str">
        <f t="shared" si="3"/>
        <v/>
      </c>
      <c r="S59" s="8"/>
      <c r="T59" s="8"/>
      <c r="U59" s="10"/>
      <c r="V59" s="8"/>
    </row>
    <row r="60" spans="1:22">
      <c r="A60" s="8"/>
      <c r="B60" s="10"/>
      <c r="C60" s="8"/>
      <c r="D60" s="8"/>
      <c r="E60" s="8"/>
      <c r="F60" s="8"/>
      <c r="G60" s="8"/>
      <c r="H60" s="8"/>
      <c r="I60" s="11"/>
      <c r="J60" s="11"/>
      <c r="K60" s="11"/>
      <c r="L60" s="11"/>
      <c r="M60" s="11"/>
      <c r="N60" s="11"/>
      <c r="O60" s="12" t="str">
        <f t="shared" si="0"/>
        <v/>
      </c>
      <c r="P60" s="12" t="str">
        <f t="shared" si="1"/>
        <v/>
      </c>
      <c r="Q60" s="12" t="str">
        <f t="shared" si="2"/>
        <v/>
      </c>
      <c r="R60" s="12" t="str">
        <f t="shared" si="3"/>
        <v/>
      </c>
      <c r="S60" s="8"/>
      <c r="T60" s="8"/>
      <c r="U60" s="10"/>
      <c r="V60" s="8"/>
    </row>
    <row r="61" spans="1:22">
      <c r="A61" s="8"/>
      <c r="B61" s="10"/>
      <c r="C61" s="8"/>
      <c r="D61" s="8"/>
      <c r="E61" s="8"/>
      <c r="F61" s="8"/>
      <c r="G61" s="8"/>
      <c r="H61" s="8"/>
      <c r="I61" s="11"/>
      <c r="J61" s="11"/>
      <c r="K61" s="11"/>
      <c r="L61" s="11"/>
      <c r="M61" s="11"/>
      <c r="N61" s="11"/>
      <c r="O61" s="12" t="str">
        <f t="shared" si="0"/>
        <v/>
      </c>
      <c r="P61" s="12" t="str">
        <f t="shared" si="1"/>
        <v/>
      </c>
      <c r="Q61" s="12" t="str">
        <f t="shared" si="2"/>
        <v/>
      </c>
      <c r="R61" s="12" t="str">
        <f t="shared" si="3"/>
        <v/>
      </c>
      <c r="S61" s="8"/>
      <c r="T61" s="8"/>
      <c r="U61" s="10"/>
      <c r="V61" s="8"/>
    </row>
    <row r="62" spans="1:22">
      <c r="A62" s="8"/>
      <c r="B62" s="10"/>
      <c r="C62" s="8"/>
      <c r="D62" s="8"/>
      <c r="E62" s="8"/>
      <c r="F62" s="8"/>
      <c r="G62" s="8"/>
      <c r="H62" s="8"/>
      <c r="I62" s="11"/>
      <c r="J62" s="11"/>
      <c r="K62" s="11"/>
      <c r="L62" s="11"/>
      <c r="M62" s="11"/>
      <c r="N62" s="11"/>
      <c r="O62" s="12" t="str">
        <f t="shared" si="0"/>
        <v/>
      </c>
      <c r="P62" s="12" t="str">
        <f t="shared" si="1"/>
        <v/>
      </c>
      <c r="Q62" s="12" t="str">
        <f t="shared" si="2"/>
        <v/>
      </c>
      <c r="R62" s="12" t="str">
        <f t="shared" si="3"/>
        <v/>
      </c>
      <c r="S62" s="8"/>
      <c r="T62" s="8"/>
      <c r="U62" s="10"/>
      <c r="V62" s="8"/>
    </row>
    <row r="63" spans="1:22">
      <c r="A63" s="8"/>
      <c r="B63" s="10"/>
      <c r="C63" s="8"/>
      <c r="D63" s="8"/>
      <c r="E63" s="8"/>
      <c r="F63" s="8"/>
      <c r="G63" s="8"/>
      <c r="H63" s="8"/>
      <c r="I63" s="11"/>
      <c r="J63" s="11"/>
      <c r="K63" s="11"/>
      <c r="L63" s="11"/>
      <c r="M63" s="11"/>
      <c r="N63" s="11"/>
      <c r="O63" s="12" t="str">
        <f t="shared" si="0"/>
        <v/>
      </c>
      <c r="P63" s="12" t="str">
        <f t="shared" si="1"/>
        <v/>
      </c>
      <c r="Q63" s="12" t="str">
        <f t="shared" si="2"/>
        <v/>
      </c>
      <c r="R63" s="12" t="str">
        <f t="shared" si="3"/>
        <v/>
      </c>
      <c r="S63" s="8"/>
      <c r="T63" s="8"/>
      <c r="U63" s="10"/>
      <c r="V63" s="8"/>
    </row>
    <row r="64" spans="1:22">
      <c r="A64" s="8"/>
      <c r="B64" s="10"/>
      <c r="C64" s="8"/>
      <c r="D64" s="8"/>
      <c r="E64" s="8"/>
      <c r="F64" s="8"/>
      <c r="G64" s="8"/>
      <c r="H64" s="8"/>
      <c r="I64" s="11"/>
      <c r="J64" s="11"/>
      <c r="K64" s="11"/>
      <c r="L64" s="11"/>
      <c r="M64" s="11"/>
      <c r="N64" s="11"/>
      <c r="O64" s="12" t="str">
        <f t="shared" si="0"/>
        <v/>
      </c>
      <c r="P64" s="12" t="str">
        <f t="shared" si="1"/>
        <v/>
      </c>
      <c r="Q64" s="12" t="str">
        <f t="shared" si="2"/>
        <v/>
      </c>
      <c r="R64" s="12" t="str">
        <f t="shared" si="3"/>
        <v/>
      </c>
      <c r="S64" s="8"/>
      <c r="T64" s="8"/>
      <c r="U64" s="10"/>
      <c r="V64" s="8"/>
    </row>
    <row r="65" spans="1:22">
      <c r="A65" s="8"/>
      <c r="B65" s="10"/>
      <c r="C65" s="8"/>
      <c r="D65" s="8"/>
      <c r="E65" s="8"/>
      <c r="F65" s="8"/>
      <c r="G65" s="8"/>
      <c r="H65" s="8"/>
      <c r="I65" s="11"/>
      <c r="J65" s="11"/>
      <c r="K65" s="11"/>
      <c r="L65" s="11"/>
      <c r="M65" s="11"/>
      <c r="N65" s="11"/>
      <c r="O65" s="12" t="str">
        <f t="shared" si="0"/>
        <v/>
      </c>
      <c r="P65" s="12" t="str">
        <f t="shared" si="1"/>
        <v/>
      </c>
      <c r="Q65" s="12" t="str">
        <f t="shared" si="2"/>
        <v/>
      </c>
      <c r="R65" s="12" t="str">
        <f t="shared" si="3"/>
        <v/>
      </c>
      <c r="S65" s="8"/>
      <c r="T65" s="8"/>
      <c r="U65" s="10"/>
      <c r="V65" s="8"/>
    </row>
    <row r="66" spans="1:22">
      <c r="A66" s="8"/>
      <c r="B66" s="10"/>
      <c r="C66" s="8"/>
      <c r="D66" s="8"/>
      <c r="E66" s="8"/>
      <c r="F66" s="8"/>
      <c r="G66" s="8"/>
      <c r="H66" s="8"/>
      <c r="I66" s="11"/>
      <c r="J66" s="11"/>
      <c r="K66" s="11"/>
      <c r="L66" s="11"/>
      <c r="M66" s="11"/>
      <c r="N66" s="11"/>
      <c r="O66" s="12" t="str">
        <f t="shared" si="0"/>
        <v/>
      </c>
      <c r="P66" s="12" t="str">
        <f t="shared" si="1"/>
        <v/>
      </c>
      <c r="Q66" s="12" t="str">
        <f t="shared" si="2"/>
        <v/>
      </c>
      <c r="R66" s="12" t="str">
        <f t="shared" si="3"/>
        <v/>
      </c>
      <c r="S66" s="8"/>
      <c r="T66" s="8"/>
      <c r="U66" s="10"/>
      <c r="V66" s="8"/>
    </row>
    <row r="67" spans="1:22">
      <c r="A67" s="8"/>
      <c r="B67" s="10"/>
      <c r="C67" s="8"/>
      <c r="D67" s="8"/>
      <c r="E67" s="8"/>
      <c r="F67" s="8"/>
      <c r="G67" s="8"/>
      <c r="H67" s="8"/>
      <c r="I67" s="11"/>
      <c r="J67" s="11"/>
      <c r="K67" s="11"/>
      <c r="L67" s="11"/>
      <c r="M67" s="11"/>
      <c r="N67" s="11"/>
      <c r="O67" s="12" t="str">
        <f t="shared" si="0"/>
        <v/>
      </c>
      <c r="P67" s="12" t="str">
        <f t="shared" si="1"/>
        <v/>
      </c>
      <c r="Q67" s="12" t="str">
        <f t="shared" si="2"/>
        <v/>
      </c>
      <c r="R67" s="12" t="str">
        <f t="shared" si="3"/>
        <v/>
      </c>
      <c r="S67" s="8"/>
      <c r="T67" s="8"/>
      <c r="U67" s="10"/>
      <c r="V67" s="8"/>
    </row>
    <row r="68" spans="1:22">
      <c r="A68" s="8"/>
      <c r="B68" s="10"/>
      <c r="C68" s="8"/>
      <c r="D68" s="8"/>
      <c r="E68" s="8"/>
      <c r="F68" s="8"/>
      <c r="G68" s="8"/>
      <c r="H68" s="8"/>
      <c r="I68" s="11"/>
      <c r="J68" s="11"/>
      <c r="K68" s="11"/>
      <c r="L68" s="11"/>
      <c r="M68" s="11"/>
      <c r="N68" s="11"/>
      <c r="O68" s="12" t="str">
        <f t="shared" si="0"/>
        <v/>
      </c>
      <c r="P68" s="12" t="str">
        <f t="shared" si="1"/>
        <v/>
      </c>
      <c r="Q68" s="12" t="str">
        <f t="shared" si="2"/>
        <v/>
      </c>
      <c r="R68" s="12" t="str">
        <f t="shared" si="3"/>
        <v/>
      </c>
      <c r="S68" s="8"/>
      <c r="T68" s="8"/>
      <c r="U68" s="10"/>
      <c r="V68" s="8"/>
    </row>
    <row r="69" spans="1:22">
      <c r="A69" s="8"/>
      <c r="B69" s="10"/>
      <c r="C69" s="8"/>
      <c r="D69" s="8"/>
      <c r="E69" s="8"/>
      <c r="F69" s="8"/>
      <c r="G69" s="8"/>
      <c r="H69" s="8"/>
      <c r="I69" s="11"/>
      <c r="J69" s="11"/>
      <c r="K69" s="11"/>
      <c r="L69" s="11"/>
      <c r="M69" s="11"/>
      <c r="N69" s="11"/>
      <c r="O69" s="12" t="str">
        <f t="shared" ref="O69:O132" si="4">IF(A69="","",K69-I69)</f>
        <v/>
      </c>
      <c r="P69" s="12" t="str">
        <f t="shared" ref="P69:P132" si="5">IF(A69="","",MAX(0,I69-K69))</f>
        <v/>
      </c>
      <c r="Q69" s="12" t="str">
        <f t="shared" ref="Q69:Q132" si="6">IF(A69="","",MAX(0,K69-I69))</f>
        <v/>
      </c>
      <c r="R69" s="12" t="str">
        <f t="shared" ref="R69:R132" si="7">IF(A69="","",K69-N69)</f>
        <v/>
      </c>
      <c r="S69" s="8"/>
      <c r="T69" s="8"/>
      <c r="U69" s="10"/>
      <c r="V69" s="8"/>
    </row>
    <row r="70" spans="1:22">
      <c r="A70" s="8"/>
      <c r="B70" s="10"/>
      <c r="C70" s="8"/>
      <c r="D70" s="8"/>
      <c r="E70" s="8"/>
      <c r="F70" s="8"/>
      <c r="G70" s="8"/>
      <c r="H70" s="8"/>
      <c r="I70" s="11"/>
      <c r="J70" s="11"/>
      <c r="K70" s="11"/>
      <c r="L70" s="11"/>
      <c r="M70" s="11"/>
      <c r="N70" s="11"/>
      <c r="O70" s="12" t="str">
        <f t="shared" si="4"/>
        <v/>
      </c>
      <c r="P70" s="12" t="str">
        <f t="shared" si="5"/>
        <v/>
      </c>
      <c r="Q70" s="12" t="str">
        <f t="shared" si="6"/>
        <v/>
      </c>
      <c r="R70" s="12" t="str">
        <f t="shared" si="7"/>
        <v/>
      </c>
      <c r="S70" s="8"/>
      <c r="T70" s="8"/>
      <c r="U70" s="10"/>
      <c r="V70" s="8"/>
    </row>
    <row r="71" spans="1:22">
      <c r="A71" s="8"/>
      <c r="B71" s="10"/>
      <c r="C71" s="8"/>
      <c r="D71" s="8"/>
      <c r="E71" s="8"/>
      <c r="F71" s="8"/>
      <c r="G71" s="8"/>
      <c r="H71" s="8"/>
      <c r="I71" s="11"/>
      <c r="J71" s="11"/>
      <c r="K71" s="11"/>
      <c r="L71" s="11"/>
      <c r="M71" s="11"/>
      <c r="N71" s="11"/>
      <c r="O71" s="12" t="str">
        <f t="shared" si="4"/>
        <v/>
      </c>
      <c r="P71" s="12" t="str">
        <f t="shared" si="5"/>
        <v/>
      </c>
      <c r="Q71" s="12" t="str">
        <f t="shared" si="6"/>
        <v/>
      </c>
      <c r="R71" s="12" t="str">
        <f t="shared" si="7"/>
        <v/>
      </c>
      <c r="S71" s="8"/>
      <c r="T71" s="8"/>
      <c r="U71" s="10"/>
      <c r="V71" s="8"/>
    </row>
    <row r="72" spans="1:22">
      <c r="A72" s="8"/>
      <c r="B72" s="10"/>
      <c r="C72" s="8"/>
      <c r="D72" s="8"/>
      <c r="E72" s="8"/>
      <c r="F72" s="8"/>
      <c r="G72" s="8"/>
      <c r="H72" s="8"/>
      <c r="I72" s="11"/>
      <c r="J72" s="11"/>
      <c r="K72" s="11"/>
      <c r="L72" s="11"/>
      <c r="M72" s="11"/>
      <c r="N72" s="11"/>
      <c r="O72" s="12" t="str">
        <f t="shared" si="4"/>
        <v/>
      </c>
      <c r="P72" s="12" t="str">
        <f t="shared" si="5"/>
        <v/>
      </c>
      <c r="Q72" s="12" t="str">
        <f t="shared" si="6"/>
        <v/>
      </c>
      <c r="R72" s="12" t="str">
        <f t="shared" si="7"/>
        <v/>
      </c>
      <c r="S72" s="8"/>
      <c r="T72" s="8"/>
      <c r="U72" s="10"/>
      <c r="V72" s="8"/>
    </row>
    <row r="73" spans="1:22">
      <c r="A73" s="8"/>
      <c r="B73" s="10"/>
      <c r="C73" s="8"/>
      <c r="D73" s="8"/>
      <c r="E73" s="8"/>
      <c r="F73" s="8"/>
      <c r="G73" s="8"/>
      <c r="H73" s="8"/>
      <c r="I73" s="11"/>
      <c r="J73" s="11"/>
      <c r="K73" s="11"/>
      <c r="L73" s="11"/>
      <c r="M73" s="11"/>
      <c r="N73" s="11"/>
      <c r="O73" s="12" t="str">
        <f t="shared" si="4"/>
        <v/>
      </c>
      <c r="P73" s="12" t="str">
        <f t="shared" si="5"/>
        <v/>
      </c>
      <c r="Q73" s="12" t="str">
        <f t="shared" si="6"/>
        <v/>
      </c>
      <c r="R73" s="12" t="str">
        <f t="shared" si="7"/>
        <v/>
      </c>
      <c r="S73" s="8"/>
      <c r="T73" s="8"/>
      <c r="U73" s="10"/>
      <c r="V73" s="8"/>
    </row>
    <row r="74" spans="1:22">
      <c r="A74" s="8"/>
      <c r="B74" s="10"/>
      <c r="C74" s="8"/>
      <c r="D74" s="8"/>
      <c r="E74" s="8"/>
      <c r="F74" s="8"/>
      <c r="G74" s="8"/>
      <c r="H74" s="8"/>
      <c r="I74" s="11"/>
      <c r="J74" s="11"/>
      <c r="K74" s="11"/>
      <c r="L74" s="11"/>
      <c r="M74" s="11"/>
      <c r="N74" s="11"/>
      <c r="O74" s="12" t="str">
        <f t="shared" si="4"/>
        <v/>
      </c>
      <c r="P74" s="12" t="str">
        <f t="shared" si="5"/>
        <v/>
      </c>
      <c r="Q74" s="12" t="str">
        <f t="shared" si="6"/>
        <v/>
      </c>
      <c r="R74" s="12" t="str">
        <f t="shared" si="7"/>
        <v/>
      </c>
      <c r="S74" s="8"/>
      <c r="T74" s="8"/>
      <c r="U74" s="10"/>
      <c r="V74" s="8"/>
    </row>
    <row r="75" spans="1:22">
      <c r="A75" s="8"/>
      <c r="B75" s="10"/>
      <c r="C75" s="8"/>
      <c r="D75" s="8"/>
      <c r="E75" s="8"/>
      <c r="F75" s="8"/>
      <c r="G75" s="8"/>
      <c r="H75" s="8"/>
      <c r="I75" s="11"/>
      <c r="J75" s="11"/>
      <c r="K75" s="11"/>
      <c r="L75" s="11"/>
      <c r="M75" s="11"/>
      <c r="N75" s="11"/>
      <c r="O75" s="12" t="str">
        <f t="shared" si="4"/>
        <v/>
      </c>
      <c r="P75" s="12" t="str">
        <f t="shared" si="5"/>
        <v/>
      </c>
      <c r="Q75" s="12" t="str">
        <f t="shared" si="6"/>
        <v/>
      </c>
      <c r="R75" s="12" t="str">
        <f t="shared" si="7"/>
        <v/>
      </c>
      <c r="S75" s="8"/>
      <c r="T75" s="8"/>
      <c r="U75" s="10"/>
      <c r="V75" s="8"/>
    </row>
    <row r="76" spans="1:22">
      <c r="A76" s="8"/>
      <c r="B76" s="10"/>
      <c r="C76" s="8"/>
      <c r="D76" s="8"/>
      <c r="E76" s="8"/>
      <c r="F76" s="8"/>
      <c r="G76" s="8"/>
      <c r="H76" s="8"/>
      <c r="I76" s="11"/>
      <c r="J76" s="11"/>
      <c r="K76" s="11"/>
      <c r="L76" s="11"/>
      <c r="M76" s="11"/>
      <c r="N76" s="11"/>
      <c r="O76" s="12" t="str">
        <f t="shared" si="4"/>
        <v/>
      </c>
      <c r="P76" s="12" t="str">
        <f t="shared" si="5"/>
        <v/>
      </c>
      <c r="Q76" s="12" t="str">
        <f t="shared" si="6"/>
        <v/>
      </c>
      <c r="R76" s="12" t="str">
        <f t="shared" si="7"/>
        <v/>
      </c>
      <c r="S76" s="8"/>
      <c r="T76" s="8"/>
      <c r="U76" s="10"/>
      <c r="V76" s="8"/>
    </row>
    <row r="77" spans="1:22">
      <c r="A77" s="8"/>
      <c r="B77" s="10"/>
      <c r="C77" s="8"/>
      <c r="D77" s="8"/>
      <c r="E77" s="8"/>
      <c r="F77" s="8"/>
      <c r="G77" s="8"/>
      <c r="H77" s="8"/>
      <c r="I77" s="11"/>
      <c r="J77" s="11"/>
      <c r="K77" s="11"/>
      <c r="L77" s="11"/>
      <c r="M77" s="11"/>
      <c r="N77" s="11"/>
      <c r="O77" s="12" t="str">
        <f t="shared" si="4"/>
        <v/>
      </c>
      <c r="P77" s="12" t="str">
        <f t="shared" si="5"/>
        <v/>
      </c>
      <c r="Q77" s="12" t="str">
        <f t="shared" si="6"/>
        <v/>
      </c>
      <c r="R77" s="12" t="str">
        <f t="shared" si="7"/>
        <v/>
      </c>
      <c r="S77" s="8"/>
      <c r="T77" s="8"/>
      <c r="U77" s="10"/>
      <c r="V77" s="8"/>
    </row>
    <row r="78" spans="1:22">
      <c r="A78" s="8"/>
      <c r="B78" s="10"/>
      <c r="C78" s="8"/>
      <c r="D78" s="8"/>
      <c r="E78" s="8"/>
      <c r="F78" s="8"/>
      <c r="G78" s="8"/>
      <c r="H78" s="8"/>
      <c r="I78" s="11"/>
      <c r="J78" s="11"/>
      <c r="K78" s="11"/>
      <c r="L78" s="11"/>
      <c r="M78" s="11"/>
      <c r="N78" s="11"/>
      <c r="O78" s="12" t="str">
        <f t="shared" si="4"/>
        <v/>
      </c>
      <c r="P78" s="12" t="str">
        <f t="shared" si="5"/>
        <v/>
      </c>
      <c r="Q78" s="12" t="str">
        <f t="shared" si="6"/>
        <v/>
      </c>
      <c r="R78" s="12" t="str">
        <f t="shared" si="7"/>
        <v/>
      </c>
      <c r="S78" s="8"/>
      <c r="T78" s="8"/>
      <c r="U78" s="10"/>
      <c r="V78" s="8"/>
    </row>
    <row r="79" spans="1:22">
      <c r="A79" s="8"/>
      <c r="B79" s="10"/>
      <c r="C79" s="8"/>
      <c r="D79" s="8"/>
      <c r="E79" s="8"/>
      <c r="F79" s="8"/>
      <c r="G79" s="8"/>
      <c r="H79" s="8"/>
      <c r="I79" s="11"/>
      <c r="J79" s="11"/>
      <c r="K79" s="11"/>
      <c r="L79" s="11"/>
      <c r="M79" s="11"/>
      <c r="N79" s="11"/>
      <c r="O79" s="12" t="str">
        <f t="shared" si="4"/>
        <v/>
      </c>
      <c r="P79" s="12" t="str">
        <f t="shared" si="5"/>
        <v/>
      </c>
      <c r="Q79" s="12" t="str">
        <f t="shared" si="6"/>
        <v/>
      </c>
      <c r="R79" s="12" t="str">
        <f t="shared" si="7"/>
        <v/>
      </c>
      <c r="S79" s="8"/>
      <c r="T79" s="8"/>
      <c r="U79" s="10"/>
      <c r="V79" s="8"/>
    </row>
    <row r="80" spans="1:22">
      <c r="A80" s="8"/>
      <c r="B80" s="10"/>
      <c r="C80" s="8"/>
      <c r="D80" s="8"/>
      <c r="E80" s="8"/>
      <c r="F80" s="8"/>
      <c r="G80" s="8"/>
      <c r="H80" s="8"/>
      <c r="I80" s="11"/>
      <c r="J80" s="11"/>
      <c r="K80" s="11"/>
      <c r="L80" s="11"/>
      <c r="M80" s="11"/>
      <c r="N80" s="11"/>
      <c r="O80" s="12" t="str">
        <f t="shared" si="4"/>
        <v/>
      </c>
      <c r="P80" s="12" t="str">
        <f t="shared" si="5"/>
        <v/>
      </c>
      <c r="Q80" s="12" t="str">
        <f t="shared" si="6"/>
        <v/>
      </c>
      <c r="R80" s="12" t="str">
        <f t="shared" si="7"/>
        <v/>
      </c>
      <c r="S80" s="8"/>
      <c r="T80" s="8"/>
      <c r="U80" s="10"/>
      <c r="V80" s="8"/>
    </row>
    <row r="81" spans="1:22">
      <c r="A81" s="8"/>
      <c r="B81" s="10"/>
      <c r="C81" s="8"/>
      <c r="D81" s="8"/>
      <c r="E81" s="8"/>
      <c r="F81" s="8"/>
      <c r="G81" s="8"/>
      <c r="H81" s="8"/>
      <c r="I81" s="11"/>
      <c r="J81" s="11"/>
      <c r="K81" s="11"/>
      <c r="L81" s="11"/>
      <c r="M81" s="11"/>
      <c r="N81" s="11"/>
      <c r="O81" s="12" t="str">
        <f t="shared" si="4"/>
        <v/>
      </c>
      <c r="P81" s="12" t="str">
        <f t="shared" si="5"/>
        <v/>
      </c>
      <c r="Q81" s="12" t="str">
        <f t="shared" si="6"/>
        <v/>
      </c>
      <c r="R81" s="12" t="str">
        <f t="shared" si="7"/>
        <v/>
      </c>
      <c r="S81" s="8"/>
      <c r="T81" s="8"/>
      <c r="U81" s="10"/>
      <c r="V81" s="8"/>
    </row>
    <row r="82" spans="1:22">
      <c r="A82" s="8"/>
      <c r="B82" s="10"/>
      <c r="C82" s="8"/>
      <c r="D82" s="8"/>
      <c r="E82" s="8"/>
      <c r="F82" s="8"/>
      <c r="G82" s="8"/>
      <c r="H82" s="8"/>
      <c r="I82" s="11"/>
      <c r="J82" s="11"/>
      <c r="K82" s="11"/>
      <c r="L82" s="11"/>
      <c r="M82" s="11"/>
      <c r="N82" s="11"/>
      <c r="O82" s="12" t="str">
        <f t="shared" si="4"/>
        <v/>
      </c>
      <c r="P82" s="12" t="str">
        <f t="shared" si="5"/>
        <v/>
      </c>
      <c r="Q82" s="12" t="str">
        <f t="shared" si="6"/>
        <v/>
      </c>
      <c r="R82" s="12" t="str">
        <f t="shared" si="7"/>
        <v/>
      </c>
      <c r="S82" s="8"/>
      <c r="T82" s="8"/>
      <c r="U82" s="10"/>
      <c r="V82" s="8"/>
    </row>
    <row r="83" spans="1:22">
      <c r="A83" s="8"/>
      <c r="B83" s="10"/>
      <c r="C83" s="8"/>
      <c r="D83" s="8"/>
      <c r="E83" s="8"/>
      <c r="F83" s="8"/>
      <c r="G83" s="8"/>
      <c r="H83" s="8"/>
      <c r="I83" s="11"/>
      <c r="J83" s="11"/>
      <c r="K83" s="11"/>
      <c r="L83" s="11"/>
      <c r="M83" s="11"/>
      <c r="N83" s="11"/>
      <c r="O83" s="12" t="str">
        <f t="shared" si="4"/>
        <v/>
      </c>
      <c r="P83" s="12" t="str">
        <f t="shared" si="5"/>
        <v/>
      </c>
      <c r="Q83" s="12" t="str">
        <f t="shared" si="6"/>
        <v/>
      </c>
      <c r="R83" s="12" t="str">
        <f t="shared" si="7"/>
        <v/>
      </c>
      <c r="S83" s="8"/>
      <c r="T83" s="8"/>
      <c r="U83" s="10"/>
      <c r="V83" s="8"/>
    </row>
    <row r="84" spans="1:22">
      <c r="A84" s="8"/>
      <c r="B84" s="10"/>
      <c r="C84" s="8"/>
      <c r="D84" s="8"/>
      <c r="E84" s="8"/>
      <c r="F84" s="8"/>
      <c r="G84" s="8"/>
      <c r="H84" s="8"/>
      <c r="I84" s="11"/>
      <c r="J84" s="11"/>
      <c r="K84" s="11"/>
      <c r="L84" s="11"/>
      <c r="M84" s="11"/>
      <c r="N84" s="11"/>
      <c r="O84" s="12" t="str">
        <f t="shared" si="4"/>
        <v/>
      </c>
      <c r="P84" s="12" t="str">
        <f t="shared" si="5"/>
        <v/>
      </c>
      <c r="Q84" s="12" t="str">
        <f t="shared" si="6"/>
        <v/>
      </c>
      <c r="R84" s="12" t="str">
        <f t="shared" si="7"/>
        <v/>
      </c>
      <c r="S84" s="8"/>
      <c r="T84" s="8"/>
      <c r="U84" s="10"/>
      <c r="V84" s="8"/>
    </row>
    <row r="85" spans="1:22">
      <c r="A85" s="8"/>
      <c r="B85" s="10"/>
      <c r="C85" s="8"/>
      <c r="D85" s="8"/>
      <c r="E85" s="8"/>
      <c r="F85" s="8"/>
      <c r="G85" s="8"/>
      <c r="H85" s="8"/>
      <c r="I85" s="11"/>
      <c r="J85" s="11"/>
      <c r="K85" s="11"/>
      <c r="L85" s="11"/>
      <c r="M85" s="11"/>
      <c r="N85" s="11"/>
      <c r="O85" s="12" t="str">
        <f t="shared" si="4"/>
        <v/>
      </c>
      <c r="P85" s="12" t="str">
        <f t="shared" si="5"/>
        <v/>
      </c>
      <c r="Q85" s="12" t="str">
        <f t="shared" si="6"/>
        <v/>
      </c>
      <c r="R85" s="12" t="str">
        <f t="shared" si="7"/>
        <v/>
      </c>
      <c r="S85" s="8"/>
      <c r="T85" s="8"/>
      <c r="U85" s="10"/>
      <c r="V85" s="8"/>
    </row>
    <row r="86" spans="1:22">
      <c r="A86" s="8"/>
      <c r="B86" s="10"/>
      <c r="C86" s="8"/>
      <c r="D86" s="8"/>
      <c r="E86" s="8"/>
      <c r="F86" s="8"/>
      <c r="G86" s="8"/>
      <c r="H86" s="8"/>
      <c r="I86" s="11"/>
      <c r="J86" s="11"/>
      <c r="K86" s="11"/>
      <c r="L86" s="11"/>
      <c r="M86" s="11"/>
      <c r="N86" s="11"/>
      <c r="O86" s="12" t="str">
        <f t="shared" si="4"/>
        <v/>
      </c>
      <c r="P86" s="12" t="str">
        <f t="shared" si="5"/>
        <v/>
      </c>
      <c r="Q86" s="12" t="str">
        <f t="shared" si="6"/>
        <v/>
      </c>
      <c r="R86" s="12" t="str">
        <f t="shared" si="7"/>
        <v/>
      </c>
      <c r="S86" s="8"/>
      <c r="T86" s="8"/>
      <c r="U86" s="10"/>
      <c r="V86" s="8"/>
    </row>
    <row r="87" spans="1:22">
      <c r="A87" s="8"/>
      <c r="B87" s="10"/>
      <c r="C87" s="8"/>
      <c r="D87" s="8"/>
      <c r="E87" s="8"/>
      <c r="F87" s="8"/>
      <c r="G87" s="8"/>
      <c r="H87" s="8"/>
      <c r="I87" s="11"/>
      <c r="J87" s="11"/>
      <c r="K87" s="11"/>
      <c r="L87" s="11"/>
      <c r="M87" s="11"/>
      <c r="N87" s="11"/>
      <c r="O87" s="12" t="str">
        <f t="shared" si="4"/>
        <v/>
      </c>
      <c r="P87" s="12" t="str">
        <f t="shared" si="5"/>
        <v/>
      </c>
      <c r="Q87" s="12" t="str">
        <f t="shared" si="6"/>
        <v/>
      </c>
      <c r="R87" s="12" t="str">
        <f t="shared" si="7"/>
        <v/>
      </c>
      <c r="S87" s="8"/>
      <c r="T87" s="8"/>
      <c r="U87" s="10"/>
      <c r="V87" s="8"/>
    </row>
    <row r="88" spans="1:22">
      <c r="A88" s="8"/>
      <c r="B88" s="10"/>
      <c r="C88" s="8"/>
      <c r="D88" s="8"/>
      <c r="E88" s="8"/>
      <c r="F88" s="8"/>
      <c r="G88" s="8"/>
      <c r="H88" s="8"/>
      <c r="I88" s="11"/>
      <c r="J88" s="11"/>
      <c r="K88" s="11"/>
      <c r="L88" s="11"/>
      <c r="M88" s="11"/>
      <c r="N88" s="11"/>
      <c r="O88" s="12" t="str">
        <f t="shared" si="4"/>
        <v/>
      </c>
      <c r="P88" s="12" t="str">
        <f t="shared" si="5"/>
        <v/>
      </c>
      <c r="Q88" s="12" t="str">
        <f t="shared" si="6"/>
        <v/>
      </c>
      <c r="R88" s="12" t="str">
        <f t="shared" si="7"/>
        <v/>
      </c>
      <c r="S88" s="8"/>
      <c r="T88" s="8"/>
      <c r="U88" s="10"/>
      <c r="V88" s="8"/>
    </row>
    <row r="89" spans="1:22">
      <c r="A89" s="8"/>
      <c r="B89" s="10"/>
      <c r="C89" s="8"/>
      <c r="D89" s="8"/>
      <c r="E89" s="8"/>
      <c r="F89" s="8"/>
      <c r="G89" s="8"/>
      <c r="H89" s="8"/>
      <c r="I89" s="11"/>
      <c r="J89" s="11"/>
      <c r="K89" s="11"/>
      <c r="L89" s="11"/>
      <c r="M89" s="11"/>
      <c r="N89" s="11"/>
      <c r="O89" s="12" t="str">
        <f t="shared" si="4"/>
        <v/>
      </c>
      <c r="P89" s="12" t="str">
        <f t="shared" si="5"/>
        <v/>
      </c>
      <c r="Q89" s="12" t="str">
        <f t="shared" si="6"/>
        <v/>
      </c>
      <c r="R89" s="12" t="str">
        <f t="shared" si="7"/>
        <v/>
      </c>
      <c r="S89" s="8"/>
      <c r="T89" s="8"/>
      <c r="U89" s="10"/>
      <c r="V89" s="8"/>
    </row>
    <row r="90" spans="1:22">
      <c r="A90" s="8"/>
      <c r="B90" s="10"/>
      <c r="C90" s="8"/>
      <c r="D90" s="8"/>
      <c r="E90" s="8"/>
      <c r="F90" s="8"/>
      <c r="G90" s="8"/>
      <c r="H90" s="8"/>
      <c r="I90" s="11"/>
      <c r="J90" s="11"/>
      <c r="K90" s="11"/>
      <c r="L90" s="11"/>
      <c r="M90" s="11"/>
      <c r="N90" s="11"/>
      <c r="O90" s="12" t="str">
        <f t="shared" si="4"/>
        <v/>
      </c>
      <c r="P90" s="12" t="str">
        <f t="shared" si="5"/>
        <v/>
      </c>
      <c r="Q90" s="12" t="str">
        <f t="shared" si="6"/>
        <v/>
      </c>
      <c r="R90" s="12" t="str">
        <f t="shared" si="7"/>
        <v/>
      </c>
      <c r="S90" s="8"/>
      <c r="T90" s="8"/>
      <c r="U90" s="10"/>
      <c r="V90" s="8"/>
    </row>
    <row r="91" spans="1:22">
      <c r="A91" s="8"/>
      <c r="B91" s="10"/>
      <c r="C91" s="8"/>
      <c r="D91" s="8"/>
      <c r="E91" s="8"/>
      <c r="F91" s="8"/>
      <c r="G91" s="8"/>
      <c r="H91" s="8"/>
      <c r="I91" s="11"/>
      <c r="J91" s="11"/>
      <c r="K91" s="11"/>
      <c r="L91" s="11"/>
      <c r="M91" s="11"/>
      <c r="N91" s="11"/>
      <c r="O91" s="12" t="str">
        <f t="shared" si="4"/>
        <v/>
      </c>
      <c r="P91" s="12" t="str">
        <f t="shared" si="5"/>
        <v/>
      </c>
      <c r="Q91" s="12" t="str">
        <f t="shared" si="6"/>
        <v/>
      </c>
      <c r="R91" s="12" t="str">
        <f t="shared" si="7"/>
        <v/>
      </c>
      <c r="S91" s="8"/>
      <c r="T91" s="8"/>
      <c r="U91" s="10"/>
      <c r="V91" s="8"/>
    </row>
    <row r="92" spans="1:22">
      <c r="A92" s="8"/>
      <c r="B92" s="10"/>
      <c r="C92" s="8"/>
      <c r="D92" s="8"/>
      <c r="E92" s="8"/>
      <c r="F92" s="8"/>
      <c r="G92" s="8"/>
      <c r="H92" s="8"/>
      <c r="I92" s="11"/>
      <c r="J92" s="11"/>
      <c r="K92" s="11"/>
      <c r="L92" s="11"/>
      <c r="M92" s="11"/>
      <c r="N92" s="11"/>
      <c r="O92" s="12" t="str">
        <f t="shared" si="4"/>
        <v/>
      </c>
      <c r="P92" s="12" t="str">
        <f t="shared" si="5"/>
        <v/>
      </c>
      <c r="Q92" s="12" t="str">
        <f t="shared" si="6"/>
        <v/>
      </c>
      <c r="R92" s="12" t="str">
        <f t="shared" si="7"/>
        <v/>
      </c>
      <c r="S92" s="8"/>
      <c r="T92" s="8"/>
      <c r="U92" s="10"/>
      <c r="V92" s="8"/>
    </row>
    <row r="93" spans="1:22">
      <c r="A93" s="8"/>
      <c r="B93" s="10"/>
      <c r="C93" s="8"/>
      <c r="D93" s="8"/>
      <c r="E93" s="8"/>
      <c r="F93" s="8"/>
      <c r="G93" s="8"/>
      <c r="H93" s="8"/>
      <c r="I93" s="11"/>
      <c r="J93" s="11"/>
      <c r="K93" s="11"/>
      <c r="L93" s="11"/>
      <c r="M93" s="11"/>
      <c r="N93" s="11"/>
      <c r="O93" s="12" t="str">
        <f t="shared" si="4"/>
        <v/>
      </c>
      <c r="P93" s="12" t="str">
        <f t="shared" si="5"/>
        <v/>
      </c>
      <c r="Q93" s="12" t="str">
        <f t="shared" si="6"/>
        <v/>
      </c>
      <c r="R93" s="12" t="str">
        <f t="shared" si="7"/>
        <v/>
      </c>
      <c r="S93" s="8"/>
      <c r="T93" s="8"/>
      <c r="U93" s="10"/>
      <c r="V93" s="8"/>
    </row>
    <row r="94" spans="1:22">
      <c r="A94" s="8"/>
      <c r="B94" s="10"/>
      <c r="C94" s="8"/>
      <c r="D94" s="8"/>
      <c r="E94" s="8"/>
      <c r="F94" s="8"/>
      <c r="G94" s="8"/>
      <c r="H94" s="8"/>
      <c r="I94" s="11"/>
      <c r="J94" s="11"/>
      <c r="K94" s="11"/>
      <c r="L94" s="11"/>
      <c r="M94" s="11"/>
      <c r="N94" s="11"/>
      <c r="O94" s="12" t="str">
        <f t="shared" si="4"/>
        <v/>
      </c>
      <c r="P94" s="12" t="str">
        <f t="shared" si="5"/>
        <v/>
      </c>
      <c r="Q94" s="12" t="str">
        <f t="shared" si="6"/>
        <v/>
      </c>
      <c r="R94" s="12" t="str">
        <f t="shared" si="7"/>
        <v/>
      </c>
      <c r="S94" s="8"/>
      <c r="T94" s="8"/>
      <c r="U94" s="10"/>
      <c r="V94" s="8"/>
    </row>
    <row r="95" spans="1:22">
      <c r="A95" s="8"/>
      <c r="B95" s="10"/>
      <c r="C95" s="8"/>
      <c r="D95" s="8"/>
      <c r="E95" s="8"/>
      <c r="F95" s="8"/>
      <c r="G95" s="8"/>
      <c r="H95" s="8"/>
      <c r="I95" s="11"/>
      <c r="J95" s="11"/>
      <c r="K95" s="11"/>
      <c r="L95" s="11"/>
      <c r="M95" s="11"/>
      <c r="N95" s="11"/>
      <c r="O95" s="12" t="str">
        <f t="shared" si="4"/>
        <v/>
      </c>
      <c r="P95" s="12" t="str">
        <f t="shared" si="5"/>
        <v/>
      </c>
      <c r="Q95" s="12" t="str">
        <f t="shared" si="6"/>
        <v/>
      </c>
      <c r="R95" s="12" t="str">
        <f t="shared" si="7"/>
        <v/>
      </c>
      <c r="S95" s="8"/>
      <c r="T95" s="8"/>
      <c r="U95" s="10"/>
      <c r="V95" s="8"/>
    </row>
    <row r="96" spans="1:22">
      <c r="A96" s="8"/>
      <c r="B96" s="10"/>
      <c r="C96" s="8"/>
      <c r="D96" s="8"/>
      <c r="E96" s="8"/>
      <c r="F96" s="8"/>
      <c r="G96" s="8"/>
      <c r="H96" s="8"/>
      <c r="I96" s="11"/>
      <c r="J96" s="11"/>
      <c r="K96" s="11"/>
      <c r="L96" s="11"/>
      <c r="M96" s="11"/>
      <c r="N96" s="11"/>
      <c r="O96" s="12" t="str">
        <f t="shared" si="4"/>
        <v/>
      </c>
      <c r="P96" s="12" t="str">
        <f t="shared" si="5"/>
        <v/>
      </c>
      <c r="Q96" s="12" t="str">
        <f t="shared" si="6"/>
        <v/>
      </c>
      <c r="R96" s="12" t="str">
        <f t="shared" si="7"/>
        <v/>
      </c>
      <c r="S96" s="8"/>
      <c r="T96" s="8"/>
      <c r="U96" s="10"/>
      <c r="V96" s="8"/>
    </row>
    <row r="97" spans="1:22">
      <c r="A97" s="8"/>
      <c r="B97" s="10"/>
      <c r="C97" s="8"/>
      <c r="D97" s="8"/>
      <c r="E97" s="8"/>
      <c r="F97" s="8"/>
      <c r="G97" s="8"/>
      <c r="H97" s="8"/>
      <c r="I97" s="11"/>
      <c r="J97" s="11"/>
      <c r="K97" s="11"/>
      <c r="L97" s="11"/>
      <c r="M97" s="11"/>
      <c r="N97" s="11"/>
      <c r="O97" s="12" t="str">
        <f t="shared" si="4"/>
        <v/>
      </c>
      <c r="P97" s="12" t="str">
        <f t="shared" si="5"/>
        <v/>
      </c>
      <c r="Q97" s="12" t="str">
        <f t="shared" si="6"/>
        <v/>
      </c>
      <c r="R97" s="12" t="str">
        <f t="shared" si="7"/>
        <v/>
      </c>
      <c r="S97" s="8"/>
      <c r="T97" s="8"/>
      <c r="U97" s="10"/>
      <c r="V97" s="8"/>
    </row>
    <row r="98" spans="1:22">
      <c r="A98" s="8"/>
      <c r="B98" s="10"/>
      <c r="C98" s="8"/>
      <c r="D98" s="8"/>
      <c r="E98" s="8"/>
      <c r="F98" s="8"/>
      <c r="G98" s="8"/>
      <c r="H98" s="8"/>
      <c r="I98" s="11"/>
      <c r="J98" s="11"/>
      <c r="K98" s="11"/>
      <c r="L98" s="11"/>
      <c r="M98" s="11"/>
      <c r="N98" s="11"/>
      <c r="O98" s="12" t="str">
        <f t="shared" si="4"/>
        <v/>
      </c>
      <c r="P98" s="12" t="str">
        <f t="shared" si="5"/>
        <v/>
      </c>
      <c r="Q98" s="12" t="str">
        <f t="shared" si="6"/>
        <v/>
      </c>
      <c r="R98" s="12" t="str">
        <f t="shared" si="7"/>
        <v/>
      </c>
      <c r="S98" s="8"/>
      <c r="T98" s="8"/>
      <c r="U98" s="10"/>
      <c r="V98" s="8"/>
    </row>
    <row r="99" spans="1:22">
      <c r="A99" s="8"/>
      <c r="B99" s="10"/>
      <c r="C99" s="8"/>
      <c r="D99" s="8"/>
      <c r="E99" s="8"/>
      <c r="F99" s="8"/>
      <c r="G99" s="8"/>
      <c r="H99" s="8"/>
      <c r="I99" s="11"/>
      <c r="J99" s="11"/>
      <c r="K99" s="11"/>
      <c r="L99" s="11"/>
      <c r="M99" s="11"/>
      <c r="N99" s="11"/>
      <c r="O99" s="12" t="str">
        <f t="shared" si="4"/>
        <v/>
      </c>
      <c r="P99" s="12" t="str">
        <f t="shared" si="5"/>
        <v/>
      </c>
      <c r="Q99" s="12" t="str">
        <f t="shared" si="6"/>
        <v/>
      </c>
      <c r="R99" s="12" t="str">
        <f t="shared" si="7"/>
        <v/>
      </c>
      <c r="S99" s="8"/>
      <c r="T99" s="8"/>
      <c r="U99" s="10"/>
      <c r="V99" s="8"/>
    </row>
    <row r="100" spans="1:22">
      <c r="A100" s="8"/>
      <c r="B100" s="10"/>
      <c r="C100" s="8"/>
      <c r="D100" s="8"/>
      <c r="E100" s="8"/>
      <c r="F100" s="8"/>
      <c r="G100" s="8"/>
      <c r="H100" s="8"/>
      <c r="I100" s="11"/>
      <c r="J100" s="11"/>
      <c r="K100" s="11"/>
      <c r="L100" s="11"/>
      <c r="M100" s="11"/>
      <c r="N100" s="11"/>
      <c r="O100" s="12" t="str">
        <f t="shared" si="4"/>
        <v/>
      </c>
      <c r="P100" s="12" t="str">
        <f t="shared" si="5"/>
        <v/>
      </c>
      <c r="Q100" s="12" t="str">
        <f t="shared" si="6"/>
        <v/>
      </c>
      <c r="R100" s="12" t="str">
        <f t="shared" si="7"/>
        <v/>
      </c>
      <c r="S100" s="8"/>
      <c r="T100" s="8"/>
      <c r="U100" s="10"/>
      <c r="V100" s="8"/>
    </row>
    <row r="101" spans="1:22">
      <c r="A101" s="8"/>
      <c r="B101" s="10"/>
      <c r="C101" s="8"/>
      <c r="D101" s="8"/>
      <c r="E101" s="8"/>
      <c r="F101" s="8"/>
      <c r="G101" s="8"/>
      <c r="H101" s="8"/>
      <c r="I101" s="11"/>
      <c r="J101" s="11"/>
      <c r="K101" s="11"/>
      <c r="L101" s="11"/>
      <c r="M101" s="11"/>
      <c r="N101" s="11"/>
      <c r="O101" s="12" t="str">
        <f t="shared" si="4"/>
        <v/>
      </c>
      <c r="P101" s="12" t="str">
        <f t="shared" si="5"/>
        <v/>
      </c>
      <c r="Q101" s="12" t="str">
        <f t="shared" si="6"/>
        <v/>
      </c>
      <c r="R101" s="12" t="str">
        <f t="shared" si="7"/>
        <v/>
      </c>
      <c r="S101" s="8"/>
      <c r="T101" s="8"/>
      <c r="U101" s="10"/>
      <c r="V101" s="8"/>
    </row>
    <row r="102" spans="1:22">
      <c r="A102" s="8"/>
      <c r="B102" s="10"/>
      <c r="C102" s="8"/>
      <c r="D102" s="8"/>
      <c r="E102" s="8"/>
      <c r="F102" s="8"/>
      <c r="G102" s="8"/>
      <c r="H102" s="8"/>
      <c r="I102" s="11"/>
      <c r="J102" s="11"/>
      <c r="K102" s="11"/>
      <c r="L102" s="11"/>
      <c r="M102" s="11"/>
      <c r="N102" s="11"/>
      <c r="O102" s="12" t="str">
        <f t="shared" si="4"/>
        <v/>
      </c>
      <c r="P102" s="12" t="str">
        <f t="shared" si="5"/>
        <v/>
      </c>
      <c r="Q102" s="12" t="str">
        <f t="shared" si="6"/>
        <v/>
      </c>
      <c r="R102" s="12" t="str">
        <f t="shared" si="7"/>
        <v/>
      </c>
      <c r="S102" s="8"/>
      <c r="T102" s="8"/>
      <c r="U102" s="10"/>
      <c r="V102" s="8"/>
    </row>
    <row r="103" spans="1:22">
      <c r="A103" s="8"/>
      <c r="B103" s="10"/>
      <c r="C103" s="8"/>
      <c r="D103" s="8"/>
      <c r="E103" s="8"/>
      <c r="F103" s="8"/>
      <c r="G103" s="8"/>
      <c r="H103" s="8"/>
      <c r="I103" s="11"/>
      <c r="J103" s="11"/>
      <c r="K103" s="11"/>
      <c r="L103" s="11"/>
      <c r="M103" s="11"/>
      <c r="N103" s="11"/>
      <c r="O103" s="12" t="str">
        <f t="shared" si="4"/>
        <v/>
      </c>
      <c r="P103" s="12" t="str">
        <f t="shared" si="5"/>
        <v/>
      </c>
      <c r="Q103" s="12" t="str">
        <f t="shared" si="6"/>
        <v/>
      </c>
      <c r="R103" s="12" t="str">
        <f t="shared" si="7"/>
        <v/>
      </c>
      <c r="S103" s="8"/>
      <c r="T103" s="8"/>
      <c r="U103" s="10"/>
      <c r="V103" s="8"/>
    </row>
    <row r="104" spans="1:22">
      <c r="A104" s="8"/>
      <c r="B104" s="10"/>
      <c r="C104" s="8"/>
      <c r="D104" s="8"/>
      <c r="E104" s="8"/>
      <c r="F104" s="8"/>
      <c r="G104" s="8"/>
      <c r="H104" s="8"/>
      <c r="I104" s="11"/>
      <c r="J104" s="11"/>
      <c r="K104" s="11"/>
      <c r="L104" s="11"/>
      <c r="M104" s="11"/>
      <c r="N104" s="11"/>
      <c r="O104" s="12" t="str">
        <f t="shared" si="4"/>
        <v/>
      </c>
      <c r="P104" s="12" t="str">
        <f t="shared" si="5"/>
        <v/>
      </c>
      <c r="Q104" s="12" t="str">
        <f t="shared" si="6"/>
        <v/>
      </c>
      <c r="R104" s="12" t="str">
        <f t="shared" si="7"/>
        <v/>
      </c>
      <c r="S104" s="8"/>
      <c r="T104" s="8"/>
      <c r="U104" s="10"/>
      <c r="V104" s="8"/>
    </row>
    <row r="105" spans="1:22">
      <c r="A105" s="8"/>
      <c r="B105" s="10"/>
      <c r="C105" s="8"/>
      <c r="D105" s="8"/>
      <c r="E105" s="8"/>
      <c r="F105" s="8"/>
      <c r="G105" s="8"/>
      <c r="H105" s="8"/>
      <c r="I105" s="11"/>
      <c r="J105" s="11"/>
      <c r="K105" s="11"/>
      <c r="L105" s="11"/>
      <c r="M105" s="11"/>
      <c r="N105" s="11"/>
      <c r="O105" s="12" t="str">
        <f t="shared" si="4"/>
        <v/>
      </c>
      <c r="P105" s="12" t="str">
        <f t="shared" si="5"/>
        <v/>
      </c>
      <c r="Q105" s="12" t="str">
        <f t="shared" si="6"/>
        <v/>
      </c>
      <c r="R105" s="12" t="str">
        <f t="shared" si="7"/>
        <v/>
      </c>
      <c r="S105" s="8"/>
      <c r="T105" s="8"/>
      <c r="U105" s="10"/>
      <c r="V105" s="8"/>
    </row>
    <row r="106" spans="1:22">
      <c r="A106" s="8"/>
      <c r="B106" s="10"/>
      <c r="C106" s="8"/>
      <c r="D106" s="8"/>
      <c r="E106" s="8"/>
      <c r="F106" s="8"/>
      <c r="G106" s="8"/>
      <c r="H106" s="8"/>
      <c r="I106" s="11"/>
      <c r="J106" s="11"/>
      <c r="K106" s="11"/>
      <c r="L106" s="11"/>
      <c r="M106" s="11"/>
      <c r="N106" s="11"/>
      <c r="O106" s="12" t="str">
        <f t="shared" si="4"/>
        <v/>
      </c>
      <c r="P106" s="12" t="str">
        <f t="shared" si="5"/>
        <v/>
      </c>
      <c r="Q106" s="12" t="str">
        <f t="shared" si="6"/>
        <v/>
      </c>
      <c r="R106" s="12" t="str">
        <f t="shared" si="7"/>
        <v/>
      </c>
      <c r="S106" s="8"/>
      <c r="T106" s="8"/>
      <c r="U106" s="10"/>
      <c r="V106" s="8"/>
    </row>
    <row r="107" spans="1:22">
      <c r="A107" s="8"/>
      <c r="B107" s="10"/>
      <c r="C107" s="8"/>
      <c r="D107" s="8"/>
      <c r="E107" s="8"/>
      <c r="F107" s="8"/>
      <c r="G107" s="8"/>
      <c r="H107" s="8"/>
      <c r="I107" s="11"/>
      <c r="J107" s="11"/>
      <c r="K107" s="11"/>
      <c r="L107" s="11"/>
      <c r="M107" s="11"/>
      <c r="N107" s="11"/>
      <c r="O107" s="12" t="str">
        <f t="shared" si="4"/>
        <v/>
      </c>
      <c r="P107" s="12" t="str">
        <f t="shared" si="5"/>
        <v/>
      </c>
      <c r="Q107" s="12" t="str">
        <f t="shared" si="6"/>
        <v/>
      </c>
      <c r="R107" s="12" t="str">
        <f t="shared" si="7"/>
        <v/>
      </c>
      <c r="S107" s="8"/>
      <c r="T107" s="8"/>
      <c r="U107" s="10"/>
      <c r="V107" s="8"/>
    </row>
    <row r="108" spans="1:22">
      <c r="A108" s="8"/>
      <c r="B108" s="10"/>
      <c r="C108" s="8"/>
      <c r="D108" s="8"/>
      <c r="E108" s="8"/>
      <c r="F108" s="8"/>
      <c r="G108" s="8"/>
      <c r="H108" s="8"/>
      <c r="I108" s="11"/>
      <c r="J108" s="11"/>
      <c r="K108" s="11"/>
      <c r="L108" s="11"/>
      <c r="M108" s="11"/>
      <c r="N108" s="11"/>
      <c r="O108" s="12" t="str">
        <f t="shared" si="4"/>
        <v/>
      </c>
      <c r="P108" s="12" t="str">
        <f t="shared" si="5"/>
        <v/>
      </c>
      <c r="Q108" s="12" t="str">
        <f t="shared" si="6"/>
        <v/>
      </c>
      <c r="R108" s="12" t="str">
        <f t="shared" si="7"/>
        <v/>
      </c>
      <c r="S108" s="8"/>
      <c r="T108" s="8"/>
      <c r="U108" s="10"/>
      <c r="V108" s="8"/>
    </row>
    <row r="109" spans="1:22">
      <c r="A109" s="8"/>
      <c r="B109" s="10"/>
      <c r="C109" s="8"/>
      <c r="D109" s="8"/>
      <c r="E109" s="8"/>
      <c r="F109" s="8"/>
      <c r="G109" s="8"/>
      <c r="H109" s="8"/>
      <c r="I109" s="11"/>
      <c r="J109" s="11"/>
      <c r="K109" s="11"/>
      <c r="L109" s="11"/>
      <c r="M109" s="11"/>
      <c r="N109" s="11"/>
      <c r="O109" s="12" t="str">
        <f t="shared" si="4"/>
        <v/>
      </c>
      <c r="P109" s="12" t="str">
        <f t="shared" si="5"/>
        <v/>
      </c>
      <c r="Q109" s="12" t="str">
        <f t="shared" si="6"/>
        <v/>
      </c>
      <c r="R109" s="12" t="str">
        <f t="shared" si="7"/>
        <v/>
      </c>
      <c r="S109" s="8"/>
      <c r="T109" s="8"/>
      <c r="U109" s="10"/>
      <c r="V109" s="8"/>
    </row>
    <row r="110" spans="1:22">
      <c r="A110" s="8"/>
      <c r="B110" s="10"/>
      <c r="C110" s="8"/>
      <c r="D110" s="8"/>
      <c r="E110" s="8"/>
      <c r="F110" s="8"/>
      <c r="G110" s="8"/>
      <c r="H110" s="8"/>
      <c r="I110" s="11"/>
      <c r="J110" s="11"/>
      <c r="K110" s="11"/>
      <c r="L110" s="11"/>
      <c r="M110" s="11"/>
      <c r="N110" s="11"/>
      <c r="O110" s="12" t="str">
        <f t="shared" si="4"/>
        <v/>
      </c>
      <c r="P110" s="12" t="str">
        <f t="shared" si="5"/>
        <v/>
      </c>
      <c r="Q110" s="12" t="str">
        <f t="shared" si="6"/>
        <v/>
      </c>
      <c r="R110" s="12" t="str">
        <f t="shared" si="7"/>
        <v/>
      </c>
      <c r="S110" s="8"/>
      <c r="T110" s="8"/>
      <c r="U110" s="10"/>
      <c r="V110" s="8"/>
    </row>
    <row r="111" spans="1:22">
      <c r="A111" s="8"/>
      <c r="B111" s="10"/>
      <c r="C111" s="8"/>
      <c r="D111" s="8"/>
      <c r="E111" s="8"/>
      <c r="F111" s="8"/>
      <c r="G111" s="8"/>
      <c r="H111" s="8"/>
      <c r="I111" s="11"/>
      <c r="J111" s="11"/>
      <c r="K111" s="11"/>
      <c r="L111" s="11"/>
      <c r="M111" s="11"/>
      <c r="N111" s="11"/>
      <c r="O111" s="12" t="str">
        <f t="shared" si="4"/>
        <v/>
      </c>
      <c r="P111" s="12" t="str">
        <f t="shared" si="5"/>
        <v/>
      </c>
      <c r="Q111" s="12" t="str">
        <f t="shared" si="6"/>
        <v/>
      </c>
      <c r="R111" s="12" t="str">
        <f t="shared" si="7"/>
        <v/>
      </c>
      <c r="S111" s="8"/>
      <c r="T111" s="8"/>
      <c r="U111" s="10"/>
      <c r="V111" s="8"/>
    </row>
    <row r="112" spans="1:22">
      <c r="A112" s="8"/>
      <c r="B112" s="10"/>
      <c r="C112" s="8"/>
      <c r="D112" s="8"/>
      <c r="E112" s="8"/>
      <c r="F112" s="8"/>
      <c r="G112" s="8"/>
      <c r="H112" s="8"/>
      <c r="I112" s="11"/>
      <c r="J112" s="11"/>
      <c r="K112" s="11"/>
      <c r="L112" s="11"/>
      <c r="M112" s="11"/>
      <c r="N112" s="11"/>
      <c r="O112" s="12" t="str">
        <f t="shared" si="4"/>
        <v/>
      </c>
      <c r="P112" s="12" t="str">
        <f t="shared" si="5"/>
        <v/>
      </c>
      <c r="Q112" s="12" t="str">
        <f t="shared" si="6"/>
        <v/>
      </c>
      <c r="R112" s="12" t="str">
        <f t="shared" si="7"/>
        <v/>
      </c>
      <c r="S112" s="8"/>
      <c r="T112" s="8"/>
      <c r="U112" s="10"/>
      <c r="V112" s="8"/>
    </row>
    <row r="113" spans="1:22">
      <c r="A113" s="8"/>
      <c r="B113" s="10"/>
      <c r="C113" s="8"/>
      <c r="D113" s="8"/>
      <c r="E113" s="8"/>
      <c r="F113" s="8"/>
      <c r="G113" s="8"/>
      <c r="H113" s="8"/>
      <c r="I113" s="11"/>
      <c r="J113" s="11"/>
      <c r="K113" s="11"/>
      <c r="L113" s="11"/>
      <c r="M113" s="11"/>
      <c r="N113" s="11"/>
      <c r="O113" s="12" t="str">
        <f t="shared" si="4"/>
        <v/>
      </c>
      <c r="P113" s="12" t="str">
        <f t="shared" si="5"/>
        <v/>
      </c>
      <c r="Q113" s="12" t="str">
        <f t="shared" si="6"/>
        <v/>
      </c>
      <c r="R113" s="12" t="str">
        <f t="shared" si="7"/>
        <v/>
      </c>
      <c r="S113" s="8"/>
      <c r="T113" s="8"/>
      <c r="U113" s="10"/>
      <c r="V113" s="8"/>
    </row>
    <row r="114" spans="1:22">
      <c r="A114" s="8"/>
      <c r="B114" s="10"/>
      <c r="C114" s="8"/>
      <c r="D114" s="8"/>
      <c r="E114" s="8"/>
      <c r="F114" s="8"/>
      <c r="G114" s="8"/>
      <c r="H114" s="8"/>
      <c r="I114" s="11"/>
      <c r="J114" s="11"/>
      <c r="K114" s="11"/>
      <c r="L114" s="11"/>
      <c r="M114" s="11"/>
      <c r="N114" s="11"/>
      <c r="O114" s="12" t="str">
        <f t="shared" si="4"/>
        <v/>
      </c>
      <c r="P114" s="12" t="str">
        <f t="shared" si="5"/>
        <v/>
      </c>
      <c r="Q114" s="12" t="str">
        <f t="shared" si="6"/>
        <v/>
      </c>
      <c r="R114" s="12" t="str">
        <f t="shared" si="7"/>
        <v/>
      </c>
      <c r="S114" s="8"/>
      <c r="T114" s="8"/>
      <c r="U114" s="10"/>
      <c r="V114" s="8"/>
    </row>
    <row r="115" spans="1:22">
      <c r="A115" s="8"/>
      <c r="B115" s="10"/>
      <c r="C115" s="8"/>
      <c r="D115" s="8"/>
      <c r="E115" s="8"/>
      <c r="F115" s="8"/>
      <c r="G115" s="8"/>
      <c r="H115" s="8"/>
      <c r="I115" s="11"/>
      <c r="J115" s="11"/>
      <c r="K115" s="11"/>
      <c r="L115" s="11"/>
      <c r="M115" s="11"/>
      <c r="N115" s="11"/>
      <c r="O115" s="12" t="str">
        <f t="shared" si="4"/>
        <v/>
      </c>
      <c r="P115" s="12" t="str">
        <f t="shared" si="5"/>
        <v/>
      </c>
      <c r="Q115" s="12" t="str">
        <f t="shared" si="6"/>
        <v/>
      </c>
      <c r="R115" s="12" t="str">
        <f t="shared" si="7"/>
        <v/>
      </c>
      <c r="S115" s="8"/>
      <c r="T115" s="8"/>
      <c r="U115" s="10"/>
      <c r="V115" s="8"/>
    </row>
    <row r="116" spans="1:22">
      <c r="A116" s="8"/>
      <c r="B116" s="10"/>
      <c r="C116" s="8"/>
      <c r="D116" s="8"/>
      <c r="E116" s="8"/>
      <c r="F116" s="8"/>
      <c r="G116" s="8"/>
      <c r="H116" s="8"/>
      <c r="I116" s="11"/>
      <c r="J116" s="11"/>
      <c r="K116" s="11"/>
      <c r="L116" s="11"/>
      <c r="M116" s="11"/>
      <c r="N116" s="11"/>
      <c r="O116" s="12" t="str">
        <f t="shared" si="4"/>
        <v/>
      </c>
      <c r="P116" s="12" t="str">
        <f t="shared" si="5"/>
        <v/>
      </c>
      <c r="Q116" s="12" t="str">
        <f t="shared" si="6"/>
        <v/>
      </c>
      <c r="R116" s="12" t="str">
        <f t="shared" si="7"/>
        <v/>
      </c>
      <c r="S116" s="8"/>
      <c r="T116" s="8"/>
      <c r="U116" s="10"/>
      <c r="V116" s="8"/>
    </row>
    <row r="117" spans="1:22">
      <c r="A117" s="8"/>
      <c r="B117" s="10"/>
      <c r="C117" s="8"/>
      <c r="D117" s="8"/>
      <c r="E117" s="8"/>
      <c r="F117" s="8"/>
      <c r="G117" s="8"/>
      <c r="H117" s="8"/>
      <c r="I117" s="11"/>
      <c r="J117" s="11"/>
      <c r="K117" s="11"/>
      <c r="L117" s="11"/>
      <c r="M117" s="11"/>
      <c r="N117" s="11"/>
      <c r="O117" s="12" t="str">
        <f t="shared" si="4"/>
        <v/>
      </c>
      <c r="P117" s="12" t="str">
        <f t="shared" si="5"/>
        <v/>
      </c>
      <c r="Q117" s="12" t="str">
        <f t="shared" si="6"/>
        <v/>
      </c>
      <c r="R117" s="12" t="str">
        <f t="shared" si="7"/>
        <v/>
      </c>
      <c r="S117" s="8"/>
      <c r="T117" s="8"/>
      <c r="U117" s="10"/>
      <c r="V117" s="8"/>
    </row>
    <row r="118" spans="1:22">
      <c r="A118" s="8"/>
      <c r="B118" s="10"/>
      <c r="C118" s="8"/>
      <c r="D118" s="8"/>
      <c r="E118" s="8"/>
      <c r="F118" s="8"/>
      <c r="G118" s="8"/>
      <c r="H118" s="8"/>
      <c r="I118" s="11"/>
      <c r="J118" s="11"/>
      <c r="K118" s="11"/>
      <c r="L118" s="11"/>
      <c r="M118" s="11"/>
      <c r="N118" s="11"/>
      <c r="O118" s="12" t="str">
        <f t="shared" si="4"/>
        <v/>
      </c>
      <c r="P118" s="12" t="str">
        <f t="shared" si="5"/>
        <v/>
      </c>
      <c r="Q118" s="12" t="str">
        <f t="shared" si="6"/>
        <v/>
      </c>
      <c r="R118" s="12" t="str">
        <f t="shared" si="7"/>
        <v/>
      </c>
      <c r="S118" s="8"/>
      <c r="T118" s="8"/>
      <c r="U118" s="10"/>
      <c r="V118" s="8"/>
    </row>
    <row r="119" spans="1:22">
      <c r="A119" s="8"/>
      <c r="B119" s="10"/>
      <c r="C119" s="8"/>
      <c r="D119" s="8"/>
      <c r="E119" s="8"/>
      <c r="F119" s="8"/>
      <c r="G119" s="8"/>
      <c r="H119" s="8"/>
      <c r="I119" s="11"/>
      <c r="J119" s="11"/>
      <c r="K119" s="11"/>
      <c r="L119" s="11"/>
      <c r="M119" s="11"/>
      <c r="N119" s="11"/>
      <c r="O119" s="12" t="str">
        <f t="shared" si="4"/>
        <v/>
      </c>
      <c r="P119" s="12" t="str">
        <f t="shared" si="5"/>
        <v/>
      </c>
      <c r="Q119" s="12" t="str">
        <f t="shared" si="6"/>
        <v/>
      </c>
      <c r="R119" s="12" t="str">
        <f t="shared" si="7"/>
        <v/>
      </c>
      <c r="S119" s="8"/>
      <c r="T119" s="8"/>
      <c r="U119" s="10"/>
      <c r="V119" s="8"/>
    </row>
    <row r="120" spans="1:22">
      <c r="A120" s="8"/>
      <c r="B120" s="10"/>
      <c r="C120" s="8"/>
      <c r="D120" s="8"/>
      <c r="E120" s="8"/>
      <c r="F120" s="8"/>
      <c r="G120" s="8"/>
      <c r="H120" s="8"/>
      <c r="I120" s="11"/>
      <c r="J120" s="11"/>
      <c r="K120" s="11"/>
      <c r="L120" s="11"/>
      <c r="M120" s="11"/>
      <c r="N120" s="11"/>
      <c r="O120" s="12" t="str">
        <f t="shared" si="4"/>
        <v/>
      </c>
      <c r="P120" s="12" t="str">
        <f t="shared" si="5"/>
        <v/>
      </c>
      <c r="Q120" s="12" t="str">
        <f t="shared" si="6"/>
        <v/>
      </c>
      <c r="R120" s="12" t="str">
        <f t="shared" si="7"/>
        <v/>
      </c>
      <c r="S120" s="8"/>
      <c r="T120" s="8"/>
      <c r="U120" s="10"/>
      <c r="V120" s="8"/>
    </row>
    <row r="121" spans="1:22">
      <c r="A121" s="8"/>
      <c r="B121" s="10"/>
      <c r="C121" s="8"/>
      <c r="D121" s="8"/>
      <c r="E121" s="8"/>
      <c r="F121" s="8"/>
      <c r="G121" s="8"/>
      <c r="H121" s="8"/>
      <c r="I121" s="11"/>
      <c r="J121" s="11"/>
      <c r="K121" s="11"/>
      <c r="L121" s="11"/>
      <c r="M121" s="11"/>
      <c r="N121" s="11"/>
      <c r="O121" s="12" t="str">
        <f t="shared" si="4"/>
        <v/>
      </c>
      <c r="P121" s="12" t="str">
        <f t="shared" si="5"/>
        <v/>
      </c>
      <c r="Q121" s="12" t="str">
        <f t="shared" si="6"/>
        <v/>
      </c>
      <c r="R121" s="12" t="str">
        <f t="shared" si="7"/>
        <v/>
      </c>
      <c r="S121" s="8"/>
      <c r="T121" s="8"/>
      <c r="U121" s="10"/>
      <c r="V121" s="8"/>
    </row>
    <row r="122" spans="1:22">
      <c r="A122" s="8"/>
      <c r="B122" s="10"/>
      <c r="C122" s="8"/>
      <c r="D122" s="8"/>
      <c r="E122" s="8"/>
      <c r="F122" s="8"/>
      <c r="G122" s="8"/>
      <c r="H122" s="8"/>
      <c r="I122" s="11"/>
      <c r="J122" s="11"/>
      <c r="K122" s="11"/>
      <c r="L122" s="11"/>
      <c r="M122" s="11"/>
      <c r="N122" s="11"/>
      <c r="O122" s="12" t="str">
        <f t="shared" si="4"/>
        <v/>
      </c>
      <c r="P122" s="12" t="str">
        <f t="shared" si="5"/>
        <v/>
      </c>
      <c r="Q122" s="12" t="str">
        <f t="shared" si="6"/>
        <v/>
      </c>
      <c r="R122" s="12" t="str">
        <f t="shared" si="7"/>
        <v/>
      </c>
      <c r="S122" s="8"/>
      <c r="T122" s="8"/>
      <c r="U122" s="10"/>
      <c r="V122" s="8"/>
    </row>
    <row r="123" spans="1:22">
      <c r="A123" s="8"/>
      <c r="B123" s="10"/>
      <c r="C123" s="8"/>
      <c r="D123" s="8"/>
      <c r="E123" s="8"/>
      <c r="F123" s="8"/>
      <c r="G123" s="8"/>
      <c r="H123" s="8"/>
      <c r="I123" s="11"/>
      <c r="J123" s="11"/>
      <c r="K123" s="11"/>
      <c r="L123" s="11"/>
      <c r="M123" s="11"/>
      <c r="N123" s="11"/>
      <c r="O123" s="12" t="str">
        <f t="shared" si="4"/>
        <v/>
      </c>
      <c r="P123" s="12" t="str">
        <f t="shared" si="5"/>
        <v/>
      </c>
      <c r="Q123" s="12" t="str">
        <f t="shared" si="6"/>
        <v/>
      </c>
      <c r="R123" s="12" t="str">
        <f t="shared" si="7"/>
        <v/>
      </c>
      <c r="S123" s="8"/>
      <c r="T123" s="8"/>
      <c r="U123" s="10"/>
      <c r="V123" s="8"/>
    </row>
    <row r="124" spans="1:22">
      <c r="A124" s="8"/>
      <c r="B124" s="10"/>
      <c r="C124" s="8"/>
      <c r="D124" s="8"/>
      <c r="E124" s="8"/>
      <c r="F124" s="8"/>
      <c r="G124" s="8"/>
      <c r="H124" s="8"/>
      <c r="I124" s="11"/>
      <c r="J124" s="11"/>
      <c r="K124" s="11"/>
      <c r="L124" s="11"/>
      <c r="M124" s="11"/>
      <c r="N124" s="11"/>
      <c r="O124" s="12" t="str">
        <f t="shared" si="4"/>
        <v/>
      </c>
      <c r="P124" s="12" t="str">
        <f t="shared" si="5"/>
        <v/>
      </c>
      <c r="Q124" s="12" t="str">
        <f t="shared" si="6"/>
        <v/>
      </c>
      <c r="R124" s="12" t="str">
        <f t="shared" si="7"/>
        <v/>
      </c>
      <c r="S124" s="8"/>
      <c r="T124" s="8"/>
      <c r="U124" s="10"/>
      <c r="V124" s="8"/>
    </row>
    <row r="125" spans="1:22">
      <c r="A125" s="8"/>
      <c r="B125" s="10"/>
      <c r="C125" s="8"/>
      <c r="D125" s="8"/>
      <c r="E125" s="8"/>
      <c r="F125" s="8"/>
      <c r="G125" s="8"/>
      <c r="H125" s="8"/>
      <c r="I125" s="11"/>
      <c r="J125" s="11"/>
      <c r="K125" s="11"/>
      <c r="L125" s="11"/>
      <c r="M125" s="11"/>
      <c r="N125" s="11"/>
      <c r="O125" s="12" t="str">
        <f t="shared" si="4"/>
        <v/>
      </c>
      <c r="P125" s="12" t="str">
        <f t="shared" si="5"/>
        <v/>
      </c>
      <c r="Q125" s="12" t="str">
        <f t="shared" si="6"/>
        <v/>
      </c>
      <c r="R125" s="12" t="str">
        <f t="shared" si="7"/>
        <v/>
      </c>
      <c r="S125" s="8"/>
      <c r="T125" s="8"/>
      <c r="U125" s="10"/>
      <c r="V125" s="8"/>
    </row>
    <row r="126" spans="1:22">
      <c r="A126" s="8"/>
      <c r="B126" s="10"/>
      <c r="C126" s="8"/>
      <c r="D126" s="8"/>
      <c r="E126" s="8"/>
      <c r="F126" s="8"/>
      <c r="G126" s="8"/>
      <c r="H126" s="8"/>
      <c r="I126" s="11"/>
      <c r="J126" s="11"/>
      <c r="K126" s="11"/>
      <c r="L126" s="11"/>
      <c r="M126" s="11"/>
      <c r="N126" s="11"/>
      <c r="O126" s="12" t="str">
        <f t="shared" si="4"/>
        <v/>
      </c>
      <c r="P126" s="12" t="str">
        <f t="shared" si="5"/>
        <v/>
      </c>
      <c r="Q126" s="12" t="str">
        <f t="shared" si="6"/>
        <v/>
      </c>
      <c r="R126" s="12" t="str">
        <f t="shared" si="7"/>
        <v/>
      </c>
      <c r="S126" s="8"/>
      <c r="T126" s="8"/>
      <c r="U126" s="10"/>
      <c r="V126" s="8"/>
    </row>
    <row r="127" spans="1:22">
      <c r="A127" s="8"/>
      <c r="B127" s="10"/>
      <c r="C127" s="8"/>
      <c r="D127" s="8"/>
      <c r="E127" s="8"/>
      <c r="F127" s="8"/>
      <c r="G127" s="8"/>
      <c r="H127" s="8"/>
      <c r="I127" s="11"/>
      <c r="J127" s="11"/>
      <c r="K127" s="11"/>
      <c r="L127" s="11"/>
      <c r="M127" s="11"/>
      <c r="N127" s="11"/>
      <c r="O127" s="12" t="str">
        <f t="shared" si="4"/>
        <v/>
      </c>
      <c r="P127" s="12" t="str">
        <f t="shared" si="5"/>
        <v/>
      </c>
      <c r="Q127" s="12" t="str">
        <f t="shared" si="6"/>
        <v/>
      </c>
      <c r="R127" s="12" t="str">
        <f t="shared" si="7"/>
        <v/>
      </c>
      <c r="S127" s="8"/>
      <c r="T127" s="8"/>
      <c r="U127" s="10"/>
      <c r="V127" s="8"/>
    </row>
    <row r="128" spans="1:22">
      <c r="A128" s="8"/>
      <c r="B128" s="10"/>
      <c r="C128" s="8"/>
      <c r="D128" s="8"/>
      <c r="E128" s="8"/>
      <c r="F128" s="8"/>
      <c r="G128" s="8"/>
      <c r="H128" s="8"/>
      <c r="I128" s="11"/>
      <c r="J128" s="11"/>
      <c r="K128" s="11"/>
      <c r="L128" s="11"/>
      <c r="M128" s="11"/>
      <c r="N128" s="11"/>
      <c r="O128" s="12" t="str">
        <f t="shared" si="4"/>
        <v/>
      </c>
      <c r="P128" s="12" t="str">
        <f t="shared" si="5"/>
        <v/>
      </c>
      <c r="Q128" s="12" t="str">
        <f t="shared" si="6"/>
        <v/>
      </c>
      <c r="R128" s="12" t="str">
        <f t="shared" si="7"/>
        <v/>
      </c>
      <c r="S128" s="8"/>
      <c r="T128" s="8"/>
      <c r="U128" s="10"/>
      <c r="V128" s="8"/>
    </row>
    <row r="129" spans="1:22">
      <c r="A129" s="8"/>
      <c r="B129" s="10"/>
      <c r="C129" s="8"/>
      <c r="D129" s="8"/>
      <c r="E129" s="8"/>
      <c r="F129" s="8"/>
      <c r="G129" s="8"/>
      <c r="H129" s="8"/>
      <c r="I129" s="11"/>
      <c r="J129" s="11"/>
      <c r="K129" s="11"/>
      <c r="L129" s="11"/>
      <c r="M129" s="11"/>
      <c r="N129" s="11"/>
      <c r="O129" s="12" t="str">
        <f t="shared" si="4"/>
        <v/>
      </c>
      <c r="P129" s="12" t="str">
        <f t="shared" si="5"/>
        <v/>
      </c>
      <c r="Q129" s="12" t="str">
        <f t="shared" si="6"/>
        <v/>
      </c>
      <c r="R129" s="12" t="str">
        <f t="shared" si="7"/>
        <v/>
      </c>
      <c r="S129" s="8"/>
      <c r="T129" s="8"/>
      <c r="U129" s="10"/>
      <c r="V129" s="8"/>
    </row>
    <row r="130" spans="1:22">
      <c r="A130" s="8"/>
      <c r="B130" s="10"/>
      <c r="C130" s="8"/>
      <c r="D130" s="8"/>
      <c r="E130" s="8"/>
      <c r="F130" s="8"/>
      <c r="G130" s="8"/>
      <c r="H130" s="8"/>
      <c r="I130" s="11"/>
      <c r="J130" s="11"/>
      <c r="K130" s="11"/>
      <c r="L130" s="11"/>
      <c r="M130" s="11"/>
      <c r="N130" s="11"/>
      <c r="O130" s="12" t="str">
        <f t="shared" si="4"/>
        <v/>
      </c>
      <c r="P130" s="12" t="str">
        <f t="shared" si="5"/>
        <v/>
      </c>
      <c r="Q130" s="12" t="str">
        <f t="shared" si="6"/>
        <v/>
      </c>
      <c r="R130" s="12" t="str">
        <f t="shared" si="7"/>
        <v/>
      </c>
      <c r="S130" s="8"/>
      <c r="T130" s="8"/>
      <c r="U130" s="10"/>
      <c r="V130" s="8"/>
    </row>
    <row r="131" spans="1:22">
      <c r="A131" s="8"/>
      <c r="B131" s="10"/>
      <c r="C131" s="8"/>
      <c r="D131" s="8"/>
      <c r="E131" s="8"/>
      <c r="F131" s="8"/>
      <c r="G131" s="8"/>
      <c r="H131" s="8"/>
      <c r="I131" s="11"/>
      <c r="J131" s="11"/>
      <c r="K131" s="11"/>
      <c r="L131" s="11"/>
      <c r="M131" s="11"/>
      <c r="N131" s="11"/>
      <c r="O131" s="12" t="str">
        <f t="shared" si="4"/>
        <v/>
      </c>
      <c r="P131" s="12" t="str">
        <f t="shared" si="5"/>
        <v/>
      </c>
      <c r="Q131" s="12" t="str">
        <f t="shared" si="6"/>
        <v/>
      </c>
      <c r="R131" s="12" t="str">
        <f t="shared" si="7"/>
        <v/>
      </c>
      <c r="S131" s="8"/>
      <c r="T131" s="8"/>
      <c r="U131" s="10"/>
      <c r="V131" s="8"/>
    </row>
    <row r="132" spans="1:22">
      <c r="A132" s="8"/>
      <c r="B132" s="10"/>
      <c r="C132" s="8"/>
      <c r="D132" s="8"/>
      <c r="E132" s="8"/>
      <c r="F132" s="8"/>
      <c r="G132" s="8"/>
      <c r="H132" s="8"/>
      <c r="I132" s="11"/>
      <c r="J132" s="11"/>
      <c r="K132" s="11"/>
      <c r="L132" s="11"/>
      <c r="M132" s="11"/>
      <c r="N132" s="11"/>
      <c r="O132" s="12" t="str">
        <f t="shared" si="4"/>
        <v/>
      </c>
      <c r="P132" s="12" t="str">
        <f t="shared" si="5"/>
        <v/>
      </c>
      <c r="Q132" s="12" t="str">
        <f t="shared" si="6"/>
        <v/>
      </c>
      <c r="R132" s="12" t="str">
        <f t="shared" si="7"/>
        <v/>
      </c>
      <c r="S132" s="8"/>
      <c r="T132" s="8"/>
      <c r="U132" s="10"/>
      <c r="V132" s="8"/>
    </row>
    <row r="133" spans="1:22">
      <c r="A133" s="8"/>
      <c r="B133" s="10"/>
      <c r="C133" s="8"/>
      <c r="D133" s="8"/>
      <c r="E133" s="8"/>
      <c r="F133" s="8"/>
      <c r="G133" s="8"/>
      <c r="H133" s="8"/>
      <c r="I133" s="11"/>
      <c r="J133" s="11"/>
      <c r="K133" s="11"/>
      <c r="L133" s="11"/>
      <c r="M133" s="11"/>
      <c r="N133" s="11"/>
      <c r="O133" s="12" t="str">
        <f t="shared" ref="O133:O196" si="8">IF(A133="","",K133-I133)</f>
        <v/>
      </c>
      <c r="P133" s="12" t="str">
        <f t="shared" ref="P133:P196" si="9">IF(A133="","",MAX(0,I133-K133))</f>
        <v/>
      </c>
      <c r="Q133" s="12" t="str">
        <f t="shared" ref="Q133:Q196" si="10">IF(A133="","",MAX(0,K133-I133))</f>
        <v/>
      </c>
      <c r="R133" s="12" t="str">
        <f t="shared" ref="R133:R196" si="11">IF(A133="","",K133-N133)</f>
        <v/>
      </c>
      <c r="S133" s="8"/>
      <c r="T133" s="8"/>
      <c r="U133" s="10"/>
      <c r="V133" s="8"/>
    </row>
    <row r="134" spans="1:22">
      <c r="A134" s="8"/>
      <c r="B134" s="10"/>
      <c r="C134" s="8"/>
      <c r="D134" s="8"/>
      <c r="E134" s="8"/>
      <c r="F134" s="8"/>
      <c r="G134" s="8"/>
      <c r="H134" s="8"/>
      <c r="I134" s="11"/>
      <c r="J134" s="11"/>
      <c r="K134" s="11"/>
      <c r="L134" s="11"/>
      <c r="M134" s="11"/>
      <c r="N134" s="11"/>
      <c r="O134" s="12" t="str">
        <f t="shared" si="8"/>
        <v/>
      </c>
      <c r="P134" s="12" t="str">
        <f t="shared" si="9"/>
        <v/>
      </c>
      <c r="Q134" s="12" t="str">
        <f t="shared" si="10"/>
        <v/>
      </c>
      <c r="R134" s="12" t="str">
        <f t="shared" si="11"/>
        <v/>
      </c>
      <c r="S134" s="8"/>
      <c r="T134" s="8"/>
      <c r="U134" s="10"/>
      <c r="V134" s="8"/>
    </row>
    <row r="135" spans="1:22">
      <c r="A135" s="8"/>
      <c r="B135" s="10"/>
      <c r="C135" s="8"/>
      <c r="D135" s="8"/>
      <c r="E135" s="8"/>
      <c r="F135" s="8"/>
      <c r="G135" s="8"/>
      <c r="H135" s="8"/>
      <c r="I135" s="11"/>
      <c r="J135" s="11"/>
      <c r="K135" s="11"/>
      <c r="L135" s="11"/>
      <c r="M135" s="11"/>
      <c r="N135" s="11"/>
      <c r="O135" s="12" t="str">
        <f t="shared" si="8"/>
        <v/>
      </c>
      <c r="P135" s="12" t="str">
        <f t="shared" si="9"/>
        <v/>
      </c>
      <c r="Q135" s="12" t="str">
        <f t="shared" si="10"/>
        <v/>
      </c>
      <c r="R135" s="12" t="str">
        <f t="shared" si="11"/>
        <v/>
      </c>
      <c r="S135" s="8"/>
      <c r="T135" s="8"/>
      <c r="U135" s="10"/>
      <c r="V135" s="8"/>
    </row>
    <row r="136" spans="1:22">
      <c r="A136" s="8"/>
      <c r="B136" s="10"/>
      <c r="C136" s="8"/>
      <c r="D136" s="8"/>
      <c r="E136" s="8"/>
      <c r="F136" s="8"/>
      <c r="G136" s="8"/>
      <c r="H136" s="8"/>
      <c r="I136" s="11"/>
      <c r="J136" s="11"/>
      <c r="K136" s="11"/>
      <c r="L136" s="11"/>
      <c r="M136" s="11"/>
      <c r="N136" s="11"/>
      <c r="O136" s="12" t="str">
        <f t="shared" si="8"/>
        <v/>
      </c>
      <c r="P136" s="12" t="str">
        <f t="shared" si="9"/>
        <v/>
      </c>
      <c r="Q136" s="12" t="str">
        <f t="shared" si="10"/>
        <v/>
      </c>
      <c r="R136" s="12" t="str">
        <f t="shared" si="11"/>
        <v/>
      </c>
      <c r="S136" s="8"/>
      <c r="T136" s="8"/>
      <c r="U136" s="10"/>
      <c r="V136" s="8"/>
    </row>
    <row r="137" spans="1:22">
      <c r="A137" s="8"/>
      <c r="B137" s="10"/>
      <c r="C137" s="8"/>
      <c r="D137" s="8"/>
      <c r="E137" s="8"/>
      <c r="F137" s="8"/>
      <c r="G137" s="8"/>
      <c r="H137" s="8"/>
      <c r="I137" s="11"/>
      <c r="J137" s="11"/>
      <c r="K137" s="11"/>
      <c r="L137" s="11"/>
      <c r="M137" s="11"/>
      <c r="N137" s="11"/>
      <c r="O137" s="12" t="str">
        <f t="shared" si="8"/>
        <v/>
      </c>
      <c r="P137" s="12" t="str">
        <f t="shared" si="9"/>
        <v/>
      </c>
      <c r="Q137" s="12" t="str">
        <f t="shared" si="10"/>
        <v/>
      </c>
      <c r="R137" s="12" t="str">
        <f t="shared" si="11"/>
        <v/>
      </c>
      <c r="S137" s="8"/>
      <c r="T137" s="8"/>
      <c r="U137" s="10"/>
      <c r="V137" s="8"/>
    </row>
    <row r="138" spans="1:22">
      <c r="A138" s="8"/>
      <c r="B138" s="10"/>
      <c r="C138" s="8"/>
      <c r="D138" s="8"/>
      <c r="E138" s="8"/>
      <c r="F138" s="8"/>
      <c r="G138" s="8"/>
      <c r="H138" s="8"/>
      <c r="I138" s="11"/>
      <c r="J138" s="11"/>
      <c r="K138" s="11"/>
      <c r="L138" s="11"/>
      <c r="M138" s="11"/>
      <c r="N138" s="11"/>
      <c r="O138" s="12" t="str">
        <f t="shared" si="8"/>
        <v/>
      </c>
      <c r="P138" s="12" t="str">
        <f t="shared" si="9"/>
        <v/>
      </c>
      <c r="Q138" s="12" t="str">
        <f t="shared" si="10"/>
        <v/>
      </c>
      <c r="R138" s="12" t="str">
        <f t="shared" si="11"/>
        <v/>
      </c>
      <c r="S138" s="8"/>
      <c r="T138" s="8"/>
      <c r="U138" s="10"/>
      <c r="V138" s="8"/>
    </row>
    <row r="139" spans="1:22">
      <c r="A139" s="8"/>
      <c r="B139" s="10"/>
      <c r="C139" s="8"/>
      <c r="D139" s="8"/>
      <c r="E139" s="8"/>
      <c r="F139" s="8"/>
      <c r="G139" s="8"/>
      <c r="H139" s="8"/>
      <c r="I139" s="11"/>
      <c r="J139" s="11"/>
      <c r="K139" s="11"/>
      <c r="L139" s="11"/>
      <c r="M139" s="11"/>
      <c r="N139" s="11"/>
      <c r="O139" s="12" t="str">
        <f t="shared" si="8"/>
        <v/>
      </c>
      <c r="P139" s="12" t="str">
        <f t="shared" si="9"/>
        <v/>
      </c>
      <c r="Q139" s="12" t="str">
        <f t="shared" si="10"/>
        <v/>
      </c>
      <c r="R139" s="12" t="str">
        <f t="shared" si="11"/>
        <v/>
      </c>
      <c r="S139" s="8"/>
      <c r="T139" s="8"/>
      <c r="U139" s="10"/>
      <c r="V139" s="8"/>
    </row>
    <row r="140" spans="1:22">
      <c r="A140" s="8"/>
      <c r="B140" s="10"/>
      <c r="C140" s="8"/>
      <c r="D140" s="8"/>
      <c r="E140" s="8"/>
      <c r="F140" s="8"/>
      <c r="G140" s="8"/>
      <c r="H140" s="8"/>
      <c r="I140" s="11"/>
      <c r="J140" s="11"/>
      <c r="K140" s="11"/>
      <c r="L140" s="11"/>
      <c r="M140" s="11"/>
      <c r="N140" s="11"/>
      <c r="O140" s="12" t="str">
        <f t="shared" si="8"/>
        <v/>
      </c>
      <c r="P140" s="12" t="str">
        <f t="shared" si="9"/>
        <v/>
      </c>
      <c r="Q140" s="12" t="str">
        <f t="shared" si="10"/>
        <v/>
      </c>
      <c r="R140" s="12" t="str">
        <f t="shared" si="11"/>
        <v/>
      </c>
      <c r="S140" s="8"/>
      <c r="T140" s="8"/>
      <c r="U140" s="10"/>
      <c r="V140" s="8"/>
    </row>
    <row r="141" spans="1:22">
      <c r="A141" s="8"/>
      <c r="B141" s="10"/>
      <c r="C141" s="8"/>
      <c r="D141" s="8"/>
      <c r="E141" s="8"/>
      <c r="F141" s="8"/>
      <c r="G141" s="8"/>
      <c r="H141" s="8"/>
      <c r="I141" s="11"/>
      <c r="J141" s="11"/>
      <c r="K141" s="11"/>
      <c r="L141" s="11"/>
      <c r="M141" s="11"/>
      <c r="N141" s="11"/>
      <c r="O141" s="12" t="str">
        <f t="shared" si="8"/>
        <v/>
      </c>
      <c r="P141" s="12" t="str">
        <f t="shared" si="9"/>
        <v/>
      </c>
      <c r="Q141" s="12" t="str">
        <f t="shared" si="10"/>
        <v/>
      </c>
      <c r="R141" s="12" t="str">
        <f t="shared" si="11"/>
        <v/>
      </c>
      <c r="S141" s="8"/>
      <c r="T141" s="8"/>
      <c r="U141" s="10"/>
      <c r="V141" s="8"/>
    </row>
    <row r="142" spans="1:22">
      <c r="A142" s="8"/>
      <c r="B142" s="10"/>
      <c r="C142" s="8"/>
      <c r="D142" s="8"/>
      <c r="E142" s="8"/>
      <c r="F142" s="8"/>
      <c r="G142" s="8"/>
      <c r="H142" s="8"/>
      <c r="I142" s="11"/>
      <c r="J142" s="11"/>
      <c r="K142" s="11"/>
      <c r="L142" s="11"/>
      <c r="M142" s="11"/>
      <c r="N142" s="11"/>
      <c r="O142" s="12" t="str">
        <f t="shared" si="8"/>
        <v/>
      </c>
      <c r="P142" s="12" t="str">
        <f t="shared" si="9"/>
        <v/>
      </c>
      <c r="Q142" s="12" t="str">
        <f t="shared" si="10"/>
        <v/>
      </c>
      <c r="R142" s="12" t="str">
        <f t="shared" si="11"/>
        <v/>
      </c>
      <c r="S142" s="8"/>
      <c r="T142" s="8"/>
      <c r="U142" s="10"/>
      <c r="V142" s="8"/>
    </row>
    <row r="143" spans="1:22">
      <c r="A143" s="8"/>
      <c r="B143" s="10"/>
      <c r="C143" s="8"/>
      <c r="D143" s="8"/>
      <c r="E143" s="8"/>
      <c r="F143" s="8"/>
      <c r="G143" s="8"/>
      <c r="H143" s="8"/>
      <c r="I143" s="11"/>
      <c r="J143" s="11"/>
      <c r="K143" s="11"/>
      <c r="L143" s="11"/>
      <c r="M143" s="11"/>
      <c r="N143" s="11"/>
      <c r="O143" s="12" t="str">
        <f t="shared" si="8"/>
        <v/>
      </c>
      <c r="P143" s="12" t="str">
        <f t="shared" si="9"/>
        <v/>
      </c>
      <c r="Q143" s="12" t="str">
        <f t="shared" si="10"/>
        <v/>
      </c>
      <c r="R143" s="12" t="str">
        <f t="shared" si="11"/>
        <v/>
      </c>
      <c r="S143" s="8"/>
      <c r="T143" s="8"/>
      <c r="U143" s="10"/>
      <c r="V143" s="8"/>
    </row>
    <row r="144" spans="1:22">
      <c r="A144" s="8"/>
      <c r="B144" s="10"/>
      <c r="C144" s="8"/>
      <c r="D144" s="8"/>
      <c r="E144" s="8"/>
      <c r="F144" s="8"/>
      <c r="G144" s="8"/>
      <c r="H144" s="8"/>
      <c r="I144" s="11"/>
      <c r="J144" s="11"/>
      <c r="K144" s="11"/>
      <c r="L144" s="11"/>
      <c r="M144" s="11"/>
      <c r="N144" s="11"/>
      <c r="O144" s="12" t="str">
        <f t="shared" si="8"/>
        <v/>
      </c>
      <c r="P144" s="12" t="str">
        <f t="shared" si="9"/>
        <v/>
      </c>
      <c r="Q144" s="12" t="str">
        <f t="shared" si="10"/>
        <v/>
      </c>
      <c r="R144" s="12" t="str">
        <f t="shared" si="11"/>
        <v/>
      </c>
      <c r="S144" s="8"/>
      <c r="T144" s="8"/>
      <c r="U144" s="10"/>
      <c r="V144" s="8"/>
    </row>
    <row r="145" spans="1:22">
      <c r="A145" s="8"/>
      <c r="B145" s="10"/>
      <c r="C145" s="8"/>
      <c r="D145" s="8"/>
      <c r="E145" s="8"/>
      <c r="F145" s="8"/>
      <c r="G145" s="8"/>
      <c r="H145" s="8"/>
      <c r="I145" s="11"/>
      <c r="J145" s="11"/>
      <c r="K145" s="11"/>
      <c r="L145" s="11"/>
      <c r="M145" s="11"/>
      <c r="N145" s="11"/>
      <c r="O145" s="12" t="str">
        <f t="shared" si="8"/>
        <v/>
      </c>
      <c r="P145" s="12" t="str">
        <f t="shared" si="9"/>
        <v/>
      </c>
      <c r="Q145" s="12" t="str">
        <f t="shared" si="10"/>
        <v/>
      </c>
      <c r="R145" s="12" t="str">
        <f t="shared" si="11"/>
        <v/>
      </c>
      <c r="S145" s="8"/>
      <c r="T145" s="8"/>
      <c r="U145" s="10"/>
      <c r="V145" s="8"/>
    </row>
    <row r="146" spans="1:22">
      <c r="A146" s="8"/>
      <c r="B146" s="10"/>
      <c r="C146" s="8"/>
      <c r="D146" s="8"/>
      <c r="E146" s="8"/>
      <c r="F146" s="8"/>
      <c r="G146" s="8"/>
      <c r="H146" s="8"/>
      <c r="I146" s="11"/>
      <c r="J146" s="11"/>
      <c r="K146" s="11"/>
      <c r="L146" s="11"/>
      <c r="M146" s="11"/>
      <c r="N146" s="11"/>
      <c r="O146" s="12" t="str">
        <f t="shared" si="8"/>
        <v/>
      </c>
      <c r="P146" s="12" t="str">
        <f t="shared" si="9"/>
        <v/>
      </c>
      <c r="Q146" s="12" t="str">
        <f t="shared" si="10"/>
        <v/>
      </c>
      <c r="R146" s="12" t="str">
        <f t="shared" si="11"/>
        <v/>
      </c>
      <c r="S146" s="8"/>
      <c r="T146" s="8"/>
      <c r="U146" s="10"/>
      <c r="V146" s="8"/>
    </row>
    <row r="147" spans="1:22">
      <c r="A147" s="8"/>
      <c r="B147" s="10"/>
      <c r="C147" s="8"/>
      <c r="D147" s="8"/>
      <c r="E147" s="8"/>
      <c r="F147" s="8"/>
      <c r="G147" s="8"/>
      <c r="H147" s="8"/>
      <c r="I147" s="11"/>
      <c r="J147" s="11"/>
      <c r="K147" s="11"/>
      <c r="L147" s="11"/>
      <c r="M147" s="11"/>
      <c r="N147" s="11"/>
      <c r="O147" s="12" t="str">
        <f t="shared" si="8"/>
        <v/>
      </c>
      <c r="P147" s="12" t="str">
        <f t="shared" si="9"/>
        <v/>
      </c>
      <c r="Q147" s="12" t="str">
        <f t="shared" si="10"/>
        <v/>
      </c>
      <c r="R147" s="12" t="str">
        <f t="shared" si="11"/>
        <v/>
      </c>
      <c r="S147" s="8"/>
      <c r="T147" s="8"/>
      <c r="U147" s="10"/>
      <c r="V147" s="8"/>
    </row>
    <row r="148" spans="1:22">
      <c r="A148" s="8"/>
      <c r="B148" s="10"/>
      <c r="C148" s="8"/>
      <c r="D148" s="8"/>
      <c r="E148" s="8"/>
      <c r="F148" s="8"/>
      <c r="G148" s="8"/>
      <c r="H148" s="8"/>
      <c r="I148" s="11"/>
      <c r="J148" s="11"/>
      <c r="K148" s="11"/>
      <c r="L148" s="11"/>
      <c r="M148" s="11"/>
      <c r="N148" s="11"/>
      <c r="O148" s="12" t="str">
        <f t="shared" si="8"/>
        <v/>
      </c>
      <c r="P148" s="12" t="str">
        <f t="shared" si="9"/>
        <v/>
      </c>
      <c r="Q148" s="12" t="str">
        <f t="shared" si="10"/>
        <v/>
      </c>
      <c r="R148" s="12" t="str">
        <f t="shared" si="11"/>
        <v/>
      </c>
      <c r="S148" s="8"/>
      <c r="T148" s="8"/>
      <c r="U148" s="10"/>
      <c r="V148" s="8"/>
    </row>
    <row r="149" spans="1:22">
      <c r="A149" s="8"/>
      <c r="B149" s="10"/>
      <c r="C149" s="8"/>
      <c r="D149" s="8"/>
      <c r="E149" s="8"/>
      <c r="F149" s="8"/>
      <c r="G149" s="8"/>
      <c r="H149" s="8"/>
      <c r="I149" s="11"/>
      <c r="J149" s="11"/>
      <c r="K149" s="11"/>
      <c r="L149" s="11"/>
      <c r="M149" s="11"/>
      <c r="N149" s="11"/>
      <c r="O149" s="12" t="str">
        <f t="shared" si="8"/>
        <v/>
      </c>
      <c r="P149" s="12" t="str">
        <f t="shared" si="9"/>
        <v/>
      </c>
      <c r="Q149" s="12" t="str">
        <f t="shared" si="10"/>
        <v/>
      </c>
      <c r="R149" s="12" t="str">
        <f t="shared" si="11"/>
        <v/>
      </c>
      <c r="S149" s="8"/>
      <c r="T149" s="8"/>
      <c r="U149" s="10"/>
      <c r="V149" s="8"/>
    </row>
    <row r="150" spans="1:22">
      <c r="A150" s="8"/>
      <c r="B150" s="10"/>
      <c r="C150" s="8"/>
      <c r="D150" s="8"/>
      <c r="E150" s="8"/>
      <c r="F150" s="8"/>
      <c r="G150" s="8"/>
      <c r="H150" s="8"/>
      <c r="I150" s="11"/>
      <c r="J150" s="11"/>
      <c r="K150" s="11"/>
      <c r="L150" s="11"/>
      <c r="M150" s="11"/>
      <c r="N150" s="11"/>
      <c r="O150" s="12" t="str">
        <f t="shared" si="8"/>
        <v/>
      </c>
      <c r="P150" s="12" t="str">
        <f t="shared" si="9"/>
        <v/>
      </c>
      <c r="Q150" s="12" t="str">
        <f t="shared" si="10"/>
        <v/>
      </c>
      <c r="R150" s="12" t="str">
        <f t="shared" si="11"/>
        <v/>
      </c>
      <c r="S150" s="8"/>
      <c r="T150" s="8"/>
      <c r="U150" s="10"/>
      <c r="V150" s="8"/>
    </row>
    <row r="151" spans="1:22">
      <c r="A151" s="8"/>
      <c r="B151" s="10"/>
      <c r="C151" s="8"/>
      <c r="D151" s="8"/>
      <c r="E151" s="8"/>
      <c r="F151" s="8"/>
      <c r="G151" s="8"/>
      <c r="H151" s="8"/>
      <c r="I151" s="11"/>
      <c r="J151" s="11"/>
      <c r="K151" s="11"/>
      <c r="L151" s="11"/>
      <c r="M151" s="11"/>
      <c r="N151" s="11"/>
      <c r="O151" s="12" t="str">
        <f t="shared" si="8"/>
        <v/>
      </c>
      <c r="P151" s="12" t="str">
        <f t="shared" si="9"/>
        <v/>
      </c>
      <c r="Q151" s="12" t="str">
        <f t="shared" si="10"/>
        <v/>
      </c>
      <c r="R151" s="12" t="str">
        <f t="shared" si="11"/>
        <v/>
      </c>
      <c r="S151" s="8"/>
      <c r="T151" s="8"/>
      <c r="U151" s="10"/>
      <c r="V151" s="8"/>
    </row>
    <row r="152" spans="1:22">
      <c r="A152" s="8"/>
      <c r="B152" s="10"/>
      <c r="C152" s="8"/>
      <c r="D152" s="8"/>
      <c r="E152" s="8"/>
      <c r="F152" s="8"/>
      <c r="G152" s="8"/>
      <c r="H152" s="8"/>
      <c r="I152" s="11"/>
      <c r="J152" s="11"/>
      <c r="K152" s="11"/>
      <c r="L152" s="11"/>
      <c r="M152" s="11"/>
      <c r="N152" s="11"/>
      <c r="O152" s="12" t="str">
        <f t="shared" si="8"/>
        <v/>
      </c>
      <c r="P152" s="12" t="str">
        <f t="shared" si="9"/>
        <v/>
      </c>
      <c r="Q152" s="12" t="str">
        <f t="shared" si="10"/>
        <v/>
      </c>
      <c r="R152" s="12" t="str">
        <f t="shared" si="11"/>
        <v/>
      </c>
      <c r="S152" s="8"/>
      <c r="T152" s="8"/>
      <c r="U152" s="10"/>
      <c r="V152" s="8"/>
    </row>
    <row r="153" spans="1:22">
      <c r="A153" s="8"/>
      <c r="B153" s="10"/>
      <c r="C153" s="8"/>
      <c r="D153" s="8"/>
      <c r="E153" s="8"/>
      <c r="F153" s="8"/>
      <c r="G153" s="8"/>
      <c r="H153" s="8"/>
      <c r="I153" s="11"/>
      <c r="J153" s="11"/>
      <c r="K153" s="11"/>
      <c r="L153" s="11"/>
      <c r="M153" s="11"/>
      <c r="N153" s="11"/>
      <c r="O153" s="12" t="str">
        <f t="shared" si="8"/>
        <v/>
      </c>
      <c r="P153" s="12" t="str">
        <f t="shared" si="9"/>
        <v/>
      </c>
      <c r="Q153" s="12" t="str">
        <f t="shared" si="10"/>
        <v/>
      </c>
      <c r="R153" s="12" t="str">
        <f t="shared" si="11"/>
        <v/>
      </c>
      <c r="S153" s="8"/>
      <c r="T153" s="8"/>
      <c r="U153" s="10"/>
      <c r="V153" s="8"/>
    </row>
    <row r="154" spans="1:22">
      <c r="A154" s="8"/>
      <c r="B154" s="10"/>
      <c r="C154" s="8"/>
      <c r="D154" s="8"/>
      <c r="E154" s="8"/>
      <c r="F154" s="8"/>
      <c r="G154" s="8"/>
      <c r="H154" s="8"/>
      <c r="I154" s="11"/>
      <c r="J154" s="11"/>
      <c r="K154" s="11"/>
      <c r="L154" s="11"/>
      <c r="M154" s="11"/>
      <c r="N154" s="11"/>
      <c r="O154" s="12" t="str">
        <f t="shared" si="8"/>
        <v/>
      </c>
      <c r="P154" s="12" t="str">
        <f t="shared" si="9"/>
        <v/>
      </c>
      <c r="Q154" s="12" t="str">
        <f t="shared" si="10"/>
        <v/>
      </c>
      <c r="R154" s="12" t="str">
        <f t="shared" si="11"/>
        <v/>
      </c>
      <c r="S154" s="8"/>
      <c r="T154" s="8"/>
      <c r="U154" s="10"/>
      <c r="V154" s="8"/>
    </row>
    <row r="155" spans="1:22">
      <c r="A155" s="8"/>
      <c r="B155" s="10"/>
      <c r="C155" s="8"/>
      <c r="D155" s="8"/>
      <c r="E155" s="8"/>
      <c r="F155" s="8"/>
      <c r="G155" s="8"/>
      <c r="H155" s="8"/>
      <c r="I155" s="11"/>
      <c r="J155" s="11"/>
      <c r="K155" s="11"/>
      <c r="L155" s="11"/>
      <c r="M155" s="11"/>
      <c r="N155" s="11"/>
      <c r="O155" s="12" t="str">
        <f t="shared" si="8"/>
        <v/>
      </c>
      <c r="P155" s="12" t="str">
        <f t="shared" si="9"/>
        <v/>
      </c>
      <c r="Q155" s="12" t="str">
        <f t="shared" si="10"/>
        <v/>
      </c>
      <c r="R155" s="12" t="str">
        <f t="shared" si="11"/>
        <v/>
      </c>
      <c r="S155" s="8"/>
      <c r="T155" s="8"/>
      <c r="U155" s="10"/>
      <c r="V155" s="8"/>
    </row>
    <row r="156" spans="1:22">
      <c r="A156" s="8"/>
      <c r="B156" s="10"/>
      <c r="C156" s="8"/>
      <c r="D156" s="8"/>
      <c r="E156" s="8"/>
      <c r="F156" s="8"/>
      <c r="G156" s="8"/>
      <c r="H156" s="8"/>
      <c r="I156" s="11"/>
      <c r="J156" s="11"/>
      <c r="K156" s="11"/>
      <c r="L156" s="11"/>
      <c r="M156" s="11"/>
      <c r="N156" s="11"/>
      <c r="O156" s="12" t="str">
        <f t="shared" si="8"/>
        <v/>
      </c>
      <c r="P156" s="12" t="str">
        <f t="shared" si="9"/>
        <v/>
      </c>
      <c r="Q156" s="12" t="str">
        <f t="shared" si="10"/>
        <v/>
      </c>
      <c r="R156" s="12" t="str">
        <f t="shared" si="11"/>
        <v/>
      </c>
      <c r="S156" s="8"/>
      <c r="T156" s="8"/>
      <c r="U156" s="10"/>
      <c r="V156" s="8"/>
    </row>
    <row r="157" spans="1:22">
      <c r="A157" s="8"/>
      <c r="B157" s="10"/>
      <c r="C157" s="8"/>
      <c r="D157" s="8"/>
      <c r="E157" s="8"/>
      <c r="F157" s="8"/>
      <c r="G157" s="8"/>
      <c r="H157" s="8"/>
      <c r="I157" s="11"/>
      <c r="J157" s="11"/>
      <c r="K157" s="11"/>
      <c r="L157" s="11"/>
      <c r="M157" s="11"/>
      <c r="N157" s="11"/>
      <c r="O157" s="12" t="str">
        <f t="shared" si="8"/>
        <v/>
      </c>
      <c r="P157" s="12" t="str">
        <f t="shared" si="9"/>
        <v/>
      </c>
      <c r="Q157" s="12" t="str">
        <f t="shared" si="10"/>
        <v/>
      </c>
      <c r="R157" s="12" t="str">
        <f t="shared" si="11"/>
        <v/>
      </c>
      <c r="S157" s="8"/>
      <c r="T157" s="8"/>
      <c r="U157" s="10"/>
      <c r="V157" s="8"/>
    </row>
    <row r="158" spans="1:22">
      <c r="A158" s="8"/>
      <c r="B158" s="10"/>
      <c r="C158" s="8"/>
      <c r="D158" s="8"/>
      <c r="E158" s="8"/>
      <c r="F158" s="8"/>
      <c r="G158" s="8"/>
      <c r="H158" s="8"/>
      <c r="I158" s="11"/>
      <c r="J158" s="11"/>
      <c r="K158" s="11"/>
      <c r="L158" s="11"/>
      <c r="M158" s="11"/>
      <c r="N158" s="11"/>
      <c r="O158" s="12" t="str">
        <f t="shared" si="8"/>
        <v/>
      </c>
      <c r="P158" s="12" t="str">
        <f t="shared" si="9"/>
        <v/>
      </c>
      <c r="Q158" s="12" t="str">
        <f t="shared" si="10"/>
        <v/>
      </c>
      <c r="R158" s="12" t="str">
        <f t="shared" si="11"/>
        <v/>
      </c>
      <c r="S158" s="8"/>
      <c r="T158" s="8"/>
      <c r="U158" s="10"/>
      <c r="V158" s="8"/>
    </row>
    <row r="159" spans="1:22">
      <c r="A159" s="8"/>
      <c r="B159" s="10"/>
      <c r="C159" s="8"/>
      <c r="D159" s="8"/>
      <c r="E159" s="8"/>
      <c r="F159" s="8"/>
      <c r="G159" s="8"/>
      <c r="H159" s="8"/>
      <c r="I159" s="11"/>
      <c r="J159" s="11"/>
      <c r="K159" s="11"/>
      <c r="L159" s="11"/>
      <c r="M159" s="11"/>
      <c r="N159" s="11"/>
      <c r="O159" s="12" t="str">
        <f t="shared" si="8"/>
        <v/>
      </c>
      <c r="P159" s="12" t="str">
        <f t="shared" si="9"/>
        <v/>
      </c>
      <c r="Q159" s="12" t="str">
        <f t="shared" si="10"/>
        <v/>
      </c>
      <c r="R159" s="12" t="str">
        <f t="shared" si="11"/>
        <v/>
      </c>
      <c r="S159" s="8"/>
      <c r="T159" s="8"/>
      <c r="U159" s="10"/>
      <c r="V159" s="8"/>
    </row>
    <row r="160" spans="1:22">
      <c r="A160" s="8"/>
      <c r="B160" s="10"/>
      <c r="C160" s="8"/>
      <c r="D160" s="8"/>
      <c r="E160" s="8"/>
      <c r="F160" s="8"/>
      <c r="G160" s="8"/>
      <c r="H160" s="8"/>
      <c r="I160" s="11"/>
      <c r="J160" s="11"/>
      <c r="K160" s="11"/>
      <c r="L160" s="11"/>
      <c r="M160" s="11"/>
      <c r="N160" s="11"/>
      <c r="O160" s="12" t="str">
        <f t="shared" si="8"/>
        <v/>
      </c>
      <c r="P160" s="12" t="str">
        <f t="shared" si="9"/>
        <v/>
      </c>
      <c r="Q160" s="12" t="str">
        <f t="shared" si="10"/>
        <v/>
      </c>
      <c r="R160" s="12" t="str">
        <f t="shared" si="11"/>
        <v/>
      </c>
      <c r="S160" s="8"/>
      <c r="T160" s="8"/>
      <c r="U160" s="10"/>
      <c r="V160" s="8"/>
    </row>
    <row r="161" spans="1:22">
      <c r="A161" s="8"/>
      <c r="B161" s="10"/>
      <c r="C161" s="8"/>
      <c r="D161" s="8"/>
      <c r="E161" s="8"/>
      <c r="F161" s="8"/>
      <c r="G161" s="8"/>
      <c r="H161" s="8"/>
      <c r="I161" s="11"/>
      <c r="J161" s="11"/>
      <c r="K161" s="11"/>
      <c r="L161" s="11"/>
      <c r="M161" s="11"/>
      <c r="N161" s="11"/>
      <c r="O161" s="12" t="str">
        <f t="shared" si="8"/>
        <v/>
      </c>
      <c r="P161" s="12" t="str">
        <f t="shared" si="9"/>
        <v/>
      </c>
      <c r="Q161" s="12" t="str">
        <f t="shared" si="10"/>
        <v/>
      </c>
      <c r="R161" s="12" t="str">
        <f t="shared" si="11"/>
        <v/>
      </c>
      <c r="S161" s="8"/>
      <c r="T161" s="8"/>
      <c r="U161" s="10"/>
      <c r="V161" s="8"/>
    </row>
    <row r="162" spans="1:22">
      <c r="A162" s="8"/>
      <c r="B162" s="10"/>
      <c r="C162" s="8"/>
      <c r="D162" s="8"/>
      <c r="E162" s="8"/>
      <c r="F162" s="8"/>
      <c r="G162" s="8"/>
      <c r="H162" s="8"/>
      <c r="I162" s="11"/>
      <c r="J162" s="11"/>
      <c r="K162" s="11"/>
      <c r="L162" s="11"/>
      <c r="M162" s="11"/>
      <c r="N162" s="11"/>
      <c r="O162" s="12" t="str">
        <f t="shared" si="8"/>
        <v/>
      </c>
      <c r="P162" s="12" t="str">
        <f t="shared" si="9"/>
        <v/>
      </c>
      <c r="Q162" s="12" t="str">
        <f t="shared" si="10"/>
        <v/>
      </c>
      <c r="R162" s="12" t="str">
        <f t="shared" si="11"/>
        <v/>
      </c>
      <c r="S162" s="8"/>
      <c r="T162" s="8"/>
      <c r="U162" s="10"/>
      <c r="V162" s="8"/>
    </row>
    <row r="163" spans="1:22">
      <c r="A163" s="8"/>
      <c r="B163" s="10"/>
      <c r="C163" s="8"/>
      <c r="D163" s="8"/>
      <c r="E163" s="8"/>
      <c r="F163" s="8"/>
      <c r="G163" s="8"/>
      <c r="H163" s="8"/>
      <c r="I163" s="11"/>
      <c r="J163" s="11"/>
      <c r="K163" s="11"/>
      <c r="L163" s="11"/>
      <c r="M163" s="11"/>
      <c r="N163" s="11"/>
      <c r="O163" s="12" t="str">
        <f t="shared" si="8"/>
        <v/>
      </c>
      <c r="P163" s="12" t="str">
        <f t="shared" si="9"/>
        <v/>
      </c>
      <c r="Q163" s="12" t="str">
        <f t="shared" si="10"/>
        <v/>
      </c>
      <c r="R163" s="12" t="str">
        <f t="shared" si="11"/>
        <v/>
      </c>
      <c r="S163" s="8"/>
      <c r="T163" s="8"/>
      <c r="U163" s="10"/>
      <c r="V163" s="8"/>
    </row>
    <row r="164" spans="1:22">
      <c r="A164" s="8"/>
      <c r="B164" s="10"/>
      <c r="C164" s="8"/>
      <c r="D164" s="8"/>
      <c r="E164" s="8"/>
      <c r="F164" s="8"/>
      <c r="G164" s="8"/>
      <c r="H164" s="8"/>
      <c r="I164" s="11"/>
      <c r="J164" s="11"/>
      <c r="K164" s="11"/>
      <c r="L164" s="11"/>
      <c r="M164" s="11"/>
      <c r="N164" s="11"/>
      <c r="O164" s="12" t="str">
        <f t="shared" si="8"/>
        <v/>
      </c>
      <c r="P164" s="12" t="str">
        <f t="shared" si="9"/>
        <v/>
      </c>
      <c r="Q164" s="12" t="str">
        <f t="shared" si="10"/>
        <v/>
      </c>
      <c r="R164" s="12" t="str">
        <f t="shared" si="11"/>
        <v/>
      </c>
      <c r="S164" s="8"/>
      <c r="T164" s="8"/>
      <c r="U164" s="10"/>
      <c r="V164" s="8"/>
    </row>
    <row r="165" spans="1:22">
      <c r="A165" s="8"/>
      <c r="B165" s="10"/>
      <c r="C165" s="8"/>
      <c r="D165" s="8"/>
      <c r="E165" s="8"/>
      <c r="F165" s="8"/>
      <c r="G165" s="8"/>
      <c r="H165" s="8"/>
      <c r="I165" s="11"/>
      <c r="J165" s="11"/>
      <c r="K165" s="11"/>
      <c r="L165" s="11"/>
      <c r="M165" s="11"/>
      <c r="N165" s="11"/>
      <c r="O165" s="12" t="str">
        <f t="shared" si="8"/>
        <v/>
      </c>
      <c r="P165" s="12" t="str">
        <f t="shared" si="9"/>
        <v/>
      </c>
      <c r="Q165" s="12" t="str">
        <f t="shared" si="10"/>
        <v/>
      </c>
      <c r="R165" s="12" t="str">
        <f t="shared" si="11"/>
        <v/>
      </c>
      <c r="S165" s="8"/>
      <c r="T165" s="8"/>
      <c r="U165" s="10"/>
      <c r="V165" s="8"/>
    </row>
    <row r="166" spans="1:22">
      <c r="A166" s="8"/>
      <c r="B166" s="10"/>
      <c r="C166" s="8"/>
      <c r="D166" s="8"/>
      <c r="E166" s="8"/>
      <c r="F166" s="8"/>
      <c r="G166" s="8"/>
      <c r="H166" s="8"/>
      <c r="I166" s="11"/>
      <c r="J166" s="11"/>
      <c r="K166" s="11"/>
      <c r="L166" s="11"/>
      <c r="M166" s="11"/>
      <c r="N166" s="11"/>
      <c r="O166" s="12" t="str">
        <f t="shared" si="8"/>
        <v/>
      </c>
      <c r="P166" s="12" t="str">
        <f t="shared" si="9"/>
        <v/>
      </c>
      <c r="Q166" s="12" t="str">
        <f t="shared" si="10"/>
        <v/>
      </c>
      <c r="R166" s="12" t="str">
        <f t="shared" si="11"/>
        <v/>
      </c>
      <c r="S166" s="8"/>
      <c r="T166" s="8"/>
      <c r="U166" s="10"/>
      <c r="V166" s="8"/>
    </row>
    <row r="167" spans="1:22">
      <c r="A167" s="8"/>
      <c r="B167" s="10"/>
      <c r="C167" s="8"/>
      <c r="D167" s="8"/>
      <c r="E167" s="8"/>
      <c r="F167" s="8"/>
      <c r="G167" s="8"/>
      <c r="H167" s="8"/>
      <c r="I167" s="11"/>
      <c r="J167" s="11"/>
      <c r="K167" s="11"/>
      <c r="L167" s="11"/>
      <c r="M167" s="11"/>
      <c r="N167" s="11"/>
      <c r="O167" s="12" t="str">
        <f t="shared" si="8"/>
        <v/>
      </c>
      <c r="P167" s="12" t="str">
        <f t="shared" si="9"/>
        <v/>
      </c>
      <c r="Q167" s="12" t="str">
        <f t="shared" si="10"/>
        <v/>
      </c>
      <c r="R167" s="12" t="str">
        <f t="shared" si="11"/>
        <v/>
      </c>
      <c r="S167" s="8"/>
      <c r="T167" s="8"/>
      <c r="U167" s="10"/>
      <c r="V167" s="8"/>
    </row>
    <row r="168" spans="1:22">
      <c r="A168" s="8"/>
      <c r="B168" s="10"/>
      <c r="C168" s="8"/>
      <c r="D168" s="8"/>
      <c r="E168" s="8"/>
      <c r="F168" s="8"/>
      <c r="G168" s="8"/>
      <c r="H168" s="8"/>
      <c r="I168" s="11"/>
      <c r="J168" s="11"/>
      <c r="K168" s="11"/>
      <c r="L168" s="11"/>
      <c r="M168" s="11"/>
      <c r="N168" s="11"/>
      <c r="O168" s="12" t="str">
        <f t="shared" si="8"/>
        <v/>
      </c>
      <c r="P168" s="12" t="str">
        <f t="shared" si="9"/>
        <v/>
      </c>
      <c r="Q168" s="12" t="str">
        <f t="shared" si="10"/>
        <v/>
      </c>
      <c r="R168" s="12" t="str">
        <f t="shared" si="11"/>
        <v/>
      </c>
      <c r="S168" s="8"/>
      <c r="T168" s="8"/>
      <c r="U168" s="10"/>
      <c r="V168" s="8"/>
    </row>
    <row r="169" spans="1:22">
      <c r="A169" s="8"/>
      <c r="B169" s="10"/>
      <c r="C169" s="8"/>
      <c r="D169" s="8"/>
      <c r="E169" s="8"/>
      <c r="F169" s="8"/>
      <c r="G169" s="8"/>
      <c r="H169" s="8"/>
      <c r="I169" s="11"/>
      <c r="J169" s="11"/>
      <c r="K169" s="11"/>
      <c r="L169" s="11"/>
      <c r="M169" s="11"/>
      <c r="N169" s="11"/>
      <c r="O169" s="12" t="str">
        <f t="shared" si="8"/>
        <v/>
      </c>
      <c r="P169" s="12" t="str">
        <f t="shared" si="9"/>
        <v/>
      </c>
      <c r="Q169" s="12" t="str">
        <f t="shared" si="10"/>
        <v/>
      </c>
      <c r="R169" s="12" t="str">
        <f t="shared" si="11"/>
        <v/>
      </c>
      <c r="S169" s="8"/>
      <c r="T169" s="8"/>
      <c r="U169" s="10"/>
      <c r="V169" s="8"/>
    </row>
    <row r="170" spans="1:22">
      <c r="A170" s="8"/>
      <c r="B170" s="10"/>
      <c r="C170" s="8"/>
      <c r="D170" s="8"/>
      <c r="E170" s="8"/>
      <c r="F170" s="8"/>
      <c r="G170" s="8"/>
      <c r="H170" s="8"/>
      <c r="I170" s="11"/>
      <c r="J170" s="11"/>
      <c r="K170" s="11"/>
      <c r="L170" s="11"/>
      <c r="M170" s="11"/>
      <c r="N170" s="11"/>
      <c r="O170" s="12" t="str">
        <f t="shared" si="8"/>
        <v/>
      </c>
      <c r="P170" s="12" t="str">
        <f t="shared" si="9"/>
        <v/>
      </c>
      <c r="Q170" s="12" t="str">
        <f t="shared" si="10"/>
        <v/>
      </c>
      <c r="R170" s="12" t="str">
        <f t="shared" si="11"/>
        <v/>
      </c>
      <c r="S170" s="8"/>
      <c r="T170" s="8"/>
      <c r="U170" s="10"/>
      <c r="V170" s="8"/>
    </row>
    <row r="171" spans="1:22">
      <c r="A171" s="8"/>
      <c r="B171" s="10"/>
      <c r="C171" s="8"/>
      <c r="D171" s="8"/>
      <c r="E171" s="8"/>
      <c r="F171" s="8"/>
      <c r="G171" s="8"/>
      <c r="H171" s="8"/>
      <c r="I171" s="11"/>
      <c r="J171" s="11"/>
      <c r="K171" s="11"/>
      <c r="L171" s="11"/>
      <c r="M171" s="11"/>
      <c r="N171" s="11"/>
      <c r="O171" s="12" t="str">
        <f t="shared" si="8"/>
        <v/>
      </c>
      <c r="P171" s="12" t="str">
        <f t="shared" si="9"/>
        <v/>
      </c>
      <c r="Q171" s="12" t="str">
        <f t="shared" si="10"/>
        <v/>
      </c>
      <c r="R171" s="12" t="str">
        <f t="shared" si="11"/>
        <v/>
      </c>
      <c r="S171" s="8"/>
      <c r="T171" s="8"/>
      <c r="U171" s="10"/>
      <c r="V171" s="8"/>
    </row>
    <row r="172" spans="1:22">
      <c r="A172" s="8"/>
      <c r="B172" s="10"/>
      <c r="C172" s="8"/>
      <c r="D172" s="8"/>
      <c r="E172" s="8"/>
      <c r="F172" s="8"/>
      <c r="G172" s="8"/>
      <c r="H172" s="8"/>
      <c r="I172" s="11"/>
      <c r="J172" s="11"/>
      <c r="K172" s="11"/>
      <c r="L172" s="11"/>
      <c r="M172" s="11"/>
      <c r="N172" s="11"/>
      <c r="O172" s="12" t="str">
        <f t="shared" si="8"/>
        <v/>
      </c>
      <c r="P172" s="12" t="str">
        <f t="shared" si="9"/>
        <v/>
      </c>
      <c r="Q172" s="12" t="str">
        <f t="shared" si="10"/>
        <v/>
      </c>
      <c r="R172" s="12" t="str">
        <f t="shared" si="11"/>
        <v/>
      </c>
      <c r="S172" s="8"/>
      <c r="T172" s="8"/>
      <c r="U172" s="10"/>
      <c r="V172" s="8"/>
    </row>
    <row r="173" spans="1:22">
      <c r="A173" s="8"/>
      <c r="B173" s="10"/>
      <c r="C173" s="8"/>
      <c r="D173" s="8"/>
      <c r="E173" s="8"/>
      <c r="F173" s="8"/>
      <c r="G173" s="8"/>
      <c r="H173" s="8"/>
      <c r="I173" s="11"/>
      <c r="J173" s="11"/>
      <c r="K173" s="11"/>
      <c r="L173" s="11"/>
      <c r="M173" s="11"/>
      <c r="N173" s="11"/>
      <c r="O173" s="12" t="str">
        <f t="shared" si="8"/>
        <v/>
      </c>
      <c r="P173" s="12" t="str">
        <f t="shared" si="9"/>
        <v/>
      </c>
      <c r="Q173" s="12" t="str">
        <f t="shared" si="10"/>
        <v/>
      </c>
      <c r="R173" s="12" t="str">
        <f t="shared" si="11"/>
        <v/>
      </c>
      <c r="S173" s="8"/>
      <c r="T173" s="8"/>
      <c r="U173" s="10"/>
      <c r="V173" s="8"/>
    </row>
    <row r="174" spans="1:22">
      <c r="A174" s="8"/>
      <c r="B174" s="10"/>
      <c r="C174" s="8"/>
      <c r="D174" s="8"/>
      <c r="E174" s="8"/>
      <c r="F174" s="8"/>
      <c r="G174" s="8"/>
      <c r="H174" s="8"/>
      <c r="I174" s="11"/>
      <c r="J174" s="11"/>
      <c r="K174" s="11"/>
      <c r="L174" s="11"/>
      <c r="M174" s="11"/>
      <c r="N174" s="11"/>
      <c r="O174" s="12" t="str">
        <f t="shared" si="8"/>
        <v/>
      </c>
      <c r="P174" s="12" t="str">
        <f t="shared" si="9"/>
        <v/>
      </c>
      <c r="Q174" s="12" t="str">
        <f t="shared" si="10"/>
        <v/>
      </c>
      <c r="R174" s="12" t="str">
        <f t="shared" si="11"/>
        <v/>
      </c>
      <c r="S174" s="8"/>
      <c r="T174" s="8"/>
      <c r="U174" s="10"/>
      <c r="V174" s="8"/>
    </row>
    <row r="175" spans="1:22">
      <c r="A175" s="8"/>
      <c r="B175" s="10"/>
      <c r="C175" s="8"/>
      <c r="D175" s="8"/>
      <c r="E175" s="8"/>
      <c r="F175" s="8"/>
      <c r="G175" s="8"/>
      <c r="H175" s="8"/>
      <c r="I175" s="11"/>
      <c r="J175" s="11"/>
      <c r="K175" s="11"/>
      <c r="L175" s="11"/>
      <c r="M175" s="11"/>
      <c r="N175" s="11"/>
      <c r="O175" s="12" t="str">
        <f t="shared" si="8"/>
        <v/>
      </c>
      <c r="P175" s="12" t="str">
        <f t="shared" si="9"/>
        <v/>
      </c>
      <c r="Q175" s="12" t="str">
        <f t="shared" si="10"/>
        <v/>
      </c>
      <c r="R175" s="12" t="str">
        <f t="shared" si="11"/>
        <v/>
      </c>
      <c r="S175" s="8"/>
      <c r="T175" s="8"/>
      <c r="U175" s="10"/>
      <c r="V175" s="8"/>
    </row>
    <row r="176" spans="1:22">
      <c r="A176" s="8"/>
      <c r="B176" s="10"/>
      <c r="C176" s="8"/>
      <c r="D176" s="8"/>
      <c r="E176" s="8"/>
      <c r="F176" s="8"/>
      <c r="G176" s="8"/>
      <c r="H176" s="8"/>
      <c r="I176" s="11"/>
      <c r="J176" s="11"/>
      <c r="K176" s="11"/>
      <c r="L176" s="11"/>
      <c r="M176" s="11"/>
      <c r="N176" s="11"/>
      <c r="O176" s="12" t="str">
        <f t="shared" si="8"/>
        <v/>
      </c>
      <c r="P176" s="12" t="str">
        <f t="shared" si="9"/>
        <v/>
      </c>
      <c r="Q176" s="12" t="str">
        <f t="shared" si="10"/>
        <v/>
      </c>
      <c r="R176" s="12" t="str">
        <f t="shared" si="11"/>
        <v/>
      </c>
      <c r="S176" s="8"/>
      <c r="T176" s="8"/>
      <c r="U176" s="10"/>
      <c r="V176" s="8"/>
    </row>
    <row r="177" spans="1:22">
      <c r="A177" s="8"/>
      <c r="B177" s="10"/>
      <c r="C177" s="8"/>
      <c r="D177" s="8"/>
      <c r="E177" s="8"/>
      <c r="F177" s="8"/>
      <c r="G177" s="8"/>
      <c r="H177" s="8"/>
      <c r="I177" s="11"/>
      <c r="J177" s="11"/>
      <c r="K177" s="11"/>
      <c r="L177" s="11"/>
      <c r="M177" s="11"/>
      <c r="N177" s="11"/>
      <c r="O177" s="12" t="str">
        <f t="shared" si="8"/>
        <v/>
      </c>
      <c r="P177" s="12" t="str">
        <f t="shared" si="9"/>
        <v/>
      </c>
      <c r="Q177" s="12" t="str">
        <f t="shared" si="10"/>
        <v/>
      </c>
      <c r="R177" s="12" t="str">
        <f t="shared" si="11"/>
        <v/>
      </c>
      <c r="S177" s="8"/>
      <c r="T177" s="8"/>
      <c r="U177" s="10"/>
      <c r="V177" s="8"/>
    </row>
    <row r="178" spans="1:22">
      <c r="A178" s="8"/>
      <c r="B178" s="10"/>
      <c r="C178" s="8"/>
      <c r="D178" s="8"/>
      <c r="E178" s="8"/>
      <c r="F178" s="8"/>
      <c r="G178" s="8"/>
      <c r="H178" s="8"/>
      <c r="I178" s="11"/>
      <c r="J178" s="11"/>
      <c r="K178" s="11"/>
      <c r="L178" s="11"/>
      <c r="M178" s="11"/>
      <c r="N178" s="11"/>
      <c r="O178" s="12" t="str">
        <f t="shared" si="8"/>
        <v/>
      </c>
      <c r="P178" s="12" t="str">
        <f t="shared" si="9"/>
        <v/>
      </c>
      <c r="Q178" s="12" t="str">
        <f t="shared" si="10"/>
        <v/>
      </c>
      <c r="R178" s="12" t="str">
        <f t="shared" si="11"/>
        <v/>
      </c>
      <c r="S178" s="8"/>
      <c r="T178" s="8"/>
      <c r="U178" s="10"/>
      <c r="V178" s="8"/>
    </row>
    <row r="179" spans="1:22">
      <c r="A179" s="8"/>
      <c r="B179" s="10"/>
      <c r="C179" s="8"/>
      <c r="D179" s="8"/>
      <c r="E179" s="8"/>
      <c r="F179" s="8"/>
      <c r="G179" s="8"/>
      <c r="H179" s="8"/>
      <c r="I179" s="11"/>
      <c r="J179" s="11"/>
      <c r="K179" s="11"/>
      <c r="L179" s="11"/>
      <c r="M179" s="11"/>
      <c r="N179" s="11"/>
      <c r="O179" s="12" t="str">
        <f t="shared" si="8"/>
        <v/>
      </c>
      <c r="P179" s="12" t="str">
        <f t="shared" si="9"/>
        <v/>
      </c>
      <c r="Q179" s="12" t="str">
        <f t="shared" si="10"/>
        <v/>
      </c>
      <c r="R179" s="12" t="str">
        <f t="shared" si="11"/>
        <v/>
      </c>
      <c r="S179" s="8"/>
      <c r="T179" s="8"/>
      <c r="U179" s="10"/>
      <c r="V179" s="8"/>
    </row>
    <row r="180" spans="1:22">
      <c r="A180" s="8"/>
      <c r="B180" s="10"/>
      <c r="C180" s="8"/>
      <c r="D180" s="8"/>
      <c r="E180" s="8"/>
      <c r="F180" s="8"/>
      <c r="G180" s="8"/>
      <c r="H180" s="8"/>
      <c r="I180" s="11"/>
      <c r="J180" s="11"/>
      <c r="K180" s="11"/>
      <c r="L180" s="11"/>
      <c r="M180" s="11"/>
      <c r="N180" s="11"/>
      <c r="O180" s="12" t="str">
        <f t="shared" si="8"/>
        <v/>
      </c>
      <c r="P180" s="12" t="str">
        <f t="shared" si="9"/>
        <v/>
      </c>
      <c r="Q180" s="12" t="str">
        <f t="shared" si="10"/>
        <v/>
      </c>
      <c r="R180" s="12" t="str">
        <f t="shared" si="11"/>
        <v/>
      </c>
      <c r="S180" s="8"/>
      <c r="T180" s="8"/>
      <c r="U180" s="10"/>
      <c r="V180" s="8"/>
    </row>
    <row r="181" spans="1:22">
      <c r="A181" s="8"/>
      <c r="B181" s="10"/>
      <c r="C181" s="8"/>
      <c r="D181" s="8"/>
      <c r="E181" s="8"/>
      <c r="F181" s="8"/>
      <c r="G181" s="8"/>
      <c r="H181" s="8"/>
      <c r="I181" s="11"/>
      <c r="J181" s="11"/>
      <c r="K181" s="11"/>
      <c r="L181" s="11"/>
      <c r="M181" s="11"/>
      <c r="N181" s="11"/>
      <c r="O181" s="12" t="str">
        <f t="shared" si="8"/>
        <v/>
      </c>
      <c r="P181" s="12" t="str">
        <f t="shared" si="9"/>
        <v/>
      </c>
      <c r="Q181" s="12" t="str">
        <f t="shared" si="10"/>
        <v/>
      </c>
      <c r="R181" s="12" t="str">
        <f t="shared" si="11"/>
        <v/>
      </c>
      <c r="S181" s="8"/>
      <c r="T181" s="8"/>
      <c r="U181" s="10"/>
      <c r="V181" s="8"/>
    </row>
    <row r="182" spans="1:22">
      <c r="A182" s="8"/>
      <c r="B182" s="10"/>
      <c r="C182" s="8"/>
      <c r="D182" s="8"/>
      <c r="E182" s="8"/>
      <c r="F182" s="8"/>
      <c r="G182" s="8"/>
      <c r="H182" s="8"/>
      <c r="I182" s="11"/>
      <c r="J182" s="11"/>
      <c r="K182" s="11"/>
      <c r="L182" s="11"/>
      <c r="M182" s="11"/>
      <c r="N182" s="11"/>
      <c r="O182" s="12" t="str">
        <f t="shared" si="8"/>
        <v/>
      </c>
      <c r="P182" s="12" t="str">
        <f t="shared" si="9"/>
        <v/>
      </c>
      <c r="Q182" s="12" t="str">
        <f t="shared" si="10"/>
        <v/>
      </c>
      <c r="R182" s="12" t="str">
        <f t="shared" si="11"/>
        <v/>
      </c>
      <c r="S182" s="8"/>
      <c r="T182" s="8"/>
      <c r="U182" s="10"/>
      <c r="V182" s="8"/>
    </row>
    <row r="183" spans="1:22">
      <c r="A183" s="8"/>
      <c r="B183" s="10"/>
      <c r="C183" s="8"/>
      <c r="D183" s="8"/>
      <c r="E183" s="8"/>
      <c r="F183" s="8"/>
      <c r="G183" s="8"/>
      <c r="H183" s="8"/>
      <c r="I183" s="11"/>
      <c r="J183" s="11"/>
      <c r="K183" s="11"/>
      <c r="L183" s="11"/>
      <c r="M183" s="11"/>
      <c r="N183" s="11"/>
      <c r="O183" s="12" t="str">
        <f t="shared" si="8"/>
        <v/>
      </c>
      <c r="P183" s="12" t="str">
        <f t="shared" si="9"/>
        <v/>
      </c>
      <c r="Q183" s="12" t="str">
        <f t="shared" si="10"/>
        <v/>
      </c>
      <c r="R183" s="12" t="str">
        <f t="shared" si="11"/>
        <v/>
      </c>
      <c r="S183" s="8"/>
      <c r="T183" s="8"/>
      <c r="U183" s="10"/>
      <c r="V183" s="8"/>
    </row>
    <row r="184" spans="1:22">
      <c r="A184" s="8"/>
      <c r="B184" s="10"/>
      <c r="C184" s="8"/>
      <c r="D184" s="8"/>
      <c r="E184" s="8"/>
      <c r="F184" s="8"/>
      <c r="G184" s="8"/>
      <c r="H184" s="8"/>
      <c r="I184" s="11"/>
      <c r="J184" s="11"/>
      <c r="K184" s="11"/>
      <c r="L184" s="11"/>
      <c r="M184" s="11"/>
      <c r="N184" s="11"/>
      <c r="O184" s="12" t="str">
        <f t="shared" si="8"/>
        <v/>
      </c>
      <c r="P184" s="12" t="str">
        <f t="shared" si="9"/>
        <v/>
      </c>
      <c r="Q184" s="12" t="str">
        <f t="shared" si="10"/>
        <v/>
      </c>
      <c r="R184" s="12" t="str">
        <f t="shared" si="11"/>
        <v/>
      </c>
      <c r="S184" s="8"/>
      <c r="T184" s="8"/>
      <c r="U184" s="10"/>
      <c r="V184" s="8"/>
    </row>
    <row r="185" spans="1:22">
      <c r="A185" s="8"/>
      <c r="B185" s="10"/>
      <c r="C185" s="8"/>
      <c r="D185" s="8"/>
      <c r="E185" s="8"/>
      <c r="F185" s="8"/>
      <c r="G185" s="8"/>
      <c r="H185" s="8"/>
      <c r="I185" s="11"/>
      <c r="J185" s="11"/>
      <c r="K185" s="11"/>
      <c r="L185" s="11"/>
      <c r="M185" s="11"/>
      <c r="N185" s="11"/>
      <c r="O185" s="12" t="str">
        <f t="shared" si="8"/>
        <v/>
      </c>
      <c r="P185" s="12" t="str">
        <f t="shared" si="9"/>
        <v/>
      </c>
      <c r="Q185" s="12" t="str">
        <f t="shared" si="10"/>
        <v/>
      </c>
      <c r="R185" s="12" t="str">
        <f t="shared" si="11"/>
        <v/>
      </c>
      <c r="S185" s="8"/>
      <c r="T185" s="8"/>
      <c r="U185" s="10"/>
      <c r="V185" s="8"/>
    </row>
    <row r="186" spans="1:22">
      <c r="A186" s="8"/>
      <c r="B186" s="10"/>
      <c r="C186" s="8"/>
      <c r="D186" s="8"/>
      <c r="E186" s="8"/>
      <c r="F186" s="8"/>
      <c r="G186" s="8"/>
      <c r="H186" s="8"/>
      <c r="I186" s="11"/>
      <c r="J186" s="11"/>
      <c r="K186" s="11"/>
      <c r="L186" s="11"/>
      <c r="M186" s="11"/>
      <c r="N186" s="11"/>
      <c r="O186" s="12" t="str">
        <f t="shared" si="8"/>
        <v/>
      </c>
      <c r="P186" s="12" t="str">
        <f t="shared" si="9"/>
        <v/>
      </c>
      <c r="Q186" s="12" t="str">
        <f t="shared" si="10"/>
        <v/>
      </c>
      <c r="R186" s="12" t="str">
        <f t="shared" si="11"/>
        <v/>
      </c>
      <c r="S186" s="8"/>
      <c r="T186" s="8"/>
      <c r="U186" s="10"/>
      <c r="V186" s="8"/>
    </row>
    <row r="187" spans="1:22">
      <c r="A187" s="8"/>
      <c r="B187" s="10"/>
      <c r="C187" s="8"/>
      <c r="D187" s="8"/>
      <c r="E187" s="8"/>
      <c r="F187" s="8"/>
      <c r="G187" s="8"/>
      <c r="H187" s="8"/>
      <c r="I187" s="11"/>
      <c r="J187" s="11"/>
      <c r="K187" s="11"/>
      <c r="L187" s="11"/>
      <c r="M187" s="11"/>
      <c r="N187" s="11"/>
      <c r="O187" s="12" t="str">
        <f t="shared" si="8"/>
        <v/>
      </c>
      <c r="P187" s="12" t="str">
        <f t="shared" si="9"/>
        <v/>
      </c>
      <c r="Q187" s="12" t="str">
        <f t="shared" si="10"/>
        <v/>
      </c>
      <c r="R187" s="12" t="str">
        <f t="shared" si="11"/>
        <v/>
      </c>
      <c r="S187" s="8"/>
      <c r="T187" s="8"/>
      <c r="U187" s="10"/>
      <c r="V187" s="8"/>
    </row>
    <row r="188" spans="1:22">
      <c r="A188" s="8"/>
      <c r="B188" s="10"/>
      <c r="C188" s="8"/>
      <c r="D188" s="8"/>
      <c r="E188" s="8"/>
      <c r="F188" s="8"/>
      <c r="G188" s="8"/>
      <c r="H188" s="8"/>
      <c r="I188" s="11"/>
      <c r="J188" s="11"/>
      <c r="K188" s="11"/>
      <c r="L188" s="11"/>
      <c r="M188" s="11"/>
      <c r="N188" s="11"/>
      <c r="O188" s="12" t="str">
        <f t="shared" si="8"/>
        <v/>
      </c>
      <c r="P188" s="12" t="str">
        <f t="shared" si="9"/>
        <v/>
      </c>
      <c r="Q188" s="12" t="str">
        <f t="shared" si="10"/>
        <v/>
      </c>
      <c r="R188" s="12" t="str">
        <f t="shared" si="11"/>
        <v/>
      </c>
      <c r="S188" s="8"/>
      <c r="T188" s="8"/>
      <c r="U188" s="10"/>
      <c r="V188" s="8"/>
    </row>
    <row r="189" spans="1:22">
      <c r="A189" s="8"/>
      <c r="B189" s="10"/>
      <c r="C189" s="8"/>
      <c r="D189" s="8"/>
      <c r="E189" s="8"/>
      <c r="F189" s="8"/>
      <c r="G189" s="8"/>
      <c r="H189" s="8"/>
      <c r="I189" s="11"/>
      <c r="J189" s="11"/>
      <c r="K189" s="11"/>
      <c r="L189" s="11"/>
      <c r="M189" s="11"/>
      <c r="N189" s="11"/>
      <c r="O189" s="12" t="str">
        <f t="shared" si="8"/>
        <v/>
      </c>
      <c r="P189" s="12" t="str">
        <f t="shared" si="9"/>
        <v/>
      </c>
      <c r="Q189" s="12" t="str">
        <f t="shared" si="10"/>
        <v/>
      </c>
      <c r="R189" s="12" t="str">
        <f t="shared" si="11"/>
        <v/>
      </c>
      <c r="S189" s="8"/>
      <c r="T189" s="8"/>
      <c r="U189" s="10"/>
      <c r="V189" s="8"/>
    </row>
    <row r="190" spans="1:22">
      <c r="A190" s="8"/>
      <c r="B190" s="10"/>
      <c r="C190" s="8"/>
      <c r="D190" s="8"/>
      <c r="E190" s="8"/>
      <c r="F190" s="8"/>
      <c r="G190" s="8"/>
      <c r="H190" s="8"/>
      <c r="I190" s="11"/>
      <c r="J190" s="11"/>
      <c r="K190" s="11"/>
      <c r="L190" s="11"/>
      <c r="M190" s="11"/>
      <c r="N190" s="11"/>
      <c r="O190" s="12" t="str">
        <f t="shared" si="8"/>
        <v/>
      </c>
      <c r="P190" s="12" t="str">
        <f t="shared" si="9"/>
        <v/>
      </c>
      <c r="Q190" s="12" t="str">
        <f t="shared" si="10"/>
        <v/>
      </c>
      <c r="R190" s="12" t="str">
        <f t="shared" si="11"/>
        <v/>
      </c>
      <c r="S190" s="8"/>
      <c r="T190" s="8"/>
      <c r="U190" s="10"/>
      <c r="V190" s="8"/>
    </row>
    <row r="191" spans="1:22">
      <c r="A191" s="8"/>
      <c r="B191" s="10"/>
      <c r="C191" s="8"/>
      <c r="D191" s="8"/>
      <c r="E191" s="8"/>
      <c r="F191" s="8"/>
      <c r="G191" s="8"/>
      <c r="H191" s="8"/>
      <c r="I191" s="11"/>
      <c r="J191" s="11"/>
      <c r="K191" s="11"/>
      <c r="L191" s="11"/>
      <c r="M191" s="11"/>
      <c r="N191" s="11"/>
      <c r="O191" s="12" t="str">
        <f t="shared" si="8"/>
        <v/>
      </c>
      <c r="P191" s="12" t="str">
        <f t="shared" si="9"/>
        <v/>
      </c>
      <c r="Q191" s="12" t="str">
        <f t="shared" si="10"/>
        <v/>
      </c>
      <c r="R191" s="12" t="str">
        <f t="shared" si="11"/>
        <v/>
      </c>
      <c r="S191" s="8"/>
      <c r="T191" s="8"/>
      <c r="U191" s="10"/>
      <c r="V191" s="8"/>
    </row>
    <row r="192" spans="1:22">
      <c r="A192" s="8"/>
      <c r="B192" s="10"/>
      <c r="C192" s="8"/>
      <c r="D192" s="8"/>
      <c r="E192" s="8"/>
      <c r="F192" s="8"/>
      <c r="G192" s="8"/>
      <c r="H192" s="8"/>
      <c r="I192" s="11"/>
      <c r="J192" s="11"/>
      <c r="K192" s="11"/>
      <c r="L192" s="11"/>
      <c r="M192" s="11"/>
      <c r="N192" s="11"/>
      <c r="O192" s="12" t="str">
        <f t="shared" si="8"/>
        <v/>
      </c>
      <c r="P192" s="12" t="str">
        <f t="shared" si="9"/>
        <v/>
      </c>
      <c r="Q192" s="12" t="str">
        <f t="shared" si="10"/>
        <v/>
      </c>
      <c r="R192" s="12" t="str">
        <f t="shared" si="11"/>
        <v/>
      </c>
      <c r="S192" s="8"/>
      <c r="T192" s="8"/>
      <c r="U192" s="10"/>
      <c r="V192" s="8"/>
    </row>
    <row r="193" spans="1:22">
      <c r="A193" s="8"/>
      <c r="B193" s="10"/>
      <c r="C193" s="8"/>
      <c r="D193" s="8"/>
      <c r="E193" s="8"/>
      <c r="F193" s="8"/>
      <c r="G193" s="8"/>
      <c r="H193" s="8"/>
      <c r="I193" s="11"/>
      <c r="J193" s="11"/>
      <c r="K193" s="11"/>
      <c r="L193" s="11"/>
      <c r="M193" s="11"/>
      <c r="N193" s="11"/>
      <c r="O193" s="12" t="str">
        <f t="shared" si="8"/>
        <v/>
      </c>
      <c r="P193" s="12" t="str">
        <f t="shared" si="9"/>
        <v/>
      </c>
      <c r="Q193" s="12" t="str">
        <f t="shared" si="10"/>
        <v/>
      </c>
      <c r="R193" s="12" t="str">
        <f t="shared" si="11"/>
        <v/>
      </c>
      <c r="S193" s="8"/>
      <c r="T193" s="8"/>
      <c r="U193" s="10"/>
      <c r="V193" s="8"/>
    </row>
    <row r="194" spans="1:22">
      <c r="A194" s="8"/>
      <c r="B194" s="10"/>
      <c r="C194" s="8"/>
      <c r="D194" s="8"/>
      <c r="E194" s="8"/>
      <c r="F194" s="8"/>
      <c r="G194" s="8"/>
      <c r="H194" s="8"/>
      <c r="I194" s="11"/>
      <c r="J194" s="11"/>
      <c r="K194" s="11"/>
      <c r="L194" s="11"/>
      <c r="M194" s="11"/>
      <c r="N194" s="11"/>
      <c r="O194" s="12" t="str">
        <f t="shared" si="8"/>
        <v/>
      </c>
      <c r="P194" s="12" t="str">
        <f t="shared" si="9"/>
        <v/>
      </c>
      <c r="Q194" s="12" t="str">
        <f t="shared" si="10"/>
        <v/>
      </c>
      <c r="R194" s="12" t="str">
        <f t="shared" si="11"/>
        <v/>
      </c>
      <c r="S194" s="8"/>
      <c r="T194" s="8"/>
      <c r="U194" s="10"/>
      <c r="V194" s="8"/>
    </row>
    <row r="195" spans="1:22">
      <c r="A195" s="8"/>
      <c r="B195" s="10"/>
      <c r="C195" s="8"/>
      <c r="D195" s="8"/>
      <c r="E195" s="8"/>
      <c r="F195" s="8"/>
      <c r="G195" s="8"/>
      <c r="H195" s="8"/>
      <c r="I195" s="11"/>
      <c r="J195" s="11"/>
      <c r="K195" s="11"/>
      <c r="L195" s="11"/>
      <c r="M195" s="11"/>
      <c r="N195" s="11"/>
      <c r="O195" s="12" t="str">
        <f t="shared" si="8"/>
        <v/>
      </c>
      <c r="P195" s="12" t="str">
        <f t="shared" si="9"/>
        <v/>
      </c>
      <c r="Q195" s="12" t="str">
        <f t="shared" si="10"/>
        <v/>
      </c>
      <c r="R195" s="12" t="str">
        <f t="shared" si="11"/>
        <v/>
      </c>
      <c r="S195" s="8"/>
      <c r="T195" s="8"/>
      <c r="U195" s="10"/>
      <c r="V195" s="8"/>
    </row>
    <row r="196" spans="1:22">
      <c r="A196" s="8"/>
      <c r="B196" s="10"/>
      <c r="C196" s="8"/>
      <c r="D196" s="8"/>
      <c r="E196" s="8"/>
      <c r="F196" s="8"/>
      <c r="G196" s="8"/>
      <c r="H196" s="8"/>
      <c r="I196" s="11"/>
      <c r="J196" s="11"/>
      <c r="K196" s="11"/>
      <c r="L196" s="11"/>
      <c r="M196" s="11"/>
      <c r="N196" s="11"/>
      <c r="O196" s="12" t="str">
        <f t="shared" si="8"/>
        <v/>
      </c>
      <c r="P196" s="12" t="str">
        <f t="shared" si="9"/>
        <v/>
      </c>
      <c r="Q196" s="12" t="str">
        <f t="shared" si="10"/>
        <v/>
      </c>
      <c r="R196" s="12" t="str">
        <f t="shared" si="11"/>
        <v/>
      </c>
      <c r="S196" s="8"/>
      <c r="T196" s="8"/>
      <c r="U196" s="10"/>
      <c r="V196" s="8"/>
    </row>
    <row r="197" spans="1:22">
      <c r="A197" s="8"/>
      <c r="B197" s="10"/>
      <c r="C197" s="8"/>
      <c r="D197" s="8"/>
      <c r="E197" s="8"/>
      <c r="F197" s="8"/>
      <c r="G197" s="8"/>
      <c r="H197" s="8"/>
      <c r="I197" s="11"/>
      <c r="J197" s="11"/>
      <c r="K197" s="11"/>
      <c r="L197" s="11"/>
      <c r="M197" s="11"/>
      <c r="N197" s="11"/>
      <c r="O197" s="12" t="str">
        <f t="shared" ref="O197:O260" si="12">IF(A197="","",K197-I197)</f>
        <v/>
      </c>
      <c r="P197" s="12" t="str">
        <f t="shared" ref="P197:P260" si="13">IF(A197="","",MAX(0,I197-K197))</f>
        <v/>
      </c>
      <c r="Q197" s="12" t="str">
        <f t="shared" ref="Q197:Q260" si="14">IF(A197="","",MAX(0,K197-I197))</f>
        <v/>
      </c>
      <c r="R197" s="12" t="str">
        <f t="shared" ref="R197:R260" si="15">IF(A197="","",K197-N197)</f>
        <v/>
      </c>
      <c r="S197" s="8"/>
      <c r="T197" s="8"/>
      <c r="U197" s="10"/>
      <c r="V197" s="8"/>
    </row>
    <row r="198" spans="1:22">
      <c r="A198" s="8"/>
      <c r="B198" s="10"/>
      <c r="C198" s="8"/>
      <c r="D198" s="8"/>
      <c r="E198" s="8"/>
      <c r="F198" s="8"/>
      <c r="G198" s="8"/>
      <c r="H198" s="8"/>
      <c r="I198" s="11"/>
      <c r="J198" s="11"/>
      <c r="K198" s="11"/>
      <c r="L198" s="11"/>
      <c r="M198" s="11"/>
      <c r="N198" s="11"/>
      <c r="O198" s="12" t="str">
        <f t="shared" si="12"/>
        <v/>
      </c>
      <c r="P198" s="12" t="str">
        <f t="shared" si="13"/>
        <v/>
      </c>
      <c r="Q198" s="12" t="str">
        <f t="shared" si="14"/>
        <v/>
      </c>
      <c r="R198" s="12" t="str">
        <f t="shared" si="15"/>
        <v/>
      </c>
      <c r="S198" s="8"/>
      <c r="T198" s="8"/>
      <c r="U198" s="10"/>
      <c r="V198" s="8"/>
    </row>
    <row r="199" spans="1:22">
      <c r="A199" s="8"/>
      <c r="B199" s="10"/>
      <c r="C199" s="8"/>
      <c r="D199" s="8"/>
      <c r="E199" s="8"/>
      <c r="F199" s="8"/>
      <c r="G199" s="8"/>
      <c r="H199" s="8"/>
      <c r="I199" s="11"/>
      <c r="J199" s="11"/>
      <c r="K199" s="11"/>
      <c r="L199" s="11"/>
      <c r="M199" s="11"/>
      <c r="N199" s="11"/>
      <c r="O199" s="12" t="str">
        <f t="shared" si="12"/>
        <v/>
      </c>
      <c r="P199" s="12" t="str">
        <f t="shared" si="13"/>
        <v/>
      </c>
      <c r="Q199" s="12" t="str">
        <f t="shared" si="14"/>
        <v/>
      </c>
      <c r="R199" s="12" t="str">
        <f t="shared" si="15"/>
        <v/>
      </c>
      <c r="S199" s="8"/>
      <c r="T199" s="8"/>
      <c r="U199" s="10"/>
      <c r="V199" s="8"/>
    </row>
    <row r="200" spans="1:22">
      <c r="A200" s="8"/>
      <c r="B200" s="10"/>
      <c r="C200" s="8"/>
      <c r="D200" s="8"/>
      <c r="E200" s="8"/>
      <c r="F200" s="8"/>
      <c r="G200" s="8"/>
      <c r="H200" s="8"/>
      <c r="I200" s="11"/>
      <c r="J200" s="11"/>
      <c r="K200" s="11"/>
      <c r="L200" s="11"/>
      <c r="M200" s="11"/>
      <c r="N200" s="11"/>
      <c r="O200" s="12" t="str">
        <f t="shared" si="12"/>
        <v/>
      </c>
      <c r="P200" s="12" t="str">
        <f t="shared" si="13"/>
        <v/>
      </c>
      <c r="Q200" s="12" t="str">
        <f t="shared" si="14"/>
        <v/>
      </c>
      <c r="R200" s="12" t="str">
        <f t="shared" si="15"/>
        <v/>
      </c>
      <c r="S200" s="8"/>
      <c r="T200" s="8"/>
      <c r="U200" s="10"/>
      <c r="V200" s="8"/>
    </row>
    <row r="201" spans="1:22">
      <c r="A201" s="8"/>
      <c r="B201" s="10"/>
      <c r="C201" s="8"/>
      <c r="D201" s="8"/>
      <c r="E201" s="8"/>
      <c r="F201" s="8"/>
      <c r="G201" s="8"/>
      <c r="H201" s="8"/>
      <c r="I201" s="11"/>
      <c r="J201" s="11"/>
      <c r="K201" s="11"/>
      <c r="L201" s="11"/>
      <c r="M201" s="11"/>
      <c r="N201" s="11"/>
      <c r="O201" s="12" t="str">
        <f t="shared" si="12"/>
        <v/>
      </c>
      <c r="P201" s="12" t="str">
        <f t="shared" si="13"/>
        <v/>
      </c>
      <c r="Q201" s="12" t="str">
        <f t="shared" si="14"/>
        <v/>
      </c>
      <c r="R201" s="12" t="str">
        <f t="shared" si="15"/>
        <v/>
      </c>
      <c r="S201" s="8"/>
      <c r="T201" s="8"/>
      <c r="U201" s="10"/>
      <c r="V201" s="8"/>
    </row>
    <row r="202" spans="1:22">
      <c r="A202" s="8"/>
      <c r="B202" s="10"/>
      <c r="C202" s="8"/>
      <c r="D202" s="8"/>
      <c r="E202" s="8"/>
      <c r="F202" s="8"/>
      <c r="G202" s="8"/>
      <c r="H202" s="8"/>
      <c r="I202" s="11"/>
      <c r="J202" s="11"/>
      <c r="K202" s="11"/>
      <c r="L202" s="11"/>
      <c r="M202" s="11"/>
      <c r="N202" s="11"/>
      <c r="O202" s="12" t="str">
        <f t="shared" si="12"/>
        <v/>
      </c>
      <c r="P202" s="12" t="str">
        <f t="shared" si="13"/>
        <v/>
      </c>
      <c r="Q202" s="12" t="str">
        <f t="shared" si="14"/>
        <v/>
      </c>
      <c r="R202" s="12" t="str">
        <f t="shared" si="15"/>
        <v/>
      </c>
      <c r="S202" s="8"/>
      <c r="T202" s="8"/>
      <c r="U202" s="10"/>
      <c r="V202" s="8"/>
    </row>
    <row r="203" spans="1:22">
      <c r="A203" s="8"/>
      <c r="B203" s="10"/>
      <c r="C203" s="8"/>
      <c r="D203" s="8"/>
      <c r="E203" s="8"/>
      <c r="F203" s="8"/>
      <c r="G203" s="8"/>
      <c r="H203" s="8"/>
      <c r="I203" s="11"/>
      <c r="J203" s="11"/>
      <c r="K203" s="11"/>
      <c r="L203" s="11"/>
      <c r="M203" s="11"/>
      <c r="N203" s="11"/>
      <c r="O203" s="12" t="str">
        <f t="shared" si="12"/>
        <v/>
      </c>
      <c r="P203" s="12" t="str">
        <f t="shared" si="13"/>
        <v/>
      </c>
      <c r="Q203" s="12" t="str">
        <f t="shared" si="14"/>
        <v/>
      </c>
      <c r="R203" s="12" t="str">
        <f t="shared" si="15"/>
        <v/>
      </c>
      <c r="S203" s="8"/>
      <c r="T203" s="8"/>
      <c r="U203" s="10"/>
      <c r="V203" s="8"/>
    </row>
    <row r="204" spans="1:22">
      <c r="A204" s="8"/>
      <c r="B204" s="10"/>
      <c r="C204" s="8"/>
      <c r="D204" s="8"/>
      <c r="E204" s="8"/>
      <c r="F204" s="8"/>
      <c r="G204" s="8"/>
      <c r="H204" s="8"/>
      <c r="I204" s="11"/>
      <c r="J204" s="11"/>
      <c r="K204" s="11"/>
      <c r="L204" s="11"/>
      <c r="M204" s="11"/>
      <c r="N204" s="11"/>
      <c r="O204" s="12" t="str">
        <f t="shared" si="12"/>
        <v/>
      </c>
      <c r="P204" s="12" t="str">
        <f t="shared" si="13"/>
        <v/>
      </c>
      <c r="Q204" s="12" t="str">
        <f t="shared" si="14"/>
        <v/>
      </c>
      <c r="R204" s="12" t="str">
        <f t="shared" si="15"/>
        <v/>
      </c>
      <c r="S204" s="8"/>
      <c r="T204" s="8"/>
      <c r="U204" s="10"/>
      <c r="V204" s="8"/>
    </row>
    <row r="205" spans="1:22">
      <c r="A205" s="8"/>
      <c r="B205" s="10"/>
      <c r="C205" s="8"/>
      <c r="D205" s="8"/>
      <c r="E205" s="8"/>
      <c r="F205" s="8"/>
      <c r="G205" s="8"/>
      <c r="H205" s="8"/>
      <c r="I205" s="11"/>
      <c r="J205" s="11"/>
      <c r="K205" s="11"/>
      <c r="L205" s="11"/>
      <c r="M205" s="11"/>
      <c r="N205" s="11"/>
      <c r="O205" s="12" t="str">
        <f t="shared" si="12"/>
        <v/>
      </c>
      <c r="P205" s="12" t="str">
        <f t="shared" si="13"/>
        <v/>
      </c>
      <c r="Q205" s="12" t="str">
        <f t="shared" si="14"/>
        <v/>
      </c>
      <c r="R205" s="12" t="str">
        <f t="shared" si="15"/>
        <v/>
      </c>
      <c r="S205" s="8"/>
      <c r="T205" s="8"/>
      <c r="U205" s="10"/>
      <c r="V205" s="8"/>
    </row>
    <row r="206" spans="1:22">
      <c r="A206" s="8"/>
      <c r="B206" s="10"/>
      <c r="C206" s="8"/>
      <c r="D206" s="8"/>
      <c r="E206" s="8"/>
      <c r="F206" s="8"/>
      <c r="G206" s="8"/>
      <c r="H206" s="8"/>
      <c r="I206" s="11"/>
      <c r="J206" s="11"/>
      <c r="K206" s="11"/>
      <c r="L206" s="11"/>
      <c r="M206" s="11"/>
      <c r="N206" s="11"/>
      <c r="O206" s="12" t="str">
        <f t="shared" si="12"/>
        <v/>
      </c>
      <c r="P206" s="12" t="str">
        <f t="shared" si="13"/>
        <v/>
      </c>
      <c r="Q206" s="12" t="str">
        <f t="shared" si="14"/>
        <v/>
      </c>
      <c r="R206" s="12" t="str">
        <f t="shared" si="15"/>
        <v/>
      </c>
      <c r="S206" s="8"/>
      <c r="T206" s="8"/>
      <c r="U206" s="10"/>
      <c r="V206" s="8"/>
    </row>
    <row r="207" spans="1:22">
      <c r="A207" s="8"/>
      <c r="B207" s="10"/>
      <c r="C207" s="8"/>
      <c r="D207" s="8"/>
      <c r="E207" s="8"/>
      <c r="F207" s="8"/>
      <c r="G207" s="8"/>
      <c r="H207" s="8"/>
      <c r="I207" s="11"/>
      <c r="J207" s="11"/>
      <c r="K207" s="11"/>
      <c r="L207" s="11"/>
      <c r="M207" s="11"/>
      <c r="N207" s="11"/>
      <c r="O207" s="12" t="str">
        <f t="shared" si="12"/>
        <v/>
      </c>
      <c r="P207" s="12" t="str">
        <f t="shared" si="13"/>
        <v/>
      </c>
      <c r="Q207" s="12" t="str">
        <f t="shared" si="14"/>
        <v/>
      </c>
      <c r="R207" s="12" t="str">
        <f t="shared" si="15"/>
        <v/>
      </c>
      <c r="S207" s="8"/>
      <c r="T207" s="8"/>
      <c r="U207" s="10"/>
      <c r="V207" s="8"/>
    </row>
    <row r="208" spans="1:22">
      <c r="A208" s="8"/>
      <c r="B208" s="10"/>
      <c r="C208" s="8"/>
      <c r="D208" s="8"/>
      <c r="E208" s="8"/>
      <c r="F208" s="8"/>
      <c r="G208" s="8"/>
      <c r="H208" s="8"/>
      <c r="I208" s="11"/>
      <c r="J208" s="11"/>
      <c r="K208" s="11"/>
      <c r="L208" s="11"/>
      <c r="M208" s="11"/>
      <c r="N208" s="11"/>
      <c r="O208" s="12" t="str">
        <f t="shared" si="12"/>
        <v/>
      </c>
      <c r="P208" s="12" t="str">
        <f t="shared" si="13"/>
        <v/>
      </c>
      <c r="Q208" s="12" t="str">
        <f t="shared" si="14"/>
        <v/>
      </c>
      <c r="R208" s="12" t="str">
        <f t="shared" si="15"/>
        <v/>
      </c>
      <c r="S208" s="8"/>
      <c r="T208" s="8"/>
      <c r="U208" s="10"/>
      <c r="V208" s="8"/>
    </row>
    <row r="209" spans="1:22">
      <c r="A209" s="8"/>
      <c r="B209" s="10"/>
      <c r="C209" s="8"/>
      <c r="D209" s="8"/>
      <c r="E209" s="8"/>
      <c r="F209" s="8"/>
      <c r="G209" s="8"/>
      <c r="H209" s="8"/>
      <c r="I209" s="11"/>
      <c r="J209" s="11"/>
      <c r="K209" s="11"/>
      <c r="L209" s="11"/>
      <c r="M209" s="11"/>
      <c r="N209" s="11"/>
      <c r="O209" s="12" t="str">
        <f t="shared" si="12"/>
        <v/>
      </c>
      <c r="P209" s="12" t="str">
        <f t="shared" si="13"/>
        <v/>
      </c>
      <c r="Q209" s="12" t="str">
        <f t="shared" si="14"/>
        <v/>
      </c>
      <c r="R209" s="12" t="str">
        <f t="shared" si="15"/>
        <v/>
      </c>
      <c r="S209" s="8"/>
      <c r="T209" s="8"/>
      <c r="U209" s="10"/>
      <c r="V209" s="8"/>
    </row>
    <row r="210" spans="1:22">
      <c r="A210" s="8"/>
      <c r="B210" s="10"/>
      <c r="C210" s="8"/>
      <c r="D210" s="8"/>
      <c r="E210" s="8"/>
      <c r="F210" s="8"/>
      <c r="G210" s="8"/>
      <c r="H210" s="8"/>
      <c r="I210" s="11"/>
      <c r="J210" s="11"/>
      <c r="K210" s="11"/>
      <c r="L210" s="11"/>
      <c r="M210" s="11"/>
      <c r="N210" s="11"/>
      <c r="O210" s="12" t="str">
        <f t="shared" si="12"/>
        <v/>
      </c>
      <c r="P210" s="12" t="str">
        <f t="shared" si="13"/>
        <v/>
      </c>
      <c r="Q210" s="12" t="str">
        <f t="shared" si="14"/>
        <v/>
      </c>
      <c r="R210" s="12" t="str">
        <f t="shared" si="15"/>
        <v/>
      </c>
      <c r="S210" s="8"/>
      <c r="T210" s="8"/>
      <c r="U210" s="10"/>
      <c r="V210" s="8"/>
    </row>
    <row r="211" spans="1:22">
      <c r="A211" s="8"/>
      <c r="B211" s="10"/>
      <c r="C211" s="8"/>
      <c r="D211" s="8"/>
      <c r="E211" s="8"/>
      <c r="F211" s="8"/>
      <c r="G211" s="8"/>
      <c r="H211" s="8"/>
      <c r="I211" s="11"/>
      <c r="J211" s="11"/>
      <c r="K211" s="11"/>
      <c r="L211" s="11"/>
      <c r="M211" s="11"/>
      <c r="N211" s="11"/>
      <c r="O211" s="12" t="str">
        <f t="shared" si="12"/>
        <v/>
      </c>
      <c r="P211" s="12" t="str">
        <f t="shared" si="13"/>
        <v/>
      </c>
      <c r="Q211" s="12" t="str">
        <f t="shared" si="14"/>
        <v/>
      </c>
      <c r="R211" s="12" t="str">
        <f t="shared" si="15"/>
        <v/>
      </c>
      <c r="S211" s="8"/>
      <c r="T211" s="8"/>
      <c r="U211" s="10"/>
      <c r="V211" s="8"/>
    </row>
    <row r="212" spans="1:22">
      <c r="A212" s="8"/>
      <c r="B212" s="10"/>
      <c r="C212" s="8"/>
      <c r="D212" s="8"/>
      <c r="E212" s="8"/>
      <c r="F212" s="8"/>
      <c r="G212" s="8"/>
      <c r="H212" s="8"/>
      <c r="I212" s="11"/>
      <c r="J212" s="11"/>
      <c r="K212" s="11"/>
      <c r="L212" s="11"/>
      <c r="M212" s="11"/>
      <c r="N212" s="11"/>
      <c r="O212" s="12" t="str">
        <f t="shared" si="12"/>
        <v/>
      </c>
      <c r="P212" s="12" t="str">
        <f t="shared" si="13"/>
        <v/>
      </c>
      <c r="Q212" s="12" t="str">
        <f t="shared" si="14"/>
        <v/>
      </c>
      <c r="R212" s="12" t="str">
        <f t="shared" si="15"/>
        <v/>
      </c>
      <c r="S212" s="8"/>
      <c r="T212" s="8"/>
      <c r="U212" s="10"/>
      <c r="V212" s="8"/>
    </row>
    <row r="213" spans="1:22">
      <c r="A213" s="8"/>
      <c r="B213" s="10"/>
      <c r="C213" s="8"/>
      <c r="D213" s="8"/>
      <c r="E213" s="8"/>
      <c r="F213" s="8"/>
      <c r="G213" s="8"/>
      <c r="H213" s="8"/>
      <c r="I213" s="11"/>
      <c r="J213" s="11"/>
      <c r="K213" s="11"/>
      <c r="L213" s="11"/>
      <c r="M213" s="11"/>
      <c r="N213" s="11"/>
      <c r="O213" s="12" t="str">
        <f t="shared" si="12"/>
        <v/>
      </c>
      <c r="P213" s="12" t="str">
        <f t="shared" si="13"/>
        <v/>
      </c>
      <c r="Q213" s="12" t="str">
        <f t="shared" si="14"/>
        <v/>
      </c>
      <c r="R213" s="12" t="str">
        <f t="shared" si="15"/>
        <v/>
      </c>
      <c r="S213" s="8"/>
      <c r="T213" s="8"/>
      <c r="U213" s="10"/>
      <c r="V213" s="8"/>
    </row>
    <row r="214" spans="1:22">
      <c r="A214" s="8"/>
      <c r="B214" s="10"/>
      <c r="C214" s="8"/>
      <c r="D214" s="8"/>
      <c r="E214" s="8"/>
      <c r="F214" s="8"/>
      <c r="G214" s="8"/>
      <c r="H214" s="8"/>
      <c r="I214" s="11"/>
      <c r="J214" s="11"/>
      <c r="K214" s="11"/>
      <c r="L214" s="11"/>
      <c r="M214" s="11"/>
      <c r="N214" s="11"/>
      <c r="O214" s="12" t="str">
        <f t="shared" si="12"/>
        <v/>
      </c>
      <c r="P214" s="12" t="str">
        <f t="shared" si="13"/>
        <v/>
      </c>
      <c r="Q214" s="12" t="str">
        <f t="shared" si="14"/>
        <v/>
      </c>
      <c r="R214" s="12" t="str">
        <f t="shared" si="15"/>
        <v/>
      </c>
      <c r="S214" s="8"/>
      <c r="T214" s="8"/>
      <c r="U214" s="10"/>
      <c r="V214" s="8"/>
    </row>
    <row r="215" spans="1:22">
      <c r="A215" s="8"/>
      <c r="B215" s="10"/>
      <c r="C215" s="8"/>
      <c r="D215" s="8"/>
      <c r="E215" s="8"/>
      <c r="F215" s="8"/>
      <c r="G215" s="8"/>
      <c r="H215" s="8"/>
      <c r="I215" s="11"/>
      <c r="J215" s="11"/>
      <c r="K215" s="11"/>
      <c r="L215" s="11"/>
      <c r="M215" s="11"/>
      <c r="N215" s="11"/>
      <c r="O215" s="12" t="str">
        <f t="shared" si="12"/>
        <v/>
      </c>
      <c r="P215" s="12" t="str">
        <f t="shared" si="13"/>
        <v/>
      </c>
      <c r="Q215" s="12" t="str">
        <f t="shared" si="14"/>
        <v/>
      </c>
      <c r="R215" s="12" t="str">
        <f t="shared" si="15"/>
        <v/>
      </c>
      <c r="S215" s="8"/>
      <c r="T215" s="8"/>
      <c r="U215" s="10"/>
      <c r="V215" s="8"/>
    </row>
    <row r="216" spans="1:22">
      <c r="A216" s="8"/>
      <c r="B216" s="10"/>
      <c r="C216" s="8"/>
      <c r="D216" s="8"/>
      <c r="E216" s="8"/>
      <c r="F216" s="8"/>
      <c r="G216" s="8"/>
      <c r="H216" s="8"/>
      <c r="I216" s="11"/>
      <c r="J216" s="11"/>
      <c r="K216" s="11"/>
      <c r="L216" s="11"/>
      <c r="M216" s="11"/>
      <c r="N216" s="11"/>
      <c r="O216" s="12" t="str">
        <f t="shared" si="12"/>
        <v/>
      </c>
      <c r="P216" s="12" t="str">
        <f t="shared" si="13"/>
        <v/>
      </c>
      <c r="Q216" s="12" t="str">
        <f t="shared" si="14"/>
        <v/>
      </c>
      <c r="R216" s="12" t="str">
        <f t="shared" si="15"/>
        <v/>
      </c>
      <c r="S216" s="8"/>
      <c r="T216" s="8"/>
      <c r="U216" s="10"/>
      <c r="V216" s="8"/>
    </row>
    <row r="217" spans="1:22">
      <c r="A217" s="8"/>
      <c r="B217" s="10"/>
      <c r="C217" s="8"/>
      <c r="D217" s="8"/>
      <c r="E217" s="8"/>
      <c r="F217" s="8"/>
      <c r="G217" s="8"/>
      <c r="H217" s="8"/>
      <c r="I217" s="11"/>
      <c r="J217" s="11"/>
      <c r="K217" s="11"/>
      <c r="L217" s="11"/>
      <c r="M217" s="11"/>
      <c r="N217" s="11"/>
      <c r="O217" s="12" t="str">
        <f t="shared" si="12"/>
        <v/>
      </c>
      <c r="P217" s="12" t="str">
        <f t="shared" si="13"/>
        <v/>
      </c>
      <c r="Q217" s="12" t="str">
        <f t="shared" si="14"/>
        <v/>
      </c>
      <c r="R217" s="12" t="str">
        <f t="shared" si="15"/>
        <v/>
      </c>
      <c r="S217" s="8"/>
      <c r="T217" s="8"/>
      <c r="U217" s="10"/>
      <c r="V217" s="8"/>
    </row>
    <row r="218" spans="1:22">
      <c r="A218" s="8"/>
      <c r="B218" s="10"/>
      <c r="C218" s="8"/>
      <c r="D218" s="8"/>
      <c r="E218" s="8"/>
      <c r="F218" s="8"/>
      <c r="G218" s="8"/>
      <c r="H218" s="8"/>
      <c r="I218" s="11"/>
      <c r="J218" s="11"/>
      <c r="K218" s="11"/>
      <c r="L218" s="11"/>
      <c r="M218" s="11"/>
      <c r="N218" s="11"/>
      <c r="O218" s="12" t="str">
        <f t="shared" si="12"/>
        <v/>
      </c>
      <c r="P218" s="12" t="str">
        <f t="shared" si="13"/>
        <v/>
      </c>
      <c r="Q218" s="12" t="str">
        <f t="shared" si="14"/>
        <v/>
      </c>
      <c r="R218" s="12" t="str">
        <f t="shared" si="15"/>
        <v/>
      </c>
      <c r="S218" s="8"/>
      <c r="T218" s="8"/>
      <c r="U218" s="10"/>
      <c r="V218" s="8"/>
    </row>
    <row r="219" spans="1:22">
      <c r="A219" s="8"/>
      <c r="B219" s="10"/>
      <c r="C219" s="8"/>
      <c r="D219" s="8"/>
      <c r="E219" s="8"/>
      <c r="F219" s="8"/>
      <c r="G219" s="8"/>
      <c r="H219" s="8"/>
      <c r="I219" s="11"/>
      <c r="J219" s="11"/>
      <c r="K219" s="11"/>
      <c r="L219" s="11"/>
      <c r="M219" s="11"/>
      <c r="N219" s="11"/>
      <c r="O219" s="12" t="str">
        <f t="shared" si="12"/>
        <v/>
      </c>
      <c r="P219" s="12" t="str">
        <f t="shared" si="13"/>
        <v/>
      </c>
      <c r="Q219" s="12" t="str">
        <f t="shared" si="14"/>
        <v/>
      </c>
      <c r="R219" s="12" t="str">
        <f t="shared" si="15"/>
        <v/>
      </c>
      <c r="S219" s="8"/>
      <c r="T219" s="8"/>
      <c r="U219" s="10"/>
      <c r="V219" s="8"/>
    </row>
    <row r="220" spans="1:22">
      <c r="A220" s="8"/>
      <c r="B220" s="10"/>
      <c r="C220" s="8"/>
      <c r="D220" s="8"/>
      <c r="E220" s="8"/>
      <c r="F220" s="8"/>
      <c r="G220" s="8"/>
      <c r="H220" s="8"/>
      <c r="I220" s="11"/>
      <c r="J220" s="11"/>
      <c r="K220" s="11"/>
      <c r="L220" s="11"/>
      <c r="M220" s="11"/>
      <c r="N220" s="11"/>
      <c r="O220" s="12" t="str">
        <f t="shared" si="12"/>
        <v/>
      </c>
      <c r="P220" s="12" t="str">
        <f t="shared" si="13"/>
        <v/>
      </c>
      <c r="Q220" s="12" t="str">
        <f t="shared" si="14"/>
        <v/>
      </c>
      <c r="R220" s="12" t="str">
        <f t="shared" si="15"/>
        <v/>
      </c>
      <c r="S220" s="8"/>
      <c r="T220" s="8"/>
      <c r="U220" s="10"/>
      <c r="V220" s="8"/>
    </row>
    <row r="221" spans="1:22">
      <c r="A221" s="8"/>
      <c r="B221" s="10"/>
      <c r="C221" s="8"/>
      <c r="D221" s="8"/>
      <c r="E221" s="8"/>
      <c r="F221" s="8"/>
      <c r="G221" s="8"/>
      <c r="H221" s="8"/>
      <c r="I221" s="11"/>
      <c r="J221" s="11"/>
      <c r="K221" s="11"/>
      <c r="L221" s="11"/>
      <c r="M221" s="11"/>
      <c r="N221" s="11"/>
      <c r="O221" s="12" t="str">
        <f t="shared" si="12"/>
        <v/>
      </c>
      <c r="P221" s="12" t="str">
        <f t="shared" si="13"/>
        <v/>
      </c>
      <c r="Q221" s="12" t="str">
        <f t="shared" si="14"/>
        <v/>
      </c>
      <c r="R221" s="12" t="str">
        <f t="shared" si="15"/>
        <v/>
      </c>
      <c r="S221" s="8"/>
      <c r="T221" s="8"/>
      <c r="U221" s="10"/>
      <c r="V221" s="8"/>
    </row>
    <row r="222" spans="1:22">
      <c r="A222" s="8"/>
      <c r="B222" s="10"/>
      <c r="C222" s="8"/>
      <c r="D222" s="8"/>
      <c r="E222" s="8"/>
      <c r="F222" s="8"/>
      <c r="G222" s="8"/>
      <c r="H222" s="8"/>
      <c r="I222" s="11"/>
      <c r="J222" s="11"/>
      <c r="K222" s="11"/>
      <c r="L222" s="11"/>
      <c r="M222" s="11"/>
      <c r="N222" s="11"/>
      <c r="O222" s="12" t="str">
        <f t="shared" si="12"/>
        <v/>
      </c>
      <c r="P222" s="12" t="str">
        <f t="shared" si="13"/>
        <v/>
      </c>
      <c r="Q222" s="12" t="str">
        <f t="shared" si="14"/>
        <v/>
      </c>
      <c r="R222" s="12" t="str">
        <f t="shared" si="15"/>
        <v/>
      </c>
      <c r="S222" s="8"/>
      <c r="T222" s="8"/>
      <c r="U222" s="10"/>
      <c r="V222" s="8"/>
    </row>
    <row r="223" spans="1:22">
      <c r="A223" s="8"/>
      <c r="B223" s="10"/>
      <c r="C223" s="8"/>
      <c r="D223" s="8"/>
      <c r="E223" s="8"/>
      <c r="F223" s="8"/>
      <c r="G223" s="8"/>
      <c r="H223" s="8"/>
      <c r="I223" s="11"/>
      <c r="J223" s="11"/>
      <c r="K223" s="11"/>
      <c r="L223" s="11"/>
      <c r="M223" s="11"/>
      <c r="N223" s="11"/>
      <c r="O223" s="12" t="str">
        <f t="shared" si="12"/>
        <v/>
      </c>
      <c r="P223" s="12" t="str">
        <f t="shared" si="13"/>
        <v/>
      </c>
      <c r="Q223" s="12" t="str">
        <f t="shared" si="14"/>
        <v/>
      </c>
      <c r="R223" s="12" t="str">
        <f t="shared" si="15"/>
        <v/>
      </c>
      <c r="S223" s="8"/>
      <c r="T223" s="8"/>
      <c r="U223" s="10"/>
      <c r="V223" s="8"/>
    </row>
    <row r="224" spans="1:22">
      <c r="A224" s="8"/>
      <c r="B224" s="10"/>
      <c r="C224" s="8"/>
      <c r="D224" s="8"/>
      <c r="E224" s="8"/>
      <c r="F224" s="8"/>
      <c r="G224" s="8"/>
      <c r="H224" s="8"/>
      <c r="I224" s="11"/>
      <c r="J224" s="11"/>
      <c r="K224" s="11"/>
      <c r="L224" s="11"/>
      <c r="M224" s="11"/>
      <c r="N224" s="11"/>
      <c r="O224" s="12" t="str">
        <f t="shared" si="12"/>
        <v/>
      </c>
      <c r="P224" s="12" t="str">
        <f t="shared" si="13"/>
        <v/>
      </c>
      <c r="Q224" s="12" t="str">
        <f t="shared" si="14"/>
        <v/>
      </c>
      <c r="R224" s="12" t="str">
        <f t="shared" si="15"/>
        <v/>
      </c>
      <c r="S224" s="8"/>
      <c r="T224" s="8"/>
      <c r="U224" s="10"/>
      <c r="V224" s="8"/>
    </row>
    <row r="225" spans="1:22">
      <c r="A225" s="8"/>
      <c r="B225" s="10"/>
      <c r="C225" s="8"/>
      <c r="D225" s="8"/>
      <c r="E225" s="8"/>
      <c r="F225" s="8"/>
      <c r="G225" s="8"/>
      <c r="H225" s="8"/>
      <c r="I225" s="11"/>
      <c r="J225" s="11"/>
      <c r="K225" s="11"/>
      <c r="L225" s="11"/>
      <c r="M225" s="11"/>
      <c r="N225" s="11"/>
      <c r="O225" s="12" t="str">
        <f t="shared" si="12"/>
        <v/>
      </c>
      <c r="P225" s="12" t="str">
        <f t="shared" si="13"/>
        <v/>
      </c>
      <c r="Q225" s="12" t="str">
        <f t="shared" si="14"/>
        <v/>
      </c>
      <c r="R225" s="12" t="str">
        <f t="shared" si="15"/>
        <v/>
      </c>
      <c r="S225" s="8"/>
      <c r="T225" s="8"/>
      <c r="U225" s="10"/>
      <c r="V225" s="8"/>
    </row>
    <row r="226" spans="1:22">
      <c r="A226" s="8"/>
      <c r="B226" s="10"/>
      <c r="C226" s="8"/>
      <c r="D226" s="8"/>
      <c r="E226" s="8"/>
      <c r="F226" s="8"/>
      <c r="G226" s="8"/>
      <c r="H226" s="8"/>
      <c r="I226" s="11"/>
      <c r="J226" s="11"/>
      <c r="K226" s="11"/>
      <c r="L226" s="11"/>
      <c r="M226" s="11"/>
      <c r="N226" s="11"/>
      <c r="O226" s="12" t="str">
        <f t="shared" si="12"/>
        <v/>
      </c>
      <c r="P226" s="12" t="str">
        <f t="shared" si="13"/>
        <v/>
      </c>
      <c r="Q226" s="12" t="str">
        <f t="shared" si="14"/>
        <v/>
      </c>
      <c r="R226" s="12" t="str">
        <f t="shared" si="15"/>
        <v/>
      </c>
      <c r="S226" s="8"/>
      <c r="T226" s="8"/>
      <c r="U226" s="10"/>
      <c r="V226" s="8"/>
    </row>
    <row r="227" spans="1:22">
      <c r="A227" s="8"/>
      <c r="B227" s="10"/>
      <c r="C227" s="8"/>
      <c r="D227" s="8"/>
      <c r="E227" s="8"/>
      <c r="F227" s="8"/>
      <c r="G227" s="8"/>
      <c r="H227" s="8"/>
      <c r="I227" s="11"/>
      <c r="J227" s="11"/>
      <c r="K227" s="11"/>
      <c r="L227" s="11"/>
      <c r="M227" s="11"/>
      <c r="N227" s="11"/>
      <c r="O227" s="12" t="str">
        <f t="shared" si="12"/>
        <v/>
      </c>
      <c r="P227" s="12" t="str">
        <f t="shared" si="13"/>
        <v/>
      </c>
      <c r="Q227" s="12" t="str">
        <f t="shared" si="14"/>
        <v/>
      </c>
      <c r="R227" s="12" t="str">
        <f t="shared" si="15"/>
        <v/>
      </c>
      <c r="S227" s="8"/>
      <c r="T227" s="8"/>
      <c r="U227" s="10"/>
      <c r="V227" s="8"/>
    </row>
    <row r="228" spans="1:22">
      <c r="A228" s="8"/>
      <c r="B228" s="10"/>
      <c r="C228" s="8"/>
      <c r="D228" s="8"/>
      <c r="E228" s="8"/>
      <c r="F228" s="8"/>
      <c r="G228" s="8"/>
      <c r="H228" s="8"/>
      <c r="I228" s="11"/>
      <c r="J228" s="11"/>
      <c r="K228" s="11"/>
      <c r="L228" s="11"/>
      <c r="M228" s="11"/>
      <c r="N228" s="11"/>
      <c r="O228" s="12" t="str">
        <f t="shared" si="12"/>
        <v/>
      </c>
      <c r="P228" s="12" t="str">
        <f t="shared" si="13"/>
        <v/>
      </c>
      <c r="Q228" s="12" t="str">
        <f t="shared" si="14"/>
        <v/>
      </c>
      <c r="R228" s="12" t="str">
        <f t="shared" si="15"/>
        <v/>
      </c>
      <c r="S228" s="8"/>
      <c r="T228" s="8"/>
      <c r="U228" s="10"/>
      <c r="V228" s="8"/>
    </row>
    <row r="229" spans="1:22">
      <c r="A229" s="8"/>
      <c r="B229" s="10"/>
      <c r="C229" s="8"/>
      <c r="D229" s="8"/>
      <c r="E229" s="8"/>
      <c r="F229" s="8"/>
      <c r="G229" s="8"/>
      <c r="H229" s="8"/>
      <c r="I229" s="11"/>
      <c r="J229" s="11"/>
      <c r="K229" s="11"/>
      <c r="L229" s="11"/>
      <c r="M229" s="11"/>
      <c r="N229" s="11"/>
      <c r="O229" s="12" t="str">
        <f t="shared" si="12"/>
        <v/>
      </c>
      <c r="P229" s="12" t="str">
        <f t="shared" si="13"/>
        <v/>
      </c>
      <c r="Q229" s="12" t="str">
        <f t="shared" si="14"/>
        <v/>
      </c>
      <c r="R229" s="12" t="str">
        <f t="shared" si="15"/>
        <v/>
      </c>
      <c r="S229" s="8"/>
      <c r="T229" s="8"/>
      <c r="U229" s="10"/>
      <c r="V229" s="8"/>
    </row>
    <row r="230" spans="1:22">
      <c r="A230" s="8"/>
      <c r="B230" s="10"/>
      <c r="C230" s="8"/>
      <c r="D230" s="8"/>
      <c r="E230" s="8"/>
      <c r="F230" s="8"/>
      <c r="G230" s="8"/>
      <c r="H230" s="8"/>
      <c r="I230" s="11"/>
      <c r="J230" s="11"/>
      <c r="K230" s="11"/>
      <c r="L230" s="11"/>
      <c r="M230" s="11"/>
      <c r="N230" s="11"/>
      <c r="O230" s="12" t="str">
        <f t="shared" si="12"/>
        <v/>
      </c>
      <c r="P230" s="12" t="str">
        <f t="shared" si="13"/>
        <v/>
      </c>
      <c r="Q230" s="12" t="str">
        <f t="shared" si="14"/>
        <v/>
      </c>
      <c r="R230" s="12" t="str">
        <f t="shared" si="15"/>
        <v/>
      </c>
      <c r="S230" s="8"/>
      <c r="T230" s="8"/>
      <c r="U230" s="10"/>
      <c r="V230" s="8"/>
    </row>
    <row r="231" spans="1:22">
      <c r="A231" s="8"/>
      <c r="B231" s="10"/>
      <c r="C231" s="8"/>
      <c r="D231" s="8"/>
      <c r="E231" s="8"/>
      <c r="F231" s="8"/>
      <c r="G231" s="8"/>
      <c r="H231" s="8"/>
      <c r="I231" s="11"/>
      <c r="J231" s="11"/>
      <c r="K231" s="11"/>
      <c r="L231" s="11"/>
      <c r="M231" s="11"/>
      <c r="N231" s="11"/>
      <c r="O231" s="12" t="str">
        <f t="shared" si="12"/>
        <v/>
      </c>
      <c r="P231" s="12" t="str">
        <f t="shared" si="13"/>
        <v/>
      </c>
      <c r="Q231" s="12" t="str">
        <f t="shared" si="14"/>
        <v/>
      </c>
      <c r="R231" s="12" t="str">
        <f t="shared" si="15"/>
        <v/>
      </c>
      <c r="S231" s="8"/>
      <c r="T231" s="8"/>
      <c r="U231" s="10"/>
      <c r="V231" s="8"/>
    </row>
    <row r="232" spans="1:22">
      <c r="A232" s="8"/>
      <c r="B232" s="10"/>
      <c r="C232" s="8"/>
      <c r="D232" s="8"/>
      <c r="E232" s="8"/>
      <c r="F232" s="8"/>
      <c r="G232" s="8"/>
      <c r="H232" s="8"/>
      <c r="I232" s="11"/>
      <c r="J232" s="11"/>
      <c r="K232" s="11"/>
      <c r="L232" s="11"/>
      <c r="M232" s="11"/>
      <c r="N232" s="11"/>
      <c r="O232" s="12" t="str">
        <f t="shared" si="12"/>
        <v/>
      </c>
      <c r="P232" s="12" t="str">
        <f t="shared" si="13"/>
        <v/>
      </c>
      <c r="Q232" s="12" t="str">
        <f t="shared" si="14"/>
        <v/>
      </c>
      <c r="R232" s="12" t="str">
        <f t="shared" si="15"/>
        <v/>
      </c>
      <c r="S232" s="8"/>
      <c r="T232" s="8"/>
      <c r="U232" s="10"/>
      <c r="V232" s="8"/>
    </row>
    <row r="233" spans="1:22">
      <c r="A233" s="8"/>
      <c r="B233" s="10"/>
      <c r="C233" s="8"/>
      <c r="D233" s="8"/>
      <c r="E233" s="8"/>
      <c r="F233" s="8"/>
      <c r="G233" s="8"/>
      <c r="H233" s="8"/>
      <c r="I233" s="11"/>
      <c r="J233" s="11"/>
      <c r="K233" s="11"/>
      <c r="L233" s="11"/>
      <c r="M233" s="11"/>
      <c r="N233" s="11"/>
      <c r="O233" s="12" t="str">
        <f t="shared" si="12"/>
        <v/>
      </c>
      <c r="P233" s="12" t="str">
        <f t="shared" si="13"/>
        <v/>
      </c>
      <c r="Q233" s="12" t="str">
        <f t="shared" si="14"/>
        <v/>
      </c>
      <c r="R233" s="12" t="str">
        <f t="shared" si="15"/>
        <v/>
      </c>
      <c r="S233" s="8"/>
      <c r="T233" s="8"/>
      <c r="U233" s="10"/>
      <c r="V233" s="8"/>
    </row>
    <row r="234" spans="1:22">
      <c r="A234" s="8"/>
      <c r="B234" s="10"/>
      <c r="C234" s="8"/>
      <c r="D234" s="8"/>
      <c r="E234" s="8"/>
      <c r="F234" s="8"/>
      <c r="G234" s="8"/>
      <c r="H234" s="8"/>
      <c r="I234" s="11"/>
      <c r="J234" s="11"/>
      <c r="K234" s="11"/>
      <c r="L234" s="11"/>
      <c r="M234" s="11"/>
      <c r="N234" s="11"/>
      <c r="O234" s="12" t="str">
        <f t="shared" si="12"/>
        <v/>
      </c>
      <c r="P234" s="12" t="str">
        <f t="shared" si="13"/>
        <v/>
      </c>
      <c r="Q234" s="12" t="str">
        <f t="shared" si="14"/>
        <v/>
      </c>
      <c r="R234" s="12" t="str">
        <f t="shared" si="15"/>
        <v/>
      </c>
      <c r="S234" s="8"/>
      <c r="T234" s="8"/>
      <c r="U234" s="10"/>
      <c r="V234" s="8"/>
    </row>
    <row r="235" spans="1:22">
      <c r="A235" s="8"/>
      <c r="B235" s="10"/>
      <c r="C235" s="8"/>
      <c r="D235" s="8"/>
      <c r="E235" s="8"/>
      <c r="F235" s="8"/>
      <c r="G235" s="8"/>
      <c r="H235" s="8"/>
      <c r="I235" s="11"/>
      <c r="J235" s="11"/>
      <c r="K235" s="11"/>
      <c r="L235" s="11"/>
      <c r="M235" s="11"/>
      <c r="N235" s="11"/>
      <c r="O235" s="12" t="str">
        <f t="shared" si="12"/>
        <v/>
      </c>
      <c r="P235" s="12" t="str">
        <f t="shared" si="13"/>
        <v/>
      </c>
      <c r="Q235" s="12" t="str">
        <f t="shared" si="14"/>
        <v/>
      </c>
      <c r="R235" s="12" t="str">
        <f t="shared" si="15"/>
        <v/>
      </c>
      <c r="S235" s="8"/>
      <c r="T235" s="8"/>
      <c r="U235" s="10"/>
      <c r="V235" s="8"/>
    </row>
    <row r="236" spans="1:22">
      <c r="A236" s="8"/>
      <c r="B236" s="10"/>
      <c r="C236" s="8"/>
      <c r="D236" s="8"/>
      <c r="E236" s="8"/>
      <c r="F236" s="8"/>
      <c r="G236" s="8"/>
      <c r="H236" s="8"/>
      <c r="I236" s="11"/>
      <c r="J236" s="11"/>
      <c r="K236" s="11"/>
      <c r="L236" s="11"/>
      <c r="M236" s="11"/>
      <c r="N236" s="11"/>
      <c r="O236" s="12" t="str">
        <f t="shared" si="12"/>
        <v/>
      </c>
      <c r="P236" s="12" t="str">
        <f t="shared" si="13"/>
        <v/>
      </c>
      <c r="Q236" s="12" t="str">
        <f t="shared" si="14"/>
        <v/>
      </c>
      <c r="R236" s="12" t="str">
        <f t="shared" si="15"/>
        <v/>
      </c>
      <c r="S236" s="8"/>
      <c r="T236" s="8"/>
      <c r="U236" s="10"/>
      <c r="V236" s="8"/>
    </row>
    <row r="237" spans="1:22">
      <c r="A237" s="8"/>
      <c r="B237" s="10"/>
      <c r="C237" s="8"/>
      <c r="D237" s="8"/>
      <c r="E237" s="8"/>
      <c r="F237" s="8"/>
      <c r="G237" s="8"/>
      <c r="H237" s="8"/>
      <c r="I237" s="11"/>
      <c r="J237" s="11"/>
      <c r="K237" s="11"/>
      <c r="L237" s="11"/>
      <c r="M237" s="11"/>
      <c r="N237" s="11"/>
      <c r="O237" s="12" t="str">
        <f t="shared" si="12"/>
        <v/>
      </c>
      <c r="P237" s="12" t="str">
        <f t="shared" si="13"/>
        <v/>
      </c>
      <c r="Q237" s="12" t="str">
        <f t="shared" si="14"/>
        <v/>
      </c>
      <c r="R237" s="12" t="str">
        <f t="shared" si="15"/>
        <v/>
      </c>
      <c r="S237" s="8"/>
      <c r="T237" s="8"/>
      <c r="U237" s="10"/>
      <c r="V237" s="8"/>
    </row>
    <row r="238" spans="1:22">
      <c r="A238" s="8"/>
      <c r="B238" s="10"/>
      <c r="C238" s="8"/>
      <c r="D238" s="8"/>
      <c r="E238" s="8"/>
      <c r="F238" s="8"/>
      <c r="G238" s="8"/>
      <c r="H238" s="8"/>
      <c r="I238" s="11"/>
      <c r="J238" s="11"/>
      <c r="K238" s="11"/>
      <c r="L238" s="11"/>
      <c r="M238" s="11"/>
      <c r="N238" s="11"/>
      <c r="O238" s="12" t="str">
        <f t="shared" si="12"/>
        <v/>
      </c>
      <c r="P238" s="12" t="str">
        <f t="shared" si="13"/>
        <v/>
      </c>
      <c r="Q238" s="12" t="str">
        <f t="shared" si="14"/>
        <v/>
      </c>
      <c r="R238" s="12" t="str">
        <f t="shared" si="15"/>
        <v/>
      </c>
      <c r="S238" s="8"/>
      <c r="T238" s="8"/>
      <c r="U238" s="10"/>
      <c r="V238" s="8"/>
    </row>
    <row r="239" spans="1:22">
      <c r="A239" s="8"/>
      <c r="B239" s="10"/>
      <c r="C239" s="8"/>
      <c r="D239" s="8"/>
      <c r="E239" s="8"/>
      <c r="F239" s="8"/>
      <c r="G239" s="8"/>
      <c r="H239" s="8"/>
      <c r="I239" s="11"/>
      <c r="J239" s="11"/>
      <c r="K239" s="11"/>
      <c r="L239" s="11"/>
      <c r="M239" s="11"/>
      <c r="N239" s="11"/>
      <c r="O239" s="12" t="str">
        <f t="shared" si="12"/>
        <v/>
      </c>
      <c r="P239" s="12" t="str">
        <f t="shared" si="13"/>
        <v/>
      </c>
      <c r="Q239" s="12" t="str">
        <f t="shared" si="14"/>
        <v/>
      </c>
      <c r="R239" s="12" t="str">
        <f t="shared" si="15"/>
        <v/>
      </c>
      <c r="S239" s="8"/>
      <c r="T239" s="8"/>
      <c r="U239" s="10"/>
      <c r="V239" s="8"/>
    </row>
    <row r="240" spans="1:22">
      <c r="A240" s="8"/>
      <c r="B240" s="10"/>
      <c r="C240" s="8"/>
      <c r="D240" s="8"/>
      <c r="E240" s="8"/>
      <c r="F240" s="8"/>
      <c r="G240" s="8"/>
      <c r="H240" s="8"/>
      <c r="I240" s="11"/>
      <c r="J240" s="11"/>
      <c r="K240" s="11"/>
      <c r="L240" s="11"/>
      <c r="M240" s="11"/>
      <c r="N240" s="11"/>
      <c r="O240" s="12" t="str">
        <f t="shared" si="12"/>
        <v/>
      </c>
      <c r="P240" s="12" t="str">
        <f t="shared" si="13"/>
        <v/>
      </c>
      <c r="Q240" s="12" t="str">
        <f t="shared" si="14"/>
        <v/>
      </c>
      <c r="R240" s="12" t="str">
        <f t="shared" si="15"/>
        <v/>
      </c>
      <c r="S240" s="8"/>
      <c r="T240" s="8"/>
      <c r="U240" s="10"/>
      <c r="V240" s="8"/>
    </row>
    <row r="241" spans="1:22">
      <c r="A241" s="8"/>
      <c r="B241" s="10"/>
      <c r="C241" s="8"/>
      <c r="D241" s="8"/>
      <c r="E241" s="8"/>
      <c r="F241" s="8"/>
      <c r="G241" s="8"/>
      <c r="H241" s="8"/>
      <c r="I241" s="11"/>
      <c r="J241" s="11"/>
      <c r="K241" s="11"/>
      <c r="L241" s="11"/>
      <c r="M241" s="11"/>
      <c r="N241" s="11"/>
      <c r="O241" s="12" t="str">
        <f t="shared" si="12"/>
        <v/>
      </c>
      <c r="P241" s="12" t="str">
        <f t="shared" si="13"/>
        <v/>
      </c>
      <c r="Q241" s="12" t="str">
        <f t="shared" si="14"/>
        <v/>
      </c>
      <c r="R241" s="12" t="str">
        <f t="shared" si="15"/>
        <v/>
      </c>
      <c r="S241" s="8"/>
      <c r="T241" s="8"/>
      <c r="U241" s="10"/>
      <c r="V241" s="8"/>
    </row>
    <row r="242" spans="1:22">
      <c r="A242" s="8"/>
      <c r="B242" s="10"/>
      <c r="C242" s="8"/>
      <c r="D242" s="8"/>
      <c r="E242" s="8"/>
      <c r="F242" s="8"/>
      <c r="G242" s="8"/>
      <c r="H242" s="8"/>
      <c r="I242" s="11"/>
      <c r="J242" s="11"/>
      <c r="K242" s="11"/>
      <c r="L242" s="11"/>
      <c r="M242" s="11"/>
      <c r="N242" s="11"/>
      <c r="O242" s="12" t="str">
        <f t="shared" si="12"/>
        <v/>
      </c>
      <c r="P242" s="12" t="str">
        <f t="shared" si="13"/>
        <v/>
      </c>
      <c r="Q242" s="12" t="str">
        <f t="shared" si="14"/>
        <v/>
      </c>
      <c r="R242" s="12" t="str">
        <f t="shared" si="15"/>
        <v/>
      </c>
      <c r="S242" s="8"/>
      <c r="T242" s="8"/>
      <c r="U242" s="10"/>
      <c r="V242" s="8"/>
    </row>
    <row r="243" spans="1:22">
      <c r="A243" s="8"/>
      <c r="B243" s="10"/>
      <c r="C243" s="8"/>
      <c r="D243" s="8"/>
      <c r="E243" s="8"/>
      <c r="F243" s="8"/>
      <c r="G243" s="8"/>
      <c r="H243" s="8"/>
      <c r="I243" s="11"/>
      <c r="J243" s="11"/>
      <c r="K243" s="11"/>
      <c r="L243" s="11"/>
      <c r="M243" s="11"/>
      <c r="N243" s="11"/>
      <c r="O243" s="12" t="str">
        <f t="shared" si="12"/>
        <v/>
      </c>
      <c r="P243" s="12" t="str">
        <f t="shared" si="13"/>
        <v/>
      </c>
      <c r="Q243" s="12" t="str">
        <f t="shared" si="14"/>
        <v/>
      </c>
      <c r="R243" s="12" t="str">
        <f t="shared" si="15"/>
        <v/>
      </c>
      <c r="S243" s="8"/>
      <c r="T243" s="8"/>
      <c r="U243" s="10"/>
      <c r="V243" s="8"/>
    </row>
    <row r="244" spans="1:22">
      <c r="A244" s="8"/>
      <c r="B244" s="10"/>
      <c r="C244" s="8"/>
      <c r="D244" s="8"/>
      <c r="E244" s="8"/>
      <c r="F244" s="8"/>
      <c r="G244" s="8"/>
      <c r="H244" s="8"/>
      <c r="I244" s="11"/>
      <c r="J244" s="11"/>
      <c r="K244" s="11"/>
      <c r="L244" s="11"/>
      <c r="M244" s="11"/>
      <c r="N244" s="11"/>
      <c r="O244" s="12" t="str">
        <f t="shared" si="12"/>
        <v/>
      </c>
      <c r="P244" s="12" t="str">
        <f t="shared" si="13"/>
        <v/>
      </c>
      <c r="Q244" s="12" t="str">
        <f t="shared" si="14"/>
        <v/>
      </c>
      <c r="R244" s="12" t="str">
        <f t="shared" si="15"/>
        <v/>
      </c>
      <c r="S244" s="8"/>
      <c r="T244" s="8"/>
      <c r="U244" s="10"/>
      <c r="V244" s="8"/>
    </row>
    <row r="245" spans="1:22">
      <c r="A245" s="8"/>
      <c r="B245" s="10"/>
      <c r="C245" s="8"/>
      <c r="D245" s="8"/>
      <c r="E245" s="8"/>
      <c r="F245" s="8"/>
      <c r="G245" s="8"/>
      <c r="H245" s="8"/>
      <c r="I245" s="11"/>
      <c r="J245" s="11"/>
      <c r="K245" s="11"/>
      <c r="L245" s="11"/>
      <c r="M245" s="11"/>
      <c r="N245" s="11"/>
      <c r="O245" s="12" t="str">
        <f t="shared" si="12"/>
        <v/>
      </c>
      <c r="P245" s="12" t="str">
        <f t="shared" si="13"/>
        <v/>
      </c>
      <c r="Q245" s="12" t="str">
        <f t="shared" si="14"/>
        <v/>
      </c>
      <c r="R245" s="12" t="str">
        <f t="shared" si="15"/>
        <v/>
      </c>
      <c r="S245" s="8"/>
      <c r="T245" s="8"/>
      <c r="U245" s="10"/>
      <c r="V245" s="8"/>
    </row>
    <row r="246" spans="1:22">
      <c r="A246" s="8"/>
      <c r="B246" s="10"/>
      <c r="C246" s="8"/>
      <c r="D246" s="8"/>
      <c r="E246" s="8"/>
      <c r="F246" s="8"/>
      <c r="G246" s="8"/>
      <c r="H246" s="8"/>
      <c r="I246" s="11"/>
      <c r="J246" s="11"/>
      <c r="K246" s="11"/>
      <c r="L246" s="11"/>
      <c r="M246" s="11"/>
      <c r="N246" s="11"/>
      <c r="O246" s="12" t="str">
        <f t="shared" si="12"/>
        <v/>
      </c>
      <c r="P246" s="12" t="str">
        <f t="shared" si="13"/>
        <v/>
      </c>
      <c r="Q246" s="12" t="str">
        <f t="shared" si="14"/>
        <v/>
      </c>
      <c r="R246" s="12" t="str">
        <f t="shared" si="15"/>
        <v/>
      </c>
      <c r="S246" s="8"/>
      <c r="T246" s="8"/>
      <c r="U246" s="10"/>
      <c r="V246" s="8"/>
    </row>
    <row r="247" spans="1:22">
      <c r="A247" s="8"/>
      <c r="B247" s="10"/>
      <c r="C247" s="8"/>
      <c r="D247" s="8"/>
      <c r="E247" s="8"/>
      <c r="F247" s="8"/>
      <c r="G247" s="8"/>
      <c r="H247" s="8"/>
      <c r="I247" s="11"/>
      <c r="J247" s="11"/>
      <c r="K247" s="11"/>
      <c r="L247" s="11"/>
      <c r="M247" s="11"/>
      <c r="N247" s="11"/>
      <c r="O247" s="12" t="str">
        <f t="shared" si="12"/>
        <v/>
      </c>
      <c r="P247" s="12" t="str">
        <f t="shared" si="13"/>
        <v/>
      </c>
      <c r="Q247" s="12" t="str">
        <f t="shared" si="14"/>
        <v/>
      </c>
      <c r="R247" s="12" t="str">
        <f t="shared" si="15"/>
        <v/>
      </c>
      <c r="S247" s="8"/>
      <c r="T247" s="8"/>
      <c r="U247" s="10"/>
      <c r="V247" s="8"/>
    </row>
    <row r="248" spans="1:22">
      <c r="A248" s="8"/>
      <c r="B248" s="10"/>
      <c r="C248" s="8"/>
      <c r="D248" s="8"/>
      <c r="E248" s="8"/>
      <c r="F248" s="8"/>
      <c r="G248" s="8"/>
      <c r="H248" s="8"/>
      <c r="I248" s="11"/>
      <c r="J248" s="11"/>
      <c r="K248" s="11"/>
      <c r="L248" s="11"/>
      <c r="M248" s="11"/>
      <c r="N248" s="11"/>
      <c r="O248" s="12" t="str">
        <f t="shared" si="12"/>
        <v/>
      </c>
      <c r="P248" s="12" t="str">
        <f t="shared" si="13"/>
        <v/>
      </c>
      <c r="Q248" s="12" t="str">
        <f t="shared" si="14"/>
        <v/>
      </c>
      <c r="R248" s="12" t="str">
        <f t="shared" si="15"/>
        <v/>
      </c>
      <c r="S248" s="8"/>
      <c r="T248" s="8"/>
      <c r="U248" s="10"/>
      <c r="V248" s="8"/>
    </row>
    <row r="249" spans="1:22">
      <c r="A249" s="8"/>
      <c r="B249" s="10"/>
      <c r="C249" s="8"/>
      <c r="D249" s="8"/>
      <c r="E249" s="8"/>
      <c r="F249" s="8"/>
      <c r="G249" s="8"/>
      <c r="H249" s="8"/>
      <c r="I249" s="11"/>
      <c r="J249" s="11"/>
      <c r="K249" s="11"/>
      <c r="L249" s="11"/>
      <c r="M249" s="11"/>
      <c r="N249" s="11"/>
      <c r="O249" s="12" t="str">
        <f t="shared" si="12"/>
        <v/>
      </c>
      <c r="P249" s="12" t="str">
        <f t="shared" si="13"/>
        <v/>
      </c>
      <c r="Q249" s="12" t="str">
        <f t="shared" si="14"/>
        <v/>
      </c>
      <c r="R249" s="12" t="str">
        <f t="shared" si="15"/>
        <v/>
      </c>
      <c r="S249" s="8"/>
      <c r="T249" s="8"/>
      <c r="U249" s="10"/>
      <c r="V249" s="8"/>
    </row>
    <row r="250" spans="1:22">
      <c r="A250" s="8"/>
      <c r="B250" s="10"/>
      <c r="C250" s="8"/>
      <c r="D250" s="8"/>
      <c r="E250" s="8"/>
      <c r="F250" s="8"/>
      <c r="G250" s="8"/>
      <c r="H250" s="8"/>
      <c r="I250" s="11"/>
      <c r="J250" s="11"/>
      <c r="K250" s="11"/>
      <c r="L250" s="11"/>
      <c r="M250" s="11"/>
      <c r="N250" s="11"/>
      <c r="O250" s="12" t="str">
        <f t="shared" si="12"/>
        <v/>
      </c>
      <c r="P250" s="12" t="str">
        <f t="shared" si="13"/>
        <v/>
      </c>
      <c r="Q250" s="12" t="str">
        <f t="shared" si="14"/>
        <v/>
      </c>
      <c r="R250" s="12" t="str">
        <f t="shared" si="15"/>
        <v/>
      </c>
      <c r="S250" s="8"/>
      <c r="T250" s="8"/>
      <c r="U250" s="10"/>
      <c r="V250" s="8"/>
    </row>
    <row r="251" spans="1:22">
      <c r="A251" s="8"/>
      <c r="B251" s="10"/>
      <c r="C251" s="8"/>
      <c r="D251" s="8"/>
      <c r="E251" s="8"/>
      <c r="F251" s="8"/>
      <c r="G251" s="8"/>
      <c r="H251" s="8"/>
      <c r="I251" s="11"/>
      <c r="J251" s="11"/>
      <c r="K251" s="11"/>
      <c r="L251" s="11"/>
      <c r="M251" s="11"/>
      <c r="N251" s="11"/>
      <c r="O251" s="12" t="str">
        <f t="shared" si="12"/>
        <v/>
      </c>
      <c r="P251" s="12" t="str">
        <f t="shared" si="13"/>
        <v/>
      </c>
      <c r="Q251" s="12" t="str">
        <f t="shared" si="14"/>
        <v/>
      </c>
      <c r="R251" s="12" t="str">
        <f t="shared" si="15"/>
        <v/>
      </c>
      <c r="S251" s="8"/>
      <c r="T251" s="8"/>
      <c r="U251" s="10"/>
      <c r="V251" s="8"/>
    </row>
    <row r="252" spans="1:22">
      <c r="A252" s="8"/>
      <c r="B252" s="10"/>
      <c r="C252" s="8"/>
      <c r="D252" s="8"/>
      <c r="E252" s="8"/>
      <c r="F252" s="8"/>
      <c r="G252" s="8"/>
      <c r="H252" s="8"/>
      <c r="I252" s="11"/>
      <c r="J252" s="11"/>
      <c r="K252" s="11"/>
      <c r="L252" s="11"/>
      <c r="M252" s="11"/>
      <c r="N252" s="11"/>
      <c r="O252" s="12" t="str">
        <f t="shared" si="12"/>
        <v/>
      </c>
      <c r="P252" s="12" t="str">
        <f t="shared" si="13"/>
        <v/>
      </c>
      <c r="Q252" s="12" t="str">
        <f t="shared" si="14"/>
        <v/>
      </c>
      <c r="R252" s="12" t="str">
        <f t="shared" si="15"/>
        <v/>
      </c>
      <c r="S252" s="8"/>
      <c r="T252" s="8"/>
      <c r="U252" s="10"/>
      <c r="V252" s="8"/>
    </row>
    <row r="253" spans="1:22">
      <c r="A253" s="8"/>
      <c r="B253" s="10"/>
      <c r="C253" s="8"/>
      <c r="D253" s="8"/>
      <c r="E253" s="8"/>
      <c r="F253" s="8"/>
      <c r="G253" s="8"/>
      <c r="H253" s="8"/>
      <c r="I253" s="11"/>
      <c r="J253" s="11"/>
      <c r="K253" s="11"/>
      <c r="L253" s="11"/>
      <c r="M253" s="11"/>
      <c r="N253" s="11"/>
      <c r="O253" s="12" t="str">
        <f t="shared" si="12"/>
        <v/>
      </c>
      <c r="P253" s="12" t="str">
        <f t="shared" si="13"/>
        <v/>
      </c>
      <c r="Q253" s="12" t="str">
        <f t="shared" si="14"/>
        <v/>
      </c>
      <c r="R253" s="12" t="str">
        <f t="shared" si="15"/>
        <v/>
      </c>
      <c r="S253" s="8"/>
      <c r="T253" s="8"/>
      <c r="U253" s="10"/>
      <c r="V253" s="8"/>
    </row>
    <row r="254" spans="1:22">
      <c r="A254" s="8"/>
      <c r="B254" s="10"/>
      <c r="C254" s="8"/>
      <c r="D254" s="8"/>
      <c r="E254" s="8"/>
      <c r="F254" s="8"/>
      <c r="G254" s="8"/>
      <c r="H254" s="8"/>
      <c r="I254" s="11"/>
      <c r="J254" s="11"/>
      <c r="K254" s="11"/>
      <c r="L254" s="11"/>
      <c r="M254" s="11"/>
      <c r="N254" s="11"/>
      <c r="O254" s="12" t="str">
        <f t="shared" si="12"/>
        <v/>
      </c>
      <c r="P254" s="12" t="str">
        <f t="shared" si="13"/>
        <v/>
      </c>
      <c r="Q254" s="12" t="str">
        <f t="shared" si="14"/>
        <v/>
      </c>
      <c r="R254" s="12" t="str">
        <f t="shared" si="15"/>
        <v/>
      </c>
      <c r="S254" s="8"/>
      <c r="T254" s="8"/>
      <c r="U254" s="10"/>
      <c r="V254" s="8"/>
    </row>
    <row r="255" spans="1:22">
      <c r="A255" s="8"/>
      <c r="B255" s="10"/>
      <c r="C255" s="8"/>
      <c r="D255" s="8"/>
      <c r="E255" s="8"/>
      <c r="F255" s="8"/>
      <c r="G255" s="8"/>
      <c r="H255" s="8"/>
      <c r="I255" s="11"/>
      <c r="J255" s="11"/>
      <c r="K255" s="11"/>
      <c r="L255" s="11"/>
      <c r="M255" s="11"/>
      <c r="N255" s="11"/>
      <c r="O255" s="12" t="str">
        <f t="shared" si="12"/>
        <v/>
      </c>
      <c r="P255" s="12" t="str">
        <f t="shared" si="13"/>
        <v/>
      </c>
      <c r="Q255" s="12" t="str">
        <f t="shared" si="14"/>
        <v/>
      </c>
      <c r="R255" s="12" t="str">
        <f t="shared" si="15"/>
        <v/>
      </c>
      <c r="S255" s="8"/>
      <c r="T255" s="8"/>
      <c r="U255" s="10"/>
      <c r="V255" s="8"/>
    </row>
    <row r="256" spans="1:22">
      <c r="A256" s="8"/>
      <c r="B256" s="10"/>
      <c r="C256" s="8"/>
      <c r="D256" s="8"/>
      <c r="E256" s="8"/>
      <c r="F256" s="8"/>
      <c r="G256" s="8"/>
      <c r="H256" s="8"/>
      <c r="I256" s="11"/>
      <c r="J256" s="11"/>
      <c r="K256" s="11"/>
      <c r="L256" s="11"/>
      <c r="M256" s="11"/>
      <c r="N256" s="11"/>
      <c r="O256" s="12" t="str">
        <f t="shared" si="12"/>
        <v/>
      </c>
      <c r="P256" s="12" t="str">
        <f t="shared" si="13"/>
        <v/>
      </c>
      <c r="Q256" s="12" t="str">
        <f t="shared" si="14"/>
        <v/>
      </c>
      <c r="R256" s="12" t="str">
        <f t="shared" si="15"/>
        <v/>
      </c>
      <c r="S256" s="8"/>
      <c r="T256" s="8"/>
      <c r="U256" s="10"/>
      <c r="V256" s="8"/>
    </row>
    <row r="257" spans="1:22">
      <c r="A257" s="8"/>
      <c r="B257" s="10"/>
      <c r="C257" s="8"/>
      <c r="D257" s="8"/>
      <c r="E257" s="8"/>
      <c r="F257" s="8"/>
      <c r="G257" s="8"/>
      <c r="H257" s="8"/>
      <c r="I257" s="11"/>
      <c r="J257" s="11"/>
      <c r="K257" s="11"/>
      <c r="L257" s="11"/>
      <c r="M257" s="11"/>
      <c r="N257" s="11"/>
      <c r="O257" s="12" t="str">
        <f t="shared" si="12"/>
        <v/>
      </c>
      <c r="P257" s="12" t="str">
        <f t="shared" si="13"/>
        <v/>
      </c>
      <c r="Q257" s="12" t="str">
        <f t="shared" si="14"/>
        <v/>
      </c>
      <c r="R257" s="12" t="str">
        <f t="shared" si="15"/>
        <v/>
      </c>
      <c r="S257" s="8"/>
      <c r="T257" s="8"/>
      <c r="U257" s="10"/>
      <c r="V257" s="8"/>
    </row>
    <row r="258" spans="1:22">
      <c r="A258" s="8"/>
      <c r="B258" s="10"/>
      <c r="C258" s="8"/>
      <c r="D258" s="8"/>
      <c r="E258" s="8"/>
      <c r="F258" s="8"/>
      <c r="G258" s="8"/>
      <c r="H258" s="8"/>
      <c r="I258" s="11"/>
      <c r="J258" s="11"/>
      <c r="K258" s="11"/>
      <c r="L258" s="11"/>
      <c r="M258" s="11"/>
      <c r="N258" s="11"/>
      <c r="O258" s="12" t="str">
        <f t="shared" si="12"/>
        <v/>
      </c>
      <c r="P258" s="12" t="str">
        <f t="shared" si="13"/>
        <v/>
      </c>
      <c r="Q258" s="12" t="str">
        <f t="shared" si="14"/>
        <v/>
      </c>
      <c r="R258" s="12" t="str">
        <f t="shared" si="15"/>
        <v/>
      </c>
      <c r="S258" s="8"/>
      <c r="T258" s="8"/>
      <c r="U258" s="10"/>
      <c r="V258" s="8"/>
    </row>
    <row r="259" spans="1:22">
      <c r="A259" s="8"/>
      <c r="B259" s="10"/>
      <c r="C259" s="8"/>
      <c r="D259" s="8"/>
      <c r="E259" s="8"/>
      <c r="F259" s="8"/>
      <c r="G259" s="8"/>
      <c r="H259" s="8"/>
      <c r="I259" s="11"/>
      <c r="J259" s="11"/>
      <c r="K259" s="11"/>
      <c r="L259" s="11"/>
      <c r="M259" s="11"/>
      <c r="N259" s="11"/>
      <c r="O259" s="12" t="str">
        <f t="shared" si="12"/>
        <v/>
      </c>
      <c r="P259" s="12" t="str">
        <f t="shared" si="13"/>
        <v/>
      </c>
      <c r="Q259" s="12" t="str">
        <f t="shared" si="14"/>
        <v/>
      </c>
      <c r="R259" s="12" t="str">
        <f t="shared" si="15"/>
        <v/>
      </c>
      <c r="S259" s="8"/>
      <c r="T259" s="8"/>
      <c r="U259" s="10"/>
      <c r="V259" s="8"/>
    </row>
    <row r="260" spans="1:22">
      <c r="A260" s="8"/>
      <c r="B260" s="10"/>
      <c r="C260" s="8"/>
      <c r="D260" s="8"/>
      <c r="E260" s="8"/>
      <c r="F260" s="8"/>
      <c r="G260" s="8"/>
      <c r="H260" s="8"/>
      <c r="I260" s="11"/>
      <c r="J260" s="11"/>
      <c r="K260" s="11"/>
      <c r="L260" s="11"/>
      <c r="M260" s="11"/>
      <c r="N260" s="11"/>
      <c r="O260" s="12" t="str">
        <f t="shared" si="12"/>
        <v/>
      </c>
      <c r="P260" s="12" t="str">
        <f t="shared" si="13"/>
        <v/>
      </c>
      <c r="Q260" s="12" t="str">
        <f t="shared" si="14"/>
        <v/>
      </c>
      <c r="R260" s="12" t="str">
        <f t="shared" si="15"/>
        <v/>
      </c>
      <c r="S260" s="8"/>
      <c r="T260" s="8"/>
      <c r="U260" s="10"/>
      <c r="V260" s="8"/>
    </row>
    <row r="261" spans="1:22">
      <c r="A261" s="8"/>
      <c r="B261" s="10"/>
      <c r="C261" s="8"/>
      <c r="D261" s="8"/>
      <c r="E261" s="8"/>
      <c r="F261" s="8"/>
      <c r="G261" s="8"/>
      <c r="H261" s="8"/>
      <c r="I261" s="11"/>
      <c r="J261" s="11"/>
      <c r="K261" s="11"/>
      <c r="L261" s="11"/>
      <c r="M261" s="11"/>
      <c r="N261" s="11"/>
      <c r="O261" s="12" t="str">
        <f t="shared" ref="O261:O304" si="16">IF(A261="","",K261-I261)</f>
        <v/>
      </c>
      <c r="P261" s="12" t="str">
        <f t="shared" ref="P261:P304" si="17">IF(A261="","",MAX(0,I261-K261))</f>
        <v/>
      </c>
      <c r="Q261" s="12" t="str">
        <f t="shared" ref="Q261:Q304" si="18">IF(A261="","",MAX(0,K261-I261))</f>
        <v/>
      </c>
      <c r="R261" s="12" t="str">
        <f t="shared" ref="R261:R304" si="19">IF(A261="","",K261-N261)</f>
        <v/>
      </c>
      <c r="S261" s="8"/>
      <c r="T261" s="8"/>
      <c r="U261" s="10"/>
      <c r="V261" s="8"/>
    </row>
    <row r="262" spans="1:22">
      <c r="A262" s="8"/>
      <c r="B262" s="10"/>
      <c r="C262" s="8"/>
      <c r="D262" s="8"/>
      <c r="E262" s="8"/>
      <c r="F262" s="8"/>
      <c r="G262" s="8"/>
      <c r="H262" s="8"/>
      <c r="I262" s="11"/>
      <c r="J262" s="11"/>
      <c r="K262" s="11"/>
      <c r="L262" s="11"/>
      <c r="M262" s="11"/>
      <c r="N262" s="11"/>
      <c r="O262" s="12" t="str">
        <f t="shared" si="16"/>
        <v/>
      </c>
      <c r="P262" s="12" t="str">
        <f t="shared" si="17"/>
        <v/>
      </c>
      <c r="Q262" s="12" t="str">
        <f t="shared" si="18"/>
        <v/>
      </c>
      <c r="R262" s="12" t="str">
        <f t="shared" si="19"/>
        <v/>
      </c>
      <c r="S262" s="8"/>
      <c r="T262" s="8"/>
      <c r="U262" s="10"/>
      <c r="V262" s="8"/>
    </row>
    <row r="263" spans="1:22">
      <c r="A263" s="8"/>
      <c r="B263" s="10"/>
      <c r="C263" s="8"/>
      <c r="D263" s="8"/>
      <c r="E263" s="8"/>
      <c r="F263" s="8"/>
      <c r="G263" s="8"/>
      <c r="H263" s="8"/>
      <c r="I263" s="11"/>
      <c r="J263" s="11"/>
      <c r="K263" s="11"/>
      <c r="L263" s="11"/>
      <c r="M263" s="11"/>
      <c r="N263" s="11"/>
      <c r="O263" s="12" t="str">
        <f t="shared" si="16"/>
        <v/>
      </c>
      <c r="P263" s="12" t="str">
        <f t="shared" si="17"/>
        <v/>
      </c>
      <c r="Q263" s="12" t="str">
        <f t="shared" si="18"/>
        <v/>
      </c>
      <c r="R263" s="12" t="str">
        <f t="shared" si="19"/>
        <v/>
      </c>
      <c r="S263" s="8"/>
      <c r="T263" s="8"/>
      <c r="U263" s="10"/>
      <c r="V263" s="8"/>
    </row>
    <row r="264" spans="1:22">
      <c r="A264" s="8"/>
      <c r="B264" s="10"/>
      <c r="C264" s="8"/>
      <c r="D264" s="8"/>
      <c r="E264" s="8"/>
      <c r="F264" s="8"/>
      <c r="G264" s="8"/>
      <c r="H264" s="8"/>
      <c r="I264" s="11"/>
      <c r="J264" s="11"/>
      <c r="K264" s="11"/>
      <c r="L264" s="11"/>
      <c r="M264" s="11"/>
      <c r="N264" s="11"/>
      <c r="O264" s="12" t="str">
        <f t="shared" si="16"/>
        <v/>
      </c>
      <c r="P264" s="12" t="str">
        <f t="shared" si="17"/>
        <v/>
      </c>
      <c r="Q264" s="12" t="str">
        <f t="shared" si="18"/>
        <v/>
      </c>
      <c r="R264" s="12" t="str">
        <f t="shared" si="19"/>
        <v/>
      </c>
      <c r="S264" s="8"/>
      <c r="T264" s="8"/>
      <c r="U264" s="10"/>
      <c r="V264" s="8"/>
    </row>
    <row r="265" spans="1:22">
      <c r="A265" s="8"/>
      <c r="B265" s="10"/>
      <c r="C265" s="8"/>
      <c r="D265" s="8"/>
      <c r="E265" s="8"/>
      <c r="F265" s="8"/>
      <c r="G265" s="8"/>
      <c r="H265" s="8"/>
      <c r="I265" s="11"/>
      <c r="J265" s="11"/>
      <c r="K265" s="11"/>
      <c r="L265" s="11"/>
      <c r="M265" s="11"/>
      <c r="N265" s="11"/>
      <c r="O265" s="12" t="str">
        <f t="shared" si="16"/>
        <v/>
      </c>
      <c r="P265" s="12" t="str">
        <f t="shared" si="17"/>
        <v/>
      </c>
      <c r="Q265" s="12" t="str">
        <f t="shared" si="18"/>
        <v/>
      </c>
      <c r="R265" s="12" t="str">
        <f t="shared" si="19"/>
        <v/>
      </c>
      <c r="S265" s="8"/>
      <c r="T265" s="8"/>
      <c r="U265" s="10"/>
      <c r="V265" s="8"/>
    </row>
    <row r="266" spans="1:22">
      <c r="A266" s="8"/>
      <c r="B266" s="10"/>
      <c r="C266" s="8"/>
      <c r="D266" s="8"/>
      <c r="E266" s="8"/>
      <c r="F266" s="8"/>
      <c r="G266" s="8"/>
      <c r="H266" s="8"/>
      <c r="I266" s="11"/>
      <c r="J266" s="11"/>
      <c r="K266" s="11"/>
      <c r="L266" s="11"/>
      <c r="M266" s="11"/>
      <c r="N266" s="11"/>
      <c r="O266" s="12" t="str">
        <f t="shared" si="16"/>
        <v/>
      </c>
      <c r="P266" s="12" t="str">
        <f t="shared" si="17"/>
        <v/>
      </c>
      <c r="Q266" s="12" t="str">
        <f t="shared" si="18"/>
        <v/>
      </c>
      <c r="R266" s="12" t="str">
        <f t="shared" si="19"/>
        <v/>
      </c>
      <c r="S266" s="8"/>
      <c r="T266" s="8"/>
      <c r="U266" s="10"/>
      <c r="V266" s="8"/>
    </row>
    <row r="267" spans="1:22">
      <c r="A267" s="8"/>
      <c r="B267" s="10"/>
      <c r="C267" s="8"/>
      <c r="D267" s="8"/>
      <c r="E267" s="8"/>
      <c r="F267" s="8"/>
      <c r="G267" s="8"/>
      <c r="H267" s="8"/>
      <c r="I267" s="11"/>
      <c r="J267" s="11"/>
      <c r="K267" s="11"/>
      <c r="L267" s="11"/>
      <c r="M267" s="11"/>
      <c r="N267" s="11"/>
      <c r="O267" s="12" t="str">
        <f t="shared" si="16"/>
        <v/>
      </c>
      <c r="P267" s="12" t="str">
        <f t="shared" si="17"/>
        <v/>
      </c>
      <c r="Q267" s="12" t="str">
        <f t="shared" si="18"/>
        <v/>
      </c>
      <c r="R267" s="12" t="str">
        <f t="shared" si="19"/>
        <v/>
      </c>
      <c r="S267" s="8"/>
      <c r="T267" s="8"/>
      <c r="U267" s="10"/>
      <c r="V267" s="8"/>
    </row>
    <row r="268" spans="1:22">
      <c r="A268" s="8"/>
      <c r="B268" s="10"/>
      <c r="C268" s="8"/>
      <c r="D268" s="8"/>
      <c r="E268" s="8"/>
      <c r="F268" s="8"/>
      <c r="G268" s="8"/>
      <c r="H268" s="8"/>
      <c r="I268" s="11"/>
      <c r="J268" s="11"/>
      <c r="K268" s="11"/>
      <c r="L268" s="11"/>
      <c r="M268" s="11"/>
      <c r="N268" s="11"/>
      <c r="O268" s="12" t="str">
        <f t="shared" si="16"/>
        <v/>
      </c>
      <c r="P268" s="12" t="str">
        <f t="shared" si="17"/>
        <v/>
      </c>
      <c r="Q268" s="12" t="str">
        <f t="shared" si="18"/>
        <v/>
      </c>
      <c r="R268" s="12" t="str">
        <f t="shared" si="19"/>
        <v/>
      </c>
      <c r="S268" s="8"/>
      <c r="T268" s="8"/>
      <c r="U268" s="10"/>
      <c r="V268" s="8"/>
    </row>
    <row r="269" spans="1:22">
      <c r="A269" s="8"/>
      <c r="B269" s="10"/>
      <c r="C269" s="8"/>
      <c r="D269" s="8"/>
      <c r="E269" s="8"/>
      <c r="F269" s="8"/>
      <c r="G269" s="8"/>
      <c r="H269" s="8"/>
      <c r="I269" s="11"/>
      <c r="J269" s="11"/>
      <c r="K269" s="11"/>
      <c r="L269" s="11"/>
      <c r="M269" s="11"/>
      <c r="N269" s="11"/>
      <c r="O269" s="12" t="str">
        <f t="shared" si="16"/>
        <v/>
      </c>
      <c r="P269" s="12" t="str">
        <f t="shared" si="17"/>
        <v/>
      </c>
      <c r="Q269" s="12" t="str">
        <f t="shared" si="18"/>
        <v/>
      </c>
      <c r="R269" s="12" t="str">
        <f t="shared" si="19"/>
        <v/>
      </c>
      <c r="S269" s="8"/>
      <c r="T269" s="8"/>
      <c r="U269" s="10"/>
      <c r="V269" s="8"/>
    </row>
    <row r="270" spans="1:22">
      <c r="A270" s="8"/>
      <c r="B270" s="10"/>
      <c r="C270" s="8"/>
      <c r="D270" s="8"/>
      <c r="E270" s="8"/>
      <c r="F270" s="8"/>
      <c r="G270" s="8"/>
      <c r="H270" s="8"/>
      <c r="I270" s="11"/>
      <c r="J270" s="11"/>
      <c r="K270" s="11"/>
      <c r="L270" s="11"/>
      <c r="M270" s="11"/>
      <c r="N270" s="11"/>
      <c r="O270" s="12" t="str">
        <f t="shared" si="16"/>
        <v/>
      </c>
      <c r="P270" s="12" t="str">
        <f t="shared" si="17"/>
        <v/>
      </c>
      <c r="Q270" s="12" t="str">
        <f t="shared" si="18"/>
        <v/>
      </c>
      <c r="R270" s="12" t="str">
        <f t="shared" si="19"/>
        <v/>
      </c>
      <c r="S270" s="8"/>
      <c r="T270" s="8"/>
      <c r="U270" s="10"/>
      <c r="V270" s="8"/>
    </row>
    <row r="271" spans="1:22">
      <c r="A271" s="8"/>
      <c r="B271" s="10"/>
      <c r="C271" s="8"/>
      <c r="D271" s="8"/>
      <c r="E271" s="8"/>
      <c r="F271" s="8"/>
      <c r="G271" s="8"/>
      <c r="H271" s="8"/>
      <c r="I271" s="11"/>
      <c r="J271" s="11"/>
      <c r="K271" s="11"/>
      <c r="L271" s="11"/>
      <c r="M271" s="11"/>
      <c r="N271" s="11"/>
      <c r="O271" s="12" t="str">
        <f t="shared" si="16"/>
        <v/>
      </c>
      <c r="P271" s="12" t="str">
        <f t="shared" si="17"/>
        <v/>
      </c>
      <c r="Q271" s="12" t="str">
        <f t="shared" si="18"/>
        <v/>
      </c>
      <c r="R271" s="12" t="str">
        <f t="shared" si="19"/>
        <v/>
      </c>
      <c r="S271" s="8"/>
      <c r="T271" s="8"/>
      <c r="U271" s="10"/>
      <c r="V271" s="8"/>
    </row>
    <row r="272" spans="1:22">
      <c r="A272" s="8"/>
      <c r="B272" s="10"/>
      <c r="C272" s="8"/>
      <c r="D272" s="8"/>
      <c r="E272" s="8"/>
      <c r="F272" s="8"/>
      <c r="G272" s="8"/>
      <c r="H272" s="8"/>
      <c r="I272" s="11"/>
      <c r="J272" s="11"/>
      <c r="K272" s="11"/>
      <c r="L272" s="11"/>
      <c r="M272" s="11"/>
      <c r="N272" s="11"/>
      <c r="O272" s="12" t="str">
        <f t="shared" si="16"/>
        <v/>
      </c>
      <c r="P272" s="12" t="str">
        <f t="shared" si="17"/>
        <v/>
      </c>
      <c r="Q272" s="12" t="str">
        <f t="shared" si="18"/>
        <v/>
      </c>
      <c r="R272" s="12" t="str">
        <f t="shared" si="19"/>
        <v/>
      </c>
      <c r="S272" s="8"/>
      <c r="T272" s="8"/>
      <c r="U272" s="10"/>
      <c r="V272" s="8"/>
    </row>
    <row r="273" spans="1:22">
      <c r="A273" s="8"/>
      <c r="B273" s="10"/>
      <c r="C273" s="8"/>
      <c r="D273" s="8"/>
      <c r="E273" s="8"/>
      <c r="F273" s="8"/>
      <c r="G273" s="8"/>
      <c r="H273" s="8"/>
      <c r="I273" s="11"/>
      <c r="J273" s="11"/>
      <c r="K273" s="11"/>
      <c r="L273" s="11"/>
      <c r="M273" s="11"/>
      <c r="N273" s="11"/>
      <c r="O273" s="12" t="str">
        <f t="shared" si="16"/>
        <v/>
      </c>
      <c r="P273" s="12" t="str">
        <f t="shared" si="17"/>
        <v/>
      </c>
      <c r="Q273" s="12" t="str">
        <f t="shared" si="18"/>
        <v/>
      </c>
      <c r="R273" s="12" t="str">
        <f t="shared" si="19"/>
        <v/>
      </c>
      <c r="S273" s="8"/>
      <c r="T273" s="8"/>
      <c r="U273" s="10"/>
      <c r="V273" s="8"/>
    </row>
    <row r="274" spans="1:22">
      <c r="A274" s="8"/>
      <c r="B274" s="10"/>
      <c r="C274" s="8"/>
      <c r="D274" s="8"/>
      <c r="E274" s="8"/>
      <c r="F274" s="8"/>
      <c r="G274" s="8"/>
      <c r="H274" s="8"/>
      <c r="I274" s="11"/>
      <c r="J274" s="11"/>
      <c r="K274" s="11"/>
      <c r="L274" s="11"/>
      <c r="M274" s="11"/>
      <c r="N274" s="11"/>
      <c r="O274" s="12" t="str">
        <f t="shared" si="16"/>
        <v/>
      </c>
      <c r="P274" s="12" t="str">
        <f t="shared" si="17"/>
        <v/>
      </c>
      <c r="Q274" s="12" t="str">
        <f t="shared" si="18"/>
        <v/>
      </c>
      <c r="R274" s="12" t="str">
        <f t="shared" si="19"/>
        <v/>
      </c>
      <c r="S274" s="8"/>
      <c r="T274" s="8"/>
      <c r="U274" s="10"/>
      <c r="V274" s="8"/>
    </row>
    <row r="275" spans="1:22">
      <c r="A275" s="8"/>
      <c r="B275" s="10"/>
      <c r="C275" s="8"/>
      <c r="D275" s="8"/>
      <c r="E275" s="8"/>
      <c r="F275" s="8"/>
      <c r="G275" s="8"/>
      <c r="H275" s="8"/>
      <c r="I275" s="11"/>
      <c r="J275" s="11"/>
      <c r="K275" s="11"/>
      <c r="L275" s="11"/>
      <c r="M275" s="11"/>
      <c r="N275" s="11"/>
      <c r="O275" s="12" t="str">
        <f t="shared" si="16"/>
        <v/>
      </c>
      <c r="P275" s="12" t="str">
        <f t="shared" si="17"/>
        <v/>
      </c>
      <c r="Q275" s="12" t="str">
        <f t="shared" si="18"/>
        <v/>
      </c>
      <c r="R275" s="12" t="str">
        <f t="shared" si="19"/>
        <v/>
      </c>
      <c r="S275" s="8"/>
      <c r="T275" s="8"/>
      <c r="U275" s="10"/>
      <c r="V275" s="8"/>
    </row>
    <row r="276" spans="1:22">
      <c r="A276" s="8"/>
      <c r="B276" s="10"/>
      <c r="C276" s="8"/>
      <c r="D276" s="8"/>
      <c r="E276" s="8"/>
      <c r="F276" s="8"/>
      <c r="G276" s="8"/>
      <c r="H276" s="8"/>
      <c r="I276" s="11"/>
      <c r="J276" s="11"/>
      <c r="K276" s="11"/>
      <c r="L276" s="11"/>
      <c r="M276" s="11"/>
      <c r="N276" s="11"/>
      <c r="O276" s="12" t="str">
        <f t="shared" si="16"/>
        <v/>
      </c>
      <c r="P276" s="12" t="str">
        <f t="shared" si="17"/>
        <v/>
      </c>
      <c r="Q276" s="12" t="str">
        <f t="shared" si="18"/>
        <v/>
      </c>
      <c r="R276" s="12" t="str">
        <f t="shared" si="19"/>
        <v/>
      </c>
      <c r="S276" s="8"/>
      <c r="T276" s="8"/>
      <c r="U276" s="10"/>
      <c r="V276" s="8"/>
    </row>
    <row r="277" spans="1:22">
      <c r="A277" s="8"/>
      <c r="B277" s="10"/>
      <c r="C277" s="8"/>
      <c r="D277" s="8"/>
      <c r="E277" s="8"/>
      <c r="F277" s="8"/>
      <c r="G277" s="8"/>
      <c r="H277" s="8"/>
      <c r="I277" s="11"/>
      <c r="J277" s="11"/>
      <c r="K277" s="11"/>
      <c r="L277" s="11"/>
      <c r="M277" s="11"/>
      <c r="N277" s="11"/>
      <c r="O277" s="12" t="str">
        <f t="shared" si="16"/>
        <v/>
      </c>
      <c r="P277" s="12" t="str">
        <f t="shared" si="17"/>
        <v/>
      </c>
      <c r="Q277" s="12" t="str">
        <f t="shared" si="18"/>
        <v/>
      </c>
      <c r="R277" s="12" t="str">
        <f t="shared" si="19"/>
        <v/>
      </c>
      <c r="S277" s="8"/>
      <c r="T277" s="8"/>
      <c r="U277" s="10"/>
      <c r="V277" s="8"/>
    </row>
    <row r="278" spans="1:22">
      <c r="A278" s="8"/>
      <c r="B278" s="10"/>
      <c r="C278" s="8"/>
      <c r="D278" s="8"/>
      <c r="E278" s="8"/>
      <c r="F278" s="8"/>
      <c r="G278" s="8"/>
      <c r="H278" s="8"/>
      <c r="I278" s="11"/>
      <c r="J278" s="11"/>
      <c r="K278" s="11"/>
      <c r="L278" s="11"/>
      <c r="M278" s="11"/>
      <c r="N278" s="11"/>
      <c r="O278" s="12" t="str">
        <f t="shared" si="16"/>
        <v/>
      </c>
      <c r="P278" s="12" t="str">
        <f t="shared" si="17"/>
        <v/>
      </c>
      <c r="Q278" s="12" t="str">
        <f t="shared" si="18"/>
        <v/>
      </c>
      <c r="R278" s="12" t="str">
        <f t="shared" si="19"/>
        <v/>
      </c>
      <c r="S278" s="8"/>
      <c r="T278" s="8"/>
      <c r="U278" s="10"/>
      <c r="V278" s="8"/>
    </row>
    <row r="279" spans="1:22">
      <c r="A279" s="8"/>
      <c r="B279" s="10"/>
      <c r="C279" s="8"/>
      <c r="D279" s="8"/>
      <c r="E279" s="8"/>
      <c r="F279" s="8"/>
      <c r="G279" s="8"/>
      <c r="H279" s="8"/>
      <c r="I279" s="11"/>
      <c r="J279" s="11"/>
      <c r="K279" s="11"/>
      <c r="L279" s="11"/>
      <c r="M279" s="11"/>
      <c r="N279" s="11"/>
      <c r="O279" s="12" t="str">
        <f t="shared" si="16"/>
        <v/>
      </c>
      <c r="P279" s="12" t="str">
        <f t="shared" si="17"/>
        <v/>
      </c>
      <c r="Q279" s="12" t="str">
        <f t="shared" si="18"/>
        <v/>
      </c>
      <c r="R279" s="12" t="str">
        <f t="shared" si="19"/>
        <v/>
      </c>
      <c r="S279" s="8"/>
      <c r="T279" s="8"/>
      <c r="U279" s="10"/>
      <c r="V279" s="8"/>
    </row>
    <row r="280" spans="1:22">
      <c r="A280" s="8"/>
      <c r="B280" s="10"/>
      <c r="C280" s="8"/>
      <c r="D280" s="8"/>
      <c r="E280" s="8"/>
      <c r="F280" s="8"/>
      <c r="G280" s="8"/>
      <c r="H280" s="8"/>
      <c r="I280" s="11"/>
      <c r="J280" s="11"/>
      <c r="K280" s="11"/>
      <c r="L280" s="11"/>
      <c r="M280" s="11"/>
      <c r="N280" s="11"/>
      <c r="O280" s="12" t="str">
        <f t="shared" si="16"/>
        <v/>
      </c>
      <c r="P280" s="12" t="str">
        <f t="shared" si="17"/>
        <v/>
      </c>
      <c r="Q280" s="12" t="str">
        <f t="shared" si="18"/>
        <v/>
      </c>
      <c r="R280" s="12" t="str">
        <f t="shared" si="19"/>
        <v/>
      </c>
      <c r="S280" s="8"/>
      <c r="T280" s="8"/>
      <c r="U280" s="10"/>
      <c r="V280" s="8"/>
    </row>
    <row r="281" spans="1:22">
      <c r="A281" s="8"/>
      <c r="B281" s="10"/>
      <c r="C281" s="8"/>
      <c r="D281" s="8"/>
      <c r="E281" s="8"/>
      <c r="F281" s="8"/>
      <c r="G281" s="8"/>
      <c r="H281" s="8"/>
      <c r="I281" s="11"/>
      <c r="J281" s="11"/>
      <c r="K281" s="11"/>
      <c r="L281" s="11"/>
      <c r="M281" s="11"/>
      <c r="N281" s="11"/>
      <c r="O281" s="12" t="str">
        <f t="shared" si="16"/>
        <v/>
      </c>
      <c r="P281" s="12" t="str">
        <f t="shared" si="17"/>
        <v/>
      </c>
      <c r="Q281" s="12" t="str">
        <f t="shared" si="18"/>
        <v/>
      </c>
      <c r="R281" s="12" t="str">
        <f t="shared" si="19"/>
        <v/>
      </c>
      <c r="S281" s="8"/>
      <c r="T281" s="8"/>
      <c r="U281" s="10"/>
      <c r="V281" s="8"/>
    </row>
    <row r="282" spans="1:22">
      <c r="A282" s="8"/>
      <c r="B282" s="10"/>
      <c r="C282" s="8"/>
      <c r="D282" s="8"/>
      <c r="E282" s="8"/>
      <c r="F282" s="8"/>
      <c r="G282" s="8"/>
      <c r="H282" s="8"/>
      <c r="I282" s="11"/>
      <c r="J282" s="11"/>
      <c r="K282" s="11"/>
      <c r="L282" s="11"/>
      <c r="M282" s="11"/>
      <c r="N282" s="11"/>
      <c r="O282" s="12" t="str">
        <f t="shared" si="16"/>
        <v/>
      </c>
      <c r="P282" s="12" t="str">
        <f t="shared" si="17"/>
        <v/>
      </c>
      <c r="Q282" s="12" t="str">
        <f t="shared" si="18"/>
        <v/>
      </c>
      <c r="R282" s="12" t="str">
        <f t="shared" si="19"/>
        <v/>
      </c>
      <c r="S282" s="8"/>
      <c r="T282" s="8"/>
      <c r="U282" s="10"/>
      <c r="V282" s="8"/>
    </row>
    <row r="283" spans="1:22">
      <c r="A283" s="8"/>
      <c r="B283" s="10"/>
      <c r="C283" s="8"/>
      <c r="D283" s="8"/>
      <c r="E283" s="8"/>
      <c r="F283" s="8"/>
      <c r="G283" s="8"/>
      <c r="H283" s="8"/>
      <c r="I283" s="11"/>
      <c r="J283" s="11"/>
      <c r="K283" s="11"/>
      <c r="L283" s="11"/>
      <c r="M283" s="11"/>
      <c r="N283" s="11"/>
      <c r="O283" s="12" t="str">
        <f t="shared" si="16"/>
        <v/>
      </c>
      <c r="P283" s="12" t="str">
        <f t="shared" si="17"/>
        <v/>
      </c>
      <c r="Q283" s="12" t="str">
        <f t="shared" si="18"/>
        <v/>
      </c>
      <c r="R283" s="12" t="str">
        <f t="shared" si="19"/>
        <v/>
      </c>
      <c r="S283" s="8"/>
      <c r="T283" s="8"/>
      <c r="U283" s="10"/>
      <c r="V283" s="8"/>
    </row>
    <row r="284" spans="1:22">
      <c r="A284" s="8"/>
      <c r="B284" s="10"/>
      <c r="C284" s="8"/>
      <c r="D284" s="8"/>
      <c r="E284" s="8"/>
      <c r="F284" s="8"/>
      <c r="G284" s="8"/>
      <c r="H284" s="8"/>
      <c r="I284" s="11"/>
      <c r="J284" s="11"/>
      <c r="K284" s="11"/>
      <c r="L284" s="11"/>
      <c r="M284" s="11"/>
      <c r="N284" s="11"/>
      <c r="O284" s="12" t="str">
        <f t="shared" si="16"/>
        <v/>
      </c>
      <c r="P284" s="12" t="str">
        <f t="shared" si="17"/>
        <v/>
      </c>
      <c r="Q284" s="12" t="str">
        <f t="shared" si="18"/>
        <v/>
      </c>
      <c r="R284" s="12" t="str">
        <f t="shared" si="19"/>
        <v/>
      </c>
      <c r="S284" s="8"/>
      <c r="T284" s="8"/>
      <c r="U284" s="10"/>
      <c r="V284" s="8"/>
    </row>
    <row r="285" spans="1:22">
      <c r="A285" s="8"/>
      <c r="B285" s="10"/>
      <c r="C285" s="8"/>
      <c r="D285" s="8"/>
      <c r="E285" s="8"/>
      <c r="F285" s="8"/>
      <c r="G285" s="8"/>
      <c r="H285" s="8"/>
      <c r="I285" s="11"/>
      <c r="J285" s="11"/>
      <c r="K285" s="11"/>
      <c r="L285" s="11"/>
      <c r="M285" s="11"/>
      <c r="N285" s="11"/>
      <c r="O285" s="12" t="str">
        <f t="shared" si="16"/>
        <v/>
      </c>
      <c r="P285" s="12" t="str">
        <f t="shared" si="17"/>
        <v/>
      </c>
      <c r="Q285" s="12" t="str">
        <f t="shared" si="18"/>
        <v/>
      </c>
      <c r="R285" s="12" t="str">
        <f t="shared" si="19"/>
        <v/>
      </c>
      <c r="S285" s="8"/>
      <c r="T285" s="8"/>
      <c r="U285" s="10"/>
      <c r="V285" s="8"/>
    </row>
    <row r="286" spans="1:22">
      <c r="A286" s="8"/>
      <c r="B286" s="10"/>
      <c r="C286" s="8"/>
      <c r="D286" s="8"/>
      <c r="E286" s="8"/>
      <c r="F286" s="8"/>
      <c r="G286" s="8"/>
      <c r="H286" s="8"/>
      <c r="I286" s="11"/>
      <c r="J286" s="11"/>
      <c r="K286" s="11"/>
      <c r="L286" s="11"/>
      <c r="M286" s="11"/>
      <c r="N286" s="11"/>
      <c r="O286" s="12" t="str">
        <f t="shared" si="16"/>
        <v/>
      </c>
      <c r="P286" s="12" t="str">
        <f t="shared" si="17"/>
        <v/>
      </c>
      <c r="Q286" s="12" t="str">
        <f t="shared" si="18"/>
        <v/>
      </c>
      <c r="R286" s="12" t="str">
        <f t="shared" si="19"/>
        <v/>
      </c>
      <c r="S286" s="8"/>
      <c r="T286" s="8"/>
      <c r="U286" s="10"/>
      <c r="V286" s="8"/>
    </row>
    <row r="287" spans="1:22">
      <c r="A287" s="8"/>
      <c r="B287" s="10"/>
      <c r="C287" s="8"/>
      <c r="D287" s="8"/>
      <c r="E287" s="8"/>
      <c r="F287" s="8"/>
      <c r="G287" s="8"/>
      <c r="H287" s="8"/>
      <c r="I287" s="11"/>
      <c r="J287" s="11"/>
      <c r="K287" s="11"/>
      <c r="L287" s="11"/>
      <c r="M287" s="11"/>
      <c r="N287" s="11"/>
      <c r="O287" s="12" t="str">
        <f t="shared" si="16"/>
        <v/>
      </c>
      <c r="P287" s="12" t="str">
        <f t="shared" si="17"/>
        <v/>
      </c>
      <c r="Q287" s="12" t="str">
        <f t="shared" si="18"/>
        <v/>
      </c>
      <c r="R287" s="12" t="str">
        <f t="shared" si="19"/>
        <v/>
      </c>
      <c r="S287" s="8"/>
      <c r="T287" s="8"/>
      <c r="U287" s="10"/>
      <c r="V287" s="8"/>
    </row>
    <row r="288" spans="1:22">
      <c r="A288" s="8"/>
      <c r="B288" s="10"/>
      <c r="C288" s="8"/>
      <c r="D288" s="8"/>
      <c r="E288" s="8"/>
      <c r="F288" s="8"/>
      <c r="G288" s="8"/>
      <c r="H288" s="8"/>
      <c r="I288" s="11"/>
      <c r="J288" s="11"/>
      <c r="K288" s="11"/>
      <c r="L288" s="11"/>
      <c r="M288" s="11"/>
      <c r="N288" s="11"/>
      <c r="O288" s="12" t="str">
        <f t="shared" si="16"/>
        <v/>
      </c>
      <c r="P288" s="12" t="str">
        <f t="shared" si="17"/>
        <v/>
      </c>
      <c r="Q288" s="12" t="str">
        <f t="shared" si="18"/>
        <v/>
      </c>
      <c r="R288" s="12" t="str">
        <f t="shared" si="19"/>
        <v/>
      </c>
      <c r="S288" s="8"/>
      <c r="T288" s="8"/>
      <c r="U288" s="10"/>
      <c r="V288" s="8"/>
    </row>
    <row r="289" spans="1:22">
      <c r="A289" s="8"/>
      <c r="B289" s="10"/>
      <c r="C289" s="8"/>
      <c r="D289" s="8"/>
      <c r="E289" s="8"/>
      <c r="F289" s="8"/>
      <c r="G289" s="8"/>
      <c r="H289" s="8"/>
      <c r="I289" s="11"/>
      <c r="J289" s="11"/>
      <c r="K289" s="11"/>
      <c r="L289" s="11"/>
      <c r="M289" s="11"/>
      <c r="N289" s="11"/>
      <c r="O289" s="12" t="str">
        <f t="shared" si="16"/>
        <v/>
      </c>
      <c r="P289" s="12" t="str">
        <f t="shared" si="17"/>
        <v/>
      </c>
      <c r="Q289" s="12" t="str">
        <f t="shared" si="18"/>
        <v/>
      </c>
      <c r="R289" s="12" t="str">
        <f t="shared" si="19"/>
        <v/>
      </c>
      <c r="S289" s="8"/>
      <c r="T289" s="8"/>
      <c r="U289" s="10"/>
      <c r="V289" s="8"/>
    </row>
    <row r="290" spans="1:22">
      <c r="A290" s="8"/>
      <c r="B290" s="10"/>
      <c r="C290" s="8"/>
      <c r="D290" s="8"/>
      <c r="E290" s="8"/>
      <c r="F290" s="8"/>
      <c r="G290" s="8"/>
      <c r="H290" s="8"/>
      <c r="I290" s="11"/>
      <c r="J290" s="11"/>
      <c r="K290" s="11"/>
      <c r="L290" s="11"/>
      <c r="M290" s="11"/>
      <c r="N290" s="11"/>
      <c r="O290" s="12" t="str">
        <f t="shared" si="16"/>
        <v/>
      </c>
      <c r="P290" s="12" t="str">
        <f t="shared" si="17"/>
        <v/>
      </c>
      <c r="Q290" s="12" t="str">
        <f t="shared" si="18"/>
        <v/>
      </c>
      <c r="R290" s="12" t="str">
        <f t="shared" si="19"/>
        <v/>
      </c>
      <c r="S290" s="8"/>
      <c r="T290" s="8"/>
      <c r="U290" s="10"/>
      <c r="V290" s="8"/>
    </row>
    <row r="291" spans="1:22">
      <c r="A291" s="8"/>
      <c r="B291" s="10"/>
      <c r="C291" s="8"/>
      <c r="D291" s="8"/>
      <c r="E291" s="8"/>
      <c r="F291" s="8"/>
      <c r="G291" s="8"/>
      <c r="H291" s="8"/>
      <c r="I291" s="11"/>
      <c r="J291" s="11"/>
      <c r="K291" s="11"/>
      <c r="L291" s="11"/>
      <c r="M291" s="11"/>
      <c r="N291" s="11"/>
      <c r="O291" s="12" t="str">
        <f t="shared" si="16"/>
        <v/>
      </c>
      <c r="P291" s="12" t="str">
        <f t="shared" si="17"/>
        <v/>
      </c>
      <c r="Q291" s="12" t="str">
        <f t="shared" si="18"/>
        <v/>
      </c>
      <c r="R291" s="12" t="str">
        <f t="shared" si="19"/>
        <v/>
      </c>
      <c r="S291" s="8"/>
      <c r="T291" s="8"/>
      <c r="U291" s="10"/>
      <c r="V291" s="8"/>
    </row>
    <row r="292" spans="1:22">
      <c r="A292" s="8"/>
      <c r="B292" s="10"/>
      <c r="C292" s="8"/>
      <c r="D292" s="8"/>
      <c r="E292" s="8"/>
      <c r="F292" s="8"/>
      <c r="G292" s="8"/>
      <c r="H292" s="8"/>
      <c r="I292" s="11"/>
      <c r="J292" s="11"/>
      <c r="K292" s="11"/>
      <c r="L292" s="11"/>
      <c r="M292" s="11"/>
      <c r="N292" s="11"/>
      <c r="O292" s="12" t="str">
        <f t="shared" si="16"/>
        <v/>
      </c>
      <c r="P292" s="12" t="str">
        <f t="shared" si="17"/>
        <v/>
      </c>
      <c r="Q292" s="12" t="str">
        <f t="shared" si="18"/>
        <v/>
      </c>
      <c r="R292" s="12" t="str">
        <f t="shared" si="19"/>
        <v/>
      </c>
      <c r="S292" s="8"/>
      <c r="T292" s="8"/>
      <c r="U292" s="10"/>
      <c r="V292" s="8"/>
    </row>
    <row r="293" spans="1:22">
      <c r="A293" s="8"/>
      <c r="B293" s="10"/>
      <c r="C293" s="8"/>
      <c r="D293" s="8"/>
      <c r="E293" s="8"/>
      <c r="F293" s="8"/>
      <c r="G293" s="8"/>
      <c r="H293" s="8"/>
      <c r="I293" s="11"/>
      <c r="J293" s="11"/>
      <c r="K293" s="11"/>
      <c r="L293" s="11"/>
      <c r="M293" s="11"/>
      <c r="N293" s="11"/>
      <c r="O293" s="12" t="str">
        <f t="shared" si="16"/>
        <v/>
      </c>
      <c r="P293" s="12" t="str">
        <f t="shared" si="17"/>
        <v/>
      </c>
      <c r="Q293" s="12" t="str">
        <f t="shared" si="18"/>
        <v/>
      </c>
      <c r="R293" s="12" t="str">
        <f t="shared" si="19"/>
        <v/>
      </c>
      <c r="S293" s="8"/>
      <c r="T293" s="8"/>
      <c r="U293" s="10"/>
      <c r="V293" s="8"/>
    </row>
    <row r="294" spans="1:22">
      <c r="A294" s="8"/>
      <c r="B294" s="10"/>
      <c r="C294" s="8"/>
      <c r="D294" s="8"/>
      <c r="E294" s="8"/>
      <c r="F294" s="8"/>
      <c r="G294" s="8"/>
      <c r="H294" s="8"/>
      <c r="I294" s="11"/>
      <c r="J294" s="11"/>
      <c r="K294" s="11"/>
      <c r="L294" s="11"/>
      <c r="M294" s="11"/>
      <c r="N294" s="11"/>
      <c r="O294" s="12" t="str">
        <f t="shared" si="16"/>
        <v/>
      </c>
      <c r="P294" s="12" t="str">
        <f t="shared" si="17"/>
        <v/>
      </c>
      <c r="Q294" s="12" t="str">
        <f t="shared" si="18"/>
        <v/>
      </c>
      <c r="R294" s="12" t="str">
        <f t="shared" si="19"/>
        <v/>
      </c>
      <c r="S294" s="8"/>
      <c r="T294" s="8"/>
      <c r="U294" s="10"/>
      <c r="V294" s="8"/>
    </row>
    <row r="295" spans="1:22">
      <c r="A295" s="8"/>
      <c r="B295" s="10"/>
      <c r="C295" s="8"/>
      <c r="D295" s="8"/>
      <c r="E295" s="8"/>
      <c r="F295" s="8"/>
      <c r="G295" s="8"/>
      <c r="H295" s="8"/>
      <c r="I295" s="11"/>
      <c r="J295" s="11"/>
      <c r="K295" s="11"/>
      <c r="L295" s="11"/>
      <c r="M295" s="11"/>
      <c r="N295" s="11"/>
      <c r="O295" s="12" t="str">
        <f t="shared" si="16"/>
        <v/>
      </c>
      <c r="P295" s="12" t="str">
        <f t="shared" si="17"/>
        <v/>
      </c>
      <c r="Q295" s="12" t="str">
        <f t="shared" si="18"/>
        <v/>
      </c>
      <c r="R295" s="12" t="str">
        <f t="shared" si="19"/>
        <v/>
      </c>
      <c r="S295" s="8"/>
      <c r="T295" s="8"/>
      <c r="U295" s="10"/>
      <c r="V295" s="8"/>
    </row>
    <row r="296" spans="1:22">
      <c r="A296" s="8"/>
      <c r="B296" s="10"/>
      <c r="C296" s="8"/>
      <c r="D296" s="8"/>
      <c r="E296" s="8"/>
      <c r="F296" s="8"/>
      <c r="G296" s="8"/>
      <c r="H296" s="8"/>
      <c r="I296" s="11"/>
      <c r="J296" s="11"/>
      <c r="K296" s="11"/>
      <c r="L296" s="11"/>
      <c r="M296" s="11"/>
      <c r="N296" s="11"/>
      <c r="O296" s="12" t="str">
        <f t="shared" si="16"/>
        <v/>
      </c>
      <c r="P296" s="12" t="str">
        <f t="shared" si="17"/>
        <v/>
      </c>
      <c r="Q296" s="12" t="str">
        <f t="shared" si="18"/>
        <v/>
      </c>
      <c r="R296" s="12" t="str">
        <f t="shared" si="19"/>
        <v/>
      </c>
      <c r="S296" s="8"/>
      <c r="T296" s="8"/>
      <c r="U296" s="10"/>
      <c r="V296" s="8"/>
    </row>
    <row r="297" spans="1:22">
      <c r="A297" s="8"/>
      <c r="B297" s="10"/>
      <c r="C297" s="8"/>
      <c r="D297" s="8"/>
      <c r="E297" s="8"/>
      <c r="F297" s="8"/>
      <c r="G297" s="8"/>
      <c r="H297" s="8"/>
      <c r="I297" s="11"/>
      <c r="J297" s="11"/>
      <c r="K297" s="11"/>
      <c r="L297" s="11"/>
      <c r="M297" s="11"/>
      <c r="N297" s="11"/>
      <c r="O297" s="12" t="str">
        <f t="shared" si="16"/>
        <v/>
      </c>
      <c r="P297" s="12" t="str">
        <f t="shared" si="17"/>
        <v/>
      </c>
      <c r="Q297" s="12" t="str">
        <f t="shared" si="18"/>
        <v/>
      </c>
      <c r="R297" s="12" t="str">
        <f t="shared" si="19"/>
        <v/>
      </c>
      <c r="S297" s="8"/>
      <c r="T297" s="8"/>
      <c r="U297" s="10"/>
      <c r="V297" s="8"/>
    </row>
    <row r="298" spans="1:22">
      <c r="A298" s="8"/>
      <c r="B298" s="10"/>
      <c r="C298" s="8"/>
      <c r="D298" s="8"/>
      <c r="E298" s="8"/>
      <c r="F298" s="8"/>
      <c r="G298" s="8"/>
      <c r="H298" s="8"/>
      <c r="I298" s="11"/>
      <c r="J298" s="11"/>
      <c r="K298" s="11"/>
      <c r="L298" s="11"/>
      <c r="M298" s="11"/>
      <c r="N298" s="11"/>
      <c r="O298" s="12" t="str">
        <f t="shared" si="16"/>
        <v/>
      </c>
      <c r="P298" s="12" t="str">
        <f t="shared" si="17"/>
        <v/>
      </c>
      <c r="Q298" s="12" t="str">
        <f t="shared" si="18"/>
        <v/>
      </c>
      <c r="R298" s="12" t="str">
        <f t="shared" si="19"/>
        <v/>
      </c>
      <c r="S298" s="8"/>
      <c r="T298" s="8"/>
      <c r="U298" s="10"/>
      <c r="V298" s="8"/>
    </row>
    <row r="299" spans="1:22">
      <c r="A299" s="8"/>
      <c r="B299" s="10"/>
      <c r="C299" s="8"/>
      <c r="D299" s="8"/>
      <c r="E299" s="8"/>
      <c r="F299" s="8"/>
      <c r="G299" s="8"/>
      <c r="H299" s="8"/>
      <c r="I299" s="11"/>
      <c r="J299" s="11"/>
      <c r="K299" s="11"/>
      <c r="L299" s="11"/>
      <c r="M299" s="11"/>
      <c r="N299" s="11"/>
      <c r="O299" s="12" t="str">
        <f t="shared" si="16"/>
        <v/>
      </c>
      <c r="P299" s="12" t="str">
        <f t="shared" si="17"/>
        <v/>
      </c>
      <c r="Q299" s="12" t="str">
        <f t="shared" si="18"/>
        <v/>
      </c>
      <c r="R299" s="12" t="str">
        <f t="shared" si="19"/>
        <v/>
      </c>
      <c r="S299" s="8"/>
      <c r="T299" s="8"/>
      <c r="U299" s="10"/>
      <c r="V299" s="8"/>
    </row>
    <row r="300" spans="1:22">
      <c r="A300" s="8"/>
      <c r="B300" s="10"/>
      <c r="C300" s="8"/>
      <c r="D300" s="8"/>
      <c r="E300" s="8"/>
      <c r="F300" s="8"/>
      <c r="G300" s="8"/>
      <c r="H300" s="8"/>
      <c r="I300" s="11"/>
      <c r="J300" s="11"/>
      <c r="K300" s="11"/>
      <c r="L300" s="11"/>
      <c r="M300" s="11"/>
      <c r="N300" s="11"/>
      <c r="O300" s="12" t="str">
        <f t="shared" si="16"/>
        <v/>
      </c>
      <c r="P300" s="12" t="str">
        <f t="shared" si="17"/>
        <v/>
      </c>
      <c r="Q300" s="12" t="str">
        <f t="shared" si="18"/>
        <v/>
      </c>
      <c r="R300" s="12" t="str">
        <f t="shared" si="19"/>
        <v/>
      </c>
      <c r="S300" s="8"/>
      <c r="T300" s="8"/>
      <c r="U300" s="10"/>
      <c r="V300" s="8"/>
    </row>
    <row r="301" spans="1:22">
      <c r="A301" s="8"/>
      <c r="B301" s="10"/>
      <c r="C301" s="8"/>
      <c r="D301" s="8"/>
      <c r="E301" s="8"/>
      <c r="F301" s="8"/>
      <c r="G301" s="8"/>
      <c r="H301" s="8"/>
      <c r="I301" s="11"/>
      <c r="J301" s="11"/>
      <c r="K301" s="11"/>
      <c r="L301" s="11"/>
      <c r="M301" s="11"/>
      <c r="N301" s="11"/>
      <c r="O301" s="12" t="str">
        <f t="shared" si="16"/>
        <v/>
      </c>
      <c r="P301" s="12" t="str">
        <f t="shared" si="17"/>
        <v/>
      </c>
      <c r="Q301" s="12" t="str">
        <f t="shared" si="18"/>
        <v/>
      </c>
      <c r="R301" s="12" t="str">
        <f t="shared" si="19"/>
        <v/>
      </c>
      <c r="S301" s="8"/>
      <c r="T301" s="8"/>
      <c r="U301" s="10"/>
      <c r="V301" s="8"/>
    </row>
    <row r="302" spans="1:22">
      <c r="A302" s="8"/>
      <c r="B302" s="10"/>
      <c r="C302" s="8"/>
      <c r="D302" s="8"/>
      <c r="E302" s="8"/>
      <c r="F302" s="8"/>
      <c r="G302" s="8"/>
      <c r="H302" s="8"/>
      <c r="I302" s="11"/>
      <c r="J302" s="11"/>
      <c r="K302" s="11"/>
      <c r="L302" s="11"/>
      <c r="M302" s="11"/>
      <c r="N302" s="11"/>
      <c r="O302" s="12" t="str">
        <f t="shared" si="16"/>
        <v/>
      </c>
      <c r="P302" s="12" t="str">
        <f t="shared" si="17"/>
        <v/>
      </c>
      <c r="Q302" s="12" t="str">
        <f t="shared" si="18"/>
        <v/>
      </c>
      <c r="R302" s="12" t="str">
        <f t="shared" si="19"/>
        <v/>
      </c>
      <c r="S302" s="8"/>
      <c r="T302" s="8"/>
      <c r="U302" s="10"/>
      <c r="V302" s="8"/>
    </row>
    <row r="303" spans="1:22">
      <c r="A303" s="8"/>
      <c r="B303" s="10"/>
      <c r="C303" s="8"/>
      <c r="D303" s="8"/>
      <c r="E303" s="8"/>
      <c r="F303" s="8"/>
      <c r="G303" s="8"/>
      <c r="H303" s="8"/>
      <c r="I303" s="11"/>
      <c r="J303" s="11"/>
      <c r="K303" s="11"/>
      <c r="L303" s="11"/>
      <c r="M303" s="11"/>
      <c r="N303" s="11"/>
      <c r="O303" s="12" t="str">
        <f t="shared" si="16"/>
        <v/>
      </c>
      <c r="P303" s="12" t="str">
        <f t="shared" si="17"/>
        <v/>
      </c>
      <c r="Q303" s="12" t="str">
        <f t="shared" si="18"/>
        <v/>
      </c>
      <c r="R303" s="12" t="str">
        <f t="shared" si="19"/>
        <v/>
      </c>
      <c r="S303" s="8"/>
      <c r="T303" s="8"/>
      <c r="U303" s="10"/>
      <c r="V303" s="8"/>
    </row>
    <row r="304" spans="1:22">
      <c r="A304" s="8"/>
      <c r="B304" s="10"/>
      <c r="C304" s="8"/>
      <c r="D304" s="8"/>
      <c r="E304" s="8"/>
      <c r="F304" s="8"/>
      <c r="G304" s="8"/>
      <c r="H304" s="8"/>
      <c r="I304" s="11"/>
      <c r="J304" s="11"/>
      <c r="K304" s="11"/>
      <c r="L304" s="11"/>
      <c r="M304" s="11"/>
      <c r="N304" s="11"/>
      <c r="O304" s="12" t="str">
        <f t="shared" si="16"/>
        <v/>
      </c>
      <c r="P304" s="12" t="str">
        <f t="shared" si="17"/>
        <v/>
      </c>
      <c r="Q304" s="12" t="str">
        <f t="shared" si="18"/>
        <v/>
      </c>
      <c r="R304" s="12" t="str">
        <f t="shared" si="19"/>
        <v/>
      </c>
      <c r="S304" s="8"/>
      <c r="T304" s="8"/>
      <c r="U304" s="10"/>
      <c r="V304" s="8"/>
    </row>
  </sheetData>
  <mergeCells count="2">
    <mergeCell ref="A1:V1"/>
    <mergeCell ref="A2:V2"/>
  </mergeCells>
  <conditionalFormatting sqref="A5:A304">
    <cfRule type="duplicateValues" dxfId="44" priority="9"/>
  </conditionalFormatting>
  <conditionalFormatting sqref="S5:S304">
    <cfRule type="containsText" dxfId="43" priority="1" operator="containsText" text="Approved"/>
    <cfRule type="containsText" dxfId="42" priority="4" operator="containsText" text="Failed"/>
    <cfRule type="containsText" dxfId="41" priority="7" operator="containsText" text="On Hold"/>
  </conditionalFormatting>
  <dataValidations count="1">
    <dataValidation type="list" sqref="S5:S304" xr:uid="{00000000-0002-0000-1600-000000000000}">
      <formula1>"Pending,Approved,Rejected,On Hold"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304"/>
  <sheetViews>
    <sheetView showGridLines="0" workbookViewId="0">
      <selection sqref="A1:W1"/>
    </sheetView>
  </sheetViews>
  <sheetFormatPr baseColWidth="10" defaultColWidth="8.83203125" defaultRowHeight="14"/>
  <cols>
    <col min="1" max="1" width="14" customWidth="1"/>
    <col min="2" max="2" width="13" customWidth="1"/>
    <col min="3" max="3" width="14" customWidth="1"/>
    <col min="4" max="5" width="13" customWidth="1"/>
    <col min="6" max="6" width="10" customWidth="1"/>
    <col min="7" max="7" width="14" customWidth="1"/>
    <col min="8" max="8" width="15" customWidth="1"/>
    <col min="9" max="10" width="13" customWidth="1"/>
    <col min="11" max="11" width="14" customWidth="1"/>
    <col min="12" max="12" width="15" customWidth="1"/>
    <col min="13" max="13" width="17" customWidth="1"/>
    <col min="14" max="14" width="14" customWidth="1"/>
    <col min="15" max="15" width="19" customWidth="1"/>
    <col min="16" max="16" width="14" customWidth="1"/>
    <col min="17" max="17" width="15" customWidth="1"/>
    <col min="18" max="18" width="13" customWidth="1"/>
    <col min="19" max="20" width="14" customWidth="1"/>
    <col min="21" max="21" width="23" customWidth="1"/>
    <col min="22" max="22" width="15" customWidth="1"/>
    <col min="23" max="23" width="24" customWidth="1"/>
  </cols>
  <sheetData>
    <row r="1" spans="1:23" ht="30" customHeight="1">
      <c r="A1" s="52" t="s">
        <v>364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4" spans="1:23" ht="44" customHeight="1">
      <c r="A4" s="6" t="s">
        <v>201</v>
      </c>
      <c r="B4" s="6" t="s">
        <v>353</v>
      </c>
      <c r="C4" s="6" t="s">
        <v>44</v>
      </c>
      <c r="D4" s="6" t="s">
        <v>45</v>
      </c>
      <c r="E4" s="6" t="s">
        <v>46</v>
      </c>
      <c r="F4" s="6" t="s">
        <v>306</v>
      </c>
      <c r="G4" s="6" t="s">
        <v>308</v>
      </c>
      <c r="H4" s="6" t="s">
        <v>365</v>
      </c>
      <c r="I4" s="6" t="s">
        <v>366</v>
      </c>
      <c r="J4" s="6" t="s">
        <v>367</v>
      </c>
      <c r="K4" s="6" t="s">
        <v>368</v>
      </c>
      <c r="L4" s="6" t="s">
        <v>369</v>
      </c>
      <c r="M4" s="6" t="s">
        <v>370</v>
      </c>
      <c r="N4" s="6" t="s">
        <v>371</v>
      </c>
      <c r="O4" s="6" t="s">
        <v>372</v>
      </c>
      <c r="P4" s="6" t="s">
        <v>373</v>
      </c>
      <c r="Q4" s="6" t="s">
        <v>374</v>
      </c>
      <c r="R4" s="6" t="s">
        <v>211</v>
      </c>
      <c r="S4" s="6" t="s">
        <v>215</v>
      </c>
      <c r="T4" s="6" t="s">
        <v>216</v>
      </c>
      <c r="U4" s="6" t="s">
        <v>375</v>
      </c>
      <c r="V4" s="6" t="s">
        <v>63</v>
      </c>
      <c r="W4" s="6" t="s">
        <v>161</v>
      </c>
    </row>
    <row r="5" spans="1:23">
      <c r="A5" s="8"/>
      <c r="B5" s="10"/>
      <c r="C5" s="8"/>
      <c r="D5" s="8"/>
      <c r="E5" s="8"/>
      <c r="F5" s="8"/>
      <c r="G5" s="8"/>
      <c r="H5" s="8"/>
      <c r="I5" s="8"/>
      <c r="J5" s="11"/>
      <c r="K5" s="11"/>
      <c r="L5" s="11"/>
      <c r="M5" s="11"/>
      <c r="N5" s="11"/>
      <c r="O5" s="11"/>
      <c r="P5" s="12" t="str">
        <f t="shared" ref="P5:P68" si="0">IF(A5="","",SUM(K5:O5))</f>
        <v/>
      </c>
      <c r="Q5" s="16" t="str">
        <f t="shared" ref="Q5:Q68" si="1">IF(OR(A5="",J5=0),"",P5/J5)</f>
        <v/>
      </c>
      <c r="R5" s="16" t="str">
        <f t="shared" ref="R5:R68" si="2">IF(A5="","",0.02)</f>
        <v/>
      </c>
      <c r="S5" s="9" t="str">
        <f t="shared" ref="S5:S68" si="3">IF(A5="","",IF(Q5&lt;=R5,"Passed","Failed"))</f>
        <v/>
      </c>
      <c r="T5" s="8"/>
      <c r="U5" s="8"/>
      <c r="V5" s="10"/>
      <c r="W5" s="8"/>
    </row>
    <row r="6" spans="1:23">
      <c r="A6" s="8"/>
      <c r="B6" s="10"/>
      <c r="C6" s="8"/>
      <c r="D6" s="8"/>
      <c r="E6" s="8"/>
      <c r="F6" s="8"/>
      <c r="G6" s="8"/>
      <c r="H6" s="8"/>
      <c r="I6" s="8"/>
      <c r="J6" s="11"/>
      <c r="K6" s="11"/>
      <c r="L6" s="11"/>
      <c r="M6" s="11"/>
      <c r="N6" s="11"/>
      <c r="O6" s="11"/>
      <c r="P6" s="12" t="str">
        <f t="shared" si="0"/>
        <v/>
      </c>
      <c r="Q6" s="16" t="str">
        <f t="shared" si="1"/>
        <v/>
      </c>
      <c r="R6" s="16" t="str">
        <f t="shared" si="2"/>
        <v/>
      </c>
      <c r="S6" s="9" t="str">
        <f t="shared" si="3"/>
        <v/>
      </c>
      <c r="T6" s="8"/>
      <c r="U6" s="8"/>
      <c r="V6" s="10"/>
      <c r="W6" s="8"/>
    </row>
    <row r="7" spans="1:23">
      <c r="A7" s="8"/>
      <c r="B7" s="10"/>
      <c r="C7" s="8"/>
      <c r="D7" s="8"/>
      <c r="E7" s="8"/>
      <c r="F7" s="8"/>
      <c r="G7" s="8"/>
      <c r="H7" s="8"/>
      <c r="I7" s="8"/>
      <c r="J7" s="11"/>
      <c r="K7" s="11"/>
      <c r="L7" s="11"/>
      <c r="M7" s="11"/>
      <c r="N7" s="11"/>
      <c r="O7" s="11"/>
      <c r="P7" s="12" t="str">
        <f t="shared" si="0"/>
        <v/>
      </c>
      <c r="Q7" s="16" t="str">
        <f t="shared" si="1"/>
        <v/>
      </c>
      <c r="R7" s="16" t="str">
        <f t="shared" si="2"/>
        <v/>
      </c>
      <c r="S7" s="9" t="str">
        <f t="shared" si="3"/>
        <v/>
      </c>
      <c r="T7" s="8"/>
      <c r="U7" s="8"/>
      <c r="V7" s="10"/>
      <c r="W7" s="8"/>
    </row>
    <row r="8" spans="1:23">
      <c r="A8" s="8"/>
      <c r="B8" s="10"/>
      <c r="C8" s="8"/>
      <c r="D8" s="8"/>
      <c r="E8" s="8"/>
      <c r="F8" s="8"/>
      <c r="G8" s="8"/>
      <c r="H8" s="8"/>
      <c r="I8" s="8"/>
      <c r="J8" s="11"/>
      <c r="K8" s="11"/>
      <c r="L8" s="11"/>
      <c r="M8" s="11"/>
      <c r="N8" s="11"/>
      <c r="O8" s="11"/>
      <c r="P8" s="12" t="str">
        <f t="shared" si="0"/>
        <v/>
      </c>
      <c r="Q8" s="16" t="str">
        <f t="shared" si="1"/>
        <v/>
      </c>
      <c r="R8" s="16" t="str">
        <f t="shared" si="2"/>
        <v/>
      </c>
      <c r="S8" s="9" t="str">
        <f t="shared" si="3"/>
        <v/>
      </c>
      <c r="T8" s="8"/>
      <c r="U8" s="8"/>
      <c r="V8" s="10"/>
      <c r="W8" s="8"/>
    </row>
    <row r="9" spans="1:23">
      <c r="A9" s="8"/>
      <c r="B9" s="10"/>
      <c r="C9" s="8"/>
      <c r="D9" s="8"/>
      <c r="E9" s="8"/>
      <c r="F9" s="8"/>
      <c r="G9" s="8"/>
      <c r="H9" s="8"/>
      <c r="I9" s="8"/>
      <c r="J9" s="11"/>
      <c r="K9" s="11"/>
      <c r="L9" s="11"/>
      <c r="M9" s="11"/>
      <c r="N9" s="11"/>
      <c r="O9" s="11"/>
      <c r="P9" s="12" t="str">
        <f t="shared" si="0"/>
        <v/>
      </c>
      <c r="Q9" s="16" t="str">
        <f t="shared" si="1"/>
        <v/>
      </c>
      <c r="R9" s="16" t="str">
        <f t="shared" si="2"/>
        <v/>
      </c>
      <c r="S9" s="9" t="str">
        <f t="shared" si="3"/>
        <v/>
      </c>
      <c r="T9" s="8"/>
      <c r="U9" s="8"/>
      <c r="V9" s="10"/>
      <c r="W9" s="8"/>
    </row>
    <row r="10" spans="1:23">
      <c r="A10" s="8"/>
      <c r="B10" s="10"/>
      <c r="C10" s="8"/>
      <c r="D10" s="8"/>
      <c r="E10" s="8"/>
      <c r="F10" s="8"/>
      <c r="G10" s="8"/>
      <c r="H10" s="8"/>
      <c r="I10" s="8"/>
      <c r="J10" s="11"/>
      <c r="K10" s="11"/>
      <c r="L10" s="11"/>
      <c r="M10" s="11"/>
      <c r="N10" s="11"/>
      <c r="O10" s="11"/>
      <c r="P10" s="12" t="str">
        <f t="shared" si="0"/>
        <v/>
      </c>
      <c r="Q10" s="16" t="str">
        <f t="shared" si="1"/>
        <v/>
      </c>
      <c r="R10" s="16" t="str">
        <f t="shared" si="2"/>
        <v/>
      </c>
      <c r="S10" s="9" t="str">
        <f t="shared" si="3"/>
        <v/>
      </c>
      <c r="T10" s="8"/>
      <c r="U10" s="8"/>
      <c r="V10" s="10"/>
      <c r="W10" s="8"/>
    </row>
    <row r="11" spans="1:23">
      <c r="A11" s="8"/>
      <c r="B11" s="10"/>
      <c r="C11" s="8"/>
      <c r="D11" s="8"/>
      <c r="E11" s="8"/>
      <c r="F11" s="8"/>
      <c r="G11" s="8"/>
      <c r="H11" s="8"/>
      <c r="I11" s="8"/>
      <c r="J11" s="11"/>
      <c r="K11" s="11"/>
      <c r="L11" s="11"/>
      <c r="M11" s="11"/>
      <c r="N11" s="11"/>
      <c r="O11" s="11"/>
      <c r="P11" s="12" t="str">
        <f t="shared" si="0"/>
        <v/>
      </c>
      <c r="Q11" s="16" t="str">
        <f t="shared" si="1"/>
        <v/>
      </c>
      <c r="R11" s="16" t="str">
        <f t="shared" si="2"/>
        <v/>
      </c>
      <c r="S11" s="9" t="str">
        <f t="shared" si="3"/>
        <v/>
      </c>
      <c r="T11" s="8"/>
      <c r="U11" s="8"/>
      <c r="V11" s="10"/>
      <c r="W11" s="8"/>
    </row>
    <row r="12" spans="1:23">
      <c r="A12" s="8"/>
      <c r="B12" s="10"/>
      <c r="C12" s="8"/>
      <c r="D12" s="8"/>
      <c r="E12" s="8"/>
      <c r="F12" s="8"/>
      <c r="G12" s="8"/>
      <c r="H12" s="8"/>
      <c r="I12" s="8"/>
      <c r="J12" s="11"/>
      <c r="K12" s="11"/>
      <c r="L12" s="11"/>
      <c r="M12" s="11"/>
      <c r="N12" s="11"/>
      <c r="O12" s="11"/>
      <c r="P12" s="12" t="str">
        <f t="shared" si="0"/>
        <v/>
      </c>
      <c r="Q12" s="16" t="str">
        <f t="shared" si="1"/>
        <v/>
      </c>
      <c r="R12" s="16" t="str">
        <f t="shared" si="2"/>
        <v/>
      </c>
      <c r="S12" s="9" t="str">
        <f t="shared" si="3"/>
        <v/>
      </c>
      <c r="T12" s="8"/>
      <c r="U12" s="8"/>
      <c r="V12" s="10"/>
      <c r="W12" s="8"/>
    </row>
    <row r="13" spans="1:23">
      <c r="A13" s="8"/>
      <c r="B13" s="10"/>
      <c r="C13" s="8"/>
      <c r="D13" s="8"/>
      <c r="E13" s="8"/>
      <c r="F13" s="8"/>
      <c r="G13" s="8"/>
      <c r="H13" s="8"/>
      <c r="I13" s="8"/>
      <c r="J13" s="11"/>
      <c r="K13" s="11"/>
      <c r="L13" s="11"/>
      <c r="M13" s="11"/>
      <c r="N13" s="11"/>
      <c r="O13" s="11"/>
      <c r="P13" s="12" t="str">
        <f t="shared" si="0"/>
        <v/>
      </c>
      <c r="Q13" s="16" t="str">
        <f t="shared" si="1"/>
        <v/>
      </c>
      <c r="R13" s="16" t="str">
        <f t="shared" si="2"/>
        <v/>
      </c>
      <c r="S13" s="9" t="str">
        <f t="shared" si="3"/>
        <v/>
      </c>
      <c r="T13" s="8"/>
      <c r="U13" s="8"/>
      <c r="V13" s="10"/>
      <c r="W13" s="8"/>
    </row>
    <row r="14" spans="1:23">
      <c r="A14" s="8"/>
      <c r="B14" s="10"/>
      <c r="C14" s="8"/>
      <c r="D14" s="8"/>
      <c r="E14" s="8"/>
      <c r="F14" s="8"/>
      <c r="G14" s="8"/>
      <c r="H14" s="8"/>
      <c r="I14" s="8"/>
      <c r="J14" s="11"/>
      <c r="K14" s="11"/>
      <c r="L14" s="11"/>
      <c r="M14" s="11"/>
      <c r="N14" s="11"/>
      <c r="O14" s="11"/>
      <c r="P14" s="12" t="str">
        <f t="shared" si="0"/>
        <v/>
      </c>
      <c r="Q14" s="16" t="str">
        <f t="shared" si="1"/>
        <v/>
      </c>
      <c r="R14" s="16" t="str">
        <f t="shared" si="2"/>
        <v/>
      </c>
      <c r="S14" s="9" t="str">
        <f t="shared" si="3"/>
        <v/>
      </c>
      <c r="T14" s="8"/>
      <c r="U14" s="8"/>
      <c r="V14" s="10"/>
      <c r="W14" s="8"/>
    </row>
    <row r="15" spans="1:23">
      <c r="A15" s="8"/>
      <c r="B15" s="10"/>
      <c r="C15" s="8"/>
      <c r="D15" s="8"/>
      <c r="E15" s="8"/>
      <c r="F15" s="8"/>
      <c r="G15" s="8"/>
      <c r="H15" s="8"/>
      <c r="I15" s="8"/>
      <c r="J15" s="11"/>
      <c r="K15" s="11"/>
      <c r="L15" s="11"/>
      <c r="M15" s="11"/>
      <c r="N15" s="11"/>
      <c r="O15" s="11"/>
      <c r="P15" s="12" t="str">
        <f t="shared" si="0"/>
        <v/>
      </c>
      <c r="Q15" s="16" t="str">
        <f t="shared" si="1"/>
        <v/>
      </c>
      <c r="R15" s="16" t="str">
        <f t="shared" si="2"/>
        <v/>
      </c>
      <c r="S15" s="9" t="str">
        <f t="shared" si="3"/>
        <v/>
      </c>
      <c r="T15" s="8"/>
      <c r="U15" s="8"/>
      <c r="V15" s="10"/>
      <c r="W15" s="8"/>
    </row>
    <row r="16" spans="1:23">
      <c r="A16" s="8"/>
      <c r="B16" s="10"/>
      <c r="C16" s="8"/>
      <c r="D16" s="8"/>
      <c r="E16" s="8"/>
      <c r="F16" s="8"/>
      <c r="G16" s="8"/>
      <c r="H16" s="8"/>
      <c r="I16" s="8"/>
      <c r="J16" s="11"/>
      <c r="K16" s="11"/>
      <c r="L16" s="11"/>
      <c r="M16" s="11"/>
      <c r="N16" s="11"/>
      <c r="O16" s="11"/>
      <c r="P16" s="12" t="str">
        <f t="shared" si="0"/>
        <v/>
      </c>
      <c r="Q16" s="16" t="str">
        <f t="shared" si="1"/>
        <v/>
      </c>
      <c r="R16" s="16" t="str">
        <f t="shared" si="2"/>
        <v/>
      </c>
      <c r="S16" s="9" t="str">
        <f t="shared" si="3"/>
        <v/>
      </c>
      <c r="T16" s="8"/>
      <c r="U16" s="8"/>
      <c r="V16" s="10"/>
      <c r="W16" s="8"/>
    </row>
    <row r="17" spans="1:23">
      <c r="A17" s="8"/>
      <c r="B17" s="10"/>
      <c r="C17" s="8"/>
      <c r="D17" s="8"/>
      <c r="E17" s="8"/>
      <c r="F17" s="8"/>
      <c r="G17" s="8"/>
      <c r="H17" s="8"/>
      <c r="I17" s="8"/>
      <c r="J17" s="11"/>
      <c r="K17" s="11"/>
      <c r="L17" s="11"/>
      <c r="M17" s="11"/>
      <c r="N17" s="11"/>
      <c r="O17" s="11"/>
      <c r="P17" s="12" t="str">
        <f t="shared" si="0"/>
        <v/>
      </c>
      <c r="Q17" s="16" t="str">
        <f t="shared" si="1"/>
        <v/>
      </c>
      <c r="R17" s="16" t="str">
        <f t="shared" si="2"/>
        <v/>
      </c>
      <c r="S17" s="9" t="str">
        <f t="shared" si="3"/>
        <v/>
      </c>
      <c r="T17" s="8"/>
      <c r="U17" s="8"/>
      <c r="V17" s="10"/>
      <c r="W17" s="8"/>
    </row>
    <row r="18" spans="1:23">
      <c r="A18" s="8"/>
      <c r="B18" s="10"/>
      <c r="C18" s="8"/>
      <c r="D18" s="8"/>
      <c r="E18" s="8"/>
      <c r="F18" s="8"/>
      <c r="G18" s="8"/>
      <c r="H18" s="8"/>
      <c r="I18" s="8"/>
      <c r="J18" s="11"/>
      <c r="K18" s="11"/>
      <c r="L18" s="11"/>
      <c r="M18" s="11"/>
      <c r="N18" s="11"/>
      <c r="O18" s="11"/>
      <c r="P18" s="12" t="str">
        <f t="shared" si="0"/>
        <v/>
      </c>
      <c r="Q18" s="16" t="str">
        <f t="shared" si="1"/>
        <v/>
      </c>
      <c r="R18" s="16" t="str">
        <f t="shared" si="2"/>
        <v/>
      </c>
      <c r="S18" s="9" t="str">
        <f t="shared" si="3"/>
        <v/>
      </c>
      <c r="T18" s="8"/>
      <c r="U18" s="8"/>
      <c r="V18" s="10"/>
      <c r="W18" s="8"/>
    </row>
    <row r="19" spans="1:23">
      <c r="A19" s="8"/>
      <c r="B19" s="10"/>
      <c r="C19" s="8"/>
      <c r="D19" s="8"/>
      <c r="E19" s="8"/>
      <c r="F19" s="8"/>
      <c r="G19" s="8"/>
      <c r="H19" s="8"/>
      <c r="I19" s="8"/>
      <c r="J19" s="11"/>
      <c r="K19" s="11"/>
      <c r="L19" s="11"/>
      <c r="M19" s="11"/>
      <c r="N19" s="11"/>
      <c r="O19" s="11"/>
      <c r="P19" s="12" t="str">
        <f t="shared" si="0"/>
        <v/>
      </c>
      <c r="Q19" s="16" t="str">
        <f t="shared" si="1"/>
        <v/>
      </c>
      <c r="R19" s="16" t="str">
        <f t="shared" si="2"/>
        <v/>
      </c>
      <c r="S19" s="9" t="str">
        <f t="shared" si="3"/>
        <v/>
      </c>
      <c r="T19" s="8"/>
      <c r="U19" s="8"/>
      <c r="V19" s="10"/>
      <c r="W19" s="8"/>
    </row>
    <row r="20" spans="1:23">
      <c r="A20" s="8"/>
      <c r="B20" s="10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2" t="str">
        <f t="shared" si="0"/>
        <v/>
      </c>
      <c r="Q20" s="16" t="str">
        <f t="shared" si="1"/>
        <v/>
      </c>
      <c r="R20" s="16" t="str">
        <f t="shared" si="2"/>
        <v/>
      </c>
      <c r="S20" s="9" t="str">
        <f t="shared" si="3"/>
        <v/>
      </c>
      <c r="T20" s="8"/>
      <c r="U20" s="8"/>
      <c r="V20" s="10"/>
      <c r="W20" s="8"/>
    </row>
    <row r="21" spans="1:23">
      <c r="A21" s="8"/>
      <c r="B21" s="10"/>
      <c r="C21" s="8"/>
      <c r="D21" s="8"/>
      <c r="E21" s="8"/>
      <c r="F21" s="8"/>
      <c r="G21" s="8"/>
      <c r="H21" s="8"/>
      <c r="I21" s="8"/>
      <c r="J21" s="11"/>
      <c r="K21" s="11"/>
      <c r="L21" s="11"/>
      <c r="M21" s="11"/>
      <c r="N21" s="11"/>
      <c r="O21" s="11"/>
      <c r="P21" s="12" t="str">
        <f t="shared" si="0"/>
        <v/>
      </c>
      <c r="Q21" s="16" t="str">
        <f t="shared" si="1"/>
        <v/>
      </c>
      <c r="R21" s="16" t="str">
        <f t="shared" si="2"/>
        <v/>
      </c>
      <c r="S21" s="9" t="str">
        <f t="shared" si="3"/>
        <v/>
      </c>
      <c r="T21" s="8"/>
      <c r="U21" s="8"/>
      <c r="V21" s="10"/>
      <c r="W21" s="8"/>
    </row>
    <row r="22" spans="1:23">
      <c r="A22" s="8"/>
      <c r="B22" s="10"/>
      <c r="C22" s="8"/>
      <c r="D22" s="8"/>
      <c r="E22" s="8"/>
      <c r="F22" s="8"/>
      <c r="G22" s="8"/>
      <c r="H22" s="8"/>
      <c r="I22" s="8"/>
      <c r="J22" s="11"/>
      <c r="K22" s="11"/>
      <c r="L22" s="11"/>
      <c r="M22" s="11"/>
      <c r="N22" s="11"/>
      <c r="O22" s="11"/>
      <c r="P22" s="12" t="str">
        <f t="shared" si="0"/>
        <v/>
      </c>
      <c r="Q22" s="16" t="str">
        <f t="shared" si="1"/>
        <v/>
      </c>
      <c r="R22" s="16" t="str">
        <f t="shared" si="2"/>
        <v/>
      </c>
      <c r="S22" s="9" t="str">
        <f t="shared" si="3"/>
        <v/>
      </c>
      <c r="T22" s="8"/>
      <c r="U22" s="8"/>
      <c r="V22" s="10"/>
      <c r="W22" s="8"/>
    </row>
    <row r="23" spans="1:23">
      <c r="A23" s="8"/>
      <c r="B23" s="10"/>
      <c r="C23" s="8"/>
      <c r="D23" s="8"/>
      <c r="E23" s="8"/>
      <c r="F23" s="8"/>
      <c r="G23" s="8"/>
      <c r="H23" s="8"/>
      <c r="I23" s="8"/>
      <c r="J23" s="11"/>
      <c r="K23" s="11"/>
      <c r="L23" s="11"/>
      <c r="M23" s="11"/>
      <c r="N23" s="11"/>
      <c r="O23" s="11"/>
      <c r="P23" s="12" t="str">
        <f t="shared" si="0"/>
        <v/>
      </c>
      <c r="Q23" s="16" t="str">
        <f t="shared" si="1"/>
        <v/>
      </c>
      <c r="R23" s="16" t="str">
        <f t="shared" si="2"/>
        <v/>
      </c>
      <c r="S23" s="9" t="str">
        <f t="shared" si="3"/>
        <v/>
      </c>
      <c r="T23" s="8"/>
      <c r="U23" s="8"/>
      <c r="V23" s="10"/>
      <c r="W23" s="8"/>
    </row>
    <row r="24" spans="1:23">
      <c r="A24" s="8"/>
      <c r="B24" s="10"/>
      <c r="C24" s="8"/>
      <c r="D24" s="8"/>
      <c r="E24" s="8"/>
      <c r="F24" s="8"/>
      <c r="G24" s="8"/>
      <c r="H24" s="8"/>
      <c r="I24" s="8"/>
      <c r="J24" s="11"/>
      <c r="K24" s="11"/>
      <c r="L24" s="11"/>
      <c r="M24" s="11"/>
      <c r="N24" s="11"/>
      <c r="O24" s="11"/>
      <c r="P24" s="12" t="str">
        <f t="shared" si="0"/>
        <v/>
      </c>
      <c r="Q24" s="16" t="str">
        <f t="shared" si="1"/>
        <v/>
      </c>
      <c r="R24" s="16" t="str">
        <f t="shared" si="2"/>
        <v/>
      </c>
      <c r="S24" s="9" t="str">
        <f t="shared" si="3"/>
        <v/>
      </c>
      <c r="T24" s="8"/>
      <c r="U24" s="8"/>
      <c r="V24" s="10"/>
      <c r="W24" s="8"/>
    </row>
    <row r="25" spans="1:23">
      <c r="A25" s="8"/>
      <c r="B25" s="10"/>
      <c r="C25" s="8"/>
      <c r="D25" s="8"/>
      <c r="E25" s="8"/>
      <c r="F25" s="8"/>
      <c r="G25" s="8"/>
      <c r="H25" s="8"/>
      <c r="I25" s="8"/>
      <c r="J25" s="11"/>
      <c r="K25" s="11"/>
      <c r="L25" s="11"/>
      <c r="M25" s="11"/>
      <c r="N25" s="11"/>
      <c r="O25" s="11"/>
      <c r="P25" s="12" t="str">
        <f t="shared" si="0"/>
        <v/>
      </c>
      <c r="Q25" s="16" t="str">
        <f t="shared" si="1"/>
        <v/>
      </c>
      <c r="R25" s="16" t="str">
        <f t="shared" si="2"/>
        <v/>
      </c>
      <c r="S25" s="9" t="str">
        <f t="shared" si="3"/>
        <v/>
      </c>
      <c r="T25" s="8"/>
      <c r="U25" s="8"/>
      <c r="V25" s="10"/>
      <c r="W25" s="8"/>
    </row>
    <row r="26" spans="1:23">
      <c r="A26" s="8"/>
      <c r="B26" s="10"/>
      <c r="C26" s="8"/>
      <c r="D26" s="8"/>
      <c r="E26" s="8"/>
      <c r="F26" s="8"/>
      <c r="G26" s="8"/>
      <c r="H26" s="8"/>
      <c r="I26" s="8"/>
      <c r="J26" s="11"/>
      <c r="K26" s="11"/>
      <c r="L26" s="11"/>
      <c r="M26" s="11"/>
      <c r="N26" s="11"/>
      <c r="O26" s="11"/>
      <c r="P26" s="12" t="str">
        <f t="shared" si="0"/>
        <v/>
      </c>
      <c r="Q26" s="16" t="str">
        <f t="shared" si="1"/>
        <v/>
      </c>
      <c r="R26" s="16" t="str">
        <f t="shared" si="2"/>
        <v/>
      </c>
      <c r="S26" s="9" t="str">
        <f t="shared" si="3"/>
        <v/>
      </c>
      <c r="T26" s="8"/>
      <c r="U26" s="8"/>
      <c r="V26" s="10"/>
      <c r="W26" s="8"/>
    </row>
    <row r="27" spans="1:23">
      <c r="A27" s="8"/>
      <c r="B27" s="10"/>
      <c r="C27" s="8"/>
      <c r="D27" s="8"/>
      <c r="E27" s="8"/>
      <c r="F27" s="8"/>
      <c r="G27" s="8"/>
      <c r="H27" s="8"/>
      <c r="I27" s="8"/>
      <c r="J27" s="11"/>
      <c r="K27" s="11"/>
      <c r="L27" s="11"/>
      <c r="M27" s="11"/>
      <c r="N27" s="11"/>
      <c r="O27" s="11"/>
      <c r="P27" s="12" t="str">
        <f t="shared" si="0"/>
        <v/>
      </c>
      <c r="Q27" s="16" t="str">
        <f t="shared" si="1"/>
        <v/>
      </c>
      <c r="R27" s="16" t="str">
        <f t="shared" si="2"/>
        <v/>
      </c>
      <c r="S27" s="9" t="str">
        <f t="shared" si="3"/>
        <v/>
      </c>
      <c r="T27" s="8"/>
      <c r="U27" s="8"/>
      <c r="V27" s="10"/>
      <c r="W27" s="8"/>
    </row>
    <row r="28" spans="1:23">
      <c r="A28" s="8"/>
      <c r="B28" s="10"/>
      <c r="C28" s="8"/>
      <c r="D28" s="8"/>
      <c r="E28" s="8"/>
      <c r="F28" s="8"/>
      <c r="G28" s="8"/>
      <c r="H28" s="8"/>
      <c r="I28" s="8"/>
      <c r="J28" s="11"/>
      <c r="K28" s="11"/>
      <c r="L28" s="11"/>
      <c r="M28" s="11"/>
      <c r="N28" s="11"/>
      <c r="O28" s="11"/>
      <c r="P28" s="12" t="str">
        <f t="shared" si="0"/>
        <v/>
      </c>
      <c r="Q28" s="16" t="str">
        <f t="shared" si="1"/>
        <v/>
      </c>
      <c r="R28" s="16" t="str">
        <f t="shared" si="2"/>
        <v/>
      </c>
      <c r="S28" s="9" t="str">
        <f t="shared" si="3"/>
        <v/>
      </c>
      <c r="T28" s="8"/>
      <c r="U28" s="8"/>
      <c r="V28" s="10"/>
      <c r="W28" s="8"/>
    </row>
    <row r="29" spans="1:23">
      <c r="A29" s="8"/>
      <c r="B29" s="10"/>
      <c r="C29" s="8"/>
      <c r="D29" s="8"/>
      <c r="E29" s="8"/>
      <c r="F29" s="8"/>
      <c r="G29" s="8"/>
      <c r="H29" s="8"/>
      <c r="I29" s="8"/>
      <c r="J29" s="11"/>
      <c r="K29" s="11"/>
      <c r="L29" s="11"/>
      <c r="M29" s="11"/>
      <c r="N29" s="11"/>
      <c r="O29" s="11"/>
      <c r="P29" s="12" t="str">
        <f t="shared" si="0"/>
        <v/>
      </c>
      <c r="Q29" s="16" t="str">
        <f t="shared" si="1"/>
        <v/>
      </c>
      <c r="R29" s="16" t="str">
        <f t="shared" si="2"/>
        <v/>
      </c>
      <c r="S29" s="9" t="str">
        <f t="shared" si="3"/>
        <v/>
      </c>
      <c r="T29" s="8"/>
      <c r="U29" s="8"/>
      <c r="V29" s="10"/>
      <c r="W29" s="8"/>
    </row>
    <row r="30" spans="1:23">
      <c r="A30" s="8"/>
      <c r="B30" s="10"/>
      <c r="C30" s="8"/>
      <c r="D30" s="8"/>
      <c r="E30" s="8"/>
      <c r="F30" s="8"/>
      <c r="G30" s="8"/>
      <c r="H30" s="8"/>
      <c r="I30" s="8"/>
      <c r="J30" s="11"/>
      <c r="K30" s="11"/>
      <c r="L30" s="11"/>
      <c r="M30" s="11"/>
      <c r="N30" s="11"/>
      <c r="O30" s="11"/>
      <c r="P30" s="12" t="str">
        <f t="shared" si="0"/>
        <v/>
      </c>
      <c r="Q30" s="16" t="str">
        <f t="shared" si="1"/>
        <v/>
      </c>
      <c r="R30" s="16" t="str">
        <f t="shared" si="2"/>
        <v/>
      </c>
      <c r="S30" s="9" t="str">
        <f t="shared" si="3"/>
        <v/>
      </c>
      <c r="T30" s="8"/>
      <c r="U30" s="8"/>
      <c r="V30" s="10"/>
      <c r="W30" s="8"/>
    </row>
    <row r="31" spans="1:23">
      <c r="A31" s="8"/>
      <c r="B31" s="10"/>
      <c r="C31" s="8"/>
      <c r="D31" s="8"/>
      <c r="E31" s="8"/>
      <c r="F31" s="8"/>
      <c r="G31" s="8"/>
      <c r="H31" s="8"/>
      <c r="I31" s="8"/>
      <c r="J31" s="11"/>
      <c r="K31" s="11"/>
      <c r="L31" s="11"/>
      <c r="M31" s="11"/>
      <c r="N31" s="11"/>
      <c r="O31" s="11"/>
      <c r="P31" s="12" t="str">
        <f t="shared" si="0"/>
        <v/>
      </c>
      <c r="Q31" s="16" t="str">
        <f t="shared" si="1"/>
        <v/>
      </c>
      <c r="R31" s="16" t="str">
        <f t="shared" si="2"/>
        <v/>
      </c>
      <c r="S31" s="9" t="str">
        <f t="shared" si="3"/>
        <v/>
      </c>
      <c r="T31" s="8"/>
      <c r="U31" s="8"/>
      <c r="V31" s="10"/>
      <c r="W31" s="8"/>
    </row>
    <row r="32" spans="1:23">
      <c r="A32" s="8"/>
      <c r="B32" s="10"/>
      <c r="C32" s="8"/>
      <c r="D32" s="8"/>
      <c r="E32" s="8"/>
      <c r="F32" s="8"/>
      <c r="G32" s="8"/>
      <c r="H32" s="8"/>
      <c r="I32" s="8"/>
      <c r="J32" s="11"/>
      <c r="K32" s="11"/>
      <c r="L32" s="11"/>
      <c r="M32" s="11"/>
      <c r="N32" s="11"/>
      <c r="O32" s="11"/>
      <c r="P32" s="12" t="str">
        <f t="shared" si="0"/>
        <v/>
      </c>
      <c r="Q32" s="16" t="str">
        <f t="shared" si="1"/>
        <v/>
      </c>
      <c r="R32" s="16" t="str">
        <f t="shared" si="2"/>
        <v/>
      </c>
      <c r="S32" s="9" t="str">
        <f t="shared" si="3"/>
        <v/>
      </c>
      <c r="T32" s="8"/>
      <c r="U32" s="8"/>
      <c r="V32" s="10"/>
      <c r="W32" s="8"/>
    </row>
    <row r="33" spans="1:23">
      <c r="A33" s="8"/>
      <c r="B33" s="10"/>
      <c r="C33" s="8"/>
      <c r="D33" s="8"/>
      <c r="E33" s="8"/>
      <c r="F33" s="8"/>
      <c r="G33" s="8"/>
      <c r="H33" s="8"/>
      <c r="I33" s="8"/>
      <c r="J33" s="11"/>
      <c r="K33" s="11"/>
      <c r="L33" s="11"/>
      <c r="M33" s="11"/>
      <c r="N33" s="11"/>
      <c r="O33" s="11"/>
      <c r="P33" s="12" t="str">
        <f t="shared" si="0"/>
        <v/>
      </c>
      <c r="Q33" s="16" t="str">
        <f t="shared" si="1"/>
        <v/>
      </c>
      <c r="R33" s="16" t="str">
        <f t="shared" si="2"/>
        <v/>
      </c>
      <c r="S33" s="9" t="str">
        <f t="shared" si="3"/>
        <v/>
      </c>
      <c r="T33" s="8"/>
      <c r="U33" s="8"/>
      <c r="V33" s="10"/>
      <c r="W33" s="8"/>
    </row>
    <row r="34" spans="1:23">
      <c r="A34" s="8"/>
      <c r="B34" s="10"/>
      <c r="C34" s="8"/>
      <c r="D34" s="8"/>
      <c r="E34" s="8"/>
      <c r="F34" s="8"/>
      <c r="G34" s="8"/>
      <c r="H34" s="8"/>
      <c r="I34" s="8"/>
      <c r="J34" s="11"/>
      <c r="K34" s="11"/>
      <c r="L34" s="11"/>
      <c r="M34" s="11"/>
      <c r="N34" s="11"/>
      <c r="O34" s="11"/>
      <c r="P34" s="12" t="str">
        <f t="shared" si="0"/>
        <v/>
      </c>
      <c r="Q34" s="16" t="str">
        <f t="shared" si="1"/>
        <v/>
      </c>
      <c r="R34" s="16" t="str">
        <f t="shared" si="2"/>
        <v/>
      </c>
      <c r="S34" s="9" t="str">
        <f t="shared" si="3"/>
        <v/>
      </c>
      <c r="T34" s="8"/>
      <c r="U34" s="8"/>
      <c r="V34" s="10"/>
      <c r="W34" s="8"/>
    </row>
    <row r="35" spans="1:23">
      <c r="A35" s="8"/>
      <c r="B35" s="10"/>
      <c r="C35" s="8"/>
      <c r="D35" s="8"/>
      <c r="E35" s="8"/>
      <c r="F35" s="8"/>
      <c r="G35" s="8"/>
      <c r="H35" s="8"/>
      <c r="I35" s="8"/>
      <c r="J35" s="11"/>
      <c r="K35" s="11"/>
      <c r="L35" s="11"/>
      <c r="M35" s="11"/>
      <c r="N35" s="11"/>
      <c r="O35" s="11"/>
      <c r="P35" s="12" t="str">
        <f t="shared" si="0"/>
        <v/>
      </c>
      <c r="Q35" s="16" t="str">
        <f t="shared" si="1"/>
        <v/>
      </c>
      <c r="R35" s="16" t="str">
        <f t="shared" si="2"/>
        <v/>
      </c>
      <c r="S35" s="9" t="str">
        <f t="shared" si="3"/>
        <v/>
      </c>
      <c r="T35" s="8"/>
      <c r="U35" s="8"/>
      <c r="V35" s="10"/>
      <c r="W35" s="8"/>
    </row>
    <row r="36" spans="1:23">
      <c r="A36" s="8"/>
      <c r="B36" s="10"/>
      <c r="C36" s="8"/>
      <c r="D36" s="8"/>
      <c r="E36" s="8"/>
      <c r="F36" s="8"/>
      <c r="G36" s="8"/>
      <c r="H36" s="8"/>
      <c r="I36" s="8"/>
      <c r="J36" s="11"/>
      <c r="K36" s="11"/>
      <c r="L36" s="11"/>
      <c r="M36" s="11"/>
      <c r="N36" s="11"/>
      <c r="O36" s="11"/>
      <c r="P36" s="12" t="str">
        <f t="shared" si="0"/>
        <v/>
      </c>
      <c r="Q36" s="16" t="str">
        <f t="shared" si="1"/>
        <v/>
      </c>
      <c r="R36" s="16" t="str">
        <f t="shared" si="2"/>
        <v/>
      </c>
      <c r="S36" s="9" t="str">
        <f t="shared" si="3"/>
        <v/>
      </c>
      <c r="T36" s="8"/>
      <c r="U36" s="8"/>
      <c r="V36" s="10"/>
      <c r="W36" s="8"/>
    </row>
    <row r="37" spans="1:23">
      <c r="A37" s="8"/>
      <c r="B37" s="10"/>
      <c r="C37" s="8"/>
      <c r="D37" s="8"/>
      <c r="E37" s="8"/>
      <c r="F37" s="8"/>
      <c r="G37" s="8"/>
      <c r="H37" s="8"/>
      <c r="I37" s="8"/>
      <c r="J37" s="11"/>
      <c r="K37" s="11"/>
      <c r="L37" s="11"/>
      <c r="M37" s="11"/>
      <c r="N37" s="11"/>
      <c r="O37" s="11"/>
      <c r="P37" s="12" t="str">
        <f t="shared" si="0"/>
        <v/>
      </c>
      <c r="Q37" s="16" t="str">
        <f t="shared" si="1"/>
        <v/>
      </c>
      <c r="R37" s="16" t="str">
        <f t="shared" si="2"/>
        <v/>
      </c>
      <c r="S37" s="9" t="str">
        <f t="shared" si="3"/>
        <v/>
      </c>
      <c r="T37" s="8"/>
      <c r="U37" s="8"/>
      <c r="V37" s="10"/>
      <c r="W37" s="8"/>
    </row>
    <row r="38" spans="1:23">
      <c r="A38" s="8"/>
      <c r="B38" s="10"/>
      <c r="C38" s="8"/>
      <c r="D38" s="8"/>
      <c r="E38" s="8"/>
      <c r="F38" s="8"/>
      <c r="G38" s="8"/>
      <c r="H38" s="8"/>
      <c r="I38" s="8"/>
      <c r="J38" s="11"/>
      <c r="K38" s="11"/>
      <c r="L38" s="11"/>
      <c r="M38" s="11"/>
      <c r="N38" s="11"/>
      <c r="O38" s="11"/>
      <c r="P38" s="12" t="str">
        <f t="shared" si="0"/>
        <v/>
      </c>
      <c r="Q38" s="16" t="str">
        <f t="shared" si="1"/>
        <v/>
      </c>
      <c r="R38" s="16" t="str">
        <f t="shared" si="2"/>
        <v/>
      </c>
      <c r="S38" s="9" t="str">
        <f t="shared" si="3"/>
        <v/>
      </c>
      <c r="T38" s="8"/>
      <c r="U38" s="8"/>
      <c r="V38" s="10"/>
      <c r="W38" s="8"/>
    </row>
    <row r="39" spans="1:23">
      <c r="A39" s="8"/>
      <c r="B39" s="10"/>
      <c r="C39" s="8"/>
      <c r="D39" s="8"/>
      <c r="E39" s="8"/>
      <c r="F39" s="8"/>
      <c r="G39" s="8"/>
      <c r="H39" s="8"/>
      <c r="I39" s="8"/>
      <c r="J39" s="11"/>
      <c r="K39" s="11"/>
      <c r="L39" s="11"/>
      <c r="M39" s="11"/>
      <c r="N39" s="11"/>
      <c r="O39" s="11"/>
      <c r="P39" s="12" t="str">
        <f t="shared" si="0"/>
        <v/>
      </c>
      <c r="Q39" s="16" t="str">
        <f t="shared" si="1"/>
        <v/>
      </c>
      <c r="R39" s="16" t="str">
        <f t="shared" si="2"/>
        <v/>
      </c>
      <c r="S39" s="9" t="str">
        <f t="shared" si="3"/>
        <v/>
      </c>
      <c r="T39" s="8"/>
      <c r="U39" s="8"/>
      <c r="V39" s="10"/>
      <c r="W39" s="8"/>
    </row>
    <row r="40" spans="1:23">
      <c r="A40" s="8"/>
      <c r="B40" s="10"/>
      <c r="C40" s="8"/>
      <c r="D40" s="8"/>
      <c r="E40" s="8"/>
      <c r="F40" s="8"/>
      <c r="G40" s="8"/>
      <c r="H40" s="8"/>
      <c r="I40" s="8"/>
      <c r="J40" s="11"/>
      <c r="K40" s="11"/>
      <c r="L40" s="11"/>
      <c r="M40" s="11"/>
      <c r="N40" s="11"/>
      <c r="O40" s="11"/>
      <c r="P40" s="12" t="str">
        <f t="shared" si="0"/>
        <v/>
      </c>
      <c r="Q40" s="16" t="str">
        <f t="shared" si="1"/>
        <v/>
      </c>
      <c r="R40" s="16" t="str">
        <f t="shared" si="2"/>
        <v/>
      </c>
      <c r="S40" s="9" t="str">
        <f t="shared" si="3"/>
        <v/>
      </c>
      <c r="T40" s="8"/>
      <c r="U40" s="8"/>
      <c r="V40" s="10"/>
      <c r="W40" s="8"/>
    </row>
    <row r="41" spans="1:23">
      <c r="A41" s="8"/>
      <c r="B41" s="10"/>
      <c r="C41" s="8"/>
      <c r="D41" s="8"/>
      <c r="E41" s="8"/>
      <c r="F41" s="8"/>
      <c r="G41" s="8"/>
      <c r="H41" s="8"/>
      <c r="I41" s="8"/>
      <c r="J41" s="11"/>
      <c r="K41" s="11"/>
      <c r="L41" s="11"/>
      <c r="M41" s="11"/>
      <c r="N41" s="11"/>
      <c r="O41" s="11"/>
      <c r="P41" s="12" t="str">
        <f t="shared" si="0"/>
        <v/>
      </c>
      <c r="Q41" s="16" t="str">
        <f t="shared" si="1"/>
        <v/>
      </c>
      <c r="R41" s="16" t="str">
        <f t="shared" si="2"/>
        <v/>
      </c>
      <c r="S41" s="9" t="str">
        <f t="shared" si="3"/>
        <v/>
      </c>
      <c r="T41" s="8"/>
      <c r="U41" s="8"/>
      <c r="V41" s="10"/>
      <c r="W41" s="8"/>
    </row>
    <row r="42" spans="1:23">
      <c r="A42" s="8"/>
      <c r="B42" s="10"/>
      <c r="C42" s="8"/>
      <c r="D42" s="8"/>
      <c r="E42" s="8"/>
      <c r="F42" s="8"/>
      <c r="G42" s="8"/>
      <c r="H42" s="8"/>
      <c r="I42" s="8"/>
      <c r="J42" s="11"/>
      <c r="K42" s="11"/>
      <c r="L42" s="11"/>
      <c r="M42" s="11"/>
      <c r="N42" s="11"/>
      <c r="O42" s="11"/>
      <c r="P42" s="12" t="str">
        <f t="shared" si="0"/>
        <v/>
      </c>
      <c r="Q42" s="16" t="str">
        <f t="shared" si="1"/>
        <v/>
      </c>
      <c r="R42" s="16" t="str">
        <f t="shared" si="2"/>
        <v/>
      </c>
      <c r="S42" s="9" t="str">
        <f t="shared" si="3"/>
        <v/>
      </c>
      <c r="T42" s="8"/>
      <c r="U42" s="8"/>
      <c r="V42" s="10"/>
      <c r="W42" s="8"/>
    </row>
    <row r="43" spans="1:23">
      <c r="A43" s="8"/>
      <c r="B43" s="10"/>
      <c r="C43" s="8"/>
      <c r="D43" s="8"/>
      <c r="E43" s="8"/>
      <c r="F43" s="8"/>
      <c r="G43" s="8"/>
      <c r="H43" s="8"/>
      <c r="I43" s="8"/>
      <c r="J43" s="11"/>
      <c r="K43" s="11"/>
      <c r="L43" s="11"/>
      <c r="M43" s="11"/>
      <c r="N43" s="11"/>
      <c r="O43" s="11"/>
      <c r="P43" s="12" t="str">
        <f t="shared" si="0"/>
        <v/>
      </c>
      <c r="Q43" s="16" t="str">
        <f t="shared" si="1"/>
        <v/>
      </c>
      <c r="R43" s="16" t="str">
        <f t="shared" si="2"/>
        <v/>
      </c>
      <c r="S43" s="9" t="str">
        <f t="shared" si="3"/>
        <v/>
      </c>
      <c r="T43" s="8"/>
      <c r="U43" s="8"/>
      <c r="V43" s="10"/>
      <c r="W43" s="8"/>
    </row>
    <row r="44" spans="1:23">
      <c r="A44" s="8"/>
      <c r="B44" s="10"/>
      <c r="C44" s="8"/>
      <c r="D44" s="8"/>
      <c r="E44" s="8"/>
      <c r="F44" s="8"/>
      <c r="G44" s="8"/>
      <c r="H44" s="8"/>
      <c r="I44" s="8"/>
      <c r="J44" s="11"/>
      <c r="K44" s="11"/>
      <c r="L44" s="11"/>
      <c r="M44" s="11"/>
      <c r="N44" s="11"/>
      <c r="O44" s="11"/>
      <c r="P44" s="12" t="str">
        <f t="shared" si="0"/>
        <v/>
      </c>
      <c r="Q44" s="16" t="str">
        <f t="shared" si="1"/>
        <v/>
      </c>
      <c r="R44" s="16" t="str">
        <f t="shared" si="2"/>
        <v/>
      </c>
      <c r="S44" s="9" t="str">
        <f t="shared" si="3"/>
        <v/>
      </c>
      <c r="T44" s="8"/>
      <c r="U44" s="8"/>
      <c r="V44" s="10"/>
      <c r="W44" s="8"/>
    </row>
    <row r="45" spans="1:23">
      <c r="A45" s="8"/>
      <c r="B45" s="10"/>
      <c r="C45" s="8"/>
      <c r="D45" s="8"/>
      <c r="E45" s="8"/>
      <c r="F45" s="8"/>
      <c r="G45" s="8"/>
      <c r="H45" s="8"/>
      <c r="I45" s="8"/>
      <c r="J45" s="11"/>
      <c r="K45" s="11"/>
      <c r="L45" s="11"/>
      <c r="M45" s="11"/>
      <c r="N45" s="11"/>
      <c r="O45" s="11"/>
      <c r="P45" s="12" t="str">
        <f t="shared" si="0"/>
        <v/>
      </c>
      <c r="Q45" s="16" t="str">
        <f t="shared" si="1"/>
        <v/>
      </c>
      <c r="R45" s="16" t="str">
        <f t="shared" si="2"/>
        <v/>
      </c>
      <c r="S45" s="9" t="str">
        <f t="shared" si="3"/>
        <v/>
      </c>
      <c r="T45" s="8"/>
      <c r="U45" s="8"/>
      <c r="V45" s="10"/>
      <c r="W45" s="8"/>
    </row>
    <row r="46" spans="1:23">
      <c r="A46" s="8"/>
      <c r="B46" s="10"/>
      <c r="C46" s="8"/>
      <c r="D46" s="8"/>
      <c r="E46" s="8"/>
      <c r="F46" s="8"/>
      <c r="G46" s="8"/>
      <c r="H46" s="8"/>
      <c r="I46" s="8"/>
      <c r="J46" s="11"/>
      <c r="K46" s="11"/>
      <c r="L46" s="11"/>
      <c r="M46" s="11"/>
      <c r="N46" s="11"/>
      <c r="O46" s="11"/>
      <c r="P46" s="12" t="str">
        <f t="shared" si="0"/>
        <v/>
      </c>
      <c r="Q46" s="16" t="str">
        <f t="shared" si="1"/>
        <v/>
      </c>
      <c r="R46" s="16" t="str">
        <f t="shared" si="2"/>
        <v/>
      </c>
      <c r="S46" s="9" t="str">
        <f t="shared" si="3"/>
        <v/>
      </c>
      <c r="T46" s="8"/>
      <c r="U46" s="8"/>
      <c r="V46" s="10"/>
      <c r="W46" s="8"/>
    </row>
    <row r="47" spans="1:23">
      <c r="A47" s="8"/>
      <c r="B47" s="10"/>
      <c r="C47" s="8"/>
      <c r="D47" s="8"/>
      <c r="E47" s="8"/>
      <c r="F47" s="8"/>
      <c r="G47" s="8"/>
      <c r="H47" s="8"/>
      <c r="I47" s="8"/>
      <c r="J47" s="11"/>
      <c r="K47" s="11"/>
      <c r="L47" s="11"/>
      <c r="M47" s="11"/>
      <c r="N47" s="11"/>
      <c r="O47" s="11"/>
      <c r="P47" s="12" t="str">
        <f t="shared" si="0"/>
        <v/>
      </c>
      <c r="Q47" s="16" t="str">
        <f t="shared" si="1"/>
        <v/>
      </c>
      <c r="R47" s="16" t="str">
        <f t="shared" si="2"/>
        <v/>
      </c>
      <c r="S47" s="9" t="str">
        <f t="shared" si="3"/>
        <v/>
      </c>
      <c r="T47" s="8"/>
      <c r="U47" s="8"/>
      <c r="V47" s="10"/>
      <c r="W47" s="8"/>
    </row>
    <row r="48" spans="1:23">
      <c r="A48" s="8"/>
      <c r="B48" s="10"/>
      <c r="C48" s="8"/>
      <c r="D48" s="8"/>
      <c r="E48" s="8"/>
      <c r="F48" s="8"/>
      <c r="G48" s="8"/>
      <c r="H48" s="8"/>
      <c r="I48" s="8"/>
      <c r="J48" s="11"/>
      <c r="K48" s="11"/>
      <c r="L48" s="11"/>
      <c r="M48" s="11"/>
      <c r="N48" s="11"/>
      <c r="O48" s="11"/>
      <c r="P48" s="12" t="str">
        <f t="shared" si="0"/>
        <v/>
      </c>
      <c r="Q48" s="16" t="str">
        <f t="shared" si="1"/>
        <v/>
      </c>
      <c r="R48" s="16" t="str">
        <f t="shared" si="2"/>
        <v/>
      </c>
      <c r="S48" s="9" t="str">
        <f t="shared" si="3"/>
        <v/>
      </c>
      <c r="T48" s="8"/>
      <c r="U48" s="8"/>
      <c r="V48" s="10"/>
      <c r="W48" s="8"/>
    </row>
    <row r="49" spans="1:23">
      <c r="A49" s="8"/>
      <c r="B49" s="10"/>
      <c r="C49" s="8"/>
      <c r="D49" s="8"/>
      <c r="E49" s="8"/>
      <c r="F49" s="8"/>
      <c r="G49" s="8"/>
      <c r="H49" s="8"/>
      <c r="I49" s="8"/>
      <c r="J49" s="11"/>
      <c r="K49" s="11"/>
      <c r="L49" s="11"/>
      <c r="M49" s="11"/>
      <c r="N49" s="11"/>
      <c r="O49" s="11"/>
      <c r="P49" s="12" t="str">
        <f t="shared" si="0"/>
        <v/>
      </c>
      <c r="Q49" s="16" t="str">
        <f t="shared" si="1"/>
        <v/>
      </c>
      <c r="R49" s="16" t="str">
        <f t="shared" si="2"/>
        <v/>
      </c>
      <c r="S49" s="9" t="str">
        <f t="shared" si="3"/>
        <v/>
      </c>
      <c r="T49" s="8"/>
      <c r="U49" s="8"/>
      <c r="V49" s="10"/>
      <c r="W49" s="8"/>
    </row>
    <row r="50" spans="1:23">
      <c r="A50" s="8"/>
      <c r="B50" s="10"/>
      <c r="C50" s="8"/>
      <c r="D50" s="8"/>
      <c r="E50" s="8"/>
      <c r="F50" s="8"/>
      <c r="G50" s="8"/>
      <c r="H50" s="8"/>
      <c r="I50" s="8"/>
      <c r="J50" s="11"/>
      <c r="K50" s="11"/>
      <c r="L50" s="11"/>
      <c r="M50" s="11"/>
      <c r="N50" s="11"/>
      <c r="O50" s="11"/>
      <c r="P50" s="12" t="str">
        <f t="shared" si="0"/>
        <v/>
      </c>
      <c r="Q50" s="16" t="str">
        <f t="shared" si="1"/>
        <v/>
      </c>
      <c r="R50" s="16" t="str">
        <f t="shared" si="2"/>
        <v/>
      </c>
      <c r="S50" s="9" t="str">
        <f t="shared" si="3"/>
        <v/>
      </c>
      <c r="T50" s="8"/>
      <c r="U50" s="8"/>
      <c r="V50" s="10"/>
      <c r="W50" s="8"/>
    </row>
    <row r="51" spans="1:23">
      <c r="A51" s="8"/>
      <c r="B51" s="10"/>
      <c r="C51" s="8"/>
      <c r="D51" s="8"/>
      <c r="E51" s="8"/>
      <c r="F51" s="8"/>
      <c r="G51" s="8"/>
      <c r="H51" s="8"/>
      <c r="I51" s="8"/>
      <c r="J51" s="11"/>
      <c r="K51" s="11"/>
      <c r="L51" s="11"/>
      <c r="M51" s="11"/>
      <c r="N51" s="11"/>
      <c r="O51" s="11"/>
      <c r="P51" s="12" t="str">
        <f t="shared" si="0"/>
        <v/>
      </c>
      <c r="Q51" s="16" t="str">
        <f t="shared" si="1"/>
        <v/>
      </c>
      <c r="R51" s="16" t="str">
        <f t="shared" si="2"/>
        <v/>
      </c>
      <c r="S51" s="9" t="str">
        <f t="shared" si="3"/>
        <v/>
      </c>
      <c r="T51" s="8"/>
      <c r="U51" s="8"/>
      <c r="V51" s="10"/>
      <c r="W51" s="8"/>
    </row>
    <row r="52" spans="1:23">
      <c r="A52" s="8"/>
      <c r="B52" s="10"/>
      <c r="C52" s="8"/>
      <c r="D52" s="8"/>
      <c r="E52" s="8"/>
      <c r="F52" s="8"/>
      <c r="G52" s="8"/>
      <c r="H52" s="8"/>
      <c r="I52" s="8"/>
      <c r="J52" s="11"/>
      <c r="K52" s="11"/>
      <c r="L52" s="11"/>
      <c r="M52" s="11"/>
      <c r="N52" s="11"/>
      <c r="O52" s="11"/>
      <c r="P52" s="12" t="str">
        <f t="shared" si="0"/>
        <v/>
      </c>
      <c r="Q52" s="16" t="str">
        <f t="shared" si="1"/>
        <v/>
      </c>
      <c r="R52" s="16" t="str">
        <f t="shared" si="2"/>
        <v/>
      </c>
      <c r="S52" s="9" t="str">
        <f t="shared" si="3"/>
        <v/>
      </c>
      <c r="T52" s="8"/>
      <c r="U52" s="8"/>
      <c r="V52" s="10"/>
      <c r="W52" s="8"/>
    </row>
    <row r="53" spans="1:23">
      <c r="A53" s="8"/>
      <c r="B53" s="10"/>
      <c r="C53" s="8"/>
      <c r="D53" s="8"/>
      <c r="E53" s="8"/>
      <c r="F53" s="8"/>
      <c r="G53" s="8"/>
      <c r="H53" s="8"/>
      <c r="I53" s="8"/>
      <c r="J53" s="11"/>
      <c r="K53" s="11"/>
      <c r="L53" s="11"/>
      <c r="M53" s="11"/>
      <c r="N53" s="11"/>
      <c r="O53" s="11"/>
      <c r="P53" s="12" t="str">
        <f t="shared" si="0"/>
        <v/>
      </c>
      <c r="Q53" s="16" t="str">
        <f t="shared" si="1"/>
        <v/>
      </c>
      <c r="R53" s="16" t="str">
        <f t="shared" si="2"/>
        <v/>
      </c>
      <c r="S53" s="9" t="str">
        <f t="shared" si="3"/>
        <v/>
      </c>
      <c r="T53" s="8"/>
      <c r="U53" s="8"/>
      <c r="V53" s="10"/>
      <c r="W53" s="8"/>
    </row>
    <row r="54" spans="1:23">
      <c r="A54" s="8"/>
      <c r="B54" s="10"/>
      <c r="C54" s="8"/>
      <c r="D54" s="8"/>
      <c r="E54" s="8"/>
      <c r="F54" s="8"/>
      <c r="G54" s="8"/>
      <c r="H54" s="8"/>
      <c r="I54" s="8"/>
      <c r="J54" s="11"/>
      <c r="K54" s="11"/>
      <c r="L54" s="11"/>
      <c r="M54" s="11"/>
      <c r="N54" s="11"/>
      <c r="O54" s="11"/>
      <c r="P54" s="12" t="str">
        <f t="shared" si="0"/>
        <v/>
      </c>
      <c r="Q54" s="16" t="str">
        <f t="shared" si="1"/>
        <v/>
      </c>
      <c r="R54" s="16" t="str">
        <f t="shared" si="2"/>
        <v/>
      </c>
      <c r="S54" s="9" t="str">
        <f t="shared" si="3"/>
        <v/>
      </c>
      <c r="T54" s="8"/>
      <c r="U54" s="8"/>
      <c r="V54" s="10"/>
      <c r="W54" s="8"/>
    </row>
    <row r="55" spans="1:23">
      <c r="A55" s="8"/>
      <c r="B55" s="10"/>
      <c r="C55" s="8"/>
      <c r="D55" s="8"/>
      <c r="E55" s="8"/>
      <c r="F55" s="8"/>
      <c r="G55" s="8"/>
      <c r="H55" s="8"/>
      <c r="I55" s="8"/>
      <c r="J55" s="11"/>
      <c r="K55" s="11"/>
      <c r="L55" s="11"/>
      <c r="M55" s="11"/>
      <c r="N55" s="11"/>
      <c r="O55" s="11"/>
      <c r="P55" s="12" t="str">
        <f t="shared" si="0"/>
        <v/>
      </c>
      <c r="Q55" s="16" t="str">
        <f t="shared" si="1"/>
        <v/>
      </c>
      <c r="R55" s="16" t="str">
        <f t="shared" si="2"/>
        <v/>
      </c>
      <c r="S55" s="9" t="str">
        <f t="shared" si="3"/>
        <v/>
      </c>
      <c r="T55" s="8"/>
      <c r="U55" s="8"/>
      <c r="V55" s="10"/>
      <c r="W55" s="8"/>
    </row>
    <row r="56" spans="1:23">
      <c r="A56" s="8"/>
      <c r="B56" s="10"/>
      <c r="C56" s="8"/>
      <c r="D56" s="8"/>
      <c r="E56" s="8"/>
      <c r="F56" s="8"/>
      <c r="G56" s="8"/>
      <c r="H56" s="8"/>
      <c r="I56" s="8"/>
      <c r="J56" s="11"/>
      <c r="K56" s="11"/>
      <c r="L56" s="11"/>
      <c r="M56" s="11"/>
      <c r="N56" s="11"/>
      <c r="O56" s="11"/>
      <c r="P56" s="12" t="str">
        <f t="shared" si="0"/>
        <v/>
      </c>
      <c r="Q56" s="16" t="str">
        <f t="shared" si="1"/>
        <v/>
      </c>
      <c r="R56" s="16" t="str">
        <f t="shared" si="2"/>
        <v/>
      </c>
      <c r="S56" s="9" t="str">
        <f t="shared" si="3"/>
        <v/>
      </c>
      <c r="T56" s="8"/>
      <c r="U56" s="8"/>
      <c r="V56" s="10"/>
      <c r="W56" s="8"/>
    </row>
    <row r="57" spans="1:23">
      <c r="A57" s="8"/>
      <c r="B57" s="10"/>
      <c r="C57" s="8"/>
      <c r="D57" s="8"/>
      <c r="E57" s="8"/>
      <c r="F57" s="8"/>
      <c r="G57" s="8"/>
      <c r="H57" s="8"/>
      <c r="I57" s="8"/>
      <c r="J57" s="11"/>
      <c r="K57" s="11"/>
      <c r="L57" s="11"/>
      <c r="M57" s="11"/>
      <c r="N57" s="11"/>
      <c r="O57" s="11"/>
      <c r="P57" s="12" t="str">
        <f t="shared" si="0"/>
        <v/>
      </c>
      <c r="Q57" s="16" t="str">
        <f t="shared" si="1"/>
        <v/>
      </c>
      <c r="R57" s="16" t="str">
        <f t="shared" si="2"/>
        <v/>
      </c>
      <c r="S57" s="9" t="str">
        <f t="shared" si="3"/>
        <v/>
      </c>
      <c r="T57" s="8"/>
      <c r="U57" s="8"/>
      <c r="V57" s="10"/>
      <c r="W57" s="8"/>
    </row>
    <row r="58" spans="1:23">
      <c r="A58" s="8"/>
      <c r="B58" s="10"/>
      <c r="C58" s="8"/>
      <c r="D58" s="8"/>
      <c r="E58" s="8"/>
      <c r="F58" s="8"/>
      <c r="G58" s="8"/>
      <c r="H58" s="8"/>
      <c r="I58" s="8"/>
      <c r="J58" s="11"/>
      <c r="K58" s="11"/>
      <c r="L58" s="11"/>
      <c r="M58" s="11"/>
      <c r="N58" s="11"/>
      <c r="O58" s="11"/>
      <c r="P58" s="12" t="str">
        <f t="shared" si="0"/>
        <v/>
      </c>
      <c r="Q58" s="16" t="str">
        <f t="shared" si="1"/>
        <v/>
      </c>
      <c r="R58" s="16" t="str">
        <f t="shared" si="2"/>
        <v/>
      </c>
      <c r="S58" s="9" t="str">
        <f t="shared" si="3"/>
        <v/>
      </c>
      <c r="T58" s="8"/>
      <c r="U58" s="8"/>
      <c r="V58" s="10"/>
      <c r="W58" s="8"/>
    </row>
    <row r="59" spans="1:23">
      <c r="A59" s="8"/>
      <c r="B59" s="10"/>
      <c r="C59" s="8"/>
      <c r="D59" s="8"/>
      <c r="E59" s="8"/>
      <c r="F59" s="8"/>
      <c r="G59" s="8"/>
      <c r="H59" s="8"/>
      <c r="I59" s="8"/>
      <c r="J59" s="11"/>
      <c r="K59" s="11"/>
      <c r="L59" s="11"/>
      <c r="M59" s="11"/>
      <c r="N59" s="11"/>
      <c r="O59" s="11"/>
      <c r="P59" s="12" t="str">
        <f t="shared" si="0"/>
        <v/>
      </c>
      <c r="Q59" s="16" t="str">
        <f t="shared" si="1"/>
        <v/>
      </c>
      <c r="R59" s="16" t="str">
        <f t="shared" si="2"/>
        <v/>
      </c>
      <c r="S59" s="9" t="str">
        <f t="shared" si="3"/>
        <v/>
      </c>
      <c r="T59" s="8"/>
      <c r="U59" s="8"/>
      <c r="V59" s="10"/>
      <c r="W59" s="8"/>
    </row>
    <row r="60" spans="1:23">
      <c r="A60" s="8"/>
      <c r="B60" s="10"/>
      <c r="C60" s="8"/>
      <c r="D60" s="8"/>
      <c r="E60" s="8"/>
      <c r="F60" s="8"/>
      <c r="G60" s="8"/>
      <c r="H60" s="8"/>
      <c r="I60" s="8"/>
      <c r="J60" s="11"/>
      <c r="K60" s="11"/>
      <c r="L60" s="11"/>
      <c r="M60" s="11"/>
      <c r="N60" s="11"/>
      <c r="O60" s="11"/>
      <c r="P60" s="12" t="str">
        <f t="shared" si="0"/>
        <v/>
      </c>
      <c r="Q60" s="16" t="str">
        <f t="shared" si="1"/>
        <v/>
      </c>
      <c r="R60" s="16" t="str">
        <f t="shared" si="2"/>
        <v/>
      </c>
      <c r="S60" s="9" t="str">
        <f t="shared" si="3"/>
        <v/>
      </c>
      <c r="T60" s="8"/>
      <c r="U60" s="8"/>
      <c r="V60" s="10"/>
      <c r="W60" s="8"/>
    </row>
    <row r="61" spans="1:23">
      <c r="A61" s="8"/>
      <c r="B61" s="10"/>
      <c r="C61" s="8"/>
      <c r="D61" s="8"/>
      <c r="E61" s="8"/>
      <c r="F61" s="8"/>
      <c r="G61" s="8"/>
      <c r="H61" s="8"/>
      <c r="I61" s="8"/>
      <c r="J61" s="11"/>
      <c r="K61" s="11"/>
      <c r="L61" s="11"/>
      <c r="M61" s="11"/>
      <c r="N61" s="11"/>
      <c r="O61" s="11"/>
      <c r="P61" s="12" t="str">
        <f t="shared" si="0"/>
        <v/>
      </c>
      <c r="Q61" s="16" t="str">
        <f t="shared" si="1"/>
        <v/>
      </c>
      <c r="R61" s="16" t="str">
        <f t="shared" si="2"/>
        <v/>
      </c>
      <c r="S61" s="9" t="str">
        <f t="shared" si="3"/>
        <v/>
      </c>
      <c r="T61" s="8"/>
      <c r="U61" s="8"/>
      <c r="V61" s="10"/>
      <c r="W61" s="8"/>
    </row>
    <row r="62" spans="1:23">
      <c r="A62" s="8"/>
      <c r="B62" s="10"/>
      <c r="C62" s="8"/>
      <c r="D62" s="8"/>
      <c r="E62" s="8"/>
      <c r="F62" s="8"/>
      <c r="G62" s="8"/>
      <c r="H62" s="8"/>
      <c r="I62" s="8"/>
      <c r="J62" s="11"/>
      <c r="K62" s="11"/>
      <c r="L62" s="11"/>
      <c r="M62" s="11"/>
      <c r="N62" s="11"/>
      <c r="O62" s="11"/>
      <c r="P62" s="12" t="str">
        <f t="shared" si="0"/>
        <v/>
      </c>
      <c r="Q62" s="16" t="str">
        <f t="shared" si="1"/>
        <v/>
      </c>
      <c r="R62" s="16" t="str">
        <f t="shared" si="2"/>
        <v/>
      </c>
      <c r="S62" s="9" t="str">
        <f t="shared" si="3"/>
        <v/>
      </c>
      <c r="T62" s="8"/>
      <c r="U62" s="8"/>
      <c r="V62" s="10"/>
      <c r="W62" s="8"/>
    </row>
    <row r="63" spans="1:23">
      <c r="A63" s="8"/>
      <c r="B63" s="10"/>
      <c r="C63" s="8"/>
      <c r="D63" s="8"/>
      <c r="E63" s="8"/>
      <c r="F63" s="8"/>
      <c r="G63" s="8"/>
      <c r="H63" s="8"/>
      <c r="I63" s="8"/>
      <c r="J63" s="11"/>
      <c r="K63" s="11"/>
      <c r="L63" s="11"/>
      <c r="M63" s="11"/>
      <c r="N63" s="11"/>
      <c r="O63" s="11"/>
      <c r="P63" s="12" t="str">
        <f t="shared" si="0"/>
        <v/>
      </c>
      <c r="Q63" s="16" t="str">
        <f t="shared" si="1"/>
        <v/>
      </c>
      <c r="R63" s="16" t="str">
        <f t="shared" si="2"/>
        <v/>
      </c>
      <c r="S63" s="9" t="str">
        <f t="shared" si="3"/>
        <v/>
      </c>
      <c r="T63" s="8"/>
      <c r="U63" s="8"/>
      <c r="V63" s="10"/>
      <c r="W63" s="8"/>
    </row>
    <row r="64" spans="1:23">
      <c r="A64" s="8"/>
      <c r="B64" s="10"/>
      <c r="C64" s="8"/>
      <c r="D64" s="8"/>
      <c r="E64" s="8"/>
      <c r="F64" s="8"/>
      <c r="G64" s="8"/>
      <c r="H64" s="8"/>
      <c r="I64" s="8"/>
      <c r="J64" s="11"/>
      <c r="K64" s="11"/>
      <c r="L64" s="11"/>
      <c r="M64" s="11"/>
      <c r="N64" s="11"/>
      <c r="O64" s="11"/>
      <c r="P64" s="12" t="str">
        <f t="shared" si="0"/>
        <v/>
      </c>
      <c r="Q64" s="16" t="str">
        <f t="shared" si="1"/>
        <v/>
      </c>
      <c r="R64" s="16" t="str">
        <f t="shared" si="2"/>
        <v/>
      </c>
      <c r="S64" s="9" t="str">
        <f t="shared" si="3"/>
        <v/>
      </c>
      <c r="T64" s="8"/>
      <c r="U64" s="8"/>
      <c r="V64" s="10"/>
      <c r="W64" s="8"/>
    </row>
    <row r="65" spans="1:23">
      <c r="A65" s="8"/>
      <c r="B65" s="10"/>
      <c r="C65" s="8"/>
      <c r="D65" s="8"/>
      <c r="E65" s="8"/>
      <c r="F65" s="8"/>
      <c r="G65" s="8"/>
      <c r="H65" s="8"/>
      <c r="I65" s="8"/>
      <c r="J65" s="11"/>
      <c r="K65" s="11"/>
      <c r="L65" s="11"/>
      <c r="M65" s="11"/>
      <c r="N65" s="11"/>
      <c r="O65" s="11"/>
      <c r="P65" s="12" t="str">
        <f t="shared" si="0"/>
        <v/>
      </c>
      <c r="Q65" s="16" t="str">
        <f t="shared" si="1"/>
        <v/>
      </c>
      <c r="R65" s="16" t="str">
        <f t="shared" si="2"/>
        <v/>
      </c>
      <c r="S65" s="9" t="str">
        <f t="shared" si="3"/>
        <v/>
      </c>
      <c r="T65" s="8"/>
      <c r="U65" s="8"/>
      <c r="V65" s="10"/>
      <c r="W65" s="8"/>
    </row>
    <row r="66" spans="1:23">
      <c r="A66" s="8"/>
      <c r="B66" s="10"/>
      <c r="C66" s="8"/>
      <c r="D66" s="8"/>
      <c r="E66" s="8"/>
      <c r="F66" s="8"/>
      <c r="G66" s="8"/>
      <c r="H66" s="8"/>
      <c r="I66" s="8"/>
      <c r="J66" s="11"/>
      <c r="K66" s="11"/>
      <c r="L66" s="11"/>
      <c r="M66" s="11"/>
      <c r="N66" s="11"/>
      <c r="O66" s="11"/>
      <c r="P66" s="12" t="str">
        <f t="shared" si="0"/>
        <v/>
      </c>
      <c r="Q66" s="16" t="str">
        <f t="shared" si="1"/>
        <v/>
      </c>
      <c r="R66" s="16" t="str">
        <f t="shared" si="2"/>
        <v/>
      </c>
      <c r="S66" s="9" t="str">
        <f t="shared" si="3"/>
        <v/>
      </c>
      <c r="T66" s="8"/>
      <c r="U66" s="8"/>
      <c r="V66" s="10"/>
      <c r="W66" s="8"/>
    </row>
    <row r="67" spans="1:23">
      <c r="A67" s="8"/>
      <c r="B67" s="10"/>
      <c r="C67" s="8"/>
      <c r="D67" s="8"/>
      <c r="E67" s="8"/>
      <c r="F67" s="8"/>
      <c r="G67" s="8"/>
      <c r="H67" s="8"/>
      <c r="I67" s="8"/>
      <c r="J67" s="11"/>
      <c r="K67" s="11"/>
      <c r="L67" s="11"/>
      <c r="M67" s="11"/>
      <c r="N67" s="11"/>
      <c r="O67" s="11"/>
      <c r="P67" s="12" t="str">
        <f t="shared" si="0"/>
        <v/>
      </c>
      <c r="Q67" s="16" t="str">
        <f t="shared" si="1"/>
        <v/>
      </c>
      <c r="R67" s="16" t="str">
        <f t="shared" si="2"/>
        <v/>
      </c>
      <c r="S67" s="9" t="str">
        <f t="shared" si="3"/>
        <v/>
      </c>
      <c r="T67" s="8"/>
      <c r="U67" s="8"/>
      <c r="V67" s="10"/>
      <c r="W67" s="8"/>
    </row>
    <row r="68" spans="1:23">
      <c r="A68" s="8"/>
      <c r="B68" s="10"/>
      <c r="C68" s="8"/>
      <c r="D68" s="8"/>
      <c r="E68" s="8"/>
      <c r="F68" s="8"/>
      <c r="G68" s="8"/>
      <c r="H68" s="8"/>
      <c r="I68" s="8"/>
      <c r="J68" s="11"/>
      <c r="K68" s="11"/>
      <c r="L68" s="11"/>
      <c r="M68" s="11"/>
      <c r="N68" s="11"/>
      <c r="O68" s="11"/>
      <c r="P68" s="12" t="str">
        <f t="shared" si="0"/>
        <v/>
      </c>
      <c r="Q68" s="16" t="str">
        <f t="shared" si="1"/>
        <v/>
      </c>
      <c r="R68" s="16" t="str">
        <f t="shared" si="2"/>
        <v/>
      </c>
      <c r="S68" s="9" t="str">
        <f t="shared" si="3"/>
        <v/>
      </c>
      <c r="T68" s="8"/>
      <c r="U68" s="8"/>
      <c r="V68" s="10"/>
      <c r="W68" s="8"/>
    </row>
    <row r="69" spans="1:23">
      <c r="A69" s="8"/>
      <c r="B69" s="10"/>
      <c r="C69" s="8"/>
      <c r="D69" s="8"/>
      <c r="E69" s="8"/>
      <c r="F69" s="8"/>
      <c r="G69" s="8"/>
      <c r="H69" s="8"/>
      <c r="I69" s="8"/>
      <c r="J69" s="11"/>
      <c r="K69" s="11"/>
      <c r="L69" s="11"/>
      <c r="M69" s="11"/>
      <c r="N69" s="11"/>
      <c r="O69" s="11"/>
      <c r="P69" s="12" t="str">
        <f t="shared" ref="P69:P132" si="4">IF(A69="","",SUM(K69:O69))</f>
        <v/>
      </c>
      <c r="Q69" s="16" t="str">
        <f t="shared" ref="Q69:Q132" si="5">IF(OR(A69="",J69=0),"",P69/J69)</f>
        <v/>
      </c>
      <c r="R69" s="16" t="str">
        <f t="shared" ref="R69:R132" si="6">IF(A69="","",0.02)</f>
        <v/>
      </c>
      <c r="S69" s="9" t="str">
        <f t="shared" ref="S69:S132" si="7">IF(A69="","",IF(Q69&lt;=R69,"Passed","Failed"))</f>
        <v/>
      </c>
      <c r="T69" s="8"/>
      <c r="U69" s="8"/>
      <c r="V69" s="10"/>
      <c r="W69" s="8"/>
    </row>
    <row r="70" spans="1:23">
      <c r="A70" s="8"/>
      <c r="B70" s="10"/>
      <c r="C70" s="8"/>
      <c r="D70" s="8"/>
      <c r="E70" s="8"/>
      <c r="F70" s="8"/>
      <c r="G70" s="8"/>
      <c r="H70" s="8"/>
      <c r="I70" s="8"/>
      <c r="J70" s="11"/>
      <c r="K70" s="11"/>
      <c r="L70" s="11"/>
      <c r="M70" s="11"/>
      <c r="N70" s="11"/>
      <c r="O70" s="11"/>
      <c r="P70" s="12" t="str">
        <f t="shared" si="4"/>
        <v/>
      </c>
      <c r="Q70" s="16" t="str">
        <f t="shared" si="5"/>
        <v/>
      </c>
      <c r="R70" s="16" t="str">
        <f t="shared" si="6"/>
        <v/>
      </c>
      <c r="S70" s="9" t="str">
        <f t="shared" si="7"/>
        <v/>
      </c>
      <c r="T70" s="8"/>
      <c r="U70" s="8"/>
      <c r="V70" s="10"/>
      <c r="W70" s="8"/>
    </row>
    <row r="71" spans="1:23">
      <c r="A71" s="8"/>
      <c r="B71" s="10"/>
      <c r="C71" s="8"/>
      <c r="D71" s="8"/>
      <c r="E71" s="8"/>
      <c r="F71" s="8"/>
      <c r="G71" s="8"/>
      <c r="H71" s="8"/>
      <c r="I71" s="8"/>
      <c r="J71" s="11"/>
      <c r="K71" s="11"/>
      <c r="L71" s="11"/>
      <c r="M71" s="11"/>
      <c r="N71" s="11"/>
      <c r="O71" s="11"/>
      <c r="P71" s="12" t="str">
        <f t="shared" si="4"/>
        <v/>
      </c>
      <c r="Q71" s="16" t="str">
        <f t="shared" si="5"/>
        <v/>
      </c>
      <c r="R71" s="16" t="str">
        <f t="shared" si="6"/>
        <v/>
      </c>
      <c r="S71" s="9" t="str">
        <f t="shared" si="7"/>
        <v/>
      </c>
      <c r="T71" s="8"/>
      <c r="U71" s="8"/>
      <c r="V71" s="10"/>
      <c r="W71" s="8"/>
    </row>
    <row r="72" spans="1:23">
      <c r="A72" s="8"/>
      <c r="B72" s="10"/>
      <c r="C72" s="8"/>
      <c r="D72" s="8"/>
      <c r="E72" s="8"/>
      <c r="F72" s="8"/>
      <c r="G72" s="8"/>
      <c r="H72" s="8"/>
      <c r="I72" s="8"/>
      <c r="J72" s="11"/>
      <c r="K72" s="11"/>
      <c r="L72" s="11"/>
      <c r="M72" s="11"/>
      <c r="N72" s="11"/>
      <c r="O72" s="11"/>
      <c r="P72" s="12" t="str">
        <f t="shared" si="4"/>
        <v/>
      </c>
      <c r="Q72" s="16" t="str">
        <f t="shared" si="5"/>
        <v/>
      </c>
      <c r="R72" s="16" t="str">
        <f t="shared" si="6"/>
        <v/>
      </c>
      <c r="S72" s="9" t="str">
        <f t="shared" si="7"/>
        <v/>
      </c>
      <c r="T72" s="8"/>
      <c r="U72" s="8"/>
      <c r="V72" s="10"/>
      <c r="W72" s="8"/>
    </row>
    <row r="73" spans="1:23">
      <c r="A73" s="8"/>
      <c r="B73" s="10"/>
      <c r="C73" s="8"/>
      <c r="D73" s="8"/>
      <c r="E73" s="8"/>
      <c r="F73" s="8"/>
      <c r="G73" s="8"/>
      <c r="H73" s="8"/>
      <c r="I73" s="8"/>
      <c r="J73" s="11"/>
      <c r="K73" s="11"/>
      <c r="L73" s="11"/>
      <c r="M73" s="11"/>
      <c r="N73" s="11"/>
      <c r="O73" s="11"/>
      <c r="P73" s="12" t="str">
        <f t="shared" si="4"/>
        <v/>
      </c>
      <c r="Q73" s="16" t="str">
        <f t="shared" si="5"/>
        <v/>
      </c>
      <c r="R73" s="16" t="str">
        <f t="shared" si="6"/>
        <v/>
      </c>
      <c r="S73" s="9" t="str">
        <f t="shared" si="7"/>
        <v/>
      </c>
      <c r="T73" s="8"/>
      <c r="U73" s="8"/>
      <c r="V73" s="10"/>
      <c r="W73" s="8"/>
    </row>
    <row r="74" spans="1:23">
      <c r="A74" s="8"/>
      <c r="B74" s="10"/>
      <c r="C74" s="8"/>
      <c r="D74" s="8"/>
      <c r="E74" s="8"/>
      <c r="F74" s="8"/>
      <c r="G74" s="8"/>
      <c r="H74" s="8"/>
      <c r="I74" s="8"/>
      <c r="J74" s="11"/>
      <c r="K74" s="11"/>
      <c r="L74" s="11"/>
      <c r="M74" s="11"/>
      <c r="N74" s="11"/>
      <c r="O74" s="11"/>
      <c r="P74" s="12" t="str">
        <f t="shared" si="4"/>
        <v/>
      </c>
      <c r="Q74" s="16" t="str">
        <f t="shared" si="5"/>
        <v/>
      </c>
      <c r="R74" s="16" t="str">
        <f t="shared" si="6"/>
        <v/>
      </c>
      <c r="S74" s="9" t="str">
        <f t="shared" si="7"/>
        <v/>
      </c>
      <c r="T74" s="8"/>
      <c r="U74" s="8"/>
      <c r="V74" s="10"/>
      <c r="W74" s="8"/>
    </row>
    <row r="75" spans="1:23">
      <c r="A75" s="8"/>
      <c r="B75" s="10"/>
      <c r="C75" s="8"/>
      <c r="D75" s="8"/>
      <c r="E75" s="8"/>
      <c r="F75" s="8"/>
      <c r="G75" s="8"/>
      <c r="H75" s="8"/>
      <c r="I75" s="8"/>
      <c r="J75" s="11"/>
      <c r="K75" s="11"/>
      <c r="L75" s="11"/>
      <c r="M75" s="11"/>
      <c r="N75" s="11"/>
      <c r="O75" s="11"/>
      <c r="P75" s="12" t="str">
        <f t="shared" si="4"/>
        <v/>
      </c>
      <c r="Q75" s="16" t="str">
        <f t="shared" si="5"/>
        <v/>
      </c>
      <c r="R75" s="16" t="str">
        <f t="shared" si="6"/>
        <v/>
      </c>
      <c r="S75" s="9" t="str">
        <f t="shared" si="7"/>
        <v/>
      </c>
      <c r="T75" s="8"/>
      <c r="U75" s="8"/>
      <c r="V75" s="10"/>
      <c r="W75" s="8"/>
    </row>
    <row r="76" spans="1:23">
      <c r="A76" s="8"/>
      <c r="B76" s="10"/>
      <c r="C76" s="8"/>
      <c r="D76" s="8"/>
      <c r="E76" s="8"/>
      <c r="F76" s="8"/>
      <c r="G76" s="8"/>
      <c r="H76" s="8"/>
      <c r="I76" s="8"/>
      <c r="J76" s="11"/>
      <c r="K76" s="11"/>
      <c r="L76" s="11"/>
      <c r="M76" s="11"/>
      <c r="N76" s="11"/>
      <c r="O76" s="11"/>
      <c r="P76" s="12" t="str">
        <f t="shared" si="4"/>
        <v/>
      </c>
      <c r="Q76" s="16" t="str">
        <f t="shared" si="5"/>
        <v/>
      </c>
      <c r="R76" s="16" t="str">
        <f t="shared" si="6"/>
        <v/>
      </c>
      <c r="S76" s="9" t="str">
        <f t="shared" si="7"/>
        <v/>
      </c>
      <c r="T76" s="8"/>
      <c r="U76" s="8"/>
      <c r="V76" s="10"/>
      <c r="W76" s="8"/>
    </row>
    <row r="77" spans="1:23">
      <c r="A77" s="8"/>
      <c r="B77" s="10"/>
      <c r="C77" s="8"/>
      <c r="D77" s="8"/>
      <c r="E77" s="8"/>
      <c r="F77" s="8"/>
      <c r="G77" s="8"/>
      <c r="H77" s="8"/>
      <c r="I77" s="8"/>
      <c r="J77" s="11"/>
      <c r="K77" s="11"/>
      <c r="L77" s="11"/>
      <c r="M77" s="11"/>
      <c r="N77" s="11"/>
      <c r="O77" s="11"/>
      <c r="P77" s="12" t="str">
        <f t="shared" si="4"/>
        <v/>
      </c>
      <c r="Q77" s="16" t="str">
        <f t="shared" si="5"/>
        <v/>
      </c>
      <c r="R77" s="16" t="str">
        <f t="shared" si="6"/>
        <v/>
      </c>
      <c r="S77" s="9" t="str">
        <f t="shared" si="7"/>
        <v/>
      </c>
      <c r="T77" s="8"/>
      <c r="U77" s="8"/>
      <c r="V77" s="10"/>
      <c r="W77" s="8"/>
    </row>
    <row r="78" spans="1:23">
      <c r="A78" s="8"/>
      <c r="B78" s="10"/>
      <c r="C78" s="8"/>
      <c r="D78" s="8"/>
      <c r="E78" s="8"/>
      <c r="F78" s="8"/>
      <c r="G78" s="8"/>
      <c r="H78" s="8"/>
      <c r="I78" s="8"/>
      <c r="J78" s="11"/>
      <c r="K78" s="11"/>
      <c r="L78" s="11"/>
      <c r="M78" s="11"/>
      <c r="N78" s="11"/>
      <c r="O78" s="11"/>
      <c r="P78" s="12" t="str">
        <f t="shared" si="4"/>
        <v/>
      </c>
      <c r="Q78" s="16" t="str">
        <f t="shared" si="5"/>
        <v/>
      </c>
      <c r="R78" s="16" t="str">
        <f t="shared" si="6"/>
        <v/>
      </c>
      <c r="S78" s="9" t="str">
        <f t="shared" si="7"/>
        <v/>
      </c>
      <c r="T78" s="8"/>
      <c r="U78" s="8"/>
      <c r="V78" s="10"/>
      <c r="W78" s="8"/>
    </row>
    <row r="79" spans="1:23">
      <c r="A79" s="8"/>
      <c r="B79" s="10"/>
      <c r="C79" s="8"/>
      <c r="D79" s="8"/>
      <c r="E79" s="8"/>
      <c r="F79" s="8"/>
      <c r="G79" s="8"/>
      <c r="H79" s="8"/>
      <c r="I79" s="8"/>
      <c r="J79" s="11"/>
      <c r="K79" s="11"/>
      <c r="L79" s="11"/>
      <c r="M79" s="11"/>
      <c r="N79" s="11"/>
      <c r="O79" s="11"/>
      <c r="P79" s="12" t="str">
        <f t="shared" si="4"/>
        <v/>
      </c>
      <c r="Q79" s="16" t="str">
        <f t="shared" si="5"/>
        <v/>
      </c>
      <c r="R79" s="16" t="str">
        <f t="shared" si="6"/>
        <v/>
      </c>
      <c r="S79" s="9" t="str">
        <f t="shared" si="7"/>
        <v/>
      </c>
      <c r="T79" s="8"/>
      <c r="U79" s="8"/>
      <c r="V79" s="10"/>
      <c r="W79" s="8"/>
    </row>
    <row r="80" spans="1:23">
      <c r="A80" s="8"/>
      <c r="B80" s="10"/>
      <c r="C80" s="8"/>
      <c r="D80" s="8"/>
      <c r="E80" s="8"/>
      <c r="F80" s="8"/>
      <c r="G80" s="8"/>
      <c r="H80" s="8"/>
      <c r="I80" s="8"/>
      <c r="J80" s="11"/>
      <c r="K80" s="11"/>
      <c r="L80" s="11"/>
      <c r="M80" s="11"/>
      <c r="N80" s="11"/>
      <c r="O80" s="11"/>
      <c r="P80" s="12" t="str">
        <f t="shared" si="4"/>
        <v/>
      </c>
      <c r="Q80" s="16" t="str">
        <f t="shared" si="5"/>
        <v/>
      </c>
      <c r="R80" s="16" t="str">
        <f t="shared" si="6"/>
        <v/>
      </c>
      <c r="S80" s="9" t="str">
        <f t="shared" si="7"/>
        <v/>
      </c>
      <c r="T80" s="8"/>
      <c r="U80" s="8"/>
      <c r="V80" s="10"/>
      <c r="W80" s="8"/>
    </row>
    <row r="81" spans="1:23">
      <c r="A81" s="8"/>
      <c r="B81" s="10"/>
      <c r="C81" s="8"/>
      <c r="D81" s="8"/>
      <c r="E81" s="8"/>
      <c r="F81" s="8"/>
      <c r="G81" s="8"/>
      <c r="H81" s="8"/>
      <c r="I81" s="8"/>
      <c r="J81" s="11"/>
      <c r="K81" s="11"/>
      <c r="L81" s="11"/>
      <c r="M81" s="11"/>
      <c r="N81" s="11"/>
      <c r="O81" s="11"/>
      <c r="P81" s="12" t="str">
        <f t="shared" si="4"/>
        <v/>
      </c>
      <c r="Q81" s="16" t="str">
        <f t="shared" si="5"/>
        <v/>
      </c>
      <c r="R81" s="16" t="str">
        <f t="shared" si="6"/>
        <v/>
      </c>
      <c r="S81" s="9" t="str">
        <f t="shared" si="7"/>
        <v/>
      </c>
      <c r="T81" s="8"/>
      <c r="U81" s="8"/>
      <c r="V81" s="10"/>
      <c r="W81" s="8"/>
    </row>
    <row r="82" spans="1:23">
      <c r="A82" s="8"/>
      <c r="B82" s="10"/>
      <c r="C82" s="8"/>
      <c r="D82" s="8"/>
      <c r="E82" s="8"/>
      <c r="F82" s="8"/>
      <c r="G82" s="8"/>
      <c r="H82" s="8"/>
      <c r="I82" s="8"/>
      <c r="J82" s="11"/>
      <c r="K82" s="11"/>
      <c r="L82" s="11"/>
      <c r="M82" s="11"/>
      <c r="N82" s="11"/>
      <c r="O82" s="11"/>
      <c r="P82" s="12" t="str">
        <f t="shared" si="4"/>
        <v/>
      </c>
      <c r="Q82" s="16" t="str">
        <f t="shared" si="5"/>
        <v/>
      </c>
      <c r="R82" s="16" t="str">
        <f t="shared" si="6"/>
        <v/>
      </c>
      <c r="S82" s="9" t="str">
        <f t="shared" si="7"/>
        <v/>
      </c>
      <c r="T82" s="8"/>
      <c r="U82" s="8"/>
      <c r="V82" s="10"/>
      <c r="W82" s="8"/>
    </row>
    <row r="83" spans="1:23">
      <c r="A83" s="8"/>
      <c r="B83" s="10"/>
      <c r="C83" s="8"/>
      <c r="D83" s="8"/>
      <c r="E83" s="8"/>
      <c r="F83" s="8"/>
      <c r="G83" s="8"/>
      <c r="H83" s="8"/>
      <c r="I83" s="8"/>
      <c r="J83" s="11"/>
      <c r="K83" s="11"/>
      <c r="L83" s="11"/>
      <c r="M83" s="11"/>
      <c r="N83" s="11"/>
      <c r="O83" s="11"/>
      <c r="P83" s="12" t="str">
        <f t="shared" si="4"/>
        <v/>
      </c>
      <c r="Q83" s="16" t="str">
        <f t="shared" si="5"/>
        <v/>
      </c>
      <c r="R83" s="16" t="str">
        <f t="shared" si="6"/>
        <v/>
      </c>
      <c r="S83" s="9" t="str">
        <f t="shared" si="7"/>
        <v/>
      </c>
      <c r="T83" s="8"/>
      <c r="U83" s="8"/>
      <c r="V83" s="10"/>
      <c r="W83" s="8"/>
    </row>
    <row r="84" spans="1:23">
      <c r="A84" s="8"/>
      <c r="B84" s="10"/>
      <c r="C84" s="8"/>
      <c r="D84" s="8"/>
      <c r="E84" s="8"/>
      <c r="F84" s="8"/>
      <c r="G84" s="8"/>
      <c r="H84" s="8"/>
      <c r="I84" s="8"/>
      <c r="J84" s="11"/>
      <c r="K84" s="11"/>
      <c r="L84" s="11"/>
      <c r="M84" s="11"/>
      <c r="N84" s="11"/>
      <c r="O84" s="11"/>
      <c r="P84" s="12" t="str">
        <f t="shared" si="4"/>
        <v/>
      </c>
      <c r="Q84" s="16" t="str">
        <f t="shared" si="5"/>
        <v/>
      </c>
      <c r="R84" s="16" t="str">
        <f t="shared" si="6"/>
        <v/>
      </c>
      <c r="S84" s="9" t="str">
        <f t="shared" si="7"/>
        <v/>
      </c>
      <c r="T84" s="8"/>
      <c r="U84" s="8"/>
      <c r="V84" s="10"/>
      <c r="W84" s="8"/>
    </row>
    <row r="85" spans="1:23">
      <c r="A85" s="8"/>
      <c r="B85" s="10"/>
      <c r="C85" s="8"/>
      <c r="D85" s="8"/>
      <c r="E85" s="8"/>
      <c r="F85" s="8"/>
      <c r="G85" s="8"/>
      <c r="H85" s="8"/>
      <c r="I85" s="8"/>
      <c r="J85" s="11"/>
      <c r="K85" s="11"/>
      <c r="L85" s="11"/>
      <c r="M85" s="11"/>
      <c r="N85" s="11"/>
      <c r="O85" s="11"/>
      <c r="P85" s="12" t="str">
        <f t="shared" si="4"/>
        <v/>
      </c>
      <c r="Q85" s="16" t="str">
        <f t="shared" si="5"/>
        <v/>
      </c>
      <c r="R85" s="16" t="str">
        <f t="shared" si="6"/>
        <v/>
      </c>
      <c r="S85" s="9" t="str">
        <f t="shared" si="7"/>
        <v/>
      </c>
      <c r="T85" s="8"/>
      <c r="U85" s="8"/>
      <c r="V85" s="10"/>
      <c r="W85" s="8"/>
    </row>
    <row r="86" spans="1:23">
      <c r="A86" s="8"/>
      <c r="B86" s="10"/>
      <c r="C86" s="8"/>
      <c r="D86" s="8"/>
      <c r="E86" s="8"/>
      <c r="F86" s="8"/>
      <c r="G86" s="8"/>
      <c r="H86" s="8"/>
      <c r="I86" s="8"/>
      <c r="J86" s="11"/>
      <c r="K86" s="11"/>
      <c r="L86" s="11"/>
      <c r="M86" s="11"/>
      <c r="N86" s="11"/>
      <c r="O86" s="11"/>
      <c r="P86" s="12" t="str">
        <f t="shared" si="4"/>
        <v/>
      </c>
      <c r="Q86" s="16" t="str">
        <f t="shared" si="5"/>
        <v/>
      </c>
      <c r="R86" s="16" t="str">
        <f t="shared" si="6"/>
        <v/>
      </c>
      <c r="S86" s="9" t="str">
        <f t="shared" si="7"/>
        <v/>
      </c>
      <c r="T86" s="8"/>
      <c r="U86" s="8"/>
      <c r="V86" s="10"/>
      <c r="W86" s="8"/>
    </row>
    <row r="87" spans="1:23">
      <c r="A87" s="8"/>
      <c r="B87" s="10"/>
      <c r="C87" s="8"/>
      <c r="D87" s="8"/>
      <c r="E87" s="8"/>
      <c r="F87" s="8"/>
      <c r="G87" s="8"/>
      <c r="H87" s="8"/>
      <c r="I87" s="8"/>
      <c r="J87" s="11"/>
      <c r="K87" s="11"/>
      <c r="L87" s="11"/>
      <c r="M87" s="11"/>
      <c r="N87" s="11"/>
      <c r="O87" s="11"/>
      <c r="P87" s="12" t="str">
        <f t="shared" si="4"/>
        <v/>
      </c>
      <c r="Q87" s="16" t="str">
        <f t="shared" si="5"/>
        <v/>
      </c>
      <c r="R87" s="16" t="str">
        <f t="shared" si="6"/>
        <v/>
      </c>
      <c r="S87" s="9" t="str">
        <f t="shared" si="7"/>
        <v/>
      </c>
      <c r="T87" s="8"/>
      <c r="U87" s="8"/>
      <c r="V87" s="10"/>
      <c r="W87" s="8"/>
    </row>
    <row r="88" spans="1:23">
      <c r="A88" s="8"/>
      <c r="B88" s="10"/>
      <c r="C88" s="8"/>
      <c r="D88" s="8"/>
      <c r="E88" s="8"/>
      <c r="F88" s="8"/>
      <c r="G88" s="8"/>
      <c r="H88" s="8"/>
      <c r="I88" s="8"/>
      <c r="J88" s="11"/>
      <c r="K88" s="11"/>
      <c r="L88" s="11"/>
      <c r="M88" s="11"/>
      <c r="N88" s="11"/>
      <c r="O88" s="11"/>
      <c r="P88" s="12" t="str">
        <f t="shared" si="4"/>
        <v/>
      </c>
      <c r="Q88" s="16" t="str">
        <f t="shared" si="5"/>
        <v/>
      </c>
      <c r="R88" s="16" t="str">
        <f t="shared" si="6"/>
        <v/>
      </c>
      <c r="S88" s="9" t="str">
        <f t="shared" si="7"/>
        <v/>
      </c>
      <c r="T88" s="8"/>
      <c r="U88" s="8"/>
      <c r="V88" s="10"/>
      <c r="W88" s="8"/>
    </row>
    <row r="89" spans="1:23">
      <c r="A89" s="8"/>
      <c r="B89" s="10"/>
      <c r="C89" s="8"/>
      <c r="D89" s="8"/>
      <c r="E89" s="8"/>
      <c r="F89" s="8"/>
      <c r="G89" s="8"/>
      <c r="H89" s="8"/>
      <c r="I89" s="8"/>
      <c r="J89" s="11"/>
      <c r="K89" s="11"/>
      <c r="L89" s="11"/>
      <c r="M89" s="11"/>
      <c r="N89" s="11"/>
      <c r="O89" s="11"/>
      <c r="P89" s="12" t="str">
        <f t="shared" si="4"/>
        <v/>
      </c>
      <c r="Q89" s="16" t="str">
        <f t="shared" si="5"/>
        <v/>
      </c>
      <c r="R89" s="16" t="str">
        <f t="shared" si="6"/>
        <v/>
      </c>
      <c r="S89" s="9" t="str">
        <f t="shared" si="7"/>
        <v/>
      </c>
      <c r="T89" s="8"/>
      <c r="U89" s="8"/>
      <c r="V89" s="10"/>
      <c r="W89" s="8"/>
    </row>
    <row r="90" spans="1:23">
      <c r="A90" s="8"/>
      <c r="B90" s="10"/>
      <c r="C90" s="8"/>
      <c r="D90" s="8"/>
      <c r="E90" s="8"/>
      <c r="F90" s="8"/>
      <c r="G90" s="8"/>
      <c r="H90" s="8"/>
      <c r="I90" s="8"/>
      <c r="J90" s="11"/>
      <c r="K90" s="11"/>
      <c r="L90" s="11"/>
      <c r="M90" s="11"/>
      <c r="N90" s="11"/>
      <c r="O90" s="11"/>
      <c r="P90" s="12" t="str">
        <f t="shared" si="4"/>
        <v/>
      </c>
      <c r="Q90" s="16" t="str">
        <f t="shared" si="5"/>
        <v/>
      </c>
      <c r="R90" s="16" t="str">
        <f t="shared" si="6"/>
        <v/>
      </c>
      <c r="S90" s="9" t="str">
        <f t="shared" si="7"/>
        <v/>
      </c>
      <c r="T90" s="8"/>
      <c r="U90" s="8"/>
      <c r="V90" s="10"/>
      <c r="W90" s="8"/>
    </row>
    <row r="91" spans="1:23">
      <c r="A91" s="8"/>
      <c r="B91" s="10"/>
      <c r="C91" s="8"/>
      <c r="D91" s="8"/>
      <c r="E91" s="8"/>
      <c r="F91" s="8"/>
      <c r="G91" s="8"/>
      <c r="H91" s="8"/>
      <c r="I91" s="8"/>
      <c r="J91" s="11"/>
      <c r="K91" s="11"/>
      <c r="L91" s="11"/>
      <c r="M91" s="11"/>
      <c r="N91" s="11"/>
      <c r="O91" s="11"/>
      <c r="P91" s="12" t="str">
        <f t="shared" si="4"/>
        <v/>
      </c>
      <c r="Q91" s="16" t="str">
        <f t="shared" si="5"/>
        <v/>
      </c>
      <c r="R91" s="16" t="str">
        <f t="shared" si="6"/>
        <v/>
      </c>
      <c r="S91" s="9" t="str">
        <f t="shared" si="7"/>
        <v/>
      </c>
      <c r="T91" s="8"/>
      <c r="U91" s="8"/>
      <c r="V91" s="10"/>
      <c r="W91" s="8"/>
    </row>
    <row r="92" spans="1:23">
      <c r="A92" s="8"/>
      <c r="B92" s="10"/>
      <c r="C92" s="8"/>
      <c r="D92" s="8"/>
      <c r="E92" s="8"/>
      <c r="F92" s="8"/>
      <c r="G92" s="8"/>
      <c r="H92" s="8"/>
      <c r="I92" s="8"/>
      <c r="J92" s="11"/>
      <c r="K92" s="11"/>
      <c r="L92" s="11"/>
      <c r="M92" s="11"/>
      <c r="N92" s="11"/>
      <c r="O92" s="11"/>
      <c r="P92" s="12" t="str">
        <f t="shared" si="4"/>
        <v/>
      </c>
      <c r="Q92" s="16" t="str">
        <f t="shared" si="5"/>
        <v/>
      </c>
      <c r="R92" s="16" t="str">
        <f t="shared" si="6"/>
        <v/>
      </c>
      <c r="S92" s="9" t="str">
        <f t="shared" si="7"/>
        <v/>
      </c>
      <c r="T92" s="8"/>
      <c r="U92" s="8"/>
      <c r="V92" s="10"/>
      <c r="W92" s="8"/>
    </row>
    <row r="93" spans="1:23">
      <c r="A93" s="8"/>
      <c r="B93" s="10"/>
      <c r="C93" s="8"/>
      <c r="D93" s="8"/>
      <c r="E93" s="8"/>
      <c r="F93" s="8"/>
      <c r="G93" s="8"/>
      <c r="H93" s="8"/>
      <c r="I93" s="8"/>
      <c r="J93" s="11"/>
      <c r="K93" s="11"/>
      <c r="L93" s="11"/>
      <c r="M93" s="11"/>
      <c r="N93" s="11"/>
      <c r="O93" s="11"/>
      <c r="P93" s="12" t="str">
        <f t="shared" si="4"/>
        <v/>
      </c>
      <c r="Q93" s="16" t="str">
        <f t="shared" si="5"/>
        <v/>
      </c>
      <c r="R93" s="16" t="str">
        <f t="shared" si="6"/>
        <v/>
      </c>
      <c r="S93" s="9" t="str">
        <f t="shared" si="7"/>
        <v/>
      </c>
      <c r="T93" s="8"/>
      <c r="U93" s="8"/>
      <c r="V93" s="10"/>
      <c r="W93" s="8"/>
    </row>
    <row r="94" spans="1:23">
      <c r="A94" s="8"/>
      <c r="B94" s="10"/>
      <c r="C94" s="8"/>
      <c r="D94" s="8"/>
      <c r="E94" s="8"/>
      <c r="F94" s="8"/>
      <c r="G94" s="8"/>
      <c r="H94" s="8"/>
      <c r="I94" s="8"/>
      <c r="J94" s="11"/>
      <c r="K94" s="11"/>
      <c r="L94" s="11"/>
      <c r="M94" s="11"/>
      <c r="N94" s="11"/>
      <c r="O94" s="11"/>
      <c r="P94" s="12" t="str">
        <f t="shared" si="4"/>
        <v/>
      </c>
      <c r="Q94" s="16" t="str">
        <f t="shared" si="5"/>
        <v/>
      </c>
      <c r="R94" s="16" t="str">
        <f t="shared" si="6"/>
        <v/>
      </c>
      <c r="S94" s="9" t="str">
        <f t="shared" si="7"/>
        <v/>
      </c>
      <c r="T94" s="8"/>
      <c r="U94" s="8"/>
      <c r="V94" s="10"/>
      <c r="W94" s="8"/>
    </row>
    <row r="95" spans="1:23">
      <c r="A95" s="8"/>
      <c r="B95" s="10"/>
      <c r="C95" s="8"/>
      <c r="D95" s="8"/>
      <c r="E95" s="8"/>
      <c r="F95" s="8"/>
      <c r="G95" s="8"/>
      <c r="H95" s="8"/>
      <c r="I95" s="8"/>
      <c r="J95" s="11"/>
      <c r="K95" s="11"/>
      <c r="L95" s="11"/>
      <c r="M95" s="11"/>
      <c r="N95" s="11"/>
      <c r="O95" s="11"/>
      <c r="P95" s="12" t="str">
        <f t="shared" si="4"/>
        <v/>
      </c>
      <c r="Q95" s="16" t="str">
        <f t="shared" si="5"/>
        <v/>
      </c>
      <c r="R95" s="16" t="str">
        <f t="shared" si="6"/>
        <v/>
      </c>
      <c r="S95" s="9" t="str">
        <f t="shared" si="7"/>
        <v/>
      </c>
      <c r="T95" s="8"/>
      <c r="U95" s="8"/>
      <c r="V95" s="10"/>
      <c r="W95" s="8"/>
    </row>
    <row r="96" spans="1:23">
      <c r="A96" s="8"/>
      <c r="B96" s="10"/>
      <c r="C96" s="8"/>
      <c r="D96" s="8"/>
      <c r="E96" s="8"/>
      <c r="F96" s="8"/>
      <c r="G96" s="8"/>
      <c r="H96" s="8"/>
      <c r="I96" s="8"/>
      <c r="J96" s="11"/>
      <c r="K96" s="11"/>
      <c r="L96" s="11"/>
      <c r="M96" s="11"/>
      <c r="N96" s="11"/>
      <c r="O96" s="11"/>
      <c r="P96" s="12" t="str">
        <f t="shared" si="4"/>
        <v/>
      </c>
      <c r="Q96" s="16" t="str">
        <f t="shared" si="5"/>
        <v/>
      </c>
      <c r="R96" s="16" t="str">
        <f t="shared" si="6"/>
        <v/>
      </c>
      <c r="S96" s="9" t="str">
        <f t="shared" si="7"/>
        <v/>
      </c>
      <c r="T96" s="8"/>
      <c r="U96" s="8"/>
      <c r="V96" s="10"/>
      <c r="W96" s="8"/>
    </row>
    <row r="97" spans="1:23">
      <c r="A97" s="8"/>
      <c r="B97" s="10"/>
      <c r="C97" s="8"/>
      <c r="D97" s="8"/>
      <c r="E97" s="8"/>
      <c r="F97" s="8"/>
      <c r="G97" s="8"/>
      <c r="H97" s="8"/>
      <c r="I97" s="8"/>
      <c r="J97" s="11"/>
      <c r="K97" s="11"/>
      <c r="L97" s="11"/>
      <c r="M97" s="11"/>
      <c r="N97" s="11"/>
      <c r="O97" s="11"/>
      <c r="P97" s="12" t="str">
        <f t="shared" si="4"/>
        <v/>
      </c>
      <c r="Q97" s="16" t="str">
        <f t="shared" si="5"/>
        <v/>
      </c>
      <c r="R97" s="16" t="str">
        <f t="shared" si="6"/>
        <v/>
      </c>
      <c r="S97" s="9" t="str">
        <f t="shared" si="7"/>
        <v/>
      </c>
      <c r="T97" s="8"/>
      <c r="U97" s="8"/>
      <c r="V97" s="10"/>
      <c r="W97" s="8"/>
    </row>
    <row r="98" spans="1:23">
      <c r="A98" s="8"/>
      <c r="B98" s="10"/>
      <c r="C98" s="8"/>
      <c r="D98" s="8"/>
      <c r="E98" s="8"/>
      <c r="F98" s="8"/>
      <c r="G98" s="8"/>
      <c r="H98" s="8"/>
      <c r="I98" s="8"/>
      <c r="J98" s="11"/>
      <c r="K98" s="11"/>
      <c r="L98" s="11"/>
      <c r="M98" s="11"/>
      <c r="N98" s="11"/>
      <c r="O98" s="11"/>
      <c r="P98" s="12" t="str">
        <f t="shared" si="4"/>
        <v/>
      </c>
      <c r="Q98" s="16" t="str">
        <f t="shared" si="5"/>
        <v/>
      </c>
      <c r="R98" s="16" t="str">
        <f t="shared" si="6"/>
        <v/>
      </c>
      <c r="S98" s="9" t="str">
        <f t="shared" si="7"/>
        <v/>
      </c>
      <c r="T98" s="8"/>
      <c r="U98" s="8"/>
      <c r="V98" s="10"/>
      <c r="W98" s="8"/>
    </row>
    <row r="99" spans="1:23">
      <c r="A99" s="8"/>
      <c r="B99" s="10"/>
      <c r="C99" s="8"/>
      <c r="D99" s="8"/>
      <c r="E99" s="8"/>
      <c r="F99" s="8"/>
      <c r="G99" s="8"/>
      <c r="H99" s="8"/>
      <c r="I99" s="8"/>
      <c r="J99" s="11"/>
      <c r="K99" s="11"/>
      <c r="L99" s="11"/>
      <c r="M99" s="11"/>
      <c r="N99" s="11"/>
      <c r="O99" s="11"/>
      <c r="P99" s="12" t="str">
        <f t="shared" si="4"/>
        <v/>
      </c>
      <c r="Q99" s="16" t="str">
        <f t="shared" si="5"/>
        <v/>
      </c>
      <c r="R99" s="16" t="str">
        <f t="shared" si="6"/>
        <v/>
      </c>
      <c r="S99" s="9" t="str">
        <f t="shared" si="7"/>
        <v/>
      </c>
      <c r="T99" s="8"/>
      <c r="U99" s="8"/>
      <c r="V99" s="10"/>
      <c r="W99" s="8"/>
    </row>
    <row r="100" spans="1:23">
      <c r="A100" s="8"/>
      <c r="B100" s="10"/>
      <c r="C100" s="8"/>
      <c r="D100" s="8"/>
      <c r="E100" s="8"/>
      <c r="F100" s="8"/>
      <c r="G100" s="8"/>
      <c r="H100" s="8"/>
      <c r="I100" s="8"/>
      <c r="J100" s="11"/>
      <c r="K100" s="11"/>
      <c r="L100" s="11"/>
      <c r="M100" s="11"/>
      <c r="N100" s="11"/>
      <c r="O100" s="11"/>
      <c r="P100" s="12" t="str">
        <f t="shared" si="4"/>
        <v/>
      </c>
      <c r="Q100" s="16" t="str">
        <f t="shared" si="5"/>
        <v/>
      </c>
      <c r="R100" s="16" t="str">
        <f t="shared" si="6"/>
        <v/>
      </c>
      <c r="S100" s="9" t="str">
        <f t="shared" si="7"/>
        <v/>
      </c>
      <c r="T100" s="8"/>
      <c r="U100" s="8"/>
      <c r="V100" s="10"/>
      <c r="W100" s="8"/>
    </row>
    <row r="101" spans="1:23">
      <c r="A101" s="8"/>
      <c r="B101" s="10"/>
      <c r="C101" s="8"/>
      <c r="D101" s="8"/>
      <c r="E101" s="8"/>
      <c r="F101" s="8"/>
      <c r="G101" s="8"/>
      <c r="H101" s="8"/>
      <c r="I101" s="8"/>
      <c r="J101" s="11"/>
      <c r="K101" s="11"/>
      <c r="L101" s="11"/>
      <c r="M101" s="11"/>
      <c r="N101" s="11"/>
      <c r="O101" s="11"/>
      <c r="P101" s="12" t="str">
        <f t="shared" si="4"/>
        <v/>
      </c>
      <c r="Q101" s="16" t="str">
        <f t="shared" si="5"/>
        <v/>
      </c>
      <c r="R101" s="16" t="str">
        <f t="shared" si="6"/>
        <v/>
      </c>
      <c r="S101" s="9" t="str">
        <f t="shared" si="7"/>
        <v/>
      </c>
      <c r="T101" s="8"/>
      <c r="U101" s="8"/>
      <c r="V101" s="10"/>
      <c r="W101" s="8"/>
    </row>
    <row r="102" spans="1:23">
      <c r="A102" s="8"/>
      <c r="B102" s="10"/>
      <c r="C102" s="8"/>
      <c r="D102" s="8"/>
      <c r="E102" s="8"/>
      <c r="F102" s="8"/>
      <c r="G102" s="8"/>
      <c r="H102" s="8"/>
      <c r="I102" s="8"/>
      <c r="J102" s="11"/>
      <c r="K102" s="11"/>
      <c r="L102" s="11"/>
      <c r="M102" s="11"/>
      <c r="N102" s="11"/>
      <c r="O102" s="11"/>
      <c r="P102" s="12" t="str">
        <f t="shared" si="4"/>
        <v/>
      </c>
      <c r="Q102" s="16" t="str">
        <f t="shared" si="5"/>
        <v/>
      </c>
      <c r="R102" s="16" t="str">
        <f t="shared" si="6"/>
        <v/>
      </c>
      <c r="S102" s="9" t="str">
        <f t="shared" si="7"/>
        <v/>
      </c>
      <c r="T102" s="8"/>
      <c r="U102" s="8"/>
      <c r="V102" s="10"/>
      <c r="W102" s="8"/>
    </row>
    <row r="103" spans="1:23">
      <c r="A103" s="8"/>
      <c r="B103" s="10"/>
      <c r="C103" s="8"/>
      <c r="D103" s="8"/>
      <c r="E103" s="8"/>
      <c r="F103" s="8"/>
      <c r="G103" s="8"/>
      <c r="H103" s="8"/>
      <c r="I103" s="8"/>
      <c r="J103" s="11"/>
      <c r="K103" s="11"/>
      <c r="L103" s="11"/>
      <c r="M103" s="11"/>
      <c r="N103" s="11"/>
      <c r="O103" s="11"/>
      <c r="P103" s="12" t="str">
        <f t="shared" si="4"/>
        <v/>
      </c>
      <c r="Q103" s="16" t="str">
        <f t="shared" si="5"/>
        <v/>
      </c>
      <c r="R103" s="16" t="str">
        <f t="shared" si="6"/>
        <v/>
      </c>
      <c r="S103" s="9" t="str">
        <f t="shared" si="7"/>
        <v/>
      </c>
      <c r="T103" s="8"/>
      <c r="U103" s="8"/>
      <c r="V103" s="10"/>
      <c r="W103" s="8"/>
    </row>
    <row r="104" spans="1:23">
      <c r="A104" s="8"/>
      <c r="B104" s="10"/>
      <c r="C104" s="8"/>
      <c r="D104" s="8"/>
      <c r="E104" s="8"/>
      <c r="F104" s="8"/>
      <c r="G104" s="8"/>
      <c r="H104" s="8"/>
      <c r="I104" s="8"/>
      <c r="J104" s="11"/>
      <c r="K104" s="11"/>
      <c r="L104" s="11"/>
      <c r="M104" s="11"/>
      <c r="N104" s="11"/>
      <c r="O104" s="11"/>
      <c r="P104" s="12" t="str">
        <f t="shared" si="4"/>
        <v/>
      </c>
      <c r="Q104" s="16" t="str">
        <f t="shared" si="5"/>
        <v/>
      </c>
      <c r="R104" s="16" t="str">
        <f t="shared" si="6"/>
        <v/>
      </c>
      <c r="S104" s="9" t="str">
        <f t="shared" si="7"/>
        <v/>
      </c>
      <c r="T104" s="8"/>
      <c r="U104" s="8"/>
      <c r="V104" s="10"/>
      <c r="W104" s="8"/>
    </row>
    <row r="105" spans="1:23">
      <c r="A105" s="8"/>
      <c r="B105" s="10"/>
      <c r="C105" s="8"/>
      <c r="D105" s="8"/>
      <c r="E105" s="8"/>
      <c r="F105" s="8"/>
      <c r="G105" s="8"/>
      <c r="H105" s="8"/>
      <c r="I105" s="8"/>
      <c r="J105" s="11"/>
      <c r="K105" s="11"/>
      <c r="L105" s="11"/>
      <c r="M105" s="11"/>
      <c r="N105" s="11"/>
      <c r="O105" s="11"/>
      <c r="P105" s="12" t="str">
        <f t="shared" si="4"/>
        <v/>
      </c>
      <c r="Q105" s="16" t="str">
        <f t="shared" si="5"/>
        <v/>
      </c>
      <c r="R105" s="16" t="str">
        <f t="shared" si="6"/>
        <v/>
      </c>
      <c r="S105" s="9" t="str">
        <f t="shared" si="7"/>
        <v/>
      </c>
      <c r="T105" s="8"/>
      <c r="U105" s="8"/>
      <c r="V105" s="10"/>
      <c r="W105" s="8"/>
    </row>
    <row r="106" spans="1:23">
      <c r="A106" s="8"/>
      <c r="B106" s="10"/>
      <c r="C106" s="8"/>
      <c r="D106" s="8"/>
      <c r="E106" s="8"/>
      <c r="F106" s="8"/>
      <c r="G106" s="8"/>
      <c r="H106" s="8"/>
      <c r="I106" s="8"/>
      <c r="J106" s="11"/>
      <c r="K106" s="11"/>
      <c r="L106" s="11"/>
      <c r="M106" s="11"/>
      <c r="N106" s="11"/>
      <c r="O106" s="11"/>
      <c r="P106" s="12" t="str">
        <f t="shared" si="4"/>
        <v/>
      </c>
      <c r="Q106" s="16" t="str">
        <f t="shared" si="5"/>
        <v/>
      </c>
      <c r="R106" s="16" t="str">
        <f t="shared" si="6"/>
        <v/>
      </c>
      <c r="S106" s="9" t="str">
        <f t="shared" si="7"/>
        <v/>
      </c>
      <c r="T106" s="8"/>
      <c r="U106" s="8"/>
      <c r="V106" s="10"/>
      <c r="W106" s="8"/>
    </row>
    <row r="107" spans="1:23">
      <c r="A107" s="8"/>
      <c r="B107" s="10"/>
      <c r="C107" s="8"/>
      <c r="D107" s="8"/>
      <c r="E107" s="8"/>
      <c r="F107" s="8"/>
      <c r="G107" s="8"/>
      <c r="H107" s="8"/>
      <c r="I107" s="8"/>
      <c r="J107" s="11"/>
      <c r="K107" s="11"/>
      <c r="L107" s="11"/>
      <c r="M107" s="11"/>
      <c r="N107" s="11"/>
      <c r="O107" s="11"/>
      <c r="P107" s="12" t="str">
        <f t="shared" si="4"/>
        <v/>
      </c>
      <c r="Q107" s="16" t="str">
        <f t="shared" si="5"/>
        <v/>
      </c>
      <c r="R107" s="16" t="str">
        <f t="shared" si="6"/>
        <v/>
      </c>
      <c r="S107" s="9" t="str">
        <f t="shared" si="7"/>
        <v/>
      </c>
      <c r="T107" s="8"/>
      <c r="U107" s="8"/>
      <c r="V107" s="10"/>
      <c r="W107" s="8"/>
    </row>
    <row r="108" spans="1:23">
      <c r="A108" s="8"/>
      <c r="B108" s="10"/>
      <c r="C108" s="8"/>
      <c r="D108" s="8"/>
      <c r="E108" s="8"/>
      <c r="F108" s="8"/>
      <c r="G108" s="8"/>
      <c r="H108" s="8"/>
      <c r="I108" s="8"/>
      <c r="J108" s="11"/>
      <c r="K108" s="11"/>
      <c r="L108" s="11"/>
      <c r="M108" s="11"/>
      <c r="N108" s="11"/>
      <c r="O108" s="11"/>
      <c r="P108" s="12" t="str">
        <f t="shared" si="4"/>
        <v/>
      </c>
      <c r="Q108" s="16" t="str">
        <f t="shared" si="5"/>
        <v/>
      </c>
      <c r="R108" s="16" t="str">
        <f t="shared" si="6"/>
        <v/>
      </c>
      <c r="S108" s="9" t="str">
        <f t="shared" si="7"/>
        <v/>
      </c>
      <c r="T108" s="8"/>
      <c r="U108" s="8"/>
      <c r="V108" s="10"/>
      <c r="W108" s="8"/>
    </row>
    <row r="109" spans="1:23">
      <c r="A109" s="8"/>
      <c r="B109" s="10"/>
      <c r="C109" s="8"/>
      <c r="D109" s="8"/>
      <c r="E109" s="8"/>
      <c r="F109" s="8"/>
      <c r="G109" s="8"/>
      <c r="H109" s="8"/>
      <c r="I109" s="8"/>
      <c r="J109" s="11"/>
      <c r="K109" s="11"/>
      <c r="L109" s="11"/>
      <c r="M109" s="11"/>
      <c r="N109" s="11"/>
      <c r="O109" s="11"/>
      <c r="P109" s="12" t="str">
        <f t="shared" si="4"/>
        <v/>
      </c>
      <c r="Q109" s="16" t="str">
        <f t="shared" si="5"/>
        <v/>
      </c>
      <c r="R109" s="16" t="str">
        <f t="shared" si="6"/>
        <v/>
      </c>
      <c r="S109" s="9" t="str">
        <f t="shared" si="7"/>
        <v/>
      </c>
      <c r="T109" s="8"/>
      <c r="U109" s="8"/>
      <c r="V109" s="10"/>
      <c r="W109" s="8"/>
    </row>
    <row r="110" spans="1:23">
      <c r="A110" s="8"/>
      <c r="B110" s="10"/>
      <c r="C110" s="8"/>
      <c r="D110" s="8"/>
      <c r="E110" s="8"/>
      <c r="F110" s="8"/>
      <c r="G110" s="8"/>
      <c r="H110" s="8"/>
      <c r="I110" s="8"/>
      <c r="J110" s="11"/>
      <c r="K110" s="11"/>
      <c r="L110" s="11"/>
      <c r="M110" s="11"/>
      <c r="N110" s="11"/>
      <c r="O110" s="11"/>
      <c r="P110" s="12" t="str">
        <f t="shared" si="4"/>
        <v/>
      </c>
      <c r="Q110" s="16" t="str">
        <f t="shared" si="5"/>
        <v/>
      </c>
      <c r="R110" s="16" t="str">
        <f t="shared" si="6"/>
        <v/>
      </c>
      <c r="S110" s="9" t="str">
        <f t="shared" si="7"/>
        <v/>
      </c>
      <c r="T110" s="8"/>
      <c r="U110" s="8"/>
      <c r="V110" s="10"/>
      <c r="W110" s="8"/>
    </row>
    <row r="111" spans="1:23">
      <c r="A111" s="8"/>
      <c r="B111" s="10"/>
      <c r="C111" s="8"/>
      <c r="D111" s="8"/>
      <c r="E111" s="8"/>
      <c r="F111" s="8"/>
      <c r="G111" s="8"/>
      <c r="H111" s="8"/>
      <c r="I111" s="8"/>
      <c r="J111" s="11"/>
      <c r="K111" s="11"/>
      <c r="L111" s="11"/>
      <c r="M111" s="11"/>
      <c r="N111" s="11"/>
      <c r="O111" s="11"/>
      <c r="P111" s="12" t="str">
        <f t="shared" si="4"/>
        <v/>
      </c>
      <c r="Q111" s="16" t="str">
        <f t="shared" si="5"/>
        <v/>
      </c>
      <c r="R111" s="16" t="str">
        <f t="shared" si="6"/>
        <v/>
      </c>
      <c r="S111" s="9" t="str">
        <f t="shared" si="7"/>
        <v/>
      </c>
      <c r="T111" s="8"/>
      <c r="U111" s="8"/>
      <c r="V111" s="10"/>
      <c r="W111" s="8"/>
    </row>
    <row r="112" spans="1:23">
      <c r="A112" s="8"/>
      <c r="B112" s="10"/>
      <c r="C112" s="8"/>
      <c r="D112" s="8"/>
      <c r="E112" s="8"/>
      <c r="F112" s="8"/>
      <c r="G112" s="8"/>
      <c r="H112" s="8"/>
      <c r="I112" s="8"/>
      <c r="J112" s="11"/>
      <c r="K112" s="11"/>
      <c r="L112" s="11"/>
      <c r="M112" s="11"/>
      <c r="N112" s="11"/>
      <c r="O112" s="11"/>
      <c r="P112" s="12" t="str">
        <f t="shared" si="4"/>
        <v/>
      </c>
      <c r="Q112" s="16" t="str">
        <f t="shared" si="5"/>
        <v/>
      </c>
      <c r="R112" s="16" t="str">
        <f t="shared" si="6"/>
        <v/>
      </c>
      <c r="S112" s="9" t="str">
        <f t="shared" si="7"/>
        <v/>
      </c>
      <c r="T112" s="8"/>
      <c r="U112" s="8"/>
      <c r="V112" s="10"/>
      <c r="W112" s="8"/>
    </row>
    <row r="113" spans="1:23">
      <c r="A113" s="8"/>
      <c r="B113" s="10"/>
      <c r="C113" s="8"/>
      <c r="D113" s="8"/>
      <c r="E113" s="8"/>
      <c r="F113" s="8"/>
      <c r="G113" s="8"/>
      <c r="H113" s="8"/>
      <c r="I113" s="8"/>
      <c r="J113" s="11"/>
      <c r="K113" s="11"/>
      <c r="L113" s="11"/>
      <c r="M113" s="11"/>
      <c r="N113" s="11"/>
      <c r="O113" s="11"/>
      <c r="P113" s="12" t="str">
        <f t="shared" si="4"/>
        <v/>
      </c>
      <c r="Q113" s="16" t="str">
        <f t="shared" si="5"/>
        <v/>
      </c>
      <c r="R113" s="16" t="str">
        <f t="shared" si="6"/>
        <v/>
      </c>
      <c r="S113" s="9" t="str">
        <f t="shared" si="7"/>
        <v/>
      </c>
      <c r="T113" s="8"/>
      <c r="U113" s="8"/>
      <c r="V113" s="10"/>
      <c r="W113" s="8"/>
    </row>
    <row r="114" spans="1:23">
      <c r="A114" s="8"/>
      <c r="B114" s="10"/>
      <c r="C114" s="8"/>
      <c r="D114" s="8"/>
      <c r="E114" s="8"/>
      <c r="F114" s="8"/>
      <c r="G114" s="8"/>
      <c r="H114" s="8"/>
      <c r="I114" s="8"/>
      <c r="J114" s="11"/>
      <c r="K114" s="11"/>
      <c r="L114" s="11"/>
      <c r="M114" s="11"/>
      <c r="N114" s="11"/>
      <c r="O114" s="11"/>
      <c r="P114" s="12" t="str">
        <f t="shared" si="4"/>
        <v/>
      </c>
      <c r="Q114" s="16" t="str">
        <f t="shared" si="5"/>
        <v/>
      </c>
      <c r="R114" s="16" t="str">
        <f t="shared" si="6"/>
        <v/>
      </c>
      <c r="S114" s="9" t="str">
        <f t="shared" si="7"/>
        <v/>
      </c>
      <c r="T114" s="8"/>
      <c r="U114" s="8"/>
      <c r="V114" s="10"/>
      <c r="W114" s="8"/>
    </row>
    <row r="115" spans="1:23">
      <c r="A115" s="8"/>
      <c r="B115" s="10"/>
      <c r="C115" s="8"/>
      <c r="D115" s="8"/>
      <c r="E115" s="8"/>
      <c r="F115" s="8"/>
      <c r="G115" s="8"/>
      <c r="H115" s="8"/>
      <c r="I115" s="8"/>
      <c r="J115" s="11"/>
      <c r="K115" s="11"/>
      <c r="L115" s="11"/>
      <c r="M115" s="11"/>
      <c r="N115" s="11"/>
      <c r="O115" s="11"/>
      <c r="P115" s="12" t="str">
        <f t="shared" si="4"/>
        <v/>
      </c>
      <c r="Q115" s="16" t="str">
        <f t="shared" si="5"/>
        <v/>
      </c>
      <c r="R115" s="16" t="str">
        <f t="shared" si="6"/>
        <v/>
      </c>
      <c r="S115" s="9" t="str">
        <f t="shared" si="7"/>
        <v/>
      </c>
      <c r="T115" s="8"/>
      <c r="U115" s="8"/>
      <c r="V115" s="10"/>
      <c r="W115" s="8"/>
    </row>
    <row r="116" spans="1:23">
      <c r="A116" s="8"/>
      <c r="B116" s="10"/>
      <c r="C116" s="8"/>
      <c r="D116" s="8"/>
      <c r="E116" s="8"/>
      <c r="F116" s="8"/>
      <c r="G116" s="8"/>
      <c r="H116" s="8"/>
      <c r="I116" s="8"/>
      <c r="J116" s="11"/>
      <c r="K116" s="11"/>
      <c r="L116" s="11"/>
      <c r="M116" s="11"/>
      <c r="N116" s="11"/>
      <c r="O116" s="11"/>
      <c r="P116" s="12" t="str">
        <f t="shared" si="4"/>
        <v/>
      </c>
      <c r="Q116" s="16" t="str">
        <f t="shared" si="5"/>
        <v/>
      </c>
      <c r="R116" s="16" t="str">
        <f t="shared" si="6"/>
        <v/>
      </c>
      <c r="S116" s="9" t="str">
        <f t="shared" si="7"/>
        <v/>
      </c>
      <c r="T116" s="8"/>
      <c r="U116" s="8"/>
      <c r="V116" s="10"/>
      <c r="W116" s="8"/>
    </row>
    <row r="117" spans="1:23">
      <c r="A117" s="8"/>
      <c r="B117" s="10"/>
      <c r="C117" s="8"/>
      <c r="D117" s="8"/>
      <c r="E117" s="8"/>
      <c r="F117" s="8"/>
      <c r="G117" s="8"/>
      <c r="H117" s="8"/>
      <c r="I117" s="8"/>
      <c r="J117" s="11"/>
      <c r="K117" s="11"/>
      <c r="L117" s="11"/>
      <c r="M117" s="11"/>
      <c r="N117" s="11"/>
      <c r="O117" s="11"/>
      <c r="P117" s="12" t="str">
        <f t="shared" si="4"/>
        <v/>
      </c>
      <c r="Q117" s="16" t="str">
        <f t="shared" si="5"/>
        <v/>
      </c>
      <c r="R117" s="16" t="str">
        <f t="shared" si="6"/>
        <v/>
      </c>
      <c r="S117" s="9" t="str">
        <f t="shared" si="7"/>
        <v/>
      </c>
      <c r="T117" s="8"/>
      <c r="U117" s="8"/>
      <c r="V117" s="10"/>
      <c r="W117" s="8"/>
    </row>
    <row r="118" spans="1:23">
      <c r="A118" s="8"/>
      <c r="B118" s="10"/>
      <c r="C118" s="8"/>
      <c r="D118" s="8"/>
      <c r="E118" s="8"/>
      <c r="F118" s="8"/>
      <c r="G118" s="8"/>
      <c r="H118" s="8"/>
      <c r="I118" s="8"/>
      <c r="J118" s="11"/>
      <c r="K118" s="11"/>
      <c r="L118" s="11"/>
      <c r="M118" s="11"/>
      <c r="N118" s="11"/>
      <c r="O118" s="11"/>
      <c r="P118" s="12" t="str">
        <f t="shared" si="4"/>
        <v/>
      </c>
      <c r="Q118" s="16" t="str">
        <f t="shared" si="5"/>
        <v/>
      </c>
      <c r="R118" s="16" t="str">
        <f t="shared" si="6"/>
        <v/>
      </c>
      <c r="S118" s="9" t="str">
        <f t="shared" si="7"/>
        <v/>
      </c>
      <c r="T118" s="8"/>
      <c r="U118" s="8"/>
      <c r="V118" s="10"/>
      <c r="W118" s="8"/>
    </row>
    <row r="119" spans="1:23">
      <c r="A119" s="8"/>
      <c r="B119" s="10"/>
      <c r="C119" s="8"/>
      <c r="D119" s="8"/>
      <c r="E119" s="8"/>
      <c r="F119" s="8"/>
      <c r="G119" s="8"/>
      <c r="H119" s="8"/>
      <c r="I119" s="8"/>
      <c r="J119" s="11"/>
      <c r="K119" s="11"/>
      <c r="L119" s="11"/>
      <c r="M119" s="11"/>
      <c r="N119" s="11"/>
      <c r="O119" s="11"/>
      <c r="P119" s="12" t="str">
        <f t="shared" si="4"/>
        <v/>
      </c>
      <c r="Q119" s="16" t="str">
        <f t="shared" si="5"/>
        <v/>
      </c>
      <c r="R119" s="16" t="str">
        <f t="shared" si="6"/>
        <v/>
      </c>
      <c r="S119" s="9" t="str">
        <f t="shared" si="7"/>
        <v/>
      </c>
      <c r="T119" s="8"/>
      <c r="U119" s="8"/>
      <c r="V119" s="10"/>
      <c r="W119" s="8"/>
    </row>
    <row r="120" spans="1:23">
      <c r="A120" s="8"/>
      <c r="B120" s="10"/>
      <c r="C120" s="8"/>
      <c r="D120" s="8"/>
      <c r="E120" s="8"/>
      <c r="F120" s="8"/>
      <c r="G120" s="8"/>
      <c r="H120" s="8"/>
      <c r="I120" s="8"/>
      <c r="J120" s="11"/>
      <c r="K120" s="11"/>
      <c r="L120" s="11"/>
      <c r="M120" s="11"/>
      <c r="N120" s="11"/>
      <c r="O120" s="11"/>
      <c r="P120" s="12" t="str">
        <f t="shared" si="4"/>
        <v/>
      </c>
      <c r="Q120" s="16" t="str">
        <f t="shared" si="5"/>
        <v/>
      </c>
      <c r="R120" s="16" t="str">
        <f t="shared" si="6"/>
        <v/>
      </c>
      <c r="S120" s="9" t="str">
        <f t="shared" si="7"/>
        <v/>
      </c>
      <c r="T120" s="8"/>
      <c r="U120" s="8"/>
      <c r="V120" s="10"/>
      <c r="W120" s="8"/>
    </row>
    <row r="121" spans="1:23">
      <c r="A121" s="8"/>
      <c r="B121" s="10"/>
      <c r="C121" s="8"/>
      <c r="D121" s="8"/>
      <c r="E121" s="8"/>
      <c r="F121" s="8"/>
      <c r="G121" s="8"/>
      <c r="H121" s="8"/>
      <c r="I121" s="8"/>
      <c r="J121" s="11"/>
      <c r="K121" s="11"/>
      <c r="L121" s="11"/>
      <c r="M121" s="11"/>
      <c r="N121" s="11"/>
      <c r="O121" s="11"/>
      <c r="P121" s="12" t="str">
        <f t="shared" si="4"/>
        <v/>
      </c>
      <c r="Q121" s="16" t="str">
        <f t="shared" si="5"/>
        <v/>
      </c>
      <c r="R121" s="16" t="str">
        <f t="shared" si="6"/>
        <v/>
      </c>
      <c r="S121" s="9" t="str">
        <f t="shared" si="7"/>
        <v/>
      </c>
      <c r="T121" s="8"/>
      <c r="U121" s="8"/>
      <c r="V121" s="10"/>
      <c r="W121" s="8"/>
    </row>
    <row r="122" spans="1:23">
      <c r="A122" s="8"/>
      <c r="B122" s="10"/>
      <c r="C122" s="8"/>
      <c r="D122" s="8"/>
      <c r="E122" s="8"/>
      <c r="F122" s="8"/>
      <c r="G122" s="8"/>
      <c r="H122" s="8"/>
      <c r="I122" s="8"/>
      <c r="J122" s="11"/>
      <c r="K122" s="11"/>
      <c r="L122" s="11"/>
      <c r="M122" s="11"/>
      <c r="N122" s="11"/>
      <c r="O122" s="11"/>
      <c r="P122" s="12" t="str">
        <f t="shared" si="4"/>
        <v/>
      </c>
      <c r="Q122" s="16" t="str">
        <f t="shared" si="5"/>
        <v/>
      </c>
      <c r="R122" s="16" t="str">
        <f t="shared" si="6"/>
        <v/>
      </c>
      <c r="S122" s="9" t="str">
        <f t="shared" si="7"/>
        <v/>
      </c>
      <c r="T122" s="8"/>
      <c r="U122" s="8"/>
      <c r="V122" s="10"/>
      <c r="W122" s="8"/>
    </row>
    <row r="123" spans="1:23">
      <c r="A123" s="8"/>
      <c r="B123" s="10"/>
      <c r="C123" s="8"/>
      <c r="D123" s="8"/>
      <c r="E123" s="8"/>
      <c r="F123" s="8"/>
      <c r="G123" s="8"/>
      <c r="H123" s="8"/>
      <c r="I123" s="8"/>
      <c r="J123" s="11"/>
      <c r="K123" s="11"/>
      <c r="L123" s="11"/>
      <c r="M123" s="11"/>
      <c r="N123" s="11"/>
      <c r="O123" s="11"/>
      <c r="P123" s="12" t="str">
        <f t="shared" si="4"/>
        <v/>
      </c>
      <c r="Q123" s="16" t="str">
        <f t="shared" si="5"/>
        <v/>
      </c>
      <c r="R123" s="16" t="str">
        <f t="shared" si="6"/>
        <v/>
      </c>
      <c r="S123" s="9" t="str">
        <f t="shared" si="7"/>
        <v/>
      </c>
      <c r="T123" s="8"/>
      <c r="U123" s="8"/>
      <c r="V123" s="10"/>
      <c r="W123" s="8"/>
    </row>
    <row r="124" spans="1:23">
      <c r="A124" s="8"/>
      <c r="B124" s="10"/>
      <c r="C124" s="8"/>
      <c r="D124" s="8"/>
      <c r="E124" s="8"/>
      <c r="F124" s="8"/>
      <c r="G124" s="8"/>
      <c r="H124" s="8"/>
      <c r="I124" s="8"/>
      <c r="J124" s="11"/>
      <c r="K124" s="11"/>
      <c r="L124" s="11"/>
      <c r="M124" s="11"/>
      <c r="N124" s="11"/>
      <c r="O124" s="11"/>
      <c r="P124" s="12" t="str">
        <f t="shared" si="4"/>
        <v/>
      </c>
      <c r="Q124" s="16" t="str">
        <f t="shared" si="5"/>
        <v/>
      </c>
      <c r="R124" s="16" t="str">
        <f t="shared" si="6"/>
        <v/>
      </c>
      <c r="S124" s="9" t="str">
        <f t="shared" si="7"/>
        <v/>
      </c>
      <c r="T124" s="8"/>
      <c r="U124" s="8"/>
      <c r="V124" s="10"/>
      <c r="W124" s="8"/>
    </row>
    <row r="125" spans="1:23">
      <c r="A125" s="8"/>
      <c r="B125" s="10"/>
      <c r="C125" s="8"/>
      <c r="D125" s="8"/>
      <c r="E125" s="8"/>
      <c r="F125" s="8"/>
      <c r="G125" s="8"/>
      <c r="H125" s="8"/>
      <c r="I125" s="8"/>
      <c r="J125" s="11"/>
      <c r="K125" s="11"/>
      <c r="L125" s="11"/>
      <c r="M125" s="11"/>
      <c r="N125" s="11"/>
      <c r="O125" s="11"/>
      <c r="P125" s="12" t="str">
        <f t="shared" si="4"/>
        <v/>
      </c>
      <c r="Q125" s="16" t="str">
        <f t="shared" si="5"/>
        <v/>
      </c>
      <c r="R125" s="16" t="str">
        <f t="shared" si="6"/>
        <v/>
      </c>
      <c r="S125" s="9" t="str">
        <f t="shared" si="7"/>
        <v/>
      </c>
      <c r="T125" s="8"/>
      <c r="U125" s="8"/>
      <c r="V125" s="10"/>
      <c r="W125" s="8"/>
    </row>
    <row r="126" spans="1:23">
      <c r="A126" s="8"/>
      <c r="B126" s="10"/>
      <c r="C126" s="8"/>
      <c r="D126" s="8"/>
      <c r="E126" s="8"/>
      <c r="F126" s="8"/>
      <c r="G126" s="8"/>
      <c r="H126" s="8"/>
      <c r="I126" s="8"/>
      <c r="J126" s="11"/>
      <c r="K126" s="11"/>
      <c r="L126" s="11"/>
      <c r="M126" s="11"/>
      <c r="N126" s="11"/>
      <c r="O126" s="11"/>
      <c r="P126" s="12" t="str">
        <f t="shared" si="4"/>
        <v/>
      </c>
      <c r="Q126" s="16" t="str">
        <f t="shared" si="5"/>
        <v/>
      </c>
      <c r="R126" s="16" t="str">
        <f t="shared" si="6"/>
        <v/>
      </c>
      <c r="S126" s="9" t="str">
        <f t="shared" si="7"/>
        <v/>
      </c>
      <c r="T126" s="8"/>
      <c r="U126" s="8"/>
      <c r="V126" s="10"/>
      <c r="W126" s="8"/>
    </row>
    <row r="127" spans="1:23">
      <c r="A127" s="8"/>
      <c r="B127" s="10"/>
      <c r="C127" s="8"/>
      <c r="D127" s="8"/>
      <c r="E127" s="8"/>
      <c r="F127" s="8"/>
      <c r="G127" s="8"/>
      <c r="H127" s="8"/>
      <c r="I127" s="8"/>
      <c r="J127" s="11"/>
      <c r="K127" s="11"/>
      <c r="L127" s="11"/>
      <c r="M127" s="11"/>
      <c r="N127" s="11"/>
      <c r="O127" s="11"/>
      <c r="P127" s="12" t="str">
        <f t="shared" si="4"/>
        <v/>
      </c>
      <c r="Q127" s="16" t="str">
        <f t="shared" si="5"/>
        <v/>
      </c>
      <c r="R127" s="16" t="str">
        <f t="shared" si="6"/>
        <v/>
      </c>
      <c r="S127" s="9" t="str">
        <f t="shared" si="7"/>
        <v/>
      </c>
      <c r="T127" s="8"/>
      <c r="U127" s="8"/>
      <c r="V127" s="10"/>
      <c r="W127" s="8"/>
    </row>
    <row r="128" spans="1:23">
      <c r="A128" s="8"/>
      <c r="B128" s="10"/>
      <c r="C128" s="8"/>
      <c r="D128" s="8"/>
      <c r="E128" s="8"/>
      <c r="F128" s="8"/>
      <c r="G128" s="8"/>
      <c r="H128" s="8"/>
      <c r="I128" s="8"/>
      <c r="J128" s="11"/>
      <c r="K128" s="11"/>
      <c r="L128" s="11"/>
      <c r="M128" s="11"/>
      <c r="N128" s="11"/>
      <c r="O128" s="11"/>
      <c r="P128" s="12" t="str">
        <f t="shared" si="4"/>
        <v/>
      </c>
      <c r="Q128" s="16" t="str">
        <f t="shared" si="5"/>
        <v/>
      </c>
      <c r="R128" s="16" t="str">
        <f t="shared" si="6"/>
        <v/>
      </c>
      <c r="S128" s="9" t="str">
        <f t="shared" si="7"/>
        <v/>
      </c>
      <c r="T128" s="8"/>
      <c r="U128" s="8"/>
      <c r="V128" s="10"/>
      <c r="W128" s="8"/>
    </row>
    <row r="129" spans="1:23">
      <c r="A129" s="8"/>
      <c r="B129" s="10"/>
      <c r="C129" s="8"/>
      <c r="D129" s="8"/>
      <c r="E129" s="8"/>
      <c r="F129" s="8"/>
      <c r="G129" s="8"/>
      <c r="H129" s="8"/>
      <c r="I129" s="8"/>
      <c r="J129" s="11"/>
      <c r="K129" s="11"/>
      <c r="L129" s="11"/>
      <c r="M129" s="11"/>
      <c r="N129" s="11"/>
      <c r="O129" s="11"/>
      <c r="P129" s="12" t="str">
        <f t="shared" si="4"/>
        <v/>
      </c>
      <c r="Q129" s="16" t="str">
        <f t="shared" si="5"/>
        <v/>
      </c>
      <c r="R129" s="16" t="str">
        <f t="shared" si="6"/>
        <v/>
      </c>
      <c r="S129" s="9" t="str">
        <f t="shared" si="7"/>
        <v/>
      </c>
      <c r="T129" s="8"/>
      <c r="U129" s="8"/>
      <c r="V129" s="10"/>
      <c r="W129" s="8"/>
    </row>
    <row r="130" spans="1:23">
      <c r="A130" s="8"/>
      <c r="B130" s="10"/>
      <c r="C130" s="8"/>
      <c r="D130" s="8"/>
      <c r="E130" s="8"/>
      <c r="F130" s="8"/>
      <c r="G130" s="8"/>
      <c r="H130" s="8"/>
      <c r="I130" s="8"/>
      <c r="J130" s="11"/>
      <c r="K130" s="11"/>
      <c r="L130" s="11"/>
      <c r="M130" s="11"/>
      <c r="N130" s="11"/>
      <c r="O130" s="11"/>
      <c r="P130" s="12" t="str">
        <f t="shared" si="4"/>
        <v/>
      </c>
      <c r="Q130" s="16" t="str">
        <f t="shared" si="5"/>
        <v/>
      </c>
      <c r="R130" s="16" t="str">
        <f t="shared" si="6"/>
        <v/>
      </c>
      <c r="S130" s="9" t="str">
        <f t="shared" si="7"/>
        <v/>
      </c>
      <c r="T130" s="8"/>
      <c r="U130" s="8"/>
      <c r="V130" s="10"/>
      <c r="W130" s="8"/>
    </row>
    <row r="131" spans="1:23">
      <c r="A131" s="8"/>
      <c r="B131" s="10"/>
      <c r="C131" s="8"/>
      <c r="D131" s="8"/>
      <c r="E131" s="8"/>
      <c r="F131" s="8"/>
      <c r="G131" s="8"/>
      <c r="H131" s="8"/>
      <c r="I131" s="8"/>
      <c r="J131" s="11"/>
      <c r="K131" s="11"/>
      <c r="L131" s="11"/>
      <c r="M131" s="11"/>
      <c r="N131" s="11"/>
      <c r="O131" s="11"/>
      <c r="P131" s="12" t="str">
        <f t="shared" si="4"/>
        <v/>
      </c>
      <c r="Q131" s="16" t="str">
        <f t="shared" si="5"/>
        <v/>
      </c>
      <c r="R131" s="16" t="str">
        <f t="shared" si="6"/>
        <v/>
      </c>
      <c r="S131" s="9" t="str">
        <f t="shared" si="7"/>
        <v/>
      </c>
      <c r="T131" s="8"/>
      <c r="U131" s="8"/>
      <c r="V131" s="10"/>
      <c r="W131" s="8"/>
    </row>
    <row r="132" spans="1:23">
      <c r="A132" s="8"/>
      <c r="B132" s="10"/>
      <c r="C132" s="8"/>
      <c r="D132" s="8"/>
      <c r="E132" s="8"/>
      <c r="F132" s="8"/>
      <c r="G132" s="8"/>
      <c r="H132" s="8"/>
      <c r="I132" s="8"/>
      <c r="J132" s="11"/>
      <c r="K132" s="11"/>
      <c r="L132" s="11"/>
      <c r="M132" s="11"/>
      <c r="N132" s="11"/>
      <c r="O132" s="11"/>
      <c r="P132" s="12" t="str">
        <f t="shared" si="4"/>
        <v/>
      </c>
      <c r="Q132" s="16" t="str">
        <f t="shared" si="5"/>
        <v/>
      </c>
      <c r="R132" s="16" t="str">
        <f t="shared" si="6"/>
        <v/>
      </c>
      <c r="S132" s="9" t="str">
        <f t="shared" si="7"/>
        <v/>
      </c>
      <c r="T132" s="8"/>
      <c r="U132" s="8"/>
      <c r="V132" s="10"/>
      <c r="W132" s="8"/>
    </row>
    <row r="133" spans="1:23">
      <c r="A133" s="8"/>
      <c r="B133" s="10"/>
      <c r="C133" s="8"/>
      <c r="D133" s="8"/>
      <c r="E133" s="8"/>
      <c r="F133" s="8"/>
      <c r="G133" s="8"/>
      <c r="H133" s="8"/>
      <c r="I133" s="8"/>
      <c r="J133" s="11"/>
      <c r="K133" s="11"/>
      <c r="L133" s="11"/>
      <c r="M133" s="11"/>
      <c r="N133" s="11"/>
      <c r="O133" s="11"/>
      <c r="P133" s="12" t="str">
        <f t="shared" ref="P133:P196" si="8">IF(A133="","",SUM(K133:O133))</f>
        <v/>
      </c>
      <c r="Q133" s="16" t="str">
        <f t="shared" ref="Q133:Q196" si="9">IF(OR(A133="",J133=0),"",P133/J133)</f>
        <v/>
      </c>
      <c r="R133" s="16" t="str">
        <f t="shared" ref="R133:R196" si="10">IF(A133="","",0.02)</f>
        <v/>
      </c>
      <c r="S133" s="9" t="str">
        <f t="shared" ref="S133:S196" si="11">IF(A133="","",IF(Q133&lt;=R133,"Passed","Failed"))</f>
        <v/>
      </c>
      <c r="T133" s="8"/>
      <c r="U133" s="8"/>
      <c r="V133" s="10"/>
      <c r="W133" s="8"/>
    </row>
    <row r="134" spans="1:23">
      <c r="A134" s="8"/>
      <c r="B134" s="10"/>
      <c r="C134" s="8"/>
      <c r="D134" s="8"/>
      <c r="E134" s="8"/>
      <c r="F134" s="8"/>
      <c r="G134" s="8"/>
      <c r="H134" s="8"/>
      <c r="I134" s="8"/>
      <c r="J134" s="11"/>
      <c r="K134" s="11"/>
      <c r="L134" s="11"/>
      <c r="M134" s="11"/>
      <c r="N134" s="11"/>
      <c r="O134" s="11"/>
      <c r="P134" s="12" t="str">
        <f t="shared" si="8"/>
        <v/>
      </c>
      <c r="Q134" s="16" t="str">
        <f t="shared" si="9"/>
        <v/>
      </c>
      <c r="R134" s="16" t="str">
        <f t="shared" si="10"/>
        <v/>
      </c>
      <c r="S134" s="9" t="str">
        <f t="shared" si="11"/>
        <v/>
      </c>
      <c r="T134" s="8"/>
      <c r="U134" s="8"/>
      <c r="V134" s="10"/>
      <c r="W134" s="8"/>
    </row>
    <row r="135" spans="1:23">
      <c r="A135" s="8"/>
      <c r="B135" s="10"/>
      <c r="C135" s="8"/>
      <c r="D135" s="8"/>
      <c r="E135" s="8"/>
      <c r="F135" s="8"/>
      <c r="G135" s="8"/>
      <c r="H135" s="8"/>
      <c r="I135" s="8"/>
      <c r="J135" s="11"/>
      <c r="K135" s="11"/>
      <c r="L135" s="11"/>
      <c r="M135" s="11"/>
      <c r="N135" s="11"/>
      <c r="O135" s="11"/>
      <c r="P135" s="12" t="str">
        <f t="shared" si="8"/>
        <v/>
      </c>
      <c r="Q135" s="16" t="str">
        <f t="shared" si="9"/>
        <v/>
      </c>
      <c r="R135" s="16" t="str">
        <f t="shared" si="10"/>
        <v/>
      </c>
      <c r="S135" s="9" t="str">
        <f t="shared" si="11"/>
        <v/>
      </c>
      <c r="T135" s="8"/>
      <c r="U135" s="8"/>
      <c r="V135" s="10"/>
      <c r="W135" s="8"/>
    </row>
    <row r="136" spans="1:23">
      <c r="A136" s="8"/>
      <c r="B136" s="10"/>
      <c r="C136" s="8"/>
      <c r="D136" s="8"/>
      <c r="E136" s="8"/>
      <c r="F136" s="8"/>
      <c r="G136" s="8"/>
      <c r="H136" s="8"/>
      <c r="I136" s="8"/>
      <c r="J136" s="11"/>
      <c r="K136" s="11"/>
      <c r="L136" s="11"/>
      <c r="M136" s="11"/>
      <c r="N136" s="11"/>
      <c r="O136" s="11"/>
      <c r="P136" s="12" t="str">
        <f t="shared" si="8"/>
        <v/>
      </c>
      <c r="Q136" s="16" t="str">
        <f t="shared" si="9"/>
        <v/>
      </c>
      <c r="R136" s="16" t="str">
        <f t="shared" si="10"/>
        <v/>
      </c>
      <c r="S136" s="9" t="str">
        <f t="shared" si="11"/>
        <v/>
      </c>
      <c r="T136" s="8"/>
      <c r="U136" s="8"/>
      <c r="V136" s="10"/>
      <c r="W136" s="8"/>
    </row>
    <row r="137" spans="1:23">
      <c r="A137" s="8"/>
      <c r="B137" s="10"/>
      <c r="C137" s="8"/>
      <c r="D137" s="8"/>
      <c r="E137" s="8"/>
      <c r="F137" s="8"/>
      <c r="G137" s="8"/>
      <c r="H137" s="8"/>
      <c r="I137" s="8"/>
      <c r="J137" s="11"/>
      <c r="K137" s="11"/>
      <c r="L137" s="11"/>
      <c r="M137" s="11"/>
      <c r="N137" s="11"/>
      <c r="O137" s="11"/>
      <c r="P137" s="12" t="str">
        <f t="shared" si="8"/>
        <v/>
      </c>
      <c r="Q137" s="16" t="str">
        <f t="shared" si="9"/>
        <v/>
      </c>
      <c r="R137" s="16" t="str">
        <f t="shared" si="10"/>
        <v/>
      </c>
      <c r="S137" s="9" t="str">
        <f t="shared" si="11"/>
        <v/>
      </c>
      <c r="T137" s="8"/>
      <c r="U137" s="8"/>
      <c r="V137" s="10"/>
      <c r="W137" s="8"/>
    </row>
    <row r="138" spans="1:23">
      <c r="A138" s="8"/>
      <c r="B138" s="10"/>
      <c r="C138" s="8"/>
      <c r="D138" s="8"/>
      <c r="E138" s="8"/>
      <c r="F138" s="8"/>
      <c r="G138" s="8"/>
      <c r="H138" s="8"/>
      <c r="I138" s="8"/>
      <c r="J138" s="11"/>
      <c r="K138" s="11"/>
      <c r="L138" s="11"/>
      <c r="M138" s="11"/>
      <c r="N138" s="11"/>
      <c r="O138" s="11"/>
      <c r="P138" s="12" t="str">
        <f t="shared" si="8"/>
        <v/>
      </c>
      <c r="Q138" s="16" t="str">
        <f t="shared" si="9"/>
        <v/>
      </c>
      <c r="R138" s="16" t="str">
        <f t="shared" si="10"/>
        <v/>
      </c>
      <c r="S138" s="9" t="str">
        <f t="shared" si="11"/>
        <v/>
      </c>
      <c r="T138" s="8"/>
      <c r="U138" s="8"/>
      <c r="V138" s="10"/>
      <c r="W138" s="8"/>
    </row>
    <row r="139" spans="1:23">
      <c r="A139" s="8"/>
      <c r="B139" s="10"/>
      <c r="C139" s="8"/>
      <c r="D139" s="8"/>
      <c r="E139" s="8"/>
      <c r="F139" s="8"/>
      <c r="G139" s="8"/>
      <c r="H139" s="8"/>
      <c r="I139" s="8"/>
      <c r="J139" s="11"/>
      <c r="K139" s="11"/>
      <c r="L139" s="11"/>
      <c r="M139" s="11"/>
      <c r="N139" s="11"/>
      <c r="O139" s="11"/>
      <c r="P139" s="12" t="str">
        <f t="shared" si="8"/>
        <v/>
      </c>
      <c r="Q139" s="16" t="str">
        <f t="shared" si="9"/>
        <v/>
      </c>
      <c r="R139" s="16" t="str">
        <f t="shared" si="10"/>
        <v/>
      </c>
      <c r="S139" s="9" t="str">
        <f t="shared" si="11"/>
        <v/>
      </c>
      <c r="T139" s="8"/>
      <c r="U139" s="8"/>
      <c r="V139" s="10"/>
      <c r="W139" s="8"/>
    </row>
    <row r="140" spans="1:23">
      <c r="A140" s="8"/>
      <c r="B140" s="10"/>
      <c r="C140" s="8"/>
      <c r="D140" s="8"/>
      <c r="E140" s="8"/>
      <c r="F140" s="8"/>
      <c r="G140" s="8"/>
      <c r="H140" s="8"/>
      <c r="I140" s="8"/>
      <c r="J140" s="11"/>
      <c r="K140" s="11"/>
      <c r="L140" s="11"/>
      <c r="M140" s="11"/>
      <c r="N140" s="11"/>
      <c r="O140" s="11"/>
      <c r="P140" s="12" t="str">
        <f t="shared" si="8"/>
        <v/>
      </c>
      <c r="Q140" s="16" t="str">
        <f t="shared" si="9"/>
        <v/>
      </c>
      <c r="R140" s="16" t="str">
        <f t="shared" si="10"/>
        <v/>
      </c>
      <c r="S140" s="9" t="str">
        <f t="shared" si="11"/>
        <v/>
      </c>
      <c r="T140" s="8"/>
      <c r="U140" s="8"/>
      <c r="V140" s="10"/>
      <c r="W140" s="8"/>
    </row>
    <row r="141" spans="1:23">
      <c r="A141" s="8"/>
      <c r="B141" s="10"/>
      <c r="C141" s="8"/>
      <c r="D141" s="8"/>
      <c r="E141" s="8"/>
      <c r="F141" s="8"/>
      <c r="G141" s="8"/>
      <c r="H141" s="8"/>
      <c r="I141" s="8"/>
      <c r="J141" s="11"/>
      <c r="K141" s="11"/>
      <c r="L141" s="11"/>
      <c r="M141" s="11"/>
      <c r="N141" s="11"/>
      <c r="O141" s="11"/>
      <c r="P141" s="12" t="str">
        <f t="shared" si="8"/>
        <v/>
      </c>
      <c r="Q141" s="16" t="str">
        <f t="shared" si="9"/>
        <v/>
      </c>
      <c r="R141" s="16" t="str">
        <f t="shared" si="10"/>
        <v/>
      </c>
      <c r="S141" s="9" t="str">
        <f t="shared" si="11"/>
        <v/>
      </c>
      <c r="T141" s="8"/>
      <c r="U141" s="8"/>
      <c r="V141" s="10"/>
      <c r="W141" s="8"/>
    </row>
    <row r="142" spans="1:23">
      <c r="A142" s="8"/>
      <c r="B142" s="10"/>
      <c r="C142" s="8"/>
      <c r="D142" s="8"/>
      <c r="E142" s="8"/>
      <c r="F142" s="8"/>
      <c r="G142" s="8"/>
      <c r="H142" s="8"/>
      <c r="I142" s="8"/>
      <c r="J142" s="11"/>
      <c r="K142" s="11"/>
      <c r="L142" s="11"/>
      <c r="M142" s="11"/>
      <c r="N142" s="11"/>
      <c r="O142" s="11"/>
      <c r="P142" s="12" t="str">
        <f t="shared" si="8"/>
        <v/>
      </c>
      <c r="Q142" s="16" t="str">
        <f t="shared" si="9"/>
        <v/>
      </c>
      <c r="R142" s="16" t="str">
        <f t="shared" si="10"/>
        <v/>
      </c>
      <c r="S142" s="9" t="str">
        <f t="shared" si="11"/>
        <v/>
      </c>
      <c r="T142" s="8"/>
      <c r="U142" s="8"/>
      <c r="V142" s="10"/>
      <c r="W142" s="8"/>
    </row>
    <row r="143" spans="1:23">
      <c r="A143" s="8"/>
      <c r="B143" s="10"/>
      <c r="C143" s="8"/>
      <c r="D143" s="8"/>
      <c r="E143" s="8"/>
      <c r="F143" s="8"/>
      <c r="G143" s="8"/>
      <c r="H143" s="8"/>
      <c r="I143" s="8"/>
      <c r="J143" s="11"/>
      <c r="K143" s="11"/>
      <c r="L143" s="11"/>
      <c r="M143" s="11"/>
      <c r="N143" s="11"/>
      <c r="O143" s="11"/>
      <c r="P143" s="12" t="str">
        <f t="shared" si="8"/>
        <v/>
      </c>
      <c r="Q143" s="16" t="str">
        <f t="shared" si="9"/>
        <v/>
      </c>
      <c r="R143" s="16" t="str">
        <f t="shared" si="10"/>
        <v/>
      </c>
      <c r="S143" s="9" t="str">
        <f t="shared" si="11"/>
        <v/>
      </c>
      <c r="T143" s="8"/>
      <c r="U143" s="8"/>
      <c r="V143" s="10"/>
      <c r="W143" s="8"/>
    </row>
    <row r="144" spans="1:23">
      <c r="A144" s="8"/>
      <c r="B144" s="10"/>
      <c r="C144" s="8"/>
      <c r="D144" s="8"/>
      <c r="E144" s="8"/>
      <c r="F144" s="8"/>
      <c r="G144" s="8"/>
      <c r="H144" s="8"/>
      <c r="I144" s="8"/>
      <c r="J144" s="11"/>
      <c r="K144" s="11"/>
      <c r="L144" s="11"/>
      <c r="M144" s="11"/>
      <c r="N144" s="11"/>
      <c r="O144" s="11"/>
      <c r="P144" s="12" t="str">
        <f t="shared" si="8"/>
        <v/>
      </c>
      <c r="Q144" s="16" t="str">
        <f t="shared" si="9"/>
        <v/>
      </c>
      <c r="R144" s="16" t="str">
        <f t="shared" si="10"/>
        <v/>
      </c>
      <c r="S144" s="9" t="str">
        <f t="shared" si="11"/>
        <v/>
      </c>
      <c r="T144" s="8"/>
      <c r="U144" s="8"/>
      <c r="V144" s="10"/>
      <c r="W144" s="8"/>
    </row>
    <row r="145" spans="1:23">
      <c r="A145" s="8"/>
      <c r="B145" s="10"/>
      <c r="C145" s="8"/>
      <c r="D145" s="8"/>
      <c r="E145" s="8"/>
      <c r="F145" s="8"/>
      <c r="G145" s="8"/>
      <c r="H145" s="8"/>
      <c r="I145" s="8"/>
      <c r="J145" s="11"/>
      <c r="K145" s="11"/>
      <c r="L145" s="11"/>
      <c r="M145" s="11"/>
      <c r="N145" s="11"/>
      <c r="O145" s="11"/>
      <c r="P145" s="12" t="str">
        <f t="shared" si="8"/>
        <v/>
      </c>
      <c r="Q145" s="16" t="str">
        <f t="shared" si="9"/>
        <v/>
      </c>
      <c r="R145" s="16" t="str">
        <f t="shared" si="10"/>
        <v/>
      </c>
      <c r="S145" s="9" t="str">
        <f t="shared" si="11"/>
        <v/>
      </c>
      <c r="T145" s="8"/>
      <c r="U145" s="8"/>
      <c r="V145" s="10"/>
      <c r="W145" s="8"/>
    </row>
    <row r="146" spans="1:23">
      <c r="A146" s="8"/>
      <c r="B146" s="10"/>
      <c r="C146" s="8"/>
      <c r="D146" s="8"/>
      <c r="E146" s="8"/>
      <c r="F146" s="8"/>
      <c r="G146" s="8"/>
      <c r="H146" s="8"/>
      <c r="I146" s="8"/>
      <c r="J146" s="11"/>
      <c r="K146" s="11"/>
      <c r="L146" s="11"/>
      <c r="M146" s="11"/>
      <c r="N146" s="11"/>
      <c r="O146" s="11"/>
      <c r="P146" s="12" t="str">
        <f t="shared" si="8"/>
        <v/>
      </c>
      <c r="Q146" s="16" t="str">
        <f t="shared" si="9"/>
        <v/>
      </c>
      <c r="R146" s="16" t="str">
        <f t="shared" si="10"/>
        <v/>
      </c>
      <c r="S146" s="9" t="str">
        <f t="shared" si="11"/>
        <v/>
      </c>
      <c r="T146" s="8"/>
      <c r="U146" s="8"/>
      <c r="V146" s="10"/>
      <c r="W146" s="8"/>
    </row>
    <row r="147" spans="1:23">
      <c r="A147" s="8"/>
      <c r="B147" s="10"/>
      <c r="C147" s="8"/>
      <c r="D147" s="8"/>
      <c r="E147" s="8"/>
      <c r="F147" s="8"/>
      <c r="G147" s="8"/>
      <c r="H147" s="8"/>
      <c r="I147" s="8"/>
      <c r="J147" s="11"/>
      <c r="K147" s="11"/>
      <c r="L147" s="11"/>
      <c r="M147" s="11"/>
      <c r="N147" s="11"/>
      <c r="O147" s="11"/>
      <c r="P147" s="12" t="str">
        <f t="shared" si="8"/>
        <v/>
      </c>
      <c r="Q147" s="16" t="str">
        <f t="shared" si="9"/>
        <v/>
      </c>
      <c r="R147" s="16" t="str">
        <f t="shared" si="10"/>
        <v/>
      </c>
      <c r="S147" s="9" t="str">
        <f t="shared" si="11"/>
        <v/>
      </c>
      <c r="T147" s="8"/>
      <c r="U147" s="8"/>
      <c r="V147" s="10"/>
      <c r="W147" s="8"/>
    </row>
    <row r="148" spans="1:23">
      <c r="A148" s="8"/>
      <c r="B148" s="10"/>
      <c r="C148" s="8"/>
      <c r="D148" s="8"/>
      <c r="E148" s="8"/>
      <c r="F148" s="8"/>
      <c r="G148" s="8"/>
      <c r="H148" s="8"/>
      <c r="I148" s="8"/>
      <c r="J148" s="11"/>
      <c r="K148" s="11"/>
      <c r="L148" s="11"/>
      <c r="M148" s="11"/>
      <c r="N148" s="11"/>
      <c r="O148" s="11"/>
      <c r="P148" s="12" t="str">
        <f t="shared" si="8"/>
        <v/>
      </c>
      <c r="Q148" s="16" t="str">
        <f t="shared" si="9"/>
        <v/>
      </c>
      <c r="R148" s="16" t="str">
        <f t="shared" si="10"/>
        <v/>
      </c>
      <c r="S148" s="9" t="str">
        <f t="shared" si="11"/>
        <v/>
      </c>
      <c r="T148" s="8"/>
      <c r="U148" s="8"/>
      <c r="V148" s="10"/>
      <c r="W148" s="8"/>
    </row>
    <row r="149" spans="1:23">
      <c r="A149" s="8"/>
      <c r="B149" s="10"/>
      <c r="C149" s="8"/>
      <c r="D149" s="8"/>
      <c r="E149" s="8"/>
      <c r="F149" s="8"/>
      <c r="G149" s="8"/>
      <c r="H149" s="8"/>
      <c r="I149" s="8"/>
      <c r="J149" s="11"/>
      <c r="K149" s="11"/>
      <c r="L149" s="11"/>
      <c r="M149" s="11"/>
      <c r="N149" s="11"/>
      <c r="O149" s="11"/>
      <c r="P149" s="12" t="str">
        <f t="shared" si="8"/>
        <v/>
      </c>
      <c r="Q149" s="16" t="str">
        <f t="shared" si="9"/>
        <v/>
      </c>
      <c r="R149" s="16" t="str">
        <f t="shared" si="10"/>
        <v/>
      </c>
      <c r="S149" s="9" t="str">
        <f t="shared" si="11"/>
        <v/>
      </c>
      <c r="T149" s="8"/>
      <c r="U149" s="8"/>
      <c r="V149" s="10"/>
      <c r="W149" s="8"/>
    </row>
    <row r="150" spans="1:23">
      <c r="A150" s="8"/>
      <c r="B150" s="10"/>
      <c r="C150" s="8"/>
      <c r="D150" s="8"/>
      <c r="E150" s="8"/>
      <c r="F150" s="8"/>
      <c r="G150" s="8"/>
      <c r="H150" s="8"/>
      <c r="I150" s="8"/>
      <c r="J150" s="11"/>
      <c r="K150" s="11"/>
      <c r="L150" s="11"/>
      <c r="M150" s="11"/>
      <c r="N150" s="11"/>
      <c r="O150" s="11"/>
      <c r="P150" s="12" t="str">
        <f t="shared" si="8"/>
        <v/>
      </c>
      <c r="Q150" s="16" t="str">
        <f t="shared" si="9"/>
        <v/>
      </c>
      <c r="R150" s="16" t="str">
        <f t="shared" si="10"/>
        <v/>
      </c>
      <c r="S150" s="9" t="str">
        <f t="shared" si="11"/>
        <v/>
      </c>
      <c r="T150" s="8"/>
      <c r="U150" s="8"/>
      <c r="V150" s="10"/>
      <c r="W150" s="8"/>
    </row>
    <row r="151" spans="1:23">
      <c r="A151" s="8"/>
      <c r="B151" s="10"/>
      <c r="C151" s="8"/>
      <c r="D151" s="8"/>
      <c r="E151" s="8"/>
      <c r="F151" s="8"/>
      <c r="G151" s="8"/>
      <c r="H151" s="8"/>
      <c r="I151" s="8"/>
      <c r="J151" s="11"/>
      <c r="K151" s="11"/>
      <c r="L151" s="11"/>
      <c r="M151" s="11"/>
      <c r="N151" s="11"/>
      <c r="O151" s="11"/>
      <c r="P151" s="12" t="str">
        <f t="shared" si="8"/>
        <v/>
      </c>
      <c r="Q151" s="16" t="str">
        <f t="shared" si="9"/>
        <v/>
      </c>
      <c r="R151" s="16" t="str">
        <f t="shared" si="10"/>
        <v/>
      </c>
      <c r="S151" s="9" t="str">
        <f t="shared" si="11"/>
        <v/>
      </c>
      <c r="T151" s="8"/>
      <c r="U151" s="8"/>
      <c r="V151" s="10"/>
      <c r="W151" s="8"/>
    </row>
    <row r="152" spans="1:23">
      <c r="A152" s="8"/>
      <c r="B152" s="10"/>
      <c r="C152" s="8"/>
      <c r="D152" s="8"/>
      <c r="E152" s="8"/>
      <c r="F152" s="8"/>
      <c r="G152" s="8"/>
      <c r="H152" s="8"/>
      <c r="I152" s="8"/>
      <c r="J152" s="11"/>
      <c r="K152" s="11"/>
      <c r="L152" s="11"/>
      <c r="M152" s="11"/>
      <c r="N152" s="11"/>
      <c r="O152" s="11"/>
      <c r="P152" s="12" t="str">
        <f t="shared" si="8"/>
        <v/>
      </c>
      <c r="Q152" s="16" t="str">
        <f t="shared" si="9"/>
        <v/>
      </c>
      <c r="R152" s="16" t="str">
        <f t="shared" si="10"/>
        <v/>
      </c>
      <c r="S152" s="9" t="str">
        <f t="shared" si="11"/>
        <v/>
      </c>
      <c r="T152" s="8"/>
      <c r="U152" s="8"/>
      <c r="V152" s="10"/>
      <c r="W152" s="8"/>
    </row>
    <row r="153" spans="1:23">
      <c r="A153" s="8"/>
      <c r="B153" s="10"/>
      <c r="C153" s="8"/>
      <c r="D153" s="8"/>
      <c r="E153" s="8"/>
      <c r="F153" s="8"/>
      <c r="G153" s="8"/>
      <c r="H153" s="8"/>
      <c r="I153" s="8"/>
      <c r="J153" s="11"/>
      <c r="K153" s="11"/>
      <c r="L153" s="11"/>
      <c r="M153" s="11"/>
      <c r="N153" s="11"/>
      <c r="O153" s="11"/>
      <c r="P153" s="12" t="str">
        <f t="shared" si="8"/>
        <v/>
      </c>
      <c r="Q153" s="16" t="str">
        <f t="shared" si="9"/>
        <v/>
      </c>
      <c r="R153" s="16" t="str">
        <f t="shared" si="10"/>
        <v/>
      </c>
      <c r="S153" s="9" t="str">
        <f t="shared" si="11"/>
        <v/>
      </c>
      <c r="T153" s="8"/>
      <c r="U153" s="8"/>
      <c r="V153" s="10"/>
      <c r="W153" s="8"/>
    </row>
    <row r="154" spans="1:23">
      <c r="A154" s="8"/>
      <c r="B154" s="10"/>
      <c r="C154" s="8"/>
      <c r="D154" s="8"/>
      <c r="E154" s="8"/>
      <c r="F154" s="8"/>
      <c r="G154" s="8"/>
      <c r="H154" s="8"/>
      <c r="I154" s="8"/>
      <c r="J154" s="11"/>
      <c r="K154" s="11"/>
      <c r="L154" s="11"/>
      <c r="M154" s="11"/>
      <c r="N154" s="11"/>
      <c r="O154" s="11"/>
      <c r="P154" s="12" t="str">
        <f t="shared" si="8"/>
        <v/>
      </c>
      <c r="Q154" s="16" t="str">
        <f t="shared" si="9"/>
        <v/>
      </c>
      <c r="R154" s="16" t="str">
        <f t="shared" si="10"/>
        <v/>
      </c>
      <c r="S154" s="9" t="str">
        <f t="shared" si="11"/>
        <v/>
      </c>
      <c r="T154" s="8"/>
      <c r="U154" s="8"/>
      <c r="V154" s="10"/>
      <c r="W154" s="8"/>
    </row>
    <row r="155" spans="1:23">
      <c r="A155" s="8"/>
      <c r="B155" s="10"/>
      <c r="C155" s="8"/>
      <c r="D155" s="8"/>
      <c r="E155" s="8"/>
      <c r="F155" s="8"/>
      <c r="G155" s="8"/>
      <c r="H155" s="8"/>
      <c r="I155" s="8"/>
      <c r="J155" s="11"/>
      <c r="K155" s="11"/>
      <c r="L155" s="11"/>
      <c r="M155" s="11"/>
      <c r="N155" s="11"/>
      <c r="O155" s="11"/>
      <c r="P155" s="12" t="str">
        <f t="shared" si="8"/>
        <v/>
      </c>
      <c r="Q155" s="16" t="str">
        <f t="shared" si="9"/>
        <v/>
      </c>
      <c r="R155" s="16" t="str">
        <f t="shared" si="10"/>
        <v/>
      </c>
      <c r="S155" s="9" t="str">
        <f t="shared" si="11"/>
        <v/>
      </c>
      <c r="T155" s="8"/>
      <c r="U155" s="8"/>
      <c r="V155" s="10"/>
      <c r="W155" s="8"/>
    </row>
    <row r="156" spans="1:23">
      <c r="A156" s="8"/>
      <c r="B156" s="10"/>
      <c r="C156" s="8"/>
      <c r="D156" s="8"/>
      <c r="E156" s="8"/>
      <c r="F156" s="8"/>
      <c r="G156" s="8"/>
      <c r="H156" s="8"/>
      <c r="I156" s="8"/>
      <c r="J156" s="11"/>
      <c r="K156" s="11"/>
      <c r="L156" s="11"/>
      <c r="M156" s="11"/>
      <c r="N156" s="11"/>
      <c r="O156" s="11"/>
      <c r="P156" s="12" t="str">
        <f t="shared" si="8"/>
        <v/>
      </c>
      <c r="Q156" s="16" t="str">
        <f t="shared" si="9"/>
        <v/>
      </c>
      <c r="R156" s="16" t="str">
        <f t="shared" si="10"/>
        <v/>
      </c>
      <c r="S156" s="9" t="str">
        <f t="shared" si="11"/>
        <v/>
      </c>
      <c r="T156" s="8"/>
      <c r="U156" s="8"/>
      <c r="V156" s="10"/>
      <c r="W156" s="8"/>
    </row>
    <row r="157" spans="1:23">
      <c r="A157" s="8"/>
      <c r="B157" s="10"/>
      <c r="C157" s="8"/>
      <c r="D157" s="8"/>
      <c r="E157" s="8"/>
      <c r="F157" s="8"/>
      <c r="G157" s="8"/>
      <c r="H157" s="8"/>
      <c r="I157" s="8"/>
      <c r="J157" s="11"/>
      <c r="K157" s="11"/>
      <c r="L157" s="11"/>
      <c r="M157" s="11"/>
      <c r="N157" s="11"/>
      <c r="O157" s="11"/>
      <c r="P157" s="12" t="str">
        <f t="shared" si="8"/>
        <v/>
      </c>
      <c r="Q157" s="16" t="str">
        <f t="shared" si="9"/>
        <v/>
      </c>
      <c r="R157" s="16" t="str">
        <f t="shared" si="10"/>
        <v/>
      </c>
      <c r="S157" s="9" t="str">
        <f t="shared" si="11"/>
        <v/>
      </c>
      <c r="T157" s="8"/>
      <c r="U157" s="8"/>
      <c r="V157" s="10"/>
      <c r="W157" s="8"/>
    </row>
    <row r="158" spans="1:23">
      <c r="A158" s="8"/>
      <c r="B158" s="10"/>
      <c r="C158" s="8"/>
      <c r="D158" s="8"/>
      <c r="E158" s="8"/>
      <c r="F158" s="8"/>
      <c r="G158" s="8"/>
      <c r="H158" s="8"/>
      <c r="I158" s="8"/>
      <c r="J158" s="11"/>
      <c r="K158" s="11"/>
      <c r="L158" s="11"/>
      <c r="M158" s="11"/>
      <c r="N158" s="11"/>
      <c r="O158" s="11"/>
      <c r="P158" s="12" t="str">
        <f t="shared" si="8"/>
        <v/>
      </c>
      <c r="Q158" s="16" t="str">
        <f t="shared" si="9"/>
        <v/>
      </c>
      <c r="R158" s="16" t="str">
        <f t="shared" si="10"/>
        <v/>
      </c>
      <c r="S158" s="9" t="str">
        <f t="shared" si="11"/>
        <v/>
      </c>
      <c r="T158" s="8"/>
      <c r="U158" s="8"/>
      <c r="V158" s="10"/>
      <c r="W158" s="8"/>
    </row>
    <row r="159" spans="1:23">
      <c r="A159" s="8"/>
      <c r="B159" s="10"/>
      <c r="C159" s="8"/>
      <c r="D159" s="8"/>
      <c r="E159" s="8"/>
      <c r="F159" s="8"/>
      <c r="G159" s="8"/>
      <c r="H159" s="8"/>
      <c r="I159" s="8"/>
      <c r="J159" s="11"/>
      <c r="K159" s="11"/>
      <c r="L159" s="11"/>
      <c r="M159" s="11"/>
      <c r="N159" s="11"/>
      <c r="O159" s="11"/>
      <c r="P159" s="12" t="str">
        <f t="shared" si="8"/>
        <v/>
      </c>
      <c r="Q159" s="16" t="str">
        <f t="shared" si="9"/>
        <v/>
      </c>
      <c r="R159" s="16" t="str">
        <f t="shared" si="10"/>
        <v/>
      </c>
      <c r="S159" s="9" t="str">
        <f t="shared" si="11"/>
        <v/>
      </c>
      <c r="T159" s="8"/>
      <c r="U159" s="8"/>
      <c r="V159" s="10"/>
      <c r="W159" s="8"/>
    </row>
    <row r="160" spans="1:23">
      <c r="A160" s="8"/>
      <c r="B160" s="10"/>
      <c r="C160" s="8"/>
      <c r="D160" s="8"/>
      <c r="E160" s="8"/>
      <c r="F160" s="8"/>
      <c r="G160" s="8"/>
      <c r="H160" s="8"/>
      <c r="I160" s="8"/>
      <c r="J160" s="11"/>
      <c r="K160" s="11"/>
      <c r="L160" s="11"/>
      <c r="M160" s="11"/>
      <c r="N160" s="11"/>
      <c r="O160" s="11"/>
      <c r="P160" s="12" t="str">
        <f t="shared" si="8"/>
        <v/>
      </c>
      <c r="Q160" s="16" t="str">
        <f t="shared" si="9"/>
        <v/>
      </c>
      <c r="R160" s="16" t="str">
        <f t="shared" si="10"/>
        <v/>
      </c>
      <c r="S160" s="9" t="str">
        <f t="shared" si="11"/>
        <v/>
      </c>
      <c r="T160" s="8"/>
      <c r="U160" s="8"/>
      <c r="V160" s="10"/>
      <c r="W160" s="8"/>
    </row>
    <row r="161" spans="1:23">
      <c r="A161" s="8"/>
      <c r="B161" s="10"/>
      <c r="C161" s="8"/>
      <c r="D161" s="8"/>
      <c r="E161" s="8"/>
      <c r="F161" s="8"/>
      <c r="G161" s="8"/>
      <c r="H161" s="8"/>
      <c r="I161" s="8"/>
      <c r="J161" s="11"/>
      <c r="K161" s="11"/>
      <c r="L161" s="11"/>
      <c r="M161" s="11"/>
      <c r="N161" s="11"/>
      <c r="O161" s="11"/>
      <c r="P161" s="12" t="str">
        <f t="shared" si="8"/>
        <v/>
      </c>
      <c r="Q161" s="16" t="str">
        <f t="shared" si="9"/>
        <v/>
      </c>
      <c r="R161" s="16" t="str">
        <f t="shared" si="10"/>
        <v/>
      </c>
      <c r="S161" s="9" t="str">
        <f t="shared" si="11"/>
        <v/>
      </c>
      <c r="T161" s="8"/>
      <c r="U161" s="8"/>
      <c r="V161" s="10"/>
      <c r="W161" s="8"/>
    </row>
    <row r="162" spans="1:23">
      <c r="A162" s="8"/>
      <c r="B162" s="10"/>
      <c r="C162" s="8"/>
      <c r="D162" s="8"/>
      <c r="E162" s="8"/>
      <c r="F162" s="8"/>
      <c r="G162" s="8"/>
      <c r="H162" s="8"/>
      <c r="I162" s="8"/>
      <c r="J162" s="11"/>
      <c r="K162" s="11"/>
      <c r="L162" s="11"/>
      <c r="M162" s="11"/>
      <c r="N162" s="11"/>
      <c r="O162" s="11"/>
      <c r="P162" s="12" t="str">
        <f t="shared" si="8"/>
        <v/>
      </c>
      <c r="Q162" s="16" t="str">
        <f t="shared" si="9"/>
        <v/>
      </c>
      <c r="R162" s="16" t="str">
        <f t="shared" si="10"/>
        <v/>
      </c>
      <c r="S162" s="9" t="str">
        <f t="shared" si="11"/>
        <v/>
      </c>
      <c r="T162" s="8"/>
      <c r="U162" s="8"/>
      <c r="V162" s="10"/>
      <c r="W162" s="8"/>
    </row>
    <row r="163" spans="1:23">
      <c r="A163" s="8"/>
      <c r="B163" s="10"/>
      <c r="C163" s="8"/>
      <c r="D163" s="8"/>
      <c r="E163" s="8"/>
      <c r="F163" s="8"/>
      <c r="G163" s="8"/>
      <c r="H163" s="8"/>
      <c r="I163" s="8"/>
      <c r="J163" s="11"/>
      <c r="K163" s="11"/>
      <c r="L163" s="11"/>
      <c r="M163" s="11"/>
      <c r="N163" s="11"/>
      <c r="O163" s="11"/>
      <c r="P163" s="12" t="str">
        <f t="shared" si="8"/>
        <v/>
      </c>
      <c r="Q163" s="16" t="str">
        <f t="shared" si="9"/>
        <v/>
      </c>
      <c r="R163" s="16" t="str">
        <f t="shared" si="10"/>
        <v/>
      </c>
      <c r="S163" s="9" t="str">
        <f t="shared" si="11"/>
        <v/>
      </c>
      <c r="T163" s="8"/>
      <c r="U163" s="8"/>
      <c r="V163" s="10"/>
      <c r="W163" s="8"/>
    </row>
    <row r="164" spans="1:23">
      <c r="A164" s="8"/>
      <c r="B164" s="10"/>
      <c r="C164" s="8"/>
      <c r="D164" s="8"/>
      <c r="E164" s="8"/>
      <c r="F164" s="8"/>
      <c r="G164" s="8"/>
      <c r="H164" s="8"/>
      <c r="I164" s="8"/>
      <c r="J164" s="11"/>
      <c r="K164" s="11"/>
      <c r="L164" s="11"/>
      <c r="M164" s="11"/>
      <c r="N164" s="11"/>
      <c r="O164" s="11"/>
      <c r="P164" s="12" t="str">
        <f t="shared" si="8"/>
        <v/>
      </c>
      <c r="Q164" s="16" t="str">
        <f t="shared" si="9"/>
        <v/>
      </c>
      <c r="R164" s="16" t="str">
        <f t="shared" si="10"/>
        <v/>
      </c>
      <c r="S164" s="9" t="str">
        <f t="shared" si="11"/>
        <v/>
      </c>
      <c r="T164" s="8"/>
      <c r="U164" s="8"/>
      <c r="V164" s="10"/>
      <c r="W164" s="8"/>
    </row>
    <row r="165" spans="1:23">
      <c r="A165" s="8"/>
      <c r="B165" s="10"/>
      <c r="C165" s="8"/>
      <c r="D165" s="8"/>
      <c r="E165" s="8"/>
      <c r="F165" s="8"/>
      <c r="G165" s="8"/>
      <c r="H165" s="8"/>
      <c r="I165" s="8"/>
      <c r="J165" s="11"/>
      <c r="K165" s="11"/>
      <c r="L165" s="11"/>
      <c r="M165" s="11"/>
      <c r="N165" s="11"/>
      <c r="O165" s="11"/>
      <c r="P165" s="12" t="str">
        <f t="shared" si="8"/>
        <v/>
      </c>
      <c r="Q165" s="16" t="str">
        <f t="shared" si="9"/>
        <v/>
      </c>
      <c r="R165" s="16" t="str">
        <f t="shared" si="10"/>
        <v/>
      </c>
      <c r="S165" s="9" t="str">
        <f t="shared" si="11"/>
        <v/>
      </c>
      <c r="T165" s="8"/>
      <c r="U165" s="8"/>
      <c r="V165" s="10"/>
      <c r="W165" s="8"/>
    </row>
    <row r="166" spans="1:23">
      <c r="A166" s="8"/>
      <c r="B166" s="10"/>
      <c r="C166" s="8"/>
      <c r="D166" s="8"/>
      <c r="E166" s="8"/>
      <c r="F166" s="8"/>
      <c r="G166" s="8"/>
      <c r="H166" s="8"/>
      <c r="I166" s="8"/>
      <c r="J166" s="11"/>
      <c r="K166" s="11"/>
      <c r="L166" s="11"/>
      <c r="M166" s="11"/>
      <c r="N166" s="11"/>
      <c r="O166" s="11"/>
      <c r="P166" s="12" t="str">
        <f t="shared" si="8"/>
        <v/>
      </c>
      <c r="Q166" s="16" t="str">
        <f t="shared" si="9"/>
        <v/>
      </c>
      <c r="R166" s="16" t="str">
        <f t="shared" si="10"/>
        <v/>
      </c>
      <c r="S166" s="9" t="str">
        <f t="shared" si="11"/>
        <v/>
      </c>
      <c r="T166" s="8"/>
      <c r="U166" s="8"/>
      <c r="V166" s="10"/>
      <c r="W166" s="8"/>
    </row>
    <row r="167" spans="1:23">
      <c r="A167" s="8"/>
      <c r="B167" s="10"/>
      <c r="C167" s="8"/>
      <c r="D167" s="8"/>
      <c r="E167" s="8"/>
      <c r="F167" s="8"/>
      <c r="G167" s="8"/>
      <c r="H167" s="8"/>
      <c r="I167" s="8"/>
      <c r="J167" s="11"/>
      <c r="K167" s="11"/>
      <c r="L167" s="11"/>
      <c r="M167" s="11"/>
      <c r="N167" s="11"/>
      <c r="O167" s="11"/>
      <c r="P167" s="12" t="str">
        <f t="shared" si="8"/>
        <v/>
      </c>
      <c r="Q167" s="16" t="str">
        <f t="shared" si="9"/>
        <v/>
      </c>
      <c r="R167" s="16" t="str">
        <f t="shared" si="10"/>
        <v/>
      </c>
      <c r="S167" s="9" t="str">
        <f t="shared" si="11"/>
        <v/>
      </c>
      <c r="T167" s="8"/>
      <c r="U167" s="8"/>
      <c r="V167" s="10"/>
      <c r="W167" s="8"/>
    </row>
    <row r="168" spans="1:23">
      <c r="A168" s="8"/>
      <c r="B168" s="10"/>
      <c r="C168" s="8"/>
      <c r="D168" s="8"/>
      <c r="E168" s="8"/>
      <c r="F168" s="8"/>
      <c r="G168" s="8"/>
      <c r="H168" s="8"/>
      <c r="I168" s="8"/>
      <c r="J168" s="11"/>
      <c r="K168" s="11"/>
      <c r="L168" s="11"/>
      <c r="M168" s="11"/>
      <c r="N168" s="11"/>
      <c r="O168" s="11"/>
      <c r="P168" s="12" t="str">
        <f t="shared" si="8"/>
        <v/>
      </c>
      <c r="Q168" s="16" t="str">
        <f t="shared" si="9"/>
        <v/>
      </c>
      <c r="R168" s="16" t="str">
        <f t="shared" si="10"/>
        <v/>
      </c>
      <c r="S168" s="9" t="str">
        <f t="shared" si="11"/>
        <v/>
      </c>
      <c r="T168" s="8"/>
      <c r="U168" s="8"/>
      <c r="V168" s="10"/>
      <c r="W168" s="8"/>
    </row>
    <row r="169" spans="1:23">
      <c r="A169" s="8"/>
      <c r="B169" s="10"/>
      <c r="C169" s="8"/>
      <c r="D169" s="8"/>
      <c r="E169" s="8"/>
      <c r="F169" s="8"/>
      <c r="G169" s="8"/>
      <c r="H169" s="8"/>
      <c r="I169" s="8"/>
      <c r="J169" s="11"/>
      <c r="K169" s="11"/>
      <c r="L169" s="11"/>
      <c r="M169" s="11"/>
      <c r="N169" s="11"/>
      <c r="O169" s="11"/>
      <c r="P169" s="12" t="str">
        <f t="shared" si="8"/>
        <v/>
      </c>
      <c r="Q169" s="16" t="str">
        <f t="shared" si="9"/>
        <v/>
      </c>
      <c r="R169" s="16" t="str">
        <f t="shared" si="10"/>
        <v/>
      </c>
      <c r="S169" s="9" t="str">
        <f t="shared" si="11"/>
        <v/>
      </c>
      <c r="T169" s="8"/>
      <c r="U169" s="8"/>
      <c r="V169" s="10"/>
      <c r="W169" s="8"/>
    </row>
    <row r="170" spans="1:23">
      <c r="A170" s="8"/>
      <c r="B170" s="10"/>
      <c r="C170" s="8"/>
      <c r="D170" s="8"/>
      <c r="E170" s="8"/>
      <c r="F170" s="8"/>
      <c r="G170" s="8"/>
      <c r="H170" s="8"/>
      <c r="I170" s="8"/>
      <c r="J170" s="11"/>
      <c r="K170" s="11"/>
      <c r="L170" s="11"/>
      <c r="M170" s="11"/>
      <c r="N170" s="11"/>
      <c r="O170" s="11"/>
      <c r="P170" s="12" t="str">
        <f t="shared" si="8"/>
        <v/>
      </c>
      <c r="Q170" s="16" t="str">
        <f t="shared" si="9"/>
        <v/>
      </c>
      <c r="R170" s="16" t="str">
        <f t="shared" si="10"/>
        <v/>
      </c>
      <c r="S170" s="9" t="str">
        <f t="shared" si="11"/>
        <v/>
      </c>
      <c r="T170" s="8"/>
      <c r="U170" s="8"/>
      <c r="V170" s="10"/>
      <c r="W170" s="8"/>
    </row>
    <row r="171" spans="1:23">
      <c r="A171" s="8"/>
      <c r="B171" s="10"/>
      <c r="C171" s="8"/>
      <c r="D171" s="8"/>
      <c r="E171" s="8"/>
      <c r="F171" s="8"/>
      <c r="G171" s="8"/>
      <c r="H171" s="8"/>
      <c r="I171" s="8"/>
      <c r="J171" s="11"/>
      <c r="K171" s="11"/>
      <c r="L171" s="11"/>
      <c r="M171" s="11"/>
      <c r="N171" s="11"/>
      <c r="O171" s="11"/>
      <c r="P171" s="12" t="str">
        <f t="shared" si="8"/>
        <v/>
      </c>
      <c r="Q171" s="16" t="str">
        <f t="shared" si="9"/>
        <v/>
      </c>
      <c r="R171" s="16" t="str">
        <f t="shared" si="10"/>
        <v/>
      </c>
      <c r="S171" s="9" t="str">
        <f t="shared" si="11"/>
        <v/>
      </c>
      <c r="T171" s="8"/>
      <c r="U171" s="8"/>
      <c r="V171" s="10"/>
      <c r="W171" s="8"/>
    </row>
    <row r="172" spans="1:23">
      <c r="A172" s="8"/>
      <c r="B172" s="10"/>
      <c r="C172" s="8"/>
      <c r="D172" s="8"/>
      <c r="E172" s="8"/>
      <c r="F172" s="8"/>
      <c r="G172" s="8"/>
      <c r="H172" s="8"/>
      <c r="I172" s="8"/>
      <c r="J172" s="11"/>
      <c r="K172" s="11"/>
      <c r="L172" s="11"/>
      <c r="M172" s="11"/>
      <c r="N172" s="11"/>
      <c r="O172" s="11"/>
      <c r="P172" s="12" t="str">
        <f t="shared" si="8"/>
        <v/>
      </c>
      <c r="Q172" s="16" t="str">
        <f t="shared" si="9"/>
        <v/>
      </c>
      <c r="R172" s="16" t="str">
        <f t="shared" si="10"/>
        <v/>
      </c>
      <c r="S172" s="9" t="str">
        <f t="shared" si="11"/>
        <v/>
      </c>
      <c r="T172" s="8"/>
      <c r="U172" s="8"/>
      <c r="V172" s="10"/>
      <c r="W172" s="8"/>
    </row>
    <row r="173" spans="1:23">
      <c r="A173" s="8"/>
      <c r="B173" s="10"/>
      <c r="C173" s="8"/>
      <c r="D173" s="8"/>
      <c r="E173" s="8"/>
      <c r="F173" s="8"/>
      <c r="G173" s="8"/>
      <c r="H173" s="8"/>
      <c r="I173" s="8"/>
      <c r="J173" s="11"/>
      <c r="K173" s="11"/>
      <c r="L173" s="11"/>
      <c r="M173" s="11"/>
      <c r="N173" s="11"/>
      <c r="O173" s="11"/>
      <c r="P173" s="12" t="str">
        <f t="shared" si="8"/>
        <v/>
      </c>
      <c r="Q173" s="16" t="str">
        <f t="shared" si="9"/>
        <v/>
      </c>
      <c r="R173" s="16" t="str">
        <f t="shared" si="10"/>
        <v/>
      </c>
      <c r="S173" s="9" t="str">
        <f t="shared" si="11"/>
        <v/>
      </c>
      <c r="T173" s="8"/>
      <c r="U173" s="8"/>
      <c r="V173" s="10"/>
      <c r="W173" s="8"/>
    </row>
    <row r="174" spans="1:23">
      <c r="A174" s="8"/>
      <c r="B174" s="10"/>
      <c r="C174" s="8"/>
      <c r="D174" s="8"/>
      <c r="E174" s="8"/>
      <c r="F174" s="8"/>
      <c r="G174" s="8"/>
      <c r="H174" s="8"/>
      <c r="I174" s="8"/>
      <c r="J174" s="11"/>
      <c r="K174" s="11"/>
      <c r="L174" s="11"/>
      <c r="M174" s="11"/>
      <c r="N174" s="11"/>
      <c r="O174" s="11"/>
      <c r="P174" s="12" t="str">
        <f t="shared" si="8"/>
        <v/>
      </c>
      <c r="Q174" s="16" t="str">
        <f t="shared" si="9"/>
        <v/>
      </c>
      <c r="R174" s="16" t="str">
        <f t="shared" si="10"/>
        <v/>
      </c>
      <c r="S174" s="9" t="str">
        <f t="shared" si="11"/>
        <v/>
      </c>
      <c r="T174" s="8"/>
      <c r="U174" s="8"/>
      <c r="V174" s="10"/>
      <c r="W174" s="8"/>
    </row>
    <row r="175" spans="1:23">
      <c r="A175" s="8"/>
      <c r="B175" s="10"/>
      <c r="C175" s="8"/>
      <c r="D175" s="8"/>
      <c r="E175" s="8"/>
      <c r="F175" s="8"/>
      <c r="G175" s="8"/>
      <c r="H175" s="8"/>
      <c r="I175" s="8"/>
      <c r="J175" s="11"/>
      <c r="K175" s="11"/>
      <c r="L175" s="11"/>
      <c r="M175" s="11"/>
      <c r="N175" s="11"/>
      <c r="O175" s="11"/>
      <c r="P175" s="12" t="str">
        <f t="shared" si="8"/>
        <v/>
      </c>
      <c r="Q175" s="16" t="str">
        <f t="shared" si="9"/>
        <v/>
      </c>
      <c r="R175" s="16" t="str">
        <f t="shared" si="10"/>
        <v/>
      </c>
      <c r="S175" s="9" t="str">
        <f t="shared" si="11"/>
        <v/>
      </c>
      <c r="T175" s="8"/>
      <c r="U175" s="8"/>
      <c r="V175" s="10"/>
      <c r="W175" s="8"/>
    </row>
    <row r="176" spans="1:23">
      <c r="A176" s="8"/>
      <c r="B176" s="10"/>
      <c r="C176" s="8"/>
      <c r="D176" s="8"/>
      <c r="E176" s="8"/>
      <c r="F176" s="8"/>
      <c r="G176" s="8"/>
      <c r="H176" s="8"/>
      <c r="I176" s="8"/>
      <c r="J176" s="11"/>
      <c r="K176" s="11"/>
      <c r="L176" s="11"/>
      <c r="M176" s="11"/>
      <c r="N176" s="11"/>
      <c r="O176" s="11"/>
      <c r="P176" s="12" t="str">
        <f t="shared" si="8"/>
        <v/>
      </c>
      <c r="Q176" s="16" t="str">
        <f t="shared" si="9"/>
        <v/>
      </c>
      <c r="R176" s="16" t="str">
        <f t="shared" si="10"/>
        <v/>
      </c>
      <c r="S176" s="9" t="str">
        <f t="shared" si="11"/>
        <v/>
      </c>
      <c r="T176" s="8"/>
      <c r="U176" s="8"/>
      <c r="V176" s="10"/>
      <c r="W176" s="8"/>
    </row>
    <row r="177" spans="1:23">
      <c r="A177" s="8"/>
      <c r="B177" s="10"/>
      <c r="C177" s="8"/>
      <c r="D177" s="8"/>
      <c r="E177" s="8"/>
      <c r="F177" s="8"/>
      <c r="G177" s="8"/>
      <c r="H177" s="8"/>
      <c r="I177" s="8"/>
      <c r="J177" s="11"/>
      <c r="K177" s="11"/>
      <c r="L177" s="11"/>
      <c r="M177" s="11"/>
      <c r="N177" s="11"/>
      <c r="O177" s="11"/>
      <c r="P177" s="12" t="str">
        <f t="shared" si="8"/>
        <v/>
      </c>
      <c r="Q177" s="16" t="str">
        <f t="shared" si="9"/>
        <v/>
      </c>
      <c r="R177" s="16" t="str">
        <f t="shared" si="10"/>
        <v/>
      </c>
      <c r="S177" s="9" t="str">
        <f t="shared" si="11"/>
        <v/>
      </c>
      <c r="T177" s="8"/>
      <c r="U177" s="8"/>
      <c r="V177" s="10"/>
      <c r="W177" s="8"/>
    </row>
    <row r="178" spans="1:23">
      <c r="A178" s="8"/>
      <c r="B178" s="10"/>
      <c r="C178" s="8"/>
      <c r="D178" s="8"/>
      <c r="E178" s="8"/>
      <c r="F178" s="8"/>
      <c r="G178" s="8"/>
      <c r="H178" s="8"/>
      <c r="I178" s="8"/>
      <c r="J178" s="11"/>
      <c r="K178" s="11"/>
      <c r="L178" s="11"/>
      <c r="M178" s="11"/>
      <c r="N178" s="11"/>
      <c r="O178" s="11"/>
      <c r="P178" s="12" t="str">
        <f t="shared" si="8"/>
        <v/>
      </c>
      <c r="Q178" s="16" t="str">
        <f t="shared" si="9"/>
        <v/>
      </c>
      <c r="R178" s="16" t="str">
        <f t="shared" si="10"/>
        <v/>
      </c>
      <c r="S178" s="9" t="str">
        <f t="shared" si="11"/>
        <v/>
      </c>
      <c r="T178" s="8"/>
      <c r="U178" s="8"/>
      <c r="V178" s="10"/>
      <c r="W178" s="8"/>
    </row>
    <row r="179" spans="1:23">
      <c r="A179" s="8"/>
      <c r="B179" s="10"/>
      <c r="C179" s="8"/>
      <c r="D179" s="8"/>
      <c r="E179" s="8"/>
      <c r="F179" s="8"/>
      <c r="G179" s="8"/>
      <c r="H179" s="8"/>
      <c r="I179" s="8"/>
      <c r="J179" s="11"/>
      <c r="K179" s="11"/>
      <c r="L179" s="11"/>
      <c r="M179" s="11"/>
      <c r="N179" s="11"/>
      <c r="O179" s="11"/>
      <c r="P179" s="12" t="str">
        <f t="shared" si="8"/>
        <v/>
      </c>
      <c r="Q179" s="16" t="str">
        <f t="shared" si="9"/>
        <v/>
      </c>
      <c r="R179" s="16" t="str">
        <f t="shared" si="10"/>
        <v/>
      </c>
      <c r="S179" s="9" t="str">
        <f t="shared" si="11"/>
        <v/>
      </c>
      <c r="T179" s="8"/>
      <c r="U179" s="8"/>
      <c r="V179" s="10"/>
      <c r="W179" s="8"/>
    </row>
    <row r="180" spans="1:23">
      <c r="A180" s="8"/>
      <c r="B180" s="10"/>
      <c r="C180" s="8"/>
      <c r="D180" s="8"/>
      <c r="E180" s="8"/>
      <c r="F180" s="8"/>
      <c r="G180" s="8"/>
      <c r="H180" s="8"/>
      <c r="I180" s="8"/>
      <c r="J180" s="11"/>
      <c r="K180" s="11"/>
      <c r="L180" s="11"/>
      <c r="M180" s="11"/>
      <c r="N180" s="11"/>
      <c r="O180" s="11"/>
      <c r="P180" s="12" t="str">
        <f t="shared" si="8"/>
        <v/>
      </c>
      <c r="Q180" s="16" t="str">
        <f t="shared" si="9"/>
        <v/>
      </c>
      <c r="R180" s="16" t="str">
        <f t="shared" si="10"/>
        <v/>
      </c>
      <c r="S180" s="9" t="str">
        <f t="shared" si="11"/>
        <v/>
      </c>
      <c r="T180" s="8"/>
      <c r="U180" s="8"/>
      <c r="V180" s="10"/>
      <c r="W180" s="8"/>
    </row>
    <row r="181" spans="1:23">
      <c r="A181" s="8"/>
      <c r="B181" s="10"/>
      <c r="C181" s="8"/>
      <c r="D181" s="8"/>
      <c r="E181" s="8"/>
      <c r="F181" s="8"/>
      <c r="G181" s="8"/>
      <c r="H181" s="8"/>
      <c r="I181" s="8"/>
      <c r="J181" s="11"/>
      <c r="K181" s="11"/>
      <c r="L181" s="11"/>
      <c r="M181" s="11"/>
      <c r="N181" s="11"/>
      <c r="O181" s="11"/>
      <c r="P181" s="12" t="str">
        <f t="shared" si="8"/>
        <v/>
      </c>
      <c r="Q181" s="16" t="str">
        <f t="shared" si="9"/>
        <v/>
      </c>
      <c r="R181" s="16" t="str">
        <f t="shared" si="10"/>
        <v/>
      </c>
      <c r="S181" s="9" t="str">
        <f t="shared" si="11"/>
        <v/>
      </c>
      <c r="T181" s="8"/>
      <c r="U181" s="8"/>
      <c r="V181" s="10"/>
      <c r="W181" s="8"/>
    </row>
    <row r="182" spans="1:23">
      <c r="A182" s="8"/>
      <c r="B182" s="10"/>
      <c r="C182" s="8"/>
      <c r="D182" s="8"/>
      <c r="E182" s="8"/>
      <c r="F182" s="8"/>
      <c r="G182" s="8"/>
      <c r="H182" s="8"/>
      <c r="I182" s="8"/>
      <c r="J182" s="11"/>
      <c r="K182" s="11"/>
      <c r="L182" s="11"/>
      <c r="M182" s="11"/>
      <c r="N182" s="11"/>
      <c r="O182" s="11"/>
      <c r="P182" s="12" t="str">
        <f t="shared" si="8"/>
        <v/>
      </c>
      <c r="Q182" s="16" t="str">
        <f t="shared" si="9"/>
        <v/>
      </c>
      <c r="R182" s="16" t="str">
        <f t="shared" si="10"/>
        <v/>
      </c>
      <c r="S182" s="9" t="str">
        <f t="shared" si="11"/>
        <v/>
      </c>
      <c r="T182" s="8"/>
      <c r="U182" s="8"/>
      <c r="V182" s="10"/>
      <c r="W182" s="8"/>
    </row>
    <row r="183" spans="1:23">
      <c r="A183" s="8"/>
      <c r="B183" s="10"/>
      <c r="C183" s="8"/>
      <c r="D183" s="8"/>
      <c r="E183" s="8"/>
      <c r="F183" s="8"/>
      <c r="G183" s="8"/>
      <c r="H183" s="8"/>
      <c r="I183" s="8"/>
      <c r="J183" s="11"/>
      <c r="K183" s="11"/>
      <c r="L183" s="11"/>
      <c r="M183" s="11"/>
      <c r="N183" s="11"/>
      <c r="O183" s="11"/>
      <c r="P183" s="12" t="str">
        <f t="shared" si="8"/>
        <v/>
      </c>
      <c r="Q183" s="16" t="str">
        <f t="shared" si="9"/>
        <v/>
      </c>
      <c r="R183" s="16" t="str">
        <f t="shared" si="10"/>
        <v/>
      </c>
      <c r="S183" s="9" t="str">
        <f t="shared" si="11"/>
        <v/>
      </c>
      <c r="T183" s="8"/>
      <c r="U183" s="8"/>
      <c r="V183" s="10"/>
      <c r="W183" s="8"/>
    </row>
    <row r="184" spans="1:23">
      <c r="A184" s="8"/>
      <c r="B184" s="10"/>
      <c r="C184" s="8"/>
      <c r="D184" s="8"/>
      <c r="E184" s="8"/>
      <c r="F184" s="8"/>
      <c r="G184" s="8"/>
      <c r="H184" s="8"/>
      <c r="I184" s="8"/>
      <c r="J184" s="11"/>
      <c r="K184" s="11"/>
      <c r="L184" s="11"/>
      <c r="M184" s="11"/>
      <c r="N184" s="11"/>
      <c r="O184" s="11"/>
      <c r="P184" s="12" t="str">
        <f t="shared" si="8"/>
        <v/>
      </c>
      <c r="Q184" s="16" t="str">
        <f t="shared" si="9"/>
        <v/>
      </c>
      <c r="R184" s="16" t="str">
        <f t="shared" si="10"/>
        <v/>
      </c>
      <c r="S184" s="9" t="str">
        <f t="shared" si="11"/>
        <v/>
      </c>
      <c r="T184" s="8"/>
      <c r="U184" s="8"/>
      <c r="V184" s="10"/>
      <c r="W184" s="8"/>
    </row>
    <row r="185" spans="1:23">
      <c r="A185" s="8"/>
      <c r="B185" s="10"/>
      <c r="C185" s="8"/>
      <c r="D185" s="8"/>
      <c r="E185" s="8"/>
      <c r="F185" s="8"/>
      <c r="G185" s="8"/>
      <c r="H185" s="8"/>
      <c r="I185" s="8"/>
      <c r="J185" s="11"/>
      <c r="K185" s="11"/>
      <c r="L185" s="11"/>
      <c r="M185" s="11"/>
      <c r="N185" s="11"/>
      <c r="O185" s="11"/>
      <c r="P185" s="12" t="str">
        <f t="shared" si="8"/>
        <v/>
      </c>
      <c r="Q185" s="16" t="str">
        <f t="shared" si="9"/>
        <v/>
      </c>
      <c r="R185" s="16" t="str">
        <f t="shared" si="10"/>
        <v/>
      </c>
      <c r="S185" s="9" t="str">
        <f t="shared" si="11"/>
        <v/>
      </c>
      <c r="T185" s="8"/>
      <c r="U185" s="8"/>
      <c r="V185" s="10"/>
      <c r="W185" s="8"/>
    </row>
    <row r="186" spans="1:23">
      <c r="A186" s="8"/>
      <c r="B186" s="10"/>
      <c r="C186" s="8"/>
      <c r="D186" s="8"/>
      <c r="E186" s="8"/>
      <c r="F186" s="8"/>
      <c r="G186" s="8"/>
      <c r="H186" s="8"/>
      <c r="I186" s="8"/>
      <c r="J186" s="11"/>
      <c r="K186" s="11"/>
      <c r="L186" s="11"/>
      <c r="M186" s="11"/>
      <c r="N186" s="11"/>
      <c r="O186" s="11"/>
      <c r="P186" s="12" t="str">
        <f t="shared" si="8"/>
        <v/>
      </c>
      <c r="Q186" s="16" t="str">
        <f t="shared" si="9"/>
        <v/>
      </c>
      <c r="R186" s="16" t="str">
        <f t="shared" si="10"/>
        <v/>
      </c>
      <c r="S186" s="9" t="str">
        <f t="shared" si="11"/>
        <v/>
      </c>
      <c r="T186" s="8"/>
      <c r="U186" s="8"/>
      <c r="V186" s="10"/>
      <c r="W186" s="8"/>
    </row>
    <row r="187" spans="1:23">
      <c r="A187" s="8"/>
      <c r="B187" s="10"/>
      <c r="C187" s="8"/>
      <c r="D187" s="8"/>
      <c r="E187" s="8"/>
      <c r="F187" s="8"/>
      <c r="G187" s="8"/>
      <c r="H187" s="8"/>
      <c r="I187" s="8"/>
      <c r="J187" s="11"/>
      <c r="K187" s="11"/>
      <c r="L187" s="11"/>
      <c r="M187" s="11"/>
      <c r="N187" s="11"/>
      <c r="O187" s="11"/>
      <c r="P187" s="12" t="str">
        <f t="shared" si="8"/>
        <v/>
      </c>
      <c r="Q187" s="16" t="str">
        <f t="shared" si="9"/>
        <v/>
      </c>
      <c r="R187" s="16" t="str">
        <f t="shared" si="10"/>
        <v/>
      </c>
      <c r="S187" s="9" t="str">
        <f t="shared" si="11"/>
        <v/>
      </c>
      <c r="T187" s="8"/>
      <c r="U187" s="8"/>
      <c r="V187" s="10"/>
      <c r="W187" s="8"/>
    </row>
    <row r="188" spans="1:23">
      <c r="A188" s="8"/>
      <c r="B188" s="10"/>
      <c r="C188" s="8"/>
      <c r="D188" s="8"/>
      <c r="E188" s="8"/>
      <c r="F188" s="8"/>
      <c r="G188" s="8"/>
      <c r="H188" s="8"/>
      <c r="I188" s="8"/>
      <c r="J188" s="11"/>
      <c r="K188" s="11"/>
      <c r="L188" s="11"/>
      <c r="M188" s="11"/>
      <c r="N188" s="11"/>
      <c r="O188" s="11"/>
      <c r="P188" s="12" t="str">
        <f t="shared" si="8"/>
        <v/>
      </c>
      <c r="Q188" s="16" t="str">
        <f t="shared" si="9"/>
        <v/>
      </c>
      <c r="R188" s="16" t="str">
        <f t="shared" si="10"/>
        <v/>
      </c>
      <c r="S188" s="9" t="str">
        <f t="shared" si="11"/>
        <v/>
      </c>
      <c r="T188" s="8"/>
      <c r="U188" s="8"/>
      <c r="V188" s="10"/>
      <c r="W188" s="8"/>
    </row>
    <row r="189" spans="1:23">
      <c r="A189" s="8"/>
      <c r="B189" s="10"/>
      <c r="C189" s="8"/>
      <c r="D189" s="8"/>
      <c r="E189" s="8"/>
      <c r="F189" s="8"/>
      <c r="G189" s="8"/>
      <c r="H189" s="8"/>
      <c r="I189" s="8"/>
      <c r="J189" s="11"/>
      <c r="K189" s="11"/>
      <c r="L189" s="11"/>
      <c r="M189" s="11"/>
      <c r="N189" s="11"/>
      <c r="O189" s="11"/>
      <c r="P189" s="12" t="str">
        <f t="shared" si="8"/>
        <v/>
      </c>
      <c r="Q189" s="16" t="str">
        <f t="shared" si="9"/>
        <v/>
      </c>
      <c r="R189" s="16" t="str">
        <f t="shared" si="10"/>
        <v/>
      </c>
      <c r="S189" s="9" t="str">
        <f t="shared" si="11"/>
        <v/>
      </c>
      <c r="T189" s="8"/>
      <c r="U189" s="8"/>
      <c r="V189" s="10"/>
      <c r="W189" s="8"/>
    </row>
    <row r="190" spans="1:23">
      <c r="A190" s="8"/>
      <c r="B190" s="10"/>
      <c r="C190" s="8"/>
      <c r="D190" s="8"/>
      <c r="E190" s="8"/>
      <c r="F190" s="8"/>
      <c r="G190" s="8"/>
      <c r="H190" s="8"/>
      <c r="I190" s="8"/>
      <c r="J190" s="11"/>
      <c r="K190" s="11"/>
      <c r="L190" s="11"/>
      <c r="M190" s="11"/>
      <c r="N190" s="11"/>
      <c r="O190" s="11"/>
      <c r="P190" s="12" t="str">
        <f t="shared" si="8"/>
        <v/>
      </c>
      <c r="Q190" s="16" t="str">
        <f t="shared" si="9"/>
        <v/>
      </c>
      <c r="R190" s="16" t="str">
        <f t="shared" si="10"/>
        <v/>
      </c>
      <c r="S190" s="9" t="str">
        <f t="shared" si="11"/>
        <v/>
      </c>
      <c r="T190" s="8"/>
      <c r="U190" s="8"/>
      <c r="V190" s="10"/>
      <c r="W190" s="8"/>
    </row>
    <row r="191" spans="1:23">
      <c r="A191" s="8"/>
      <c r="B191" s="10"/>
      <c r="C191" s="8"/>
      <c r="D191" s="8"/>
      <c r="E191" s="8"/>
      <c r="F191" s="8"/>
      <c r="G191" s="8"/>
      <c r="H191" s="8"/>
      <c r="I191" s="8"/>
      <c r="J191" s="11"/>
      <c r="K191" s="11"/>
      <c r="L191" s="11"/>
      <c r="M191" s="11"/>
      <c r="N191" s="11"/>
      <c r="O191" s="11"/>
      <c r="P191" s="12" t="str">
        <f t="shared" si="8"/>
        <v/>
      </c>
      <c r="Q191" s="16" t="str">
        <f t="shared" si="9"/>
        <v/>
      </c>
      <c r="R191" s="16" t="str">
        <f t="shared" si="10"/>
        <v/>
      </c>
      <c r="S191" s="9" t="str">
        <f t="shared" si="11"/>
        <v/>
      </c>
      <c r="T191" s="8"/>
      <c r="U191" s="8"/>
      <c r="V191" s="10"/>
      <c r="W191" s="8"/>
    </row>
    <row r="192" spans="1:23">
      <c r="A192" s="8"/>
      <c r="B192" s="10"/>
      <c r="C192" s="8"/>
      <c r="D192" s="8"/>
      <c r="E192" s="8"/>
      <c r="F192" s="8"/>
      <c r="G192" s="8"/>
      <c r="H192" s="8"/>
      <c r="I192" s="8"/>
      <c r="J192" s="11"/>
      <c r="K192" s="11"/>
      <c r="L192" s="11"/>
      <c r="M192" s="11"/>
      <c r="N192" s="11"/>
      <c r="O192" s="11"/>
      <c r="P192" s="12" t="str">
        <f t="shared" si="8"/>
        <v/>
      </c>
      <c r="Q192" s="16" t="str">
        <f t="shared" si="9"/>
        <v/>
      </c>
      <c r="R192" s="16" t="str">
        <f t="shared" si="10"/>
        <v/>
      </c>
      <c r="S192" s="9" t="str">
        <f t="shared" si="11"/>
        <v/>
      </c>
      <c r="T192" s="8"/>
      <c r="U192" s="8"/>
      <c r="V192" s="10"/>
      <c r="W192" s="8"/>
    </row>
    <row r="193" spans="1:23">
      <c r="A193" s="8"/>
      <c r="B193" s="10"/>
      <c r="C193" s="8"/>
      <c r="D193" s="8"/>
      <c r="E193" s="8"/>
      <c r="F193" s="8"/>
      <c r="G193" s="8"/>
      <c r="H193" s="8"/>
      <c r="I193" s="8"/>
      <c r="J193" s="11"/>
      <c r="K193" s="11"/>
      <c r="L193" s="11"/>
      <c r="M193" s="11"/>
      <c r="N193" s="11"/>
      <c r="O193" s="11"/>
      <c r="P193" s="12" t="str">
        <f t="shared" si="8"/>
        <v/>
      </c>
      <c r="Q193" s="16" t="str">
        <f t="shared" si="9"/>
        <v/>
      </c>
      <c r="R193" s="16" t="str">
        <f t="shared" si="10"/>
        <v/>
      </c>
      <c r="S193" s="9" t="str">
        <f t="shared" si="11"/>
        <v/>
      </c>
      <c r="T193" s="8"/>
      <c r="U193" s="8"/>
      <c r="V193" s="10"/>
      <c r="W193" s="8"/>
    </row>
    <row r="194" spans="1:23">
      <c r="A194" s="8"/>
      <c r="B194" s="10"/>
      <c r="C194" s="8"/>
      <c r="D194" s="8"/>
      <c r="E194" s="8"/>
      <c r="F194" s="8"/>
      <c r="G194" s="8"/>
      <c r="H194" s="8"/>
      <c r="I194" s="8"/>
      <c r="J194" s="11"/>
      <c r="K194" s="11"/>
      <c r="L194" s="11"/>
      <c r="M194" s="11"/>
      <c r="N194" s="11"/>
      <c r="O194" s="11"/>
      <c r="P194" s="12" t="str">
        <f t="shared" si="8"/>
        <v/>
      </c>
      <c r="Q194" s="16" t="str">
        <f t="shared" si="9"/>
        <v/>
      </c>
      <c r="R194" s="16" t="str">
        <f t="shared" si="10"/>
        <v/>
      </c>
      <c r="S194" s="9" t="str">
        <f t="shared" si="11"/>
        <v/>
      </c>
      <c r="T194" s="8"/>
      <c r="U194" s="8"/>
      <c r="V194" s="10"/>
      <c r="W194" s="8"/>
    </row>
    <row r="195" spans="1:23">
      <c r="A195" s="8"/>
      <c r="B195" s="10"/>
      <c r="C195" s="8"/>
      <c r="D195" s="8"/>
      <c r="E195" s="8"/>
      <c r="F195" s="8"/>
      <c r="G195" s="8"/>
      <c r="H195" s="8"/>
      <c r="I195" s="8"/>
      <c r="J195" s="11"/>
      <c r="K195" s="11"/>
      <c r="L195" s="11"/>
      <c r="M195" s="11"/>
      <c r="N195" s="11"/>
      <c r="O195" s="11"/>
      <c r="P195" s="12" t="str">
        <f t="shared" si="8"/>
        <v/>
      </c>
      <c r="Q195" s="16" t="str">
        <f t="shared" si="9"/>
        <v/>
      </c>
      <c r="R195" s="16" t="str">
        <f t="shared" si="10"/>
        <v/>
      </c>
      <c r="S195" s="9" t="str">
        <f t="shared" si="11"/>
        <v/>
      </c>
      <c r="T195" s="8"/>
      <c r="U195" s="8"/>
      <c r="V195" s="10"/>
      <c r="W195" s="8"/>
    </row>
    <row r="196" spans="1:23">
      <c r="A196" s="8"/>
      <c r="B196" s="10"/>
      <c r="C196" s="8"/>
      <c r="D196" s="8"/>
      <c r="E196" s="8"/>
      <c r="F196" s="8"/>
      <c r="G196" s="8"/>
      <c r="H196" s="8"/>
      <c r="I196" s="8"/>
      <c r="J196" s="11"/>
      <c r="K196" s="11"/>
      <c r="L196" s="11"/>
      <c r="M196" s="11"/>
      <c r="N196" s="11"/>
      <c r="O196" s="11"/>
      <c r="P196" s="12" t="str">
        <f t="shared" si="8"/>
        <v/>
      </c>
      <c r="Q196" s="16" t="str">
        <f t="shared" si="9"/>
        <v/>
      </c>
      <c r="R196" s="16" t="str">
        <f t="shared" si="10"/>
        <v/>
      </c>
      <c r="S196" s="9" t="str">
        <f t="shared" si="11"/>
        <v/>
      </c>
      <c r="T196" s="8"/>
      <c r="U196" s="8"/>
      <c r="V196" s="10"/>
      <c r="W196" s="8"/>
    </row>
    <row r="197" spans="1:23">
      <c r="A197" s="8"/>
      <c r="B197" s="10"/>
      <c r="C197" s="8"/>
      <c r="D197" s="8"/>
      <c r="E197" s="8"/>
      <c r="F197" s="8"/>
      <c r="G197" s="8"/>
      <c r="H197" s="8"/>
      <c r="I197" s="8"/>
      <c r="J197" s="11"/>
      <c r="K197" s="11"/>
      <c r="L197" s="11"/>
      <c r="M197" s="11"/>
      <c r="N197" s="11"/>
      <c r="O197" s="11"/>
      <c r="P197" s="12" t="str">
        <f t="shared" ref="P197:P260" si="12">IF(A197="","",SUM(K197:O197))</f>
        <v/>
      </c>
      <c r="Q197" s="16" t="str">
        <f t="shared" ref="Q197:Q260" si="13">IF(OR(A197="",J197=0),"",P197/J197)</f>
        <v/>
      </c>
      <c r="R197" s="16" t="str">
        <f t="shared" ref="R197:R260" si="14">IF(A197="","",0.02)</f>
        <v/>
      </c>
      <c r="S197" s="9" t="str">
        <f t="shared" ref="S197:S260" si="15">IF(A197="","",IF(Q197&lt;=R197,"Passed","Failed"))</f>
        <v/>
      </c>
      <c r="T197" s="8"/>
      <c r="U197" s="8"/>
      <c r="V197" s="10"/>
      <c r="W197" s="8"/>
    </row>
    <row r="198" spans="1:23">
      <c r="A198" s="8"/>
      <c r="B198" s="10"/>
      <c r="C198" s="8"/>
      <c r="D198" s="8"/>
      <c r="E198" s="8"/>
      <c r="F198" s="8"/>
      <c r="G198" s="8"/>
      <c r="H198" s="8"/>
      <c r="I198" s="8"/>
      <c r="J198" s="11"/>
      <c r="K198" s="11"/>
      <c r="L198" s="11"/>
      <c r="M198" s="11"/>
      <c r="N198" s="11"/>
      <c r="O198" s="11"/>
      <c r="P198" s="12" t="str">
        <f t="shared" si="12"/>
        <v/>
      </c>
      <c r="Q198" s="16" t="str">
        <f t="shared" si="13"/>
        <v/>
      </c>
      <c r="R198" s="16" t="str">
        <f t="shared" si="14"/>
        <v/>
      </c>
      <c r="S198" s="9" t="str">
        <f t="shared" si="15"/>
        <v/>
      </c>
      <c r="T198" s="8"/>
      <c r="U198" s="8"/>
      <c r="V198" s="10"/>
      <c r="W198" s="8"/>
    </row>
    <row r="199" spans="1:23">
      <c r="A199" s="8"/>
      <c r="B199" s="10"/>
      <c r="C199" s="8"/>
      <c r="D199" s="8"/>
      <c r="E199" s="8"/>
      <c r="F199" s="8"/>
      <c r="G199" s="8"/>
      <c r="H199" s="8"/>
      <c r="I199" s="8"/>
      <c r="J199" s="11"/>
      <c r="K199" s="11"/>
      <c r="L199" s="11"/>
      <c r="M199" s="11"/>
      <c r="N199" s="11"/>
      <c r="O199" s="11"/>
      <c r="P199" s="12" t="str">
        <f t="shared" si="12"/>
        <v/>
      </c>
      <c r="Q199" s="16" t="str">
        <f t="shared" si="13"/>
        <v/>
      </c>
      <c r="R199" s="16" t="str">
        <f t="shared" si="14"/>
        <v/>
      </c>
      <c r="S199" s="9" t="str">
        <f t="shared" si="15"/>
        <v/>
      </c>
      <c r="T199" s="8"/>
      <c r="U199" s="8"/>
      <c r="V199" s="10"/>
      <c r="W199" s="8"/>
    </row>
    <row r="200" spans="1:23">
      <c r="A200" s="8"/>
      <c r="B200" s="10"/>
      <c r="C200" s="8"/>
      <c r="D200" s="8"/>
      <c r="E200" s="8"/>
      <c r="F200" s="8"/>
      <c r="G200" s="8"/>
      <c r="H200" s="8"/>
      <c r="I200" s="8"/>
      <c r="J200" s="11"/>
      <c r="K200" s="11"/>
      <c r="L200" s="11"/>
      <c r="M200" s="11"/>
      <c r="N200" s="11"/>
      <c r="O200" s="11"/>
      <c r="P200" s="12" t="str">
        <f t="shared" si="12"/>
        <v/>
      </c>
      <c r="Q200" s="16" t="str">
        <f t="shared" si="13"/>
        <v/>
      </c>
      <c r="R200" s="16" t="str">
        <f t="shared" si="14"/>
        <v/>
      </c>
      <c r="S200" s="9" t="str">
        <f t="shared" si="15"/>
        <v/>
      </c>
      <c r="T200" s="8"/>
      <c r="U200" s="8"/>
      <c r="V200" s="10"/>
      <c r="W200" s="8"/>
    </row>
    <row r="201" spans="1:23">
      <c r="A201" s="8"/>
      <c r="B201" s="10"/>
      <c r="C201" s="8"/>
      <c r="D201" s="8"/>
      <c r="E201" s="8"/>
      <c r="F201" s="8"/>
      <c r="G201" s="8"/>
      <c r="H201" s="8"/>
      <c r="I201" s="8"/>
      <c r="J201" s="11"/>
      <c r="K201" s="11"/>
      <c r="L201" s="11"/>
      <c r="M201" s="11"/>
      <c r="N201" s="11"/>
      <c r="O201" s="11"/>
      <c r="P201" s="12" t="str">
        <f t="shared" si="12"/>
        <v/>
      </c>
      <c r="Q201" s="16" t="str">
        <f t="shared" si="13"/>
        <v/>
      </c>
      <c r="R201" s="16" t="str">
        <f t="shared" si="14"/>
        <v/>
      </c>
      <c r="S201" s="9" t="str">
        <f t="shared" si="15"/>
        <v/>
      </c>
      <c r="T201" s="8"/>
      <c r="U201" s="8"/>
      <c r="V201" s="10"/>
      <c r="W201" s="8"/>
    </row>
    <row r="202" spans="1:23">
      <c r="A202" s="8"/>
      <c r="B202" s="10"/>
      <c r="C202" s="8"/>
      <c r="D202" s="8"/>
      <c r="E202" s="8"/>
      <c r="F202" s="8"/>
      <c r="G202" s="8"/>
      <c r="H202" s="8"/>
      <c r="I202" s="8"/>
      <c r="J202" s="11"/>
      <c r="K202" s="11"/>
      <c r="L202" s="11"/>
      <c r="M202" s="11"/>
      <c r="N202" s="11"/>
      <c r="O202" s="11"/>
      <c r="P202" s="12" t="str">
        <f t="shared" si="12"/>
        <v/>
      </c>
      <c r="Q202" s="16" t="str">
        <f t="shared" si="13"/>
        <v/>
      </c>
      <c r="R202" s="16" t="str">
        <f t="shared" si="14"/>
        <v/>
      </c>
      <c r="S202" s="9" t="str">
        <f t="shared" si="15"/>
        <v/>
      </c>
      <c r="T202" s="8"/>
      <c r="U202" s="8"/>
      <c r="V202" s="10"/>
      <c r="W202" s="8"/>
    </row>
    <row r="203" spans="1:23">
      <c r="A203" s="8"/>
      <c r="B203" s="10"/>
      <c r="C203" s="8"/>
      <c r="D203" s="8"/>
      <c r="E203" s="8"/>
      <c r="F203" s="8"/>
      <c r="G203" s="8"/>
      <c r="H203" s="8"/>
      <c r="I203" s="8"/>
      <c r="J203" s="11"/>
      <c r="K203" s="11"/>
      <c r="L203" s="11"/>
      <c r="M203" s="11"/>
      <c r="N203" s="11"/>
      <c r="O203" s="11"/>
      <c r="P203" s="12" t="str">
        <f t="shared" si="12"/>
        <v/>
      </c>
      <c r="Q203" s="16" t="str">
        <f t="shared" si="13"/>
        <v/>
      </c>
      <c r="R203" s="16" t="str">
        <f t="shared" si="14"/>
        <v/>
      </c>
      <c r="S203" s="9" t="str">
        <f t="shared" si="15"/>
        <v/>
      </c>
      <c r="T203" s="8"/>
      <c r="U203" s="8"/>
      <c r="V203" s="10"/>
      <c r="W203" s="8"/>
    </row>
    <row r="204" spans="1:23">
      <c r="A204" s="8"/>
      <c r="B204" s="10"/>
      <c r="C204" s="8"/>
      <c r="D204" s="8"/>
      <c r="E204" s="8"/>
      <c r="F204" s="8"/>
      <c r="G204" s="8"/>
      <c r="H204" s="8"/>
      <c r="I204" s="8"/>
      <c r="J204" s="11"/>
      <c r="K204" s="11"/>
      <c r="L204" s="11"/>
      <c r="M204" s="11"/>
      <c r="N204" s="11"/>
      <c r="O204" s="11"/>
      <c r="P204" s="12" t="str">
        <f t="shared" si="12"/>
        <v/>
      </c>
      <c r="Q204" s="16" t="str">
        <f t="shared" si="13"/>
        <v/>
      </c>
      <c r="R204" s="16" t="str">
        <f t="shared" si="14"/>
        <v/>
      </c>
      <c r="S204" s="9" t="str">
        <f t="shared" si="15"/>
        <v/>
      </c>
      <c r="T204" s="8"/>
      <c r="U204" s="8"/>
      <c r="V204" s="10"/>
      <c r="W204" s="8"/>
    </row>
    <row r="205" spans="1:23">
      <c r="A205" s="8"/>
      <c r="B205" s="10"/>
      <c r="C205" s="8"/>
      <c r="D205" s="8"/>
      <c r="E205" s="8"/>
      <c r="F205" s="8"/>
      <c r="G205" s="8"/>
      <c r="H205" s="8"/>
      <c r="I205" s="8"/>
      <c r="J205" s="11"/>
      <c r="K205" s="11"/>
      <c r="L205" s="11"/>
      <c r="M205" s="11"/>
      <c r="N205" s="11"/>
      <c r="O205" s="11"/>
      <c r="P205" s="12" t="str">
        <f t="shared" si="12"/>
        <v/>
      </c>
      <c r="Q205" s="16" t="str">
        <f t="shared" si="13"/>
        <v/>
      </c>
      <c r="R205" s="16" t="str">
        <f t="shared" si="14"/>
        <v/>
      </c>
      <c r="S205" s="9" t="str">
        <f t="shared" si="15"/>
        <v/>
      </c>
      <c r="T205" s="8"/>
      <c r="U205" s="8"/>
      <c r="V205" s="10"/>
      <c r="W205" s="8"/>
    </row>
    <row r="206" spans="1:23">
      <c r="A206" s="8"/>
      <c r="B206" s="10"/>
      <c r="C206" s="8"/>
      <c r="D206" s="8"/>
      <c r="E206" s="8"/>
      <c r="F206" s="8"/>
      <c r="G206" s="8"/>
      <c r="H206" s="8"/>
      <c r="I206" s="8"/>
      <c r="J206" s="11"/>
      <c r="K206" s="11"/>
      <c r="L206" s="11"/>
      <c r="M206" s="11"/>
      <c r="N206" s="11"/>
      <c r="O206" s="11"/>
      <c r="P206" s="12" t="str">
        <f t="shared" si="12"/>
        <v/>
      </c>
      <c r="Q206" s="16" t="str">
        <f t="shared" si="13"/>
        <v/>
      </c>
      <c r="R206" s="16" t="str">
        <f t="shared" si="14"/>
        <v/>
      </c>
      <c r="S206" s="9" t="str">
        <f t="shared" si="15"/>
        <v/>
      </c>
      <c r="T206" s="8"/>
      <c r="U206" s="8"/>
      <c r="V206" s="10"/>
      <c r="W206" s="8"/>
    </row>
    <row r="207" spans="1:23">
      <c r="A207" s="8"/>
      <c r="B207" s="10"/>
      <c r="C207" s="8"/>
      <c r="D207" s="8"/>
      <c r="E207" s="8"/>
      <c r="F207" s="8"/>
      <c r="G207" s="8"/>
      <c r="H207" s="8"/>
      <c r="I207" s="8"/>
      <c r="J207" s="11"/>
      <c r="K207" s="11"/>
      <c r="L207" s="11"/>
      <c r="M207" s="11"/>
      <c r="N207" s="11"/>
      <c r="O207" s="11"/>
      <c r="P207" s="12" t="str">
        <f t="shared" si="12"/>
        <v/>
      </c>
      <c r="Q207" s="16" t="str">
        <f t="shared" si="13"/>
        <v/>
      </c>
      <c r="R207" s="16" t="str">
        <f t="shared" si="14"/>
        <v/>
      </c>
      <c r="S207" s="9" t="str">
        <f t="shared" si="15"/>
        <v/>
      </c>
      <c r="T207" s="8"/>
      <c r="U207" s="8"/>
      <c r="V207" s="10"/>
      <c r="W207" s="8"/>
    </row>
    <row r="208" spans="1:23">
      <c r="A208" s="8"/>
      <c r="B208" s="10"/>
      <c r="C208" s="8"/>
      <c r="D208" s="8"/>
      <c r="E208" s="8"/>
      <c r="F208" s="8"/>
      <c r="G208" s="8"/>
      <c r="H208" s="8"/>
      <c r="I208" s="8"/>
      <c r="J208" s="11"/>
      <c r="K208" s="11"/>
      <c r="L208" s="11"/>
      <c r="M208" s="11"/>
      <c r="N208" s="11"/>
      <c r="O208" s="11"/>
      <c r="P208" s="12" t="str">
        <f t="shared" si="12"/>
        <v/>
      </c>
      <c r="Q208" s="16" t="str">
        <f t="shared" si="13"/>
        <v/>
      </c>
      <c r="R208" s="16" t="str">
        <f t="shared" si="14"/>
        <v/>
      </c>
      <c r="S208" s="9" t="str">
        <f t="shared" si="15"/>
        <v/>
      </c>
      <c r="T208" s="8"/>
      <c r="U208" s="8"/>
      <c r="V208" s="10"/>
      <c r="W208" s="8"/>
    </row>
    <row r="209" spans="1:23">
      <c r="A209" s="8"/>
      <c r="B209" s="10"/>
      <c r="C209" s="8"/>
      <c r="D209" s="8"/>
      <c r="E209" s="8"/>
      <c r="F209" s="8"/>
      <c r="G209" s="8"/>
      <c r="H209" s="8"/>
      <c r="I209" s="8"/>
      <c r="J209" s="11"/>
      <c r="K209" s="11"/>
      <c r="L209" s="11"/>
      <c r="M209" s="11"/>
      <c r="N209" s="11"/>
      <c r="O209" s="11"/>
      <c r="P209" s="12" t="str">
        <f t="shared" si="12"/>
        <v/>
      </c>
      <c r="Q209" s="16" t="str">
        <f t="shared" si="13"/>
        <v/>
      </c>
      <c r="R209" s="16" t="str">
        <f t="shared" si="14"/>
        <v/>
      </c>
      <c r="S209" s="9" t="str">
        <f t="shared" si="15"/>
        <v/>
      </c>
      <c r="T209" s="8"/>
      <c r="U209" s="8"/>
      <c r="V209" s="10"/>
      <c r="W209" s="8"/>
    </row>
    <row r="210" spans="1:23">
      <c r="A210" s="8"/>
      <c r="B210" s="10"/>
      <c r="C210" s="8"/>
      <c r="D210" s="8"/>
      <c r="E210" s="8"/>
      <c r="F210" s="8"/>
      <c r="G210" s="8"/>
      <c r="H210" s="8"/>
      <c r="I210" s="8"/>
      <c r="J210" s="11"/>
      <c r="K210" s="11"/>
      <c r="L210" s="11"/>
      <c r="M210" s="11"/>
      <c r="N210" s="11"/>
      <c r="O210" s="11"/>
      <c r="P210" s="12" t="str">
        <f t="shared" si="12"/>
        <v/>
      </c>
      <c r="Q210" s="16" t="str">
        <f t="shared" si="13"/>
        <v/>
      </c>
      <c r="R210" s="16" t="str">
        <f t="shared" si="14"/>
        <v/>
      </c>
      <c r="S210" s="9" t="str">
        <f t="shared" si="15"/>
        <v/>
      </c>
      <c r="T210" s="8"/>
      <c r="U210" s="8"/>
      <c r="V210" s="10"/>
      <c r="W210" s="8"/>
    </row>
    <row r="211" spans="1:23">
      <c r="A211" s="8"/>
      <c r="B211" s="10"/>
      <c r="C211" s="8"/>
      <c r="D211" s="8"/>
      <c r="E211" s="8"/>
      <c r="F211" s="8"/>
      <c r="G211" s="8"/>
      <c r="H211" s="8"/>
      <c r="I211" s="8"/>
      <c r="J211" s="11"/>
      <c r="K211" s="11"/>
      <c r="L211" s="11"/>
      <c r="M211" s="11"/>
      <c r="N211" s="11"/>
      <c r="O211" s="11"/>
      <c r="P211" s="12" t="str">
        <f t="shared" si="12"/>
        <v/>
      </c>
      <c r="Q211" s="16" t="str">
        <f t="shared" si="13"/>
        <v/>
      </c>
      <c r="R211" s="16" t="str">
        <f t="shared" si="14"/>
        <v/>
      </c>
      <c r="S211" s="9" t="str">
        <f t="shared" si="15"/>
        <v/>
      </c>
      <c r="T211" s="8"/>
      <c r="U211" s="8"/>
      <c r="V211" s="10"/>
      <c r="W211" s="8"/>
    </row>
    <row r="212" spans="1:23">
      <c r="A212" s="8"/>
      <c r="B212" s="10"/>
      <c r="C212" s="8"/>
      <c r="D212" s="8"/>
      <c r="E212" s="8"/>
      <c r="F212" s="8"/>
      <c r="G212" s="8"/>
      <c r="H212" s="8"/>
      <c r="I212" s="8"/>
      <c r="J212" s="11"/>
      <c r="K212" s="11"/>
      <c r="L212" s="11"/>
      <c r="M212" s="11"/>
      <c r="N212" s="11"/>
      <c r="O212" s="11"/>
      <c r="P212" s="12" t="str">
        <f t="shared" si="12"/>
        <v/>
      </c>
      <c r="Q212" s="16" t="str">
        <f t="shared" si="13"/>
        <v/>
      </c>
      <c r="R212" s="16" t="str">
        <f t="shared" si="14"/>
        <v/>
      </c>
      <c r="S212" s="9" t="str">
        <f t="shared" si="15"/>
        <v/>
      </c>
      <c r="T212" s="8"/>
      <c r="U212" s="8"/>
      <c r="V212" s="10"/>
      <c r="W212" s="8"/>
    </row>
    <row r="213" spans="1:23">
      <c r="A213" s="8"/>
      <c r="B213" s="10"/>
      <c r="C213" s="8"/>
      <c r="D213" s="8"/>
      <c r="E213" s="8"/>
      <c r="F213" s="8"/>
      <c r="G213" s="8"/>
      <c r="H213" s="8"/>
      <c r="I213" s="8"/>
      <c r="J213" s="11"/>
      <c r="K213" s="11"/>
      <c r="L213" s="11"/>
      <c r="M213" s="11"/>
      <c r="N213" s="11"/>
      <c r="O213" s="11"/>
      <c r="P213" s="12" t="str">
        <f t="shared" si="12"/>
        <v/>
      </c>
      <c r="Q213" s="16" t="str">
        <f t="shared" si="13"/>
        <v/>
      </c>
      <c r="R213" s="16" t="str">
        <f t="shared" si="14"/>
        <v/>
      </c>
      <c r="S213" s="9" t="str">
        <f t="shared" si="15"/>
        <v/>
      </c>
      <c r="T213" s="8"/>
      <c r="U213" s="8"/>
      <c r="V213" s="10"/>
      <c r="W213" s="8"/>
    </row>
    <row r="214" spans="1:23">
      <c r="A214" s="8"/>
      <c r="B214" s="10"/>
      <c r="C214" s="8"/>
      <c r="D214" s="8"/>
      <c r="E214" s="8"/>
      <c r="F214" s="8"/>
      <c r="G214" s="8"/>
      <c r="H214" s="8"/>
      <c r="I214" s="8"/>
      <c r="J214" s="11"/>
      <c r="K214" s="11"/>
      <c r="L214" s="11"/>
      <c r="M214" s="11"/>
      <c r="N214" s="11"/>
      <c r="O214" s="11"/>
      <c r="P214" s="12" t="str">
        <f t="shared" si="12"/>
        <v/>
      </c>
      <c r="Q214" s="16" t="str">
        <f t="shared" si="13"/>
        <v/>
      </c>
      <c r="R214" s="16" t="str">
        <f t="shared" si="14"/>
        <v/>
      </c>
      <c r="S214" s="9" t="str">
        <f t="shared" si="15"/>
        <v/>
      </c>
      <c r="T214" s="8"/>
      <c r="U214" s="8"/>
      <c r="V214" s="10"/>
      <c r="W214" s="8"/>
    </row>
    <row r="215" spans="1:23">
      <c r="A215" s="8"/>
      <c r="B215" s="10"/>
      <c r="C215" s="8"/>
      <c r="D215" s="8"/>
      <c r="E215" s="8"/>
      <c r="F215" s="8"/>
      <c r="G215" s="8"/>
      <c r="H215" s="8"/>
      <c r="I215" s="8"/>
      <c r="J215" s="11"/>
      <c r="K215" s="11"/>
      <c r="L215" s="11"/>
      <c r="M215" s="11"/>
      <c r="N215" s="11"/>
      <c r="O215" s="11"/>
      <c r="P215" s="12" t="str">
        <f t="shared" si="12"/>
        <v/>
      </c>
      <c r="Q215" s="16" t="str">
        <f t="shared" si="13"/>
        <v/>
      </c>
      <c r="R215" s="16" t="str">
        <f t="shared" si="14"/>
        <v/>
      </c>
      <c r="S215" s="9" t="str">
        <f t="shared" si="15"/>
        <v/>
      </c>
      <c r="T215" s="8"/>
      <c r="U215" s="8"/>
      <c r="V215" s="10"/>
      <c r="W215" s="8"/>
    </row>
    <row r="216" spans="1:23">
      <c r="A216" s="8"/>
      <c r="B216" s="10"/>
      <c r="C216" s="8"/>
      <c r="D216" s="8"/>
      <c r="E216" s="8"/>
      <c r="F216" s="8"/>
      <c r="G216" s="8"/>
      <c r="H216" s="8"/>
      <c r="I216" s="8"/>
      <c r="J216" s="11"/>
      <c r="K216" s="11"/>
      <c r="L216" s="11"/>
      <c r="M216" s="11"/>
      <c r="N216" s="11"/>
      <c r="O216" s="11"/>
      <c r="P216" s="12" t="str">
        <f t="shared" si="12"/>
        <v/>
      </c>
      <c r="Q216" s="16" t="str">
        <f t="shared" si="13"/>
        <v/>
      </c>
      <c r="R216" s="16" t="str">
        <f t="shared" si="14"/>
        <v/>
      </c>
      <c r="S216" s="9" t="str">
        <f t="shared" si="15"/>
        <v/>
      </c>
      <c r="T216" s="8"/>
      <c r="U216" s="8"/>
      <c r="V216" s="10"/>
      <c r="W216" s="8"/>
    </row>
    <row r="217" spans="1:23">
      <c r="A217" s="8"/>
      <c r="B217" s="10"/>
      <c r="C217" s="8"/>
      <c r="D217" s="8"/>
      <c r="E217" s="8"/>
      <c r="F217" s="8"/>
      <c r="G217" s="8"/>
      <c r="H217" s="8"/>
      <c r="I217" s="8"/>
      <c r="J217" s="11"/>
      <c r="K217" s="11"/>
      <c r="L217" s="11"/>
      <c r="M217" s="11"/>
      <c r="N217" s="11"/>
      <c r="O217" s="11"/>
      <c r="P217" s="12" t="str">
        <f t="shared" si="12"/>
        <v/>
      </c>
      <c r="Q217" s="16" t="str">
        <f t="shared" si="13"/>
        <v/>
      </c>
      <c r="R217" s="16" t="str">
        <f t="shared" si="14"/>
        <v/>
      </c>
      <c r="S217" s="9" t="str">
        <f t="shared" si="15"/>
        <v/>
      </c>
      <c r="T217" s="8"/>
      <c r="U217" s="8"/>
      <c r="V217" s="10"/>
      <c r="W217" s="8"/>
    </row>
    <row r="218" spans="1:23">
      <c r="A218" s="8"/>
      <c r="B218" s="10"/>
      <c r="C218" s="8"/>
      <c r="D218" s="8"/>
      <c r="E218" s="8"/>
      <c r="F218" s="8"/>
      <c r="G218" s="8"/>
      <c r="H218" s="8"/>
      <c r="I218" s="8"/>
      <c r="J218" s="11"/>
      <c r="K218" s="11"/>
      <c r="L218" s="11"/>
      <c r="M218" s="11"/>
      <c r="N218" s="11"/>
      <c r="O218" s="11"/>
      <c r="P218" s="12" t="str">
        <f t="shared" si="12"/>
        <v/>
      </c>
      <c r="Q218" s="16" t="str">
        <f t="shared" si="13"/>
        <v/>
      </c>
      <c r="R218" s="16" t="str">
        <f t="shared" si="14"/>
        <v/>
      </c>
      <c r="S218" s="9" t="str">
        <f t="shared" si="15"/>
        <v/>
      </c>
      <c r="T218" s="8"/>
      <c r="U218" s="8"/>
      <c r="V218" s="10"/>
      <c r="W218" s="8"/>
    </row>
    <row r="219" spans="1:23">
      <c r="A219" s="8"/>
      <c r="B219" s="10"/>
      <c r="C219" s="8"/>
      <c r="D219" s="8"/>
      <c r="E219" s="8"/>
      <c r="F219" s="8"/>
      <c r="G219" s="8"/>
      <c r="H219" s="8"/>
      <c r="I219" s="8"/>
      <c r="J219" s="11"/>
      <c r="K219" s="11"/>
      <c r="L219" s="11"/>
      <c r="M219" s="11"/>
      <c r="N219" s="11"/>
      <c r="O219" s="11"/>
      <c r="P219" s="12" t="str">
        <f t="shared" si="12"/>
        <v/>
      </c>
      <c r="Q219" s="16" t="str">
        <f t="shared" si="13"/>
        <v/>
      </c>
      <c r="R219" s="16" t="str">
        <f t="shared" si="14"/>
        <v/>
      </c>
      <c r="S219" s="9" t="str">
        <f t="shared" si="15"/>
        <v/>
      </c>
      <c r="T219" s="8"/>
      <c r="U219" s="8"/>
      <c r="V219" s="10"/>
      <c r="W219" s="8"/>
    </row>
    <row r="220" spans="1:23">
      <c r="A220" s="8"/>
      <c r="B220" s="10"/>
      <c r="C220" s="8"/>
      <c r="D220" s="8"/>
      <c r="E220" s="8"/>
      <c r="F220" s="8"/>
      <c r="G220" s="8"/>
      <c r="H220" s="8"/>
      <c r="I220" s="8"/>
      <c r="J220" s="11"/>
      <c r="K220" s="11"/>
      <c r="L220" s="11"/>
      <c r="M220" s="11"/>
      <c r="N220" s="11"/>
      <c r="O220" s="11"/>
      <c r="P220" s="12" t="str">
        <f t="shared" si="12"/>
        <v/>
      </c>
      <c r="Q220" s="16" t="str">
        <f t="shared" si="13"/>
        <v/>
      </c>
      <c r="R220" s="16" t="str">
        <f t="shared" si="14"/>
        <v/>
      </c>
      <c r="S220" s="9" t="str">
        <f t="shared" si="15"/>
        <v/>
      </c>
      <c r="T220" s="8"/>
      <c r="U220" s="8"/>
      <c r="V220" s="10"/>
      <c r="W220" s="8"/>
    </row>
    <row r="221" spans="1:23">
      <c r="A221" s="8"/>
      <c r="B221" s="10"/>
      <c r="C221" s="8"/>
      <c r="D221" s="8"/>
      <c r="E221" s="8"/>
      <c r="F221" s="8"/>
      <c r="G221" s="8"/>
      <c r="H221" s="8"/>
      <c r="I221" s="8"/>
      <c r="J221" s="11"/>
      <c r="K221" s="11"/>
      <c r="L221" s="11"/>
      <c r="M221" s="11"/>
      <c r="N221" s="11"/>
      <c r="O221" s="11"/>
      <c r="P221" s="12" t="str">
        <f t="shared" si="12"/>
        <v/>
      </c>
      <c r="Q221" s="16" t="str">
        <f t="shared" si="13"/>
        <v/>
      </c>
      <c r="R221" s="16" t="str">
        <f t="shared" si="14"/>
        <v/>
      </c>
      <c r="S221" s="9" t="str">
        <f t="shared" si="15"/>
        <v/>
      </c>
      <c r="T221" s="8"/>
      <c r="U221" s="8"/>
      <c r="V221" s="10"/>
      <c r="W221" s="8"/>
    </row>
    <row r="222" spans="1:23">
      <c r="A222" s="8"/>
      <c r="B222" s="10"/>
      <c r="C222" s="8"/>
      <c r="D222" s="8"/>
      <c r="E222" s="8"/>
      <c r="F222" s="8"/>
      <c r="G222" s="8"/>
      <c r="H222" s="8"/>
      <c r="I222" s="8"/>
      <c r="J222" s="11"/>
      <c r="K222" s="11"/>
      <c r="L222" s="11"/>
      <c r="M222" s="11"/>
      <c r="N222" s="11"/>
      <c r="O222" s="11"/>
      <c r="P222" s="12" t="str">
        <f t="shared" si="12"/>
        <v/>
      </c>
      <c r="Q222" s="16" t="str">
        <f t="shared" si="13"/>
        <v/>
      </c>
      <c r="R222" s="16" t="str">
        <f t="shared" si="14"/>
        <v/>
      </c>
      <c r="S222" s="9" t="str">
        <f t="shared" si="15"/>
        <v/>
      </c>
      <c r="T222" s="8"/>
      <c r="U222" s="8"/>
      <c r="V222" s="10"/>
      <c r="W222" s="8"/>
    </row>
    <row r="223" spans="1:23">
      <c r="A223" s="8"/>
      <c r="B223" s="10"/>
      <c r="C223" s="8"/>
      <c r="D223" s="8"/>
      <c r="E223" s="8"/>
      <c r="F223" s="8"/>
      <c r="G223" s="8"/>
      <c r="H223" s="8"/>
      <c r="I223" s="8"/>
      <c r="J223" s="11"/>
      <c r="K223" s="11"/>
      <c r="L223" s="11"/>
      <c r="M223" s="11"/>
      <c r="N223" s="11"/>
      <c r="O223" s="11"/>
      <c r="P223" s="12" t="str">
        <f t="shared" si="12"/>
        <v/>
      </c>
      <c r="Q223" s="16" t="str">
        <f t="shared" si="13"/>
        <v/>
      </c>
      <c r="R223" s="16" t="str">
        <f t="shared" si="14"/>
        <v/>
      </c>
      <c r="S223" s="9" t="str">
        <f t="shared" si="15"/>
        <v/>
      </c>
      <c r="T223" s="8"/>
      <c r="U223" s="8"/>
      <c r="V223" s="10"/>
      <c r="W223" s="8"/>
    </row>
    <row r="224" spans="1:23">
      <c r="A224" s="8"/>
      <c r="B224" s="10"/>
      <c r="C224" s="8"/>
      <c r="D224" s="8"/>
      <c r="E224" s="8"/>
      <c r="F224" s="8"/>
      <c r="G224" s="8"/>
      <c r="H224" s="8"/>
      <c r="I224" s="8"/>
      <c r="J224" s="11"/>
      <c r="K224" s="11"/>
      <c r="L224" s="11"/>
      <c r="M224" s="11"/>
      <c r="N224" s="11"/>
      <c r="O224" s="11"/>
      <c r="P224" s="12" t="str">
        <f t="shared" si="12"/>
        <v/>
      </c>
      <c r="Q224" s="16" t="str">
        <f t="shared" si="13"/>
        <v/>
      </c>
      <c r="R224" s="16" t="str">
        <f t="shared" si="14"/>
        <v/>
      </c>
      <c r="S224" s="9" t="str">
        <f t="shared" si="15"/>
        <v/>
      </c>
      <c r="T224" s="8"/>
      <c r="U224" s="8"/>
      <c r="V224" s="10"/>
      <c r="W224" s="8"/>
    </row>
    <row r="225" spans="1:23">
      <c r="A225" s="8"/>
      <c r="B225" s="10"/>
      <c r="C225" s="8"/>
      <c r="D225" s="8"/>
      <c r="E225" s="8"/>
      <c r="F225" s="8"/>
      <c r="G225" s="8"/>
      <c r="H225" s="8"/>
      <c r="I225" s="8"/>
      <c r="J225" s="11"/>
      <c r="K225" s="11"/>
      <c r="L225" s="11"/>
      <c r="M225" s="11"/>
      <c r="N225" s="11"/>
      <c r="O225" s="11"/>
      <c r="P225" s="12" t="str">
        <f t="shared" si="12"/>
        <v/>
      </c>
      <c r="Q225" s="16" t="str">
        <f t="shared" si="13"/>
        <v/>
      </c>
      <c r="R225" s="16" t="str">
        <f t="shared" si="14"/>
        <v/>
      </c>
      <c r="S225" s="9" t="str">
        <f t="shared" si="15"/>
        <v/>
      </c>
      <c r="T225" s="8"/>
      <c r="U225" s="8"/>
      <c r="V225" s="10"/>
      <c r="W225" s="8"/>
    </row>
    <row r="226" spans="1:23">
      <c r="A226" s="8"/>
      <c r="B226" s="10"/>
      <c r="C226" s="8"/>
      <c r="D226" s="8"/>
      <c r="E226" s="8"/>
      <c r="F226" s="8"/>
      <c r="G226" s="8"/>
      <c r="H226" s="8"/>
      <c r="I226" s="8"/>
      <c r="J226" s="11"/>
      <c r="K226" s="11"/>
      <c r="L226" s="11"/>
      <c r="M226" s="11"/>
      <c r="N226" s="11"/>
      <c r="O226" s="11"/>
      <c r="P226" s="12" t="str">
        <f t="shared" si="12"/>
        <v/>
      </c>
      <c r="Q226" s="16" t="str">
        <f t="shared" si="13"/>
        <v/>
      </c>
      <c r="R226" s="16" t="str">
        <f t="shared" si="14"/>
        <v/>
      </c>
      <c r="S226" s="9" t="str">
        <f t="shared" si="15"/>
        <v/>
      </c>
      <c r="T226" s="8"/>
      <c r="U226" s="8"/>
      <c r="V226" s="10"/>
      <c r="W226" s="8"/>
    </row>
    <row r="227" spans="1:23">
      <c r="A227" s="8"/>
      <c r="B227" s="10"/>
      <c r="C227" s="8"/>
      <c r="D227" s="8"/>
      <c r="E227" s="8"/>
      <c r="F227" s="8"/>
      <c r="G227" s="8"/>
      <c r="H227" s="8"/>
      <c r="I227" s="8"/>
      <c r="J227" s="11"/>
      <c r="K227" s="11"/>
      <c r="L227" s="11"/>
      <c r="M227" s="11"/>
      <c r="N227" s="11"/>
      <c r="O227" s="11"/>
      <c r="P227" s="12" t="str">
        <f t="shared" si="12"/>
        <v/>
      </c>
      <c r="Q227" s="16" t="str">
        <f t="shared" si="13"/>
        <v/>
      </c>
      <c r="R227" s="16" t="str">
        <f t="shared" si="14"/>
        <v/>
      </c>
      <c r="S227" s="9" t="str">
        <f t="shared" si="15"/>
        <v/>
      </c>
      <c r="T227" s="8"/>
      <c r="U227" s="8"/>
      <c r="V227" s="10"/>
      <c r="W227" s="8"/>
    </row>
    <row r="228" spans="1:23">
      <c r="A228" s="8"/>
      <c r="B228" s="10"/>
      <c r="C228" s="8"/>
      <c r="D228" s="8"/>
      <c r="E228" s="8"/>
      <c r="F228" s="8"/>
      <c r="G228" s="8"/>
      <c r="H228" s="8"/>
      <c r="I228" s="8"/>
      <c r="J228" s="11"/>
      <c r="K228" s="11"/>
      <c r="L228" s="11"/>
      <c r="M228" s="11"/>
      <c r="N228" s="11"/>
      <c r="O228" s="11"/>
      <c r="P228" s="12" t="str">
        <f t="shared" si="12"/>
        <v/>
      </c>
      <c r="Q228" s="16" t="str">
        <f t="shared" si="13"/>
        <v/>
      </c>
      <c r="R228" s="16" t="str">
        <f t="shared" si="14"/>
        <v/>
      </c>
      <c r="S228" s="9" t="str">
        <f t="shared" si="15"/>
        <v/>
      </c>
      <c r="T228" s="8"/>
      <c r="U228" s="8"/>
      <c r="V228" s="10"/>
      <c r="W228" s="8"/>
    </row>
    <row r="229" spans="1:23">
      <c r="A229" s="8"/>
      <c r="B229" s="10"/>
      <c r="C229" s="8"/>
      <c r="D229" s="8"/>
      <c r="E229" s="8"/>
      <c r="F229" s="8"/>
      <c r="G229" s="8"/>
      <c r="H229" s="8"/>
      <c r="I229" s="8"/>
      <c r="J229" s="11"/>
      <c r="K229" s="11"/>
      <c r="L229" s="11"/>
      <c r="M229" s="11"/>
      <c r="N229" s="11"/>
      <c r="O229" s="11"/>
      <c r="P229" s="12" t="str">
        <f t="shared" si="12"/>
        <v/>
      </c>
      <c r="Q229" s="16" t="str">
        <f t="shared" si="13"/>
        <v/>
      </c>
      <c r="R229" s="16" t="str">
        <f t="shared" si="14"/>
        <v/>
      </c>
      <c r="S229" s="9" t="str">
        <f t="shared" si="15"/>
        <v/>
      </c>
      <c r="T229" s="8"/>
      <c r="U229" s="8"/>
      <c r="V229" s="10"/>
      <c r="W229" s="8"/>
    </row>
    <row r="230" spans="1:23">
      <c r="A230" s="8"/>
      <c r="B230" s="10"/>
      <c r="C230" s="8"/>
      <c r="D230" s="8"/>
      <c r="E230" s="8"/>
      <c r="F230" s="8"/>
      <c r="G230" s="8"/>
      <c r="H230" s="8"/>
      <c r="I230" s="8"/>
      <c r="J230" s="11"/>
      <c r="K230" s="11"/>
      <c r="L230" s="11"/>
      <c r="M230" s="11"/>
      <c r="N230" s="11"/>
      <c r="O230" s="11"/>
      <c r="P230" s="12" t="str">
        <f t="shared" si="12"/>
        <v/>
      </c>
      <c r="Q230" s="16" t="str">
        <f t="shared" si="13"/>
        <v/>
      </c>
      <c r="R230" s="16" t="str">
        <f t="shared" si="14"/>
        <v/>
      </c>
      <c r="S230" s="9" t="str">
        <f t="shared" si="15"/>
        <v/>
      </c>
      <c r="T230" s="8"/>
      <c r="U230" s="8"/>
      <c r="V230" s="10"/>
      <c r="W230" s="8"/>
    </row>
    <row r="231" spans="1:23">
      <c r="A231" s="8"/>
      <c r="B231" s="10"/>
      <c r="C231" s="8"/>
      <c r="D231" s="8"/>
      <c r="E231" s="8"/>
      <c r="F231" s="8"/>
      <c r="G231" s="8"/>
      <c r="H231" s="8"/>
      <c r="I231" s="8"/>
      <c r="J231" s="11"/>
      <c r="K231" s="11"/>
      <c r="L231" s="11"/>
      <c r="M231" s="11"/>
      <c r="N231" s="11"/>
      <c r="O231" s="11"/>
      <c r="P231" s="12" t="str">
        <f t="shared" si="12"/>
        <v/>
      </c>
      <c r="Q231" s="16" t="str">
        <f t="shared" si="13"/>
        <v/>
      </c>
      <c r="R231" s="16" t="str">
        <f t="shared" si="14"/>
        <v/>
      </c>
      <c r="S231" s="9" t="str">
        <f t="shared" si="15"/>
        <v/>
      </c>
      <c r="T231" s="8"/>
      <c r="U231" s="8"/>
      <c r="V231" s="10"/>
      <c r="W231" s="8"/>
    </row>
    <row r="232" spans="1:23">
      <c r="A232" s="8"/>
      <c r="B232" s="10"/>
      <c r="C232" s="8"/>
      <c r="D232" s="8"/>
      <c r="E232" s="8"/>
      <c r="F232" s="8"/>
      <c r="G232" s="8"/>
      <c r="H232" s="8"/>
      <c r="I232" s="8"/>
      <c r="J232" s="11"/>
      <c r="K232" s="11"/>
      <c r="L232" s="11"/>
      <c r="M232" s="11"/>
      <c r="N232" s="11"/>
      <c r="O232" s="11"/>
      <c r="P232" s="12" t="str">
        <f t="shared" si="12"/>
        <v/>
      </c>
      <c r="Q232" s="16" t="str">
        <f t="shared" si="13"/>
        <v/>
      </c>
      <c r="R232" s="16" t="str">
        <f t="shared" si="14"/>
        <v/>
      </c>
      <c r="S232" s="9" t="str">
        <f t="shared" si="15"/>
        <v/>
      </c>
      <c r="T232" s="8"/>
      <c r="U232" s="8"/>
      <c r="V232" s="10"/>
      <c r="W232" s="8"/>
    </row>
    <row r="233" spans="1:23">
      <c r="A233" s="8"/>
      <c r="B233" s="10"/>
      <c r="C233" s="8"/>
      <c r="D233" s="8"/>
      <c r="E233" s="8"/>
      <c r="F233" s="8"/>
      <c r="G233" s="8"/>
      <c r="H233" s="8"/>
      <c r="I233" s="8"/>
      <c r="J233" s="11"/>
      <c r="K233" s="11"/>
      <c r="L233" s="11"/>
      <c r="M233" s="11"/>
      <c r="N233" s="11"/>
      <c r="O233" s="11"/>
      <c r="P233" s="12" t="str">
        <f t="shared" si="12"/>
        <v/>
      </c>
      <c r="Q233" s="16" t="str">
        <f t="shared" si="13"/>
        <v/>
      </c>
      <c r="R233" s="16" t="str">
        <f t="shared" si="14"/>
        <v/>
      </c>
      <c r="S233" s="9" t="str">
        <f t="shared" si="15"/>
        <v/>
      </c>
      <c r="T233" s="8"/>
      <c r="U233" s="8"/>
      <c r="V233" s="10"/>
      <c r="W233" s="8"/>
    </row>
    <row r="234" spans="1:23">
      <c r="A234" s="8"/>
      <c r="B234" s="10"/>
      <c r="C234" s="8"/>
      <c r="D234" s="8"/>
      <c r="E234" s="8"/>
      <c r="F234" s="8"/>
      <c r="G234" s="8"/>
      <c r="H234" s="8"/>
      <c r="I234" s="8"/>
      <c r="J234" s="11"/>
      <c r="K234" s="11"/>
      <c r="L234" s="11"/>
      <c r="M234" s="11"/>
      <c r="N234" s="11"/>
      <c r="O234" s="11"/>
      <c r="P234" s="12" t="str">
        <f t="shared" si="12"/>
        <v/>
      </c>
      <c r="Q234" s="16" t="str">
        <f t="shared" si="13"/>
        <v/>
      </c>
      <c r="R234" s="16" t="str">
        <f t="shared" si="14"/>
        <v/>
      </c>
      <c r="S234" s="9" t="str">
        <f t="shared" si="15"/>
        <v/>
      </c>
      <c r="T234" s="8"/>
      <c r="U234" s="8"/>
      <c r="V234" s="10"/>
      <c r="W234" s="8"/>
    </row>
    <row r="235" spans="1:23">
      <c r="A235" s="8"/>
      <c r="B235" s="10"/>
      <c r="C235" s="8"/>
      <c r="D235" s="8"/>
      <c r="E235" s="8"/>
      <c r="F235" s="8"/>
      <c r="G235" s="8"/>
      <c r="H235" s="8"/>
      <c r="I235" s="8"/>
      <c r="J235" s="11"/>
      <c r="K235" s="11"/>
      <c r="L235" s="11"/>
      <c r="M235" s="11"/>
      <c r="N235" s="11"/>
      <c r="O235" s="11"/>
      <c r="P235" s="12" t="str">
        <f t="shared" si="12"/>
        <v/>
      </c>
      <c r="Q235" s="16" t="str">
        <f t="shared" si="13"/>
        <v/>
      </c>
      <c r="R235" s="16" t="str">
        <f t="shared" si="14"/>
        <v/>
      </c>
      <c r="S235" s="9" t="str">
        <f t="shared" si="15"/>
        <v/>
      </c>
      <c r="T235" s="8"/>
      <c r="U235" s="8"/>
      <c r="V235" s="10"/>
      <c r="W235" s="8"/>
    </row>
    <row r="236" spans="1:23">
      <c r="A236" s="8"/>
      <c r="B236" s="10"/>
      <c r="C236" s="8"/>
      <c r="D236" s="8"/>
      <c r="E236" s="8"/>
      <c r="F236" s="8"/>
      <c r="G236" s="8"/>
      <c r="H236" s="8"/>
      <c r="I236" s="8"/>
      <c r="J236" s="11"/>
      <c r="K236" s="11"/>
      <c r="L236" s="11"/>
      <c r="M236" s="11"/>
      <c r="N236" s="11"/>
      <c r="O236" s="11"/>
      <c r="P236" s="12" t="str">
        <f t="shared" si="12"/>
        <v/>
      </c>
      <c r="Q236" s="16" t="str">
        <f t="shared" si="13"/>
        <v/>
      </c>
      <c r="R236" s="16" t="str">
        <f t="shared" si="14"/>
        <v/>
      </c>
      <c r="S236" s="9" t="str">
        <f t="shared" si="15"/>
        <v/>
      </c>
      <c r="T236" s="8"/>
      <c r="U236" s="8"/>
      <c r="V236" s="10"/>
      <c r="W236" s="8"/>
    </row>
    <row r="237" spans="1:23">
      <c r="A237" s="8"/>
      <c r="B237" s="10"/>
      <c r="C237" s="8"/>
      <c r="D237" s="8"/>
      <c r="E237" s="8"/>
      <c r="F237" s="8"/>
      <c r="G237" s="8"/>
      <c r="H237" s="8"/>
      <c r="I237" s="8"/>
      <c r="J237" s="11"/>
      <c r="K237" s="11"/>
      <c r="L237" s="11"/>
      <c r="M237" s="11"/>
      <c r="N237" s="11"/>
      <c r="O237" s="11"/>
      <c r="P237" s="12" t="str">
        <f t="shared" si="12"/>
        <v/>
      </c>
      <c r="Q237" s="16" t="str">
        <f t="shared" si="13"/>
        <v/>
      </c>
      <c r="R237" s="16" t="str">
        <f t="shared" si="14"/>
        <v/>
      </c>
      <c r="S237" s="9" t="str">
        <f t="shared" si="15"/>
        <v/>
      </c>
      <c r="T237" s="8"/>
      <c r="U237" s="8"/>
      <c r="V237" s="10"/>
      <c r="W237" s="8"/>
    </row>
    <row r="238" spans="1:23">
      <c r="A238" s="8"/>
      <c r="B238" s="10"/>
      <c r="C238" s="8"/>
      <c r="D238" s="8"/>
      <c r="E238" s="8"/>
      <c r="F238" s="8"/>
      <c r="G238" s="8"/>
      <c r="H238" s="8"/>
      <c r="I238" s="8"/>
      <c r="J238" s="11"/>
      <c r="K238" s="11"/>
      <c r="L238" s="11"/>
      <c r="M238" s="11"/>
      <c r="N238" s="11"/>
      <c r="O238" s="11"/>
      <c r="P238" s="12" t="str">
        <f t="shared" si="12"/>
        <v/>
      </c>
      <c r="Q238" s="16" t="str">
        <f t="shared" si="13"/>
        <v/>
      </c>
      <c r="R238" s="16" t="str">
        <f t="shared" si="14"/>
        <v/>
      </c>
      <c r="S238" s="9" t="str">
        <f t="shared" si="15"/>
        <v/>
      </c>
      <c r="T238" s="8"/>
      <c r="U238" s="8"/>
      <c r="V238" s="10"/>
      <c r="W238" s="8"/>
    </row>
    <row r="239" spans="1:23">
      <c r="A239" s="8"/>
      <c r="B239" s="10"/>
      <c r="C239" s="8"/>
      <c r="D239" s="8"/>
      <c r="E239" s="8"/>
      <c r="F239" s="8"/>
      <c r="G239" s="8"/>
      <c r="H239" s="8"/>
      <c r="I239" s="8"/>
      <c r="J239" s="11"/>
      <c r="K239" s="11"/>
      <c r="L239" s="11"/>
      <c r="M239" s="11"/>
      <c r="N239" s="11"/>
      <c r="O239" s="11"/>
      <c r="P239" s="12" t="str">
        <f t="shared" si="12"/>
        <v/>
      </c>
      <c r="Q239" s="16" t="str">
        <f t="shared" si="13"/>
        <v/>
      </c>
      <c r="R239" s="16" t="str">
        <f t="shared" si="14"/>
        <v/>
      </c>
      <c r="S239" s="9" t="str">
        <f t="shared" si="15"/>
        <v/>
      </c>
      <c r="T239" s="8"/>
      <c r="U239" s="8"/>
      <c r="V239" s="10"/>
      <c r="W239" s="8"/>
    </row>
    <row r="240" spans="1:23">
      <c r="A240" s="8"/>
      <c r="B240" s="10"/>
      <c r="C240" s="8"/>
      <c r="D240" s="8"/>
      <c r="E240" s="8"/>
      <c r="F240" s="8"/>
      <c r="G240" s="8"/>
      <c r="H240" s="8"/>
      <c r="I240" s="8"/>
      <c r="J240" s="11"/>
      <c r="K240" s="11"/>
      <c r="L240" s="11"/>
      <c r="M240" s="11"/>
      <c r="N240" s="11"/>
      <c r="O240" s="11"/>
      <c r="P240" s="12" t="str">
        <f t="shared" si="12"/>
        <v/>
      </c>
      <c r="Q240" s="16" t="str">
        <f t="shared" si="13"/>
        <v/>
      </c>
      <c r="R240" s="16" t="str">
        <f t="shared" si="14"/>
        <v/>
      </c>
      <c r="S240" s="9" t="str">
        <f t="shared" si="15"/>
        <v/>
      </c>
      <c r="T240" s="8"/>
      <c r="U240" s="8"/>
      <c r="V240" s="10"/>
      <c r="W240" s="8"/>
    </row>
    <row r="241" spans="1:23">
      <c r="A241" s="8"/>
      <c r="B241" s="10"/>
      <c r="C241" s="8"/>
      <c r="D241" s="8"/>
      <c r="E241" s="8"/>
      <c r="F241" s="8"/>
      <c r="G241" s="8"/>
      <c r="H241" s="8"/>
      <c r="I241" s="8"/>
      <c r="J241" s="11"/>
      <c r="K241" s="11"/>
      <c r="L241" s="11"/>
      <c r="M241" s="11"/>
      <c r="N241" s="11"/>
      <c r="O241" s="11"/>
      <c r="P241" s="12" t="str">
        <f t="shared" si="12"/>
        <v/>
      </c>
      <c r="Q241" s="16" t="str">
        <f t="shared" si="13"/>
        <v/>
      </c>
      <c r="R241" s="16" t="str">
        <f t="shared" si="14"/>
        <v/>
      </c>
      <c r="S241" s="9" t="str">
        <f t="shared" si="15"/>
        <v/>
      </c>
      <c r="T241" s="8"/>
      <c r="U241" s="8"/>
      <c r="V241" s="10"/>
      <c r="W241" s="8"/>
    </row>
    <row r="242" spans="1:23">
      <c r="A242" s="8"/>
      <c r="B242" s="10"/>
      <c r="C242" s="8"/>
      <c r="D242" s="8"/>
      <c r="E242" s="8"/>
      <c r="F242" s="8"/>
      <c r="G242" s="8"/>
      <c r="H242" s="8"/>
      <c r="I242" s="8"/>
      <c r="J242" s="11"/>
      <c r="K242" s="11"/>
      <c r="L242" s="11"/>
      <c r="M242" s="11"/>
      <c r="N242" s="11"/>
      <c r="O242" s="11"/>
      <c r="P242" s="12" t="str">
        <f t="shared" si="12"/>
        <v/>
      </c>
      <c r="Q242" s="16" t="str">
        <f t="shared" si="13"/>
        <v/>
      </c>
      <c r="R242" s="16" t="str">
        <f t="shared" si="14"/>
        <v/>
      </c>
      <c r="S242" s="9" t="str">
        <f t="shared" si="15"/>
        <v/>
      </c>
      <c r="T242" s="8"/>
      <c r="U242" s="8"/>
      <c r="V242" s="10"/>
      <c r="W242" s="8"/>
    </row>
    <row r="243" spans="1:23">
      <c r="A243" s="8"/>
      <c r="B243" s="10"/>
      <c r="C243" s="8"/>
      <c r="D243" s="8"/>
      <c r="E243" s="8"/>
      <c r="F243" s="8"/>
      <c r="G243" s="8"/>
      <c r="H243" s="8"/>
      <c r="I243" s="8"/>
      <c r="J243" s="11"/>
      <c r="K243" s="11"/>
      <c r="L243" s="11"/>
      <c r="M243" s="11"/>
      <c r="N243" s="11"/>
      <c r="O243" s="11"/>
      <c r="P243" s="12" t="str">
        <f t="shared" si="12"/>
        <v/>
      </c>
      <c r="Q243" s="16" t="str">
        <f t="shared" si="13"/>
        <v/>
      </c>
      <c r="R243" s="16" t="str">
        <f t="shared" si="14"/>
        <v/>
      </c>
      <c r="S243" s="9" t="str">
        <f t="shared" si="15"/>
        <v/>
      </c>
      <c r="T243" s="8"/>
      <c r="U243" s="8"/>
      <c r="V243" s="10"/>
      <c r="W243" s="8"/>
    </row>
    <row r="244" spans="1:23">
      <c r="A244" s="8"/>
      <c r="B244" s="10"/>
      <c r="C244" s="8"/>
      <c r="D244" s="8"/>
      <c r="E244" s="8"/>
      <c r="F244" s="8"/>
      <c r="G244" s="8"/>
      <c r="H244" s="8"/>
      <c r="I244" s="8"/>
      <c r="J244" s="11"/>
      <c r="K244" s="11"/>
      <c r="L244" s="11"/>
      <c r="M244" s="11"/>
      <c r="N244" s="11"/>
      <c r="O244" s="11"/>
      <c r="P244" s="12" t="str">
        <f t="shared" si="12"/>
        <v/>
      </c>
      <c r="Q244" s="16" t="str">
        <f t="shared" si="13"/>
        <v/>
      </c>
      <c r="R244" s="16" t="str">
        <f t="shared" si="14"/>
        <v/>
      </c>
      <c r="S244" s="9" t="str">
        <f t="shared" si="15"/>
        <v/>
      </c>
      <c r="T244" s="8"/>
      <c r="U244" s="8"/>
      <c r="V244" s="10"/>
      <c r="W244" s="8"/>
    </row>
    <row r="245" spans="1:23">
      <c r="A245" s="8"/>
      <c r="B245" s="10"/>
      <c r="C245" s="8"/>
      <c r="D245" s="8"/>
      <c r="E245" s="8"/>
      <c r="F245" s="8"/>
      <c r="G245" s="8"/>
      <c r="H245" s="8"/>
      <c r="I245" s="8"/>
      <c r="J245" s="11"/>
      <c r="K245" s="11"/>
      <c r="L245" s="11"/>
      <c r="M245" s="11"/>
      <c r="N245" s="11"/>
      <c r="O245" s="11"/>
      <c r="P245" s="12" t="str">
        <f t="shared" si="12"/>
        <v/>
      </c>
      <c r="Q245" s="16" t="str">
        <f t="shared" si="13"/>
        <v/>
      </c>
      <c r="R245" s="16" t="str">
        <f t="shared" si="14"/>
        <v/>
      </c>
      <c r="S245" s="9" t="str">
        <f t="shared" si="15"/>
        <v/>
      </c>
      <c r="T245" s="8"/>
      <c r="U245" s="8"/>
      <c r="V245" s="10"/>
      <c r="W245" s="8"/>
    </row>
    <row r="246" spans="1:23">
      <c r="A246" s="8"/>
      <c r="B246" s="10"/>
      <c r="C246" s="8"/>
      <c r="D246" s="8"/>
      <c r="E246" s="8"/>
      <c r="F246" s="8"/>
      <c r="G246" s="8"/>
      <c r="H246" s="8"/>
      <c r="I246" s="8"/>
      <c r="J246" s="11"/>
      <c r="K246" s="11"/>
      <c r="L246" s="11"/>
      <c r="M246" s="11"/>
      <c r="N246" s="11"/>
      <c r="O246" s="11"/>
      <c r="P246" s="12" t="str">
        <f t="shared" si="12"/>
        <v/>
      </c>
      <c r="Q246" s="16" t="str">
        <f t="shared" si="13"/>
        <v/>
      </c>
      <c r="R246" s="16" t="str">
        <f t="shared" si="14"/>
        <v/>
      </c>
      <c r="S246" s="9" t="str">
        <f t="shared" si="15"/>
        <v/>
      </c>
      <c r="T246" s="8"/>
      <c r="U246" s="8"/>
      <c r="V246" s="10"/>
      <c r="W246" s="8"/>
    </row>
    <row r="247" spans="1:23">
      <c r="A247" s="8"/>
      <c r="B247" s="10"/>
      <c r="C247" s="8"/>
      <c r="D247" s="8"/>
      <c r="E247" s="8"/>
      <c r="F247" s="8"/>
      <c r="G247" s="8"/>
      <c r="H247" s="8"/>
      <c r="I247" s="8"/>
      <c r="J247" s="11"/>
      <c r="K247" s="11"/>
      <c r="L247" s="11"/>
      <c r="M247" s="11"/>
      <c r="N247" s="11"/>
      <c r="O247" s="11"/>
      <c r="P247" s="12" t="str">
        <f t="shared" si="12"/>
        <v/>
      </c>
      <c r="Q247" s="16" t="str">
        <f t="shared" si="13"/>
        <v/>
      </c>
      <c r="R247" s="16" t="str">
        <f t="shared" si="14"/>
        <v/>
      </c>
      <c r="S247" s="9" t="str">
        <f t="shared" si="15"/>
        <v/>
      </c>
      <c r="T247" s="8"/>
      <c r="U247" s="8"/>
      <c r="V247" s="10"/>
      <c r="W247" s="8"/>
    </row>
    <row r="248" spans="1:23">
      <c r="A248" s="8"/>
      <c r="B248" s="10"/>
      <c r="C248" s="8"/>
      <c r="D248" s="8"/>
      <c r="E248" s="8"/>
      <c r="F248" s="8"/>
      <c r="G248" s="8"/>
      <c r="H248" s="8"/>
      <c r="I248" s="8"/>
      <c r="J248" s="11"/>
      <c r="K248" s="11"/>
      <c r="L248" s="11"/>
      <c r="M248" s="11"/>
      <c r="N248" s="11"/>
      <c r="O248" s="11"/>
      <c r="P248" s="12" t="str">
        <f t="shared" si="12"/>
        <v/>
      </c>
      <c r="Q248" s="16" t="str">
        <f t="shared" si="13"/>
        <v/>
      </c>
      <c r="R248" s="16" t="str">
        <f t="shared" si="14"/>
        <v/>
      </c>
      <c r="S248" s="9" t="str">
        <f t="shared" si="15"/>
        <v/>
      </c>
      <c r="T248" s="8"/>
      <c r="U248" s="8"/>
      <c r="V248" s="10"/>
      <c r="W248" s="8"/>
    </row>
    <row r="249" spans="1:23">
      <c r="A249" s="8"/>
      <c r="B249" s="10"/>
      <c r="C249" s="8"/>
      <c r="D249" s="8"/>
      <c r="E249" s="8"/>
      <c r="F249" s="8"/>
      <c r="G249" s="8"/>
      <c r="H249" s="8"/>
      <c r="I249" s="8"/>
      <c r="J249" s="11"/>
      <c r="K249" s="11"/>
      <c r="L249" s="11"/>
      <c r="M249" s="11"/>
      <c r="N249" s="11"/>
      <c r="O249" s="11"/>
      <c r="P249" s="12" t="str">
        <f t="shared" si="12"/>
        <v/>
      </c>
      <c r="Q249" s="16" t="str">
        <f t="shared" si="13"/>
        <v/>
      </c>
      <c r="R249" s="16" t="str">
        <f t="shared" si="14"/>
        <v/>
      </c>
      <c r="S249" s="9" t="str">
        <f t="shared" si="15"/>
        <v/>
      </c>
      <c r="T249" s="8"/>
      <c r="U249" s="8"/>
      <c r="V249" s="10"/>
      <c r="W249" s="8"/>
    </row>
    <row r="250" spans="1:23">
      <c r="A250" s="8"/>
      <c r="B250" s="10"/>
      <c r="C250" s="8"/>
      <c r="D250" s="8"/>
      <c r="E250" s="8"/>
      <c r="F250" s="8"/>
      <c r="G250" s="8"/>
      <c r="H250" s="8"/>
      <c r="I250" s="8"/>
      <c r="J250" s="11"/>
      <c r="K250" s="11"/>
      <c r="L250" s="11"/>
      <c r="M250" s="11"/>
      <c r="N250" s="11"/>
      <c r="O250" s="11"/>
      <c r="P250" s="12" t="str">
        <f t="shared" si="12"/>
        <v/>
      </c>
      <c r="Q250" s="16" t="str">
        <f t="shared" si="13"/>
        <v/>
      </c>
      <c r="R250" s="16" t="str">
        <f t="shared" si="14"/>
        <v/>
      </c>
      <c r="S250" s="9" t="str">
        <f t="shared" si="15"/>
        <v/>
      </c>
      <c r="T250" s="8"/>
      <c r="U250" s="8"/>
      <c r="V250" s="10"/>
      <c r="W250" s="8"/>
    </row>
    <row r="251" spans="1:23">
      <c r="A251" s="8"/>
      <c r="B251" s="10"/>
      <c r="C251" s="8"/>
      <c r="D251" s="8"/>
      <c r="E251" s="8"/>
      <c r="F251" s="8"/>
      <c r="G251" s="8"/>
      <c r="H251" s="8"/>
      <c r="I251" s="8"/>
      <c r="J251" s="11"/>
      <c r="K251" s="11"/>
      <c r="L251" s="11"/>
      <c r="M251" s="11"/>
      <c r="N251" s="11"/>
      <c r="O251" s="11"/>
      <c r="P251" s="12" t="str">
        <f t="shared" si="12"/>
        <v/>
      </c>
      <c r="Q251" s="16" t="str">
        <f t="shared" si="13"/>
        <v/>
      </c>
      <c r="R251" s="16" t="str">
        <f t="shared" si="14"/>
        <v/>
      </c>
      <c r="S251" s="9" t="str">
        <f t="shared" si="15"/>
        <v/>
      </c>
      <c r="T251" s="8"/>
      <c r="U251" s="8"/>
      <c r="V251" s="10"/>
      <c r="W251" s="8"/>
    </row>
    <row r="252" spans="1:23">
      <c r="A252" s="8"/>
      <c r="B252" s="10"/>
      <c r="C252" s="8"/>
      <c r="D252" s="8"/>
      <c r="E252" s="8"/>
      <c r="F252" s="8"/>
      <c r="G252" s="8"/>
      <c r="H252" s="8"/>
      <c r="I252" s="8"/>
      <c r="J252" s="11"/>
      <c r="K252" s="11"/>
      <c r="L252" s="11"/>
      <c r="M252" s="11"/>
      <c r="N252" s="11"/>
      <c r="O252" s="11"/>
      <c r="P252" s="12" t="str">
        <f t="shared" si="12"/>
        <v/>
      </c>
      <c r="Q252" s="16" t="str">
        <f t="shared" si="13"/>
        <v/>
      </c>
      <c r="R252" s="16" t="str">
        <f t="shared" si="14"/>
        <v/>
      </c>
      <c r="S252" s="9" t="str">
        <f t="shared" si="15"/>
        <v/>
      </c>
      <c r="T252" s="8"/>
      <c r="U252" s="8"/>
      <c r="V252" s="10"/>
      <c r="W252" s="8"/>
    </row>
    <row r="253" spans="1:23">
      <c r="A253" s="8"/>
      <c r="B253" s="10"/>
      <c r="C253" s="8"/>
      <c r="D253" s="8"/>
      <c r="E253" s="8"/>
      <c r="F253" s="8"/>
      <c r="G253" s="8"/>
      <c r="H253" s="8"/>
      <c r="I253" s="8"/>
      <c r="J253" s="11"/>
      <c r="K253" s="11"/>
      <c r="L253" s="11"/>
      <c r="M253" s="11"/>
      <c r="N253" s="11"/>
      <c r="O253" s="11"/>
      <c r="P253" s="12" t="str">
        <f t="shared" si="12"/>
        <v/>
      </c>
      <c r="Q253" s="16" t="str">
        <f t="shared" si="13"/>
        <v/>
      </c>
      <c r="R253" s="16" t="str">
        <f t="shared" si="14"/>
        <v/>
      </c>
      <c r="S253" s="9" t="str">
        <f t="shared" si="15"/>
        <v/>
      </c>
      <c r="T253" s="8"/>
      <c r="U253" s="8"/>
      <c r="V253" s="10"/>
      <c r="W253" s="8"/>
    </row>
    <row r="254" spans="1:23">
      <c r="A254" s="8"/>
      <c r="B254" s="10"/>
      <c r="C254" s="8"/>
      <c r="D254" s="8"/>
      <c r="E254" s="8"/>
      <c r="F254" s="8"/>
      <c r="G254" s="8"/>
      <c r="H254" s="8"/>
      <c r="I254" s="8"/>
      <c r="J254" s="11"/>
      <c r="K254" s="11"/>
      <c r="L254" s="11"/>
      <c r="M254" s="11"/>
      <c r="N254" s="11"/>
      <c r="O254" s="11"/>
      <c r="P254" s="12" t="str">
        <f t="shared" si="12"/>
        <v/>
      </c>
      <c r="Q254" s="16" t="str">
        <f t="shared" si="13"/>
        <v/>
      </c>
      <c r="R254" s="16" t="str">
        <f t="shared" si="14"/>
        <v/>
      </c>
      <c r="S254" s="9" t="str">
        <f t="shared" si="15"/>
        <v/>
      </c>
      <c r="T254" s="8"/>
      <c r="U254" s="8"/>
      <c r="V254" s="10"/>
      <c r="W254" s="8"/>
    </row>
    <row r="255" spans="1:23">
      <c r="A255" s="8"/>
      <c r="B255" s="10"/>
      <c r="C255" s="8"/>
      <c r="D255" s="8"/>
      <c r="E255" s="8"/>
      <c r="F255" s="8"/>
      <c r="G255" s="8"/>
      <c r="H255" s="8"/>
      <c r="I255" s="8"/>
      <c r="J255" s="11"/>
      <c r="K255" s="11"/>
      <c r="L255" s="11"/>
      <c r="M255" s="11"/>
      <c r="N255" s="11"/>
      <c r="O255" s="11"/>
      <c r="P255" s="12" t="str">
        <f t="shared" si="12"/>
        <v/>
      </c>
      <c r="Q255" s="16" t="str">
        <f t="shared" si="13"/>
        <v/>
      </c>
      <c r="R255" s="16" t="str">
        <f t="shared" si="14"/>
        <v/>
      </c>
      <c r="S255" s="9" t="str">
        <f t="shared" si="15"/>
        <v/>
      </c>
      <c r="T255" s="8"/>
      <c r="U255" s="8"/>
      <c r="V255" s="10"/>
      <c r="W255" s="8"/>
    </row>
    <row r="256" spans="1:23">
      <c r="A256" s="8"/>
      <c r="B256" s="10"/>
      <c r="C256" s="8"/>
      <c r="D256" s="8"/>
      <c r="E256" s="8"/>
      <c r="F256" s="8"/>
      <c r="G256" s="8"/>
      <c r="H256" s="8"/>
      <c r="I256" s="8"/>
      <c r="J256" s="11"/>
      <c r="K256" s="11"/>
      <c r="L256" s="11"/>
      <c r="M256" s="11"/>
      <c r="N256" s="11"/>
      <c r="O256" s="11"/>
      <c r="P256" s="12" t="str">
        <f t="shared" si="12"/>
        <v/>
      </c>
      <c r="Q256" s="16" t="str">
        <f t="shared" si="13"/>
        <v/>
      </c>
      <c r="R256" s="16" t="str">
        <f t="shared" si="14"/>
        <v/>
      </c>
      <c r="S256" s="9" t="str">
        <f t="shared" si="15"/>
        <v/>
      </c>
      <c r="T256" s="8"/>
      <c r="U256" s="8"/>
      <c r="V256" s="10"/>
      <c r="W256" s="8"/>
    </row>
    <row r="257" spans="1:23">
      <c r="A257" s="8"/>
      <c r="B257" s="10"/>
      <c r="C257" s="8"/>
      <c r="D257" s="8"/>
      <c r="E257" s="8"/>
      <c r="F257" s="8"/>
      <c r="G257" s="8"/>
      <c r="H257" s="8"/>
      <c r="I257" s="8"/>
      <c r="J257" s="11"/>
      <c r="K257" s="11"/>
      <c r="L257" s="11"/>
      <c r="M257" s="11"/>
      <c r="N257" s="11"/>
      <c r="O257" s="11"/>
      <c r="P257" s="12" t="str">
        <f t="shared" si="12"/>
        <v/>
      </c>
      <c r="Q257" s="16" t="str">
        <f t="shared" si="13"/>
        <v/>
      </c>
      <c r="R257" s="16" t="str">
        <f t="shared" si="14"/>
        <v/>
      </c>
      <c r="S257" s="9" t="str">
        <f t="shared" si="15"/>
        <v/>
      </c>
      <c r="T257" s="8"/>
      <c r="U257" s="8"/>
      <c r="V257" s="10"/>
      <c r="W257" s="8"/>
    </row>
    <row r="258" spans="1:23">
      <c r="A258" s="8"/>
      <c r="B258" s="10"/>
      <c r="C258" s="8"/>
      <c r="D258" s="8"/>
      <c r="E258" s="8"/>
      <c r="F258" s="8"/>
      <c r="G258" s="8"/>
      <c r="H258" s="8"/>
      <c r="I258" s="8"/>
      <c r="J258" s="11"/>
      <c r="K258" s="11"/>
      <c r="L258" s="11"/>
      <c r="M258" s="11"/>
      <c r="N258" s="11"/>
      <c r="O258" s="11"/>
      <c r="P258" s="12" t="str">
        <f t="shared" si="12"/>
        <v/>
      </c>
      <c r="Q258" s="16" t="str">
        <f t="shared" si="13"/>
        <v/>
      </c>
      <c r="R258" s="16" t="str">
        <f t="shared" si="14"/>
        <v/>
      </c>
      <c r="S258" s="9" t="str">
        <f t="shared" si="15"/>
        <v/>
      </c>
      <c r="T258" s="8"/>
      <c r="U258" s="8"/>
      <c r="V258" s="10"/>
      <c r="W258" s="8"/>
    </row>
    <row r="259" spans="1:23">
      <c r="A259" s="8"/>
      <c r="B259" s="10"/>
      <c r="C259" s="8"/>
      <c r="D259" s="8"/>
      <c r="E259" s="8"/>
      <c r="F259" s="8"/>
      <c r="G259" s="8"/>
      <c r="H259" s="8"/>
      <c r="I259" s="8"/>
      <c r="J259" s="11"/>
      <c r="K259" s="11"/>
      <c r="L259" s="11"/>
      <c r="M259" s="11"/>
      <c r="N259" s="11"/>
      <c r="O259" s="11"/>
      <c r="P259" s="12" t="str">
        <f t="shared" si="12"/>
        <v/>
      </c>
      <c r="Q259" s="16" t="str">
        <f t="shared" si="13"/>
        <v/>
      </c>
      <c r="R259" s="16" t="str">
        <f t="shared" si="14"/>
        <v/>
      </c>
      <c r="S259" s="9" t="str">
        <f t="shared" si="15"/>
        <v/>
      </c>
      <c r="T259" s="8"/>
      <c r="U259" s="8"/>
      <c r="V259" s="10"/>
      <c r="W259" s="8"/>
    </row>
    <row r="260" spans="1:23">
      <c r="A260" s="8"/>
      <c r="B260" s="10"/>
      <c r="C260" s="8"/>
      <c r="D260" s="8"/>
      <c r="E260" s="8"/>
      <c r="F260" s="8"/>
      <c r="G260" s="8"/>
      <c r="H260" s="8"/>
      <c r="I260" s="8"/>
      <c r="J260" s="11"/>
      <c r="K260" s="11"/>
      <c r="L260" s="11"/>
      <c r="M260" s="11"/>
      <c r="N260" s="11"/>
      <c r="O260" s="11"/>
      <c r="P260" s="12" t="str">
        <f t="shared" si="12"/>
        <v/>
      </c>
      <c r="Q260" s="16" t="str">
        <f t="shared" si="13"/>
        <v/>
      </c>
      <c r="R260" s="16" t="str">
        <f t="shared" si="14"/>
        <v/>
      </c>
      <c r="S260" s="9" t="str">
        <f t="shared" si="15"/>
        <v/>
      </c>
      <c r="T260" s="8"/>
      <c r="U260" s="8"/>
      <c r="V260" s="10"/>
      <c r="W260" s="8"/>
    </row>
    <row r="261" spans="1:23">
      <c r="A261" s="8"/>
      <c r="B261" s="10"/>
      <c r="C261" s="8"/>
      <c r="D261" s="8"/>
      <c r="E261" s="8"/>
      <c r="F261" s="8"/>
      <c r="G261" s="8"/>
      <c r="H261" s="8"/>
      <c r="I261" s="8"/>
      <c r="J261" s="11"/>
      <c r="K261" s="11"/>
      <c r="L261" s="11"/>
      <c r="M261" s="11"/>
      <c r="N261" s="11"/>
      <c r="O261" s="11"/>
      <c r="P261" s="12" t="str">
        <f t="shared" ref="P261:P324" si="16">IF(A261="","",SUM(K261:O261))</f>
        <v/>
      </c>
      <c r="Q261" s="16" t="str">
        <f t="shared" ref="Q261:Q324" si="17">IF(OR(A261="",J261=0),"",P261/J261)</f>
        <v/>
      </c>
      <c r="R261" s="16" t="str">
        <f t="shared" ref="R261:R304" si="18">IF(A261="","",0.02)</f>
        <v/>
      </c>
      <c r="S261" s="9" t="str">
        <f t="shared" ref="S261:S324" si="19">IF(A261="","",IF(Q261&lt;=R261,"Passed","Failed"))</f>
        <v/>
      </c>
      <c r="T261" s="8"/>
      <c r="U261" s="8"/>
      <c r="V261" s="10"/>
      <c r="W261" s="8"/>
    </row>
    <row r="262" spans="1:23">
      <c r="A262" s="8"/>
      <c r="B262" s="10"/>
      <c r="C262" s="8"/>
      <c r="D262" s="8"/>
      <c r="E262" s="8"/>
      <c r="F262" s="8"/>
      <c r="G262" s="8"/>
      <c r="H262" s="8"/>
      <c r="I262" s="8"/>
      <c r="J262" s="11"/>
      <c r="K262" s="11"/>
      <c r="L262" s="11"/>
      <c r="M262" s="11"/>
      <c r="N262" s="11"/>
      <c r="O262" s="11"/>
      <c r="P262" s="12" t="str">
        <f t="shared" si="16"/>
        <v/>
      </c>
      <c r="Q262" s="16" t="str">
        <f t="shared" si="17"/>
        <v/>
      </c>
      <c r="R262" s="16" t="str">
        <f t="shared" si="18"/>
        <v/>
      </c>
      <c r="S262" s="9" t="str">
        <f t="shared" si="19"/>
        <v/>
      </c>
      <c r="T262" s="8"/>
      <c r="U262" s="8"/>
      <c r="V262" s="10"/>
      <c r="W262" s="8"/>
    </row>
    <row r="263" spans="1:23">
      <c r="A263" s="8"/>
      <c r="B263" s="10"/>
      <c r="C263" s="8"/>
      <c r="D263" s="8"/>
      <c r="E263" s="8"/>
      <c r="F263" s="8"/>
      <c r="G263" s="8"/>
      <c r="H263" s="8"/>
      <c r="I263" s="8"/>
      <c r="J263" s="11"/>
      <c r="K263" s="11"/>
      <c r="L263" s="11"/>
      <c r="M263" s="11"/>
      <c r="N263" s="11"/>
      <c r="O263" s="11"/>
      <c r="P263" s="12" t="str">
        <f t="shared" si="16"/>
        <v/>
      </c>
      <c r="Q263" s="16" t="str">
        <f t="shared" si="17"/>
        <v/>
      </c>
      <c r="R263" s="16" t="str">
        <f t="shared" si="18"/>
        <v/>
      </c>
      <c r="S263" s="9" t="str">
        <f t="shared" si="19"/>
        <v/>
      </c>
      <c r="T263" s="8"/>
      <c r="U263" s="8"/>
      <c r="V263" s="10"/>
      <c r="W263" s="8"/>
    </row>
    <row r="264" spans="1:23">
      <c r="A264" s="8"/>
      <c r="B264" s="10"/>
      <c r="C264" s="8"/>
      <c r="D264" s="8"/>
      <c r="E264" s="8"/>
      <c r="F264" s="8"/>
      <c r="G264" s="8"/>
      <c r="H264" s="8"/>
      <c r="I264" s="8"/>
      <c r="J264" s="11"/>
      <c r="K264" s="11"/>
      <c r="L264" s="11"/>
      <c r="M264" s="11"/>
      <c r="N264" s="11"/>
      <c r="O264" s="11"/>
      <c r="P264" s="12" t="str">
        <f t="shared" si="16"/>
        <v/>
      </c>
      <c r="Q264" s="16" t="str">
        <f t="shared" si="17"/>
        <v/>
      </c>
      <c r="R264" s="16" t="str">
        <f t="shared" si="18"/>
        <v/>
      </c>
      <c r="S264" s="9" t="str">
        <f t="shared" si="19"/>
        <v/>
      </c>
      <c r="T264" s="8"/>
      <c r="U264" s="8"/>
      <c r="V264" s="10"/>
      <c r="W264" s="8"/>
    </row>
    <row r="265" spans="1:23">
      <c r="A265" s="8"/>
      <c r="B265" s="10"/>
      <c r="C265" s="8"/>
      <c r="D265" s="8"/>
      <c r="E265" s="8"/>
      <c r="F265" s="8"/>
      <c r="G265" s="8"/>
      <c r="H265" s="8"/>
      <c r="I265" s="8"/>
      <c r="J265" s="11"/>
      <c r="K265" s="11"/>
      <c r="L265" s="11"/>
      <c r="M265" s="11"/>
      <c r="N265" s="11"/>
      <c r="O265" s="11"/>
      <c r="P265" s="12" t="str">
        <f t="shared" si="16"/>
        <v/>
      </c>
      <c r="Q265" s="16" t="str">
        <f t="shared" si="17"/>
        <v/>
      </c>
      <c r="R265" s="16" t="str">
        <f t="shared" si="18"/>
        <v/>
      </c>
      <c r="S265" s="9" t="str">
        <f t="shared" si="19"/>
        <v/>
      </c>
      <c r="T265" s="8"/>
      <c r="U265" s="8"/>
      <c r="V265" s="10"/>
      <c r="W265" s="8"/>
    </row>
    <row r="266" spans="1:23">
      <c r="A266" s="8"/>
      <c r="B266" s="10"/>
      <c r="C266" s="8"/>
      <c r="D266" s="8"/>
      <c r="E266" s="8"/>
      <c r="F266" s="8"/>
      <c r="G266" s="8"/>
      <c r="H266" s="8"/>
      <c r="I266" s="8"/>
      <c r="J266" s="11"/>
      <c r="K266" s="11"/>
      <c r="L266" s="11"/>
      <c r="M266" s="11"/>
      <c r="N266" s="11"/>
      <c r="O266" s="11"/>
      <c r="P266" s="12" t="str">
        <f t="shared" si="16"/>
        <v/>
      </c>
      <c r="Q266" s="16" t="str">
        <f t="shared" si="17"/>
        <v/>
      </c>
      <c r="R266" s="16" t="str">
        <f t="shared" si="18"/>
        <v/>
      </c>
      <c r="S266" s="9" t="str">
        <f t="shared" si="19"/>
        <v/>
      </c>
      <c r="T266" s="8"/>
      <c r="U266" s="8"/>
      <c r="V266" s="10"/>
      <c r="W266" s="8"/>
    </row>
    <row r="267" spans="1:23">
      <c r="A267" s="8"/>
      <c r="B267" s="10"/>
      <c r="C267" s="8"/>
      <c r="D267" s="8"/>
      <c r="E267" s="8"/>
      <c r="F267" s="8"/>
      <c r="G267" s="8"/>
      <c r="H267" s="8"/>
      <c r="I267" s="8"/>
      <c r="J267" s="11"/>
      <c r="K267" s="11"/>
      <c r="L267" s="11"/>
      <c r="M267" s="11"/>
      <c r="N267" s="11"/>
      <c r="O267" s="11"/>
      <c r="P267" s="12" t="str">
        <f t="shared" si="16"/>
        <v/>
      </c>
      <c r="Q267" s="16" t="str">
        <f t="shared" si="17"/>
        <v/>
      </c>
      <c r="R267" s="16" t="str">
        <f t="shared" si="18"/>
        <v/>
      </c>
      <c r="S267" s="9" t="str">
        <f t="shared" si="19"/>
        <v/>
      </c>
      <c r="T267" s="8"/>
      <c r="U267" s="8"/>
      <c r="V267" s="10"/>
      <c r="W267" s="8"/>
    </row>
    <row r="268" spans="1:23">
      <c r="A268" s="8"/>
      <c r="B268" s="10"/>
      <c r="C268" s="8"/>
      <c r="D268" s="8"/>
      <c r="E268" s="8"/>
      <c r="F268" s="8"/>
      <c r="G268" s="8"/>
      <c r="H268" s="8"/>
      <c r="I268" s="8"/>
      <c r="J268" s="11"/>
      <c r="K268" s="11"/>
      <c r="L268" s="11"/>
      <c r="M268" s="11"/>
      <c r="N268" s="11"/>
      <c r="O268" s="11"/>
      <c r="P268" s="12" t="str">
        <f t="shared" si="16"/>
        <v/>
      </c>
      <c r="Q268" s="16" t="str">
        <f t="shared" si="17"/>
        <v/>
      </c>
      <c r="R268" s="16" t="str">
        <f t="shared" si="18"/>
        <v/>
      </c>
      <c r="S268" s="9" t="str">
        <f t="shared" si="19"/>
        <v/>
      </c>
      <c r="T268" s="8"/>
      <c r="U268" s="8"/>
      <c r="V268" s="10"/>
      <c r="W268" s="8"/>
    </row>
    <row r="269" spans="1:23">
      <c r="A269" s="8"/>
      <c r="B269" s="10"/>
      <c r="C269" s="8"/>
      <c r="D269" s="8"/>
      <c r="E269" s="8"/>
      <c r="F269" s="8"/>
      <c r="G269" s="8"/>
      <c r="H269" s="8"/>
      <c r="I269" s="8"/>
      <c r="J269" s="11"/>
      <c r="K269" s="11"/>
      <c r="L269" s="11"/>
      <c r="M269" s="11"/>
      <c r="N269" s="11"/>
      <c r="O269" s="11"/>
      <c r="P269" s="12" t="str">
        <f t="shared" si="16"/>
        <v/>
      </c>
      <c r="Q269" s="16" t="str">
        <f t="shared" si="17"/>
        <v/>
      </c>
      <c r="R269" s="16" t="str">
        <f t="shared" si="18"/>
        <v/>
      </c>
      <c r="S269" s="9" t="str">
        <f t="shared" si="19"/>
        <v/>
      </c>
      <c r="T269" s="8"/>
      <c r="U269" s="8"/>
      <c r="V269" s="10"/>
      <c r="W269" s="8"/>
    </row>
    <row r="270" spans="1:23">
      <c r="A270" s="8"/>
      <c r="B270" s="10"/>
      <c r="C270" s="8"/>
      <c r="D270" s="8"/>
      <c r="E270" s="8"/>
      <c r="F270" s="8"/>
      <c r="G270" s="8"/>
      <c r="H270" s="8"/>
      <c r="I270" s="8"/>
      <c r="J270" s="11"/>
      <c r="K270" s="11"/>
      <c r="L270" s="11"/>
      <c r="M270" s="11"/>
      <c r="N270" s="11"/>
      <c r="O270" s="11"/>
      <c r="P270" s="12" t="str">
        <f t="shared" si="16"/>
        <v/>
      </c>
      <c r="Q270" s="16" t="str">
        <f t="shared" si="17"/>
        <v/>
      </c>
      <c r="R270" s="16" t="str">
        <f t="shared" si="18"/>
        <v/>
      </c>
      <c r="S270" s="9" t="str">
        <f t="shared" si="19"/>
        <v/>
      </c>
      <c r="T270" s="8"/>
      <c r="U270" s="8"/>
      <c r="V270" s="10"/>
      <c r="W270" s="8"/>
    </row>
    <row r="271" spans="1:23">
      <c r="A271" s="8"/>
      <c r="B271" s="10"/>
      <c r="C271" s="8"/>
      <c r="D271" s="8"/>
      <c r="E271" s="8"/>
      <c r="F271" s="8"/>
      <c r="G271" s="8"/>
      <c r="H271" s="8"/>
      <c r="I271" s="8"/>
      <c r="J271" s="11"/>
      <c r="K271" s="11"/>
      <c r="L271" s="11"/>
      <c r="M271" s="11"/>
      <c r="N271" s="11"/>
      <c r="O271" s="11"/>
      <c r="P271" s="12" t="str">
        <f t="shared" si="16"/>
        <v/>
      </c>
      <c r="Q271" s="16" t="str">
        <f t="shared" si="17"/>
        <v/>
      </c>
      <c r="R271" s="16" t="str">
        <f t="shared" si="18"/>
        <v/>
      </c>
      <c r="S271" s="9" t="str">
        <f t="shared" si="19"/>
        <v/>
      </c>
      <c r="T271" s="8"/>
      <c r="U271" s="8"/>
      <c r="V271" s="10"/>
      <c r="W271" s="8"/>
    </row>
    <row r="272" spans="1:23">
      <c r="A272" s="8"/>
      <c r="B272" s="10"/>
      <c r="C272" s="8"/>
      <c r="D272" s="8"/>
      <c r="E272" s="8"/>
      <c r="F272" s="8"/>
      <c r="G272" s="8"/>
      <c r="H272" s="8"/>
      <c r="I272" s="8"/>
      <c r="J272" s="11"/>
      <c r="K272" s="11"/>
      <c r="L272" s="11"/>
      <c r="M272" s="11"/>
      <c r="N272" s="11"/>
      <c r="O272" s="11"/>
      <c r="P272" s="12" t="str">
        <f t="shared" si="16"/>
        <v/>
      </c>
      <c r="Q272" s="16" t="str">
        <f t="shared" si="17"/>
        <v/>
      </c>
      <c r="R272" s="16" t="str">
        <f t="shared" si="18"/>
        <v/>
      </c>
      <c r="S272" s="9" t="str">
        <f t="shared" si="19"/>
        <v/>
      </c>
      <c r="T272" s="8"/>
      <c r="U272" s="8"/>
      <c r="V272" s="10"/>
      <c r="W272" s="8"/>
    </row>
    <row r="273" spans="1:23">
      <c r="A273" s="8"/>
      <c r="B273" s="10"/>
      <c r="C273" s="8"/>
      <c r="D273" s="8"/>
      <c r="E273" s="8"/>
      <c r="F273" s="8"/>
      <c r="G273" s="8"/>
      <c r="H273" s="8"/>
      <c r="I273" s="8"/>
      <c r="J273" s="11"/>
      <c r="K273" s="11"/>
      <c r="L273" s="11"/>
      <c r="M273" s="11"/>
      <c r="N273" s="11"/>
      <c r="O273" s="11"/>
      <c r="P273" s="12" t="str">
        <f t="shared" si="16"/>
        <v/>
      </c>
      <c r="Q273" s="16" t="str">
        <f t="shared" si="17"/>
        <v/>
      </c>
      <c r="R273" s="16" t="str">
        <f t="shared" si="18"/>
        <v/>
      </c>
      <c r="S273" s="9" t="str">
        <f t="shared" si="19"/>
        <v/>
      </c>
      <c r="T273" s="8"/>
      <c r="U273" s="8"/>
      <c r="V273" s="10"/>
      <c r="W273" s="8"/>
    </row>
    <row r="274" spans="1:23">
      <c r="A274" s="8"/>
      <c r="B274" s="10"/>
      <c r="C274" s="8"/>
      <c r="D274" s="8"/>
      <c r="E274" s="8"/>
      <c r="F274" s="8"/>
      <c r="G274" s="8"/>
      <c r="H274" s="8"/>
      <c r="I274" s="8"/>
      <c r="J274" s="11"/>
      <c r="K274" s="11"/>
      <c r="L274" s="11"/>
      <c r="M274" s="11"/>
      <c r="N274" s="11"/>
      <c r="O274" s="11"/>
      <c r="P274" s="12" t="str">
        <f t="shared" si="16"/>
        <v/>
      </c>
      <c r="Q274" s="16" t="str">
        <f t="shared" si="17"/>
        <v/>
      </c>
      <c r="R274" s="16" t="str">
        <f t="shared" si="18"/>
        <v/>
      </c>
      <c r="S274" s="9" t="str">
        <f t="shared" si="19"/>
        <v/>
      </c>
      <c r="T274" s="8"/>
      <c r="U274" s="8"/>
      <c r="V274" s="10"/>
      <c r="W274" s="8"/>
    </row>
    <row r="275" spans="1:23">
      <c r="A275" s="8"/>
      <c r="B275" s="10"/>
      <c r="C275" s="8"/>
      <c r="D275" s="8"/>
      <c r="E275" s="8"/>
      <c r="F275" s="8"/>
      <c r="G275" s="8"/>
      <c r="H275" s="8"/>
      <c r="I275" s="8"/>
      <c r="J275" s="11"/>
      <c r="K275" s="11"/>
      <c r="L275" s="11"/>
      <c r="M275" s="11"/>
      <c r="N275" s="11"/>
      <c r="O275" s="11"/>
      <c r="P275" s="12" t="str">
        <f t="shared" si="16"/>
        <v/>
      </c>
      <c r="Q275" s="16" t="str">
        <f t="shared" si="17"/>
        <v/>
      </c>
      <c r="R275" s="16" t="str">
        <f t="shared" si="18"/>
        <v/>
      </c>
      <c r="S275" s="9" t="str">
        <f t="shared" si="19"/>
        <v/>
      </c>
      <c r="T275" s="8"/>
      <c r="U275" s="8"/>
      <c r="V275" s="10"/>
      <c r="W275" s="8"/>
    </row>
    <row r="276" spans="1:23">
      <c r="A276" s="8"/>
      <c r="B276" s="10"/>
      <c r="C276" s="8"/>
      <c r="D276" s="8"/>
      <c r="E276" s="8"/>
      <c r="F276" s="8"/>
      <c r="G276" s="8"/>
      <c r="H276" s="8"/>
      <c r="I276" s="8"/>
      <c r="J276" s="11"/>
      <c r="K276" s="11"/>
      <c r="L276" s="11"/>
      <c r="M276" s="11"/>
      <c r="N276" s="11"/>
      <c r="O276" s="11"/>
      <c r="P276" s="12" t="str">
        <f t="shared" si="16"/>
        <v/>
      </c>
      <c r="Q276" s="16" t="str">
        <f t="shared" si="17"/>
        <v/>
      </c>
      <c r="R276" s="16" t="str">
        <f t="shared" si="18"/>
        <v/>
      </c>
      <c r="S276" s="9" t="str">
        <f t="shared" si="19"/>
        <v/>
      </c>
      <c r="T276" s="8"/>
      <c r="U276" s="8"/>
      <c r="V276" s="10"/>
      <c r="W276" s="8"/>
    </row>
    <row r="277" spans="1:23">
      <c r="A277" s="8"/>
      <c r="B277" s="10"/>
      <c r="C277" s="8"/>
      <c r="D277" s="8"/>
      <c r="E277" s="8"/>
      <c r="F277" s="8"/>
      <c r="G277" s="8"/>
      <c r="H277" s="8"/>
      <c r="I277" s="8"/>
      <c r="J277" s="11"/>
      <c r="K277" s="11"/>
      <c r="L277" s="11"/>
      <c r="M277" s="11"/>
      <c r="N277" s="11"/>
      <c r="O277" s="11"/>
      <c r="P277" s="12" t="str">
        <f t="shared" si="16"/>
        <v/>
      </c>
      <c r="Q277" s="16" t="str">
        <f t="shared" si="17"/>
        <v/>
      </c>
      <c r="R277" s="16" t="str">
        <f t="shared" si="18"/>
        <v/>
      </c>
      <c r="S277" s="9" t="str">
        <f t="shared" si="19"/>
        <v/>
      </c>
      <c r="T277" s="8"/>
      <c r="U277" s="8"/>
      <c r="V277" s="10"/>
      <c r="W277" s="8"/>
    </row>
    <row r="278" spans="1:23">
      <c r="A278" s="8"/>
      <c r="B278" s="10"/>
      <c r="C278" s="8"/>
      <c r="D278" s="8"/>
      <c r="E278" s="8"/>
      <c r="F278" s="8"/>
      <c r="G278" s="8"/>
      <c r="H278" s="8"/>
      <c r="I278" s="8"/>
      <c r="J278" s="11"/>
      <c r="K278" s="11"/>
      <c r="L278" s="11"/>
      <c r="M278" s="11"/>
      <c r="N278" s="11"/>
      <c r="O278" s="11"/>
      <c r="P278" s="12" t="str">
        <f t="shared" si="16"/>
        <v/>
      </c>
      <c r="Q278" s="16" t="str">
        <f t="shared" si="17"/>
        <v/>
      </c>
      <c r="R278" s="16" t="str">
        <f t="shared" si="18"/>
        <v/>
      </c>
      <c r="S278" s="9" t="str">
        <f t="shared" si="19"/>
        <v/>
      </c>
      <c r="T278" s="8"/>
      <c r="U278" s="8"/>
      <c r="V278" s="10"/>
      <c r="W278" s="8"/>
    </row>
    <row r="279" spans="1:23">
      <c r="A279" s="8"/>
      <c r="B279" s="10"/>
      <c r="C279" s="8"/>
      <c r="D279" s="8"/>
      <c r="E279" s="8"/>
      <c r="F279" s="8"/>
      <c r="G279" s="8"/>
      <c r="H279" s="8"/>
      <c r="I279" s="8"/>
      <c r="J279" s="11"/>
      <c r="K279" s="11"/>
      <c r="L279" s="11"/>
      <c r="M279" s="11"/>
      <c r="N279" s="11"/>
      <c r="O279" s="11"/>
      <c r="P279" s="12" t="str">
        <f t="shared" si="16"/>
        <v/>
      </c>
      <c r="Q279" s="16" t="str">
        <f t="shared" si="17"/>
        <v/>
      </c>
      <c r="R279" s="16" t="str">
        <f t="shared" si="18"/>
        <v/>
      </c>
      <c r="S279" s="9" t="str">
        <f t="shared" si="19"/>
        <v/>
      </c>
      <c r="T279" s="8"/>
      <c r="U279" s="8"/>
      <c r="V279" s="10"/>
      <c r="W279" s="8"/>
    </row>
    <row r="280" spans="1:23">
      <c r="A280" s="8"/>
      <c r="B280" s="10"/>
      <c r="C280" s="8"/>
      <c r="D280" s="8"/>
      <c r="E280" s="8"/>
      <c r="F280" s="8"/>
      <c r="G280" s="8"/>
      <c r="H280" s="8"/>
      <c r="I280" s="8"/>
      <c r="J280" s="11"/>
      <c r="K280" s="11"/>
      <c r="L280" s="11"/>
      <c r="M280" s="11"/>
      <c r="N280" s="11"/>
      <c r="O280" s="11"/>
      <c r="P280" s="12" t="str">
        <f t="shared" si="16"/>
        <v/>
      </c>
      <c r="Q280" s="16" t="str">
        <f t="shared" si="17"/>
        <v/>
      </c>
      <c r="R280" s="16" t="str">
        <f t="shared" si="18"/>
        <v/>
      </c>
      <c r="S280" s="9" t="str">
        <f t="shared" si="19"/>
        <v/>
      </c>
      <c r="T280" s="8"/>
      <c r="U280" s="8"/>
      <c r="V280" s="10"/>
      <c r="W280" s="8"/>
    </row>
    <row r="281" spans="1:23">
      <c r="A281" s="8"/>
      <c r="B281" s="10"/>
      <c r="C281" s="8"/>
      <c r="D281" s="8"/>
      <c r="E281" s="8"/>
      <c r="F281" s="8"/>
      <c r="G281" s="8"/>
      <c r="H281" s="8"/>
      <c r="I281" s="8"/>
      <c r="J281" s="11"/>
      <c r="K281" s="11"/>
      <c r="L281" s="11"/>
      <c r="M281" s="11"/>
      <c r="N281" s="11"/>
      <c r="O281" s="11"/>
      <c r="P281" s="12" t="str">
        <f t="shared" si="16"/>
        <v/>
      </c>
      <c r="Q281" s="16" t="str">
        <f t="shared" si="17"/>
        <v/>
      </c>
      <c r="R281" s="16" t="str">
        <f t="shared" si="18"/>
        <v/>
      </c>
      <c r="S281" s="9" t="str">
        <f t="shared" si="19"/>
        <v/>
      </c>
      <c r="T281" s="8"/>
      <c r="U281" s="8"/>
      <c r="V281" s="10"/>
      <c r="W281" s="8"/>
    </row>
    <row r="282" spans="1:23">
      <c r="A282" s="8"/>
      <c r="B282" s="10"/>
      <c r="C282" s="8"/>
      <c r="D282" s="8"/>
      <c r="E282" s="8"/>
      <c r="F282" s="8"/>
      <c r="G282" s="8"/>
      <c r="H282" s="8"/>
      <c r="I282" s="8"/>
      <c r="J282" s="11"/>
      <c r="K282" s="11"/>
      <c r="L282" s="11"/>
      <c r="M282" s="11"/>
      <c r="N282" s="11"/>
      <c r="O282" s="11"/>
      <c r="P282" s="12" t="str">
        <f t="shared" si="16"/>
        <v/>
      </c>
      <c r="Q282" s="16" t="str">
        <f t="shared" si="17"/>
        <v/>
      </c>
      <c r="R282" s="16" t="str">
        <f t="shared" si="18"/>
        <v/>
      </c>
      <c r="S282" s="9" t="str">
        <f t="shared" si="19"/>
        <v/>
      </c>
      <c r="T282" s="8"/>
      <c r="U282" s="8"/>
      <c r="V282" s="10"/>
      <c r="W282" s="8"/>
    </row>
    <row r="283" spans="1:23">
      <c r="A283" s="8"/>
      <c r="B283" s="10"/>
      <c r="C283" s="8"/>
      <c r="D283" s="8"/>
      <c r="E283" s="8"/>
      <c r="F283" s="8"/>
      <c r="G283" s="8"/>
      <c r="H283" s="8"/>
      <c r="I283" s="8"/>
      <c r="J283" s="11"/>
      <c r="K283" s="11"/>
      <c r="L283" s="11"/>
      <c r="M283" s="11"/>
      <c r="N283" s="11"/>
      <c r="O283" s="11"/>
      <c r="P283" s="12" t="str">
        <f t="shared" si="16"/>
        <v/>
      </c>
      <c r="Q283" s="16" t="str">
        <f t="shared" si="17"/>
        <v/>
      </c>
      <c r="R283" s="16" t="str">
        <f t="shared" si="18"/>
        <v/>
      </c>
      <c r="S283" s="9" t="str">
        <f t="shared" si="19"/>
        <v/>
      </c>
      <c r="T283" s="8"/>
      <c r="U283" s="8"/>
      <c r="V283" s="10"/>
      <c r="W283" s="8"/>
    </row>
    <row r="284" spans="1:23">
      <c r="A284" s="8"/>
      <c r="B284" s="10"/>
      <c r="C284" s="8"/>
      <c r="D284" s="8"/>
      <c r="E284" s="8"/>
      <c r="F284" s="8"/>
      <c r="G284" s="8"/>
      <c r="H284" s="8"/>
      <c r="I284" s="8"/>
      <c r="J284" s="11"/>
      <c r="K284" s="11"/>
      <c r="L284" s="11"/>
      <c r="M284" s="11"/>
      <c r="N284" s="11"/>
      <c r="O284" s="11"/>
      <c r="P284" s="12" t="str">
        <f t="shared" si="16"/>
        <v/>
      </c>
      <c r="Q284" s="16" t="str">
        <f t="shared" si="17"/>
        <v/>
      </c>
      <c r="R284" s="16" t="str">
        <f t="shared" si="18"/>
        <v/>
      </c>
      <c r="S284" s="9" t="str">
        <f t="shared" si="19"/>
        <v/>
      </c>
      <c r="T284" s="8"/>
      <c r="U284" s="8"/>
      <c r="V284" s="10"/>
      <c r="W284" s="8"/>
    </row>
    <row r="285" spans="1:23">
      <c r="A285" s="8"/>
      <c r="B285" s="10"/>
      <c r="C285" s="8"/>
      <c r="D285" s="8"/>
      <c r="E285" s="8"/>
      <c r="F285" s="8"/>
      <c r="G285" s="8"/>
      <c r="H285" s="8"/>
      <c r="I285" s="8"/>
      <c r="J285" s="11"/>
      <c r="K285" s="11"/>
      <c r="L285" s="11"/>
      <c r="M285" s="11"/>
      <c r="N285" s="11"/>
      <c r="O285" s="11"/>
      <c r="P285" s="12" t="str">
        <f t="shared" si="16"/>
        <v/>
      </c>
      <c r="Q285" s="16" t="str">
        <f t="shared" si="17"/>
        <v/>
      </c>
      <c r="R285" s="16" t="str">
        <f t="shared" si="18"/>
        <v/>
      </c>
      <c r="S285" s="9" t="str">
        <f t="shared" si="19"/>
        <v/>
      </c>
      <c r="T285" s="8"/>
      <c r="U285" s="8"/>
      <c r="V285" s="10"/>
      <c r="W285" s="8"/>
    </row>
    <row r="286" spans="1:23">
      <c r="A286" s="8"/>
      <c r="B286" s="10"/>
      <c r="C286" s="8"/>
      <c r="D286" s="8"/>
      <c r="E286" s="8"/>
      <c r="F286" s="8"/>
      <c r="G286" s="8"/>
      <c r="H286" s="8"/>
      <c r="I286" s="8"/>
      <c r="J286" s="11"/>
      <c r="K286" s="11"/>
      <c r="L286" s="11"/>
      <c r="M286" s="11"/>
      <c r="N286" s="11"/>
      <c r="O286" s="11"/>
      <c r="P286" s="12" t="str">
        <f t="shared" si="16"/>
        <v/>
      </c>
      <c r="Q286" s="16" t="str">
        <f t="shared" si="17"/>
        <v/>
      </c>
      <c r="R286" s="16" t="str">
        <f t="shared" si="18"/>
        <v/>
      </c>
      <c r="S286" s="9" t="str">
        <f t="shared" si="19"/>
        <v/>
      </c>
      <c r="T286" s="8"/>
      <c r="U286" s="8"/>
      <c r="V286" s="10"/>
      <c r="W286" s="8"/>
    </row>
    <row r="287" spans="1:23">
      <c r="A287" s="8"/>
      <c r="B287" s="10"/>
      <c r="C287" s="8"/>
      <c r="D287" s="8"/>
      <c r="E287" s="8"/>
      <c r="F287" s="8"/>
      <c r="G287" s="8"/>
      <c r="H287" s="8"/>
      <c r="I287" s="8"/>
      <c r="J287" s="11"/>
      <c r="K287" s="11"/>
      <c r="L287" s="11"/>
      <c r="M287" s="11"/>
      <c r="N287" s="11"/>
      <c r="O287" s="11"/>
      <c r="P287" s="12" t="str">
        <f t="shared" si="16"/>
        <v/>
      </c>
      <c r="Q287" s="16" t="str">
        <f t="shared" si="17"/>
        <v/>
      </c>
      <c r="R287" s="16" t="str">
        <f t="shared" si="18"/>
        <v/>
      </c>
      <c r="S287" s="9" t="str">
        <f t="shared" si="19"/>
        <v/>
      </c>
      <c r="T287" s="8"/>
      <c r="U287" s="8"/>
      <c r="V287" s="10"/>
      <c r="W287" s="8"/>
    </row>
    <row r="288" spans="1:23">
      <c r="A288" s="8"/>
      <c r="B288" s="10"/>
      <c r="C288" s="8"/>
      <c r="D288" s="8"/>
      <c r="E288" s="8"/>
      <c r="F288" s="8"/>
      <c r="G288" s="8"/>
      <c r="H288" s="8"/>
      <c r="I288" s="8"/>
      <c r="J288" s="11"/>
      <c r="K288" s="11"/>
      <c r="L288" s="11"/>
      <c r="M288" s="11"/>
      <c r="N288" s="11"/>
      <c r="O288" s="11"/>
      <c r="P288" s="12" t="str">
        <f t="shared" si="16"/>
        <v/>
      </c>
      <c r="Q288" s="16" t="str">
        <f t="shared" si="17"/>
        <v/>
      </c>
      <c r="R288" s="16" t="str">
        <f t="shared" si="18"/>
        <v/>
      </c>
      <c r="S288" s="9" t="str">
        <f t="shared" si="19"/>
        <v/>
      </c>
      <c r="T288" s="8"/>
      <c r="U288" s="8"/>
      <c r="V288" s="10"/>
      <c r="W288" s="8"/>
    </row>
    <row r="289" spans="1:23">
      <c r="A289" s="8"/>
      <c r="B289" s="10"/>
      <c r="C289" s="8"/>
      <c r="D289" s="8"/>
      <c r="E289" s="8"/>
      <c r="F289" s="8"/>
      <c r="G289" s="8"/>
      <c r="H289" s="8"/>
      <c r="I289" s="8"/>
      <c r="J289" s="11"/>
      <c r="K289" s="11"/>
      <c r="L289" s="11"/>
      <c r="M289" s="11"/>
      <c r="N289" s="11"/>
      <c r="O289" s="11"/>
      <c r="P289" s="12" t="str">
        <f t="shared" si="16"/>
        <v/>
      </c>
      <c r="Q289" s="16" t="str">
        <f t="shared" si="17"/>
        <v/>
      </c>
      <c r="R289" s="16" t="str">
        <f t="shared" si="18"/>
        <v/>
      </c>
      <c r="S289" s="9" t="str">
        <f t="shared" si="19"/>
        <v/>
      </c>
      <c r="T289" s="8"/>
      <c r="U289" s="8"/>
      <c r="V289" s="10"/>
      <c r="W289" s="8"/>
    </row>
    <row r="290" spans="1:23">
      <c r="A290" s="8"/>
      <c r="B290" s="10"/>
      <c r="C290" s="8"/>
      <c r="D290" s="8"/>
      <c r="E290" s="8"/>
      <c r="F290" s="8"/>
      <c r="G290" s="8"/>
      <c r="H290" s="8"/>
      <c r="I290" s="8"/>
      <c r="J290" s="11"/>
      <c r="K290" s="11"/>
      <c r="L290" s="11"/>
      <c r="M290" s="11"/>
      <c r="N290" s="11"/>
      <c r="O290" s="11"/>
      <c r="P290" s="12" t="str">
        <f t="shared" si="16"/>
        <v/>
      </c>
      <c r="Q290" s="16" t="str">
        <f t="shared" si="17"/>
        <v/>
      </c>
      <c r="R290" s="16" t="str">
        <f t="shared" si="18"/>
        <v/>
      </c>
      <c r="S290" s="9" t="str">
        <f t="shared" si="19"/>
        <v/>
      </c>
      <c r="T290" s="8"/>
      <c r="U290" s="8"/>
      <c r="V290" s="10"/>
      <c r="W290" s="8"/>
    </row>
    <row r="291" spans="1:23">
      <c r="A291" s="8"/>
      <c r="B291" s="10"/>
      <c r="C291" s="8"/>
      <c r="D291" s="8"/>
      <c r="E291" s="8"/>
      <c r="F291" s="8"/>
      <c r="G291" s="8"/>
      <c r="H291" s="8"/>
      <c r="I291" s="8"/>
      <c r="J291" s="11"/>
      <c r="K291" s="11"/>
      <c r="L291" s="11"/>
      <c r="M291" s="11"/>
      <c r="N291" s="11"/>
      <c r="O291" s="11"/>
      <c r="P291" s="12" t="str">
        <f t="shared" si="16"/>
        <v/>
      </c>
      <c r="Q291" s="16" t="str">
        <f t="shared" si="17"/>
        <v/>
      </c>
      <c r="R291" s="16" t="str">
        <f t="shared" si="18"/>
        <v/>
      </c>
      <c r="S291" s="9" t="str">
        <f t="shared" si="19"/>
        <v/>
      </c>
      <c r="T291" s="8"/>
      <c r="U291" s="8"/>
      <c r="V291" s="10"/>
      <c r="W291" s="8"/>
    </row>
    <row r="292" spans="1:23">
      <c r="A292" s="8"/>
      <c r="B292" s="10"/>
      <c r="C292" s="8"/>
      <c r="D292" s="8"/>
      <c r="E292" s="8"/>
      <c r="F292" s="8"/>
      <c r="G292" s="8"/>
      <c r="H292" s="8"/>
      <c r="I292" s="8"/>
      <c r="J292" s="11"/>
      <c r="K292" s="11"/>
      <c r="L292" s="11"/>
      <c r="M292" s="11"/>
      <c r="N292" s="11"/>
      <c r="O292" s="11"/>
      <c r="P292" s="12" t="str">
        <f t="shared" si="16"/>
        <v/>
      </c>
      <c r="Q292" s="16" t="str">
        <f t="shared" si="17"/>
        <v/>
      </c>
      <c r="R292" s="16" t="str">
        <f t="shared" si="18"/>
        <v/>
      </c>
      <c r="S292" s="9" t="str">
        <f t="shared" si="19"/>
        <v/>
      </c>
      <c r="T292" s="8"/>
      <c r="U292" s="8"/>
      <c r="V292" s="10"/>
      <c r="W292" s="8"/>
    </row>
    <row r="293" spans="1:23">
      <c r="A293" s="8"/>
      <c r="B293" s="10"/>
      <c r="C293" s="8"/>
      <c r="D293" s="8"/>
      <c r="E293" s="8"/>
      <c r="F293" s="8"/>
      <c r="G293" s="8"/>
      <c r="H293" s="8"/>
      <c r="I293" s="8"/>
      <c r="J293" s="11"/>
      <c r="K293" s="11"/>
      <c r="L293" s="11"/>
      <c r="M293" s="11"/>
      <c r="N293" s="11"/>
      <c r="O293" s="11"/>
      <c r="P293" s="12" t="str">
        <f t="shared" si="16"/>
        <v/>
      </c>
      <c r="Q293" s="16" t="str">
        <f t="shared" si="17"/>
        <v/>
      </c>
      <c r="R293" s="16" t="str">
        <f t="shared" si="18"/>
        <v/>
      </c>
      <c r="S293" s="9" t="str">
        <f t="shared" si="19"/>
        <v/>
      </c>
      <c r="T293" s="8"/>
      <c r="U293" s="8"/>
      <c r="V293" s="10"/>
      <c r="W293" s="8"/>
    </row>
    <row r="294" spans="1:23">
      <c r="A294" s="8"/>
      <c r="B294" s="10"/>
      <c r="C294" s="8"/>
      <c r="D294" s="8"/>
      <c r="E294" s="8"/>
      <c r="F294" s="8"/>
      <c r="G294" s="8"/>
      <c r="H294" s="8"/>
      <c r="I294" s="8"/>
      <c r="J294" s="11"/>
      <c r="K294" s="11"/>
      <c r="L294" s="11"/>
      <c r="M294" s="11"/>
      <c r="N294" s="11"/>
      <c r="O294" s="11"/>
      <c r="P294" s="12" t="str">
        <f t="shared" si="16"/>
        <v/>
      </c>
      <c r="Q294" s="16" t="str">
        <f t="shared" si="17"/>
        <v/>
      </c>
      <c r="R294" s="16" t="str">
        <f t="shared" si="18"/>
        <v/>
      </c>
      <c r="S294" s="9" t="str">
        <f t="shared" si="19"/>
        <v/>
      </c>
      <c r="T294" s="8"/>
      <c r="U294" s="8"/>
      <c r="V294" s="10"/>
      <c r="W294" s="8"/>
    </row>
    <row r="295" spans="1:23">
      <c r="A295" s="8"/>
      <c r="B295" s="10"/>
      <c r="C295" s="8"/>
      <c r="D295" s="8"/>
      <c r="E295" s="8"/>
      <c r="F295" s="8"/>
      <c r="G295" s="8"/>
      <c r="H295" s="8"/>
      <c r="I295" s="8"/>
      <c r="J295" s="11"/>
      <c r="K295" s="11"/>
      <c r="L295" s="11"/>
      <c r="M295" s="11"/>
      <c r="N295" s="11"/>
      <c r="O295" s="11"/>
      <c r="P295" s="12" t="str">
        <f t="shared" si="16"/>
        <v/>
      </c>
      <c r="Q295" s="16" t="str">
        <f t="shared" si="17"/>
        <v/>
      </c>
      <c r="R295" s="16" t="str">
        <f t="shared" si="18"/>
        <v/>
      </c>
      <c r="S295" s="9" t="str">
        <f t="shared" si="19"/>
        <v/>
      </c>
      <c r="T295" s="8"/>
      <c r="U295" s="8"/>
      <c r="V295" s="10"/>
      <c r="W295" s="8"/>
    </row>
    <row r="296" spans="1:23">
      <c r="A296" s="8"/>
      <c r="B296" s="10"/>
      <c r="C296" s="8"/>
      <c r="D296" s="8"/>
      <c r="E296" s="8"/>
      <c r="F296" s="8"/>
      <c r="G296" s="8"/>
      <c r="H296" s="8"/>
      <c r="I296" s="8"/>
      <c r="J296" s="11"/>
      <c r="K296" s="11"/>
      <c r="L296" s="11"/>
      <c r="M296" s="11"/>
      <c r="N296" s="11"/>
      <c r="O296" s="11"/>
      <c r="P296" s="12" t="str">
        <f t="shared" si="16"/>
        <v/>
      </c>
      <c r="Q296" s="16" t="str">
        <f t="shared" si="17"/>
        <v/>
      </c>
      <c r="R296" s="16" t="str">
        <f t="shared" si="18"/>
        <v/>
      </c>
      <c r="S296" s="9" t="str">
        <f t="shared" si="19"/>
        <v/>
      </c>
      <c r="T296" s="8"/>
      <c r="U296" s="8"/>
      <c r="V296" s="10"/>
      <c r="W296" s="8"/>
    </row>
    <row r="297" spans="1:23">
      <c r="A297" s="8"/>
      <c r="B297" s="10"/>
      <c r="C297" s="8"/>
      <c r="D297" s="8"/>
      <c r="E297" s="8"/>
      <c r="F297" s="8"/>
      <c r="G297" s="8"/>
      <c r="H297" s="8"/>
      <c r="I297" s="8"/>
      <c r="J297" s="11"/>
      <c r="K297" s="11"/>
      <c r="L297" s="11"/>
      <c r="M297" s="11"/>
      <c r="N297" s="11"/>
      <c r="O297" s="11"/>
      <c r="P297" s="12" t="str">
        <f t="shared" si="16"/>
        <v/>
      </c>
      <c r="Q297" s="16" t="str">
        <f t="shared" si="17"/>
        <v/>
      </c>
      <c r="R297" s="16" t="str">
        <f t="shared" si="18"/>
        <v/>
      </c>
      <c r="S297" s="9" t="str">
        <f t="shared" si="19"/>
        <v/>
      </c>
      <c r="T297" s="8"/>
      <c r="U297" s="8"/>
      <c r="V297" s="10"/>
      <c r="W297" s="8"/>
    </row>
    <row r="298" spans="1:23">
      <c r="A298" s="8"/>
      <c r="B298" s="10"/>
      <c r="C298" s="8"/>
      <c r="D298" s="8"/>
      <c r="E298" s="8"/>
      <c r="F298" s="8"/>
      <c r="G298" s="8"/>
      <c r="H298" s="8"/>
      <c r="I298" s="8"/>
      <c r="J298" s="11"/>
      <c r="K298" s="11"/>
      <c r="L298" s="11"/>
      <c r="M298" s="11"/>
      <c r="N298" s="11"/>
      <c r="O298" s="11"/>
      <c r="P298" s="12" t="str">
        <f t="shared" si="16"/>
        <v/>
      </c>
      <c r="Q298" s="16" t="str">
        <f t="shared" si="17"/>
        <v/>
      </c>
      <c r="R298" s="16" t="str">
        <f t="shared" si="18"/>
        <v/>
      </c>
      <c r="S298" s="9" t="str">
        <f t="shared" si="19"/>
        <v/>
      </c>
      <c r="T298" s="8"/>
      <c r="U298" s="8"/>
      <c r="V298" s="10"/>
      <c r="W298" s="8"/>
    </row>
    <row r="299" spans="1:23">
      <c r="A299" s="8"/>
      <c r="B299" s="10"/>
      <c r="C299" s="8"/>
      <c r="D299" s="8"/>
      <c r="E299" s="8"/>
      <c r="F299" s="8"/>
      <c r="G299" s="8"/>
      <c r="H299" s="8"/>
      <c r="I299" s="8"/>
      <c r="J299" s="11"/>
      <c r="K299" s="11"/>
      <c r="L299" s="11"/>
      <c r="M299" s="11"/>
      <c r="N299" s="11"/>
      <c r="O299" s="11"/>
      <c r="P299" s="12" t="str">
        <f t="shared" si="16"/>
        <v/>
      </c>
      <c r="Q299" s="16" t="str">
        <f t="shared" si="17"/>
        <v/>
      </c>
      <c r="R299" s="16" t="str">
        <f t="shared" si="18"/>
        <v/>
      </c>
      <c r="S299" s="9" t="str">
        <f t="shared" si="19"/>
        <v/>
      </c>
      <c r="T299" s="8"/>
      <c r="U299" s="8"/>
      <c r="V299" s="10"/>
      <c r="W299" s="8"/>
    </row>
    <row r="300" spans="1:23">
      <c r="A300" s="8"/>
      <c r="B300" s="10"/>
      <c r="C300" s="8"/>
      <c r="D300" s="8"/>
      <c r="E300" s="8"/>
      <c r="F300" s="8"/>
      <c r="G300" s="8"/>
      <c r="H300" s="8"/>
      <c r="I300" s="8"/>
      <c r="J300" s="11"/>
      <c r="K300" s="11"/>
      <c r="L300" s="11"/>
      <c r="M300" s="11"/>
      <c r="N300" s="11"/>
      <c r="O300" s="11"/>
      <c r="P300" s="12" t="str">
        <f t="shared" si="16"/>
        <v/>
      </c>
      <c r="Q300" s="16" t="str">
        <f t="shared" si="17"/>
        <v/>
      </c>
      <c r="R300" s="16" t="str">
        <f t="shared" si="18"/>
        <v/>
      </c>
      <c r="S300" s="9" t="str">
        <f t="shared" si="19"/>
        <v/>
      </c>
      <c r="T300" s="8"/>
      <c r="U300" s="8"/>
      <c r="V300" s="10"/>
      <c r="W300" s="8"/>
    </row>
    <row r="301" spans="1:23">
      <c r="A301" s="8"/>
      <c r="B301" s="10"/>
      <c r="C301" s="8"/>
      <c r="D301" s="8"/>
      <c r="E301" s="8"/>
      <c r="F301" s="8"/>
      <c r="G301" s="8"/>
      <c r="H301" s="8"/>
      <c r="I301" s="8"/>
      <c r="J301" s="11"/>
      <c r="K301" s="11"/>
      <c r="L301" s="11"/>
      <c r="M301" s="11"/>
      <c r="N301" s="11"/>
      <c r="O301" s="11"/>
      <c r="P301" s="12" t="str">
        <f t="shared" si="16"/>
        <v/>
      </c>
      <c r="Q301" s="16" t="str">
        <f t="shared" si="17"/>
        <v/>
      </c>
      <c r="R301" s="16" t="str">
        <f t="shared" si="18"/>
        <v/>
      </c>
      <c r="S301" s="9" t="str">
        <f t="shared" si="19"/>
        <v/>
      </c>
      <c r="T301" s="8"/>
      <c r="U301" s="8"/>
      <c r="V301" s="10"/>
      <c r="W301" s="8"/>
    </row>
    <row r="302" spans="1:23">
      <c r="A302" s="8"/>
      <c r="B302" s="10"/>
      <c r="C302" s="8"/>
      <c r="D302" s="8"/>
      <c r="E302" s="8"/>
      <c r="F302" s="8"/>
      <c r="G302" s="8"/>
      <c r="H302" s="8"/>
      <c r="I302" s="8"/>
      <c r="J302" s="11"/>
      <c r="K302" s="11"/>
      <c r="L302" s="11"/>
      <c r="M302" s="11"/>
      <c r="N302" s="11"/>
      <c r="O302" s="11"/>
      <c r="P302" s="12" t="str">
        <f t="shared" si="16"/>
        <v/>
      </c>
      <c r="Q302" s="16" t="str">
        <f t="shared" si="17"/>
        <v/>
      </c>
      <c r="R302" s="16" t="str">
        <f t="shared" si="18"/>
        <v/>
      </c>
      <c r="S302" s="9" t="str">
        <f t="shared" si="19"/>
        <v/>
      </c>
      <c r="T302" s="8"/>
      <c r="U302" s="8"/>
      <c r="V302" s="10"/>
      <c r="W302" s="8"/>
    </row>
    <row r="303" spans="1:23">
      <c r="A303" s="8"/>
      <c r="B303" s="10"/>
      <c r="C303" s="8"/>
      <c r="D303" s="8"/>
      <c r="E303" s="8"/>
      <c r="F303" s="8"/>
      <c r="G303" s="8"/>
      <c r="H303" s="8"/>
      <c r="I303" s="8"/>
      <c r="J303" s="11"/>
      <c r="K303" s="11"/>
      <c r="L303" s="11"/>
      <c r="M303" s="11"/>
      <c r="N303" s="11"/>
      <c r="O303" s="11"/>
      <c r="P303" s="12" t="str">
        <f t="shared" si="16"/>
        <v/>
      </c>
      <c r="Q303" s="16" t="str">
        <f t="shared" si="17"/>
        <v/>
      </c>
      <c r="R303" s="16" t="str">
        <f t="shared" si="18"/>
        <v/>
      </c>
      <c r="S303" s="9" t="str">
        <f t="shared" si="19"/>
        <v/>
      </c>
      <c r="T303" s="8"/>
      <c r="U303" s="8"/>
      <c r="V303" s="10"/>
      <c r="W303" s="8"/>
    </row>
    <row r="304" spans="1:23">
      <c r="A304" s="8"/>
      <c r="B304" s="10"/>
      <c r="C304" s="8"/>
      <c r="D304" s="8"/>
      <c r="E304" s="8"/>
      <c r="F304" s="8"/>
      <c r="G304" s="8"/>
      <c r="H304" s="8"/>
      <c r="I304" s="8"/>
      <c r="J304" s="11"/>
      <c r="K304" s="11"/>
      <c r="L304" s="11"/>
      <c r="M304" s="11"/>
      <c r="N304" s="11"/>
      <c r="O304" s="11"/>
      <c r="P304" s="12" t="str">
        <f t="shared" si="16"/>
        <v/>
      </c>
      <c r="Q304" s="16" t="str">
        <f t="shared" si="17"/>
        <v/>
      </c>
      <c r="R304" s="16" t="str">
        <f t="shared" si="18"/>
        <v/>
      </c>
      <c r="S304" s="9" t="str">
        <f t="shared" si="19"/>
        <v/>
      </c>
      <c r="T304" s="8"/>
      <c r="U304" s="8"/>
      <c r="V304" s="10"/>
      <c r="W304" s="8"/>
    </row>
  </sheetData>
  <mergeCells count="2">
    <mergeCell ref="A1:W1"/>
    <mergeCell ref="A2:W2"/>
  </mergeCells>
  <conditionalFormatting sqref="A5:A304">
    <cfRule type="duplicateValues" dxfId="40" priority="9"/>
  </conditionalFormatting>
  <conditionalFormatting sqref="S5:S304">
    <cfRule type="containsText" dxfId="39" priority="1" operator="containsText" text="Approved"/>
    <cfRule type="containsText" dxfId="38" priority="4" operator="containsText" text="Failed"/>
    <cfRule type="containsText" dxfId="37" priority="7" operator="containsText" text="On Hold"/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04"/>
  <sheetViews>
    <sheetView showGridLines="0" workbookViewId="0">
      <selection sqref="A1:Z1"/>
    </sheetView>
  </sheetViews>
  <sheetFormatPr baseColWidth="10" defaultColWidth="8.83203125" defaultRowHeight="14"/>
  <cols>
    <col min="1" max="2" width="14" customWidth="1"/>
    <col min="3" max="4" width="13" customWidth="1"/>
    <col min="5" max="5" width="10" customWidth="1"/>
    <col min="6" max="6" width="16" customWidth="1"/>
    <col min="7" max="7" width="14" customWidth="1"/>
    <col min="8" max="8" width="16" customWidth="1"/>
    <col min="9" max="9" width="14" customWidth="1"/>
    <col min="10" max="10" width="13" customWidth="1"/>
    <col min="11" max="11" width="11" customWidth="1"/>
    <col min="12" max="12" width="15" customWidth="1"/>
    <col min="13" max="15" width="18" customWidth="1"/>
    <col min="16" max="16" width="14" customWidth="1"/>
    <col min="17" max="17" width="15" customWidth="1"/>
    <col min="18" max="18" width="16" customWidth="1"/>
    <col min="19" max="19" width="17" customWidth="1"/>
    <col min="20" max="20" width="23" customWidth="1"/>
    <col min="21" max="22" width="14" customWidth="1"/>
    <col min="23" max="23" width="18" customWidth="1"/>
    <col min="24" max="25" width="20" customWidth="1"/>
    <col min="26" max="26" width="15" customWidth="1"/>
  </cols>
  <sheetData>
    <row r="1" spans="1:26" ht="30" customHeight="1">
      <c r="A1" s="52" t="s">
        <v>376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4" spans="1:26" ht="44" customHeight="1">
      <c r="A4" s="6" t="s">
        <v>377</v>
      </c>
      <c r="B4" s="6" t="s">
        <v>44</v>
      </c>
      <c r="C4" s="6" t="s">
        <v>45</v>
      </c>
      <c r="D4" s="6" t="s">
        <v>46</v>
      </c>
      <c r="E4" s="6" t="s">
        <v>306</v>
      </c>
      <c r="F4" s="6" t="s">
        <v>378</v>
      </c>
      <c r="G4" s="6" t="s">
        <v>308</v>
      </c>
      <c r="H4" s="6" t="s">
        <v>379</v>
      </c>
      <c r="I4" s="6" t="s">
        <v>309</v>
      </c>
      <c r="J4" s="6" t="s">
        <v>380</v>
      </c>
      <c r="K4" s="6" t="s">
        <v>381</v>
      </c>
      <c r="L4" s="6" t="s">
        <v>382</v>
      </c>
      <c r="M4" s="6" t="s">
        <v>312</v>
      </c>
      <c r="N4" s="6" t="s">
        <v>313</v>
      </c>
      <c r="O4" s="6" t="s">
        <v>383</v>
      </c>
      <c r="P4" s="6" t="s">
        <v>317</v>
      </c>
      <c r="Q4" s="6" t="s">
        <v>384</v>
      </c>
      <c r="R4" s="6" t="s">
        <v>318</v>
      </c>
      <c r="S4" s="6" t="s">
        <v>319</v>
      </c>
      <c r="T4" s="6" t="s">
        <v>375</v>
      </c>
      <c r="U4" s="6" t="s">
        <v>248</v>
      </c>
      <c r="V4" s="6" t="s">
        <v>130</v>
      </c>
      <c r="W4" s="6" t="s">
        <v>73</v>
      </c>
      <c r="X4" s="6" t="s">
        <v>321</v>
      </c>
      <c r="Y4" s="6" t="s">
        <v>322</v>
      </c>
      <c r="Z4" s="6" t="s">
        <v>63</v>
      </c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0"/>
      <c r="M5" s="8"/>
      <c r="N5" s="8"/>
      <c r="O5" s="8"/>
      <c r="P5" s="8"/>
      <c r="Q5" s="8"/>
      <c r="R5" s="8"/>
      <c r="S5" s="8"/>
      <c r="T5" s="8"/>
      <c r="U5" s="10"/>
      <c r="V5" s="8"/>
      <c r="W5" s="8"/>
      <c r="X5" s="8"/>
      <c r="Y5" s="8"/>
      <c r="Z5" s="10"/>
    </row>
    <row r="6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10"/>
      <c r="M6" s="8"/>
      <c r="N6" s="8"/>
      <c r="O6" s="8"/>
      <c r="P6" s="8"/>
      <c r="Q6" s="8"/>
      <c r="R6" s="8"/>
      <c r="S6" s="8"/>
      <c r="T6" s="8"/>
      <c r="U6" s="10"/>
      <c r="V6" s="8"/>
      <c r="W6" s="8"/>
      <c r="X6" s="8"/>
      <c r="Y6" s="8"/>
      <c r="Z6" s="10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10"/>
      <c r="M7" s="8"/>
      <c r="N7" s="8"/>
      <c r="O7" s="8"/>
      <c r="P7" s="8"/>
      <c r="Q7" s="8"/>
      <c r="R7" s="8"/>
      <c r="S7" s="8"/>
      <c r="T7" s="8"/>
      <c r="U7" s="10"/>
      <c r="V7" s="8"/>
      <c r="W7" s="8"/>
      <c r="X7" s="8"/>
      <c r="Y7" s="8"/>
      <c r="Z7" s="10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0"/>
      <c r="M8" s="8"/>
      <c r="N8" s="8"/>
      <c r="O8" s="8"/>
      <c r="P8" s="8"/>
      <c r="Q8" s="8"/>
      <c r="R8" s="8"/>
      <c r="S8" s="8"/>
      <c r="T8" s="8"/>
      <c r="U8" s="10"/>
      <c r="V8" s="8"/>
      <c r="W8" s="8"/>
      <c r="X8" s="8"/>
      <c r="Y8" s="8"/>
      <c r="Z8" s="10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0"/>
      <c r="M9" s="8"/>
      <c r="N9" s="8"/>
      <c r="O9" s="8"/>
      <c r="P9" s="8"/>
      <c r="Q9" s="8"/>
      <c r="R9" s="8"/>
      <c r="S9" s="8"/>
      <c r="T9" s="8"/>
      <c r="U9" s="10"/>
      <c r="V9" s="8"/>
      <c r="W9" s="8"/>
      <c r="X9" s="8"/>
      <c r="Y9" s="8"/>
      <c r="Z9" s="10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0"/>
      <c r="M10" s="8"/>
      <c r="N10" s="8"/>
      <c r="O10" s="8"/>
      <c r="P10" s="8"/>
      <c r="Q10" s="8"/>
      <c r="R10" s="8"/>
      <c r="S10" s="8"/>
      <c r="T10" s="8"/>
      <c r="U10" s="10"/>
      <c r="V10" s="8"/>
      <c r="W10" s="8"/>
      <c r="X10" s="8"/>
      <c r="Y10" s="8"/>
      <c r="Z10" s="10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0"/>
      <c r="M11" s="8"/>
      <c r="N11" s="8"/>
      <c r="O11" s="8"/>
      <c r="P11" s="8"/>
      <c r="Q11" s="8"/>
      <c r="R11" s="8"/>
      <c r="S11" s="8"/>
      <c r="T11" s="8"/>
      <c r="U11" s="10"/>
      <c r="V11" s="8"/>
      <c r="W11" s="8"/>
      <c r="X11" s="8"/>
      <c r="Y11" s="8"/>
      <c r="Z11" s="10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0"/>
      <c r="M12" s="8"/>
      <c r="N12" s="8"/>
      <c r="O12" s="8"/>
      <c r="P12" s="8"/>
      <c r="Q12" s="8"/>
      <c r="R12" s="8"/>
      <c r="S12" s="8"/>
      <c r="T12" s="8"/>
      <c r="U12" s="10"/>
      <c r="V12" s="8"/>
      <c r="W12" s="8"/>
      <c r="X12" s="8"/>
      <c r="Y12" s="8"/>
      <c r="Z12" s="10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8"/>
      <c r="N13" s="8"/>
      <c r="O13" s="8"/>
      <c r="P13" s="8"/>
      <c r="Q13" s="8"/>
      <c r="R13" s="8"/>
      <c r="S13" s="8"/>
      <c r="T13" s="8"/>
      <c r="U13" s="10"/>
      <c r="V13" s="8"/>
      <c r="W13" s="8"/>
      <c r="X13" s="8"/>
      <c r="Y13" s="8"/>
      <c r="Z13" s="10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0"/>
      <c r="M14" s="8"/>
      <c r="N14" s="8"/>
      <c r="O14" s="8"/>
      <c r="P14" s="8"/>
      <c r="Q14" s="8"/>
      <c r="R14" s="8"/>
      <c r="S14" s="8"/>
      <c r="T14" s="8"/>
      <c r="U14" s="10"/>
      <c r="V14" s="8"/>
      <c r="W14" s="8"/>
      <c r="X14" s="8"/>
      <c r="Y14" s="8"/>
      <c r="Z14" s="10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0"/>
      <c r="M15" s="8"/>
      <c r="N15" s="8"/>
      <c r="O15" s="8"/>
      <c r="P15" s="8"/>
      <c r="Q15" s="8"/>
      <c r="R15" s="8"/>
      <c r="S15" s="8"/>
      <c r="T15" s="8"/>
      <c r="U15" s="10"/>
      <c r="V15" s="8"/>
      <c r="W15" s="8"/>
      <c r="X15" s="8"/>
      <c r="Y15" s="8"/>
      <c r="Z15" s="10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0"/>
      <c r="M16" s="8"/>
      <c r="N16" s="8"/>
      <c r="O16" s="8"/>
      <c r="P16" s="8"/>
      <c r="Q16" s="8"/>
      <c r="R16" s="8"/>
      <c r="S16" s="8"/>
      <c r="T16" s="8"/>
      <c r="U16" s="10"/>
      <c r="V16" s="8"/>
      <c r="W16" s="8"/>
      <c r="X16" s="8"/>
      <c r="Y16" s="8"/>
      <c r="Z16" s="10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0"/>
      <c r="M17" s="8"/>
      <c r="N17" s="8"/>
      <c r="O17" s="8"/>
      <c r="P17" s="8"/>
      <c r="Q17" s="8"/>
      <c r="R17" s="8"/>
      <c r="S17" s="8"/>
      <c r="T17" s="8"/>
      <c r="U17" s="10"/>
      <c r="V17" s="8"/>
      <c r="W17" s="8"/>
      <c r="X17" s="8"/>
      <c r="Y17" s="8"/>
      <c r="Z17" s="10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0"/>
      <c r="M18" s="8"/>
      <c r="N18" s="8"/>
      <c r="O18" s="8"/>
      <c r="P18" s="8"/>
      <c r="Q18" s="8"/>
      <c r="R18" s="8"/>
      <c r="S18" s="8"/>
      <c r="T18" s="8"/>
      <c r="U18" s="10"/>
      <c r="V18" s="8"/>
      <c r="W18" s="8"/>
      <c r="X18" s="8"/>
      <c r="Y18" s="8"/>
      <c r="Z18" s="10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0"/>
      <c r="M19" s="8"/>
      <c r="N19" s="8"/>
      <c r="O19" s="8"/>
      <c r="P19" s="8"/>
      <c r="Q19" s="8"/>
      <c r="R19" s="8"/>
      <c r="S19" s="8"/>
      <c r="T19" s="8"/>
      <c r="U19" s="10"/>
      <c r="V19" s="8"/>
      <c r="W19" s="8"/>
      <c r="X19" s="8"/>
      <c r="Y19" s="8"/>
      <c r="Z19" s="10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0"/>
      <c r="M20" s="8"/>
      <c r="N20" s="8"/>
      <c r="O20" s="8"/>
      <c r="P20" s="8"/>
      <c r="Q20" s="8"/>
      <c r="R20" s="8"/>
      <c r="S20" s="8"/>
      <c r="T20" s="8"/>
      <c r="U20" s="10"/>
      <c r="V20" s="8"/>
      <c r="W20" s="8"/>
      <c r="X20" s="8"/>
      <c r="Y20" s="8"/>
      <c r="Z20" s="10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0"/>
      <c r="M21" s="8"/>
      <c r="N21" s="8"/>
      <c r="O21" s="8"/>
      <c r="P21" s="8"/>
      <c r="Q21" s="8"/>
      <c r="R21" s="8"/>
      <c r="S21" s="8"/>
      <c r="T21" s="8"/>
      <c r="U21" s="10"/>
      <c r="V21" s="8"/>
      <c r="W21" s="8"/>
      <c r="X21" s="8"/>
      <c r="Y21" s="8"/>
      <c r="Z21" s="10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0"/>
      <c r="M22" s="8"/>
      <c r="N22" s="8"/>
      <c r="O22" s="8"/>
      <c r="P22" s="8"/>
      <c r="Q22" s="8"/>
      <c r="R22" s="8"/>
      <c r="S22" s="8"/>
      <c r="T22" s="8"/>
      <c r="U22" s="10"/>
      <c r="V22" s="8"/>
      <c r="W22" s="8"/>
      <c r="X22" s="8"/>
      <c r="Y22" s="8"/>
      <c r="Z22" s="10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0"/>
      <c r="M23" s="8"/>
      <c r="N23" s="8"/>
      <c r="O23" s="8"/>
      <c r="P23" s="8"/>
      <c r="Q23" s="8"/>
      <c r="R23" s="8"/>
      <c r="S23" s="8"/>
      <c r="T23" s="8"/>
      <c r="U23" s="10"/>
      <c r="V23" s="8"/>
      <c r="W23" s="8"/>
      <c r="X23" s="8"/>
      <c r="Y23" s="8"/>
      <c r="Z23" s="10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0"/>
      <c r="M24" s="8"/>
      <c r="N24" s="8"/>
      <c r="O24" s="8"/>
      <c r="P24" s="8"/>
      <c r="Q24" s="8"/>
      <c r="R24" s="8"/>
      <c r="S24" s="8"/>
      <c r="T24" s="8"/>
      <c r="U24" s="10"/>
      <c r="V24" s="8"/>
      <c r="W24" s="8"/>
      <c r="X24" s="8"/>
      <c r="Y24" s="8"/>
      <c r="Z24" s="10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0"/>
      <c r="M25" s="8"/>
      <c r="N25" s="8"/>
      <c r="O25" s="8"/>
      <c r="P25" s="8"/>
      <c r="Q25" s="8"/>
      <c r="R25" s="8"/>
      <c r="S25" s="8"/>
      <c r="T25" s="8"/>
      <c r="U25" s="10"/>
      <c r="V25" s="8"/>
      <c r="W25" s="8"/>
      <c r="X25" s="8"/>
      <c r="Y25" s="8"/>
      <c r="Z25" s="10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0"/>
      <c r="M26" s="8"/>
      <c r="N26" s="8"/>
      <c r="O26" s="8"/>
      <c r="P26" s="8"/>
      <c r="Q26" s="8"/>
      <c r="R26" s="8"/>
      <c r="S26" s="8"/>
      <c r="T26" s="8"/>
      <c r="U26" s="10"/>
      <c r="V26" s="8"/>
      <c r="W26" s="8"/>
      <c r="X26" s="8"/>
      <c r="Y26" s="8"/>
      <c r="Z26" s="10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0"/>
      <c r="M27" s="8"/>
      <c r="N27" s="8"/>
      <c r="O27" s="8"/>
      <c r="P27" s="8"/>
      <c r="Q27" s="8"/>
      <c r="R27" s="8"/>
      <c r="S27" s="8"/>
      <c r="T27" s="8"/>
      <c r="U27" s="10"/>
      <c r="V27" s="8"/>
      <c r="W27" s="8"/>
      <c r="X27" s="8"/>
      <c r="Y27" s="8"/>
      <c r="Z27" s="10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8"/>
      <c r="N28" s="8"/>
      <c r="O28" s="8"/>
      <c r="P28" s="8"/>
      <c r="Q28" s="8"/>
      <c r="R28" s="8"/>
      <c r="S28" s="8"/>
      <c r="T28" s="8"/>
      <c r="U28" s="10"/>
      <c r="V28" s="8"/>
      <c r="W28" s="8"/>
      <c r="X28" s="8"/>
      <c r="Y28" s="8"/>
      <c r="Z28" s="10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8"/>
      <c r="N29" s="8"/>
      <c r="O29" s="8"/>
      <c r="P29" s="8"/>
      <c r="Q29" s="8"/>
      <c r="R29" s="8"/>
      <c r="S29" s="8"/>
      <c r="T29" s="8"/>
      <c r="U29" s="10"/>
      <c r="V29" s="8"/>
      <c r="W29" s="8"/>
      <c r="X29" s="8"/>
      <c r="Y29" s="8"/>
      <c r="Z29" s="10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8"/>
      <c r="N30" s="8"/>
      <c r="O30" s="8"/>
      <c r="P30" s="8"/>
      <c r="Q30" s="8"/>
      <c r="R30" s="8"/>
      <c r="S30" s="8"/>
      <c r="T30" s="8"/>
      <c r="U30" s="10"/>
      <c r="V30" s="8"/>
      <c r="W30" s="8"/>
      <c r="X30" s="8"/>
      <c r="Y30" s="8"/>
      <c r="Z30" s="10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8"/>
      <c r="N31" s="8"/>
      <c r="O31" s="8"/>
      <c r="P31" s="8"/>
      <c r="Q31" s="8"/>
      <c r="R31" s="8"/>
      <c r="S31" s="8"/>
      <c r="T31" s="8"/>
      <c r="U31" s="10"/>
      <c r="V31" s="8"/>
      <c r="W31" s="8"/>
      <c r="X31" s="8"/>
      <c r="Y31" s="8"/>
      <c r="Z31" s="10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8"/>
      <c r="N32" s="8"/>
      <c r="O32" s="8"/>
      <c r="P32" s="8"/>
      <c r="Q32" s="8"/>
      <c r="R32" s="8"/>
      <c r="S32" s="8"/>
      <c r="T32" s="8"/>
      <c r="U32" s="10"/>
      <c r="V32" s="8"/>
      <c r="W32" s="8"/>
      <c r="X32" s="8"/>
      <c r="Y32" s="8"/>
      <c r="Z32" s="10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8"/>
      <c r="N33" s="8"/>
      <c r="O33" s="8"/>
      <c r="P33" s="8"/>
      <c r="Q33" s="8"/>
      <c r="R33" s="8"/>
      <c r="S33" s="8"/>
      <c r="T33" s="8"/>
      <c r="U33" s="10"/>
      <c r="V33" s="8"/>
      <c r="W33" s="8"/>
      <c r="X33" s="8"/>
      <c r="Y33" s="8"/>
      <c r="Z33" s="10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0"/>
      <c r="M34" s="8"/>
      <c r="N34" s="8"/>
      <c r="O34" s="8"/>
      <c r="P34" s="8"/>
      <c r="Q34" s="8"/>
      <c r="R34" s="8"/>
      <c r="S34" s="8"/>
      <c r="T34" s="8"/>
      <c r="U34" s="10"/>
      <c r="V34" s="8"/>
      <c r="W34" s="8"/>
      <c r="X34" s="8"/>
      <c r="Y34" s="8"/>
      <c r="Z34" s="10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0"/>
      <c r="M35" s="8"/>
      <c r="N35" s="8"/>
      <c r="O35" s="8"/>
      <c r="P35" s="8"/>
      <c r="Q35" s="8"/>
      <c r="R35" s="8"/>
      <c r="S35" s="8"/>
      <c r="T35" s="8"/>
      <c r="U35" s="10"/>
      <c r="V35" s="8"/>
      <c r="W35" s="8"/>
      <c r="X35" s="8"/>
      <c r="Y35" s="8"/>
      <c r="Z35" s="10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0"/>
      <c r="M36" s="8"/>
      <c r="N36" s="8"/>
      <c r="O36" s="8"/>
      <c r="P36" s="8"/>
      <c r="Q36" s="8"/>
      <c r="R36" s="8"/>
      <c r="S36" s="8"/>
      <c r="T36" s="8"/>
      <c r="U36" s="10"/>
      <c r="V36" s="8"/>
      <c r="W36" s="8"/>
      <c r="X36" s="8"/>
      <c r="Y36" s="8"/>
      <c r="Z36" s="10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0"/>
      <c r="M37" s="8"/>
      <c r="N37" s="8"/>
      <c r="O37" s="8"/>
      <c r="P37" s="8"/>
      <c r="Q37" s="8"/>
      <c r="R37" s="8"/>
      <c r="S37" s="8"/>
      <c r="T37" s="8"/>
      <c r="U37" s="10"/>
      <c r="V37" s="8"/>
      <c r="W37" s="8"/>
      <c r="X37" s="8"/>
      <c r="Y37" s="8"/>
      <c r="Z37" s="10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0"/>
      <c r="M38" s="8"/>
      <c r="N38" s="8"/>
      <c r="O38" s="8"/>
      <c r="P38" s="8"/>
      <c r="Q38" s="8"/>
      <c r="R38" s="8"/>
      <c r="S38" s="8"/>
      <c r="T38" s="8"/>
      <c r="U38" s="10"/>
      <c r="V38" s="8"/>
      <c r="W38" s="8"/>
      <c r="X38" s="8"/>
      <c r="Y38" s="8"/>
      <c r="Z38" s="10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10"/>
      <c r="M39" s="8"/>
      <c r="N39" s="8"/>
      <c r="O39" s="8"/>
      <c r="P39" s="8"/>
      <c r="Q39" s="8"/>
      <c r="R39" s="8"/>
      <c r="S39" s="8"/>
      <c r="T39" s="8"/>
      <c r="U39" s="10"/>
      <c r="V39" s="8"/>
      <c r="W39" s="8"/>
      <c r="X39" s="8"/>
      <c r="Y39" s="8"/>
      <c r="Z39" s="10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10"/>
      <c r="M40" s="8"/>
      <c r="N40" s="8"/>
      <c r="O40" s="8"/>
      <c r="P40" s="8"/>
      <c r="Q40" s="8"/>
      <c r="R40" s="8"/>
      <c r="S40" s="8"/>
      <c r="T40" s="8"/>
      <c r="U40" s="10"/>
      <c r="V40" s="8"/>
      <c r="W40" s="8"/>
      <c r="X40" s="8"/>
      <c r="Y40" s="8"/>
      <c r="Z40" s="10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10"/>
      <c r="M41" s="8"/>
      <c r="N41" s="8"/>
      <c r="O41" s="8"/>
      <c r="P41" s="8"/>
      <c r="Q41" s="8"/>
      <c r="R41" s="8"/>
      <c r="S41" s="8"/>
      <c r="T41" s="8"/>
      <c r="U41" s="10"/>
      <c r="V41" s="8"/>
      <c r="W41" s="8"/>
      <c r="X41" s="8"/>
      <c r="Y41" s="8"/>
      <c r="Z41" s="10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10"/>
      <c r="M42" s="8"/>
      <c r="N42" s="8"/>
      <c r="O42" s="8"/>
      <c r="P42" s="8"/>
      <c r="Q42" s="8"/>
      <c r="R42" s="8"/>
      <c r="S42" s="8"/>
      <c r="T42" s="8"/>
      <c r="U42" s="10"/>
      <c r="V42" s="8"/>
      <c r="W42" s="8"/>
      <c r="X42" s="8"/>
      <c r="Y42" s="8"/>
      <c r="Z42" s="10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10"/>
      <c r="M43" s="8"/>
      <c r="N43" s="8"/>
      <c r="O43" s="8"/>
      <c r="P43" s="8"/>
      <c r="Q43" s="8"/>
      <c r="R43" s="8"/>
      <c r="S43" s="8"/>
      <c r="T43" s="8"/>
      <c r="U43" s="10"/>
      <c r="V43" s="8"/>
      <c r="W43" s="8"/>
      <c r="X43" s="8"/>
      <c r="Y43" s="8"/>
      <c r="Z43" s="10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10"/>
      <c r="M44" s="8"/>
      <c r="N44" s="8"/>
      <c r="O44" s="8"/>
      <c r="P44" s="8"/>
      <c r="Q44" s="8"/>
      <c r="R44" s="8"/>
      <c r="S44" s="8"/>
      <c r="T44" s="8"/>
      <c r="U44" s="10"/>
      <c r="V44" s="8"/>
      <c r="W44" s="8"/>
      <c r="X44" s="8"/>
      <c r="Y44" s="8"/>
      <c r="Z44" s="10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10"/>
      <c r="M45" s="8"/>
      <c r="N45" s="8"/>
      <c r="O45" s="8"/>
      <c r="P45" s="8"/>
      <c r="Q45" s="8"/>
      <c r="R45" s="8"/>
      <c r="S45" s="8"/>
      <c r="T45" s="8"/>
      <c r="U45" s="10"/>
      <c r="V45" s="8"/>
      <c r="W45" s="8"/>
      <c r="X45" s="8"/>
      <c r="Y45" s="8"/>
      <c r="Z45" s="10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10"/>
      <c r="M46" s="8"/>
      <c r="N46" s="8"/>
      <c r="O46" s="8"/>
      <c r="P46" s="8"/>
      <c r="Q46" s="8"/>
      <c r="R46" s="8"/>
      <c r="S46" s="8"/>
      <c r="T46" s="8"/>
      <c r="U46" s="10"/>
      <c r="V46" s="8"/>
      <c r="W46" s="8"/>
      <c r="X46" s="8"/>
      <c r="Y46" s="8"/>
      <c r="Z46" s="10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10"/>
      <c r="M47" s="8"/>
      <c r="N47" s="8"/>
      <c r="O47" s="8"/>
      <c r="P47" s="8"/>
      <c r="Q47" s="8"/>
      <c r="R47" s="8"/>
      <c r="S47" s="8"/>
      <c r="T47" s="8"/>
      <c r="U47" s="10"/>
      <c r="V47" s="8"/>
      <c r="W47" s="8"/>
      <c r="X47" s="8"/>
      <c r="Y47" s="8"/>
      <c r="Z47" s="10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10"/>
      <c r="M48" s="8"/>
      <c r="N48" s="8"/>
      <c r="O48" s="8"/>
      <c r="P48" s="8"/>
      <c r="Q48" s="8"/>
      <c r="R48" s="8"/>
      <c r="S48" s="8"/>
      <c r="T48" s="8"/>
      <c r="U48" s="10"/>
      <c r="V48" s="8"/>
      <c r="W48" s="8"/>
      <c r="X48" s="8"/>
      <c r="Y48" s="8"/>
      <c r="Z48" s="10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0"/>
      <c r="M49" s="8"/>
      <c r="N49" s="8"/>
      <c r="O49" s="8"/>
      <c r="P49" s="8"/>
      <c r="Q49" s="8"/>
      <c r="R49" s="8"/>
      <c r="S49" s="8"/>
      <c r="T49" s="8"/>
      <c r="U49" s="10"/>
      <c r="V49" s="8"/>
      <c r="W49" s="8"/>
      <c r="X49" s="8"/>
      <c r="Y49" s="8"/>
      <c r="Z49" s="10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10"/>
      <c r="M50" s="8"/>
      <c r="N50" s="8"/>
      <c r="O50" s="8"/>
      <c r="P50" s="8"/>
      <c r="Q50" s="8"/>
      <c r="R50" s="8"/>
      <c r="S50" s="8"/>
      <c r="T50" s="8"/>
      <c r="U50" s="10"/>
      <c r="V50" s="8"/>
      <c r="W50" s="8"/>
      <c r="X50" s="8"/>
      <c r="Y50" s="8"/>
      <c r="Z50" s="10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10"/>
      <c r="M51" s="8"/>
      <c r="N51" s="8"/>
      <c r="O51" s="8"/>
      <c r="P51" s="8"/>
      <c r="Q51" s="8"/>
      <c r="R51" s="8"/>
      <c r="S51" s="8"/>
      <c r="T51" s="8"/>
      <c r="U51" s="10"/>
      <c r="V51" s="8"/>
      <c r="W51" s="8"/>
      <c r="X51" s="8"/>
      <c r="Y51" s="8"/>
      <c r="Z51" s="10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10"/>
      <c r="M52" s="8"/>
      <c r="N52" s="8"/>
      <c r="O52" s="8"/>
      <c r="P52" s="8"/>
      <c r="Q52" s="8"/>
      <c r="R52" s="8"/>
      <c r="S52" s="8"/>
      <c r="T52" s="8"/>
      <c r="U52" s="10"/>
      <c r="V52" s="8"/>
      <c r="W52" s="8"/>
      <c r="X52" s="8"/>
      <c r="Y52" s="8"/>
      <c r="Z52" s="10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10"/>
      <c r="M53" s="8"/>
      <c r="N53" s="8"/>
      <c r="O53" s="8"/>
      <c r="P53" s="8"/>
      <c r="Q53" s="8"/>
      <c r="R53" s="8"/>
      <c r="S53" s="8"/>
      <c r="T53" s="8"/>
      <c r="U53" s="10"/>
      <c r="V53" s="8"/>
      <c r="W53" s="8"/>
      <c r="X53" s="8"/>
      <c r="Y53" s="8"/>
      <c r="Z53" s="10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10"/>
      <c r="M54" s="8"/>
      <c r="N54" s="8"/>
      <c r="O54" s="8"/>
      <c r="P54" s="8"/>
      <c r="Q54" s="8"/>
      <c r="R54" s="8"/>
      <c r="S54" s="8"/>
      <c r="T54" s="8"/>
      <c r="U54" s="10"/>
      <c r="V54" s="8"/>
      <c r="W54" s="8"/>
      <c r="X54" s="8"/>
      <c r="Y54" s="8"/>
      <c r="Z54" s="10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10"/>
      <c r="M55" s="8"/>
      <c r="N55" s="8"/>
      <c r="O55" s="8"/>
      <c r="P55" s="8"/>
      <c r="Q55" s="8"/>
      <c r="R55" s="8"/>
      <c r="S55" s="8"/>
      <c r="T55" s="8"/>
      <c r="U55" s="10"/>
      <c r="V55" s="8"/>
      <c r="W55" s="8"/>
      <c r="X55" s="8"/>
      <c r="Y55" s="8"/>
      <c r="Z55" s="10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10"/>
      <c r="M56" s="8"/>
      <c r="N56" s="8"/>
      <c r="O56" s="8"/>
      <c r="P56" s="8"/>
      <c r="Q56" s="8"/>
      <c r="R56" s="8"/>
      <c r="S56" s="8"/>
      <c r="T56" s="8"/>
      <c r="U56" s="10"/>
      <c r="V56" s="8"/>
      <c r="W56" s="8"/>
      <c r="X56" s="8"/>
      <c r="Y56" s="8"/>
      <c r="Z56" s="10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10"/>
      <c r="M57" s="8"/>
      <c r="N57" s="8"/>
      <c r="O57" s="8"/>
      <c r="P57" s="8"/>
      <c r="Q57" s="8"/>
      <c r="R57" s="8"/>
      <c r="S57" s="8"/>
      <c r="T57" s="8"/>
      <c r="U57" s="10"/>
      <c r="V57" s="8"/>
      <c r="W57" s="8"/>
      <c r="X57" s="8"/>
      <c r="Y57" s="8"/>
      <c r="Z57" s="10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10"/>
      <c r="M58" s="8"/>
      <c r="N58" s="8"/>
      <c r="O58" s="8"/>
      <c r="P58" s="8"/>
      <c r="Q58" s="8"/>
      <c r="R58" s="8"/>
      <c r="S58" s="8"/>
      <c r="T58" s="8"/>
      <c r="U58" s="10"/>
      <c r="V58" s="8"/>
      <c r="W58" s="8"/>
      <c r="X58" s="8"/>
      <c r="Y58" s="8"/>
      <c r="Z58" s="10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10"/>
      <c r="M59" s="8"/>
      <c r="N59" s="8"/>
      <c r="O59" s="8"/>
      <c r="P59" s="8"/>
      <c r="Q59" s="8"/>
      <c r="R59" s="8"/>
      <c r="S59" s="8"/>
      <c r="T59" s="8"/>
      <c r="U59" s="10"/>
      <c r="V59" s="8"/>
      <c r="W59" s="8"/>
      <c r="X59" s="8"/>
      <c r="Y59" s="8"/>
      <c r="Z59" s="10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10"/>
      <c r="M60" s="8"/>
      <c r="N60" s="8"/>
      <c r="O60" s="8"/>
      <c r="P60" s="8"/>
      <c r="Q60" s="8"/>
      <c r="R60" s="8"/>
      <c r="S60" s="8"/>
      <c r="T60" s="8"/>
      <c r="U60" s="10"/>
      <c r="V60" s="8"/>
      <c r="W60" s="8"/>
      <c r="X60" s="8"/>
      <c r="Y60" s="8"/>
      <c r="Z60" s="10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10"/>
      <c r="M61" s="8"/>
      <c r="N61" s="8"/>
      <c r="O61" s="8"/>
      <c r="P61" s="8"/>
      <c r="Q61" s="8"/>
      <c r="R61" s="8"/>
      <c r="S61" s="8"/>
      <c r="T61" s="8"/>
      <c r="U61" s="10"/>
      <c r="V61" s="8"/>
      <c r="W61" s="8"/>
      <c r="X61" s="8"/>
      <c r="Y61" s="8"/>
      <c r="Z61" s="10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10"/>
      <c r="M62" s="8"/>
      <c r="N62" s="8"/>
      <c r="O62" s="8"/>
      <c r="P62" s="8"/>
      <c r="Q62" s="8"/>
      <c r="R62" s="8"/>
      <c r="S62" s="8"/>
      <c r="T62" s="8"/>
      <c r="U62" s="10"/>
      <c r="V62" s="8"/>
      <c r="W62" s="8"/>
      <c r="X62" s="8"/>
      <c r="Y62" s="8"/>
      <c r="Z62" s="10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10"/>
      <c r="M63" s="8"/>
      <c r="N63" s="8"/>
      <c r="O63" s="8"/>
      <c r="P63" s="8"/>
      <c r="Q63" s="8"/>
      <c r="R63" s="8"/>
      <c r="S63" s="8"/>
      <c r="T63" s="8"/>
      <c r="U63" s="10"/>
      <c r="V63" s="8"/>
      <c r="W63" s="8"/>
      <c r="X63" s="8"/>
      <c r="Y63" s="8"/>
      <c r="Z63" s="10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10"/>
      <c r="M64" s="8"/>
      <c r="N64" s="8"/>
      <c r="O64" s="8"/>
      <c r="P64" s="8"/>
      <c r="Q64" s="8"/>
      <c r="R64" s="8"/>
      <c r="S64" s="8"/>
      <c r="T64" s="8"/>
      <c r="U64" s="10"/>
      <c r="V64" s="8"/>
      <c r="W64" s="8"/>
      <c r="X64" s="8"/>
      <c r="Y64" s="8"/>
      <c r="Z64" s="10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10"/>
      <c r="M65" s="8"/>
      <c r="N65" s="8"/>
      <c r="O65" s="8"/>
      <c r="P65" s="8"/>
      <c r="Q65" s="8"/>
      <c r="R65" s="8"/>
      <c r="S65" s="8"/>
      <c r="T65" s="8"/>
      <c r="U65" s="10"/>
      <c r="V65" s="8"/>
      <c r="W65" s="8"/>
      <c r="X65" s="8"/>
      <c r="Y65" s="8"/>
      <c r="Z65" s="10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10"/>
      <c r="M66" s="8"/>
      <c r="N66" s="8"/>
      <c r="O66" s="8"/>
      <c r="P66" s="8"/>
      <c r="Q66" s="8"/>
      <c r="R66" s="8"/>
      <c r="S66" s="8"/>
      <c r="T66" s="8"/>
      <c r="U66" s="10"/>
      <c r="V66" s="8"/>
      <c r="W66" s="8"/>
      <c r="X66" s="8"/>
      <c r="Y66" s="8"/>
      <c r="Z66" s="10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10"/>
      <c r="M67" s="8"/>
      <c r="N67" s="8"/>
      <c r="O67" s="8"/>
      <c r="P67" s="8"/>
      <c r="Q67" s="8"/>
      <c r="R67" s="8"/>
      <c r="S67" s="8"/>
      <c r="T67" s="8"/>
      <c r="U67" s="10"/>
      <c r="V67" s="8"/>
      <c r="W67" s="8"/>
      <c r="X67" s="8"/>
      <c r="Y67" s="8"/>
      <c r="Z67" s="10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10"/>
      <c r="M68" s="8"/>
      <c r="N68" s="8"/>
      <c r="O68" s="8"/>
      <c r="P68" s="8"/>
      <c r="Q68" s="8"/>
      <c r="R68" s="8"/>
      <c r="S68" s="8"/>
      <c r="T68" s="8"/>
      <c r="U68" s="10"/>
      <c r="V68" s="8"/>
      <c r="W68" s="8"/>
      <c r="X68" s="8"/>
      <c r="Y68" s="8"/>
      <c r="Z68" s="10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10"/>
      <c r="M69" s="8"/>
      <c r="N69" s="8"/>
      <c r="O69" s="8"/>
      <c r="P69" s="8"/>
      <c r="Q69" s="8"/>
      <c r="R69" s="8"/>
      <c r="S69" s="8"/>
      <c r="T69" s="8"/>
      <c r="U69" s="10"/>
      <c r="V69" s="8"/>
      <c r="W69" s="8"/>
      <c r="X69" s="8"/>
      <c r="Y69" s="8"/>
      <c r="Z69" s="10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10"/>
      <c r="M70" s="8"/>
      <c r="N70" s="8"/>
      <c r="O70" s="8"/>
      <c r="P70" s="8"/>
      <c r="Q70" s="8"/>
      <c r="R70" s="8"/>
      <c r="S70" s="8"/>
      <c r="T70" s="8"/>
      <c r="U70" s="10"/>
      <c r="V70" s="8"/>
      <c r="W70" s="8"/>
      <c r="X70" s="8"/>
      <c r="Y70" s="8"/>
      <c r="Z70" s="10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10"/>
      <c r="M71" s="8"/>
      <c r="N71" s="8"/>
      <c r="O71" s="8"/>
      <c r="P71" s="8"/>
      <c r="Q71" s="8"/>
      <c r="R71" s="8"/>
      <c r="S71" s="8"/>
      <c r="T71" s="8"/>
      <c r="U71" s="10"/>
      <c r="V71" s="8"/>
      <c r="W71" s="8"/>
      <c r="X71" s="8"/>
      <c r="Y71" s="8"/>
      <c r="Z71" s="10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10"/>
      <c r="M72" s="8"/>
      <c r="N72" s="8"/>
      <c r="O72" s="8"/>
      <c r="P72" s="8"/>
      <c r="Q72" s="8"/>
      <c r="R72" s="8"/>
      <c r="S72" s="8"/>
      <c r="T72" s="8"/>
      <c r="U72" s="10"/>
      <c r="V72" s="8"/>
      <c r="W72" s="8"/>
      <c r="X72" s="8"/>
      <c r="Y72" s="8"/>
      <c r="Z72" s="10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10"/>
      <c r="M73" s="8"/>
      <c r="N73" s="8"/>
      <c r="O73" s="8"/>
      <c r="P73" s="8"/>
      <c r="Q73" s="8"/>
      <c r="R73" s="8"/>
      <c r="S73" s="8"/>
      <c r="T73" s="8"/>
      <c r="U73" s="10"/>
      <c r="V73" s="8"/>
      <c r="W73" s="8"/>
      <c r="X73" s="8"/>
      <c r="Y73" s="8"/>
      <c r="Z73" s="10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10"/>
      <c r="M74" s="8"/>
      <c r="N74" s="8"/>
      <c r="O74" s="8"/>
      <c r="P74" s="8"/>
      <c r="Q74" s="8"/>
      <c r="R74" s="8"/>
      <c r="S74" s="8"/>
      <c r="T74" s="8"/>
      <c r="U74" s="10"/>
      <c r="V74" s="8"/>
      <c r="W74" s="8"/>
      <c r="X74" s="8"/>
      <c r="Y74" s="8"/>
      <c r="Z74" s="10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10"/>
      <c r="M75" s="8"/>
      <c r="N75" s="8"/>
      <c r="O75" s="8"/>
      <c r="P75" s="8"/>
      <c r="Q75" s="8"/>
      <c r="R75" s="8"/>
      <c r="S75" s="8"/>
      <c r="T75" s="8"/>
      <c r="U75" s="10"/>
      <c r="V75" s="8"/>
      <c r="W75" s="8"/>
      <c r="X75" s="8"/>
      <c r="Y75" s="8"/>
      <c r="Z75" s="10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10"/>
      <c r="M76" s="8"/>
      <c r="N76" s="8"/>
      <c r="O76" s="8"/>
      <c r="P76" s="8"/>
      <c r="Q76" s="8"/>
      <c r="R76" s="8"/>
      <c r="S76" s="8"/>
      <c r="T76" s="8"/>
      <c r="U76" s="10"/>
      <c r="V76" s="8"/>
      <c r="W76" s="8"/>
      <c r="X76" s="8"/>
      <c r="Y76" s="8"/>
      <c r="Z76" s="10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10"/>
      <c r="M77" s="8"/>
      <c r="N77" s="8"/>
      <c r="O77" s="8"/>
      <c r="P77" s="8"/>
      <c r="Q77" s="8"/>
      <c r="R77" s="8"/>
      <c r="S77" s="8"/>
      <c r="T77" s="8"/>
      <c r="U77" s="10"/>
      <c r="V77" s="8"/>
      <c r="W77" s="8"/>
      <c r="X77" s="8"/>
      <c r="Y77" s="8"/>
      <c r="Z77" s="10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10"/>
      <c r="M78" s="8"/>
      <c r="N78" s="8"/>
      <c r="O78" s="8"/>
      <c r="P78" s="8"/>
      <c r="Q78" s="8"/>
      <c r="R78" s="8"/>
      <c r="S78" s="8"/>
      <c r="T78" s="8"/>
      <c r="U78" s="10"/>
      <c r="V78" s="8"/>
      <c r="W78" s="8"/>
      <c r="X78" s="8"/>
      <c r="Y78" s="8"/>
      <c r="Z78" s="10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10"/>
      <c r="M79" s="8"/>
      <c r="N79" s="8"/>
      <c r="O79" s="8"/>
      <c r="P79" s="8"/>
      <c r="Q79" s="8"/>
      <c r="R79" s="8"/>
      <c r="S79" s="8"/>
      <c r="T79" s="8"/>
      <c r="U79" s="10"/>
      <c r="V79" s="8"/>
      <c r="W79" s="8"/>
      <c r="X79" s="8"/>
      <c r="Y79" s="8"/>
      <c r="Z79" s="10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10"/>
      <c r="M80" s="8"/>
      <c r="N80" s="8"/>
      <c r="O80" s="8"/>
      <c r="P80" s="8"/>
      <c r="Q80" s="8"/>
      <c r="R80" s="8"/>
      <c r="S80" s="8"/>
      <c r="T80" s="8"/>
      <c r="U80" s="10"/>
      <c r="V80" s="8"/>
      <c r="W80" s="8"/>
      <c r="X80" s="8"/>
      <c r="Y80" s="8"/>
      <c r="Z80" s="10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0"/>
      <c r="M81" s="8"/>
      <c r="N81" s="8"/>
      <c r="O81" s="8"/>
      <c r="P81" s="8"/>
      <c r="Q81" s="8"/>
      <c r="R81" s="8"/>
      <c r="S81" s="8"/>
      <c r="T81" s="8"/>
      <c r="U81" s="10"/>
      <c r="V81" s="8"/>
      <c r="W81" s="8"/>
      <c r="X81" s="8"/>
      <c r="Y81" s="8"/>
      <c r="Z81" s="10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10"/>
      <c r="M82" s="8"/>
      <c r="N82" s="8"/>
      <c r="O82" s="8"/>
      <c r="P82" s="8"/>
      <c r="Q82" s="8"/>
      <c r="R82" s="8"/>
      <c r="S82" s="8"/>
      <c r="T82" s="8"/>
      <c r="U82" s="10"/>
      <c r="V82" s="8"/>
      <c r="W82" s="8"/>
      <c r="X82" s="8"/>
      <c r="Y82" s="8"/>
      <c r="Z82" s="10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0"/>
      <c r="M83" s="8"/>
      <c r="N83" s="8"/>
      <c r="O83" s="8"/>
      <c r="P83" s="8"/>
      <c r="Q83" s="8"/>
      <c r="R83" s="8"/>
      <c r="S83" s="8"/>
      <c r="T83" s="8"/>
      <c r="U83" s="10"/>
      <c r="V83" s="8"/>
      <c r="W83" s="8"/>
      <c r="X83" s="8"/>
      <c r="Y83" s="8"/>
      <c r="Z83" s="10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10"/>
      <c r="M84" s="8"/>
      <c r="N84" s="8"/>
      <c r="O84" s="8"/>
      <c r="P84" s="8"/>
      <c r="Q84" s="8"/>
      <c r="R84" s="8"/>
      <c r="S84" s="8"/>
      <c r="T84" s="8"/>
      <c r="U84" s="10"/>
      <c r="V84" s="8"/>
      <c r="W84" s="8"/>
      <c r="X84" s="8"/>
      <c r="Y84" s="8"/>
      <c r="Z84" s="10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0"/>
      <c r="M85" s="8"/>
      <c r="N85" s="8"/>
      <c r="O85" s="8"/>
      <c r="P85" s="8"/>
      <c r="Q85" s="8"/>
      <c r="R85" s="8"/>
      <c r="S85" s="8"/>
      <c r="T85" s="8"/>
      <c r="U85" s="10"/>
      <c r="V85" s="8"/>
      <c r="W85" s="8"/>
      <c r="X85" s="8"/>
      <c r="Y85" s="8"/>
      <c r="Z85" s="10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10"/>
      <c r="M86" s="8"/>
      <c r="N86" s="8"/>
      <c r="O86" s="8"/>
      <c r="P86" s="8"/>
      <c r="Q86" s="8"/>
      <c r="R86" s="8"/>
      <c r="S86" s="8"/>
      <c r="T86" s="8"/>
      <c r="U86" s="10"/>
      <c r="V86" s="8"/>
      <c r="W86" s="8"/>
      <c r="X86" s="8"/>
      <c r="Y86" s="8"/>
      <c r="Z86" s="10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10"/>
      <c r="M87" s="8"/>
      <c r="N87" s="8"/>
      <c r="O87" s="8"/>
      <c r="P87" s="8"/>
      <c r="Q87" s="8"/>
      <c r="R87" s="8"/>
      <c r="S87" s="8"/>
      <c r="T87" s="8"/>
      <c r="U87" s="10"/>
      <c r="V87" s="8"/>
      <c r="W87" s="8"/>
      <c r="X87" s="8"/>
      <c r="Y87" s="8"/>
      <c r="Z87" s="10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10"/>
      <c r="M88" s="8"/>
      <c r="N88" s="8"/>
      <c r="O88" s="8"/>
      <c r="P88" s="8"/>
      <c r="Q88" s="8"/>
      <c r="R88" s="8"/>
      <c r="S88" s="8"/>
      <c r="T88" s="8"/>
      <c r="U88" s="10"/>
      <c r="V88" s="8"/>
      <c r="W88" s="8"/>
      <c r="X88" s="8"/>
      <c r="Y88" s="8"/>
      <c r="Z88" s="10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10"/>
      <c r="M89" s="8"/>
      <c r="N89" s="8"/>
      <c r="O89" s="8"/>
      <c r="P89" s="8"/>
      <c r="Q89" s="8"/>
      <c r="R89" s="8"/>
      <c r="S89" s="8"/>
      <c r="T89" s="8"/>
      <c r="U89" s="10"/>
      <c r="V89" s="8"/>
      <c r="W89" s="8"/>
      <c r="X89" s="8"/>
      <c r="Y89" s="8"/>
      <c r="Z89" s="10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10"/>
      <c r="M90" s="8"/>
      <c r="N90" s="8"/>
      <c r="O90" s="8"/>
      <c r="P90" s="8"/>
      <c r="Q90" s="8"/>
      <c r="R90" s="8"/>
      <c r="S90" s="8"/>
      <c r="T90" s="8"/>
      <c r="U90" s="10"/>
      <c r="V90" s="8"/>
      <c r="W90" s="8"/>
      <c r="X90" s="8"/>
      <c r="Y90" s="8"/>
      <c r="Z90" s="10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10"/>
      <c r="M91" s="8"/>
      <c r="N91" s="8"/>
      <c r="O91" s="8"/>
      <c r="P91" s="8"/>
      <c r="Q91" s="8"/>
      <c r="R91" s="8"/>
      <c r="S91" s="8"/>
      <c r="T91" s="8"/>
      <c r="U91" s="10"/>
      <c r="V91" s="8"/>
      <c r="W91" s="8"/>
      <c r="X91" s="8"/>
      <c r="Y91" s="8"/>
      <c r="Z91" s="10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10"/>
      <c r="M92" s="8"/>
      <c r="N92" s="8"/>
      <c r="O92" s="8"/>
      <c r="P92" s="8"/>
      <c r="Q92" s="8"/>
      <c r="R92" s="8"/>
      <c r="S92" s="8"/>
      <c r="T92" s="8"/>
      <c r="U92" s="10"/>
      <c r="V92" s="8"/>
      <c r="W92" s="8"/>
      <c r="X92" s="8"/>
      <c r="Y92" s="8"/>
      <c r="Z92" s="10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10"/>
      <c r="M93" s="8"/>
      <c r="N93" s="8"/>
      <c r="O93" s="8"/>
      <c r="P93" s="8"/>
      <c r="Q93" s="8"/>
      <c r="R93" s="8"/>
      <c r="S93" s="8"/>
      <c r="T93" s="8"/>
      <c r="U93" s="10"/>
      <c r="V93" s="8"/>
      <c r="W93" s="8"/>
      <c r="X93" s="8"/>
      <c r="Y93" s="8"/>
      <c r="Z93" s="10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10"/>
      <c r="M94" s="8"/>
      <c r="N94" s="8"/>
      <c r="O94" s="8"/>
      <c r="P94" s="8"/>
      <c r="Q94" s="8"/>
      <c r="R94" s="8"/>
      <c r="S94" s="8"/>
      <c r="T94" s="8"/>
      <c r="U94" s="10"/>
      <c r="V94" s="8"/>
      <c r="W94" s="8"/>
      <c r="X94" s="8"/>
      <c r="Y94" s="8"/>
      <c r="Z94" s="10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10"/>
      <c r="M95" s="8"/>
      <c r="N95" s="8"/>
      <c r="O95" s="8"/>
      <c r="P95" s="8"/>
      <c r="Q95" s="8"/>
      <c r="R95" s="8"/>
      <c r="S95" s="8"/>
      <c r="T95" s="8"/>
      <c r="U95" s="10"/>
      <c r="V95" s="8"/>
      <c r="W95" s="8"/>
      <c r="X95" s="8"/>
      <c r="Y95" s="8"/>
      <c r="Z95" s="10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10"/>
      <c r="M96" s="8"/>
      <c r="N96" s="8"/>
      <c r="O96" s="8"/>
      <c r="P96" s="8"/>
      <c r="Q96" s="8"/>
      <c r="R96" s="8"/>
      <c r="S96" s="8"/>
      <c r="T96" s="8"/>
      <c r="U96" s="10"/>
      <c r="V96" s="8"/>
      <c r="W96" s="8"/>
      <c r="X96" s="8"/>
      <c r="Y96" s="8"/>
      <c r="Z96" s="10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10"/>
      <c r="M97" s="8"/>
      <c r="N97" s="8"/>
      <c r="O97" s="8"/>
      <c r="P97" s="8"/>
      <c r="Q97" s="8"/>
      <c r="R97" s="8"/>
      <c r="S97" s="8"/>
      <c r="T97" s="8"/>
      <c r="U97" s="10"/>
      <c r="V97" s="8"/>
      <c r="W97" s="8"/>
      <c r="X97" s="8"/>
      <c r="Y97" s="8"/>
      <c r="Z97" s="10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10"/>
      <c r="M98" s="8"/>
      <c r="N98" s="8"/>
      <c r="O98" s="8"/>
      <c r="P98" s="8"/>
      <c r="Q98" s="8"/>
      <c r="R98" s="8"/>
      <c r="S98" s="8"/>
      <c r="T98" s="8"/>
      <c r="U98" s="10"/>
      <c r="V98" s="8"/>
      <c r="W98" s="8"/>
      <c r="X98" s="8"/>
      <c r="Y98" s="8"/>
      <c r="Z98" s="10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10"/>
      <c r="M99" s="8"/>
      <c r="N99" s="8"/>
      <c r="O99" s="8"/>
      <c r="P99" s="8"/>
      <c r="Q99" s="8"/>
      <c r="R99" s="8"/>
      <c r="S99" s="8"/>
      <c r="T99" s="8"/>
      <c r="U99" s="10"/>
      <c r="V99" s="8"/>
      <c r="W99" s="8"/>
      <c r="X99" s="8"/>
      <c r="Y99" s="8"/>
      <c r="Z99" s="10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10"/>
      <c r="M100" s="8"/>
      <c r="N100" s="8"/>
      <c r="O100" s="8"/>
      <c r="P100" s="8"/>
      <c r="Q100" s="8"/>
      <c r="R100" s="8"/>
      <c r="S100" s="8"/>
      <c r="T100" s="8"/>
      <c r="U100" s="10"/>
      <c r="V100" s="8"/>
      <c r="W100" s="8"/>
      <c r="X100" s="8"/>
      <c r="Y100" s="8"/>
      <c r="Z100" s="10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"/>
      <c r="M101" s="8"/>
      <c r="N101" s="8"/>
      <c r="O101" s="8"/>
      <c r="P101" s="8"/>
      <c r="Q101" s="8"/>
      <c r="R101" s="8"/>
      <c r="S101" s="8"/>
      <c r="T101" s="8"/>
      <c r="U101" s="10"/>
      <c r="V101" s="8"/>
      <c r="W101" s="8"/>
      <c r="X101" s="8"/>
      <c r="Y101" s="8"/>
      <c r="Z101" s="10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0"/>
      <c r="M102" s="8"/>
      <c r="N102" s="8"/>
      <c r="O102" s="8"/>
      <c r="P102" s="8"/>
      <c r="Q102" s="8"/>
      <c r="R102" s="8"/>
      <c r="S102" s="8"/>
      <c r="T102" s="8"/>
      <c r="U102" s="10"/>
      <c r="V102" s="8"/>
      <c r="W102" s="8"/>
      <c r="X102" s="8"/>
      <c r="Y102" s="8"/>
      <c r="Z102" s="10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0"/>
      <c r="M103" s="8"/>
      <c r="N103" s="8"/>
      <c r="O103" s="8"/>
      <c r="P103" s="8"/>
      <c r="Q103" s="8"/>
      <c r="R103" s="8"/>
      <c r="S103" s="8"/>
      <c r="T103" s="8"/>
      <c r="U103" s="10"/>
      <c r="V103" s="8"/>
      <c r="W103" s="8"/>
      <c r="X103" s="8"/>
      <c r="Y103" s="8"/>
      <c r="Z103" s="10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0"/>
      <c r="M104" s="8"/>
      <c r="N104" s="8"/>
      <c r="O104" s="8"/>
      <c r="P104" s="8"/>
      <c r="Q104" s="8"/>
      <c r="R104" s="8"/>
      <c r="S104" s="8"/>
      <c r="T104" s="8"/>
      <c r="U104" s="10"/>
      <c r="V104" s="8"/>
      <c r="W104" s="8"/>
      <c r="X104" s="8"/>
      <c r="Y104" s="8"/>
      <c r="Z104" s="10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0"/>
      <c r="M105" s="8"/>
      <c r="N105" s="8"/>
      <c r="O105" s="8"/>
      <c r="P105" s="8"/>
      <c r="Q105" s="8"/>
      <c r="R105" s="8"/>
      <c r="S105" s="8"/>
      <c r="T105" s="8"/>
      <c r="U105" s="10"/>
      <c r="V105" s="8"/>
      <c r="W105" s="8"/>
      <c r="X105" s="8"/>
      <c r="Y105" s="8"/>
      <c r="Z105" s="10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0"/>
      <c r="M106" s="8"/>
      <c r="N106" s="8"/>
      <c r="O106" s="8"/>
      <c r="P106" s="8"/>
      <c r="Q106" s="8"/>
      <c r="R106" s="8"/>
      <c r="S106" s="8"/>
      <c r="T106" s="8"/>
      <c r="U106" s="10"/>
      <c r="V106" s="8"/>
      <c r="W106" s="8"/>
      <c r="X106" s="8"/>
      <c r="Y106" s="8"/>
      <c r="Z106" s="10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0"/>
      <c r="M107" s="8"/>
      <c r="N107" s="8"/>
      <c r="O107" s="8"/>
      <c r="P107" s="8"/>
      <c r="Q107" s="8"/>
      <c r="R107" s="8"/>
      <c r="S107" s="8"/>
      <c r="T107" s="8"/>
      <c r="U107" s="10"/>
      <c r="V107" s="8"/>
      <c r="W107" s="8"/>
      <c r="X107" s="8"/>
      <c r="Y107" s="8"/>
      <c r="Z107" s="10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0"/>
      <c r="M108" s="8"/>
      <c r="N108" s="8"/>
      <c r="O108" s="8"/>
      <c r="P108" s="8"/>
      <c r="Q108" s="8"/>
      <c r="R108" s="8"/>
      <c r="S108" s="8"/>
      <c r="T108" s="8"/>
      <c r="U108" s="10"/>
      <c r="V108" s="8"/>
      <c r="W108" s="8"/>
      <c r="X108" s="8"/>
      <c r="Y108" s="8"/>
      <c r="Z108" s="10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0"/>
      <c r="M109" s="8"/>
      <c r="N109" s="8"/>
      <c r="O109" s="8"/>
      <c r="P109" s="8"/>
      <c r="Q109" s="8"/>
      <c r="R109" s="8"/>
      <c r="S109" s="8"/>
      <c r="T109" s="8"/>
      <c r="U109" s="10"/>
      <c r="V109" s="8"/>
      <c r="W109" s="8"/>
      <c r="X109" s="8"/>
      <c r="Y109" s="8"/>
      <c r="Z109" s="10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0"/>
      <c r="M110" s="8"/>
      <c r="N110" s="8"/>
      <c r="O110" s="8"/>
      <c r="P110" s="8"/>
      <c r="Q110" s="8"/>
      <c r="R110" s="8"/>
      <c r="S110" s="8"/>
      <c r="T110" s="8"/>
      <c r="U110" s="10"/>
      <c r="V110" s="8"/>
      <c r="W110" s="8"/>
      <c r="X110" s="8"/>
      <c r="Y110" s="8"/>
      <c r="Z110" s="10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8"/>
      <c r="U111" s="10"/>
      <c r="V111" s="8"/>
      <c r="W111" s="8"/>
      <c r="X111" s="8"/>
      <c r="Y111" s="8"/>
      <c r="Z111" s="10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0"/>
      <c r="M112" s="8"/>
      <c r="N112" s="8"/>
      <c r="O112" s="8"/>
      <c r="P112" s="8"/>
      <c r="Q112" s="8"/>
      <c r="R112" s="8"/>
      <c r="S112" s="8"/>
      <c r="T112" s="8"/>
      <c r="U112" s="10"/>
      <c r="V112" s="8"/>
      <c r="W112" s="8"/>
      <c r="X112" s="8"/>
      <c r="Y112" s="8"/>
      <c r="Z112" s="10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0"/>
      <c r="M113" s="8"/>
      <c r="N113" s="8"/>
      <c r="O113" s="8"/>
      <c r="P113" s="8"/>
      <c r="Q113" s="8"/>
      <c r="R113" s="8"/>
      <c r="S113" s="8"/>
      <c r="T113" s="8"/>
      <c r="U113" s="10"/>
      <c r="V113" s="8"/>
      <c r="W113" s="8"/>
      <c r="X113" s="8"/>
      <c r="Y113" s="8"/>
      <c r="Z113" s="10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0"/>
      <c r="M114" s="8"/>
      <c r="N114" s="8"/>
      <c r="O114" s="8"/>
      <c r="P114" s="8"/>
      <c r="Q114" s="8"/>
      <c r="R114" s="8"/>
      <c r="S114" s="8"/>
      <c r="T114" s="8"/>
      <c r="U114" s="10"/>
      <c r="V114" s="8"/>
      <c r="W114" s="8"/>
      <c r="X114" s="8"/>
      <c r="Y114" s="8"/>
      <c r="Z114" s="10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0"/>
      <c r="M115" s="8"/>
      <c r="N115" s="8"/>
      <c r="O115" s="8"/>
      <c r="P115" s="8"/>
      <c r="Q115" s="8"/>
      <c r="R115" s="8"/>
      <c r="S115" s="8"/>
      <c r="T115" s="8"/>
      <c r="U115" s="10"/>
      <c r="V115" s="8"/>
      <c r="W115" s="8"/>
      <c r="X115" s="8"/>
      <c r="Y115" s="8"/>
      <c r="Z115" s="10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0"/>
      <c r="M116" s="8"/>
      <c r="N116" s="8"/>
      <c r="O116" s="8"/>
      <c r="P116" s="8"/>
      <c r="Q116" s="8"/>
      <c r="R116" s="8"/>
      <c r="S116" s="8"/>
      <c r="T116" s="8"/>
      <c r="U116" s="10"/>
      <c r="V116" s="8"/>
      <c r="W116" s="8"/>
      <c r="X116" s="8"/>
      <c r="Y116" s="8"/>
      <c r="Z116" s="10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0"/>
      <c r="M117" s="8"/>
      <c r="N117" s="8"/>
      <c r="O117" s="8"/>
      <c r="P117" s="8"/>
      <c r="Q117" s="8"/>
      <c r="R117" s="8"/>
      <c r="S117" s="8"/>
      <c r="T117" s="8"/>
      <c r="U117" s="10"/>
      <c r="V117" s="8"/>
      <c r="W117" s="8"/>
      <c r="X117" s="8"/>
      <c r="Y117" s="8"/>
      <c r="Z117" s="10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0"/>
      <c r="M118" s="8"/>
      <c r="N118" s="8"/>
      <c r="O118" s="8"/>
      <c r="P118" s="8"/>
      <c r="Q118" s="8"/>
      <c r="R118" s="8"/>
      <c r="S118" s="8"/>
      <c r="T118" s="8"/>
      <c r="U118" s="10"/>
      <c r="V118" s="8"/>
      <c r="W118" s="8"/>
      <c r="X118" s="8"/>
      <c r="Y118" s="8"/>
      <c r="Z118" s="10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0"/>
      <c r="M119" s="8"/>
      <c r="N119" s="8"/>
      <c r="O119" s="8"/>
      <c r="P119" s="8"/>
      <c r="Q119" s="8"/>
      <c r="R119" s="8"/>
      <c r="S119" s="8"/>
      <c r="T119" s="8"/>
      <c r="U119" s="10"/>
      <c r="V119" s="8"/>
      <c r="W119" s="8"/>
      <c r="X119" s="8"/>
      <c r="Y119" s="8"/>
      <c r="Z119" s="10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0"/>
      <c r="M120" s="8"/>
      <c r="N120" s="8"/>
      <c r="O120" s="8"/>
      <c r="P120" s="8"/>
      <c r="Q120" s="8"/>
      <c r="R120" s="8"/>
      <c r="S120" s="8"/>
      <c r="T120" s="8"/>
      <c r="U120" s="10"/>
      <c r="V120" s="8"/>
      <c r="W120" s="8"/>
      <c r="X120" s="8"/>
      <c r="Y120" s="8"/>
      <c r="Z120" s="10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0"/>
      <c r="M121" s="8"/>
      <c r="N121" s="8"/>
      <c r="O121" s="8"/>
      <c r="P121" s="8"/>
      <c r="Q121" s="8"/>
      <c r="R121" s="8"/>
      <c r="S121" s="8"/>
      <c r="T121" s="8"/>
      <c r="U121" s="10"/>
      <c r="V121" s="8"/>
      <c r="W121" s="8"/>
      <c r="X121" s="8"/>
      <c r="Y121" s="8"/>
      <c r="Z121" s="10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0"/>
      <c r="M122" s="8"/>
      <c r="N122" s="8"/>
      <c r="O122" s="8"/>
      <c r="P122" s="8"/>
      <c r="Q122" s="8"/>
      <c r="R122" s="8"/>
      <c r="S122" s="8"/>
      <c r="T122" s="8"/>
      <c r="U122" s="10"/>
      <c r="V122" s="8"/>
      <c r="W122" s="8"/>
      <c r="X122" s="8"/>
      <c r="Y122" s="8"/>
      <c r="Z122" s="10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0"/>
      <c r="M123" s="8"/>
      <c r="N123" s="8"/>
      <c r="O123" s="8"/>
      <c r="P123" s="8"/>
      <c r="Q123" s="8"/>
      <c r="R123" s="8"/>
      <c r="S123" s="8"/>
      <c r="T123" s="8"/>
      <c r="U123" s="10"/>
      <c r="V123" s="8"/>
      <c r="W123" s="8"/>
      <c r="X123" s="8"/>
      <c r="Y123" s="8"/>
      <c r="Z123" s="10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0"/>
      <c r="M124" s="8"/>
      <c r="N124" s="8"/>
      <c r="O124" s="8"/>
      <c r="P124" s="8"/>
      <c r="Q124" s="8"/>
      <c r="R124" s="8"/>
      <c r="S124" s="8"/>
      <c r="T124" s="8"/>
      <c r="U124" s="10"/>
      <c r="V124" s="8"/>
      <c r="W124" s="8"/>
      <c r="X124" s="8"/>
      <c r="Y124" s="8"/>
      <c r="Z124" s="10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0"/>
      <c r="M125" s="8"/>
      <c r="N125" s="8"/>
      <c r="O125" s="8"/>
      <c r="P125" s="8"/>
      <c r="Q125" s="8"/>
      <c r="R125" s="8"/>
      <c r="S125" s="8"/>
      <c r="T125" s="8"/>
      <c r="U125" s="10"/>
      <c r="V125" s="8"/>
      <c r="W125" s="8"/>
      <c r="X125" s="8"/>
      <c r="Y125" s="8"/>
      <c r="Z125" s="10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0"/>
      <c r="M126" s="8"/>
      <c r="N126" s="8"/>
      <c r="O126" s="8"/>
      <c r="P126" s="8"/>
      <c r="Q126" s="8"/>
      <c r="R126" s="8"/>
      <c r="S126" s="8"/>
      <c r="T126" s="8"/>
      <c r="U126" s="10"/>
      <c r="V126" s="8"/>
      <c r="W126" s="8"/>
      <c r="X126" s="8"/>
      <c r="Y126" s="8"/>
      <c r="Z126" s="10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0"/>
      <c r="M127" s="8"/>
      <c r="N127" s="8"/>
      <c r="O127" s="8"/>
      <c r="P127" s="8"/>
      <c r="Q127" s="8"/>
      <c r="R127" s="8"/>
      <c r="S127" s="8"/>
      <c r="T127" s="8"/>
      <c r="U127" s="10"/>
      <c r="V127" s="8"/>
      <c r="W127" s="8"/>
      <c r="X127" s="8"/>
      <c r="Y127" s="8"/>
      <c r="Z127" s="10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0"/>
      <c r="M128" s="8"/>
      <c r="N128" s="8"/>
      <c r="O128" s="8"/>
      <c r="P128" s="8"/>
      <c r="Q128" s="8"/>
      <c r="R128" s="8"/>
      <c r="S128" s="8"/>
      <c r="T128" s="8"/>
      <c r="U128" s="10"/>
      <c r="V128" s="8"/>
      <c r="W128" s="8"/>
      <c r="X128" s="8"/>
      <c r="Y128" s="8"/>
      <c r="Z128" s="10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0"/>
      <c r="M129" s="8"/>
      <c r="N129" s="8"/>
      <c r="O129" s="8"/>
      <c r="P129" s="8"/>
      <c r="Q129" s="8"/>
      <c r="R129" s="8"/>
      <c r="S129" s="8"/>
      <c r="T129" s="8"/>
      <c r="U129" s="10"/>
      <c r="V129" s="8"/>
      <c r="W129" s="8"/>
      <c r="X129" s="8"/>
      <c r="Y129" s="8"/>
      <c r="Z129" s="10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0"/>
      <c r="M130" s="8"/>
      <c r="N130" s="8"/>
      <c r="O130" s="8"/>
      <c r="P130" s="8"/>
      <c r="Q130" s="8"/>
      <c r="R130" s="8"/>
      <c r="S130" s="8"/>
      <c r="T130" s="8"/>
      <c r="U130" s="10"/>
      <c r="V130" s="8"/>
      <c r="W130" s="8"/>
      <c r="X130" s="8"/>
      <c r="Y130" s="8"/>
      <c r="Z130" s="10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0"/>
      <c r="M131" s="8"/>
      <c r="N131" s="8"/>
      <c r="O131" s="8"/>
      <c r="P131" s="8"/>
      <c r="Q131" s="8"/>
      <c r="R131" s="8"/>
      <c r="S131" s="8"/>
      <c r="T131" s="8"/>
      <c r="U131" s="10"/>
      <c r="V131" s="8"/>
      <c r="W131" s="8"/>
      <c r="X131" s="8"/>
      <c r="Y131" s="8"/>
      <c r="Z131" s="10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0"/>
      <c r="M132" s="8"/>
      <c r="N132" s="8"/>
      <c r="O132" s="8"/>
      <c r="P132" s="8"/>
      <c r="Q132" s="8"/>
      <c r="R132" s="8"/>
      <c r="S132" s="8"/>
      <c r="T132" s="8"/>
      <c r="U132" s="10"/>
      <c r="V132" s="8"/>
      <c r="W132" s="8"/>
      <c r="X132" s="8"/>
      <c r="Y132" s="8"/>
      <c r="Z132" s="10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0"/>
      <c r="M133" s="8"/>
      <c r="N133" s="8"/>
      <c r="O133" s="8"/>
      <c r="P133" s="8"/>
      <c r="Q133" s="8"/>
      <c r="R133" s="8"/>
      <c r="S133" s="8"/>
      <c r="T133" s="8"/>
      <c r="U133" s="10"/>
      <c r="V133" s="8"/>
      <c r="W133" s="8"/>
      <c r="X133" s="8"/>
      <c r="Y133" s="8"/>
      <c r="Z133" s="10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0"/>
      <c r="M134" s="8"/>
      <c r="N134" s="8"/>
      <c r="O134" s="8"/>
      <c r="P134" s="8"/>
      <c r="Q134" s="8"/>
      <c r="R134" s="8"/>
      <c r="S134" s="8"/>
      <c r="T134" s="8"/>
      <c r="U134" s="10"/>
      <c r="V134" s="8"/>
      <c r="W134" s="8"/>
      <c r="X134" s="8"/>
      <c r="Y134" s="8"/>
      <c r="Z134" s="10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0"/>
      <c r="M135" s="8"/>
      <c r="N135" s="8"/>
      <c r="O135" s="8"/>
      <c r="P135" s="8"/>
      <c r="Q135" s="8"/>
      <c r="R135" s="8"/>
      <c r="S135" s="8"/>
      <c r="T135" s="8"/>
      <c r="U135" s="10"/>
      <c r="V135" s="8"/>
      <c r="W135" s="8"/>
      <c r="X135" s="8"/>
      <c r="Y135" s="8"/>
      <c r="Z135" s="10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0"/>
      <c r="M136" s="8"/>
      <c r="N136" s="8"/>
      <c r="O136" s="8"/>
      <c r="P136" s="8"/>
      <c r="Q136" s="8"/>
      <c r="R136" s="8"/>
      <c r="S136" s="8"/>
      <c r="T136" s="8"/>
      <c r="U136" s="10"/>
      <c r="V136" s="8"/>
      <c r="W136" s="8"/>
      <c r="X136" s="8"/>
      <c r="Y136" s="8"/>
      <c r="Z136" s="10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0"/>
      <c r="M137" s="8"/>
      <c r="N137" s="8"/>
      <c r="O137" s="8"/>
      <c r="P137" s="8"/>
      <c r="Q137" s="8"/>
      <c r="R137" s="8"/>
      <c r="S137" s="8"/>
      <c r="T137" s="8"/>
      <c r="U137" s="10"/>
      <c r="V137" s="8"/>
      <c r="W137" s="8"/>
      <c r="X137" s="8"/>
      <c r="Y137" s="8"/>
      <c r="Z137" s="10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0"/>
      <c r="M138" s="8"/>
      <c r="N138" s="8"/>
      <c r="O138" s="8"/>
      <c r="P138" s="8"/>
      <c r="Q138" s="8"/>
      <c r="R138" s="8"/>
      <c r="S138" s="8"/>
      <c r="T138" s="8"/>
      <c r="U138" s="10"/>
      <c r="V138" s="8"/>
      <c r="W138" s="8"/>
      <c r="X138" s="8"/>
      <c r="Y138" s="8"/>
      <c r="Z138" s="10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0"/>
      <c r="M139" s="8"/>
      <c r="N139" s="8"/>
      <c r="O139" s="8"/>
      <c r="P139" s="8"/>
      <c r="Q139" s="8"/>
      <c r="R139" s="8"/>
      <c r="S139" s="8"/>
      <c r="T139" s="8"/>
      <c r="U139" s="10"/>
      <c r="V139" s="8"/>
      <c r="W139" s="8"/>
      <c r="X139" s="8"/>
      <c r="Y139" s="8"/>
      <c r="Z139" s="10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0"/>
      <c r="M140" s="8"/>
      <c r="N140" s="8"/>
      <c r="O140" s="8"/>
      <c r="P140" s="8"/>
      <c r="Q140" s="8"/>
      <c r="R140" s="8"/>
      <c r="S140" s="8"/>
      <c r="T140" s="8"/>
      <c r="U140" s="10"/>
      <c r="V140" s="8"/>
      <c r="W140" s="8"/>
      <c r="X140" s="8"/>
      <c r="Y140" s="8"/>
      <c r="Z140" s="10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0"/>
      <c r="M141" s="8"/>
      <c r="N141" s="8"/>
      <c r="O141" s="8"/>
      <c r="P141" s="8"/>
      <c r="Q141" s="8"/>
      <c r="R141" s="8"/>
      <c r="S141" s="8"/>
      <c r="T141" s="8"/>
      <c r="U141" s="10"/>
      <c r="V141" s="8"/>
      <c r="W141" s="8"/>
      <c r="X141" s="8"/>
      <c r="Y141" s="8"/>
      <c r="Z141" s="10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0"/>
      <c r="M142" s="8"/>
      <c r="N142" s="8"/>
      <c r="O142" s="8"/>
      <c r="P142" s="8"/>
      <c r="Q142" s="8"/>
      <c r="R142" s="8"/>
      <c r="S142" s="8"/>
      <c r="T142" s="8"/>
      <c r="U142" s="10"/>
      <c r="V142" s="8"/>
      <c r="W142" s="8"/>
      <c r="X142" s="8"/>
      <c r="Y142" s="8"/>
      <c r="Z142" s="10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0"/>
      <c r="M143" s="8"/>
      <c r="N143" s="8"/>
      <c r="O143" s="8"/>
      <c r="P143" s="8"/>
      <c r="Q143" s="8"/>
      <c r="R143" s="8"/>
      <c r="S143" s="8"/>
      <c r="T143" s="8"/>
      <c r="U143" s="10"/>
      <c r="V143" s="8"/>
      <c r="W143" s="8"/>
      <c r="X143" s="8"/>
      <c r="Y143" s="8"/>
      <c r="Z143" s="10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0"/>
      <c r="M144" s="8"/>
      <c r="N144" s="8"/>
      <c r="O144" s="8"/>
      <c r="P144" s="8"/>
      <c r="Q144" s="8"/>
      <c r="R144" s="8"/>
      <c r="S144" s="8"/>
      <c r="T144" s="8"/>
      <c r="U144" s="10"/>
      <c r="V144" s="8"/>
      <c r="W144" s="8"/>
      <c r="X144" s="8"/>
      <c r="Y144" s="8"/>
      <c r="Z144" s="10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0"/>
      <c r="M145" s="8"/>
      <c r="N145" s="8"/>
      <c r="O145" s="8"/>
      <c r="P145" s="8"/>
      <c r="Q145" s="8"/>
      <c r="R145" s="8"/>
      <c r="S145" s="8"/>
      <c r="T145" s="8"/>
      <c r="U145" s="10"/>
      <c r="V145" s="8"/>
      <c r="W145" s="8"/>
      <c r="X145" s="8"/>
      <c r="Y145" s="8"/>
      <c r="Z145" s="10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0"/>
      <c r="M146" s="8"/>
      <c r="N146" s="8"/>
      <c r="O146" s="8"/>
      <c r="P146" s="8"/>
      <c r="Q146" s="8"/>
      <c r="R146" s="8"/>
      <c r="S146" s="8"/>
      <c r="T146" s="8"/>
      <c r="U146" s="10"/>
      <c r="V146" s="8"/>
      <c r="W146" s="8"/>
      <c r="X146" s="8"/>
      <c r="Y146" s="8"/>
      <c r="Z146" s="10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"/>
      <c r="M147" s="8"/>
      <c r="N147" s="8"/>
      <c r="O147" s="8"/>
      <c r="P147" s="8"/>
      <c r="Q147" s="8"/>
      <c r="R147" s="8"/>
      <c r="S147" s="8"/>
      <c r="T147" s="8"/>
      <c r="U147" s="10"/>
      <c r="V147" s="8"/>
      <c r="W147" s="8"/>
      <c r="X147" s="8"/>
      <c r="Y147" s="8"/>
      <c r="Z147" s="10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0"/>
      <c r="M148" s="8"/>
      <c r="N148" s="8"/>
      <c r="O148" s="8"/>
      <c r="P148" s="8"/>
      <c r="Q148" s="8"/>
      <c r="R148" s="8"/>
      <c r="S148" s="8"/>
      <c r="T148" s="8"/>
      <c r="U148" s="10"/>
      <c r="V148" s="8"/>
      <c r="W148" s="8"/>
      <c r="X148" s="8"/>
      <c r="Y148" s="8"/>
      <c r="Z148" s="10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0"/>
      <c r="M149" s="8"/>
      <c r="N149" s="8"/>
      <c r="O149" s="8"/>
      <c r="P149" s="8"/>
      <c r="Q149" s="8"/>
      <c r="R149" s="8"/>
      <c r="S149" s="8"/>
      <c r="T149" s="8"/>
      <c r="U149" s="10"/>
      <c r="V149" s="8"/>
      <c r="W149" s="8"/>
      <c r="X149" s="8"/>
      <c r="Y149" s="8"/>
      <c r="Z149" s="10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0"/>
      <c r="M150" s="8"/>
      <c r="N150" s="8"/>
      <c r="O150" s="8"/>
      <c r="P150" s="8"/>
      <c r="Q150" s="8"/>
      <c r="R150" s="8"/>
      <c r="S150" s="8"/>
      <c r="T150" s="8"/>
      <c r="U150" s="10"/>
      <c r="V150" s="8"/>
      <c r="W150" s="8"/>
      <c r="X150" s="8"/>
      <c r="Y150" s="8"/>
      <c r="Z150" s="10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0"/>
      <c r="M151" s="8"/>
      <c r="N151" s="8"/>
      <c r="O151" s="8"/>
      <c r="P151" s="8"/>
      <c r="Q151" s="8"/>
      <c r="R151" s="8"/>
      <c r="S151" s="8"/>
      <c r="T151" s="8"/>
      <c r="U151" s="10"/>
      <c r="V151" s="8"/>
      <c r="W151" s="8"/>
      <c r="X151" s="8"/>
      <c r="Y151" s="8"/>
      <c r="Z151" s="10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0"/>
      <c r="M152" s="8"/>
      <c r="N152" s="8"/>
      <c r="O152" s="8"/>
      <c r="P152" s="8"/>
      <c r="Q152" s="8"/>
      <c r="R152" s="8"/>
      <c r="S152" s="8"/>
      <c r="T152" s="8"/>
      <c r="U152" s="10"/>
      <c r="V152" s="8"/>
      <c r="W152" s="8"/>
      <c r="X152" s="8"/>
      <c r="Y152" s="8"/>
      <c r="Z152" s="10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0"/>
      <c r="M153" s="8"/>
      <c r="N153" s="8"/>
      <c r="O153" s="8"/>
      <c r="P153" s="8"/>
      <c r="Q153" s="8"/>
      <c r="R153" s="8"/>
      <c r="S153" s="8"/>
      <c r="T153" s="8"/>
      <c r="U153" s="10"/>
      <c r="V153" s="8"/>
      <c r="W153" s="8"/>
      <c r="X153" s="8"/>
      <c r="Y153" s="8"/>
      <c r="Z153" s="10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0"/>
      <c r="M154" s="8"/>
      <c r="N154" s="8"/>
      <c r="O154" s="8"/>
      <c r="P154" s="8"/>
      <c r="Q154" s="8"/>
      <c r="R154" s="8"/>
      <c r="S154" s="8"/>
      <c r="T154" s="8"/>
      <c r="U154" s="10"/>
      <c r="V154" s="8"/>
      <c r="W154" s="8"/>
      <c r="X154" s="8"/>
      <c r="Y154" s="8"/>
      <c r="Z154" s="10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0"/>
      <c r="M155" s="8"/>
      <c r="N155" s="8"/>
      <c r="O155" s="8"/>
      <c r="P155" s="8"/>
      <c r="Q155" s="8"/>
      <c r="R155" s="8"/>
      <c r="S155" s="8"/>
      <c r="T155" s="8"/>
      <c r="U155" s="10"/>
      <c r="V155" s="8"/>
      <c r="W155" s="8"/>
      <c r="X155" s="8"/>
      <c r="Y155" s="8"/>
      <c r="Z155" s="10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0"/>
      <c r="M156" s="8"/>
      <c r="N156" s="8"/>
      <c r="O156" s="8"/>
      <c r="P156" s="8"/>
      <c r="Q156" s="8"/>
      <c r="R156" s="8"/>
      <c r="S156" s="8"/>
      <c r="T156" s="8"/>
      <c r="U156" s="10"/>
      <c r="V156" s="8"/>
      <c r="W156" s="8"/>
      <c r="X156" s="8"/>
      <c r="Y156" s="8"/>
      <c r="Z156" s="10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0"/>
      <c r="M157" s="8"/>
      <c r="N157" s="8"/>
      <c r="O157" s="8"/>
      <c r="P157" s="8"/>
      <c r="Q157" s="8"/>
      <c r="R157" s="8"/>
      <c r="S157" s="8"/>
      <c r="T157" s="8"/>
      <c r="U157" s="10"/>
      <c r="V157" s="8"/>
      <c r="W157" s="8"/>
      <c r="X157" s="8"/>
      <c r="Y157" s="8"/>
      <c r="Z157" s="10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0"/>
      <c r="M158" s="8"/>
      <c r="N158" s="8"/>
      <c r="O158" s="8"/>
      <c r="P158" s="8"/>
      <c r="Q158" s="8"/>
      <c r="R158" s="8"/>
      <c r="S158" s="8"/>
      <c r="T158" s="8"/>
      <c r="U158" s="10"/>
      <c r="V158" s="8"/>
      <c r="W158" s="8"/>
      <c r="X158" s="8"/>
      <c r="Y158" s="8"/>
      <c r="Z158" s="10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0"/>
      <c r="M159" s="8"/>
      <c r="N159" s="8"/>
      <c r="O159" s="8"/>
      <c r="P159" s="8"/>
      <c r="Q159" s="8"/>
      <c r="R159" s="8"/>
      <c r="S159" s="8"/>
      <c r="T159" s="8"/>
      <c r="U159" s="10"/>
      <c r="V159" s="8"/>
      <c r="W159" s="8"/>
      <c r="X159" s="8"/>
      <c r="Y159" s="8"/>
      <c r="Z159" s="10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0"/>
      <c r="M160" s="8"/>
      <c r="N160" s="8"/>
      <c r="O160" s="8"/>
      <c r="P160" s="8"/>
      <c r="Q160" s="8"/>
      <c r="R160" s="8"/>
      <c r="S160" s="8"/>
      <c r="T160" s="8"/>
      <c r="U160" s="10"/>
      <c r="V160" s="8"/>
      <c r="W160" s="8"/>
      <c r="X160" s="8"/>
      <c r="Y160" s="8"/>
      <c r="Z160" s="10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0"/>
      <c r="M161" s="8"/>
      <c r="N161" s="8"/>
      <c r="O161" s="8"/>
      <c r="P161" s="8"/>
      <c r="Q161" s="8"/>
      <c r="R161" s="8"/>
      <c r="S161" s="8"/>
      <c r="T161" s="8"/>
      <c r="U161" s="10"/>
      <c r="V161" s="8"/>
      <c r="W161" s="8"/>
      <c r="X161" s="8"/>
      <c r="Y161" s="8"/>
      <c r="Z161" s="10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0"/>
      <c r="M162" s="8"/>
      <c r="N162" s="8"/>
      <c r="O162" s="8"/>
      <c r="P162" s="8"/>
      <c r="Q162" s="8"/>
      <c r="R162" s="8"/>
      <c r="S162" s="8"/>
      <c r="T162" s="8"/>
      <c r="U162" s="10"/>
      <c r="V162" s="8"/>
      <c r="W162" s="8"/>
      <c r="X162" s="8"/>
      <c r="Y162" s="8"/>
      <c r="Z162" s="10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0"/>
      <c r="M163" s="8"/>
      <c r="N163" s="8"/>
      <c r="O163" s="8"/>
      <c r="P163" s="8"/>
      <c r="Q163" s="8"/>
      <c r="R163" s="8"/>
      <c r="S163" s="8"/>
      <c r="T163" s="8"/>
      <c r="U163" s="10"/>
      <c r="V163" s="8"/>
      <c r="W163" s="8"/>
      <c r="X163" s="8"/>
      <c r="Y163" s="8"/>
      <c r="Z163" s="10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0"/>
      <c r="M164" s="8"/>
      <c r="N164" s="8"/>
      <c r="O164" s="8"/>
      <c r="P164" s="8"/>
      <c r="Q164" s="8"/>
      <c r="R164" s="8"/>
      <c r="S164" s="8"/>
      <c r="T164" s="8"/>
      <c r="U164" s="10"/>
      <c r="V164" s="8"/>
      <c r="W164" s="8"/>
      <c r="X164" s="8"/>
      <c r="Y164" s="8"/>
      <c r="Z164" s="10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0"/>
      <c r="M165" s="8"/>
      <c r="N165" s="8"/>
      <c r="O165" s="8"/>
      <c r="P165" s="8"/>
      <c r="Q165" s="8"/>
      <c r="R165" s="8"/>
      <c r="S165" s="8"/>
      <c r="T165" s="8"/>
      <c r="U165" s="10"/>
      <c r="V165" s="8"/>
      <c r="W165" s="8"/>
      <c r="X165" s="8"/>
      <c r="Y165" s="8"/>
      <c r="Z165" s="10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0"/>
      <c r="M166" s="8"/>
      <c r="N166" s="8"/>
      <c r="O166" s="8"/>
      <c r="P166" s="8"/>
      <c r="Q166" s="8"/>
      <c r="R166" s="8"/>
      <c r="S166" s="8"/>
      <c r="T166" s="8"/>
      <c r="U166" s="10"/>
      <c r="V166" s="8"/>
      <c r="W166" s="8"/>
      <c r="X166" s="8"/>
      <c r="Y166" s="8"/>
      <c r="Z166" s="10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0"/>
      <c r="M167" s="8"/>
      <c r="N167" s="8"/>
      <c r="O167" s="8"/>
      <c r="P167" s="8"/>
      <c r="Q167" s="8"/>
      <c r="R167" s="8"/>
      <c r="S167" s="8"/>
      <c r="T167" s="8"/>
      <c r="U167" s="10"/>
      <c r="V167" s="8"/>
      <c r="W167" s="8"/>
      <c r="X167" s="8"/>
      <c r="Y167" s="8"/>
      <c r="Z167" s="10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0"/>
      <c r="M168" s="8"/>
      <c r="N168" s="8"/>
      <c r="O168" s="8"/>
      <c r="P168" s="8"/>
      <c r="Q168" s="8"/>
      <c r="R168" s="8"/>
      <c r="S168" s="8"/>
      <c r="T168" s="8"/>
      <c r="U168" s="10"/>
      <c r="V168" s="8"/>
      <c r="W168" s="8"/>
      <c r="X168" s="8"/>
      <c r="Y168" s="8"/>
      <c r="Z168" s="10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0"/>
      <c r="M169" s="8"/>
      <c r="N169" s="8"/>
      <c r="O169" s="8"/>
      <c r="P169" s="8"/>
      <c r="Q169" s="8"/>
      <c r="R169" s="8"/>
      <c r="S169" s="8"/>
      <c r="T169" s="8"/>
      <c r="U169" s="10"/>
      <c r="V169" s="8"/>
      <c r="W169" s="8"/>
      <c r="X169" s="8"/>
      <c r="Y169" s="8"/>
      <c r="Z169" s="10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0"/>
      <c r="M170" s="8"/>
      <c r="N170" s="8"/>
      <c r="O170" s="8"/>
      <c r="P170" s="8"/>
      <c r="Q170" s="8"/>
      <c r="R170" s="8"/>
      <c r="S170" s="8"/>
      <c r="T170" s="8"/>
      <c r="U170" s="10"/>
      <c r="V170" s="8"/>
      <c r="W170" s="8"/>
      <c r="X170" s="8"/>
      <c r="Y170" s="8"/>
      <c r="Z170" s="10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0"/>
      <c r="M171" s="8"/>
      <c r="N171" s="8"/>
      <c r="O171" s="8"/>
      <c r="P171" s="8"/>
      <c r="Q171" s="8"/>
      <c r="R171" s="8"/>
      <c r="S171" s="8"/>
      <c r="T171" s="8"/>
      <c r="U171" s="10"/>
      <c r="V171" s="8"/>
      <c r="W171" s="8"/>
      <c r="X171" s="8"/>
      <c r="Y171" s="8"/>
      <c r="Z171" s="10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0"/>
      <c r="M172" s="8"/>
      <c r="N172" s="8"/>
      <c r="O172" s="8"/>
      <c r="P172" s="8"/>
      <c r="Q172" s="8"/>
      <c r="R172" s="8"/>
      <c r="S172" s="8"/>
      <c r="T172" s="8"/>
      <c r="U172" s="10"/>
      <c r="V172" s="8"/>
      <c r="W172" s="8"/>
      <c r="X172" s="8"/>
      <c r="Y172" s="8"/>
      <c r="Z172" s="10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0"/>
      <c r="M173" s="8"/>
      <c r="N173" s="8"/>
      <c r="O173" s="8"/>
      <c r="P173" s="8"/>
      <c r="Q173" s="8"/>
      <c r="R173" s="8"/>
      <c r="S173" s="8"/>
      <c r="T173" s="8"/>
      <c r="U173" s="10"/>
      <c r="V173" s="8"/>
      <c r="W173" s="8"/>
      <c r="X173" s="8"/>
      <c r="Y173" s="8"/>
      <c r="Z173" s="10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0"/>
      <c r="M174" s="8"/>
      <c r="N174" s="8"/>
      <c r="O174" s="8"/>
      <c r="P174" s="8"/>
      <c r="Q174" s="8"/>
      <c r="R174" s="8"/>
      <c r="S174" s="8"/>
      <c r="T174" s="8"/>
      <c r="U174" s="10"/>
      <c r="V174" s="8"/>
      <c r="W174" s="8"/>
      <c r="X174" s="8"/>
      <c r="Y174" s="8"/>
      <c r="Z174" s="10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0"/>
      <c r="M175" s="8"/>
      <c r="N175" s="8"/>
      <c r="O175" s="8"/>
      <c r="P175" s="8"/>
      <c r="Q175" s="8"/>
      <c r="R175" s="8"/>
      <c r="S175" s="8"/>
      <c r="T175" s="8"/>
      <c r="U175" s="10"/>
      <c r="V175" s="8"/>
      <c r="W175" s="8"/>
      <c r="X175" s="8"/>
      <c r="Y175" s="8"/>
      <c r="Z175" s="10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0"/>
      <c r="M176" s="8"/>
      <c r="N176" s="8"/>
      <c r="O176" s="8"/>
      <c r="P176" s="8"/>
      <c r="Q176" s="8"/>
      <c r="R176" s="8"/>
      <c r="S176" s="8"/>
      <c r="T176" s="8"/>
      <c r="U176" s="10"/>
      <c r="V176" s="8"/>
      <c r="W176" s="8"/>
      <c r="X176" s="8"/>
      <c r="Y176" s="8"/>
      <c r="Z176" s="10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0"/>
      <c r="M177" s="8"/>
      <c r="N177" s="8"/>
      <c r="O177" s="8"/>
      <c r="P177" s="8"/>
      <c r="Q177" s="8"/>
      <c r="R177" s="8"/>
      <c r="S177" s="8"/>
      <c r="T177" s="8"/>
      <c r="U177" s="10"/>
      <c r="V177" s="8"/>
      <c r="W177" s="8"/>
      <c r="X177" s="8"/>
      <c r="Y177" s="8"/>
      <c r="Z177" s="10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0"/>
      <c r="M178" s="8"/>
      <c r="N178" s="8"/>
      <c r="O178" s="8"/>
      <c r="P178" s="8"/>
      <c r="Q178" s="8"/>
      <c r="R178" s="8"/>
      <c r="S178" s="8"/>
      <c r="T178" s="8"/>
      <c r="U178" s="10"/>
      <c r="V178" s="8"/>
      <c r="W178" s="8"/>
      <c r="X178" s="8"/>
      <c r="Y178" s="8"/>
      <c r="Z178" s="10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0"/>
      <c r="M179" s="8"/>
      <c r="N179" s="8"/>
      <c r="O179" s="8"/>
      <c r="P179" s="8"/>
      <c r="Q179" s="8"/>
      <c r="R179" s="8"/>
      <c r="S179" s="8"/>
      <c r="T179" s="8"/>
      <c r="U179" s="10"/>
      <c r="V179" s="8"/>
      <c r="W179" s="8"/>
      <c r="X179" s="8"/>
      <c r="Y179" s="8"/>
      <c r="Z179" s="10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0"/>
      <c r="M180" s="8"/>
      <c r="N180" s="8"/>
      <c r="O180" s="8"/>
      <c r="P180" s="8"/>
      <c r="Q180" s="8"/>
      <c r="R180" s="8"/>
      <c r="S180" s="8"/>
      <c r="T180" s="8"/>
      <c r="U180" s="10"/>
      <c r="V180" s="8"/>
      <c r="W180" s="8"/>
      <c r="X180" s="8"/>
      <c r="Y180" s="8"/>
      <c r="Z180" s="10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0"/>
      <c r="M181" s="8"/>
      <c r="N181" s="8"/>
      <c r="O181" s="8"/>
      <c r="P181" s="8"/>
      <c r="Q181" s="8"/>
      <c r="R181" s="8"/>
      <c r="S181" s="8"/>
      <c r="T181" s="8"/>
      <c r="U181" s="10"/>
      <c r="V181" s="8"/>
      <c r="W181" s="8"/>
      <c r="X181" s="8"/>
      <c r="Y181" s="8"/>
      <c r="Z181" s="10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0"/>
      <c r="M182" s="8"/>
      <c r="N182" s="8"/>
      <c r="O182" s="8"/>
      <c r="P182" s="8"/>
      <c r="Q182" s="8"/>
      <c r="R182" s="8"/>
      <c r="S182" s="8"/>
      <c r="T182" s="8"/>
      <c r="U182" s="10"/>
      <c r="V182" s="8"/>
      <c r="W182" s="8"/>
      <c r="X182" s="8"/>
      <c r="Y182" s="8"/>
      <c r="Z182" s="10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0"/>
      <c r="M183" s="8"/>
      <c r="N183" s="8"/>
      <c r="O183" s="8"/>
      <c r="P183" s="8"/>
      <c r="Q183" s="8"/>
      <c r="R183" s="8"/>
      <c r="S183" s="8"/>
      <c r="T183" s="8"/>
      <c r="U183" s="10"/>
      <c r="V183" s="8"/>
      <c r="W183" s="8"/>
      <c r="X183" s="8"/>
      <c r="Y183" s="8"/>
      <c r="Z183" s="10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0"/>
      <c r="M184" s="8"/>
      <c r="N184" s="8"/>
      <c r="O184" s="8"/>
      <c r="P184" s="8"/>
      <c r="Q184" s="8"/>
      <c r="R184" s="8"/>
      <c r="S184" s="8"/>
      <c r="T184" s="8"/>
      <c r="U184" s="10"/>
      <c r="V184" s="8"/>
      <c r="W184" s="8"/>
      <c r="X184" s="8"/>
      <c r="Y184" s="8"/>
      <c r="Z184" s="10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0"/>
      <c r="M185" s="8"/>
      <c r="N185" s="8"/>
      <c r="O185" s="8"/>
      <c r="P185" s="8"/>
      <c r="Q185" s="8"/>
      <c r="R185" s="8"/>
      <c r="S185" s="8"/>
      <c r="T185" s="8"/>
      <c r="U185" s="10"/>
      <c r="V185" s="8"/>
      <c r="W185" s="8"/>
      <c r="X185" s="8"/>
      <c r="Y185" s="8"/>
      <c r="Z185" s="10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0"/>
      <c r="M186" s="8"/>
      <c r="N186" s="8"/>
      <c r="O186" s="8"/>
      <c r="P186" s="8"/>
      <c r="Q186" s="8"/>
      <c r="R186" s="8"/>
      <c r="S186" s="8"/>
      <c r="T186" s="8"/>
      <c r="U186" s="10"/>
      <c r="V186" s="8"/>
      <c r="W186" s="8"/>
      <c r="X186" s="8"/>
      <c r="Y186" s="8"/>
      <c r="Z186" s="10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0"/>
      <c r="M187" s="8"/>
      <c r="N187" s="8"/>
      <c r="O187" s="8"/>
      <c r="P187" s="8"/>
      <c r="Q187" s="8"/>
      <c r="R187" s="8"/>
      <c r="S187" s="8"/>
      <c r="T187" s="8"/>
      <c r="U187" s="10"/>
      <c r="V187" s="8"/>
      <c r="W187" s="8"/>
      <c r="X187" s="8"/>
      <c r="Y187" s="8"/>
      <c r="Z187" s="10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0"/>
      <c r="M188" s="8"/>
      <c r="N188" s="8"/>
      <c r="O188" s="8"/>
      <c r="P188" s="8"/>
      <c r="Q188" s="8"/>
      <c r="R188" s="8"/>
      <c r="S188" s="8"/>
      <c r="T188" s="8"/>
      <c r="U188" s="10"/>
      <c r="V188" s="8"/>
      <c r="W188" s="8"/>
      <c r="X188" s="8"/>
      <c r="Y188" s="8"/>
      <c r="Z188" s="10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0"/>
      <c r="M189" s="8"/>
      <c r="N189" s="8"/>
      <c r="O189" s="8"/>
      <c r="P189" s="8"/>
      <c r="Q189" s="8"/>
      <c r="R189" s="8"/>
      <c r="S189" s="8"/>
      <c r="T189" s="8"/>
      <c r="U189" s="10"/>
      <c r="V189" s="8"/>
      <c r="W189" s="8"/>
      <c r="X189" s="8"/>
      <c r="Y189" s="8"/>
      <c r="Z189" s="10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"/>
      <c r="M190" s="8"/>
      <c r="N190" s="8"/>
      <c r="O190" s="8"/>
      <c r="P190" s="8"/>
      <c r="Q190" s="8"/>
      <c r="R190" s="8"/>
      <c r="S190" s="8"/>
      <c r="T190" s="8"/>
      <c r="U190" s="10"/>
      <c r="V190" s="8"/>
      <c r="W190" s="8"/>
      <c r="X190" s="8"/>
      <c r="Y190" s="8"/>
      <c r="Z190" s="10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0"/>
      <c r="M191" s="8"/>
      <c r="N191" s="8"/>
      <c r="O191" s="8"/>
      <c r="P191" s="8"/>
      <c r="Q191" s="8"/>
      <c r="R191" s="8"/>
      <c r="S191" s="8"/>
      <c r="T191" s="8"/>
      <c r="U191" s="10"/>
      <c r="V191" s="8"/>
      <c r="W191" s="8"/>
      <c r="X191" s="8"/>
      <c r="Y191" s="8"/>
      <c r="Z191" s="10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0"/>
      <c r="M192" s="8"/>
      <c r="N192" s="8"/>
      <c r="O192" s="8"/>
      <c r="P192" s="8"/>
      <c r="Q192" s="8"/>
      <c r="R192" s="8"/>
      <c r="S192" s="8"/>
      <c r="T192" s="8"/>
      <c r="U192" s="10"/>
      <c r="V192" s="8"/>
      <c r="W192" s="8"/>
      <c r="X192" s="8"/>
      <c r="Y192" s="8"/>
      <c r="Z192" s="10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0"/>
      <c r="M193" s="8"/>
      <c r="N193" s="8"/>
      <c r="O193" s="8"/>
      <c r="P193" s="8"/>
      <c r="Q193" s="8"/>
      <c r="R193" s="8"/>
      <c r="S193" s="8"/>
      <c r="T193" s="8"/>
      <c r="U193" s="10"/>
      <c r="V193" s="8"/>
      <c r="W193" s="8"/>
      <c r="X193" s="8"/>
      <c r="Y193" s="8"/>
      <c r="Z193" s="10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0"/>
      <c r="M194" s="8"/>
      <c r="N194" s="8"/>
      <c r="O194" s="8"/>
      <c r="P194" s="8"/>
      <c r="Q194" s="8"/>
      <c r="R194" s="8"/>
      <c r="S194" s="8"/>
      <c r="T194" s="8"/>
      <c r="U194" s="10"/>
      <c r="V194" s="8"/>
      <c r="W194" s="8"/>
      <c r="X194" s="8"/>
      <c r="Y194" s="8"/>
      <c r="Z194" s="10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0"/>
      <c r="M195" s="8"/>
      <c r="N195" s="8"/>
      <c r="O195" s="8"/>
      <c r="P195" s="8"/>
      <c r="Q195" s="8"/>
      <c r="R195" s="8"/>
      <c r="S195" s="8"/>
      <c r="T195" s="8"/>
      <c r="U195" s="10"/>
      <c r="V195" s="8"/>
      <c r="W195" s="8"/>
      <c r="X195" s="8"/>
      <c r="Y195" s="8"/>
      <c r="Z195" s="10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0"/>
      <c r="M196" s="8"/>
      <c r="N196" s="8"/>
      <c r="O196" s="8"/>
      <c r="P196" s="8"/>
      <c r="Q196" s="8"/>
      <c r="R196" s="8"/>
      <c r="S196" s="8"/>
      <c r="T196" s="8"/>
      <c r="U196" s="10"/>
      <c r="V196" s="8"/>
      <c r="W196" s="8"/>
      <c r="X196" s="8"/>
      <c r="Y196" s="8"/>
      <c r="Z196" s="10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0"/>
      <c r="M197" s="8"/>
      <c r="N197" s="8"/>
      <c r="O197" s="8"/>
      <c r="P197" s="8"/>
      <c r="Q197" s="8"/>
      <c r="R197" s="8"/>
      <c r="S197" s="8"/>
      <c r="T197" s="8"/>
      <c r="U197" s="10"/>
      <c r="V197" s="8"/>
      <c r="W197" s="8"/>
      <c r="X197" s="8"/>
      <c r="Y197" s="8"/>
      <c r="Z197" s="10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0"/>
      <c r="M198" s="8"/>
      <c r="N198" s="8"/>
      <c r="O198" s="8"/>
      <c r="P198" s="8"/>
      <c r="Q198" s="8"/>
      <c r="R198" s="8"/>
      <c r="S198" s="8"/>
      <c r="T198" s="8"/>
      <c r="U198" s="10"/>
      <c r="V198" s="8"/>
      <c r="W198" s="8"/>
      <c r="X198" s="8"/>
      <c r="Y198" s="8"/>
      <c r="Z198" s="10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0"/>
      <c r="M199" s="8"/>
      <c r="N199" s="8"/>
      <c r="O199" s="8"/>
      <c r="P199" s="8"/>
      <c r="Q199" s="8"/>
      <c r="R199" s="8"/>
      <c r="S199" s="8"/>
      <c r="T199" s="8"/>
      <c r="U199" s="10"/>
      <c r="V199" s="8"/>
      <c r="W199" s="8"/>
      <c r="X199" s="8"/>
      <c r="Y199" s="8"/>
      <c r="Z199" s="10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0"/>
      <c r="M200" s="8"/>
      <c r="N200" s="8"/>
      <c r="O200" s="8"/>
      <c r="P200" s="8"/>
      <c r="Q200" s="8"/>
      <c r="R200" s="8"/>
      <c r="S200" s="8"/>
      <c r="T200" s="8"/>
      <c r="U200" s="10"/>
      <c r="V200" s="8"/>
      <c r="W200" s="8"/>
      <c r="X200" s="8"/>
      <c r="Y200" s="8"/>
      <c r="Z200" s="10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0"/>
      <c r="M201" s="8"/>
      <c r="N201" s="8"/>
      <c r="O201" s="8"/>
      <c r="P201" s="8"/>
      <c r="Q201" s="8"/>
      <c r="R201" s="8"/>
      <c r="S201" s="8"/>
      <c r="T201" s="8"/>
      <c r="U201" s="10"/>
      <c r="V201" s="8"/>
      <c r="W201" s="8"/>
      <c r="X201" s="8"/>
      <c r="Y201" s="8"/>
      <c r="Z201" s="10"/>
    </row>
    <row r="202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0"/>
      <c r="M202" s="8"/>
      <c r="N202" s="8"/>
      <c r="O202" s="8"/>
      <c r="P202" s="8"/>
      <c r="Q202" s="8"/>
      <c r="R202" s="8"/>
      <c r="S202" s="8"/>
      <c r="T202" s="8"/>
      <c r="U202" s="10"/>
      <c r="V202" s="8"/>
      <c r="W202" s="8"/>
      <c r="X202" s="8"/>
      <c r="Y202" s="8"/>
      <c r="Z202" s="10"/>
    </row>
    <row r="203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0"/>
      <c r="M203" s="8"/>
      <c r="N203" s="8"/>
      <c r="O203" s="8"/>
      <c r="P203" s="8"/>
      <c r="Q203" s="8"/>
      <c r="R203" s="8"/>
      <c r="S203" s="8"/>
      <c r="T203" s="8"/>
      <c r="U203" s="10"/>
      <c r="V203" s="8"/>
      <c r="W203" s="8"/>
      <c r="X203" s="8"/>
      <c r="Y203" s="8"/>
      <c r="Z203" s="10"/>
    </row>
    <row r="204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0"/>
      <c r="M204" s="8"/>
      <c r="N204" s="8"/>
      <c r="O204" s="8"/>
      <c r="P204" s="8"/>
      <c r="Q204" s="8"/>
      <c r="R204" s="8"/>
      <c r="S204" s="8"/>
      <c r="T204" s="8"/>
      <c r="U204" s="10"/>
      <c r="V204" s="8"/>
      <c r="W204" s="8"/>
      <c r="X204" s="8"/>
      <c r="Y204" s="8"/>
      <c r="Z204" s="10"/>
    </row>
    <row r="20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0"/>
      <c r="M205" s="8"/>
      <c r="N205" s="8"/>
      <c r="O205" s="8"/>
      <c r="P205" s="8"/>
      <c r="Q205" s="8"/>
      <c r="R205" s="8"/>
      <c r="S205" s="8"/>
      <c r="T205" s="8"/>
      <c r="U205" s="10"/>
      <c r="V205" s="8"/>
      <c r="W205" s="8"/>
      <c r="X205" s="8"/>
      <c r="Y205" s="8"/>
      <c r="Z205" s="10"/>
    </row>
    <row r="206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0"/>
      <c r="M206" s="8"/>
      <c r="N206" s="8"/>
      <c r="O206" s="8"/>
      <c r="P206" s="8"/>
      <c r="Q206" s="8"/>
      <c r="R206" s="8"/>
      <c r="S206" s="8"/>
      <c r="T206" s="8"/>
      <c r="U206" s="10"/>
      <c r="V206" s="8"/>
      <c r="W206" s="8"/>
      <c r="X206" s="8"/>
      <c r="Y206" s="8"/>
      <c r="Z206" s="10"/>
    </row>
    <row r="207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0"/>
      <c r="M207" s="8"/>
      <c r="N207" s="8"/>
      <c r="O207" s="8"/>
      <c r="P207" s="8"/>
      <c r="Q207" s="8"/>
      <c r="R207" s="8"/>
      <c r="S207" s="8"/>
      <c r="T207" s="8"/>
      <c r="U207" s="10"/>
      <c r="V207" s="8"/>
      <c r="W207" s="8"/>
      <c r="X207" s="8"/>
      <c r="Y207" s="8"/>
      <c r="Z207" s="10"/>
    </row>
    <row r="208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0"/>
      <c r="M208" s="8"/>
      <c r="N208" s="8"/>
      <c r="O208" s="8"/>
      <c r="P208" s="8"/>
      <c r="Q208" s="8"/>
      <c r="R208" s="8"/>
      <c r="S208" s="8"/>
      <c r="T208" s="8"/>
      <c r="U208" s="10"/>
      <c r="V208" s="8"/>
      <c r="W208" s="8"/>
      <c r="X208" s="8"/>
      <c r="Y208" s="8"/>
      <c r="Z208" s="10"/>
    </row>
    <row r="209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0"/>
      <c r="M209" s="8"/>
      <c r="N209" s="8"/>
      <c r="O209" s="8"/>
      <c r="P209" s="8"/>
      <c r="Q209" s="8"/>
      <c r="R209" s="8"/>
      <c r="S209" s="8"/>
      <c r="T209" s="8"/>
      <c r="U209" s="10"/>
      <c r="V209" s="8"/>
      <c r="W209" s="8"/>
      <c r="X209" s="8"/>
      <c r="Y209" s="8"/>
      <c r="Z209" s="10"/>
    </row>
    <row r="210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0"/>
      <c r="M210" s="8"/>
      <c r="N210" s="8"/>
      <c r="O210" s="8"/>
      <c r="P210" s="8"/>
      <c r="Q210" s="8"/>
      <c r="R210" s="8"/>
      <c r="S210" s="8"/>
      <c r="T210" s="8"/>
      <c r="U210" s="10"/>
      <c r="V210" s="8"/>
      <c r="W210" s="8"/>
      <c r="X210" s="8"/>
      <c r="Y210" s="8"/>
      <c r="Z210" s="10"/>
    </row>
    <row r="21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0"/>
      <c r="M211" s="8"/>
      <c r="N211" s="8"/>
      <c r="O211" s="8"/>
      <c r="P211" s="8"/>
      <c r="Q211" s="8"/>
      <c r="R211" s="8"/>
      <c r="S211" s="8"/>
      <c r="T211" s="8"/>
      <c r="U211" s="10"/>
      <c r="V211" s="8"/>
      <c r="W211" s="8"/>
      <c r="X211" s="8"/>
      <c r="Y211" s="8"/>
      <c r="Z211" s="10"/>
    </row>
    <row r="212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0"/>
      <c r="M212" s="8"/>
      <c r="N212" s="8"/>
      <c r="O212" s="8"/>
      <c r="P212" s="8"/>
      <c r="Q212" s="8"/>
      <c r="R212" s="8"/>
      <c r="S212" s="8"/>
      <c r="T212" s="8"/>
      <c r="U212" s="10"/>
      <c r="V212" s="8"/>
      <c r="W212" s="8"/>
      <c r="X212" s="8"/>
      <c r="Y212" s="8"/>
      <c r="Z212" s="10"/>
    </row>
    <row r="213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0"/>
      <c r="M213" s="8"/>
      <c r="N213" s="8"/>
      <c r="O213" s="8"/>
      <c r="P213" s="8"/>
      <c r="Q213" s="8"/>
      <c r="R213" s="8"/>
      <c r="S213" s="8"/>
      <c r="T213" s="8"/>
      <c r="U213" s="10"/>
      <c r="V213" s="8"/>
      <c r="W213" s="8"/>
      <c r="X213" s="8"/>
      <c r="Y213" s="8"/>
      <c r="Z213" s="10"/>
    </row>
    <row r="214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0"/>
      <c r="M214" s="8"/>
      <c r="N214" s="8"/>
      <c r="O214" s="8"/>
      <c r="P214" s="8"/>
      <c r="Q214" s="8"/>
      <c r="R214" s="8"/>
      <c r="S214" s="8"/>
      <c r="T214" s="8"/>
      <c r="U214" s="10"/>
      <c r="V214" s="8"/>
      <c r="W214" s="8"/>
      <c r="X214" s="8"/>
      <c r="Y214" s="8"/>
      <c r="Z214" s="10"/>
    </row>
    <row r="21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0"/>
      <c r="M215" s="8"/>
      <c r="N215" s="8"/>
      <c r="O215" s="8"/>
      <c r="P215" s="8"/>
      <c r="Q215" s="8"/>
      <c r="R215" s="8"/>
      <c r="S215" s="8"/>
      <c r="T215" s="8"/>
      <c r="U215" s="10"/>
      <c r="V215" s="8"/>
      <c r="W215" s="8"/>
      <c r="X215" s="8"/>
      <c r="Y215" s="8"/>
      <c r="Z215" s="10"/>
    </row>
    <row r="216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0"/>
      <c r="M216" s="8"/>
      <c r="N216" s="8"/>
      <c r="O216" s="8"/>
      <c r="P216" s="8"/>
      <c r="Q216" s="8"/>
      <c r="R216" s="8"/>
      <c r="S216" s="8"/>
      <c r="T216" s="8"/>
      <c r="U216" s="10"/>
      <c r="V216" s="8"/>
      <c r="W216" s="8"/>
      <c r="X216" s="8"/>
      <c r="Y216" s="8"/>
      <c r="Z216" s="10"/>
    </row>
    <row r="217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0"/>
      <c r="M217" s="8"/>
      <c r="N217" s="8"/>
      <c r="O217" s="8"/>
      <c r="P217" s="8"/>
      <c r="Q217" s="8"/>
      <c r="R217" s="8"/>
      <c r="S217" s="8"/>
      <c r="T217" s="8"/>
      <c r="U217" s="10"/>
      <c r="V217" s="8"/>
      <c r="W217" s="8"/>
      <c r="X217" s="8"/>
      <c r="Y217" s="8"/>
      <c r="Z217" s="10"/>
    </row>
    <row r="218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0"/>
      <c r="M218" s="8"/>
      <c r="N218" s="8"/>
      <c r="O218" s="8"/>
      <c r="P218" s="8"/>
      <c r="Q218" s="8"/>
      <c r="R218" s="8"/>
      <c r="S218" s="8"/>
      <c r="T218" s="8"/>
      <c r="U218" s="10"/>
      <c r="V218" s="8"/>
      <c r="W218" s="8"/>
      <c r="X218" s="8"/>
      <c r="Y218" s="8"/>
      <c r="Z218" s="10"/>
    </row>
    <row r="219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0"/>
      <c r="M219" s="8"/>
      <c r="N219" s="8"/>
      <c r="O219" s="8"/>
      <c r="P219" s="8"/>
      <c r="Q219" s="8"/>
      <c r="R219" s="8"/>
      <c r="S219" s="8"/>
      <c r="T219" s="8"/>
      <c r="U219" s="10"/>
      <c r="V219" s="8"/>
      <c r="W219" s="8"/>
      <c r="X219" s="8"/>
      <c r="Y219" s="8"/>
      <c r="Z219" s="10"/>
    </row>
    <row r="220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0"/>
      <c r="M220" s="8"/>
      <c r="N220" s="8"/>
      <c r="O220" s="8"/>
      <c r="P220" s="8"/>
      <c r="Q220" s="8"/>
      <c r="R220" s="8"/>
      <c r="S220" s="8"/>
      <c r="T220" s="8"/>
      <c r="U220" s="10"/>
      <c r="V220" s="8"/>
      <c r="W220" s="8"/>
      <c r="X220" s="8"/>
      <c r="Y220" s="8"/>
      <c r="Z220" s="10"/>
    </row>
    <row r="22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0"/>
      <c r="M221" s="8"/>
      <c r="N221" s="8"/>
      <c r="O221" s="8"/>
      <c r="P221" s="8"/>
      <c r="Q221" s="8"/>
      <c r="R221" s="8"/>
      <c r="S221" s="8"/>
      <c r="T221" s="8"/>
      <c r="U221" s="10"/>
      <c r="V221" s="8"/>
      <c r="W221" s="8"/>
      <c r="X221" s="8"/>
      <c r="Y221" s="8"/>
      <c r="Z221" s="10"/>
    </row>
    <row r="222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10"/>
      <c r="M222" s="8"/>
      <c r="N222" s="8"/>
      <c r="O222" s="8"/>
      <c r="P222" s="8"/>
      <c r="Q222" s="8"/>
      <c r="R222" s="8"/>
      <c r="S222" s="8"/>
      <c r="T222" s="8"/>
      <c r="U222" s="10"/>
      <c r="V222" s="8"/>
      <c r="W222" s="8"/>
      <c r="X222" s="8"/>
      <c r="Y222" s="8"/>
      <c r="Z222" s="10"/>
    </row>
    <row r="223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10"/>
      <c r="M223" s="8"/>
      <c r="N223" s="8"/>
      <c r="O223" s="8"/>
      <c r="P223" s="8"/>
      <c r="Q223" s="8"/>
      <c r="R223" s="8"/>
      <c r="S223" s="8"/>
      <c r="T223" s="8"/>
      <c r="U223" s="10"/>
      <c r="V223" s="8"/>
      <c r="W223" s="8"/>
      <c r="X223" s="8"/>
      <c r="Y223" s="8"/>
      <c r="Z223" s="10"/>
    </row>
    <row r="224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10"/>
      <c r="M224" s="8"/>
      <c r="N224" s="8"/>
      <c r="O224" s="8"/>
      <c r="P224" s="8"/>
      <c r="Q224" s="8"/>
      <c r="R224" s="8"/>
      <c r="S224" s="8"/>
      <c r="T224" s="8"/>
      <c r="U224" s="10"/>
      <c r="V224" s="8"/>
      <c r="W224" s="8"/>
      <c r="X224" s="8"/>
      <c r="Y224" s="8"/>
      <c r="Z224" s="10"/>
    </row>
    <row r="22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10"/>
      <c r="M225" s="8"/>
      <c r="N225" s="8"/>
      <c r="O225" s="8"/>
      <c r="P225" s="8"/>
      <c r="Q225" s="8"/>
      <c r="R225" s="8"/>
      <c r="S225" s="8"/>
      <c r="T225" s="8"/>
      <c r="U225" s="10"/>
      <c r="V225" s="8"/>
      <c r="W225" s="8"/>
      <c r="X225" s="8"/>
      <c r="Y225" s="8"/>
      <c r="Z225" s="10"/>
    </row>
    <row r="226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10"/>
      <c r="M226" s="8"/>
      <c r="N226" s="8"/>
      <c r="O226" s="8"/>
      <c r="P226" s="8"/>
      <c r="Q226" s="8"/>
      <c r="R226" s="8"/>
      <c r="S226" s="8"/>
      <c r="T226" s="8"/>
      <c r="U226" s="10"/>
      <c r="V226" s="8"/>
      <c r="W226" s="8"/>
      <c r="X226" s="8"/>
      <c r="Y226" s="8"/>
      <c r="Z226" s="10"/>
    </row>
    <row r="227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10"/>
      <c r="M227" s="8"/>
      <c r="N227" s="8"/>
      <c r="O227" s="8"/>
      <c r="P227" s="8"/>
      <c r="Q227" s="8"/>
      <c r="R227" s="8"/>
      <c r="S227" s="8"/>
      <c r="T227" s="8"/>
      <c r="U227" s="10"/>
      <c r="V227" s="8"/>
      <c r="W227" s="8"/>
      <c r="X227" s="8"/>
      <c r="Y227" s="8"/>
      <c r="Z227" s="10"/>
    </row>
    <row r="228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10"/>
      <c r="M228" s="8"/>
      <c r="N228" s="8"/>
      <c r="O228" s="8"/>
      <c r="P228" s="8"/>
      <c r="Q228" s="8"/>
      <c r="R228" s="8"/>
      <c r="S228" s="8"/>
      <c r="T228" s="8"/>
      <c r="U228" s="10"/>
      <c r="V228" s="8"/>
      <c r="W228" s="8"/>
      <c r="X228" s="8"/>
      <c r="Y228" s="8"/>
      <c r="Z228" s="10"/>
    </row>
    <row r="229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10"/>
      <c r="M229" s="8"/>
      <c r="N229" s="8"/>
      <c r="O229" s="8"/>
      <c r="P229" s="8"/>
      <c r="Q229" s="8"/>
      <c r="R229" s="8"/>
      <c r="S229" s="8"/>
      <c r="T229" s="8"/>
      <c r="U229" s="10"/>
      <c r="V229" s="8"/>
      <c r="W229" s="8"/>
      <c r="X229" s="8"/>
      <c r="Y229" s="8"/>
      <c r="Z229" s="10"/>
    </row>
    <row r="230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10"/>
      <c r="M230" s="8"/>
      <c r="N230" s="8"/>
      <c r="O230" s="8"/>
      <c r="P230" s="8"/>
      <c r="Q230" s="8"/>
      <c r="R230" s="8"/>
      <c r="S230" s="8"/>
      <c r="T230" s="8"/>
      <c r="U230" s="10"/>
      <c r="V230" s="8"/>
      <c r="W230" s="8"/>
      <c r="X230" s="8"/>
      <c r="Y230" s="8"/>
      <c r="Z230" s="10"/>
    </row>
    <row r="23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10"/>
      <c r="M231" s="8"/>
      <c r="N231" s="8"/>
      <c r="O231" s="8"/>
      <c r="P231" s="8"/>
      <c r="Q231" s="8"/>
      <c r="R231" s="8"/>
      <c r="S231" s="8"/>
      <c r="T231" s="8"/>
      <c r="U231" s="10"/>
      <c r="V231" s="8"/>
      <c r="W231" s="8"/>
      <c r="X231" s="8"/>
      <c r="Y231" s="8"/>
      <c r="Z231" s="10"/>
    </row>
    <row r="232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10"/>
      <c r="M232" s="8"/>
      <c r="N232" s="8"/>
      <c r="O232" s="8"/>
      <c r="P232" s="8"/>
      <c r="Q232" s="8"/>
      <c r="R232" s="8"/>
      <c r="S232" s="8"/>
      <c r="T232" s="8"/>
      <c r="U232" s="10"/>
      <c r="V232" s="8"/>
      <c r="W232" s="8"/>
      <c r="X232" s="8"/>
      <c r="Y232" s="8"/>
      <c r="Z232" s="10"/>
    </row>
    <row r="233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10"/>
      <c r="M233" s="8"/>
      <c r="N233" s="8"/>
      <c r="O233" s="8"/>
      <c r="P233" s="8"/>
      <c r="Q233" s="8"/>
      <c r="R233" s="8"/>
      <c r="S233" s="8"/>
      <c r="T233" s="8"/>
      <c r="U233" s="10"/>
      <c r="V233" s="8"/>
      <c r="W233" s="8"/>
      <c r="X233" s="8"/>
      <c r="Y233" s="8"/>
      <c r="Z233" s="10"/>
    </row>
    <row r="234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10"/>
      <c r="M234" s="8"/>
      <c r="N234" s="8"/>
      <c r="O234" s="8"/>
      <c r="P234" s="8"/>
      <c r="Q234" s="8"/>
      <c r="R234" s="8"/>
      <c r="S234" s="8"/>
      <c r="T234" s="8"/>
      <c r="U234" s="10"/>
      <c r="V234" s="8"/>
      <c r="W234" s="8"/>
      <c r="X234" s="8"/>
      <c r="Y234" s="8"/>
      <c r="Z234" s="10"/>
    </row>
    <row r="23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10"/>
      <c r="M235" s="8"/>
      <c r="N235" s="8"/>
      <c r="O235" s="8"/>
      <c r="P235" s="8"/>
      <c r="Q235" s="8"/>
      <c r="R235" s="8"/>
      <c r="S235" s="8"/>
      <c r="T235" s="8"/>
      <c r="U235" s="10"/>
      <c r="V235" s="8"/>
      <c r="W235" s="8"/>
      <c r="X235" s="8"/>
      <c r="Y235" s="8"/>
      <c r="Z235" s="10"/>
    </row>
    <row r="236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"/>
      <c r="M236" s="8"/>
      <c r="N236" s="8"/>
      <c r="O236" s="8"/>
      <c r="P236" s="8"/>
      <c r="Q236" s="8"/>
      <c r="R236" s="8"/>
      <c r="S236" s="8"/>
      <c r="T236" s="8"/>
      <c r="U236" s="10"/>
      <c r="V236" s="8"/>
      <c r="W236" s="8"/>
      <c r="X236" s="8"/>
      <c r="Y236" s="8"/>
      <c r="Z236" s="10"/>
    </row>
    <row r="237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10"/>
      <c r="M237" s="8"/>
      <c r="N237" s="8"/>
      <c r="O237" s="8"/>
      <c r="P237" s="8"/>
      <c r="Q237" s="8"/>
      <c r="R237" s="8"/>
      <c r="S237" s="8"/>
      <c r="T237" s="8"/>
      <c r="U237" s="10"/>
      <c r="V237" s="8"/>
      <c r="W237" s="8"/>
      <c r="X237" s="8"/>
      <c r="Y237" s="8"/>
      <c r="Z237" s="10"/>
    </row>
    <row r="238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10"/>
      <c r="M238" s="8"/>
      <c r="N238" s="8"/>
      <c r="O238" s="8"/>
      <c r="P238" s="8"/>
      <c r="Q238" s="8"/>
      <c r="R238" s="8"/>
      <c r="S238" s="8"/>
      <c r="T238" s="8"/>
      <c r="U238" s="10"/>
      <c r="V238" s="8"/>
      <c r="W238" s="8"/>
      <c r="X238" s="8"/>
      <c r="Y238" s="8"/>
      <c r="Z238" s="10"/>
    </row>
    <row r="239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10"/>
      <c r="M239" s="8"/>
      <c r="N239" s="8"/>
      <c r="O239" s="8"/>
      <c r="P239" s="8"/>
      <c r="Q239" s="8"/>
      <c r="R239" s="8"/>
      <c r="S239" s="8"/>
      <c r="T239" s="8"/>
      <c r="U239" s="10"/>
      <c r="V239" s="8"/>
      <c r="W239" s="8"/>
      <c r="X239" s="8"/>
      <c r="Y239" s="8"/>
      <c r="Z239" s="10"/>
    </row>
    <row r="240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10"/>
      <c r="M240" s="8"/>
      <c r="N240" s="8"/>
      <c r="O240" s="8"/>
      <c r="P240" s="8"/>
      <c r="Q240" s="8"/>
      <c r="R240" s="8"/>
      <c r="S240" s="8"/>
      <c r="T240" s="8"/>
      <c r="U240" s="10"/>
      <c r="V240" s="8"/>
      <c r="W240" s="8"/>
      <c r="X240" s="8"/>
      <c r="Y240" s="8"/>
      <c r="Z240" s="10"/>
    </row>
    <row r="24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10"/>
      <c r="M241" s="8"/>
      <c r="N241" s="8"/>
      <c r="O241" s="8"/>
      <c r="P241" s="8"/>
      <c r="Q241" s="8"/>
      <c r="R241" s="8"/>
      <c r="S241" s="8"/>
      <c r="T241" s="8"/>
      <c r="U241" s="10"/>
      <c r="V241" s="8"/>
      <c r="W241" s="8"/>
      <c r="X241" s="8"/>
      <c r="Y241" s="8"/>
      <c r="Z241" s="10"/>
    </row>
    <row r="242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10"/>
      <c r="M242" s="8"/>
      <c r="N242" s="8"/>
      <c r="O242" s="8"/>
      <c r="P242" s="8"/>
      <c r="Q242" s="8"/>
      <c r="R242" s="8"/>
      <c r="S242" s="8"/>
      <c r="T242" s="8"/>
      <c r="U242" s="10"/>
      <c r="V242" s="8"/>
      <c r="W242" s="8"/>
      <c r="X242" s="8"/>
      <c r="Y242" s="8"/>
      <c r="Z242" s="10"/>
    </row>
    <row r="243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10"/>
      <c r="M243" s="8"/>
      <c r="N243" s="8"/>
      <c r="O243" s="8"/>
      <c r="P243" s="8"/>
      <c r="Q243" s="8"/>
      <c r="R243" s="8"/>
      <c r="S243" s="8"/>
      <c r="T243" s="8"/>
      <c r="U243" s="10"/>
      <c r="V243" s="8"/>
      <c r="W243" s="8"/>
      <c r="X243" s="8"/>
      <c r="Y243" s="8"/>
      <c r="Z243" s="10"/>
    </row>
    <row r="244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10"/>
      <c r="M244" s="8"/>
      <c r="N244" s="8"/>
      <c r="O244" s="8"/>
      <c r="P244" s="8"/>
      <c r="Q244" s="8"/>
      <c r="R244" s="8"/>
      <c r="S244" s="8"/>
      <c r="T244" s="8"/>
      <c r="U244" s="10"/>
      <c r="V244" s="8"/>
      <c r="W244" s="8"/>
      <c r="X244" s="8"/>
      <c r="Y244" s="8"/>
      <c r="Z244" s="10"/>
    </row>
    <row r="24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10"/>
      <c r="M245" s="8"/>
      <c r="N245" s="8"/>
      <c r="O245" s="8"/>
      <c r="P245" s="8"/>
      <c r="Q245" s="8"/>
      <c r="R245" s="8"/>
      <c r="S245" s="8"/>
      <c r="T245" s="8"/>
      <c r="U245" s="10"/>
      <c r="V245" s="8"/>
      <c r="W245" s="8"/>
      <c r="X245" s="8"/>
      <c r="Y245" s="8"/>
      <c r="Z245" s="10"/>
    </row>
    <row r="246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10"/>
      <c r="M246" s="8"/>
      <c r="N246" s="8"/>
      <c r="O246" s="8"/>
      <c r="P246" s="8"/>
      <c r="Q246" s="8"/>
      <c r="R246" s="8"/>
      <c r="S246" s="8"/>
      <c r="T246" s="8"/>
      <c r="U246" s="10"/>
      <c r="V246" s="8"/>
      <c r="W246" s="8"/>
      <c r="X246" s="8"/>
      <c r="Y246" s="8"/>
      <c r="Z246" s="10"/>
    </row>
    <row r="247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10"/>
      <c r="M247" s="8"/>
      <c r="N247" s="8"/>
      <c r="O247" s="8"/>
      <c r="P247" s="8"/>
      <c r="Q247" s="8"/>
      <c r="R247" s="8"/>
      <c r="S247" s="8"/>
      <c r="T247" s="8"/>
      <c r="U247" s="10"/>
      <c r="V247" s="8"/>
      <c r="W247" s="8"/>
      <c r="X247" s="8"/>
      <c r="Y247" s="8"/>
      <c r="Z247" s="10"/>
    </row>
    <row r="248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10"/>
      <c r="M248" s="8"/>
      <c r="N248" s="8"/>
      <c r="O248" s="8"/>
      <c r="P248" s="8"/>
      <c r="Q248" s="8"/>
      <c r="R248" s="8"/>
      <c r="S248" s="8"/>
      <c r="T248" s="8"/>
      <c r="U248" s="10"/>
      <c r="V248" s="8"/>
      <c r="W248" s="8"/>
      <c r="X248" s="8"/>
      <c r="Y248" s="8"/>
      <c r="Z248" s="10"/>
    </row>
    <row r="249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10"/>
      <c r="M249" s="8"/>
      <c r="N249" s="8"/>
      <c r="O249" s="8"/>
      <c r="P249" s="8"/>
      <c r="Q249" s="8"/>
      <c r="R249" s="8"/>
      <c r="S249" s="8"/>
      <c r="T249" s="8"/>
      <c r="U249" s="10"/>
      <c r="V249" s="8"/>
      <c r="W249" s="8"/>
      <c r="X249" s="8"/>
      <c r="Y249" s="8"/>
      <c r="Z249" s="10"/>
    </row>
    <row r="250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10"/>
      <c r="M250" s="8"/>
      <c r="N250" s="8"/>
      <c r="O250" s="8"/>
      <c r="P250" s="8"/>
      <c r="Q250" s="8"/>
      <c r="R250" s="8"/>
      <c r="S250" s="8"/>
      <c r="T250" s="8"/>
      <c r="U250" s="10"/>
      <c r="V250" s="8"/>
      <c r="W250" s="8"/>
      <c r="X250" s="8"/>
      <c r="Y250" s="8"/>
      <c r="Z250" s="10"/>
    </row>
    <row r="25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10"/>
      <c r="M251" s="8"/>
      <c r="N251" s="8"/>
      <c r="O251" s="8"/>
      <c r="P251" s="8"/>
      <c r="Q251" s="8"/>
      <c r="R251" s="8"/>
      <c r="S251" s="8"/>
      <c r="T251" s="8"/>
      <c r="U251" s="10"/>
      <c r="V251" s="8"/>
      <c r="W251" s="8"/>
      <c r="X251" s="8"/>
      <c r="Y251" s="8"/>
      <c r="Z251" s="10"/>
    </row>
    <row r="252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10"/>
      <c r="M252" s="8"/>
      <c r="N252" s="8"/>
      <c r="O252" s="8"/>
      <c r="P252" s="8"/>
      <c r="Q252" s="8"/>
      <c r="R252" s="8"/>
      <c r="S252" s="8"/>
      <c r="T252" s="8"/>
      <c r="U252" s="10"/>
      <c r="V252" s="8"/>
      <c r="W252" s="8"/>
      <c r="X252" s="8"/>
      <c r="Y252" s="8"/>
      <c r="Z252" s="10"/>
    </row>
    <row r="253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10"/>
      <c r="M253" s="8"/>
      <c r="N253" s="8"/>
      <c r="O253" s="8"/>
      <c r="P253" s="8"/>
      <c r="Q253" s="8"/>
      <c r="R253" s="8"/>
      <c r="S253" s="8"/>
      <c r="T253" s="8"/>
      <c r="U253" s="10"/>
      <c r="V253" s="8"/>
      <c r="W253" s="8"/>
      <c r="X253" s="8"/>
      <c r="Y253" s="8"/>
      <c r="Z253" s="10"/>
    </row>
    <row r="254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10"/>
      <c r="M254" s="8"/>
      <c r="N254" s="8"/>
      <c r="O254" s="8"/>
      <c r="P254" s="8"/>
      <c r="Q254" s="8"/>
      <c r="R254" s="8"/>
      <c r="S254" s="8"/>
      <c r="T254" s="8"/>
      <c r="U254" s="10"/>
      <c r="V254" s="8"/>
      <c r="W254" s="8"/>
      <c r="X254" s="8"/>
      <c r="Y254" s="8"/>
      <c r="Z254" s="10"/>
    </row>
    <row r="2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10"/>
      <c r="M255" s="8"/>
      <c r="N255" s="8"/>
      <c r="O255" s="8"/>
      <c r="P255" s="8"/>
      <c r="Q255" s="8"/>
      <c r="R255" s="8"/>
      <c r="S255" s="8"/>
      <c r="T255" s="8"/>
      <c r="U255" s="10"/>
      <c r="V255" s="8"/>
      <c r="W255" s="8"/>
      <c r="X255" s="8"/>
      <c r="Y255" s="8"/>
      <c r="Z255" s="10"/>
    </row>
    <row r="256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10"/>
      <c r="M256" s="8"/>
      <c r="N256" s="8"/>
      <c r="O256" s="8"/>
      <c r="P256" s="8"/>
      <c r="Q256" s="8"/>
      <c r="R256" s="8"/>
      <c r="S256" s="8"/>
      <c r="T256" s="8"/>
      <c r="U256" s="10"/>
      <c r="V256" s="8"/>
      <c r="W256" s="8"/>
      <c r="X256" s="8"/>
      <c r="Y256" s="8"/>
      <c r="Z256" s="10"/>
    </row>
    <row r="257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10"/>
      <c r="M257" s="8"/>
      <c r="N257" s="8"/>
      <c r="O257" s="8"/>
      <c r="P257" s="8"/>
      <c r="Q257" s="8"/>
      <c r="R257" s="8"/>
      <c r="S257" s="8"/>
      <c r="T257" s="8"/>
      <c r="U257" s="10"/>
      <c r="V257" s="8"/>
      <c r="W257" s="8"/>
      <c r="X257" s="8"/>
      <c r="Y257" s="8"/>
      <c r="Z257" s="10"/>
    </row>
    <row r="258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10"/>
      <c r="M258" s="8"/>
      <c r="N258" s="8"/>
      <c r="O258" s="8"/>
      <c r="P258" s="8"/>
      <c r="Q258" s="8"/>
      <c r="R258" s="8"/>
      <c r="S258" s="8"/>
      <c r="T258" s="8"/>
      <c r="U258" s="10"/>
      <c r="V258" s="8"/>
      <c r="W258" s="8"/>
      <c r="X258" s="8"/>
      <c r="Y258" s="8"/>
      <c r="Z258" s="10"/>
    </row>
    <row r="259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10"/>
      <c r="M259" s="8"/>
      <c r="N259" s="8"/>
      <c r="O259" s="8"/>
      <c r="P259" s="8"/>
      <c r="Q259" s="8"/>
      <c r="R259" s="8"/>
      <c r="S259" s="8"/>
      <c r="T259" s="8"/>
      <c r="U259" s="10"/>
      <c r="V259" s="8"/>
      <c r="W259" s="8"/>
      <c r="X259" s="8"/>
      <c r="Y259" s="8"/>
      <c r="Z259" s="10"/>
    </row>
    <row r="260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10"/>
      <c r="M260" s="8"/>
      <c r="N260" s="8"/>
      <c r="O260" s="8"/>
      <c r="P260" s="8"/>
      <c r="Q260" s="8"/>
      <c r="R260" s="8"/>
      <c r="S260" s="8"/>
      <c r="T260" s="8"/>
      <c r="U260" s="10"/>
      <c r="V260" s="8"/>
      <c r="W260" s="8"/>
      <c r="X260" s="8"/>
      <c r="Y260" s="8"/>
      <c r="Z260" s="10"/>
    </row>
    <row r="26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10"/>
      <c r="M261" s="8"/>
      <c r="N261" s="8"/>
      <c r="O261" s="8"/>
      <c r="P261" s="8"/>
      <c r="Q261" s="8"/>
      <c r="R261" s="8"/>
      <c r="S261" s="8"/>
      <c r="T261" s="8"/>
      <c r="U261" s="10"/>
      <c r="V261" s="8"/>
      <c r="W261" s="8"/>
      <c r="X261" s="8"/>
      <c r="Y261" s="8"/>
      <c r="Z261" s="10"/>
    </row>
    <row r="262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10"/>
      <c r="M262" s="8"/>
      <c r="N262" s="8"/>
      <c r="O262" s="8"/>
      <c r="P262" s="8"/>
      <c r="Q262" s="8"/>
      <c r="R262" s="8"/>
      <c r="S262" s="8"/>
      <c r="T262" s="8"/>
      <c r="U262" s="10"/>
      <c r="V262" s="8"/>
      <c r="W262" s="8"/>
      <c r="X262" s="8"/>
      <c r="Y262" s="8"/>
      <c r="Z262" s="10"/>
    </row>
    <row r="263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10"/>
      <c r="M263" s="8"/>
      <c r="N263" s="8"/>
      <c r="O263" s="8"/>
      <c r="P263" s="8"/>
      <c r="Q263" s="8"/>
      <c r="R263" s="8"/>
      <c r="S263" s="8"/>
      <c r="T263" s="8"/>
      <c r="U263" s="10"/>
      <c r="V263" s="8"/>
      <c r="W263" s="8"/>
      <c r="X263" s="8"/>
      <c r="Y263" s="8"/>
      <c r="Z263" s="10"/>
    </row>
    <row r="264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10"/>
      <c r="M264" s="8"/>
      <c r="N264" s="8"/>
      <c r="O264" s="8"/>
      <c r="P264" s="8"/>
      <c r="Q264" s="8"/>
      <c r="R264" s="8"/>
      <c r="S264" s="8"/>
      <c r="T264" s="8"/>
      <c r="U264" s="10"/>
      <c r="V264" s="8"/>
      <c r="W264" s="8"/>
      <c r="X264" s="8"/>
      <c r="Y264" s="8"/>
      <c r="Z264" s="10"/>
    </row>
    <row r="26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10"/>
      <c r="M265" s="8"/>
      <c r="N265" s="8"/>
      <c r="O265" s="8"/>
      <c r="P265" s="8"/>
      <c r="Q265" s="8"/>
      <c r="R265" s="8"/>
      <c r="S265" s="8"/>
      <c r="T265" s="8"/>
      <c r="U265" s="10"/>
      <c r="V265" s="8"/>
      <c r="W265" s="8"/>
      <c r="X265" s="8"/>
      <c r="Y265" s="8"/>
      <c r="Z265" s="10"/>
    </row>
    <row r="266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10"/>
      <c r="M266" s="8"/>
      <c r="N266" s="8"/>
      <c r="O266" s="8"/>
      <c r="P266" s="8"/>
      <c r="Q266" s="8"/>
      <c r="R266" s="8"/>
      <c r="S266" s="8"/>
      <c r="T266" s="8"/>
      <c r="U266" s="10"/>
      <c r="V266" s="8"/>
      <c r="W266" s="8"/>
      <c r="X266" s="8"/>
      <c r="Y266" s="8"/>
      <c r="Z266" s="10"/>
    </row>
    <row r="267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10"/>
      <c r="M267" s="8"/>
      <c r="N267" s="8"/>
      <c r="O267" s="8"/>
      <c r="P267" s="8"/>
      <c r="Q267" s="8"/>
      <c r="R267" s="8"/>
      <c r="S267" s="8"/>
      <c r="T267" s="8"/>
      <c r="U267" s="10"/>
      <c r="V267" s="8"/>
      <c r="W267" s="8"/>
      <c r="X267" s="8"/>
      <c r="Y267" s="8"/>
      <c r="Z267" s="10"/>
    </row>
    <row r="268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10"/>
      <c r="M268" s="8"/>
      <c r="N268" s="8"/>
      <c r="O268" s="8"/>
      <c r="P268" s="8"/>
      <c r="Q268" s="8"/>
      <c r="R268" s="8"/>
      <c r="S268" s="8"/>
      <c r="T268" s="8"/>
      <c r="U268" s="10"/>
      <c r="V268" s="8"/>
      <c r="W268" s="8"/>
      <c r="X268" s="8"/>
      <c r="Y268" s="8"/>
      <c r="Z268" s="10"/>
    </row>
    <row r="269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10"/>
      <c r="M269" s="8"/>
      <c r="N269" s="8"/>
      <c r="O269" s="8"/>
      <c r="P269" s="8"/>
      <c r="Q269" s="8"/>
      <c r="R269" s="8"/>
      <c r="S269" s="8"/>
      <c r="T269" s="8"/>
      <c r="U269" s="10"/>
      <c r="V269" s="8"/>
      <c r="W269" s="8"/>
      <c r="X269" s="8"/>
      <c r="Y269" s="8"/>
      <c r="Z269" s="10"/>
    </row>
    <row r="270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10"/>
      <c r="M270" s="8"/>
      <c r="N270" s="8"/>
      <c r="O270" s="8"/>
      <c r="P270" s="8"/>
      <c r="Q270" s="8"/>
      <c r="R270" s="8"/>
      <c r="S270" s="8"/>
      <c r="T270" s="8"/>
      <c r="U270" s="10"/>
      <c r="V270" s="8"/>
      <c r="W270" s="8"/>
      <c r="X270" s="8"/>
      <c r="Y270" s="8"/>
      <c r="Z270" s="10"/>
    </row>
    <row r="27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10"/>
      <c r="M271" s="8"/>
      <c r="N271" s="8"/>
      <c r="O271" s="8"/>
      <c r="P271" s="8"/>
      <c r="Q271" s="8"/>
      <c r="R271" s="8"/>
      <c r="S271" s="8"/>
      <c r="T271" s="8"/>
      <c r="U271" s="10"/>
      <c r="V271" s="8"/>
      <c r="W271" s="8"/>
      <c r="X271" s="8"/>
      <c r="Y271" s="8"/>
      <c r="Z271" s="10"/>
    </row>
    <row r="272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10"/>
      <c r="M272" s="8"/>
      <c r="N272" s="8"/>
      <c r="O272" s="8"/>
      <c r="P272" s="8"/>
      <c r="Q272" s="8"/>
      <c r="R272" s="8"/>
      <c r="S272" s="8"/>
      <c r="T272" s="8"/>
      <c r="U272" s="10"/>
      <c r="V272" s="8"/>
      <c r="W272" s="8"/>
      <c r="X272" s="8"/>
      <c r="Y272" s="8"/>
      <c r="Z272" s="10"/>
    </row>
    <row r="273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10"/>
      <c r="M273" s="8"/>
      <c r="N273" s="8"/>
      <c r="O273" s="8"/>
      <c r="P273" s="8"/>
      <c r="Q273" s="8"/>
      <c r="R273" s="8"/>
      <c r="S273" s="8"/>
      <c r="T273" s="8"/>
      <c r="U273" s="10"/>
      <c r="V273" s="8"/>
      <c r="W273" s="8"/>
      <c r="X273" s="8"/>
      <c r="Y273" s="8"/>
      <c r="Z273" s="10"/>
    </row>
    <row r="274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10"/>
      <c r="M274" s="8"/>
      <c r="N274" s="8"/>
      <c r="O274" s="8"/>
      <c r="P274" s="8"/>
      <c r="Q274" s="8"/>
      <c r="R274" s="8"/>
      <c r="S274" s="8"/>
      <c r="T274" s="8"/>
      <c r="U274" s="10"/>
      <c r="V274" s="8"/>
      <c r="W274" s="8"/>
      <c r="X274" s="8"/>
      <c r="Y274" s="8"/>
      <c r="Z274" s="10"/>
    </row>
    <row r="27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10"/>
      <c r="M275" s="8"/>
      <c r="N275" s="8"/>
      <c r="O275" s="8"/>
      <c r="P275" s="8"/>
      <c r="Q275" s="8"/>
      <c r="R275" s="8"/>
      <c r="S275" s="8"/>
      <c r="T275" s="8"/>
      <c r="U275" s="10"/>
      <c r="V275" s="8"/>
      <c r="W275" s="8"/>
      <c r="X275" s="8"/>
      <c r="Y275" s="8"/>
      <c r="Z275" s="10"/>
    </row>
    <row r="276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10"/>
      <c r="M276" s="8"/>
      <c r="N276" s="8"/>
      <c r="O276" s="8"/>
      <c r="P276" s="8"/>
      <c r="Q276" s="8"/>
      <c r="R276" s="8"/>
      <c r="S276" s="8"/>
      <c r="T276" s="8"/>
      <c r="U276" s="10"/>
      <c r="V276" s="8"/>
      <c r="W276" s="8"/>
      <c r="X276" s="8"/>
      <c r="Y276" s="8"/>
      <c r="Z276" s="10"/>
    </row>
    <row r="277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10"/>
      <c r="M277" s="8"/>
      <c r="N277" s="8"/>
      <c r="O277" s="8"/>
      <c r="P277" s="8"/>
      <c r="Q277" s="8"/>
      <c r="R277" s="8"/>
      <c r="S277" s="8"/>
      <c r="T277" s="8"/>
      <c r="U277" s="10"/>
      <c r="V277" s="8"/>
      <c r="W277" s="8"/>
      <c r="X277" s="8"/>
      <c r="Y277" s="8"/>
      <c r="Z277" s="10"/>
    </row>
    <row r="278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10"/>
      <c r="M278" s="8"/>
      <c r="N278" s="8"/>
      <c r="O278" s="8"/>
      <c r="P278" s="8"/>
      <c r="Q278" s="8"/>
      <c r="R278" s="8"/>
      <c r="S278" s="8"/>
      <c r="T278" s="8"/>
      <c r="U278" s="10"/>
      <c r="V278" s="8"/>
      <c r="W278" s="8"/>
      <c r="X278" s="8"/>
      <c r="Y278" s="8"/>
      <c r="Z278" s="10"/>
    </row>
    <row r="279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10"/>
      <c r="M279" s="8"/>
      <c r="N279" s="8"/>
      <c r="O279" s="8"/>
      <c r="P279" s="8"/>
      <c r="Q279" s="8"/>
      <c r="R279" s="8"/>
      <c r="S279" s="8"/>
      <c r="T279" s="8"/>
      <c r="U279" s="10"/>
      <c r="V279" s="8"/>
      <c r="W279" s="8"/>
      <c r="X279" s="8"/>
      <c r="Y279" s="8"/>
      <c r="Z279" s="10"/>
    </row>
    <row r="280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10"/>
      <c r="M280" s="8"/>
      <c r="N280" s="8"/>
      <c r="O280" s="8"/>
      <c r="P280" s="8"/>
      <c r="Q280" s="8"/>
      <c r="R280" s="8"/>
      <c r="S280" s="8"/>
      <c r="T280" s="8"/>
      <c r="U280" s="10"/>
      <c r="V280" s="8"/>
      <c r="W280" s="8"/>
      <c r="X280" s="8"/>
      <c r="Y280" s="8"/>
      <c r="Z280" s="10"/>
    </row>
    <row r="28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"/>
      <c r="M281" s="8"/>
      <c r="N281" s="8"/>
      <c r="O281" s="8"/>
      <c r="P281" s="8"/>
      <c r="Q281" s="8"/>
      <c r="R281" s="8"/>
      <c r="S281" s="8"/>
      <c r="T281" s="8"/>
      <c r="U281" s="10"/>
      <c r="V281" s="8"/>
      <c r="W281" s="8"/>
      <c r="X281" s="8"/>
      <c r="Y281" s="8"/>
      <c r="Z281" s="10"/>
    </row>
    <row r="282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10"/>
      <c r="M282" s="8"/>
      <c r="N282" s="8"/>
      <c r="O282" s="8"/>
      <c r="P282" s="8"/>
      <c r="Q282" s="8"/>
      <c r="R282" s="8"/>
      <c r="S282" s="8"/>
      <c r="T282" s="8"/>
      <c r="U282" s="10"/>
      <c r="V282" s="8"/>
      <c r="W282" s="8"/>
      <c r="X282" s="8"/>
      <c r="Y282" s="8"/>
      <c r="Z282" s="10"/>
    </row>
    <row r="283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10"/>
      <c r="M283" s="8"/>
      <c r="N283" s="8"/>
      <c r="O283" s="8"/>
      <c r="P283" s="8"/>
      <c r="Q283" s="8"/>
      <c r="R283" s="8"/>
      <c r="S283" s="8"/>
      <c r="T283" s="8"/>
      <c r="U283" s="10"/>
      <c r="V283" s="8"/>
      <c r="W283" s="8"/>
      <c r="X283" s="8"/>
      <c r="Y283" s="8"/>
      <c r="Z283" s="10"/>
    </row>
    <row r="284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10"/>
      <c r="M284" s="8"/>
      <c r="N284" s="8"/>
      <c r="O284" s="8"/>
      <c r="P284" s="8"/>
      <c r="Q284" s="8"/>
      <c r="R284" s="8"/>
      <c r="S284" s="8"/>
      <c r="T284" s="8"/>
      <c r="U284" s="10"/>
      <c r="V284" s="8"/>
      <c r="W284" s="8"/>
      <c r="X284" s="8"/>
      <c r="Y284" s="8"/>
      <c r="Z284" s="10"/>
    </row>
    <row r="28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10"/>
      <c r="M285" s="8"/>
      <c r="N285" s="8"/>
      <c r="O285" s="8"/>
      <c r="P285" s="8"/>
      <c r="Q285" s="8"/>
      <c r="R285" s="8"/>
      <c r="S285" s="8"/>
      <c r="T285" s="8"/>
      <c r="U285" s="10"/>
      <c r="V285" s="8"/>
      <c r="W285" s="8"/>
      <c r="X285" s="8"/>
      <c r="Y285" s="8"/>
      <c r="Z285" s="10"/>
    </row>
    <row r="286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10"/>
      <c r="M286" s="8"/>
      <c r="N286" s="8"/>
      <c r="O286" s="8"/>
      <c r="P286" s="8"/>
      <c r="Q286" s="8"/>
      <c r="R286" s="8"/>
      <c r="S286" s="8"/>
      <c r="T286" s="8"/>
      <c r="U286" s="10"/>
      <c r="V286" s="8"/>
      <c r="W286" s="8"/>
      <c r="X286" s="8"/>
      <c r="Y286" s="8"/>
      <c r="Z286" s="10"/>
    </row>
    <row r="287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10"/>
      <c r="M287" s="8"/>
      <c r="N287" s="8"/>
      <c r="O287" s="8"/>
      <c r="P287" s="8"/>
      <c r="Q287" s="8"/>
      <c r="R287" s="8"/>
      <c r="S287" s="8"/>
      <c r="T287" s="8"/>
      <c r="U287" s="10"/>
      <c r="V287" s="8"/>
      <c r="W287" s="8"/>
      <c r="X287" s="8"/>
      <c r="Y287" s="8"/>
      <c r="Z287" s="10"/>
    </row>
    <row r="288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10"/>
      <c r="M288" s="8"/>
      <c r="N288" s="8"/>
      <c r="O288" s="8"/>
      <c r="P288" s="8"/>
      <c r="Q288" s="8"/>
      <c r="R288" s="8"/>
      <c r="S288" s="8"/>
      <c r="T288" s="8"/>
      <c r="U288" s="10"/>
      <c r="V288" s="8"/>
      <c r="W288" s="8"/>
      <c r="X288" s="8"/>
      <c r="Y288" s="8"/>
      <c r="Z288" s="10"/>
    </row>
    <row r="289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0"/>
      <c r="M289" s="8"/>
      <c r="N289" s="8"/>
      <c r="O289" s="8"/>
      <c r="P289" s="8"/>
      <c r="Q289" s="8"/>
      <c r="R289" s="8"/>
      <c r="S289" s="8"/>
      <c r="T289" s="8"/>
      <c r="U289" s="10"/>
      <c r="V289" s="8"/>
      <c r="W289" s="8"/>
      <c r="X289" s="8"/>
      <c r="Y289" s="8"/>
      <c r="Z289" s="10"/>
    </row>
    <row r="290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10"/>
      <c r="M290" s="8"/>
      <c r="N290" s="8"/>
      <c r="O290" s="8"/>
      <c r="P290" s="8"/>
      <c r="Q290" s="8"/>
      <c r="R290" s="8"/>
      <c r="S290" s="8"/>
      <c r="T290" s="8"/>
      <c r="U290" s="10"/>
      <c r="V290" s="8"/>
      <c r="W290" s="8"/>
      <c r="X290" s="8"/>
      <c r="Y290" s="8"/>
      <c r="Z290" s="10"/>
    </row>
    <row r="29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10"/>
      <c r="M291" s="8"/>
      <c r="N291" s="8"/>
      <c r="O291" s="8"/>
      <c r="P291" s="8"/>
      <c r="Q291" s="8"/>
      <c r="R291" s="8"/>
      <c r="S291" s="8"/>
      <c r="T291" s="8"/>
      <c r="U291" s="10"/>
      <c r="V291" s="8"/>
      <c r="W291" s="8"/>
      <c r="X291" s="8"/>
      <c r="Y291" s="8"/>
      <c r="Z291" s="10"/>
    </row>
    <row r="292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10"/>
      <c r="M292" s="8"/>
      <c r="N292" s="8"/>
      <c r="O292" s="8"/>
      <c r="P292" s="8"/>
      <c r="Q292" s="8"/>
      <c r="R292" s="8"/>
      <c r="S292" s="8"/>
      <c r="T292" s="8"/>
      <c r="U292" s="10"/>
      <c r="V292" s="8"/>
      <c r="W292" s="8"/>
      <c r="X292" s="8"/>
      <c r="Y292" s="8"/>
      <c r="Z292" s="10"/>
    </row>
    <row r="293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10"/>
      <c r="M293" s="8"/>
      <c r="N293" s="8"/>
      <c r="O293" s="8"/>
      <c r="P293" s="8"/>
      <c r="Q293" s="8"/>
      <c r="R293" s="8"/>
      <c r="S293" s="8"/>
      <c r="T293" s="8"/>
      <c r="U293" s="10"/>
      <c r="V293" s="8"/>
      <c r="W293" s="8"/>
      <c r="X293" s="8"/>
      <c r="Y293" s="8"/>
      <c r="Z293" s="10"/>
    </row>
    <row r="294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10"/>
      <c r="M294" s="8"/>
      <c r="N294" s="8"/>
      <c r="O294" s="8"/>
      <c r="P294" s="8"/>
      <c r="Q294" s="8"/>
      <c r="R294" s="8"/>
      <c r="S294" s="8"/>
      <c r="T294" s="8"/>
      <c r="U294" s="10"/>
      <c r="V294" s="8"/>
      <c r="W294" s="8"/>
      <c r="X294" s="8"/>
      <c r="Y294" s="8"/>
      <c r="Z294" s="10"/>
    </row>
    <row r="29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10"/>
      <c r="M295" s="8"/>
      <c r="N295" s="8"/>
      <c r="O295" s="8"/>
      <c r="P295" s="8"/>
      <c r="Q295" s="8"/>
      <c r="R295" s="8"/>
      <c r="S295" s="8"/>
      <c r="T295" s="8"/>
      <c r="U295" s="10"/>
      <c r="V295" s="8"/>
      <c r="W295" s="8"/>
      <c r="X295" s="8"/>
      <c r="Y295" s="8"/>
      <c r="Z295" s="10"/>
    </row>
    <row r="296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10"/>
      <c r="M296" s="8"/>
      <c r="N296" s="8"/>
      <c r="O296" s="8"/>
      <c r="P296" s="8"/>
      <c r="Q296" s="8"/>
      <c r="R296" s="8"/>
      <c r="S296" s="8"/>
      <c r="T296" s="8"/>
      <c r="U296" s="10"/>
      <c r="V296" s="8"/>
      <c r="W296" s="8"/>
      <c r="X296" s="8"/>
      <c r="Y296" s="8"/>
      <c r="Z296" s="10"/>
    </row>
    <row r="297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10"/>
      <c r="M297" s="8"/>
      <c r="N297" s="8"/>
      <c r="O297" s="8"/>
      <c r="P297" s="8"/>
      <c r="Q297" s="8"/>
      <c r="R297" s="8"/>
      <c r="S297" s="8"/>
      <c r="T297" s="8"/>
      <c r="U297" s="10"/>
      <c r="V297" s="8"/>
      <c r="W297" s="8"/>
      <c r="X297" s="8"/>
      <c r="Y297" s="8"/>
      <c r="Z297" s="10"/>
    </row>
    <row r="298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10"/>
      <c r="M298" s="8"/>
      <c r="N298" s="8"/>
      <c r="O298" s="8"/>
      <c r="P298" s="8"/>
      <c r="Q298" s="8"/>
      <c r="R298" s="8"/>
      <c r="S298" s="8"/>
      <c r="T298" s="8"/>
      <c r="U298" s="10"/>
      <c r="V298" s="8"/>
      <c r="W298" s="8"/>
      <c r="X298" s="8"/>
      <c r="Y298" s="8"/>
      <c r="Z298" s="10"/>
    </row>
    <row r="299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10"/>
      <c r="M299" s="8"/>
      <c r="N299" s="8"/>
      <c r="O299" s="8"/>
      <c r="P299" s="8"/>
      <c r="Q299" s="8"/>
      <c r="R299" s="8"/>
      <c r="S299" s="8"/>
      <c r="T299" s="8"/>
      <c r="U299" s="10"/>
      <c r="V299" s="8"/>
      <c r="W299" s="8"/>
      <c r="X299" s="8"/>
      <c r="Y299" s="8"/>
      <c r="Z299" s="10"/>
    </row>
    <row r="300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10"/>
      <c r="M300" s="8"/>
      <c r="N300" s="8"/>
      <c r="O300" s="8"/>
      <c r="P300" s="8"/>
      <c r="Q300" s="8"/>
      <c r="R300" s="8"/>
      <c r="S300" s="8"/>
      <c r="T300" s="8"/>
      <c r="U300" s="10"/>
      <c r="V300" s="8"/>
      <c r="W300" s="8"/>
      <c r="X300" s="8"/>
      <c r="Y300" s="8"/>
      <c r="Z300" s="10"/>
    </row>
    <row r="30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10"/>
      <c r="M301" s="8"/>
      <c r="N301" s="8"/>
      <c r="O301" s="8"/>
      <c r="P301" s="8"/>
      <c r="Q301" s="8"/>
      <c r="R301" s="8"/>
      <c r="S301" s="8"/>
      <c r="T301" s="8"/>
      <c r="U301" s="10"/>
      <c r="V301" s="8"/>
      <c r="W301" s="8"/>
      <c r="X301" s="8"/>
      <c r="Y301" s="8"/>
      <c r="Z301" s="10"/>
    </row>
    <row r="302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10"/>
      <c r="M302" s="8"/>
      <c r="N302" s="8"/>
      <c r="O302" s="8"/>
      <c r="P302" s="8"/>
      <c r="Q302" s="8"/>
      <c r="R302" s="8"/>
      <c r="S302" s="8"/>
      <c r="T302" s="8"/>
      <c r="U302" s="10"/>
      <c r="V302" s="8"/>
      <c r="W302" s="8"/>
      <c r="X302" s="8"/>
      <c r="Y302" s="8"/>
      <c r="Z302" s="10"/>
    </row>
    <row r="303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10"/>
      <c r="M303" s="8"/>
      <c r="N303" s="8"/>
      <c r="O303" s="8"/>
      <c r="P303" s="8"/>
      <c r="Q303" s="8"/>
      <c r="R303" s="8"/>
      <c r="S303" s="8"/>
      <c r="T303" s="8"/>
      <c r="U303" s="10"/>
      <c r="V303" s="8"/>
      <c r="W303" s="8"/>
      <c r="X303" s="8"/>
      <c r="Y303" s="8"/>
      <c r="Z303" s="10"/>
    </row>
    <row r="304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10"/>
      <c r="M304" s="8"/>
      <c r="N304" s="8"/>
      <c r="O304" s="8"/>
      <c r="P304" s="8"/>
      <c r="Q304" s="8"/>
      <c r="R304" s="8"/>
      <c r="S304" s="8"/>
      <c r="T304" s="8"/>
      <c r="U304" s="10"/>
      <c r="V304" s="8"/>
      <c r="W304" s="8"/>
      <c r="X304" s="8"/>
      <c r="Y304" s="8"/>
      <c r="Z304" s="10"/>
    </row>
  </sheetData>
  <mergeCells count="2">
    <mergeCell ref="A1:Z1"/>
    <mergeCell ref="A2:Z2"/>
  </mergeCells>
  <conditionalFormatting sqref="A5:A304">
    <cfRule type="duplicateValues" dxfId="36" priority="9"/>
  </conditionalFormatting>
  <conditionalFormatting sqref="W5:W304">
    <cfRule type="containsText" dxfId="35" priority="1" operator="containsText" text="Approved"/>
    <cfRule type="containsText" dxfId="34" priority="4" operator="containsText" text="Failed"/>
    <cfRule type="containsText" dxfId="33" priority="7" operator="containsText" text="On Hold"/>
  </conditionalFormatting>
  <dataValidations count="2">
    <dataValidation type="list" sqref="M5:S304" xr:uid="{00000000-0002-0000-1800-000000000000}">
      <formula1>"Pending,Passed,Failed,Approved with Comments,N/A"</formula1>
    </dataValidation>
    <dataValidation type="list" sqref="W5:W304" xr:uid="{00000000-0002-0000-1800-000007000000}">
      <formula1>"Pending,In Production,Internal Review,Submitted,Approved,Approved with Comments,Rejected,Correction Required,Production on Hold"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304"/>
  <sheetViews>
    <sheetView showGridLines="0" workbookViewId="0">
      <selection sqref="A1:X1"/>
    </sheetView>
  </sheetViews>
  <sheetFormatPr baseColWidth="10" defaultColWidth="8.83203125" defaultRowHeight="14"/>
  <cols>
    <col min="1" max="1" width="14" customWidth="1"/>
    <col min="2" max="2" width="13" customWidth="1"/>
    <col min="3" max="4" width="10" customWidth="1"/>
    <col min="5" max="5" width="14" customWidth="1"/>
    <col min="6" max="7" width="13" customWidth="1"/>
    <col min="8" max="8" width="10" customWidth="1"/>
    <col min="9" max="9" width="15" customWidth="1"/>
    <col min="10" max="11" width="14" customWidth="1"/>
    <col min="12" max="12" width="17" customWidth="1"/>
    <col min="13" max="15" width="12" customWidth="1"/>
    <col min="16" max="16" width="17" customWidth="1"/>
    <col min="17" max="17" width="20" customWidth="1"/>
    <col min="18" max="18" width="17" customWidth="1"/>
    <col min="19" max="21" width="16" customWidth="1"/>
    <col min="22" max="22" width="14" customWidth="1"/>
    <col min="23" max="23" width="15" customWidth="1"/>
    <col min="24" max="24" width="25" customWidth="1"/>
  </cols>
  <sheetData>
    <row r="1" spans="1:24" ht="30" customHeight="1">
      <c r="A1" s="52" t="s">
        <v>385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4" spans="1:24" ht="44" customHeight="1">
      <c r="A4" s="6" t="s">
        <v>89</v>
      </c>
      <c r="B4" s="6" t="s">
        <v>353</v>
      </c>
      <c r="C4" s="6" t="s">
        <v>386</v>
      </c>
      <c r="D4" s="6" t="s">
        <v>387</v>
      </c>
      <c r="E4" s="6" t="s">
        <v>44</v>
      </c>
      <c r="F4" s="6" t="s">
        <v>45</v>
      </c>
      <c r="G4" s="6" t="s">
        <v>46</v>
      </c>
      <c r="H4" s="6" t="s">
        <v>306</v>
      </c>
      <c r="I4" s="6" t="s">
        <v>388</v>
      </c>
      <c r="J4" s="6" t="s">
        <v>389</v>
      </c>
      <c r="K4" s="6" t="s">
        <v>390</v>
      </c>
      <c r="L4" s="6" t="s">
        <v>391</v>
      </c>
      <c r="M4" s="6" t="s">
        <v>392</v>
      </c>
      <c r="N4" s="6" t="s">
        <v>393</v>
      </c>
      <c r="O4" s="6" t="s">
        <v>394</v>
      </c>
      <c r="P4" s="6" t="s">
        <v>395</v>
      </c>
      <c r="Q4" s="6" t="s">
        <v>396</v>
      </c>
      <c r="R4" s="6" t="s">
        <v>397</v>
      </c>
      <c r="S4" s="6" t="s">
        <v>398</v>
      </c>
      <c r="T4" s="6" t="s">
        <v>399</v>
      </c>
      <c r="U4" s="6" t="s">
        <v>400</v>
      </c>
      <c r="V4" s="6" t="s">
        <v>401</v>
      </c>
      <c r="W4" s="6" t="s">
        <v>63</v>
      </c>
      <c r="X4" s="6" t="s">
        <v>402</v>
      </c>
    </row>
    <row r="5" spans="1:24">
      <c r="A5" s="8"/>
      <c r="B5" s="10"/>
      <c r="C5" s="8"/>
      <c r="D5" s="8"/>
      <c r="E5" s="8"/>
      <c r="F5" s="8"/>
      <c r="G5" s="8"/>
      <c r="H5" s="8"/>
      <c r="I5" s="11"/>
      <c r="J5" s="11"/>
      <c r="K5" s="11"/>
      <c r="L5" s="11"/>
      <c r="M5" s="11"/>
      <c r="N5" s="11"/>
      <c r="O5" s="11"/>
      <c r="P5" s="11"/>
      <c r="Q5" s="16" t="str">
        <f t="shared" ref="Q5:Q68" si="0">IF(OR(A5="",J5=0),"",K5/J5)</f>
        <v/>
      </c>
      <c r="R5" s="12" t="str">
        <f t="shared" ref="R5:R68" si="1">IF(A5="","",L5-I5)</f>
        <v/>
      </c>
      <c r="S5" s="12" t="str">
        <f t="shared" ref="S5:S68" si="2">IF(A5="","",MAX(0,I5-L5))</f>
        <v/>
      </c>
      <c r="T5" s="12" t="str">
        <f t="shared" ref="T5:T68" si="3">IF(A5="","",MAX(0,L5-I5))</f>
        <v/>
      </c>
      <c r="U5" s="8"/>
      <c r="V5" s="8"/>
      <c r="W5" s="10"/>
      <c r="X5" s="8"/>
    </row>
    <row r="6" spans="1:24">
      <c r="A6" s="8"/>
      <c r="B6" s="10"/>
      <c r="C6" s="8"/>
      <c r="D6" s="8"/>
      <c r="E6" s="8"/>
      <c r="F6" s="8"/>
      <c r="G6" s="8"/>
      <c r="H6" s="8"/>
      <c r="I6" s="11"/>
      <c r="J6" s="11"/>
      <c r="K6" s="11"/>
      <c r="L6" s="11"/>
      <c r="M6" s="11"/>
      <c r="N6" s="11"/>
      <c r="O6" s="11"/>
      <c r="P6" s="11"/>
      <c r="Q6" s="16" t="str">
        <f t="shared" si="0"/>
        <v/>
      </c>
      <c r="R6" s="12" t="str">
        <f t="shared" si="1"/>
        <v/>
      </c>
      <c r="S6" s="12" t="str">
        <f t="shared" si="2"/>
        <v/>
      </c>
      <c r="T6" s="12" t="str">
        <f t="shared" si="3"/>
        <v/>
      </c>
      <c r="U6" s="8"/>
      <c r="V6" s="8"/>
      <c r="W6" s="10"/>
      <c r="X6" s="8"/>
    </row>
    <row r="7" spans="1:24">
      <c r="A7" s="8"/>
      <c r="B7" s="10"/>
      <c r="C7" s="8"/>
      <c r="D7" s="8"/>
      <c r="E7" s="8"/>
      <c r="F7" s="8"/>
      <c r="G7" s="8"/>
      <c r="H7" s="8"/>
      <c r="I7" s="11"/>
      <c r="J7" s="11"/>
      <c r="K7" s="11"/>
      <c r="L7" s="11"/>
      <c r="M7" s="11"/>
      <c r="N7" s="11"/>
      <c r="O7" s="11"/>
      <c r="P7" s="11"/>
      <c r="Q7" s="16" t="str">
        <f t="shared" si="0"/>
        <v/>
      </c>
      <c r="R7" s="12" t="str">
        <f t="shared" si="1"/>
        <v/>
      </c>
      <c r="S7" s="12" t="str">
        <f t="shared" si="2"/>
        <v/>
      </c>
      <c r="T7" s="12" t="str">
        <f t="shared" si="3"/>
        <v/>
      </c>
      <c r="U7" s="8"/>
      <c r="V7" s="8"/>
      <c r="W7" s="10"/>
      <c r="X7" s="8"/>
    </row>
    <row r="8" spans="1:24">
      <c r="A8" s="8"/>
      <c r="B8" s="10"/>
      <c r="C8" s="8"/>
      <c r="D8" s="8"/>
      <c r="E8" s="8"/>
      <c r="F8" s="8"/>
      <c r="G8" s="8"/>
      <c r="H8" s="8"/>
      <c r="I8" s="11"/>
      <c r="J8" s="11"/>
      <c r="K8" s="11"/>
      <c r="L8" s="11"/>
      <c r="M8" s="11"/>
      <c r="N8" s="11"/>
      <c r="O8" s="11"/>
      <c r="P8" s="11"/>
      <c r="Q8" s="16" t="str">
        <f t="shared" si="0"/>
        <v/>
      </c>
      <c r="R8" s="12" t="str">
        <f t="shared" si="1"/>
        <v/>
      </c>
      <c r="S8" s="12" t="str">
        <f t="shared" si="2"/>
        <v/>
      </c>
      <c r="T8" s="12" t="str">
        <f t="shared" si="3"/>
        <v/>
      </c>
      <c r="U8" s="8"/>
      <c r="V8" s="8"/>
      <c r="W8" s="10"/>
      <c r="X8" s="8"/>
    </row>
    <row r="9" spans="1:24">
      <c r="A9" s="8"/>
      <c r="B9" s="10"/>
      <c r="C9" s="8"/>
      <c r="D9" s="8"/>
      <c r="E9" s="8"/>
      <c r="F9" s="8"/>
      <c r="G9" s="8"/>
      <c r="H9" s="8"/>
      <c r="I9" s="11"/>
      <c r="J9" s="11"/>
      <c r="K9" s="11"/>
      <c r="L9" s="11"/>
      <c r="M9" s="11"/>
      <c r="N9" s="11"/>
      <c r="O9" s="11"/>
      <c r="P9" s="11"/>
      <c r="Q9" s="16" t="str">
        <f t="shared" si="0"/>
        <v/>
      </c>
      <c r="R9" s="12" t="str">
        <f t="shared" si="1"/>
        <v/>
      </c>
      <c r="S9" s="12" t="str">
        <f t="shared" si="2"/>
        <v/>
      </c>
      <c r="T9" s="12" t="str">
        <f t="shared" si="3"/>
        <v/>
      </c>
      <c r="U9" s="8"/>
      <c r="V9" s="8"/>
      <c r="W9" s="10"/>
      <c r="X9" s="8"/>
    </row>
    <row r="10" spans="1:24">
      <c r="A10" s="8"/>
      <c r="B10" s="10"/>
      <c r="C10" s="8"/>
      <c r="D10" s="8"/>
      <c r="E10" s="8"/>
      <c r="F10" s="8"/>
      <c r="G10" s="8"/>
      <c r="H10" s="8"/>
      <c r="I10" s="11"/>
      <c r="J10" s="11"/>
      <c r="K10" s="11"/>
      <c r="L10" s="11"/>
      <c r="M10" s="11"/>
      <c r="N10" s="11"/>
      <c r="O10" s="11"/>
      <c r="P10" s="11"/>
      <c r="Q10" s="16" t="str">
        <f t="shared" si="0"/>
        <v/>
      </c>
      <c r="R10" s="12" t="str">
        <f t="shared" si="1"/>
        <v/>
      </c>
      <c r="S10" s="12" t="str">
        <f t="shared" si="2"/>
        <v/>
      </c>
      <c r="T10" s="12" t="str">
        <f t="shared" si="3"/>
        <v/>
      </c>
      <c r="U10" s="8"/>
      <c r="V10" s="8"/>
      <c r="W10" s="10"/>
      <c r="X10" s="8"/>
    </row>
    <row r="11" spans="1:24">
      <c r="A11" s="8"/>
      <c r="B11" s="10"/>
      <c r="C11" s="8"/>
      <c r="D11" s="8"/>
      <c r="E11" s="8"/>
      <c r="F11" s="8"/>
      <c r="G11" s="8"/>
      <c r="H11" s="8"/>
      <c r="I11" s="11"/>
      <c r="J11" s="11"/>
      <c r="K11" s="11"/>
      <c r="L11" s="11"/>
      <c r="M11" s="11"/>
      <c r="N11" s="11"/>
      <c r="O11" s="11"/>
      <c r="P11" s="11"/>
      <c r="Q11" s="16" t="str">
        <f t="shared" si="0"/>
        <v/>
      </c>
      <c r="R11" s="12" t="str">
        <f t="shared" si="1"/>
        <v/>
      </c>
      <c r="S11" s="12" t="str">
        <f t="shared" si="2"/>
        <v/>
      </c>
      <c r="T11" s="12" t="str">
        <f t="shared" si="3"/>
        <v/>
      </c>
      <c r="U11" s="8"/>
      <c r="V11" s="8"/>
      <c r="W11" s="10"/>
      <c r="X11" s="8"/>
    </row>
    <row r="12" spans="1:24">
      <c r="A12" s="8"/>
      <c r="B12" s="10"/>
      <c r="C12" s="8"/>
      <c r="D12" s="8"/>
      <c r="E12" s="8"/>
      <c r="F12" s="8"/>
      <c r="G12" s="8"/>
      <c r="H12" s="8"/>
      <c r="I12" s="11"/>
      <c r="J12" s="11"/>
      <c r="K12" s="11"/>
      <c r="L12" s="11"/>
      <c r="M12" s="11"/>
      <c r="N12" s="11"/>
      <c r="O12" s="11"/>
      <c r="P12" s="11"/>
      <c r="Q12" s="16" t="str">
        <f t="shared" si="0"/>
        <v/>
      </c>
      <c r="R12" s="12" t="str">
        <f t="shared" si="1"/>
        <v/>
      </c>
      <c r="S12" s="12" t="str">
        <f t="shared" si="2"/>
        <v/>
      </c>
      <c r="T12" s="12" t="str">
        <f t="shared" si="3"/>
        <v/>
      </c>
      <c r="U12" s="8"/>
      <c r="V12" s="8"/>
      <c r="W12" s="10"/>
      <c r="X12" s="8"/>
    </row>
    <row r="13" spans="1:24">
      <c r="A13" s="8"/>
      <c r="B13" s="10"/>
      <c r="C13" s="8"/>
      <c r="D13" s="8"/>
      <c r="E13" s="8"/>
      <c r="F13" s="8"/>
      <c r="G13" s="8"/>
      <c r="H13" s="8"/>
      <c r="I13" s="11"/>
      <c r="J13" s="11"/>
      <c r="K13" s="11"/>
      <c r="L13" s="11"/>
      <c r="M13" s="11"/>
      <c r="N13" s="11"/>
      <c r="O13" s="11"/>
      <c r="P13" s="11"/>
      <c r="Q13" s="16" t="str">
        <f t="shared" si="0"/>
        <v/>
      </c>
      <c r="R13" s="12" t="str">
        <f t="shared" si="1"/>
        <v/>
      </c>
      <c r="S13" s="12" t="str">
        <f t="shared" si="2"/>
        <v/>
      </c>
      <c r="T13" s="12" t="str">
        <f t="shared" si="3"/>
        <v/>
      </c>
      <c r="U13" s="8"/>
      <c r="V13" s="8"/>
      <c r="W13" s="10"/>
      <c r="X13" s="8"/>
    </row>
    <row r="14" spans="1:24">
      <c r="A14" s="8"/>
      <c r="B14" s="10"/>
      <c r="C14" s="8"/>
      <c r="D14" s="8"/>
      <c r="E14" s="8"/>
      <c r="F14" s="8"/>
      <c r="G14" s="8"/>
      <c r="H14" s="8"/>
      <c r="I14" s="11"/>
      <c r="J14" s="11"/>
      <c r="K14" s="11"/>
      <c r="L14" s="11"/>
      <c r="M14" s="11"/>
      <c r="N14" s="11"/>
      <c r="O14" s="11"/>
      <c r="P14" s="11"/>
      <c r="Q14" s="16" t="str">
        <f t="shared" si="0"/>
        <v/>
      </c>
      <c r="R14" s="12" t="str">
        <f t="shared" si="1"/>
        <v/>
      </c>
      <c r="S14" s="12" t="str">
        <f t="shared" si="2"/>
        <v/>
      </c>
      <c r="T14" s="12" t="str">
        <f t="shared" si="3"/>
        <v/>
      </c>
      <c r="U14" s="8"/>
      <c r="V14" s="8"/>
      <c r="W14" s="10"/>
      <c r="X14" s="8"/>
    </row>
    <row r="15" spans="1:24">
      <c r="A15" s="8"/>
      <c r="B15" s="10"/>
      <c r="C15" s="8"/>
      <c r="D15" s="8"/>
      <c r="E15" s="8"/>
      <c r="F15" s="8"/>
      <c r="G15" s="8"/>
      <c r="H15" s="8"/>
      <c r="I15" s="11"/>
      <c r="J15" s="11"/>
      <c r="K15" s="11"/>
      <c r="L15" s="11"/>
      <c r="M15" s="11"/>
      <c r="N15" s="11"/>
      <c r="O15" s="11"/>
      <c r="P15" s="11"/>
      <c r="Q15" s="16" t="str">
        <f t="shared" si="0"/>
        <v/>
      </c>
      <c r="R15" s="12" t="str">
        <f t="shared" si="1"/>
        <v/>
      </c>
      <c r="S15" s="12" t="str">
        <f t="shared" si="2"/>
        <v/>
      </c>
      <c r="T15" s="12" t="str">
        <f t="shared" si="3"/>
        <v/>
      </c>
      <c r="U15" s="8"/>
      <c r="V15" s="8"/>
      <c r="W15" s="10"/>
      <c r="X15" s="8"/>
    </row>
    <row r="16" spans="1:24">
      <c r="A16" s="8"/>
      <c r="B16" s="10"/>
      <c r="C16" s="8"/>
      <c r="D16" s="8"/>
      <c r="E16" s="8"/>
      <c r="F16" s="8"/>
      <c r="G16" s="8"/>
      <c r="H16" s="8"/>
      <c r="I16" s="11"/>
      <c r="J16" s="11"/>
      <c r="K16" s="11"/>
      <c r="L16" s="11"/>
      <c r="M16" s="11"/>
      <c r="N16" s="11"/>
      <c r="O16" s="11"/>
      <c r="P16" s="11"/>
      <c r="Q16" s="16" t="str">
        <f t="shared" si="0"/>
        <v/>
      </c>
      <c r="R16" s="12" t="str">
        <f t="shared" si="1"/>
        <v/>
      </c>
      <c r="S16" s="12" t="str">
        <f t="shared" si="2"/>
        <v/>
      </c>
      <c r="T16" s="12" t="str">
        <f t="shared" si="3"/>
        <v/>
      </c>
      <c r="U16" s="8"/>
      <c r="V16" s="8"/>
      <c r="W16" s="10"/>
      <c r="X16" s="8"/>
    </row>
    <row r="17" spans="1:24">
      <c r="A17" s="8"/>
      <c r="B17" s="10"/>
      <c r="C17" s="8"/>
      <c r="D17" s="8"/>
      <c r="E17" s="8"/>
      <c r="F17" s="8"/>
      <c r="G17" s="8"/>
      <c r="H17" s="8"/>
      <c r="I17" s="11"/>
      <c r="J17" s="11"/>
      <c r="K17" s="11"/>
      <c r="L17" s="11"/>
      <c r="M17" s="11"/>
      <c r="N17" s="11"/>
      <c r="O17" s="11"/>
      <c r="P17" s="11"/>
      <c r="Q17" s="16" t="str">
        <f t="shared" si="0"/>
        <v/>
      </c>
      <c r="R17" s="12" t="str">
        <f t="shared" si="1"/>
        <v/>
      </c>
      <c r="S17" s="12" t="str">
        <f t="shared" si="2"/>
        <v/>
      </c>
      <c r="T17" s="12" t="str">
        <f t="shared" si="3"/>
        <v/>
      </c>
      <c r="U17" s="8"/>
      <c r="V17" s="8"/>
      <c r="W17" s="10"/>
      <c r="X17" s="8"/>
    </row>
    <row r="18" spans="1:24">
      <c r="A18" s="8"/>
      <c r="B18" s="10"/>
      <c r="C18" s="8"/>
      <c r="D18" s="8"/>
      <c r="E18" s="8"/>
      <c r="F18" s="8"/>
      <c r="G18" s="8"/>
      <c r="H18" s="8"/>
      <c r="I18" s="11"/>
      <c r="J18" s="11"/>
      <c r="K18" s="11"/>
      <c r="L18" s="11"/>
      <c r="M18" s="11"/>
      <c r="N18" s="11"/>
      <c r="O18" s="11"/>
      <c r="P18" s="11"/>
      <c r="Q18" s="16" t="str">
        <f t="shared" si="0"/>
        <v/>
      </c>
      <c r="R18" s="12" t="str">
        <f t="shared" si="1"/>
        <v/>
      </c>
      <c r="S18" s="12" t="str">
        <f t="shared" si="2"/>
        <v/>
      </c>
      <c r="T18" s="12" t="str">
        <f t="shared" si="3"/>
        <v/>
      </c>
      <c r="U18" s="8"/>
      <c r="V18" s="8"/>
      <c r="W18" s="10"/>
      <c r="X18" s="8"/>
    </row>
    <row r="19" spans="1:24">
      <c r="A19" s="8"/>
      <c r="B19" s="10"/>
      <c r="C19" s="8"/>
      <c r="D19" s="8"/>
      <c r="E19" s="8"/>
      <c r="F19" s="8"/>
      <c r="G19" s="8"/>
      <c r="H19" s="8"/>
      <c r="I19" s="11"/>
      <c r="J19" s="11"/>
      <c r="K19" s="11"/>
      <c r="L19" s="11"/>
      <c r="M19" s="11"/>
      <c r="N19" s="11"/>
      <c r="O19" s="11"/>
      <c r="P19" s="11"/>
      <c r="Q19" s="16" t="str">
        <f t="shared" si="0"/>
        <v/>
      </c>
      <c r="R19" s="12" t="str">
        <f t="shared" si="1"/>
        <v/>
      </c>
      <c r="S19" s="12" t="str">
        <f t="shared" si="2"/>
        <v/>
      </c>
      <c r="T19" s="12" t="str">
        <f t="shared" si="3"/>
        <v/>
      </c>
      <c r="U19" s="8"/>
      <c r="V19" s="8"/>
      <c r="W19" s="10"/>
      <c r="X19" s="8"/>
    </row>
    <row r="20" spans="1:24">
      <c r="A20" s="8"/>
      <c r="B20" s="10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6" t="str">
        <f t="shared" si="0"/>
        <v/>
      </c>
      <c r="R20" s="12" t="str">
        <f t="shared" si="1"/>
        <v/>
      </c>
      <c r="S20" s="12" t="str">
        <f t="shared" si="2"/>
        <v/>
      </c>
      <c r="T20" s="12" t="str">
        <f t="shared" si="3"/>
        <v/>
      </c>
      <c r="U20" s="8"/>
      <c r="V20" s="8"/>
      <c r="W20" s="10"/>
      <c r="X20" s="8"/>
    </row>
    <row r="21" spans="1:24">
      <c r="A21" s="8"/>
      <c r="B21" s="10"/>
      <c r="C21" s="8"/>
      <c r="D21" s="8"/>
      <c r="E21" s="8"/>
      <c r="F21" s="8"/>
      <c r="G21" s="8"/>
      <c r="H21" s="8"/>
      <c r="I21" s="11"/>
      <c r="J21" s="11"/>
      <c r="K21" s="11"/>
      <c r="L21" s="11"/>
      <c r="M21" s="11"/>
      <c r="N21" s="11"/>
      <c r="O21" s="11"/>
      <c r="P21" s="11"/>
      <c r="Q21" s="16" t="str">
        <f t="shared" si="0"/>
        <v/>
      </c>
      <c r="R21" s="12" t="str">
        <f t="shared" si="1"/>
        <v/>
      </c>
      <c r="S21" s="12" t="str">
        <f t="shared" si="2"/>
        <v/>
      </c>
      <c r="T21" s="12" t="str">
        <f t="shared" si="3"/>
        <v/>
      </c>
      <c r="U21" s="8"/>
      <c r="V21" s="8"/>
      <c r="W21" s="10"/>
      <c r="X21" s="8"/>
    </row>
    <row r="22" spans="1:24">
      <c r="A22" s="8"/>
      <c r="B22" s="10"/>
      <c r="C22" s="8"/>
      <c r="D22" s="8"/>
      <c r="E22" s="8"/>
      <c r="F22" s="8"/>
      <c r="G22" s="8"/>
      <c r="H22" s="8"/>
      <c r="I22" s="11"/>
      <c r="J22" s="11"/>
      <c r="K22" s="11"/>
      <c r="L22" s="11"/>
      <c r="M22" s="11"/>
      <c r="N22" s="11"/>
      <c r="O22" s="11"/>
      <c r="P22" s="11"/>
      <c r="Q22" s="16" t="str">
        <f t="shared" si="0"/>
        <v/>
      </c>
      <c r="R22" s="12" t="str">
        <f t="shared" si="1"/>
        <v/>
      </c>
      <c r="S22" s="12" t="str">
        <f t="shared" si="2"/>
        <v/>
      </c>
      <c r="T22" s="12" t="str">
        <f t="shared" si="3"/>
        <v/>
      </c>
      <c r="U22" s="8"/>
      <c r="V22" s="8"/>
      <c r="W22" s="10"/>
      <c r="X22" s="8"/>
    </row>
    <row r="23" spans="1:24">
      <c r="A23" s="8"/>
      <c r="B23" s="10"/>
      <c r="C23" s="8"/>
      <c r="D23" s="8"/>
      <c r="E23" s="8"/>
      <c r="F23" s="8"/>
      <c r="G23" s="8"/>
      <c r="H23" s="8"/>
      <c r="I23" s="11"/>
      <c r="J23" s="11"/>
      <c r="K23" s="11"/>
      <c r="L23" s="11"/>
      <c r="M23" s="11"/>
      <c r="N23" s="11"/>
      <c r="O23" s="11"/>
      <c r="P23" s="11"/>
      <c r="Q23" s="16" t="str">
        <f t="shared" si="0"/>
        <v/>
      </c>
      <c r="R23" s="12" t="str">
        <f t="shared" si="1"/>
        <v/>
      </c>
      <c r="S23" s="12" t="str">
        <f t="shared" si="2"/>
        <v/>
      </c>
      <c r="T23" s="12" t="str">
        <f t="shared" si="3"/>
        <v/>
      </c>
      <c r="U23" s="8"/>
      <c r="V23" s="8"/>
      <c r="W23" s="10"/>
      <c r="X23" s="8"/>
    </row>
    <row r="24" spans="1:24">
      <c r="A24" s="8"/>
      <c r="B24" s="10"/>
      <c r="C24" s="8"/>
      <c r="D24" s="8"/>
      <c r="E24" s="8"/>
      <c r="F24" s="8"/>
      <c r="G24" s="8"/>
      <c r="H24" s="8"/>
      <c r="I24" s="11"/>
      <c r="J24" s="11"/>
      <c r="K24" s="11"/>
      <c r="L24" s="11"/>
      <c r="M24" s="11"/>
      <c r="N24" s="11"/>
      <c r="O24" s="11"/>
      <c r="P24" s="11"/>
      <c r="Q24" s="16" t="str">
        <f t="shared" si="0"/>
        <v/>
      </c>
      <c r="R24" s="12" t="str">
        <f t="shared" si="1"/>
        <v/>
      </c>
      <c r="S24" s="12" t="str">
        <f t="shared" si="2"/>
        <v/>
      </c>
      <c r="T24" s="12" t="str">
        <f t="shared" si="3"/>
        <v/>
      </c>
      <c r="U24" s="8"/>
      <c r="V24" s="8"/>
      <c r="W24" s="10"/>
      <c r="X24" s="8"/>
    </row>
    <row r="25" spans="1:24">
      <c r="A25" s="8"/>
      <c r="B25" s="10"/>
      <c r="C25" s="8"/>
      <c r="D25" s="8"/>
      <c r="E25" s="8"/>
      <c r="F25" s="8"/>
      <c r="G25" s="8"/>
      <c r="H25" s="8"/>
      <c r="I25" s="11"/>
      <c r="J25" s="11"/>
      <c r="K25" s="11"/>
      <c r="L25" s="11"/>
      <c r="M25" s="11"/>
      <c r="N25" s="11"/>
      <c r="O25" s="11"/>
      <c r="P25" s="11"/>
      <c r="Q25" s="16" t="str">
        <f t="shared" si="0"/>
        <v/>
      </c>
      <c r="R25" s="12" t="str">
        <f t="shared" si="1"/>
        <v/>
      </c>
      <c r="S25" s="12" t="str">
        <f t="shared" si="2"/>
        <v/>
      </c>
      <c r="T25" s="12" t="str">
        <f t="shared" si="3"/>
        <v/>
      </c>
      <c r="U25" s="8"/>
      <c r="V25" s="8"/>
      <c r="W25" s="10"/>
      <c r="X25" s="8"/>
    </row>
    <row r="26" spans="1:24">
      <c r="A26" s="8"/>
      <c r="B26" s="10"/>
      <c r="C26" s="8"/>
      <c r="D26" s="8"/>
      <c r="E26" s="8"/>
      <c r="F26" s="8"/>
      <c r="G26" s="8"/>
      <c r="H26" s="8"/>
      <c r="I26" s="11"/>
      <c r="J26" s="11"/>
      <c r="K26" s="11"/>
      <c r="L26" s="11"/>
      <c r="M26" s="11"/>
      <c r="N26" s="11"/>
      <c r="O26" s="11"/>
      <c r="P26" s="11"/>
      <c r="Q26" s="16" t="str">
        <f t="shared" si="0"/>
        <v/>
      </c>
      <c r="R26" s="12" t="str">
        <f t="shared" si="1"/>
        <v/>
      </c>
      <c r="S26" s="12" t="str">
        <f t="shared" si="2"/>
        <v/>
      </c>
      <c r="T26" s="12" t="str">
        <f t="shared" si="3"/>
        <v/>
      </c>
      <c r="U26" s="8"/>
      <c r="V26" s="8"/>
      <c r="W26" s="10"/>
      <c r="X26" s="8"/>
    </row>
    <row r="27" spans="1:24">
      <c r="A27" s="8"/>
      <c r="B27" s="10"/>
      <c r="C27" s="8"/>
      <c r="D27" s="8"/>
      <c r="E27" s="8"/>
      <c r="F27" s="8"/>
      <c r="G27" s="8"/>
      <c r="H27" s="8"/>
      <c r="I27" s="11"/>
      <c r="J27" s="11"/>
      <c r="K27" s="11"/>
      <c r="L27" s="11"/>
      <c r="M27" s="11"/>
      <c r="N27" s="11"/>
      <c r="O27" s="11"/>
      <c r="P27" s="11"/>
      <c r="Q27" s="16" t="str">
        <f t="shared" si="0"/>
        <v/>
      </c>
      <c r="R27" s="12" t="str">
        <f t="shared" si="1"/>
        <v/>
      </c>
      <c r="S27" s="12" t="str">
        <f t="shared" si="2"/>
        <v/>
      </c>
      <c r="T27" s="12" t="str">
        <f t="shared" si="3"/>
        <v/>
      </c>
      <c r="U27" s="8"/>
      <c r="V27" s="8"/>
      <c r="W27" s="10"/>
      <c r="X27" s="8"/>
    </row>
    <row r="28" spans="1:24">
      <c r="A28" s="8"/>
      <c r="B28" s="10"/>
      <c r="C28" s="8"/>
      <c r="D28" s="8"/>
      <c r="E28" s="8"/>
      <c r="F28" s="8"/>
      <c r="G28" s="8"/>
      <c r="H28" s="8"/>
      <c r="I28" s="11"/>
      <c r="J28" s="11"/>
      <c r="K28" s="11"/>
      <c r="L28" s="11"/>
      <c r="M28" s="11"/>
      <c r="N28" s="11"/>
      <c r="O28" s="11"/>
      <c r="P28" s="11"/>
      <c r="Q28" s="16" t="str">
        <f t="shared" si="0"/>
        <v/>
      </c>
      <c r="R28" s="12" t="str">
        <f t="shared" si="1"/>
        <v/>
      </c>
      <c r="S28" s="12" t="str">
        <f t="shared" si="2"/>
        <v/>
      </c>
      <c r="T28" s="12" t="str">
        <f t="shared" si="3"/>
        <v/>
      </c>
      <c r="U28" s="8"/>
      <c r="V28" s="8"/>
      <c r="W28" s="10"/>
      <c r="X28" s="8"/>
    </row>
    <row r="29" spans="1:24">
      <c r="A29" s="8"/>
      <c r="B29" s="10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6" t="str">
        <f t="shared" si="0"/>
        <v/>
      </c>
      <c r="R29" s="12" t="str">
        <f t="shared" si="1"/>
        <v/>
      </c>
      <c r="S29" s="12" t="str">
        <f t="shared" si="2"/>
        <v/>
      </c>
      <c r="T29" s="12" t="str">
        <f t="shared" si="3"/>
        <v/>
      </c>
      <c r="U29" s="8"/>
      <c r="V29" s="8"/>
      <c r="W29" s="10"/>
      <c r="X29" s="8"/>
    </row>
    <row r="30" spans="1:24">
      <c r="A30" s="8"/>
      <c r="B30" s="10"/>
      <c r="C30" s="8"/>
      <c r="D30" s="8"/>
      <c r="E30" s="8"/>
      <c r="F30" s="8"/>
      <c r="G30" s="8"/>
      <c r="H30" s="8"/>
      <c r="I30" s="11"/>
      <c r="J30" s="11"/>
      <c r="K30" s="11"/>
      <c r="L30" s="11"/>
      <c r="M30" s="11"/>
      <c r="N30" s="11"/>
      <c r="O30" s="11"/>
      <c r="P30" s="11"/>
      <c r="Q30" s="16" t="str">
        <f t="shared" si="0"/>
        <v/>
      </c>
      <c r="R30" s="12" t="str">
        <f t="shared" si="1"/>
        <v/>
      </c>
      <c r="S30" s="12" t="str">
        <f t="shared" si="2"/>
        <v/>
      </c>
      <c r="T30" s="12" t="str">
        <f t="shared" si="3"/>
        <v/>
      </c>
      <c r="U30" s="8"/>
      <c r="V30" s="8"/>
      <c r="W30" s="10"/>
      <c r="X30" s="8"/>
    </row>
    <row r="31" spans="1:24">
      <c r="A31" s="8"/>
      <c r="B31" s="10"/>
      <c r="C31" s="8"/>
      <c r="D31" s="8"/>
      <c r="E31" s="8"/>
      <c r="F31" s="8"/>
      <c r="G31" s="8"/>
      <c r="H31" s="8"/>
      <c r="I31" s="11"/>
      <c r="J31" s="11"/>
      <c r="K31" s="11"/>
      <c r="L31" s="11"/>
      <c r="M31" s="11"/>
      <c r="N31" s="11"/>
      <c r="O31" s="11"/>
      <c r="P31" s="11"/>
      <c r="Q31" s="16" t="str">
        <f t="shared" si="0"/>
        <v/>
      </c>
      <c r="R31" s="12" t="str">
        <f t="shared" si="1"/>
        <v/>
      </c>
      <c r="S31" s="12" t="str">
        <f t="shared" si="2"/>
        <v/>
      </c>
      <c r="T31" s="12" t="str">
        <f t="shared" si="3"/>
        <v/>
      </c>
      <c r="U31" s="8"/>
      <c r="V31" s="8"/>
      <c r="W31" s="10"/>
      <c r="X31" s="8"/>
    </row>
    <row r="32" spans="1:24">
      <c r="A32" s="8"/>
      <c r="B32" s="10"/>
      <c r="C32" s="8"/>
      <c r="D32" s="8"/>
      <c r="E32" s="8"/>
      <c r="F32" s="8"/>
      <c r="G32" s="8"/>
      <c r="H32" s="8"/>
      <c r="I32" s="11"/>
      <c r="J32" s="11"/>
      <c r="K32" s="11"/>
      <c r="L32" s="11"/>
      <c r="M32" s="11"/>
      <c r="N32" s="11"/>
      <c r="O32" s="11"/>
      <c r="P32" s="11"/>
      <c r="Q32" s="16" t="str">
        <f t="shared" si="0"/>
        <v/>
      </c>
      <c r="R32" s="12" t="str">
        <f t="shared" si="1"/>
        <v/>
      </c>
      <c r="S32" s="12" t="str">
        <f t="shared" si="2"/>
        <v/>
      </c>
      <c r="T32" s="12" t="str">
        <f t="shared" si="3"/>
        <v/>
      </c>
      <c r="U32" s="8"/>
      <c r="V32" s="8"/>
      <c r="W32" s="10"/>
      <c r="X32" s="8"/>
    </row>
    <row r="33" spans="1:24">
      <c r="A33" s="8"/>
      <c r="B33" s="10"/>
      <c r="C33" s="8"/>
      <c r="D33" s="8"/>
      <c r="E33" s="8"/>
      <c r="F33" s="8"/>
      <c r="G33" s="8"/>
      <c r="H33" s="8"/>
      <c r="I33" s="11"/>
      <c r="J33" s="11"/>
      <c r="K33" s="11"/>
      <c r="L33" s="11"/>
      <c r="M33" s="11"/>
      <c r="N33" s="11"/>
      <c r="O33" s="11"/>
      <c r="P33" s="11"/>
      <c r="Q33" s="16" t="str">
        <f t="shared" si="0"/>
        <v/>
      </c>
      <c r="R33" s="12" t="str">
        <f t="shared" si="1"/>
        <v/>
      </c>
      <c r="S33" s="12" t="str">
        <f t="shared" si="2"/>
        <v/>
      </c>
      <c r="T33" s="12" t="str">
        <f t="shared" si="3"/>
        <v/>
      </c>
      <c r="U33" s="8"/>
      <c r="V33" s="8"/>
      <c r="W33" s="10"/>
      <c r="X33" s="8"/>
    </row>
    <row r="34" spans="1:24">
      <c r="A34" s="8"/>
      <c r="B34" s="10"/>
      <c r="C34" s="8"/>
      <c r="D34" s="8"/>
      <c r="E34" s="8"/>
      <c r="F34" s="8"/>
      <c r="G34" s="8"/>
      <c r="H34" s="8"/>
      <c r="I34" s="11"/>
      <c r="J34" s="11"/>
      <c r="K34" s="11"/>
      <c r="L34" s="11"/>
      <c r="M34" s="11"/>
      <c r="N34" s="11"/>
      <c r="O34" s="11"/>
      <c r="P34" s="11"/>
      <c r="Q34" s="16" t="str">
        <f t="shared" si="0"/>
        <v/>
      </c>
      <c r="R34" s="12" t="str">
        <f t="shared" si="1"/>
        <v/>
      </c>
      <c r="S34" s="12" t="str">
        <f t="shared" si="2"/>
        <v/>
      </c>
      <c r="T34" s="12" t="str">
        <f t="shared" si="3"/>
        <v/>
      </c>
      <c r="U34" s="8"/>
      <c r="V34" s="8"/>
      <c r="W34" s="10"/>
      <c r="X34" s="8"/>
    </row>
    <row r="35" spans="1:24">
      <c r="A35" s="8"/>
      <c r="B35" s="10"/>
      <c r="C35" s="8"/>
      <c r="D35" s="8"/>
      <c r="E35" s="8"/>
      <c r="F35" s="8"/>
      <c r="G35" s="8"/>
      <c r="H35" s="8"/>
      <c r="I35" s="11"/>
      <c r="J35" s="11"/>
      <c r="K35" s="11"/>
      <c r="L35" s="11"/>
      <c r="M35" s="11"/>
      <c r="N35" s="11"/>
      <c r="O35" s="11"/>
      <c r="P35" s="11"/>
      <c r="Q35" s="16" t="str">
        <f t="shared" si="0"/>
        <v/>
      </c>
      <c r="R35" s="12" t="str">
        <f t="shared" si="1"/>
        <v/>
      </c>
      <c r="S35" s="12" t="str">
        <f t="shared" si="2"/>
        <v/>
      </c>
      <c r="T35" s="12" t="str">
        <f t="shared" si="3"/>
        <v/>
      </c>
      <c r="U35" s="8"/>
      <c r="V35" s="8"/>
      <c r="W35" s="10"/>
      <c r="X35" s="8"/>
    </row>
    <row r="36" spans="1:24">
      <c r="A36" s="8"/>
      <c r="B36" s="10"/>
      <c r="C36" s="8"/>
      <c r="D36" s="8"/>
      <c r="E36" s="8"/>
      <c r="F36" s="8"/>
      <c r="G36" s="8"/>
      <c r="H36" s="8"/>
      <c r="I36" s="11"/>
      <c r="J36" s="11"/>
      <c r="K36" s="11"/>
      <c r="L36" s="11"/>
      <c r="M36" s="11"/>
      <c r="N36" s="11"/>
      <c r="O36" s="11"/>
      <c r="P36" s="11"/>
      <c r="Q36" s="16" t="str">
        <f t="shared" si="0"/>
        <v/>
      </c>
      <c r="R36" s="12" t="str">
        <f t="shared" si="1"/>
        <v/>
      </c>
      <c r="S36" s="12" t="str">
        <f t="shared" si="2"/>
        <v/>
      </c>
      <c r="T36" s="12" t="str">
        <f t="shared" si="3"/>
        <v/>
      </c>
      <c r="U36" s="8"/>
      <c r="V36" s="8"/>
      <c r="W36" s="10"/>
      <c r="X36" s="8"/>
    </row>
    <row r="37" spans="1:24">
      <c r="A37" s="8"/>
      <c r="B37" s="10"/>
      <c r="C37" s="8"/>
      <c r="D37" s="8"/>
      <c r="E37" s="8"/>
      <c r="F37" s="8"/>
      <c r="G37" s="8"/>
      <c r="H37" s="8"/>
      <c r="I37" s="11"/>
      <c r="J37" s="11"/>
      <c r="K37" s="11"/>
      <c r="L37" s="11"/>
      <c r="M37" s="11"/>
      <c r="N37" s="11"/>
      <c r="O37" s="11"/>
      <c r="P37" s="11"/>
      <c r="Q37" s="16" t="str">
        <f t="shared" si="0"/>
        <v/>
      </c>
      <c r="R37" s="12" t="str">
        <f t="shared" si="1"/>
        <v/>
      </c>
      <c r="S37" s="12" t="str">
        <f t="shared" si="2"/>
        <v/>
      </c>
      <c r="T37" s="12" t="str">
        <f t="shared" si="3"/>
        <v/>
      </c>
      <c r="U37" s="8"/>
      <c r="V37" s="8"/>
      <c r="W37" s="10"/>
      <c r="X37" s="8"/>
    </row>
    <row r="38" spans="1:24">
      <c r="A38" s="8"/>
      <c r="B38" s="10"/>
      <c r="C38" s="8"/>
      <c r="D38" s="8"/>
      <c r="E38" s="8"/>
      <c r="F38" s="8"/>
      <c r="G38" s="8"/>
      <c r="H38" s="8"/>
      <c r="I38" s="11"/>
      <c r="J38" s="11"/>
      <c r="K38" s="11"/>
      <c r="L38" s="11"/>
      <c r="M38" s="11"/>
      <c r="N38" s="11"/>
      <c r="O38" s="11"/>
      <c r="P38" s="11"/>
      <c r="Q38" s="16" t="str">
        <f t="shared" si="0"/>
        <v/>
      </c>
      <c r="R38" s="12" t="str">
        <f t="shared" si="1"/>
        <v/>
      </c>
      <c r="S38" s="12" t="str">
        <f t="shared" si="2"/>
        <v/>
      </c>
      <c r="T38" s="12" t="str">
        <f t="shared" si="3"/>
        <v/>
      </c>
      <c r="U38" s="8"/>
      <c r="V38" s="8"/>
      <c r="W38" s="10"/>
      <c r="X38" s="8"/>
    </row>
    <row r="39" spans="1:24">
      <c r="A39" s="8"/>
      <c r="B39" s="10"/>
      <c r="C39" s="8"/>
      <c r="D39" s="8"/>
      <c r="E39" s="8"/>
      <c r="F39" s="8"/>
      <c r="G39" s="8"/>
      <c r="H39" s="8"/>
      <c r="I39" s="11"/>
      <c r="J39" s="11"/>
      <c r="K39" s="11"/>
      <c r="L39" s="11"/>
      <c r="M39" s="11"/>
      <c r="N39" s="11"/>
      <c r="O39" s="11"/>
      <c r="P39" s="11"/>
      <c r="Q39" s="16" t="str">
        <f t="shared" si="0"/>
        <v/>
      </c>
      <c r="R39" s="12" t="str">
        <f t="shared" si="1"/>
        <v/>
      </c>
      <c r="S39" s="12" t="str">
        <f t="shared" si="2"/>
        <v/>
      </c>
      <c r="T39" s="12" t="str">
        <f t="shared" si="3"/>
        <v/>
      </c>
      <c r="U39" s="8"/>
      <c r="V39" s="8"/>
      <c r="W39" s="10"/>
      <c r="X39" s="8"/>
    </row>
    <row r="40" spans="1:24">
      <c r="A40" s="8"/>
      <c r="B40" s="10"/>
      <c r="C40" s="8"/>
      <c r="D40" s="8"/>
      <c r="E40" s="8"/>
      <c r="F40" s="8"/>
      <c r="G40" s="8"/>
      <c r="H40" s="8"/>
      <c r="I40" s="11"/>
      <c r="J40" s="11"/>
      <c r="K40" s="11"/>
      <c r="L40" s="11"/>
      <c r="M40" s="11"/>
      <c r="N40" s="11"/>
      <c r="O40" s="11"/>
      <c r="P40" s="11"/>
      <c r="Q40" s="16" t="str">
        <f t="shared" si="0"/>
        <v/>
      </c>
      <c r="R40" s="12" t="str">
        <f t="shared" si="1"/>
        <v/>
      </c>
      <c r="S40" s="12" t="str">
        <f t="shared" si="2"/>
        <v/>
      </c>
      <c r="T40" s="12" t="str">
        <f t="shared" si="3"/>
        <v/>
      </c>
      <c r="U40" s="8"/>
      <c r="V40" s="8"/>
      <c r="W40" s="10"/>
      <c r="X40" s="8"/>
    </row>
    <row r="41" spans="1:24">
      <c r="A41" s="8"/>
      <c r="B41" s="10"/>
      <c r="C41" s="8"/>
      <c r="D41" s="8"/>
      <c r="E41" s="8"/>
      <c r="F41" s="8"/>
      <c r="G41" s="8"/>
      <c r="H41" s="8"/>
      <c r="I41" s="11"/>
      <c r="J41" s="11"/>
      <c r="K41" s="11"/>
      <c r="L41" s="11"/>
      <c r="M41" s="11"/>
      <c r="N41" s="11"/>
      <c r="O41" s="11"/>
      <c r="P41" s="11"/>
      <c r="Q41" s="16" t="str">
        <f t="shared" si="0"/>
        <v/>
      </c>
      <c r="R41" s="12" t="str">
        <f t="shared" si="1"/>
        <v/>
      </c>
      <c r="S41" s="12" t="str">
        <f t="shared" si="2"/>
        <v/>
      </c>
      <c r="T41" s="12" t="str">
        <f t="shared" si="3"/>
        <v/>
      </c>
      <c r="U41" s="8"/>
      <c r="V41" s="8"/>
      <c r="W41" s="10"/>
      <c r="X41" s="8"/>
    </row>
    <row r="42" spans="1:24">
      <c r="A42" s="8"/>
      <c r="B42" s="10"/>
      <c r="C42" s="8"/>
      <c r="D42" s="8"/>
      <c r="E42" s="8"/>
      <c r="F42" s="8"/>
      <c r="G42" s="8"/>
      <c r="H42" s="8"/>
      <c r="I42" s="11"/>
      <c r="J42" s="11"/>
      <c r="K42" s="11"/>
      <c r="L42" s="11"/>
      <c r="M42" s="11"/>
      <c r="N42" s="11"/>
      <c r="O42" s="11"/>
      <c r="P42" s="11"/>
      <c r="Q42" s="16" t="str">
        <f t="shared" si="0"/>
        <v/>
      </c>
      <c r="R42" s="12" t="str">
        <f t="shared" si="1"/>
        <v/>
      </c>
      <c r="S42" s="12" t="str">
        <f t="shared" si="2"/>
        <v/>
      </c>
      <c r="T42" s="12" t="str">
        <f t="shared" si="3"/>
        <v/>
      </c>
      <c r="U42" s="8"/>
      <c r="V42" s="8"/>
      <c r="W42" s="10"/>
      <c r="X42" s="8"/>
    </row>
    <row r="43" spans="1:24">
      <c r="A43" s="8"/>
      <c r="B43" s="10"/>
      <c r="C43" s="8"/>
      <c r="D43" s="8"/>
      <c r="E43" s="8"/>
      <c r="F43" s="8"/>
      <c r="G43" s="8"/>
      <c r="H43" s="8"/>
      <c r="I43" s="11"/>
      <c r="J43" s="11"/>
      <c r="K43" s="11"/>
      <c r="L43" s="11"/>
      <c r="M43" s="11"/>
      <c r="N43" s="11"/>
      <c r="O43" s="11"/>
      <c r="P43" s="11"/>
      <c r="Q43" s="16" t="str">
        <f t="shared" si="0"/>
        <v/>
      </c>
      <c r="R43" s="12" t="str">
        <f t="shared" si="1"/>
        <v/>
      </c>
      <c r="S43" s="12" t="str">
        <f t="shared" si="2"/>
        <v/>
      </c>
      <c r="T43" s="12" t="str">
        <f t="shared" si="3"/>
        <v/>
      </c>
      <c r="U43" s="8"/>
      <c r="V43" s="8"/>
      <c r="W43" s="10"/>
      <c r="X43" s="8"/>
    </row>
    <row r="44" spans="1:24">
      <c r="A44" s="8"/>
      <c r="B44" s="10"/>
      <c r="C44" s="8"/>
      <c r="D44" s="8"/>
      <c r="E44" s="8"/>
      <c r="F44" s="8"/>
      <c r="G44" s="8"/>
      <c r="H44" s="8"/>
      <c r="I44" s="11"/>
      <c r="J44" s="11"/>
      <c r="K44" s="11"/>
      <c r="L44" s="11"/>
      <c r="M44" s="11"/>
      <c r="N44" s="11"/>
      <c r="O44" s="11"/>
      <c r="P44" s="11"/>
      <c r="Q44" s="16" t="str">
        <f t="shared" si="0"/>
        <v/>
      </c>
      <c r="R44" s="12" t="str">
        <f t="shared" si="1"/>
        <v/>
      </c>
      <c r="S44" s="12" t="str">
        <f t="shared" si="2"/>
        <v/>
      </c>
      <c r="T44" s="12" t="str">
        <f t="shared" si="3"/>
        <v/>
      </c>
      <c r="U44" s="8"/>
      <c r="V44" s="8"/>
      <c r="W44" s="10"/>
      <c r="X44" s="8"/>
    </row>
    <row r="45" spans="1:24">
      <c r="A45" s="8"/>
      <c r="B45" s="10"/>
      <c r="C45" s="8"/>
      <c r="D45" s="8"/>
      <c r="E45" s="8"/>
      <c r="F45" s="8"/>
      <c r="G45" s="8"/>
      <c r="H45" s="8"/>
      <c r="I45" s="11"/>
      <c r="J45" s="11"/>
      <c r="K45" s="11"/>
      <c r="L45" s="11"/>
      <c r="M45" s="11"/>
      <c r="N45" s="11"/>
      <c r="O45" s="11"/>
      <c r="P45" s="11"/>
      <c r="Q45" s="16" t="str">
        <f t="shared" si="0"/>
        <v/>
      </c>
      <c r="R45" s="12" t="str">
        <f t="shared" si="1"/>
        <v/>
      </c>
      <c r="S45" s="12" t="str">
        <f t="shared" si="2"/>
        <v/>
      </c>
      <c r="T45" s="12" t="str">
        <f t="shared" si="3"/>
        <v/>
      </c>
      <c r="U45" s="8"/>
      <c r="V45" s="8"/>
      <c r="W45" s="10"/>
      <c r="X45" s="8"/>
    </row>
    <row r="46" spans="1:24">
      <c r="A46" s="8"/>
      <c r="B46" s="10"/>
      <c r="C46" s="8"/>
      <c r="D46" s="8"/>
      <c r="E46" s="8"/>
      <c r="F46" s="8"/>
      <c r="G46" s="8"/>
      <c r="H46" s="8"/>
      <c r="I46" s="11"/>
      <c r="J46" s="11"/>
      <c r="K46" s="11"/>
      <c r="L46" s="11"/>
      <c r="M46" s="11"/>
      <c r="N46" s="11"/>
      <c r="O46" s="11"/>
      <c r="P46" s="11"/>
      <c r="Q46" s="16" t="str">
        <f t="shared" si="0"/>
        <v/>
      </c>
      <c r="R46" s="12" t="str">
        <f t="shared" si="1"/>
        <v/>
      </c>
      <c r="S46" s="12" t="str">
        <f t="shared" si="2"/>
        <v/>
      </c>
      <c r="T46" s="12" t="str">
        <f t="shared" si="3"/>
        <v/>
      </c>
      <c r="U46" s="8"/>
      <c r="V46" s="8"/>
      <c r="W46" s="10"/>
      <c r="X46" s="8"/>
    </row>
    <row r="47" spans="1:24">
      <c r="A47" s="8"/>
      <c r="B47" s="10"/>
      <c r="C47" s="8"/>
      <c r="D47" s="8"/>
      <c r="E47" s="8"/>
      <c r="F47" s="8"/>
      <c r="G47" s="8"/>
      <c r="H47" s="8"/>
      <c r="I47" s="11"/>
      <c r="J47" s="11"/>
      <c r="K47" s="11"/>
      <c r="L47" s="11"/>
      <c r="M47" s="11"/>
      <c r="N47" s="11"/>
      <c r="O47" s="11"/>
      <c r="P47" s="11"/>
      <c r="Q47" s="16" t="str">
        <f t="shared" si="0"/>
        <v/>
      </c>
      <c r="R47" s="12" t="str">
        <f t="shared" si="1"/>
        <v/>
      </c>
      <c r="S47" s="12" t="str">
        <f t="shared" si="2"/>
        <v/>
      </c>
      <c r="T47" s="12" t="str">
        <f t="shared" si="3"/>
        <v/>
      </c>
      <c r="U47" s="8"/>
      <c r="V47" s="8"/>
      <c r="W47" s="10"/>
      <c r="X47" s="8"/>
    </row>
    <row r="48" spans="1:24">
      <c r="A48" s="8"/>
      <c r="B48" s="10"/>
      <c r="C48" s="8"/>
      <c r="D48" s="8"/>
      <c r="E48" s="8"/>
      <c r="F48" s="8"/>
      <c r="G48" s="8"/>
      <c r="H48" s="8"/>
      <c r="I48" s="11"/>
      <c r="J48" s="11"/>
      <c r="K48" s="11"/>
      <c r="L48" s="11"/>
      <c r="M48" s="11"/>
      <c r="N48" s="11"/>
      <c r="O48" s="11"/>
      <c r="P48" s="11"/>
      <c r="Q48" s="16" t="str">
        <f t="shared" si="0"/>
        <v/>
      </c>
      <c r="R48" s="12" t="str">
        <f t="shared" si="1"/>
        <v/>
      </c>
      <c r="S48" s="12" t="str">
        <f t="shared" si="2"/>
        <v/>
      </c>
      <c r="T48" s="12" t="str">
        <f t="shared" si="3"/>
        <v/>
      </c>
      <c r="U48" s="8"/>
      <c r="V48" s="8"/>
      <c r="W48" s="10"/>
      <c r="X48" s="8"/>
    </row>
    <row r="49" spans="1:24">
      <c r="A49" s="8"/>
      <c r="B49" s="10"/>
      <c r="C49" s="8"/>
      <c r="D49" s="8"/>
      <c r="E49" s="8"/>
      <c r="F49" s="8"/>
      <c r="G49" s="8"/>
      <c r="H49" s="8"/>
      <c r="I49" s="11"/>
      <c r="J49" s="11"/>
      <c r="K49" s="11"/>
      <c r="L49" s="11"/>
      <c r="M49" s="11"/>
      <c r="N49" s="11"/>
      <c r="O49" s="11"/>
      <c r="P49" s="11"/>
      <c r="Q49" s="16" t="str">
        <f t="shared" si="0"/>
        <v/>
      </c>
      <c r="R49" s="12" t="str">
        <f t="shared" si="1"/>
        <v/>
      </c>
      <c r="S49" s="12" t="str">
        <f t="shared" si="2"/>
        <v/>
      </c>
      <c r="T49" s="12" t="str">
        <f t="shared" si="3"/>
        <v/>
      </c>
      <c r="U49" s="8"/>
      <c r="V49" s="8"/>
      <c r="W49" s="10"/>
      <c r="X49" s="8"/>
    </row>
    <row r="50" spans="1:24">
      <c r="A50" s="8"/>
      <c r="B50" s="10"/>
      <c r="C50" s="8"/>
      <c r="D50" s="8"/>
      <c r="E50" s="8"/>
      <c r="F50" s="8"/>
      <c r="G50" s="8"/>
      <c r="H50" s="8"/>
      <c r="I50" s="11"/>
      <c r="J50" s="11"/>
      <c r="K50" s="11"/>
      <c r="L50" s="11"/>
      <c r="M50" s="11"/>
      <c r="N50" s="11"/>
      <c r="O50" s="11"/>
      <c r="P50" s="11"/>
      <c r="Q50" s="16" t="str">
        <f t="shared" si="0"/>
        <v/>
      </c>
      <c r="R50" s="12" t="str">
        <f t="shared" si="1"/>
        <v/>
      </c>
      <c r="S50" s="12" t="str">
        <f t="shared" si="2"/>
        <v/>
      </c>
      <c r="T50" s="12" t="str">
        <f t="shared" si="3"/>
        <v/>
      </c>
      <c r="U50" s="8"/>
      <c r="V50" s="8"/>
      <c r="W50" s="10"/>
      <c r="X50" s="8"/>
    </row>
    <row r="51" spans="1:24">
      <c r="A51" s="8"/>
      <c r="B51" s="10"/>
      <c r="C51" s="8"/>
      <c r="D51" s="8"/>
      <c r="E51" s="8"/>
      <c r="F51" s="8"/>
      <c r="G51" s="8"/>
      <c r="H51" s="8"/>
      <c r="I51" s="11"/>
      <c r="J51" s="11"/>
      <c r="K51" s="11"/>
      <c r="L51" s="11"/>
      <c r="M51" s="11"/>
      <c r="N51" s="11"/>
      <c r="O51" s="11"/>
      <c r="P51" s="11"/>
      <c r="Q51" s="16" t="str">
        <f t="shared" si="0"/>
        <v/>
      </c>
      <c r="R51" s="12" t="str">
        <f t="shared" si="1"/>
        <v/>
      </c>
      <c r="S51" s="12" t="str">
        <f t="shared" si="2"/>
        <v/>
      </c>
      <c r="T51" s="12" t="str">
        <f t="shared" si="3"/>
        <v/>
      </c>
      <c r="U51" s="8"/>
      <c r="V51" s="8"/>
      <c r="W51" s="10"/>
      <c r="X51" s="8"/>
    </row>
    <row r="52" spans="1:24">
      <c r="A52" s="8"/>
      <c r="B52" s="10"/>
      <c r="C52" s="8"/>
      <c r="D52" s="8"/>
      <c r="E52" s="8"/>
      <c r="F52" s="8"/>
      <c r="G52" s="8"/>
      <c r="H52" s="8"/>
      <c r="I52" s="11"/>
      <c r="J52" s="11"/>
      <c r="K52" s="11"/>
      <c r="L52" s="11"/>
      <c r="M52" s="11"/>
      <c r="N52" s="11"/>
      <c r="O52" s="11"/>
      <c r="P52" s="11"/>
      <c r="Q52" s="16" t="str">
        <f t="shared" si="0"/>
        <v/>
      </c>
      <c r="R52" s="12" t="str">
        <f t="shared" si="1"/>
        <v/>
      </c>
      <c r="S52" s="12" t="str">
        <f t="shared" si="2"/>
        <v/>
      </c>
      <c r="T52" s="12" t="str">
        <f t="shared" si="3"/>
        <v/>
      </c>
      <c r="U52" s="8"/>
      <c r="V52" s="8"/>
      <c r="W52" s="10"/>
      <c r="X52" s="8"/>
    </row>
    <row r="53" spans="1:24">
      <c r="A53" s="8"/>
      <c r="B53" s="10"/>
      <c r="C53" s="8"/>
      <c r="D53" s="8"/>
      <c r="E53" s="8"/>
      <c r="F53" s="8"/>
      <c r="G53" s="8"/>
      <c r="H53" s="8"/>
      <c r="I53" s="11"/>
      <c r="J53" s="11"/>
      <c r="K53" s="11"/>
      <c r="L53" s="11"/>
      <c r="M53" s="11"/>
      <c r="N53" s="11"/>
      <c r="O53" s="11"/>
      <c r="P53" s="11"/>
      <c r="Q53" s="16" t="str">
        <f t="shared" si="0"/>
        <v/>
      </c>
      <c r="R53" s="12" t="str">
        <f t="shared" si="1"/>
        <v/>
      </c>
      <c r="S53" s="12" t="str">
        <f t="shared" si="2"/>
        <v/>
      </c>
      <c r="T53" s="12" t="str">
        <f t="shared" si="3"/>
        <v/>
      </c>
      <c r="U53" s="8"/>
      <c r="V53" s="8"/>
      <c r="W53" s="10"/>
      <c r="X53" s="8"/>
    </row>
    <row r="54" spans="1:24">
      <c r="A54" s="8"/>
      <c r="B54" s="10"/>
      <c r="C54" s="8"/>
      <c r="D54" s="8"/>
      <c r="E54" s="8"/>
      <c r="F54" s="8"/>
      <c r="G54" s="8"/>
      <c r="H54" s="8"/>
      <c r="I54" s="11"/>
      <c r="J54" s="11"/>
      <c r="K54" s="11"/>
      <c r="L54" s="11"/>
      <c r="M54" s="11"/>
      <c r="N54" s="11"/>
      <c r="O54" s="11"/>
      <c r="P54" s="11"/>
      <c r="Q54" s="16" t="str">
        <f t="shared" si="0"/>
        <v/>
      </c>
      <c r="R54" s="12" t="str">
        <f t="shared" si="1"/>
        <v/>
      </c>
      <c r="S54" s="12" t="str">
        <f t="shared" si="2"/>
        <v/>
      </c>
      <c r="T54" s="12" t="str">
        <f t="shared" si="3"/>
        <v/>
      </c>
      <c r="U54" s="8"/>
      <c r="V54" s="8"/>
      <c r="W54" s="10"/>
      <c r="X54" s="8"/>
    </row>
    <row r="55" spans="1:24">
      <c r="A55" s="8"/>
      <c r="B55" s="10"/>
      <c r="C55" s="8"/>
      <c r="D55" s="8"/>
      <c r="E55" s="8"/>
      <c r="F55" s="8"/>
      <c r="G55" s="8"/>
      <c r="H55" s="8"/>
      <c r="I55" s="11"/>
      <c r="J55" s="11"/>
      <c r="K55" s="11"/>
      <c r="L55" s="11"/>
      <c r="M55" s="11"/>
      <c r="N55" s="11"/>
      <c r="O55" s="11"/>
      <c r="P55" s="11"/>
      <c r="Q55" s="16" t="str">
        <f t="shared" si="0"/>
        <v/>
      </c>
      <c r="R55" s="12" t="str">
        <f t="shared" si="1"/>
        <v/>
      </c>
      <c r="S55" s="12" t="str">
        <f t="shared" si="2"/>
        <v/>
      </c>
      <c r="T55" s="12" t="str">
        <f t="shared" si="3"/>
        <v/>
      </c>
      <c r="U55" s="8"/>
      <c r="V55" s="8"/>
      <c r="W55" s="10"/>
      <c r="X55" s="8"/>
    </row>
    <row r="56" spans="1:24">
      <c r="A56" s="8"/>
      <c r="B56" s="10"/>
      <c r="C56" s="8"/>
      <c r="D56" s="8"/>
      <c r="E56" s="8"/>
      <c r="F56" s="8"/>
      <c r="G56" s="8"/>
      <c r="H56" s="8"/>
      <c r="I56" s="11"/>
      <c r="J56" s="11"/>
      <c r="K56" s="11"/>
      <c r="L56" s="11"/>
      <c r="M56" s="11"/>
      <c r="N56" s="11"/>
      <c r="O56" s="11"/>
      <c r="P56" s="11"/>
      <c r="Q56" s="16" t="str">
        <f t="shared" si="0"/>
        <v/>
      </c>
      <c r="R56" s="12" t="str">
        <f t="shared" si="1"/>
        <v/>
      </c>
      <c r="S56" s="12" t="str">
        <f t="shared" si="2"/>
        <v/>
      </c>
      <c r="T56" s="12" t="str">
        <f t="shared" si="3"/>
        <v/>
      </c>
      <c r="U56" s="8"/>
      <c r="V56" s="8"/>
      <c r="W56" s="10"/>
      <c r="X56" s="8"/>
    </row>
    <row r="57" spans="1:24">
      <c r="A57" s="8"/>
      <c r="B57" s="10"/>
      <c r="C57" s="8"/>
      <c r="D57" s="8"/>
      <c r="E57" s="8"/>
      <c r="F57" s="8"/>
      <c r="G57" s="8"/>
      <c r="H57" s="8"/>
      <c r="I57" s="11"/>
      <c r="J57" s="11"/>
      <c r="K57" s="11"/>
      <c r="L57" s="11"/>
      <c r="M57" s="11"/>
      <c r="N57" s="11"/>
      <c r="O57" s="11"/>
      <c r="P57" s="11"/>
      <c r="Q57" s="16" t="str">
        <f t="shared" si="0"/>
        <v/>
      </c>
      <c r="R57" s="12" t="str">
        <f t="shared" si="1"/>
        <v/>
      </c>
      <c r="S57" s="12" t="str">
        <f t="shared" si="2"/>
        <v/>
      </c>
      <c r="T57" s="12" t="str">
        <f t="shared" si="3"/>
        <v/>
      </c>
      <c r="U57" s="8"/>
      <c r="V57" s="8"/>
      <c r="W57" s="10"/>
      <c r="X57" s="8"/>
    </row>
    <row r="58" spans="1:24">
      <c r="A58" s="8"/>
      <c r="B58" s="10"/>
      <c r="C58" s="8"/>
      <c r="D58" s="8"/>
      <c r="E58" s="8"/>
      <c r="F58" s="8"/>
      <c r="G58" s="8"/>
      <c r="H58" s="8"/>
      <c r="I58" s="11"/>
      <c r="J58" s="11"/>
      <c r="K58" s="11"/>
      <c r="L58" s="11"/>
      <c r="M58" s="11"/>
      <c r="N58" s="11"/>
      <c r="O58" s="11"/>
      <c r="P58" s="11"/>
      <c r="Q58" s="16" t="str">
        <f t="shared" si="0"/>
        <v/>
      </c>
      <c r="R58" s="12" t="str">
        <f t="shared" si="1"/>
        <v/>
      </c>
      <c r="S58" s="12" t="str">
        <f t="shared" si="2"/>
        <v/>
      </c>
      <c r="T58" s="12" t="str">
        <f t="shared" si="3"/>
        <v/>
      </c>
      <c r="U58" s="8"/>
      <c r="V58" s="8"/>
      <c r="W58" s="10"/>
      <c r="X58" s="8"/>
    </row>
    <row r="59" spans="1:24">
      <c r="A59" s="8"/>
      <c r="B59" s="10"/>
      <c r="C59" s="8"/>
      <c r="D59" s="8"/>
      <c r="E59" s="8"/>
      <c r="F59" s="8"/>
      <c r="G59" s="8"/>
      <c r="H59" s="8"/>
      <c r="I59" s="11"/>
      <c r="J59" s="11"/>
      <c r="K59" s="11"/>
      <c r="L59" s="11"/>
      <c r="M59" s="11"/>
      <c r="N59" s="11"/>
      <c r="O59" s="11"/>
      <c r="P59" s="11"/>
      <c r="Q59" s="16" t="str">
        <f t="shared" si="0"/>
        <v/>
      </c>
      <c r="R59" s="12" t="str">
        <f t="shared" si="1"/>
        <v/>
      </c>
      <c r="S59" s="12" t="str">
        <f t="shared" si="2"/>
        <v/>
      </c>
      <c r="T59" s="12" t="str">
        <f t="shared" si="3"/>
        <v/>
      </c>
      <c r="U59" s="8"/>
      <c r="V59" s="8"/>
      <c r="W59" s="10"/>
      <c r="X59" s="8"/>
    </row>
    <row r="60" spans="1:24">
      <c r="A60" s="8"/>
      <c r="B60" s="10"/>
      <c r="C60" s="8"/>
      <c r="D60" s="8"/>
      <c r="E60" s="8"/>
      <c r="F60" s="8"/>
      <c r="G60" s="8"/>
      <c r="H60" s="8"/>
      <c r="I60" s="11"/>
      <c r="J60" s="11"/>
      <c r="K60" s="11"/>
      <c r="L60" s="11"/>
      <c r="M60" s="11"/>
      <c r="N60" s="11"/>
      <c r="O60" s="11"/>
      <c r="P60" s="11"/>
      <c r="Q60" s="16" t="str">
        <f t="shared" si="0"/>
        <v/>
      </c>
      <c r="R60" s="12" t="str">
        <f t="shared" si="1"/>
        <v/>
      </c>
      <c r="S60" s="12" t="str">
        <f t="shared" si="2"/>
        <v/>
      </c>
      <c r="T60" s="12" t="str">
        <f t="shared" si="3"/>
        <v/>
      </c>
      <c r="U60" s="8"/>
      <c r="V60" s="8"/>
      <c r="W60" s="10"/>
      <c r="X60" s="8"/>
    </row>
    <row r="61" spans="1:24">
      <c r="A61" s="8"/>
      <c r="B61" s="10"/>
      <c r="C61" s="8"/>
      <c r="D61" s="8"/>
      <c r="E61" s="8"/>
      <c r="F61" s="8"/>
      <c r="G61" s="8"/>
      <c r="H61" s="8"/>
      <c r="I61" s="11"/>
      <c r="J61" s="11"/>
      <c r="K61" s="11"/>
      <c r="L61" s="11"/>
      <c r="M61" s="11"/>
      <c r="N61" s="11"/>
      <c r="O61" s="11"/>
      <c r="P61" s="11"/>
      <c r="Q61" s="16" t="str">
        <f t="shared" si="0"/>
        <v/>
      </c>
      <c r="R61" s="12" t="str">
        <f t="shared" si="1"/>
        <v/>
      </c>
      <c r="S61" s="12" t="str">
        <f t="shared" si="2"/>
        <v/>
      </c>
      <c r="T61" s="12" t="str">
        <f t="shared" si="3"/>
        <v/>
      </c>
      <c r="U61" s="8"/>
      <c r="V61" s="8"/>
      <c r="W61" s="10"/>
      <c r="X61" s="8"/>
    </row>
    <row r="62" spans="1:24">
      <c r="A62" s="8"/>
      <c r="B62" s="10"/>
      <c r="C62" s="8"/>
      <c r="D62" s="8"/>
      <c r="E62" s="8"/>
      <c r="F62" s="8"/>
      <c r="G62" s="8"/>
      <c r="H62" s="8"/>
      <c r="I62" s="11"/>
      <c r="J62" s="11"/>
      <c r="K62" s="11"/>
      <c r="L62" s="11"/>
      <c r="M62" s="11"/>
      <c r="N62" s="11"/>
      <c r="O62" s="11"/>
      <c r="P62" s="11"/>
      <c r="Q62" s="16" t="str">
        <f t="shared" si="0"/>
        <v/>
      </c>
      <c r="R62" s="12" t="str">
        <f t="shared" si="1"/>
        <v/>
      </c>
      <c r="S62" s="12" t="str">
        <f t="shared" si="2"/>
        <v/>
      </c>
      <c r="T62" s="12" t="str">
        <f t="shared" si="3"/>
        <v/>
      </c>
      <c r="U62" s="8"/>
      <c r="V62" s="8"/>
      <c r="W62" s="10"/>
      <c r="X62" s="8"/>
    </row>
    <row r="63" spans="1:24">
      <c r="A63" s="8"/>
      <c r="B63" s="10"/>
      <c r="C63" s="8"/>
      <c r="D63" s="8"/>
      <c r="E63" s="8"/>
      <c r="F63" s="8"/>
      <c r="G63" s="8"/>
      <c r="H63" s="8"/>
      <c r="I63" s="11"/>
      <c r="J63" s="11"/>
      <c r="K63" s="11"/>
      <c r="L63" s="11"/>
      <c r="M63" s="11"/>
      <c r="N63" s="11"/>
      <c r="O63" s="11"/>
      <c r="P63" s="11"/>
      <c r="Q63" s="16" t="str">
        <f t="shared" si="0"/>
        <v/>
      </c>
      <c r="R63" s="12" t="str">
        <f t="shared" si="1"/>
        <v/>
      </c>
      <c r="S63" s="12" t="str">
        <f t="shared" si="2"/>
        <v/>
      </c>
      <c r="T63" s="12" t="str">
        <f t="shared" si="3"/>
        <v/>
      </c>
      <c r="U63" s="8"/>
      <c r="V63" s="8"/>
      <c r="W63" s="10"/>
      <c r="X63" s="8"/>
    </row>
    <row r="64" spans="1:24">
      <c r="A64" s="8"/>
      <c r="B64" s="10"/>
      <c r="C64" s="8"/>
      <c r="D64" s="8"/>
      <c r="E64" s="8"/>
      <c r="F64" s="8"/>
      <c r="G64" s="8"/>
      <c r="H64" s="8"/>
      <c r="I64" s="11"/>
      <c r="J64" s="11"/>
      <c r="K64" s="11"/>
      <c r="L64" s="11"/>
      <c r="M64" s="11"/>
      <c r="N64" s="11"/>
      <c r="O64" s="11"/>
      <c r="P64" s="11"/>
      <c r="Q64" s="16" t="str">
        <f t="shared" si="0"/>
        <v/>
      </c>
      <c r="R64" s="12" t="str">
        <f t="shared" si="1"/>
        <v/>
      </c>
      <c r="S64" s="12" t="str">
        <f t="shared" si="2"/>
        <v/>
      </c>
      <c r="T64" s="12" t="str">
        <f t="shared" si="3"/>
        <v/>
      </c>
      <c r="U64" s="8"/>
      <c r="V64" s="8"/>
      <c r="W64" s="10"/>
      <c r="X64" s="8"/>
    </row>
    <row r="65" spans="1:24">
      <c r="A65" s="8"/>
      <c r="B65" s="10"/>
      <c r="C65" s="8"/>
      <c r="D65" s="8"/>
      <c r="E65" s="8"/>
      <c r="F65" s="8"/>
      <c r="G65" s="8"/>
      <c r="H65" s="8"/>
      <c r="I65" s="11"/>
      <c r="J65" s="11"/>
      <c r="K65" s="11"/>
      <c r="L65" s="11"/>
      <c r="M65" s="11"/>
      <c r="N65" s="11"/>
      <c r="O65" s="11"/>
      <c r="P65" s="11"/>
      <c r="Q65" s="16" t="str">
        <f t="shared" si="0"/>
        <v/>
      </c>
      <c r="R65" s="12" t="str">
        <f t="shared" si="1"/>
        <v/>
      </c>
      <c r="S65" s="12" t="str">
        <f t="shared" si="2"/>
        <v/>
      </c>
      <c r="T65" s="12" t="str">
        <f t="shared" si="3"/>
        <v/>
      </c>
      <c r="U65" s="8"/>
      <c r="V65" s="8"/>
      <c r="W65" s="10"/>
      <c r="X65" s="8"/>
    </row>
    <row r="66" spans="1:24">
      <c r="A66" s="8"/>
      <c r="B66" s="10"/>
      <c r="C66" s="8"/>
      <c r="D66" s="8"/>
      <c r="E66" s="8"/>
      <c r="F66" s="8"/>
      <c r="G66" s="8"/>
      <c r="H66" s="8"/>
      <c r="I66" s="11"/>
      <c r="J66" s="11"/>
      <c r="K66" s="11"/>
      <c r="L66" s="11"/>
      <c r="M66" s="11"/>
      <c r="N66" s="11"/>
      <c r="O66" s="11"/>
      <c r="P66" s="11"/>
      <c r="Q66" s="16" t="str">
        <f t="shared" si="0"/>
        <v/>
      </c>
      <c r="R66" s="12" t="str">
        <f t="shared" si="1"/>
        <v/>
      </c>
      <c r="S66" s="12" t="str">
        <f t="shared" si="2"/>
        <v/>
      </c>
      <c r="T66" s="12" t="str">
        <f t="shared" si="3"/>
        <v/>
      </c>
      <c r="U66" s="8"/>
      <c r="V66" s="8"/>
      <c r="W66" s="10"/>
      <c r="X66" s="8"/>
    </row>
    <row r="67" spans="1:24">
      <c r="A67" s="8"/>
      <c r="B67" s="10"/>
      <c r="C67" s="8"/>
      <c r="D67" s="8"/>
      <c r="E67" s="8"/>
      <c r="F67" s="8"/>
      <c r="G67" s="8"/>
      <c r="H67" s="8"/>
      <c r="I67" s="11"/>
      <c r="J67" s="11"/>
      <c r="K67" s="11"/>
      <c r="L67" s="11"/>
      <c r="M67" s="11"/>
      <c r="N67" s="11"/>
      <c r="O67" s="11"/>
      <c r="P67" s="11"/>
      <c r="Q67" s="16" t="str">
        <f t="shared" si="0"/>
        <v/>
      </c>
      <c r="R67" s="12" t="str">
        <f t="shared" si="1"/>
        <v/>
      </c>
      <c r="S67" s="12" t="str">
        <f t="shared" si="2"/>
        <v/>
      </c>
      <c r="T67" s="12" t="str">
        <f t="shared" si="3"/>
        <v/>
      </c>
      <c r="U67" s="8"/>
      <c r="V67" s="8"/>
      <c r="W67" s="10"/>
      <c r="X67" s="8"/>
    </row>
    <row r="68" spans="1:24">
      <c r="A68" s="8"/>
      <c r="B68" s="10"/>
      <c r="C68" s="8"/>
      <c r="D68" s="8"/>
      <c r="E68" s="8"/>
      <c r="F68" s="8"/>
      <c r="G68" s="8"/>
      <c r="H68" s="8"/>
      <c r="I68" s="11"/>
      <c r="J68" s="11"/>
      <c r="K68" s="11"/>
      <c r="L68" s="11"/>
      <c r="M68" s="11"/>
      <c r="N68" s="11"/>
      <c r="O68" s="11"/>
      <c r="P68" s="11"/>
      <c r="Q68" s="16" t="str">
        <f t="shared" si="0"/>
        <v/>
      </c>
      <c r="R68" s="12" t="str">
        <f t="shared" si="1"/>
        <v/>
      </c>
      <c r="S68" s="12" t="str">
        <f t="shared" si="2"/>
        <v/>
      </c>
      <c r="T68" s="12" t="str">
        <f t="shared" si="3"/>
        <v/>
      </c>
      <c r="U68" s="8"/>
      <c r="V68" s="8"/>
      <c r="W68" s="10"/>
      <c r="X68" s="8"/>
    </row>
    <row r="69" spans="1:24">
      <c r="A69" s="8"/>
      <c r="B69" s="10"/>
      <c r="C69" s="8"/>
      <c r="D69" s="8"/>
      <c r="E69" s="8"/>
      <c r="F69" s="8"/>
      <c r="G69" s="8"/>
      <c r="H69" s="8"/>
      <c r="I69" s="11"/>
      <c r="J69" s="11"/>
      <c r="K69" s="11"/>
      <c r="L69" s="11"/>
      <c r="M69" s="11"/>
      <c r="N69" s="11"/>
      <c r="O69" s="11"/>
      <c r="P69" s="11"/>
      <c r="Q69" s="16" t="str">
        <f t="shared" ref="Q69:Q132" si="4">IF(OR(A69="",J69=0),"",K69/J69)</f>
        <v/>
      </c>
      <c r="R69" s="12" t="str">
        <f t="shared" ref="R69:R132" si="5">IF(A69="","",L69-I69)</f>
        <v/>
      </c>
      <c r="S69" s="12" t="str">
        <f t="shared" ref="S69:S132" si="6">IF(A69="","",MAX(0,I69-L69))</f>
        <v/>
      </c>
      <c r="T69" s="12" t="str">
        <f t="shared" ref="T69:T132" si="7">IF(A69="","",MAX(0,L69-I69))</f>
        <v/>
      </c>
      <c r="U69" s="8"/>
      <c r="V69" s="8"/>
      <c r="W69" s="10"/>
      <c r="X69" s="8"/>
    </row>
    <row r="70" spans="1:24">
      <c r="A70" s="8"/>
      <c r="B70" s="10"/>
      <c r="C70" s="8"/>
      <c r="D70" s="8"/>
      <c r="E70" s="8"/>
      <c r="F70" s="8"/>
      <c r="G70" s="8"/>
      <c r="H70" s="8"/>
      <c r="I70" s="11"/>
      <c r="J70" s="11"/>
      <c r="K70" s="11"/>
      <c r="L70" s="11"/>
      <c r="M70" s="11"/>
      <c r="N70" s="11"/>
      <c r="O70" s="11"/>
      <c r="P70" s="11"/>
      <c r="Q70" s="16" t="str">
        <f t="shared" si="4"/>
        <v/>
      </c>
      <c r="R70" s="12" t="str">
        <f t="shared" si="5"/>
        <v/>
      </c>
      <c r="S70" s="12" t="str">
        <f t="shared" si="6"/>
        <v/>
      </c>
      <c r="T70" s="12" t="str">
        <f t="shared" si="7"/>
        <v/>
      </c>
      <c r="U70" s="8"/>
      <c r="V70" s="8"/>
      <c r="W70" s="10"/>
      <c r="X70" s="8"/>
    </row>
    <row r="71" spans="1:24">
      <c r="A71" s="8"/>
      <c r="B71" s="10"/>
      <c r="C71" s="8"/>
      <c r="D71" s="8"/>
      <c r="E71" s="8"/>
      <c r="F71" s="8"/>
      <c r="G71" s="8"/>
      <c r="H71" s="8"/>
      <c r="I71" s="11"/>
      <c r="J71" s="11"/>
      <c r="K71" s="11"/>
      <c r="L71" s="11"/>
      <c r="M71" s="11"/>
      <c r="N71" s="11"/>
      <c r="O71" s="11"/>
      <c r="P71" s="11"/>
      <c r="Q71" s="16" t="str">
        <f t="shared" si="4"/>
        <v/>
      </c>
      <c r="R71" s="12" t="str">
        <f t="shared" si="5"/>
        <v/>
      </c>
      <c r="S71" s="12" t="str">
        <f t="shared" si="6"/>
        <v/>
      </c>
      <c r="T71" s="12" t="str">
        <f t="shared" si="7"/>
        <v/>
      </c>
      <c r="U71" s="8"/>
      <c r="V71" s="8"/>
      <c r="W71" s="10"/>
      <c r="X71" s="8"/>
    </row>
    <row r="72" spans="1:24">
      <c r="A72" s="8"/>
      <c r="B72" s="10"/>
      <c r="C72" s="8"/>
      <c r="D72" s="8"/>
      <c r="E72" s="8"/>
      <c r="F72" s="8"/>
      <c r="G72" s="8"/>
      <c r="H72" s="8"/>
      <c r="I72" s="11"/>
      <c r="J72" s="11"/>
      <c r="K72" s="11"/>
      <c r="L72" s="11"/>
      <c r="M72" s="11"/>
      <c r="N72" s="11"/>
      <c r="O72" s="11"/>
      <c r="P72" s="11"/>
      <c r="Q72" s="16" t="str">
        <f t="shared" si="4"/>
        <v/>
      </c>
      <c r="R72" s="12" t="str">
        <f t="shared" si="5"/>
        <v/>
      </c>
      <c r="S72" s="12" t="str">
        <f t="shared" si="6"/>
        <v/>
      </c>
      <c r="T72" s="12" t="str">
        <f t="shared" si="7"/>
        <v/>
      </c>
      <c r="U72" s="8"/>
      <c r="V72" s="8"/>
      <c r="W72" s="10"/>
      <c r="X72" s="8"/>
    </row>
    <row r="73" spans="1:24">
      <c r="A73" s="8"/>
      <c r="B73" s="10"/>
      <c r="C73" s="8"/>
      <c r="D73" s="8"/>
      <c r="E73" s="8"/>
      <c r="F73" s="8"/>
      <c r="G73" s="8"/>
      <c r="H73" s="8"/>
      <c r="I73" s="11"/>
      <c r="J73" s="11"/>
      <c r="K73" s="11"/>
      <c r="L73" s="11"/>
      <c r="M73" s="11"/>
      <c r="N73" s="11"/>
      <c r="O73" s="11"/>
      <c r="P73" s="11"/>
      <c r="Q73" s="16" t="str">
        <f t="shared" si="4"/>
        <v/>
      </c>
      <c r="R73" s="12" t="str">
        <f t="shared" si="5"/>
        <v/>
      </c>
      <c r="S73" s="12" t="str">
        <f t="shared" si="6"/>
        <v/>
      </c>
      <c r="T73" s="12" t="str">
        <f t="shared" si="7"/>
        <v/>
      </c>
      <c r="U73" s="8"/>
      <c r="V73" s="8"/>
      <c r="W73" s="10"/>
      <c r="X73" s="8"/>
    </row>
    <row r="74" spans="1:24">
      <c r="A74" s="8"/>
      <c r="B74" s="10"/>
      <c r="C74" s="8"/>
      <c r="D74" s="8"/>
      <c r="E74" s="8"/>
      <c r="F74" s="8"/>
      <c r="G74" s="8"/>
      <c r="H74" s="8"/>
      <c r="I74" s="11"/>
      <c r="J74" s="11"/>
      <c r="K74" s="11"/>
      <c r="L74" s="11"/>
      <c r="M74" s="11"/>
      <c r="N74" s="11"/>
      <c r="O74" s="11"/>
      <c r="P74" s="11"/>
      <c r="Q74" s="16" t="str">
        <f t="shared" si="4"/>
        <v/>
      </c>
      <c r="R74" s="12" t="str">
        <f t="shared" si="5"/>
        <v/>
      </c>
      <c r="S74" s="12" t="str">
        <f t="shared" si="6"/>
        <v/>
      </c>
      <c r="T74" s="12" t="str">
        <f t="shared" si="7"/>
        <v/>
      </c>
      <c r="U74" s="8"/>
      <c r="V74" s="8"/>
      <c r="W74" s="10"/>
      <c r="X74" s="8"/>
    </row>
    <row r="75" spans="1:24">
      <c r="A75" s="8"/>
      <c r="B75" s="10"/>
      <c r="C75" s="8"/>
      <c r="D75" s="8"/>
      <c r="E75" s="8"/>
      <c r="F75" s="8"/>
      <c r="G75" s="8"/>
      <c r="H75" s="8"/>
      <c r="I75" s="11"/>
      <c r="J75" s="11"/>
      <c r="K75" s="11"/>
      <c r="L75" s="11"/>
      <c r="M75" s="11"/>
      <c r="N75" s="11"/>
      <c r="O75" s="11"/>
      <c r="P75" s="11"/>
      <c r="Q75" s="16" t="str">
        <f t="shared" si="4"/>
        <v/>
      </c>
      <c r="R75" s="12" t="str">
        <f t="shared" si="5"/>
        <v/>
      </c>
      <c r="S75" s="12" t="str">
        <f t="shared" si="6"/>
        <v/>
      </c>
      <c r="T75" s="12" t="str">
        <f t="shared" si="7"/>
        <v/>
      </c>
      <c r="U75" s="8"/>
      <c r="V75" s="8"/>
      <c r="W75" s="10"/>
      <c r="X75" s="8"/>
    </row>
    <row r="76" spans="1:24">
      <c r="A76" s="8"/>
      <c r="B76" s="10"/>
      <c r="C76" s="8"/>
      <c r="D76" s="8"/>
      <c r="E76" s="8"/>
      <c r="F76" s="8"/>
      <c r="G76" s="8"/>
      <c r="H76" s="8"/>
      <c r="I76" s="11"/>
      <c r="J76" s="11"/>
      <c r="K76" s="11"/>
      <c r="L76" s="11"/>
      <c r="M76" s="11"/>
      <c r="N76" s="11"/>
      <c r="O76" s="11"/>
      <c r="P76" s="11"/>
      <c r="Q76" s="16" t="str">
        <f t="shared" si="4"/>
        <v/>
      </c>
      <c r="R76" s="12" t="str">
        <f t="shared" si="5"/>
        <v/>
      </c>
      <c r="S76" s="12" t="str">
        <f t="shared" si="6"/>
        <v/>
      </c>
      <c r="T76" s="12" t="str">
        <f t="shared" si="7"/>
        <v/>
      </c>
      <c r="U76" s="8"/>
      <c r="V76" s="8"/>
      <c r="W76" s="10"/>
      <c r="X76" s="8"/>
    </row>
    <row r="77" spans="1:24">
      <c r="A77" s="8"/>
      <c r="B77" s="10"/>
      <c r="C77" s="8"/>
      <c r="D77" s="8"/>
      <c r="E77" s="8"/>
      <c r="F77" s="8"/>
      <c r="G77" s="8"/>
      <c r="H77" s="8"/>
      <c r="I77" s="11"/>
      <c r="J77" s="11"/>
      <c r="K77" s="11"/>
      <c r="L77" s="11"/>
      <c r="M77" s="11"/>
      <c r="N77" s="11"/>
      <c r="O77" s="11"/>
      <c r="P77" s="11"/>
      <c r="Q77" s="16" t="str">
        <f t="shared" si="4"/>
        <v/>
      </c>
      <c r="R77" s="12" t="str">
        <f t="shared" si="5"/>
        <v/>
      </c>
      <c r="S77" s="12" t="str">
        <f t="shared" si="6"/>
        <v/>
      </c>
      <c r="T77" s="12" t="str">
        <f t="shared" si="7"/>
        <v/>
      </c>
      <c r="U77" s="8"/>
      <c r="V77" s="8"/>
      <c r="W77" s="10"/>
      <c r="X77" s="8"/>
    </row>
    <row r="78" spans="1:24">
      <c r="A78" s="8"/>
      <c r="B78" s="10"/>
      <c r="C78" s="8"/>
      <c r="D78" s="8"/>
      <c r="E78" s="8"/>
      <c r="F78" s="8"/>
      <c r="G78" s="8"/>
      <c r="H78" s="8"/>
      <c r="I78" s="11"/>
      <c r="J78" s="11"/>
      <c r="K78" s="11"/>
      <c r="L78" s="11"/>
      <c r="M78" s="11"/>
      <c r="N78" s="11"/>
      <c r="O78" s="11"/>
      <c r="P78" s="11"/>
      <c r="Q78" s="16" t="str">
        <f t="shared" si="4"/>
        <v/>
      </c>
      <c r="R78" s="12" t="str">
        <f t="shared" si="5"/>
        <v/>
      </c>
      <c r="S78" s="12" t="str">
        <f t="shared" si="6"/>
        <v/>
      </c>
      <c r="T78" s="12" t="str">
        <f t="shared" si="7"/>
        <v/>
      </c>
      <c r="U78" s="8"/>
      <c r="V78" s="8"/>
      <c r="W78" s="10"/>
      <c r="X78" s="8"/>
    </row>
    <row r="79" spans="1:24">
      <c r="A79" s="8"/>
      <c r="B79" s="10"/>
      <c r="C79" s="8"/>
      <c r="D79" s="8"/>
      <c r="E79" s="8"/>
      <c r="F79" s="8"/>
      <c r="G79" s="8"/>
      <c r="H79" s="8"/>
      <c r="I79" s="11"/>
      <c r="J79" s="11"/>
      <c r="K79" s="11"/>
      <c r="L79" s="11"/>
      <c r="M79" s="11"/>
      <c r="N79" s="11"/>
      <c r="O79" s="11"/>
      <c r="P79" s="11"/>
      <c r="Q79" s="16" t="str">
        <f t="shared" si="4"/>
        <v/>
      </c>
      <c r="R79" s="12" t="str">
        <f t="shared" si="5"/>
        <v/>
      </c>
      <c r="S79" s="12" t="str">
        <f t="shared" si="6"/>
        <v/>
      </c>
      <c r="T79" s="12" t="str">
        <f t="shared" si="7"/>
        <v/>
      </c>
      <c r="U79" s="8"/>
      <c r="V79" s="8"/>
      <c r="W79" s="10"/>
      <c r="X79" s="8"/>
    </row>
    <row r="80" spans="1:24">
      <c r="A80" s="8"/>
      <c r="B80" s="10"/>
      <c r="C80" s="8"/>
      <c r="D80" s="8"/>
      <c r="E80" s="8"/>
      <c r="F80" s="8"/>
      <c r="G80" s="8"/>
      <c r="H80" s="8"/>
      <c r="I80" s="11"/>
      <c r="J80" s="11"/>
      <c r="K80" s="11"/>
      <c r="L80" s="11"/>
      <c r="M80" s="11"/>
      <c r="N80" s="11"/>
      <c r="O80" s="11"/>
      <c r="P80" s="11"/>
      <c r="Q80" s="16" t="str">
        <f t="shared" si="4"/>
        <v/>
      </c>
      <c r="R80" s="12" t="str">
        <f t="shared" si="5"/>
        <v/>
      </c>
      <c r="S80" s="12" t="str">
        <f t="shared" si="6"/>
        <v/>
      </c>
      <c r="T80" s="12" t="str">
        <f t="shared" si="7"/>
        <v/>
      </c>
      <c r="U80" s="8"/>
      <c r="V80" s="8"/>
      <c r="W80" s="10"/>
      <c r="X80" s="8"/>
    </row>
    <row r="81" spans="1:24">
      <c r="A81" s="8"/>
      <c r="B81" s="10"/>
      <c r="C81" s="8"/>
      <c r="D81" s="8"/>
      <c r="E81" s="8"/>
      <c r="F81" s="8"/>
      <c r="G81" s="8"/>
      <c r="H81" s="8"/>
      <c r="I81" s="11"/>
      <c r="J81" s="11"/>
      <c r="K81" s="11"/>
      <c r="L81" s="11"/>
      <c r="M81" s="11"/>
      <c r="N81" s="11"/>
      <c r="O81" s="11"/>
      <c r="P81" s="11"/>
      <c r="Q81" s="16" t="str">
        <f t="shared" si="4"/>
        <v/>
      </c>
      <c r="R81" s="12" t="str">
        <f t="shared" si="5"/>
        <v/>
      </c>
      <c r="S81" s="12" t="str">
        <f t="shared" si="6"/>
        <v/>
      </c>
      <c r="T81" s="12" t="str">
        <f t="shared" si="7"/>
        <v/>
      </c>
      <c r="U81" s="8"/>
      <c r="V81" s="8"/>
      <c r="W81" s="10"/>
      <c r="X81" s="8"/>
    </row>
    <row r="82" spans="1:24">
      <c r="A82" s="8"/>
      <c r="B82" s="10"/>
      <c r="C82" s="8"/>
      <c r="D82" s="8"/>
      <c r="E82" s="8"/>
      <c r="F82" s="8"/>
      <c r="G82" s="8"/>
      <c r="H82" s="8"/>
      <c r="I82" s="11"/>
      <c r="J82" s="11"/>
      <c r="K82" s="11"/>
      <c r="L82" s="11"/>
      <c r="M82" s="11"/>
      <c r="N82" s="11"/>
      <c r="O82" s="11"/>
      <c r="P82" s="11"/>
      <c r="Q82" s="16" t="str">
        <f t="shared" si="4"/>
        <v/>
      </c>
      <c r="R82" s="12" t="str">
        <f t="shared" si="5"/>
        <v/>
      </c>
      <c r="S82" s="12" t="str">
        <f t="shared" si="6"/>
        <v/>
      </c>
      <c r="T82" s="12" t="str">
        <f t="shared" si="7"/>
        <v/>
      </c>
      <c r="U82" s="8"/>
      <c r="V82" s="8"/>
      <c r="W82" s="10"/>
      <c r="X82" s="8"/>
    </row>
    <row r="83" spans="1:24">
      <c r="A83" s="8"/>
      <c r="B83" s="10"/>
      <c r="C83" s="8"/>
      <c r="D83" s="8"/>
      <c r="E83" s="8"/>
      <c r="F83" s="8"/>
      <c r="G83" s="8"/>
      <c r="H83" s="8"/>
      <c r="I83" s="11"/>
      <c r="J83" s="11"/>
      <c r="K83" s="11"/>
      <c r="L83" s="11"/>
      <c r="M83" s="11"/>
      <c r="N83" s="11"/>
      <c r="O83" s="11"/>
      <c r="P83" s="11"/>
      <c r="Q83" s="16" t="str">
        <f t="shared" si="4"/>
        <v/>
      </c>
      <c r="R83" s="12" t="str">
        <f t="shared" si="5"/>
        <v/>
      </c>
      <c r="S83" s="12" t="str">
        <f t="shared" si="6"/>
        <v/>
      </c>
      <c r="T83" s="12" t="str">
        <f t="shared" si="7"/>
        <v/>
      </c>
      <c r="U83" s="8"/>
      <c r="V83" s="8"/>
      <c r="W83" s="10"/>
      <c r="X83" s="8"/>
    </row>
    <row r="84" spans="1:24">
      <c r="A84" s="8"/>
      <c r="B84" s="10"/>
      <c r="C84" s="8"/>
      <c r="D84" s="8"/>
      <c r="E84" s="8"/>
      <c r="F84" s="8"/>
      <c r="G84" s="8"/>
      <c r="H84" s="8"/>
      <c r="I84" s="11"/>
      <c r="J84" s="11"/>
      <c r="K84" s="11"/>
      <c r="L84" s="11"/>
      <c r="M84" s="11"/>
      <c r="N84" s="11"/>
      <c r="O84" s="11"/>
      <c r="P84" s="11"/>
      <c r="Q84" s="16" t="str">
        <f t="shared" si="4"/>
        <v/>
      </c>
      <c r="R84" s="12" t="str">
        <f t="shared" si="5"/>
        <v/>
      </c>
      <c r="S84" s="12" t="str">
        <f t="shared" si="6"/>
        <v/>
      </c>
      <c r="T84" s="12" t="str">
        <f t="shared" si="7"/>
        <v/>
      </c>
      <c r="U84" s="8"/>
      <c r="V84" s="8"/>
      <c r="W84" s="10"/>
      <c r="X84" s="8"/>
    </row>
    <row r="85" spans="1:24">
      <c r="A85" s="8"/>
      <c r="B85" s="10"/>
      <c r="C85" s="8"/>
      <c r="D85" s="8"/>
      <c r="E85" s="8"/>
      <c r="F85" s="8"/>
      <c r="G85" s="8"/>
      <c r="H85" s="8"/>
      <c r="I85" s="11"/>
      <c r="J85" s="11"/>
      <c r="K85" s="11"/>
      <c r="L85" s="11"/>
      <c r="M85" s="11"/>
      <c r="N85" s="11"/>
      <c r="O85" s="11"/>
      <c r="P85" s="11"/>
      <c r="Q85" s="16" t="str">
        <f t="shared" si="4"/>
        <v/>
      </c>
      <c r="R85" s="12" t="str">
        <f t="shared" si="5"/>
        <v/>
      </c>
      <c r="S85" s="12" t="str">
        <f t="shared" si="6"/>
        <v/>
      </c>
      <c r="T85" s="12" t="str">
        <f t="shared" si="7"/>
        <v/>
      </c>
      <c r="U85" s="8"/>
      <c r="V85" s="8"/>
      <c r="W85" s="10"/>
      <c r="X85" s="8"/>
    </row>
    <row r="86" spans="1:24">
      <c r="A86" s="8"/>
      <c r="B86" s="10"/>
      <c r="C86" s="8"/>
      <c r="D86" s="8"/>
      <c r="E86" s="8"/>
      <c r="F86" s="8"/>
      <c r="G86" s="8"/>
      <c r="H86" s="8"/>
      <c r="I86" s="11"/>
      <c r="J86" s="11"/>
      <c r="K86" s="11"/>
      <c r="L86" s="11"/>
      <c r="M86" s="11"/>
      <c r="N86" s="11"/>
      <c r="O86" s="11"/>
      <c r="P86" s="11"/>
      <c r="Q86" s="16" t="str">
        <f t="shared" si="4"/>
        <v/>
      </c>
      <c r="R86" s="12" t="str">
        <f t="shared" si="5"/>
        <v/>
      </c>
      <c r="S86" s="12" t="str">
        <f t="shared" si="6"/>
        <v/>
      </c>
      <c r="T86" s="12" t="str">
        <f t="shared" si="7"/>
        <v/>
      </c>
      <c r="U86" s="8"/>
      <c r="V86" s="8"/>
      <c r="W86" s="10"/>
      <c r="X86" s="8"/>
    </row>
    <row r="87" spans="1:24">
      <c r="A87" s="8"/>
      <c r="B87" s="10"/>
      <c r="C87" s="8"/>
      <c r="D87" s="8"/>
      <c r="E87" s="8"/>
      <c r="F87" s="8"/>
      <c r="G87" s="8"/>
      <c r="H87" s="8"/>
      <c r="I87" s="11"/>
      <c r="J87" s="11"/>
      <c r="K87" s="11"/>
      <c r="L87" s="11"/>
      <c r="M87" s="11"/>
      <c r="N87" s="11"/>
      <c r="O87" s="11"/>
      <c r="P87" s="11"/>
      <c r="Q87" s="16" t="str">
        <f t="shared" si="4"/>
        <v/>
      </c>
      <c r="R87" s="12" t="str">
        <f t="shared" si="5"/>
        <v/>
      </c>
      <c r="S87" s="12" t="str">
        <f t="shared" si="6"/>
        <v/>
      </c>
      <c r="T87" s="12" t="str">
        <f t="shared" si="7"/>
        <v/>
      </c>
      <c r="U87" s="8"/>
      <c r="V87" s="8"/>
      <c r="W87" s="10"/>
      <c r="X87" s="8"/>
    </row>
    <row r="88" spans="1:24">
      <c r="A88" s="8"/>
      <c r="B88" s="10"/>
      <c r="C88" s="8"/>
      <c r="D88" s="8"/>
      <c r="E88" s="8"/>
      <c r="F88" s="8"/>
      <c r="G88" s="8"/>
      <c r="H88" s="8"/>
      <c r="I88" s="11"/>
      <c r="J88" s="11"/>
      <c r="K88" s="11"/>
      <c r="L88" s="11"/>
      <c r="M88" s="11"/>
      <c r="N88" s="11"/>
      <c r="O88" s="11"/>
      <c r="P88" s="11"/>
      <c r="Q88" s="16" t="str">
        <f t="shared" si="4"/>
        <v/>
      </c>
      <c r="R88" s="12" t="str">
        <f t="shared" si="5"/>
        <v/>
      </c>
      <c r="S88" s="12" t="str">
        <f t="shared" si="6"/>
        <v/>
      </c>
      <c r="T88" s="12" t="str">
        <f t="shared" si="7"/>
        <v/>
      </c>
      <c r="U88" s="8"/>
      <c r="V88" s="8"/>
      <c r="W88" s="10"/>
      <c r="X88" s="8"/>
    </row>
    <row r="89" spans="1:24">
      <c r="A89" s="8"/>
      <c r="B89" s="10"/>
      <c r="C89" s="8"/>
      <c r="D89" s="8"/>
      <c r="E89" s="8"/>
      <c r="F89" s="8"/>
      <c r="G89" s="8"/>
      <c r="H89" s="8"/>
      <c r="I89" s="11"/>
      <c r="J89" s="11"/>
      <c r="K89" s="11"/>
      <c r="L89" s="11"/>
      <c r="M89" s="11"/>
      <c r="N89" s="11"/>
      <c r="O89" s="11"/>
      <c r="P89" s="11"/>
      <c r="Q89" s="16" t="str">
        <f t="shared" si="4"/>
        <v/>
      </c>
      <c r="R89" s="12" t="str">
        <f t="shared" si="5"/>
        <v/>
      </c>
      <c r="S89" s="12" t="str">
        <f t="shared" si="6"/>
        <v/>
      </c>
      <c r="T89" s="12" t="str">
        <f t="shared" si="7"/>
        <v/>
      </c>
      <c r="U89" s="8"/>
      <c r="V89" s="8"/>
      <c r="W89" s="10"/>
      <c r="X89" s="8"/>
    </row>
    <row r="90" spans="1:24">
      <c r="A90" s="8"/>
      <c r="B90" s="10"/>
      <c r="C90" s="8"/>
      <c r="D90" s="8"/>
      <c r="E90" s="8"/>
      <c r="F90" s="8"/>
      <c r="G90" s="8"/>
      <c r="H90" s="8"/>
      <c r="I90" s="11"/>
      <c r="J90" s="11"/>
      <c r="K90" s="11"/>
      <c r="L90" s="11"/>
      <c r="M90" s="11"/>
      <c r="N90" s="11"/>
      <c r="O90" s="11"/>
      <c r="P90" s="11"/>
      <c r="Q90" s="16" t="str">
        <f t="shared" si="4"/>
        <v/>
      </c>
      <c r="R90" s="12" t="str">
        <f t="shared" si="5"/>
        <v/>
      </c>
      <c r="S90" s="12" t="str">
        <f t="shared" si="6"/>
        <v/>
      </c>
      <c r="T90" s="12" t="str">
        <f t="shared" si="7"/>
        <v/>
      </c>
      <c r="U90" s="8"/>
      <c r="V90" s="8"/>
      <c r="W90" s="10"/>
      <c r="X90" s="8"/>
    </row>
    <row r="91" spans="1:24">
      <c r="A91" s="8"/>
      <c r="B91" s="10"/>
      <c r="C91" s="8"/>
      <c r="D91" s="8"/>
      <c r="E91" s="8"/>
      <c r="F91" s="8"/>
      <c r="G91" s="8"/>
      <c r="H91" s="8"/>
      <c r="I91" s="11"/>
      <c r="J91" s="11"/>
      <c r="K91" s="11"/>
      <c r="L91" s="11"/>
      <c r="M91" s="11"/>
      <c r="N91" s="11"/>
      <c r="O91" s="11"/>
      <c r="P91" s="11"/>
      <c r="Q91" s="16" t="str">
        <f t="shared" si="4"/>
        <v/>
      </c>
      <c r="R91" s="12" t="str">
        <f t="shared" si="5"/>
        <v/>
      </c>
      <c r="S91" s="12" t="str">
        <f t="shared" si="6"/>
        <v/>
      </c>
      <c r="T91" s="12" t="str">
        <f t="shared" si="7"/>
        <v/>
      </c>
      <c r="U91" s="8"/>
      <c r="V91" s="8"/>
      <c r="W91" s="10"/>
      <c r="X91" s="8"/>
    </row>
    <row r="92" spans="1:24">
      <c r="A92" s="8"/>
      <c r="B92" s="10"/>
      <c r="C92" s="8"/>
      <c r="D92" s="8"/>
      <c r="E92" s="8"/>
      <c r="F92" s="8"/>
      <c r="G92" s="8"/>
      <c r="H92" s="8"/>
      <c r="I92" s="11"/>
      <c r="J92" s="11"/>
      <c r="K92" s="11"/>
      <c r="L92" s="11"/>
      <c r="M92" s="11"/>
      <c r="N92" s="11"/>
      <c r="O92" s="11"/>
      <c r="P92" s="11"/>
      <c r="Q92" s="16" t="str">
        <f t="shared" si="4"/>
        <v/>
      </c>
      <c r="R92" s="12" t="str">
        <f t="shared" si="5"/>
        <v/>
      </c>
      <c r="S92" s="12" t="str">
        <f t="shared" si="6"/>
        <v/>
      </c>
      <c r="T92" s="12" t="str">
        <f t="shared" si="7"/>
        <v/>
      </c>
      <c r="U92" s="8"/>
      <c r="V92" s="8"/>
      <c r="W92" s="10"/>
      <c r="X92" s="8"/>
    </row>
    <row r="93" spans="1:24">
      <c r="A93" s="8"/>
      <c r="B93" s="10"/>
      <c r="C93" s="8"/>
      <c r="D93" s="8"/>
      <c r="E93" s="8"/>
      <c r="F93" s="8"/>
      <c r="G93" s="8"/>
      <c r="H93" s="8"/>
      <c r="I93" s="11"/>
      <c r="J93" s="11"/>
      <c r="K93" s="11"/>
      <c r="L93" s="11"/>
      <c r="M93" s="11"/>
      <c r="N93" s="11"/>
      <c r="O93" s="11"/>
      <c r="P93" s="11"/>
      <c r="Q93" s="16" t="str">
        <f t="shared" si="4"/>
        <v/>
      </c>
      <c r="R93" s="12" t="str">
        <f t="shared" si="5"/>
        <v/>
      </c>
      <c r="S93" s="12" t="str">
        <f t="shared" si="6"/>
        <v/>
      </c>
      <c r="T93" s="12" t="str">
        <f t="shared" si="7"/>
        <v/>
      </c>
      <c r="U93" s="8"/>
      <c r="V93" s="8"/>
      <c r="W93" s="10"/>
      <c r="X93" s="8"/>
    </row>
    <row r="94" spans="1:24">
      <c r="A94" s="8"/>
      <c r="B94" s="10"/>
      <c r="C94" s="8"/>
      <c r="D94" s="8"/>
      <c r="E94" s="8"/>
      <c r="F94" s="8"/>
      <c r="G94" s="8"/>
      <c r="H94" s="8"/>
      <c r="I94" s="11"/>
      <c r="J94" s="11"/>
      <c r="K94" s="11"/>
      <c r="L94" s="11"/>
      <c r="M94" s="11"/>
      <c r="N94" s="11"/>
      <c r="O94" s="11"/>
      <c r="P94" s="11"/>
      <c r="Q94" s="16" t="str">
        <f t="shared" si="4"/>
        <v/>
      </c>
      <c r="R94" s="12" t="str">
        <f t="shared" si="5"/>
        <v/>
      </c>
      <c r="S94" s="12" t="str">
        <f t="shared" si="6"/>
        <v/>
      </c>
      <c r="T94" s="12" t="str">
        <f t="shared" si="7"/>
        <v/>
      </c>
      <c r="U94" s="8"/>
      <c r="V94" s="8"/>
      <c r="W94" s="10"/>
      <c r="X94" s="8"/>
    </row>
    <row r="95" spans="1:24">
      <c r="A95" s="8"/>
      <c r="B95" s="10"/>
      <c r="C95" s="8"/>
      <c r="D95" s="8"/>
      <c r="E95" s="8"/>
      <c r="F95" s="8"/>
      <c r="G95" s="8"/>
      <c r="H95" s="8"/>
      <c r="I95" s="11"/>
      <c r="J95" s="11"/>
      <c r="K95" s="11"/>
      <c r="L95" s="11"/>
      <c r="M95" s="11"/>
      <c r="N95" s="11"/>
      <c r="O95" s="11"/>
      <c r="P95" s="11"/>
      <c r="Q95" s="16" t="str">
        <f t="shared" si="4"/>
        <v/>
      </c>
      <c r="R95" s="12" t="str">
        <f t="shared" si="5"/>
        <v/>
      </c>
      <c r="S95" s="12" t="str">
        <f t="shared" si="6"/>
        <v/>
      </c>
      <c r="T95" s="12" t="str">
        <f t="shared" si="7"/>
        <v/>
      </c>
      <c r="U95" s="8"/>
      <c r="V95" s="8"/>
      <c r="W95" s="10"/>
      <c r="X95" s="8"/>
    </row>
    <row r="96" spans="1:24">
      <c r="A96" s="8"/>
      <c r="B96" s="10"/>
      <c r="C96" s="8"/>
      <c r="D96" s="8"/>
      <c r="E96" s="8"/>
      <c r="F96" s="8"/>
      <c r="G96" s="8"/>
      <c r="H96" s="8"/>
      <c r="I96" s="11"/>
      <c r="J96" s="11"/>
      <c r="K96" s="11"/>
      <c r="L96" s="11"/>
      <c r="M96" s="11"/>
      <c r="N96" s="11"/>
      <c r="O96" s="11"/>
      <c r="P96" s="11"/>
      <c r="Q96" s="16" t="str">
        <f t="shared" si="4"/>
        <v/>
      </c>
      <c r="R96" s="12" t="str">
        <f t="shared" si="5"/>
        <v/>
      </c>
      <c r="S96" s="12" t="str">
        <f t="shared" si="6"/>
        <v/>
      </c>
      <c r="T96" s="12" t="str">
        <f t="shared" si="7"/>
        <v/>
      </c>
      <c r="U96" s="8"/>
      <c r="V96" s="8"/>
      <c r="W96" s="10"/>
      <c r="X96" s="8"/>
    </row>
    <row r="97" spans="1:24">
      <c r="A97" s="8"/>
      <c r="B97" s="10"/>
      <c r="C97" s="8"/>
      <c r="D97" s="8"/>
      <c r="E97" s="8"/>
      <c r="F97" s="8"/>
      <c r="G97" s="8"/>
      <c r="H97" s="8"/>
      <c r="I97" s="11"/>
      <c r="J97" s="11"/>
      <c r="K97" s="11"/>
      <c r="L97" s="11"/>
      <c r="M97" s="11"/>
      <c r="N97" s="11"/>
      <c r="O97" s="11"/>
      <c r="P97" s="11"/>
      <c r="Q97" s="16" t="str">
        <f t="shared" si="4"/>
        <v/>
      </c>
      <c r="R97" s="12" t="str">
        <f t="shared" si="5"/>
        <v/>
      </c>
      <c r="S97" s="12" t="str">
        <f t="shared" si="6"/>
        <v/>
      </c>
      <c r="T97" s="12" t="str">
        <f t="shared" si="7"/>
        <v/>
      </c>
      <c r="U97" s="8"/>
      <c r="V97" s="8"/>
      <c r="W97" s="10"/>
      <c r="X97" s="8"/>
    </row>
    <row r="98" spans="1:24">
      <c r="A98" s="8"/>
      <c r="B98" s="10"/>
      <c r="C98" s="8"/>
      <c r="D98" s="8"/>
      <c r="E98" s="8"/>
      <c r="F98" s="8"/>
      <c r="G98" s="8"/>
      <c r="H98" s="8"/>
      <c r="I98" s="11"/>
      <c r="J98" s="11"/>
      <c r="K98" s="11"/>
      <c r="L98" s="11"/>
      <c r="M98" s="11"/>
      <c r="N98" s="11"/>
      <c r="O98" s="11"/>
      <c r="P98" s="11"/>
      <c r="Q98" s="16" t="str">
        <f t="shared" si="4"/>
        <v/>
      </c>
      <c r="R98" s="12" t="str">
        <f t="shared" si="5"/>
        <v/>
      </c>
      <c r="S98" s="12" t="str">
        <f t="shared" si="6"/>
        <v/>
      </c>
      <c r="T98" s="12" t="str">
        <f t="shared" si="7"/>
        <v/>
      </c>
      <c r="U98" s="8"/>
      <c r="V98" s="8"/>
      <c r="W98" s="10"/>
      <c r="X98" s="8"/>
    </row>
    <row r="99" spans="1:24">
      <c r="A99" s="8"/>
      <c r="B99" s="10"/>
      <c r="C99" s="8"/>
      <c r="D99" s="8"/>
      <c r="E99" s="8"/>
      <c r="F99" s="8"/>
      <c r="G99" s="8"/>
      <c r="H99" s="8"/>
      <c r="I99" s="11"/>
      <c r="J99" s="11"/>
      <c r="K99" s="11"/>
      <c r="L99" s="11"/>
      <c r="M99" s="11"/>
      <c r="N99" s="11"/>
      <c r="O99" s="11"/>
      <c r="P99" s="11"/>
      <c r="Q99" s="16" t="str">
        <f t="shared" si="4"/>
        <v/>
      </c>
      <c r="R99" s="12" t="str">
        <f t="shared" si="5"/>
        <v/>
      </c>
      <c r="S99" s="12" t="str">
        <f t="shared" si="6"/>
        <v/>
      </c>
      <c r="T99" s="12" t="str">
        <f t="shared" si="7"/>
        <v/>
      </c>
      <c r="U99" s="8"/>
      <c r="V99" s="8"/>
      <c r="W99" s="10"/>
      <c r="X99" s="8"/>
    </row>
    <row r="100" spans="1:24">
      <c r="A100" s="8"/>
      <c r="B100" s="10"/>
      <c r="C100" s="8"/>
      <c r="D100" s="8"/>
      <c r="E100" s="8"/>
      <c r="F100" s="8"/>
      <c r="G100" s="8"/>
      <c r="H100" s="8"/>
      <c r="I100" s="11"/>
      <c r="J100" s="11"/>
      <c r="K100" s="11"/>
      <c r="L100" s="11"/>
      <c r="M100" s="11"/>
      <c r="N100" s="11"/>
      <c r="O100" s="11"/>
      <c r="P100" s="11"/>
      <c r="Q100" s="16" t="str">
        <f t="shared" si="4"/>
        <v/>
      </c>
      <c r="R100" s="12" t="str">
        <f t="shared" si="5"/>
        <v/>
      </c>
      <c r="S100" s="12" t="str">
        <f t="shared" si="6"/>
        <v/>
      </c>
      <c r="T100" s="12" t="str">
        <f t="shared" si="7"/>
        <v/>
      </c>
      <c r="U100" s="8"/>
      <c r="V100" s="8"/>
      <c r="W100" s="10"/>
      <c r="X100" s="8"/>
    </row>
    <row r="101" spans="1:24">
      <c r="A101" s="8"/>
      <c r="B101" s="10"/>
      <c r="C101" s="8"/>
      <c r="D101" s="8"/>
      <c r="E101" s="8"/>
      <c r="F101" s="8"/>
      <c r="G101" s="8"/>
      <c r="H101" s="8"/>
      <c r="I101" s="11"/>
      <c r="J101" s="11"/>
      <c r="K101" s="11"/>
      <c r="L101" s="11"/>
      <c r="M101" s="11"/>
      <c r="N101" s="11"/>
      <c r="O101" s="11"/>
      <c r="P101" s="11"/>
      <c r="Q101" s="16" t="str">
        <f t="shared" si="4"/>
        <v/>
      </c>
      <c r="R101" s="12" t="str">
        <f t="shared" si="5"/>
        <v/>
      </c>
      <c r="S101" s="12" t="str">
        <f t="shared" si="6"/>
        <v/>
      </c>
      <c r="T101" s="12" t="str">
        <f t="shared" si="7"/>
        <v/>
      </c>
      <c r="U101" s="8"/>
      <c r="V101" s="8"/>
      <c r="W101" s="10"/>
      <c r="X101" s="8"/>
    </row>
    <row r="102" spans="1:24">
      <c r="A102" s="8"/>
      <c r="B102" s="10"/>
      <c r="C102" s="8"/>
      <c r="D102" s="8"/>
      <c r="E102" s="8"/>
      <c r="F102" s="8"/>
      <c r="G102" s="8"/>
      <c r="H102" s="8"/>
      <c r="I102" s="11"/>
      <c r="J102" s="11"/>
      <c r="K102" s="11"/>
      <c r="L102" s="11"/>
      <c r="M102" s="11"/>
      <c r="N102" s="11"/>
      <c r="O102" s="11"/>
      <c r="P102" s="11"/>
      <c r="Q102" s="16" t="str">
        <f t="shared" si="4"/>
        <v/>
      </c>
      <c r="R102" s="12" t="str">
        <f t="shared" si="5"/>
        <v/>
      </c>
      <c r="S102" s="12" t="str">
        <f t="shared" si="6"/>
        <v/>
      </c>
      <c r="T102" s="12" t="str">
        <f t="shared" si="7"/>
        <v/>
      </c>
      <c r="U102" s="8"/>
      <c r="V102" s="8"/>
      <c r="W102" s="10"/>
      <c r="X102" s="8"/>
    </row>
    <row r="103" spans="1:24">
      <c r="A103" s="8"/>
      <c r="B103" s="10"/>
      <c r="C103" s="8"/>
      <c r="D103" s="8"/>
      <c r="E103" s="8"/>
      <c r="F103" s="8"/>
      <c r="G103" s="8"/>
      <c r="H103" s="8"/>
      <c r="I103" s="11"/>
      <c r="J103" s="11"/>
      <c r="K103" s="11"/>
      <c r="L103" s="11"/>
      <c r="M103" s="11"/>
      <c r="N103" s="11"/>
      <c r="O103" s="11"/>
      <c r="P103" s="11"/>
      <c r="Q103" s="16" t="str">
        <f t="shared" si="4"/>
        <v/>
      </c>
      <c r="R103" s="12" t="str">
        <f t="shared" si="5"/>
        <v/>
      </c>
      <c r="S103" s="12" t="str">
        <f t="shared" si="6"/>
        <v/>
      </c>
      <c r="T103" s="12" t="str">
        <f t="shared" si="7"/>
        <v/>
      </c>
      <c r="U103" s="8"/>
      <c r="V103" s="8"/>
      <c r="W103" s="10"/>
      <c r="X103" s="8"/>
    </row>
    <row r="104" spans="1:24">
      <c r="A104" s="8"/>
      <c r="B104" s="10"/>
      <c r="C104" s="8"/>
      <c r="D104" s="8"/>
      <c r="E104" s="8"/>
      <c r="F104" s="8"/>
      <c r="G104" s="8"/>
      <c r="H104" s="8"/>
      <c r="I104" s="11"/>
      <c r="J104" s="11"/>
      <c r="K104" s="11"/>
      <c r="L104" s="11"/>
      <c r="M104" s="11"/>
      <c r="N104" s="11"/>
      <c r="O104" s="11"/>
      <c r="P104" s="11"/>
      <c r="Q104" s="16" t="str">
        <f t="shared" si="4"/>
        <v/>
      </c>
      <c r="R104" s="12" t="str">
        <f t="shared" si="5"/>
        <v/>
      </c>
      <c r="S104" s="12" t="str">
        <f t="shared" si="6"/>
        <v/>
      </c>
      <c r="T104" s="12" t="str">
        <f t="shared" si="7"/>
        <v/>
      </c>
      <c r="U104" s="8"/>
      <c r="V104" s="8"/>
      <c r="W104" s="10"/>
      <c r="X104" s="8"/>
    </row>
    <row r="105" spans="1:24">
      <c r="A105" s="8"/>
      <c r="B105" s="10"/>
      <c r="C105" s="8"/>
      <c r="D105" s="8"/>
      <c r="E105" s="8"/>
      <c r="F105" s="8"/>
      <c r="G105" s="8"/>
      <c r="H105" s="8"/>
      <c r="I105" s="11"/>
      <c r="J105" s="11"/>
      <c r="K105" s="11"/>
      <c r="L105" s="11"/>
      <c r="M105" s="11"/>
      <c r="N105" s="11"/>
      <c r="O105" s="11"/>
      <c r="P105" s="11"/>
      <c r="Q105" s="16" t="str">
        <f t="shared" si="4"/>
        <v/>
      </c>
      <c r="R105" s="12" t="str">
        <f t="shared" si="5"/>
        <v/>
      </c>
      <c r="S105" s="12" t="str">
        <f t="shared" si="6"/>
        <v/>
      </c>
      <c r="T105" s="12" t="str">
        <f t="shared" si="7"/>
        <v/>
      </c>
      <c r="U105" s="8"/>
      <c r="V105" s="8"/>
      <c r="W105" s="10"/>
      <c r="X105" s="8"/>
    </row>
    <row r="106" spans="1:24">
      <c r="A106" s="8"/>
      <c r="B106" s="10"/>
      <c r="C106" s="8"/>
      <c r="D106" s="8"/>
      <c r="E106" s="8"/>
      <c r="F106" s="8"/>
      <c r="G106" s="8"/>
      <c r="H106" s="8"/>
      <c r="I106" s="11"/>
      <c r="J106" s="11"/>
      <c r="K106" s="11"/>
      <c r="L106" s="11"/>
      <c r="M106" s="11"/>
      <c r="N106" s="11"/>
      <c r="O106" s="11"/>
      <c r="P106" s="11"/>
      <c r="Q106" s="16" t="str">
        <f t="shared" si="4"/>
        <v/>
      </c>
      <c r="R106" s="12" t="str">
        <f t="shared" si="5"/>
        <v/>
      </c>
      <c r="S106" s="12" t="str">
        <f t="shared" si="6"/>
        <v/>
      </c>
      <c r="T106" s="12" t="str">
        <f t="shared" si="7"/>
        <v/>
      </c>
      <c r="U106" s="8"/>
      <c r="V106" s="8"/>
      <c r="W106" s="10"/>
      <c r="X106" s="8"/>
    </row>
    <row r="107" spans="1:24">
      <c r="A107" s="8"/>
      <c r="B107" s="10"/>
      <c r="C107" s="8"/>
      <c r="D107" s="8"/>
      <c r="E107" s="8"/>
      <c r="F107" s="8"/>
      <c r="G107" s="8"/>
      <c r="H107" s="8"/>
      <c r="I107" s="11"/>
      <c r="J107" s="11"/>
      <c r="K107" s="11"/>
      <c r="L107" s="11"/>
      <c r="M107" s="11"/>
      <c r="N107" s="11"/>
      <c r="O107" s="11"/>
      <c r="P107" s="11"/>
      <c r="Q107" s="16" t="str">
        <f t="shared" si="4"/>
        <v/>
      </c>
      <c r="R107" s="12" t="str">
        <f t="shared" si="5"/>
        <v/>
      </c>
      <c r="S107" s="12" t="str">
        <f t="shared" si="6"/>
        <v/>
      </c>
      <c r="T107" s="12" t="str">
        <f t="shared" si="7"/>
        <v/>
      </c>
      <c r="U107" s="8"/>
      <c r="V107" s="8"/>
      <c r="W107" s="10"/>
      <c r="X107" s="8"/>
    </row>
    <row r="108" spans="1:24">
      <c r="A108" s="8"/>
      <c r="B108" s="10"/>
      <c r="C108" s="8"/>
      <c r="D108" s="8"/>
      <c r="E108" s="8"/>
      <c r="F108" s="8"/>
      <c r="G108" s="8"/>
      <c r="H108" s="8"/>
      <c r="I108" s="11"/>
      <c r="J108" s="11"/>
      <c r="K108" s="11"/>
      <c r="L108" s="11"/>
      <c r="M108" s="11"/>
      <c r="N108" s="11"/>
      <c r="O108" s="11"/>
      <c r="P108" s="11"/>
      <c r="Q108" s="16" t="str">
        <f t="shared" si="4"/>
        <v/>
      </c>
      <c r="R108" s="12" t="str">
        <f t="shared" si="5"/>
        <v/>
      </c>
      <c r="S108" s="12" t="str">
        <f t="shared" si="6"/>
        <v/>
      </c>
      <c r="T108" s="12" t="str">
        <f t="shared" si="7"/>
        <v/>
      </c>
      <c r="U108" s="8"/>
      <c r="V108" s="8"/>
      <c r="W108" s="10"/>
      <c r="X108" s="8"/>
    </row>
    <row r="109" spans="1:24">
      <c r="A109" s="8"/>
      <c r="B109" s="10"/>
      <c r="C109" s="8"/>
      <c r="D109" s="8"/>
      <c r="E109" s="8"/>
      <c r="F109" s="8"/>
      <c r="G109" s="8"/>
      <c r="H109" s="8"/>
      <c r="I109" s="11"/>
      <c r="J109" s="11"/>
      <c r="K109" s="11"/>
      <c r="L109" s="11"/>
      <c r="M109" s="11"/>
      <c r="N109" s="11"/>
      <c r="O109" s="11"/>
      <c r="P109" s="11"/>
      <c r="Q109" s="16" t="str">
        <f t="shared" si="4"/>
        <v/>
      </c>
      <c r="R109" s="12" t="str">
        <f t="shared" si="5"/>
        <v/>
      </c>
      <c r="S109" s="12" t="str">
        <f t="shared" si="6"/>
        <v/>
      </c>
      <c r="T109" s="12" t="str">
        <f t="shared" si="7"/>
        <v/>
      </c>
      <c r="U109" s="8"/>
      <c r="V109" s="8"/>
      <c r="W109" s="10"/>
      <c r="X109" s="8"/>
    </row>
    <row r="110" spans="1:24">
      <c r="A110" s="8"/>
      <c r="B110" s="10"/>
      <c r="C110" s="8"/>
      <c r="D110" s="8"/>
      <c r="E110" s="8"/>
      <c r="F110" s="8"/>
      <c r="G110" s="8"/>
      <c r="H110" s="8"/>
      <c r="I110" s="11"/>
      <c r="J110" s="11"/>
      <c r="K110" s="11"/>
      <c r="L110" s="11"/>
      <c r="M110" s="11"/>
      <c r="N110" s="11"/>
      <c r="O110" s="11"/>
      <c r="P110" s="11"/>
      <c r="Q110" s="16" t="str">
        <f t="shared" si="4"/>
        <v/>
      </c>
      <c r="R110" s="12" t="str">
        <f t="shared" si="5"/>
        <v/>
      </c>
      <c r="S110" s="12" t="str">
        <f t="shared" si="6"/>
        <v/>
      </c>
      <c r="T110" s="12" t="str">
        <f t="shared" si="7"/>
        <v/>
      </c>
      <c r="U110" s="8"/>
      <c r="V110" s="8"/>
      <c r="W110" s="10"/>
      <c r="X110" s="8"/>
    </row>
    <row r="111" spans="1:24">
      <c r="A111" s="8"/>
      <c r="B111" s="10"/>
      <c r="C111" s="8"/>
      <c r="D111" s="8"/>
      <c r="E111" s="8"/>
      <c r="F111" s="8"/>
      <c r="G111" s="8"/>
      <c r="H111" s="8"/>
      <c r="I111" s="11"/>
      <c r="J111" s="11"/>
      <c r="K111" s="11"/>
      <c r="L111" s="11"/>
      <c r="M111" s="11"/>
      <c r="N111" s="11"/>
      <c r="O111" s="11"/>
      <c r="P111" s="11"/>
      <c r="Q111" s="16" t="str">
        <f t="shared" si="4"/>
        <v/>
      </c>
      <c r="R111" s="12" t="str">
        <f t="shared" si="5"/>
        <v/>
      </c>
      <c r="S111" s="12" t="str">
        <f t="shared" si="6"/>
        <v/>
      </c>
      <c r="T111" s="12" t="str">
        <f t="shared" si="7"/>
        <v/>
      </c>
      <c r="U111" s="8"/>
      <c r="V111" s="8"/>
      <c r="W111" s="10"/>
      <c r="X111" s="8"/>
    </row>
    <row r="112" spans="1:24">
      <c r="A112" s="8"/>
      <c r="B112" s="10"/>
      <c r="C112" s="8"/>
      <c r="D112" s="8"/>
      <c r="E112" s="8"/>
      <c r="F112" s="8"/>
      <c r="G112" s="8"/>
      <c r="H112" s="8"/>
      <c r="I112" s="11"/>
      <c r="J112" s="11"/>
      <c r="K112" s="11"/>
      <c r="L112" s="11"/>
      <c r="M112" s="11"/>
      <c r="N112" s="11"/>
      <c r="O112" s="11"/>
      <c r="P112" s="11"/>
      <c r="Q112" s="16" t="str">
        <f t="shared" si="4"/>
        <v/>
      </c>
      <c r="R112" s="12" t="str">
        <f t="shared" si="5"/>
        <v/>
      </c>
      <c r="S112" s="12" t="str">
        <f t="shared" si="6"/>
        <v/>
      </c>
      <c r="T112" s="12" t="str">
        <f t="shared" si="7"/>
        <v/>
      </c>
      <c r="U112" s="8"/>
      <c r="V112" s="8"/>
      <c r="W112" s="10"/>
      <c r="X112" s="8"/>
    </row>
    <row r="113" spans="1:24">
      <c r="A113" s="8"/>
      <c r="B113" s="10"/>
      <c r="C113" s="8"/>
      <c r="D113" s="8"/>
      <c r="E113" s="8"/>
      <c r="F113" s="8"/>
      <c r="G113" s="8"/>
      <c r="H113" s="8"/>
      <c r="I113" s="11"/>
      <c r="J113" s="11"/>
      <c r="K113" s="11"/>
      <c r="L113" s="11"/>
      <c r="M113" s="11"/>
      <c r="N113" s="11"/>
      <c r="O113" s="11"/>
      <c r="P113" s="11"/>
      <c r="Q113" s="16" t="str">
        <f t="shared" si="4"/>
        <v/>
      </c>
      <c r="R113" s="12" t="str">
        <f t="shared" si="5"/>
        <v/>
      </c>
      <c r="S113" s="12" t="str">
        <f t="shared" si="6"/>
        <v/>
      </c>
      <c r="T113" s="12" t="str">
        <f t="shared" si="7"/>
        <v/>
      </c>
      <c r="U113" s="8"/>
      <c r="V113" s="8"/>
      <c r="W113" s="10"/>
      <c r="X113" s="8"/>
    </row>
    <row r="114" spans="1:24">
      <c r="A114" s="8"/>
      <c r="B114" s="10"/>
      <c r="C114" s="8"/>
      <c r="D114" s="8"/>
      <c r="E114" s="8"/>
      <c r="F114" s="8"/>
      <c r="G114" s="8"/>
      <c r="H114" s="8"/>
      <c r="I114" s="11"/>
      <c r="J114" s="11"/>
      <c r="K114" s="11"/>
      <c r="L114" s="11"/>
      <c r="M114" s="11"/>
      <c r="N114" s="11"/>
      <c r="O114" s="11"/>
      <c r="P114" s="11"/>
      <c r="Q114" s="16" t="str">
        <f t="shared" si="4"/>
        <v/>
      </c>
      <c r="R114" s="12" t="str">
        <f t="shared" si="5"/>
        <v/>
      </c>
      <c r="S114" s="12" t="str">
        <f t="shared" si="6"/>
        <v/>
      </c>
      <c r="T114" s="12" t="str">
        <f t="shared" si="7"/>
        <v/>
      </c>
      <c r="U114" s="8"/>
      <c r="V114" s="8"/>
      <c r="W114" s="10"/>
      <c r="X114" s="8"/>
    </row>
    <row r="115" spans="1:24">
      <c r="A115" s="8"/>
      <c r="B115" s="10"/>
      <c r="C115" s="8"/>
      <c r="D115" s="8"/>
      <c r="E115" s="8"/>
      <c r="F115" s="8"/>
      <c r="G115" s="8"/>
      <c r="H115" s="8"/>
      <c r="I115" s="11"/>
      <c r="J115" s="11"/>
      <c r="K115" s="11"/>
      <c r="L115" s="11"/>
      <c r="M115" s="11"/>
      <c r="N115" s="11"/>
      <c r="O115" s="11"/>
      <c r="P115" s="11"/>
      <c r="Q115" s="16" t="str">
        <f t="shared" si="4"/>
        <v/>
      </c>
      <c r="R115" s="12" t="str">
        <f t="shared" si="5"/>
        <v/>
      </c>
      <c r="S115" s="12" t="str">
        <f t="shared" si="6"/>
        <v/>
      </c>
      <c r="T115" s="12" t="str">
        <f t="shared" si="7"/>
        <v/>
      </c>
      <c r="U115" s="8"/>
      <c r="V115" s="8"/>
      <c r="W115" s="10"/>
      <c r="X115" s="8"/>
    </row>
    <row r="116" spans="1:24">
      <c r="A116" s="8"/>
      <c r="B116" s="10"/>
      <c r="C116" s="8"/>
      <c r="D116" s="8"/>
      <c r="E116" s="8"/>
      <c r="F116" s="8"/>
      <c r="G116" s="8"/>
      <c r="H116" s="8"/>
      <c r="I116" s="11"/>
      <c r="J116" s="11"/>
      <c r="K116" s="11"/>
      <c r="L116" s="11"/>
      <c r="M116" s="11"/>
      <c r="N116" s="11"/>
      <c r="O116" s="11"/>
      <c r="P116" s="11"/>
      <c r="Q116" s="16" t="str">
        <f t="shared" si="4"/>
        <v/>
      </c>
      <c r="R116" s="12" t="str">
        <f t="shared" si="5"/>
        <v/>
      </c>
      <c r="S116" s="12" t="str">
        <f t="shared" si="6"/>
        <v/>
      </c>
      <c r="T116" s="12" t="str">
        <f t="shared" si="7"/>
        <v/>
      </c>
      <c r="U116" s="8"/>
      <c r="V116" s="8"/>
      <c r="W116" s="10"/>
      <c r="X116" s="8"/>
    </row>
    <row r="117" spans="1:24">
      <c r="A117" s="8"/>
      <c r="B117" s="10"/>
      <c r="C117" s="8"/>
      <c r="D117" s="8"/>
      <c r="E117" s="8"/>
      <c r="F117" s="8"/>
      <c r="G117" s="8"/>
      <c r="H117" s="8"/>
      <c r="I117" s="11"/>
      <c r="J117" s="11"/>
      <c r="K117" s="11"/>
      <c r="L117" s="11"/>
      <c r="M117" s="11"/>
      <c r="N117" s="11"/>
      <c r="O117" s="11"/>
      <c r="P117" s="11"/>
      <c r="Q117" s="16" t="str">
        <f t="shared" si="4"/>
        <v/>
      </c>
      <c r="R117" s="12" t="str">
        <f t="shared" si="5"/>
        <v/>
      </c>
      <c r="S117" s="12" t="str">
        <f t="shared" si="6"/>
        <v/>
      </c>
      <c r="T117" s="12" t="str">
        <f t="shared" si="7"/>
        <v/>
      </c>
      <c r="U117" s="8"/>
      <c r="V117" s="8"/>
      <c r="W117" s="10"/>
      <c r="X117" s="8"/>
    </row>
    <row r="118" spans="1:24">
      <c r="A118" s="8"/>
      <c r="B118" s="10"/>
      <c r="C118" s="8"/>
      <c r="D118" s="8"/>
      <c r="E118" s="8"/>
      <c r="F118" s="8"/>
      <c r="G118" s="8"/>
      <c r="H118" s="8"/>
      <c r="I118" s="11"/>
      <c r="J118" s="11"/>
      <c r="K118" s="11"/>
      <c r="L118" s="11"/>
      <c r="M118" s="11"/>
      <c r="N118" s="11"/>
      <c r="O118" s="11"/>
      <c r="P118" s="11"/>
      <c r="Q118" s="16" t="str">
        <f t="shared" si="4"/>
        <v/>
      </c>
      <c r="R118" s="12" t="str">
        <f t="shared" si="5"/>
        <v/>
      </c>
      <c r="S118" s="12" t="str">
        <f t="shared" si="6"/>
        <v/>
      </c>
      <c r="T118" s="12" t="str">
        <f t="shared" si="7"/>
        <v/>
      </c>
      <c r="U118" s="8"/>
      <c r="V118" s="8"/>
      <c r="W118" s="10"/>
      <c r="X118" s="8"/>
    </row>
    <row r="119" spans="1:24">
      <c r="A119" s="8"/>
      <c r="B119" s="10"/>
      <c r="C119" s="8"/>
      <c r="D119" s="8"/>
      <c r="E119" s="8"/>
      <c r="F119" s="8"/>
      <c r="G119" s="8"/>
      <c r="H119" s="8"/>
      <c r="I119" s="11"/>
      <c r="J119" s="11"/>
      <c r="K119" s="11"/>
      <c r="L119" s="11"/>
      <c r="M119" s="11"/>
      <c r="N119" s="11"/>
      <c r="O119" s="11"/>
      <c r="P119" s="11"/>
      <c r="Q119" s="16" t="str">
        <f t="shared" si="4"/>
        <v/>
      </c>
      <c r="R119" s="12" t="str">
        <f t="shared" si="5"/>
        <v/>
      </c>
      <c r="S119" s="12" t="str">
        <f t="shared" si="6"/>
        <v/>
      </c>
      <c r="T119" s="12" t="str">
        <f t="shared" si="7"/>
        <v/>
      </c>
      <c r="U119" s="8"/>
      <c r="V119" s="8"/>
      <c r="W119" s="10"/>
      <c r="X119" s="8"/>
    </row>
    <row r="120" spans="1:24">
      <c r="A120" s="8"/>
      <c r="B120" s="10"/>
      <c r="C120" s="8"/>
      <c r="D120" s="8"/>
      <c r="E120" s="8"/>
      <c r="F120" s="8"/>
      <c r="G120" s="8"/>
      <c r="H120" s="8"/>
      <c r="I120" s="11"/>
      <c r="J120" s="11"/>
      <c r="K120" s="11"/>
      <c r="L120" s="11"/>
      <c r="M120" s="11"/>
      <c r="N120" s="11"/>
      <c r="O120" s="11"/>
      <c r="P120" s="11"/>
      <c r="Q120" s="16" t="str">
        <f t="shared" si="4"/>
        <v/>
      </c>
      <c r="R120" s="12" t="str">
        <f t="shared" si="5"/>
        <v/>
      </c>
      <c r="S120" s="12" t="str">
        <f t="shared" si="6"/>
        <v/>
      </c>
      <c r="T120" s="12" t="str">
        <f t="shared" si="7"/>
        <v/>
      </c>
      <c r="U120" s="8"/>
      <c r="V120" s="8"/>
      <c r="W120" s="10"/>
      <c r="X120" s="8"/>
    </row>
    <row r="121" spans="1:24">
      <c r="A121" s="8"/>
      <c r="B121" s="10"/>
      <c r="C121" s="8"/>
      <c r="D121" s="8"/>
      <c r="E121" s="8"/>
      <c r="F121" s="8"/>
      <c r="G121" s="8"/>
      <c r="H121" s="8"/>
      <c r="I121" s="11"/>
      <c r="J121" s="11"/>
      <c r="K121" s="11"/>
      <c r="L121" s="11"/>
      <c r="M121" s="11"/>
      <c r="N121" s="11"/>
      <c r="O121" s="11"/>
      <c r="P121" s="11"/>
      <c r="Q121" s="16" t="str">
        <f t="shared" si="4"/>
        <v/>
      </c>
      <c r="R121" s="12" t="str">
        <f t="shared" si="5"/>
        <v/>
      </c>
      <c r="S121" s="12" t="str">
        <f t="shared" si="6"/>
        <v/>
      </c>
      <c r="T121" s="12" t="str">
        <f t="shared" si="7"/>
        <v/>
      </c>
      <c r="U121" s="8"/>
      <c r="V121" s="8"/>
      <c r="W121" s="10"/>
      <c r="X121" s="8"/>
    </row>
    <row r="122" spans="1:24">
      <c r="A122" s="8"/>
      <c r="B122" s="10"/>
      <c r="C122" s="8"/>
      <c r="D122" s="8"/>
      <c r="E122" s="8"/>
      <c r="F122" s="8"/>
      <c r="G122" s="8"/>
      <c r="H122" s="8"/>
      <c r="I122" s="11"/>
      <c r="J122" s="11"/>
      <c r="K122" s="11"/>
      <c r="L122" s="11"/>
      <c r="M122" s="11"/>
      <c r="N122" s="11"/>
      <c r="O122" s="11"/>
      <c r="P122" s="11"/>
      <c r="Q122" s="16" t="str">
        <f t="shared" si="4"/>
        <v/>
      </c>
      <c r="R122" s="12" t="str">
        <f t="shared" si="5"/>
        <v/>
      </c>
      <c r="S122" s="12" t="str">
        <f t="shared" si="6"/>
        <v/>
      </c>
      <c r="T122" s="12" t="str">
        <f t="shared" si="7"/>
        <v/>
      </c>
      <c r="U122" s="8"/>
      <c r="V122" s="8"/>
      <c r="W122" s="10"/>
      <c r="X122" s="8"/>
    </row>
    <row r="123" spans="1:24">
      <c r="A123" s="8"/>
      <c r="B123" s="10"/>
      <c r="C123" s="8"/>
      <c r="D123" s="8"/>
      <c r="E123" s="8"/>
      <c r="F123" s="8"/>
      <c r="G123" s="8"/>
      <c r="H123" s="8"/>
      <c r="I123" s="11"/>
      <c r="J123" s="11"/>
      <c r="K123" s="11"/>
      <c r="L123" s="11"/>
      <c r="M123" s="11"/>
      <c r="N123" s="11"/>
      <c r="O123" s="11"/>
      <c r="P123" s="11"/>
      <c r="Q123" s="16" t="str">
        <f t="shared" si="4"/>
        <v/>
      </c>
      <c r="R123" s="12" t="str">
        <f t="shared" si="5"/>
        <v/>
      </c>
      <c r="S123" s="12" t="str">
        <f t="shared" si="6"/>
        <v/>
      </c>
      <c r="T123" s="12" t="str">
        <f t="shared" si="7"/>
        <v/>
      </c>
      <c r="U123" s="8"/>
      <c r="V123" s="8"/>
      <c r="W123" s="10"/>
      <c r="X123" s="8"/>
    </row>
    <row r="124" spans="1:24">
      <c r="A124" s="8"/>
      <c r="B124" s="10"/>
      <c r="C124" s="8"/>
      <c r="D124" s="8"/>
      <c r="E124" s="8"/>
      <c r="F124" s="8"/>
      <c r="G124" s="8"/>
      <c r="H124" s="8"/>
      <c r="I124" s="11"/>
      <c r="J124" s="11"/>
      <c r="K124" s="11"/>
      <c r="L124" s="11"/>
      <c r="M124" s="11"/>
      <c r="N124" s="11"/>
      <c r="O124" s="11"/>
      <c r="P124" s="11"/>
      <c r="Q124" s="16" t="str">
        <f t="shared" si="4"/>
        <v/>
      </c>
      <c r="R124" s="12" t="str">
        <f t="shared" si="5"/>
        <v/>
      </c>
      <c r="S124" s="12" t="str">
        <f t="shared" si="6"/>
        <v/>
      </c>
      <c r="T124" s="12" t="str">
        <f t="shared" si="7"/>
        <v/>
      </c>
      <c r="U124" s="8"/>
      <c r="V124" s="8"/>
      <c r="W124" s="10"/>
      <c r="X124" s="8"/>
    </row>
    <row r="125" spans="1:24">
      <c r="A125" s="8"/>
      <c r="B125" s="10"/>
      <c r="C125" s="8"/>
      <c r="D125" s="8"/>
      <c r="E125" s="8"/>
      <c r="F125" s="8"/>
      <c r="G125" s="8"/>
      <c r="H125" s="8"/>
      <c r="I125" s="11"/>
      <c r="J125" s="11"/>
      <c r="K125" s="11"/>
      <c r="L125" s="11"/>
      <c r="M125" s="11"/>
      <c r="N125" s="11"/>
      <c r="O125" s="11"/>
      <c r="P125" s="11"/>
      <c r="Q125" s="16" t="str">
        <f t="shared" si="4"/>
        <v/>
      </c>
      <c r="R125" s="12" t="str">
        <f t="shared" si="5"/>
        <v/>
      </c>
      <c r="S125" s="12" t="str">
        <f t="shared" si="6"/>
        <v/>
      </c>
      <c r="T125" s="12" t="str">
        <f t="shared" si="7"/>
        <v/>
      </c>
      <c r="U125" s="8"/>
      <c r="V125" s="8"/>
      <c r="W125" s="10"/>
      <c r="X125" s="8"/>
    </row>
    <row r="126" spans="1:24">
      <c r="A126" s="8"/>
      <c r="B126" s="10"/>
      <c r="C126" s="8"/>
      <c r="D126" s="8"/>
      <c r="E126" s="8"/>
      <c r="F126" s="8"/>
      <c r="G126" s="8"/>
      <c r="H126" s="8"/>
      <c r="I126" s="11"/>
      <c r="J126" s="11"/>
      <c r="K126" s="11"/>
      <c r="L126" s="11"/>
      <c r="M126" s="11"/>
      <c r="N126" s="11"/>
      <c r="O126" s="11"/>
      <c r="P126" s="11"/>
      <c r="Q126" s="16" t="str">
        <f t="shared" si="4"/>
        <v/>
      </c>
      <c r="R126" s="12" t="str">
        <f t="shared" si="5"/>
        <v/>
      </c>
      <c r="S126" s="12" t="str">
        <f t="shared" si="6"/>
        <v/>
      </c>
      <c r="T126" s="12" t="str">
        <f t="shared" si="7"/>
        <v/>
      </c>
      <c r="U126" s="8"/>
      <c r="V126" s="8"/>
      <c r="W126" s="10"/>
      <c r="X126" s="8"/>
    </row>
    <row r="127" spans="1:24">
      <c r="A127" s="8"/>
      <c r="B127" s="10"/>
      <c r="C127" s="8"/>
      <c r="D127" s="8"/>
      <c r="E127" s="8"/>
      <c r="F127" s="8"/>
      <c r="G127" s="8"/>
      <c r="H127" s="8"/>
      <c r="I127" s="11"/>
      <c r="J127" s="11"/>
      <c r="K127" s="11"/>
      <c r="L127" s="11"/>
      <c r="M127" s="11"/>
      <c r="N127" s="11"/>
      <c r="O127" s="11"/>
      <c r="P127" s="11"/>
      <c r="Q127" s="16" t="str">
        <f t="shared" si="4"/>
        <v/>
      </c>
      <c r="R127" s="12" t="str">
        <f t="shared" si="5"/>
        <v/>
      </c>
      <c r="S127" s="12" t="str">
        <f t="shared" si="6"/>
        <v/>
      </c>
      <c r="T127" s="12" t="str">
        <f t="shared" si="7"/>
        <v/>
      </c>
      <c r="U127" s="8"/>
      <c r="V127" s="8"/>
      <c r="W127" s="10"/>
      <c r="X127" s="8"/>
    </row>
    <row r="128" spans="1:24">
      <c r="A128" s="8"/>
      <c r="B128" s="10"/>
      <c r="C128" s="8"/>
      <c r="D128" s="8"/>
      <c r="E128" s="8"/>
      <c r="F128" s="8"/>
      <c r="G128" s="8"/>
      <c r="H128" s="8"/>
      <c r="I128" s="11"/>
      <c r="J128" s="11"/>
      <c r="K128" s="11"/>
      <c r="L128" s="11"/>
      <c r="M128" s="11"/>
      <c r="N128" s="11"/>
      <c r="O128" s="11"/>
      <c r="P128" s="11"/>
      <c r="Q128" s="16" t="str">
        <f t="shared" si="4"/>
        <v/>
      </c>
      <c r="R128" s="12" t="str">
        <f t="shared" si="5"/>
        <v/>
      </c>
      <c r="S128" s="12" t="str">
        <f t="shared" si="6"/>
        <v/>
      </c>
      <c r="T128" s="12" t="str">
        <f t="shared" si="7"/>
        <v/>
      </c>
      <c r="U128" s="8"/>
      <c r="V128" s="8"/>
      <c r="W128" s="10"/>
      <c r="X128" s="8"/>
    </row>
    <row r="129" spans="1:24">
      <c r="A129" s="8"/>
      <c r="B129" s="10"/>
      <c r="C129" s="8"/>
      <c r="D129" s="8"/>
      <c r="E129" s="8"/>
      <c r="F129" s="8"/>
      <c r="G129" s="8"/>
      <c r="H129" s="8"/>
      <c r="I129" s="11"/>
      <c r="J129" s="11"/>
      <c r="K129" s="11"/>
      <c r="L129" s="11"/>
      <c r="M129" s="11"/>
      <c r="N129" s="11"/>
      <c r="O129" s="11"/>
      <c r="P129" s="11"/>
      <c r="Q129" s="16" t="str">
        <f t="shared" si="4"/>
        <v/>
      </c>
      <c r="R129" s="12" t="str">
        <f t="shared" si="5"/>
        <v/>
      </c>
      <c r="S129" s="12" t="str">
        <f t="shared" si="6"/>
        <v/>
      </c>
      <c r="T129" s="12" t="str">
        <f t="shared" si="7"/>
        <v/>
      </c>
      <c r="U129" s="8"/>
      <c r="V129" s="8"/>
      <c r="W129" s="10"/>
      <c r="X129" s="8"/>
    </row>
    <row r="130" spans="1:24">
      <c r="A130" s="8"/>
      <c r="B130" s="10"/>
      <c r="C130" s="8"/>
      <c r="D130" s="8"/>
      <c r="E130" s="8"/>
      <c r="F130" s="8"/>
      <c r="G130" s="8"/>
      <c r="H130" s="8"/>
      <c r="I130" s="11"/>
      <c r="J130" s="11"/>
      <c r="K130" s="11"/>
      <c r="L130" s="11"/>
      <c r="M130" s="11"/>
      <c r="N130" s="11"/>
      <c r="O130" s="11"/>
      <c r="P130" s="11"/>
      <c r="Q130" s="16" t="str">
        <f t="shared" si="4"/>
        <v/>
      </c>
      <c r="R130" s="12" t="str">
        <f t="shared" si="5"/>
        <v/>
      </c>
      <c r="S130" s="12" t="str">
        <f t="shared" si="6"/>
        <v/>
      </c>
      <c r="T130" s="12" t="str">
        <f t="shared" si="7"/>
        <v/>
      </c>
      <c r="U130" s="8"/>
      <c r="V130" s="8"/>
      <c r="W130" s="10"/>
      <c r="X130" s="8"/>
    </row>
    <row r="131" spans="1:24">
      <c r="A131" s="8"/>
      <c r="B131" s="10"/>
      <c r="C131" s="8"/>
      <c r="D131" s="8"/>
      <c r="E131" s="8"/>
      <c r="F131" s="8"/>
      <c r="G131" s="8"/>
      <c r="H131" s="8"/>
      <c r="I131" s="11"/>
      <c r="J131" s="11"/>
      <c r="K131" s="11"/>
      <c r="L131" s="11"/>
      <c r="M131" s="11"/>
      <c r="N131" s="11"/>
      <c r="O131" s="11"/>
      <c r="P131" s="11"/>
      <c r="Q131" s="16" t="str">
        <f t="shared" si="4"/>
        <v/>
      </c>
      <c r="R131" s="12" t="str">
        <f t="shared" si="5"/>
        <v/>
      </c>
      <c r="S131" s="12" t="str">
        <f t="shared" si="6"/>
        <v/>
      </c>
      <c r="T131" s="12" t="str">
        <f t="shared" si="7"/>
        <v/>
      </c>
      <c r="U131" s="8"/>
      <c r="V131" s="8"/>
      <c r="W131" s="10"/>
      <c r="X131" s="8"/>
    </row>
    <row r="132" spans="1:24">
      <c r="A132" s="8"/>
      <c r="B132" s="10"/>
      <c r="C132" s="8"/>
      <c r="D132" s="8"/>
      <c r="E132" s="8"/>
      <c r="F132" s="8"/>
      <c r="G132" s="8"/>
      <c r="H132" s="8"/>
      <c r="I132" s="11"/>
      <c r="J132" s="11"/>
      <c r="K132" s="11"/>
      <c r="L132" s="11"/>
      <c r="M132" s="11"/>
      <c r="N132" s="11"/>
      <c r="O132" s="11"/>
      <c r="P132" s="11"/>
      <c r="Q132" s="16" t="str">
        <f t="shared" si="4"/>
        <v/>
      </c>
      <c r="R132" s="12" t="str">
        <f t="shared" si="5"/>
        <v/>
      </c>
      <c r="S132" s="12" t="str">
        <f t="shared" si="6"/>
        <v/>
      </c>
      <c r="T132" s="12" t="str">
        <f t="shared" si="7"/>
        <v/>
      </c>
      <c r="U132" s="8"/>
      <c r="V132" s="8"/>
      <c r="W132" s="10"/>
      <c r="X132" s="8"/>
    </row>
    <row r="133" spans="1:24">
      <c r="A133" s="8"/>
      <c r="B133" s="10"/>
      <c r="C133" s="8"/>
      <c r="D133" s="8"/>
      <c r="E133" s="8"/>
      <c r="F133" s="8"/>
      <c r="G133" s="8"/>
      <c r="H133" s="8"/>
      <c r="I133" s="11"/>
      <c r="J133" s="11"/>
      <c r="K133" s="11"/>
      <c r="L133" s="11"/>
      <c r="M133" s="11"/>
      <c r="N133" s="11"/>
      <c r="O133" s="11"/>
      <c r="P133" s="11"/>
      <c r="Q133" s="16" t="str">
        <f t="shared" ref="Q133:Q196" si="8">IF(OR(A133="",J133=0),"",K133/J133)</f>
        <v/>
      </c>
      <c r="R133" s="12" t="str">
        <f t="shared" ref="R133:R196" si="9">IF(A133="","",L133-I133)</f>
        <v/>
      </c>
      <c r="S133" s="12" t="str">
        <f t="shared" ref="S133:S196" si="10">IF(A133="","",MAX(0,I133-L133))</f>
        <v/>
      </c>
      <c r="T133" s="12" t="str">
        <f t="shared" ref="T133:T196" si="11">IF(A133="","",MAX(0,L133-I133))</f>
        <v/>
      </c>
      <c r="U133" s="8"/>
      <c r="V133" s="8"/>
      <c r="W133" s="10"/>
      <c r="X133" s="8"/>
    </row>
    <row r="134" spans="1:24">
      <c r="A134" s="8"/>
      <c r="B134" s="10"/>
      <c r="C134" s="8"/>
      <c r="D134" s="8"/>
      <c r="E134" s="8"/>
      <c r="F134" s="8"/>
      <c r="G134" s="8"/>
      <c r="H134" s="8"/>
      <c r="I134" s="11"/>
      <c r="J134" s="11"/>
      <c r="K134" s="11"/>
      <c r="L134" s="11"/>
      <c r="M134" s="11"/>
      <c r="N134" s="11"/>
      <c r="O134" s="11"/>
      <c r="P134" s="11"/>
      <c r="Q134" s="16" t="str">
        <f t="shared" si="8"/>
        <v/>
      </c>
      <c r="R134" s="12" t="str">
        <f t="shared" si="9"/>
        <v/>
      </c>
      <c r="S134" s="12" t="str">
        <f t="shared" si="10"/>
        <v/>
      </c>
      <c r="T134" s="12" t="str">
        <f t="shared" si="11"/>
        <v/>
      </c>
      <c r="U134" s="8"/>
      <c r="V134" s="8"/>
      <c r="W134" s="10"/>
      <c r="X134" s="8"/>
    </row>
    <row r="135" spans="1:24">
      <c r="A135" s="8"/>
      <c r="B135" s="10"/>
      <c r="C135" s="8"/>
      <c r="D135" s="8"/>
      <c r="E135" s="8"/>
      <c r="F135" s="8"/>
      <c r="G135" s="8"/>
      <c r="H135" s="8"/>
      <c r="I135" s="11"/>
      <c r="J135" s="11"/>
      <c r="K135" s="11"/>
      <c r="L135" s="11"/>
      <c r="M135" s="11"/>
      <c r="N135" s="11"/>
      <c r="O135" s="11"/>
      <c r="P135" s="11"/>
      <c r="Q135" s="16" t="str">
        <f t="shared" si="8"/>
        <v/>
      </c>
      <c r="R135" s="12" t="str">
        <f t="shared" si="9"/>
        <v/>
      </c>
      <c r="S135" s="12" t="str">
        <f t="shared" si="10"/>
        <v/>
      </c>
      <c r="T135" s="12" t="str">
        <f t="shared" si="11"/>
        <v/>
      </c>
      <c r="U135" s="8"/>
      <c r="V135" s="8"/>
      <c r="W135" s="10"/>
      <c r="X135" s="8"/>
    </row>
    <row r="136" spans="1:24">
      <c r="A136" s="8"/>
      <c r="B136" s="10"/>
      <c r="C136" s="8"/>
      <c r="D136" s="8"/>
      <c r="E136" s="8"/>
      <c r="F136" s="8"/>
      <c r="G136" s="8"/>
      <c r="H136" s="8"/>
      <c r="I136" s="11"/>
      <c r="J136" s="11"/>
      <c r="K136" s="11"/>
      <c r="L136" s="11"/>
      <c r="M136" s="11"/>
      <c r="N136" s="11"/>
      <c r="O136" s="11"/>
      <c r="P136" s="11"/>
      <c r="Q136" s="16" t="str">
        <f t="shared" si="8"/>
        <v/>
      </c>
      <c r="R136" s="12" t="str">
        <f t="shared" si="9"/>
        <v/>
      </c>
      <c r="S136" s="12" t="str">
        <f t="shared" si="10"/>
        <v/>
      </c>
      <c r="T136" s="12" t="str">
        <f t="shared" si="11"/>
        <v/>
      </c>
      <c r="U136" s="8"/>
      <c r="V136" s="8"/>
      <c r="W136" s="10"/>
      <c r="X136" s="8"/>
    </row>
    <row r="137" spans="1:24">
      <c r="A137" s="8"/>
      <c r="B137" s="10"/>
      <c r="C137" s="8"/>
      <c r="D137" s="8"/>
      <c r="E137" s="8"/>
      <c r="F137" s="8"/>
      <c r="G137" s="8"/>
      <c r="H137" s="8"/>
      <c r="I137" s="11"/>
      <c r="J137" s="11"/>
      <c r="K137" s="11"/>
      <c r="L137" s="11"/>
      <c r="M137" s="11"/>
      <c r="N137" s="11"/>
      <c r="O137" s="11"/>
      <c r="P137" s="11"/>
      <c r="Q137" s="16" t="str">
        <f t="shared" si="8"/>
        <v/>
      </c>
      <c r="R137" s="12" t="str">
        <f t="shared" si="9"/>
        <v/>
      </c>
      <c r="S137" s="12" t="str">
        <f t="shared" si="10"/>
        <v/>
      </c>
      <c r="T137" s="12" t="str">
        <f t="shared" si="11"/>
        <v/>
      </c>
      <c r="U137" s="8"/>
      <c r="V137" s="8"/>
      <c r="W137" s="10"/>
      <c r="X137" s="8"/>
    </row>
    <row r="138" spans="1:24">
      <c r="A138" s="8"/>
      <c r="B138" s="10"/>
      <c r="C138" s="8"/>
      <c r="D138" s="8"/>
      <c r="E138" s="8"/>
      <c r="F138" s="8"/>
      <c r="G138" s="8"/>
      <c r="H138" s="8"/>
      <c r="I138" s="11"/>
      <c r="J138" s="11"/>
      <c r="K138" s="11"/>
      <c r="L138" s="11"/>
      <c r="M138" s="11"/>
      <c r="N138" s="11"/>
      <c r="O138" s="11"/>
      <c r="P138" s="11"/>
      <c r="Q138" s="16" t="str">
        <f t="shared" si="8"/>
        <v/>
      </c>
      <c r="R138" s="12" t="str">
        <f t="shared" si="9"/>
        <v/>
      </c>
      <c r="S138" s="12" t="str">
        <f t="shared" si="10"/>
        <v/>
      </c>
      <c r="T138" s="12" t="str">
        <f t="shared" si="11"/>
        <v/>
      </c>
      <c r="U138" s="8"/>
      <c r="V138" s="8"/>
      <c r="W138" s="10"/>
      <c r="X138" s="8"/>
    </row>
    <row r="139" spans="1:24">
      <c r="A139" s="8"/>
      <c r="B139" s="10"/>
      <c r="C139" s="8"/>
      <c r="D139" s="8"/>
      <c r="E139" s="8"/>
      <c r="F139" s="8"/>
      <c r="G139" s="8"/>
      <c r="H139" s="8"/>
      <c r="I139" s="11"/>
      <c r="J139" s="11"/>
      <c r="K139" s="11"/>
      <c r="L139" s="11"/>
      <c r="M139" s="11"/>
      <c r="N139" s="11"/>
      <c r="O139" s="11"/>
      <c r="P139" s="11"/>
      <c r="Q139" s="16" t="str">
        <f t="shared" si="8"/>
        <v/>
      </c>
      <c r="R139" s="12" t="str">
        <f t="shared" si="9"/>
        <v/>
      </c>
      <c r="S139" s="12" t="str">
        <f t="shared" si="10"/>
        <v/>
      </c>
      <c r="T139" s="12" t="str">
        <f t="shared" si="11"/>
        <v/>
      </c>
      <c r="U139" s="8"/>
      <c r="V139" s="8"/>
      <c r="W139" s="10"/>
      <c r="X139" s="8"/>
    </row>
    <row r="140" spans="1:24">
      <c r="A140" s="8"/>
      <c r="B140" s="10"/>
      <c r="C140" s="8"/>
      <c r="D140" s="8"/>
      <c r="E140" s="8"/>
      <c r="F140" s="8"/>
      <c r="G140" s="8"/>
      <c r="H140" s="8"/>
      <c r="I140" s="11"/>
      <c r="J140" s="11"/>
      <c r="K140" s="11"/>
      <c r="L140" s="11"/>
      <c r="M140" s="11"/>
      <c r="N140" s="11"/>
      <c r="O140" s="11"/>
      <c r="P140" s="11"/>
      <c r="Q140" s="16" t="str">
        <f t="shared" si="8"/>
        <v/>
      </c>
      <c r="R140" s="12" t="str">
        <f t="shared" si="9"/>
        <v/>
      </c>
      <c r="S140" s="12" t="str">
        <f t="shared" si="10"/>
        <v/>
      </c>
      <c r="T140" s="12" t="str">
        <f t="shared" si="11"/>
        <v/>
      </c>
      <c r="U140" s="8"/>
      <c r="V140" s="8"/>
      <c r="W140" s="10"/>
      <c r="X140" s="8"/>
    </row>
    <row r="141" spans="1:24">
      <c r="A141" s="8"/>
      <c r="B141" s="10"/>
      <c r="C141" s="8"/>
      <c r="D141" s="8"/>
      <c r="E141" s="8"/>
      <c r="F141" s="8"/>
      <c r="G141" s="8"/>
      <c r="H141" s="8"/>
      <c r="I141" s="11"/>
      <c r="J141" s="11"/>
      <c r="K141" s="11"/>
      <c r="L141" s="11"/>
      <c r="M141" s="11"/>
      <c r="N141" s="11"/>
      <c r="O141" s="11"/>
      <c r="P141" s="11"/>
      <c r="Q141" s="16" t="str">
        <f t="shared" si="8"/>
        <v/>
      </c>
      <c r="R141" s="12" t="str">
        <f t="shared" si="9"/>
        <v/>
      </c>
      <c r="S141" s="12" t="str">
        <f t="shared" si="10"/>
        <v/>
      </c>
      <c r="T141" s="12" t="str">
        <f t="shared" si="11"/>
        <v/>
      </c>
      <c r="U141" s="8"/>
      <c r="V141" s="8"/>
      <c r="W141" s="10"/>
      <c r="X141" s="8"/>
    </row>
    <row r="142" spans="1:24">
      <c r="A142" s="8"/>
      <c r="B142" s="10"/>
      <c r="C142" s="8"/>
      <c r="D142" s="8"/>
      <c r="E142" s="8"/>
      <c r="F142" s="8"/>
      <c r="G142" s="8"/>
      <c r="H142" s="8"/>
      <c r="I142" s="11"/>
      <c r="J142" s="11"/>
      <c r="K142" s="11"/>
      <c r="L142" s="11"/>
      <c r="M142" s="11"/>
      <c r="N142" s="11"/>
      <c r="O142" s="11"/>
      <c r="P142" s="11"/>
      <c r="Q142" s="16" t="str">
        <f t="shared" si="8"/>
        <v/>
      </c>
      <c r="R142" s="12" t="str">
        <f t="shared" si="9"/>
        <v/>
      </c>
      <c r="S142" s="12" t="str">
        <f t="shared" si="10"/>
        <v/>
      </c>
      <c r="T142" s="12" t="str">
        <f t="shared" si="11"/>
        <v/>
      </c>
      <c r="U142" s="8"/>
      <c r="V142" s="8"/>
      <c r="W142" s="10"/>
      <c r="X142" s="8"/>
    </row>
    <row r="143" spans="1:24">
      <c r="A143" s="8"/>
      <c r="B143" s="10"/>
      <c r="C143" s="8"/>
      <c r="D143" s="8"/>
      <c r="E143" s="8"/>
      <c r="F143" s="8"/>
      <c r="G143" s="8"/>
      <c r="H143" s="8"/>
      <c r="I143" s="11"/>
      <c r="J143" s="11"/>
      <c r="K143" s="11"/>
      <c r="L143" s="11"/>
      <c r="M143" s="11"/>
      <c r="N143" s="11"/>
      <c r="O143" s="11"/>
      <c r="P143" s="11"/>
      <c r="Q143" s="16" t="str">
        <f t="shared" si="8"/>
        <v/>
      </c>
      <c r="R143" s="12" t="str">
        <f t="shared" si="9"/>
        <v/>
      </c>
      <c r="S143" s="12" t="str">
        <f t="shared" si="10"/>
        <v/>
      </c>
      <c r="T143" s="12" t="str">
        <f t="shared" si="11"/>
        <v/>
      </c>
      <c r="U143" s="8"/>
      <c r="V143" s="8"/>
      <c r="W143" s="10"/>
      <c r="X143" s="8"/>
    </row>
    <row r="144" spans="1:24">
      <c r="A144" s="8"/>
      <c r="B144" s="10"/>
      <c r="C144" s="8"/>
      <c r="D144" s="8"/>
      <c r="E144" s="8"/>
      <c r="F144" s="8"/>
      <c r="G144" s="8"/>
      <c r="H144" s="8"/>
      <c r="I144" s="11"/>
      <c r="J144" s="11"/>
      <c r="K144" s="11"/>
      <c r="L144" s="11"/>
      <c r="M144" s="11"/>
      <c r="N144" s="11"/>
      <c r="O144" s="11"/>
      <c r="P144" s="11"/>
      <c r="Q144" s="16" t="str">
        <f t="shared" si="8"/>
        <v/>
      </c>
      <c r="R144" s="12" t="str">
        <f t="shared" si="9"/>
        <v/>
      </c>
      <c r="S144" s="12" t="str">
        <f t="shared" si="10"/>
        <v/>
      </c>
      <c r="T144" s="12" t="str">
        <f t="shared" si="11"/>
        <v/>
      </c>
      <c r="U144" s="8"/>
      <c r="V144" s="8"/>
      <c r="W144" s="10"/>
      <c r="X144" s="8"/>
    </row>
    <row r="145" spans="1:24">
      <c r="A145" s="8"/>
      <c r="B145" s="10"/>
      <c r="C145" s="8"/>
      <c r="D145" s="8"/>
      <c r="E145" s="8"/>
      <c r="F145" s="8"/>
      <c r="G145" s="8"/>
      <c r="H145" s="8"/>
      <c r="I145" s="11"/>
      <c r="J145" s="11"/>
      <c r="K145" s="11"/>
      <c r="L145" s="11"/>
      <c r="M145" s="11"/>
      <c r="N145" s="11"/>
      <c r="O145" s="11"/>
      <c r="P145" s="11"/>
      <c r="Q145" s="16" t="str">
        <f t="shared" si="8"/>
        <v/>
      </c>
      <c r="R145" s="12" t="str">
        <f t="shared" si="9"/>
        <v/>
      </c>
      <c r="S145" s="12" t="str">
        <f t="shared" si="10"/>
        <v/>
      </c>
      <c r="T145" s="12" t="str">
        <f t="shared" si="11"/>
        <v/>
      </c>
      <c r="U145" s="8"/>
      <c r="V145" s="8"/>
      <c r="W145" s="10"/>
      <c r="X145" s="8"/>
    </row>
    <row r="146" spans="1:24">
      <c r="A146" s="8"/>
      <c r="B146" s="10"/>
      <c r="C146" s="8"/>
      <c r="D146" s="8"/>
      <c r="E146" s="8"/>
      <c r="F146" s="8"/>
      <c r="G146" s="8"/>
      <c r="H146" s="8"/>
      <c r="I146" s="11"/>
      <c r="J146" s="11"/>
      <c r="K146" s="11"/>
      <c r="L146" s="11"/>
      <c r="M146" s="11"/>
      <c r="N146" s="11"/>
      <c r="O146" s="11"/>
      <c r="P146" s="11"/>
      <c r="Q146" s="16" t="str">
        <f t="shared" si="8"/>
        <v/>
      </c>
      <c r="R146" s="12" t="str">
        <f t="shared" si="9"/>
        <v/>
      </c>
      <c r="S146" s="12" t="str">
        <f t="shared" si="10"/>
        <v/>
      </c>
      <c r="T146" s="12" t="str">
        <f t="shared" si="11"/>
        <v/>
      </c>
      <c r="U146" s="8"/>
      <c r="V146" s="8"/>
      <c r="W146" s="10"/>
      <c r="X146" s="8"/>
    </row>
    <row r="147" spans="1:24">
      <c r="A147" s="8"/>
      <c r="B147" s="10"/>
      <c r="C147" s="8"/>
      <c r="D147" s="8"/>
      <c r="E147" s="8"/>
      <c r="F147" s="8"/>
      <c r="G147" s="8"/>
      <c r="H147" s="8"/>
      <c r="I147" s="11"/>
      <c r="J147" s="11"/>
      <c r="K147" s="11"/>
      <c r="L147" s="11"/>
      <c r="M147" s="11"/>
      <c r="N147" s="11"/>
      <c r="O147" s="11"/>
      <c r="P147" s="11"/>
      <c r="Q147" s="16" t="str">
        <f t="shared" si="8"/>
        <v/>
      </c>
      <c r="R147" s="12" t="str">
        <f t="shared" si="9"/>
        <v/>
      </c>
      <c r="S147" s="12" t="str">
        <f t="shared" si="10"/>
        <v/>
      </c>
      <c r="T147" s="12" t="str">
        <f t="shared" si="11"/>
        <v/>
      </c>
      <c r="U147" s="8"/>
      <c r="V147" s="8"/>
      <c r="W147" s="10"/>
      <c r="X147" s="8"/>
    </row>
    <row r="148" spans="1:24">
      <c r="A148" s="8"/>
      <c r="B148" s="10"/>
      <c r="C148" s="8"/>
      <c r="D148" s="8"/>
      <c r="E148" s="8"/>
      <c r="F148" s="8"/>
      <c r="G148" s="8"/>
      <c r="H148" s="8"/>
      <c r="I148" s="11"/>
      <c r="J148" s="11"/>
      <c r="K148" s="11"/>
      <c r="L148" s="11"/>
      <c r="M148" s="11"/>
      <c r="N148" s="11"/>
      <c r="O148" s="11"/>
      <c r="P148" s="11"/>
      <c r="Q148" s="16" t="str">
        <f t="shared" si="8"/>
        <v/>
      </c>
      <c r="R148" s="12" t="str">
        <f t="shared" si="9"/>
        <v/>
      </c>
      <c r="S148" s="12" t="str">
        <f t="shared" si="10"/>
        <v/>
      </c>
      <c r="T148" s="12" t="str">
        <f t="shared" si="11"/>
        <v/>
      </c>
      <c r="U148" s="8"/>
      <c r="V148" s="8"/>
      <c r="W148" s="10"/>
      <c r="X148" s="8"/>
    </row>
    <row r="149" spans="1:24">
      <c r="A149" s="8"/>
      <c r="B149" s="10"/>
      <c r="C149" s="8"/>
      <c r="D149" s="8"/>
      <c r="E149" s="8"/>
      <c r="F149" s="8"/>
      <c r="G149" s="8"/>
      <c r="H149" s="8"/>
      <c r="I149" s="11"/>
      <c r="J149" s="11"/>
      <c r="K149" s="11"/>
      <c r="L149" s="11"/>
      <c r="M149" s="11"/>
      <c r="N149" s="11"/>
      <c r="O149" s="11"/>
      <c r="P149" s="11"/>
      <c r="Q149" s="16" t="str">
        <f t="shared" si="8"/>
        <v/>
      </c>
      <c r="R149" s="12" t="str">
        <f t="shared" si="9"/>
        <v/>
      </c>
      <c r="S149" s="12" t="str">
        <f t="shared" si="10"/>
        <v/>
      </c>
      <c r="T149" s="12" t="str">
        <f t="shared" si="11"/>
        <v/>
      </c>
      <c r="U149" s="8"/>
      <c r="V149" s="8"/>
      <c r="W149" s="10"/>
      <c r="X149" s="8"/>
    </row>
    <row r="150" spans="1:24">
      <c r="A150" s="8"/>
      <c r="B150" s="10"/>
      <c r="C150" s="8"/>
      <c r="D150" s="8"/>
      <c r="E150" s="8"/>
      <c r="F150" s="8"/>
      <c r="G150" s="8"/>
      <c r="H150" s="8"/>
      <c r="I150" s="11"/>
      <c r="J150" s="11"/>
      <c r="K150" s="11"/>
      <c r="L150" s="11"/>
      <c r="M150" s="11"/>
      <c r="N150" s="11"/>
      <c r="O150" s="11"/>
      <c r="P150" s="11"/>
      <c r="Q150" s="16" t="str">
        <f t="shared" si="8"/>
        <v/>
      </c>
      <c r="R150" s="12" t="str">
        <f t="shared" si="9"/>
        <v/>
      </c>
      <c r="S150" s="12" t="str">
        <f t="shared" si="10"/>
        <v/>
      </c>
      <c r="T150" s="12" t="str">
        <f t="shared" si="11"/>
        <v/>
      </c>
      <c r="U150" s="8"/>
      <c r="V150" s="8"/>
      <c r="W150" s="10"/>
      <c r="X150" s="8"/>
    </row>
    <row r="151" spans="1:24">
      <c r="A151" s="8"/>
      <c r="B151" s="10"/>
      <c r="C151" s="8"/>
      <c r="D151" s="8"/>
      <c r="E151" s="8"/>
      <c r="F151" s="8"/>
      <c r="G151" s="8"/>
      <c r="H151" s="8"/>
      <c r="I151" s="11"/>
      <c r="J151" s="11"/>
      <c r="K151" s="11"/>
      <c r="L151" s="11"/>
      <c r="M151" s="11"/>
      <c r="N151" s="11"/>
      <c r="O151" s="11"/>
      <c r="P151" s="11"/>
      <c r="Q151" s="16" t="str">
        <f t="shared" si="8"/>
        <v/>
      </c>
      <c r="R151" s="12" t="str">
        <f t="shared" si="9"/>
        <v/>
      </c>
      <c r="S151" s="12" t="str">
        <f t="shared" si="10"/>
        <v/>
      </c>
      <c r="T151" s="12" t="str">
        <f t="shared" si="11"/>
        <v/>
      </c>
      <c r="U151" s="8"/>
      <c r="V151" s="8"/>
      <c r="W151" s="10"/>
      <c r="X151" s="8"/>
    </row>
    <row r="152" spans="1:24">
      <c r="A152" s="8"/>
      <c r="B152" s="10"/>
      <c r="C152" s="8"/>
      <c r="D152" s="8"/>
      <c r="E152" s="8"/>
      <c r="F152" s="8"/>
      <c r="G152" s="8"/>
      <c r="H152" s="8"/>
      <c r="I152" s="11"/>
      <c r="J152" s="11"/>
      <c r="K152" s="11"/>
      <c r="L152" s="11"/>
      <c r="M152" s="11"/>
      <c r="N152" s="11"/>
      <c r="O152" s="11"/>
      <c r="P152" s="11"/>
      <c r="Q152" s="16" t="str">
        <f t="shared" si="8"/>
        <v/>
      </c>
      <c r="R152" s="12" t="str">
        <f t="shared" si="9"/>
        <v/>
      </c>
      <c r="S152" s="12" t="str">
        <f t="shared" si="10"/>
        <v/>
      </c>
      <c r="T152" s="12" t="str">
        <f t="shared" si="11"/>
        <v/>
      </c>
      <c r="U152" s="8"/>
      <c r="V152" s="8"/>
      <c r="W152" s="10"/>
      <c r="X152" s="8"/>
    </row>
    <row r="153" spans="1:24">
      <c r="A153" s="8"/>
      <c r="B153" s="10"/>
      <c r="C153" s="8"/>
      <c r="D153" s="8"/>
      <c r="E153" s="8"/>
      <c r="F153" s="8"/>
      <c r="G153" s="8"/>
      <c r="H153" s="8"/>
      <c r="I153" s="11"/>
      <c r="J153" s="11"/>
      <c r="K153" s="11"/>
      <c r="L153" s="11"/>
      <c r="M153" s="11"/>
      <c r="N153" s="11"/>
      <c r="O153" s="11"/>
      <c r="P153" s="11"/>
      <c r="Q153" s="16" t="str">
        <f t="shared" si="8"/>
        <v/>
      </c>
      <c r="R153" s="12" t="str">
        <f t="shared" si="9"/>
        <v/>
      </c>
      <c r="S153" s="12" t="str">
        <f t="shared" si="10"/>
        <v/>
      </c>
      <c r="T153" s="12" t="str">
        <f t="shared" si="11"/>
        <v/>
      </c>
      <c r="U153" s="8"/>
      <c r="V153" s="8"/>
      <c r="W153" s="10"/>
      <c r="X153" s="8"/>
    </row>
    <row r="154" spans="1:24">
      <c r="A154" s="8"/>
      <c r="B154" s="10"/>
      <c r="C154" s="8"/>
      <c r="D154" s="8"/>
      <c r="E154" s="8"/>
      <c r="F154" s="8"/>
      <c r="G154" s="8"/>
      <c r="H154" s="8"/>
      <c r="I154" s="11"/>
      <c r="J154" s="11"/>
      <c r="K154" s="11"/>
      <c r="L154" s="11"/>
      <c r="M154" s="11"/>
      <c r="N154" s="11"/>
      <c r="O154" s="11"/>
      <c r="P154" s="11"/>
      <c r="Q154" s="16" t="str">
        <f t="shared" si="8"/>
        <v/>
      </c>
      <c r="R154" s="12" t="str">
        <f t="shared" si="9"/>
        <v/>
      </c>
      <c r="S154" s="12" t="str">
        <f t="shared" si="10"/>
        <v/>
      </c>
      <c r="T154" s="12" t="str">
        <f t="shared" si="11"/>
        <v/>
      </c>
      <c r="U154" s="8"/>
      <c r="V154" s="8"/>
      <c r="W154" s="10"/>
      <c r="X154" s="8"/>
    </row>
    <row r="155" spans="1:24">
      <c r="A155" s="8"/>
      <c r="B155" s="10"/>
      <c r="C155" s="8"/>
      <c r="D155" s="8"/>
      <c r="E155" s="8"/>
      <c r="F155" s="8"/>
      <c r="G155" s="8"/>
      <c r="H155" s="8"/>
      <c r="I155" s="11"/>
      <c r="J155" s="11"/>
      <c r="K155" s="11"/>
      <c r="L155" s="11"/>
      <c r="M155" s="11"/>
      <c r="N155" s="11"/>
      <c r="O155" s="11"/>
      <c r="P155" s="11"/>
      <c r="Q155" s="16" t="str">
        <f t="shared" si="8"/>
        <v/>
      </c>
      <c r="R155" s="12" t="str">
        <f t="shared" si="9"/>
        <v/>
      </c>
      <c r="S155" s="12" t="str">
        <f t="shared" si="10"/>
        <v/>
      </c>
      <c r="T155" s="12" t="str">
        <f t="shared" si="11"/>
        <v/>
      </c>
      <c r="U155" s="8"/>
      <c r="V155" s="8"/>
      <c r="W155" s="10"/>
      <c r="X155" s="8"/>
    </row>
    <row r="156" spans="1:24">
      <c r="A156" s="8"/>
      <c r="B156" s="10"/>
      <c r="C156" s="8"/>
      <c r="D156" s="8"/>
      <c r="E156" s="8"/>
      <c r="F156" s="8"/>
      <c r="G156" s="8"/>
      <c r="H156" s="8"/>
      <c r="I156" s="11"/>
      <c r="J156" s="11"/>
      <c r="K156" s="11"/>
      <c r="L156" s="11"/>
      <c r="M156" s="11"/>
      <c r="N156" s="11"/>
      <c r="O156" s="11"/>
      <c r="P156" s="11"/>
      <c r="Q156" s="16" t="str">
        <f t="shared" si="8"/>
        <v/>
      </c>
      <c r="R156" s="12" t="str">
        <f t="shared" si="9"/>
        <v/>
      </c>
      <c r="S156" s="12" t="str">
        <f t="shared" si="10"/>
        <v/>
      </c>
      <c r="T156" s="12" t="str">
        <f t="shared" si="11"/>
        <v/>
      </c>
      <c r="U156" s="8"/>
      <c r="V156" s="8"/>
      <c r="W156" s="10"/>
      <c r="X156" s="8"/>
    </row>
    <row r="157" spans="1:24">
      <c r="A157" s="8"/>
      <c r="B157" s="10"/>
      <c r="C157" s="8"/>
      <c r="D157" s="8"/>
      <c r="E157" s="8"/>
      <c r="F157" s="8"/>
      <c r="G157" s="8"/>
      <c r="H157" s="8"/>
      <c r="I157" s="11"/>
      <c r="J157" s="11"/>
      <c r="K157" s="11"/>
      <c r="L157" s="11"/>
      <c r="M157" s="11"/>
      <c r="N157" s="11"/>
      <c r="O157" s="11"/>
      <c r="P157" s="11"/>
      <c r="Q157" s="16" t="str">
        <f t="shared" si="8"/>
        <v/>
      </c>
      <c r="R157" s="12" t="str">
        <f t="shared" si="9"/>
        <v/>
      </c>
      <c r="S157" s="12" t="str">
        <f t="shared" si="10"/>
        <v/>
      </c>
      <c r="T157" s="12" t="str">
        <f t="shared" si="11"/>
        <v/>
      </c>
      <c r="U157" s="8"/>
      <c r="V157" s="8"/>
      <c r="W157" s="10"/>
      <c r="X157" s="8"/>
    </row>
    <row r="158" spans="1:24">
      <c r="A158" s="8"/>
      <c r="B158" s="10"/>
      <c r="C158" s="8"/>
      <c r="D158" s="8"/>
      <c r="E158" s="8"/>
      <c r="F158" s="8"/>
      <c r="G158" s="8"/>
      <c r="H158" s="8"/>
      <c r="I158" s="11"/>
      <c r="J158" s="11"/>
      <c r="K158" s="11"/>
      <c r="L158" s="11"/>
      <c r="M158" s="11"/>
      <c r="N158" s="11"/>
      <c r="O158" s="11"/>
      <c r="P158" s="11"/>
      <c r="Q158" s="16" t="str">
        <f t="shared" si="8"/>
        <v/>
      </c>
      <c r="R158" s="12" t="str">
        <f t="shared" si="9"/>
        <v/>
      </c>
      <c r="S158" s="12" t="str">
        <f t="shared" si="10"/>
        <v/>
      </c>
      <c r="T158" s="12" t="str">
        <f t="shared" si="11"/>
        <v/>
      </c>
      <c r="U158" s="8"/>
      <c r="V158" s="8"/>
      <c r="W158" s="10"/>
      <c r="X158" s="8"/>
    </row>
    <row r="159" spans="1:24">
      <c r="A159" s="8"/>
      <c r="B159" s="10"/>
      <c r="C159" s="8"/>
      <c r="D159" s="8"/>
      <c r="E159" s="8"/>
      <c r="F159" s="8"/>
      <c r="G159" s="8"/>
      <c r="H159" s="8"/>
      <c r="I159" s="11"/>
      <c r="J159" s="11"/>
      <c r="K159" s="11"/>
      <c r="L159" s="11"/>
      <c r="M159" s="11"/>
      <c r="N159" s="11"/>
      <c r="O159" s="11"/>
      <c r="P159" s="11"/>
      <c r="Q159" s="16" t="str">
        <f t="shared" si="8"/>
        <v/>
      </c>
      <c r="R159" s="12" t="str">
        <f t="shared" si="9"/>
        <v/>
      </c>
      <c r="S159" s="12" t="str">
        <f t="shared" si="10"/>
        <v/>
      </c>
      <c r="T159" s="12" t="str">
        <f t="shared" si="11"/>
        <v/>
      </c>
      <c r="U159" s="8"/>
      <c r="V159" s="8"/>
      <c r="W159" s="10"/>
      <c r="X159" s="8"/>
    </row>
    <row r="160" spans="1:24">
      <c r="A160" s="8"/>
      <c r="B160" s="10"/>
      <c r="C160" s="8"/>
      <c r="D160" s="8"/>
      <c r="E160" s="8"/>
      <c r="F160" s="8"/>
      <c r="G160" s="8"/>
      <c r="H160" s="8"/>
      <c r="I160" s="11"/>
      <c r="J160" s="11"/>
      <c r="K160" s="11"/>
      <c r="L160" s="11"/>
      <c r="M160" s="11"/>
      <c r="N160" s="11"/>
      <c r="O160" s="11"/>
      <c r="P160" s="11"/>
      <c r="Q160" s="16" t="str">
        <f t="shared" si="8"/>
        <v/>
      </c>
      <c r="R160" s="12" t="str">
        <f t="shared" si="9"/>
        <v/>
      </c>
      <c r="S160" s="12" t="str">
        <f t="shared" si="10"/>
        <v/>
      </c>
      <c r="T160" s="12" t="str">
        <f t="shared" si="11"/>
        <v/>
      </c>
      <c r="U160" s="8"/>
      <c r="V160" s="8"/>
      <c r="W160" s="10"/>
      <c r="X160" s="8"/>
    </row>
    <row r="161" spans="1:24">
      <c r="A161" s="8"/>
      <c r="B161" s="10"/>
      <c r="C161" s="8"/>
      <c r="D161" s="8"/>
      <c r="E161" s="8"/>
      <c r="F161" s="8"/>
      <c r="G161" s="8"/>
      <c r="H161" s="8"/>
      <c r="I161" s="11"/>
      <c r="J161" s="11"/>
      <c r="K161" s="11"/>
      <c r="L161" s="11"/>
      <c r="M161" s="11"/>
      <c r="N161" s="11"/>
      <c r="O161" s="11"/>
      <c r="P161" s="11"/>
      <c r="Q161" s="16" t="str">
        <f t="shared" si="8"/>
        <v/>
      </c>
      <c r="R161" s="12" t="str">
        <f t="shared" si="9"/>
        <v/>
      </c>
      <c r="S161" s="12" t="str">
        <f t="shared" si="10"/>
        <v/>
      </c>
      <c r="T161" s="12" t="str">
        <f t="shared" si="11"/>
        <v/>
      </c>
      <c r="U161" s="8"/>
      <c r="V161" s="8"/>
      <c r="W161" s="10"/>
      <c r="X161" s="8"/>
    </row>
    <row r="162" spans="1:24">
      <c r="A162" s="8"/>
      <c r="B162" s="10"/>
      <c r="C162" s="8"/>
      <c r="D162" s="8"/>
      <c r="E162" s="8"/>
      <c r="F162" s="8"/>
      <c r="G162" s="8"/>
      <c r="H162" s="8"/>
      <c r="I162" s="11"/>
      <c r="J162" s="11"/>
      <c r="K162" s="11"/>
      <c r="L162" s="11"/>
      <c r="M162" s="11"/>
      <c r="N162" s="11"/>
      <c r="O162" s="11"/>
      <c r="P162" s="11"/>
      <c r="Q162" s="16" t="str">
        <f t="shared" si="8"/>
        <v/>
      </c>
      <c r="R162" s="12" t="str">
        <f t="shared" si="9"/>
        <v/>
      </c>
      <c r="S162" s="12" t="str">
        <f t="shared" si="10"/>
        <v/>
      </c>
      <c r="T162" s="12" t="str">
        <f t="shared" si="11"/>
        <v/>
      </c>
      <c r="U162" s="8"/>
      <c r="V162" s="8"/>
      <c r="W162" s="10"/>
      <c r="X162" s="8"/>
    </row>
    <row r="163" spans="1:24">
      <c r="A163" s="8"/>
      <c r="B163" s="10"/>
      <c r="C163" s="8"/>
      <c r="D163" s="8"/>
      <c r="E163" s="8"/>
      <c r="F163" s="8"/>
      <c r="G163" s="8"/>
      <c r="H163" s="8"/>
      <c r="I163" s="11"/>
      <c r="J163" s="11"/>
      <c r="K163" s="11"/>
      <c r="L163" s="11"/>
      <c r="M163" s="11"/>
      <c r="N163" s="11"/>
      <c r="O163" s="11"/>
      <c r="P163" s="11"/>
      <c r="Q163" s="16" t="str">
        <f t="shared" si="8"/>
        <v/>
      </c>
      <c r="R163" s="12" t="str">
        <f t="shared" si="9"/>
        <v/>
      </c>
      <c r="S163" s="12" t="str">
        <f t="shared" si="10"/>
        <v/>
      </c>
      <c r="T163" s="12" t="str">
        <f t="shared" si="11"/>
        <v/>
      </c>
      <c r="U163" s="8"/>
      <c r="V163" s="8"/>
      <c r="W163" s="10"/>
      <c r="X163" s="8"/>
    </row>
    <row r="164" spans="1:24">
      <c r="A164" s="8"/>
      <c r="B164" s="10"/>
      <c r="C164" s="8"/>
      <c r="D164" s="8"/>
      <c r="E164" s="8"/>
      <c r="F164" s="8"/>
      <c r="G164" s="8"/>
      <c r="H164" s="8"/>
      <c r="I164" s="11"/>
      <c r="J164" s="11"/>
      <c r="K164" s="11"/>
      <c r="L164" s="11"/>
      <c r="M164" s="11"/>
      <c r="N164" s="11"/>
      <c r="O164" s="11"/>
      <c r="P164" s="11"/>
      <c r="Q164" s="16" t="str">
        <f t="shared" si="8"/>
        <v/>
      </c>
      <c r="R164" s="12" t="str">
        <f t="shared" si="9"/>
        <v/>
      </c>
      <c r="S164" s="12" t="str">
        <f t="shared" si="10"/>
        <v/>
      </c>
      <c r="T164" s="12" t="str">
        <f t="shared" si="11"/>
        <v/>
      </c>
      <c r="U164" s="8"/>
      <c r="V164" s="8"/>
      <c r="W164" s="10"/>
      <c r="X164" s="8"/>
    </row>
    <row r="165" spans="1:24">
      <c r="A165" s="8"/>
      <c r="B165" s="10"/>
      <c r="C165" s="8"/>
      <c r="D165" s="8"/>
      <c r="E165" s="8"/>
      <c r="F165" s="8"/>
      <c r="G165" s="8"/>
      <c r="H165" s="8"/>
      <c r="I165" s="11"/>
      <c r="J165" s="11"/>
      <c r="K165" s="11"/>
      <c r="L165" s="11"/>
      <c r="M165" s="11"/>
      <c r="N165" s="11"/>
      <c r="O165" s="11"/>
      <c r="P165" s="11"/>
      <c r="Q165" s="16" t="str">
        <f t="shared" si="8"/>
        <v/>
      </c>
      <c r="R165" s="12" t="str">
        <f t="shared" si="9"/>
        <v/>
      </c>
      <c r="S165" s="12" t="str">
        <f t="shared" si="10"/>
        <v/>
      </c>
      <c r="T165" s="12" t="str">
        <f t="shared" si="11"/>
        <v/>
      </c>
      <c r="U165" s="8"/>
      <c r="V165" s="8"/>
      <c r="W165" s="10"/>
      <c r="X165" s="8"/>
    </row>
    <row r="166" spans="1:24">
      <c r="A166" s="8"/>
      <c r="B166" s="10"/>
      <c r="C166" s="8"/>
      <c r="D166" s="8"/>
      <c r="E166" s="8"/>
      <c r="F166" s="8"/>
      <c r="G166" s="8"/>
      <c r="H166" s="8"/>
      <c r="I166" s="11"/>
      <c r="J166" s="11"/>
      <c r="K166" s="11"/>
      <c r="L166" s="11"/>
      <c r="M166" s="11"/>
      <c r="N166" s="11"/>
      <c r="O166" s="11"/>
      <c r="P166" s="11"/>
      <c r="Q166" s="16" t="str">
        <f t="shared" si="8"/>
        <v/>
      </c>
      <c r="R166" s="12" t="str">
        <f t="shared" si="9"/>
        <v/>
      </c>
      <c r="S166" s="12" t="str">
        <f t="shared" si="10"/>
        <v/>
      </c>
      <c r="T166" s="12" t="str">
        <f t="shared" si="11"/>
        <v/>
      </c>
      <c r="U166" s="8"/>
      <c r="V166" s="8"/>
      <c r="W166" s="10"/>
      <c r="X166" s="8"/>
    </row>
    <row r="167" spans="1:24">
      <c r="A167" s="8"/>
      <c r="B167" s="10"/>
      <c r="C167" s="8"/>
      <c r="D167" s="8"/>
      <c r="E167" s="8"/>
      <c r="F167" s="8"/>
      <c r="G167" s="8"/>
      <c r="H167" s="8"/>
      <c r="I167" s="11"/>
      <c r="J167" s="11"/>
      <c r="K167" s="11"/>
      <c r="L167" s="11"/>
      <c r="M167" s="11"/>
      <c r="N167" s="11"/>
      <c r="O167" s="11"/>
      <c r="P167" s="11"/>
      <c r="Q167" s="16" t="str">
        <f t="shared" si="8"/>
        <v/>
      </c>
      <c r="R167" s="12" t="str">
        <f t="shared" si="9"/>
        <v/>
      </c>
      <c r="S167" s="12" t="str">
        <f t="shared" si="10"/>
        <v/>
      </c>
      <c r="T167" s="12" t="str">
        <f t="shared" si="11"/>
        <v/>
      </c>
      <c r="U167" s="8"/>
      <c r="V167" s="8"/>
      <c r="W167" s="10"/>
      <c r="X167" s="8"/>
    </row>
    <row r="168" spans="1:24">
      <c r="A168" s="8"/>
      <c r="B168" s="10"/>
      <c r="C168" s="8"/>
      <c r="D168" s="8"/>
      <c r="E168" s="8"/>
      <c r="F168" s="8"/>
      <c r="G168" s="8"/>
      <c r="H168" s="8"/>
      <c r="I168" s="11"/>
      <c r="J168" s="11"/>
      <c r="K168" s="11"/>
      <c r="L168" s="11"/>
      <c r="M168" s="11"/>
      <c r="N168" s="11"/>
      <c r="O168" s="11"/>
      <c r="P168" s="11"/>
      <c r="Q168" s="16" t="str">
        <f t="shared" si="8"/>
        <v/>
      </c>
      <c r="R168" s="12" t="str">
        <f t="shared" si="9"/>
        <v/>
      </c>
      <c r="S168" s="12" t="str">
        <f t="shared" si="10"/>
        <v/>
      </c>
      <c r="T168" s="12" t="str">
        <f t="shared" si="11"/>
        <v/>
      </c>
      <c r="U168" s="8"/>
      <c r="V168" s="8"/>
      <c r="W168" s="10"/>
      <c r="X168" s="8"/>
    </row>
    <row r="169" spans="1:24">
      <c r="A169" s="8"/>
      <c r="B169" s="10"/>
      <c r="C169" s="8"/>
      <c r="D169" s="8"/>
      <c r="E169" s="8"/>
      <c r="F169" s="8"/>
      <c r="G169" s="8"/>
      <c r="H169" s="8"/>
      <c r="I169" s="11"/>
      <c r="J169" s="11"/>
      <c r="K169" s="11"/>
      <c r="L169" s="11"/>
      <c r="M169" s="11"/>
      <c r="N169" s="11"/>
      <c r="O169" s="11"/>
      <c r="P169" s="11"/>
      <c r="Q169" s="16" t="str">
        <f t="shared" si="8"/>
        <v/>
      </c>
      <c r="R169" s="12" t="str">
        <f t="shared" si="9"/>
        <v/>
      </c>
      <c r="S169" s="12" t="str">
        <f t="shared" si="10"/>
        <v/>
      </c>
      <c r="T169" s="12" t="str">
        <f t="shared" si="11"/>
        <v/>
      </c>
      <c r="U169" s="8"/>
      <c r="V169" s="8"/>
      <c r="W169" s="10"/>
      <c r="X169" s="8"/>
    </row>
    <row r="170" spans="1:24">
      <c r="A170" s="8"/>
      <c r="B170" s="10"/>
      <c r="C170" s="8"/>
      <c r="D170" s="8"/>
      <c r="E170" s="8"/>
      <c r="F170" s="8"/>
      <c r="G170" s="8"/>
      <c r="H170" s="8"/>
      <c r="I170" s="11"/>
      <c r="J170" s="11"/>
      <c r="K170" s="11"/>
      <c r="L170" s="11"/>
      <c r="M170" s="11"/>
      <c r="N170" s="11"/>
      <c r="O170" s="11"/>
      <c r="P170" s="11"/>
      <c r="Q170" s="16" t="str">
        <f t="shared" si="8"/>
        <v/>
      </c>
      <c r="R170" s="12" t="str">
        <f t="shared" si="9"/>
        <v/>
      </c>
      <c r="S170" s="12" t="str">
        <f t="shared" si="10"/>
        <v/>
      </c>
      <c r="T170" s="12" t="str">
        <f t="shared" si="11"/>
        <v/>
      </c>
      <c r="U170" s="8"/>
      <c r="V170" s="8"/>
      <c r="W170" s="10"/>
      <c r="X170" s="8"/>
    </row>
    <row r="171" spans="1:24">
      <c r="A171" s="8"/>
      <c r="B171" s="10"/>
      <c r="C171" s="8"/>
      <c r="D171" s="8"/>
      <c r="E171" s="8"/>
      <c r="F171" s="8"/>
      <c r="G171" s="8"/>
      <c r="H171" s="8"/>
      <c r="I171" s="11"/>
      <c r="J171" s="11"/>
      <c r="K171" s="11"/>
      <c r="L171" s="11"/>
      <c r="M171" s="11"/>
      <c r="N171" s="11"/>
      <c r="O171" s="11"/>
      <c r="P171" s="11"/>
      <c r="Q171" s="16" t="str">
        <f t="shared" si="8"/>
        <v/>
      </c>
      <c r="R171" s="12" t="str">
        <f t="shared" si="9"/>
        <v/>
      </c>
      <c r="S171" s="12" t="str">
        <f t="shared" si="10"/>
        <v/>
      </c>
      <c r="T171" s="12" t="str">
        <f t="shared" si="11"/>
        <v/>
      </c>
      <c r="U171" s="8"/>
      <c r="V171" s="8"/>
      <c r="W171" s="10"/>
      <c r="X171" s="8"/>
    </row>
    <row r="172" spans="1:24">
      <c r="A172" s="8"/>
      <c r="B172" s="10"/>
      <c r="C172" s="8"/>
      <c r="D172" s="8"/>
      <c r="E172" s="8"/>
      <c r="F172" s="8"/>
      <c r="G172" s="8"/>
      <c r="H172" s="8"/>
      <c r="I172" s="11"/>
      <c r="J172" s="11"/>
      <c r="K172" s="11"/>
      <c r="L172" s="11"/>
      <c r="M172" s="11"/>
      <c r="N172" s="11"/>
      <c r="O172" s="11"/>
      <c r="P172" s="11"/>
      <c r="Q172" s="16" t="str">
        <f t="shared" si="8"/>
        <v/>
      </c>
      <c r="R172" s="12" t="str">
        <f t="shared" si="9"/>
        <v/>
      </c>
      <c r="S172" s="12" t="str">
        <f t="shared" si="10"/>
        <v/>
      </c>
      <c r="T172" s="12" t="str">
        <f t="shared" si="11"/>
        <v/>
      </c>
      <c r="U172" s="8"/>
      <c r="V172" s="8"/>
      <c r="W172" s="10"/>
      <c r="X172" s="8"/>
    </row>
    <row r="173" spans="1:24">
      <c r="A173" s="8"/>
      <c r="B173" s="10"/>
      <c r="C173" s="8"/>
      <c r="D173" s="8"/>
      <c r="E173" s="8"/>
      <c r="F173" s="8"/>
      <c r="G173" s="8"/>
      <c r="H173" s="8"/>
      <c r="I173" s="11"/>
      <c r="J173" s="11"/>
      <c r="K173" s="11"/>
      <c r="L173" s="11"/>
      <c r="M173" s="11"/>
      <c r="N173" s="11"/>
      <c r="O173" s="11"/>
      <c r="P173" s="11"/>
      <c r="Q173" s="16" t="str">
        <f t="shared" si="8"/>
        <v/>
      </c>
      <c r="R173" s="12" t="str">
        <f t="shared" si="9"/>
        <v/>
      </c>
      <c r="S173" s="12" t="str">
        <f t="shared" si="10"/>
        <v/>
      </c>
      <c r="T173" s="12" t="str">
        <f t="shared" si="11"/>
        <v/>
      </c>
      <c r="U173" s="8"/>
      <c r="V173" s="8"/>
      <c r="W173" s="10"/>
      <c r="X173" s="8"/>
    </row>
    <row r="174" spans="1:24">
      <c r="A174" s="8"/>
      <c r="B174" s="10"/>
      <c r="C174" s="8"/>
      <c r="D174" s="8"/>
      <c r="E174" s="8"/>
      <c r="F174" s="8"/>
      <c r="G174" s="8"/>
      <c r="H174" s="8"/>
      <c r="I174" s="11"/>
      <c r="J174" s="11"/>
      <c r="K174" s="11"/>
      <c r="L174" s="11"/>
      <c r="M174" s="11"/>
      <c r="N174" s="11"/>
      <c r="O174" s="11"/>
      <c r="P174" s="11"/>
      <c r="Q174" s="16" t="str">
        <f t="shared" si="8"/>
        <v/>
      </c>
      <c r="R174" s="12" t="str">
        <f t="shared" si="9"/>
        <v/>
      </c>
      <c r="S174" s="12" t="str">
        <f t="shared" si="10"/>
        <v/>
      </c>
      <c r="T174" s="12" t="str">
        <f t="shared" si="11"/>
        <v/>
      </c>
      <c r="U174" s="8"/>
      <c r="V174" s="8"/>
      <c r="W174" s="10"/>
      <c r="X174" s="8"/>
    </row>
    <row r="175" spans="1:24">
      <c r="A175" s="8"/>
      <c r="B175" s="10"/>
      <c r="C175" s="8"/>
      <c r="D175" s="8"/>
      <c r="E175" s="8"/>
      <c r="F175" s="8"/>
      <c r="G175" s="8"/>
      <c r="H175" s="8"/>
      <c r="I175" s="11"/>
      <c r="J175" s="11"/>
      <c r="K175" s="11"/>
      <c r="L175" s="11"/>
      <c r="M175" s="11"/>
      <c r="N175" s="11"/>
      <c r="O175" s="11"/>
      <c r="P175" s="11"/>
      <c r="Q175" s="16" t="str">
        <f t="shared" si="8"/>
        <v/>
      </c>
      <c r="R175" s="12" t="str">
        <f t="shared" si="9"/>
        <v/>
      </c>
      <c r="S175" s="12" t="str">
        <f t="shared" si="10"/>
        <v/>
      </c>
      <c r="T175" s="12" t="str">
        <f t="shared" si="11"/>
        <v/>
      </c>
      <c r="U175" s="8"/>
      <c r="V175" s="8"/>
      <c r="W175" s="10"/>
      <c r="X175" s="8"/>
    </row>
    <row r="176" spans="1:24">
      <c r="A176" s="8"/>
      <c r="B176" s="10"/>
      <c r="C176" s="8"/>
      <c r="D176" s="8"/>
      <c r="E176" s="8"/>
      <c r="F176" s="8"/>
      <c r="G176" s="8"/>
      <c r="H176" s="8"/>
      <c r="I176" s="11"/>
      <c r="J176" s="11"/>
      <c r="K176" s="11"/>
      <c r="L176" s="11"/>
      <c r="M176" s="11"/>
      <c r="N176" s="11"/>
      <c r="O176" s="11"/>
      <c r="P176" s="11"/>
      <c r="Q176" s="16" t="str">
        <f t="shared" si="8"/>
        <v/>
      </c>
      <c r="R176" s="12" t="str">
        <f t="shared" si="9"/>
        <v/>
      </c>
      <c r="S176" s="12" t="str">
        <f t="shared" si="10"/>
        <v/>
      </c>
      <c r="T176" s="12" t="str">
        <f t="shared" si="11"/>
        <v/>
      </c>
      <c r="U176" s="8"/>
      <c r="V176" s="8"/>
      <c r="W176" s="10"/>
      <c r="X176" s="8"/>
    </row>
    <row r="177" spans="1:24">
      <c r="A177" s="8"/>
      <c r="B177" s="10"/>
      <c r="C177" s="8"/>
      <c r="D177" s="8"/>
      <c r="E177" s="8"/>
      <c r="F177" s="8"/>
      <c r="G177" s="8"/>
      <c r="H177" s="8"/>
      <c r="I177" s="11"/>
      <c r="J177" s="11"/>
      <c r="K177" s="11"/>
      <c r="L177" s="11"/>
      <c r="M177" s="11"/>
      <c r="N177" s="11"/>
      <c r="O177" s="11"/>
      <c r="P177" s="11"/>
      <c r="Q177" s="16" t="str">
        <f t="shared" si="8"/>
        <v/>
      </c>
      <c r="R177" s="12" t="str">
        <f t="shared" si="9"/>
        <v/>
      </c>
      <c r="S177" s="12" t="str">
        <f t="shared" si="10"/>
        <v/>
      </c>
      <c r="T177" s="12" t="str">
        <f t="shared" si="11"/>
        <v/>
      </c>
      <c r="U177" s="8"/>
      <c r="V177" s="8"/>
      <c r="W177" s="10"/>
      <c r="X177" s="8"/>
    </row>
    <row r="178" spans="1:24">
      <c r="A178" s="8"/>
      <c r="B178" s="10"/>
      <c r="C178" s="8"/>
      <c r="D178" s="8"/>
      <c r="E178" s="8"/>
      <c r="F178" s="8"/>
      <c r="G178" s="8"/>
      <c r="H178" s="8"/>
      <c r="I178" s="11"/>
      <c r="J178" s="11"/>
      <c r="K178" s="11"/>
      <c r="L178" s="11"/>
      <c r="M178" s="11"/>
      <c r="N178" s="11"/>
      <c r="O178" s="11"/>
      <c r="P178" s="11"/>
      <c r="Q178" s="16" t="str">
        <f t="shared" si="8"/>
        <v/>
      </c>
      <c r="R178" s="12" t="str">
        <f t="shared" si="9"/>
        <v/>
      </c>
      <c r="S178" s="12" t="str">
        <f t="shared" si="10"/>
        <v/>
      </c>
      <c r="T178" s="12" t="str">
        <f t="shared" si="11"/>
        <v/>
      </c>
      <c r="U178" s="8"/>
      <c r="V178" s="8"/>
      <c r="W178" s="10"/>
      <c r="X178" s="8"/>
    </row>
    <row r="179" spans="1:24">
      <c r="A179" s="8"/>
      <c r="B179" s="10"/>
      <c r="C179" s="8"/>
      <c r="D179" s="8"/>
      <c r="E179" s="8"/>
      <c r="F179" s="8"/>
      <c r="G179" s="8"/>
      <c r="H179" s="8"/>
      <c r="I179" s="11"/>
      <c r="J179" s="11"/>
      <c r="K179" s="11"/>
      <c r="L179" s="11"/>
      <c r="M179" s="11"/>
      <c r="N179" s="11"/>
      <c r="O179" s="11"/>
      <c r="P179" s="11"/>
      <c r="Q179" s="16" t="str">
        <f t="shared" si="8"/>
        <v/>
      </c>
      <c r="R179" s="12" t="str">
        <f t="shared" si="9"/>
        <v/>
      </c>
      <c r="S179" s="12" t="str">
        <f t="shared" si="10"/>
        <v/>
      </c>
      <c r="T179" s="12" t="str">
        <f t="shared" si="11"/>
        <v/>
      </c>
      <c r="U179" s="8"/>
      <c r="V179" s="8"/>
      <c r="W179" s="10"/>
      <c r="X179" s="8"/>
    </row>
    <row r="180" spans="1:24">
      <c r="A180" s="8"/>
      <c r="B180" s="10"/>
      <c r="C180" s="8"/>
      <c r="D180" s="8"/>
      <c r="E180" s="8"/>
      <c r="F180" s="8"/>
      <c r="G180" s="8"/>
      <c r="H180" s="8"/>
      <c r="I180" s="11"/>
      <c r="J180" s="11"/>
      <c r="K180" s="11"/>
      <c r="L180" s="11"/>
      <c r="M180" s="11"/>
      <c r="N180" s="11"/>
      <c r="O180" s="11"/>
      <c r="P180" s="11"/>
      <c r="Q180" s="16" t="str">
        <f t="shared" si="8"/>
        <v/>
      </c>
      <c r="R180" s="12" t="str">
        <f t="shared" si="9"/>
        <v/>
      </c>
      <c r="S180" s="12" t="str">
        <f t="shared" si="10"/>
        <v/>
      </c>
      <c r="T180" s="12" t="str">
        <f t="shared" si="11"/>
        <v/>
      </c>
      <c r="U180" s="8"/>
      <c r="V180" s="8"/>
      <c r="W180" s="10"/>
      <c r="X180" s="8"/>
    </row>
    <row r="181" spans="1:24">
      <c r="A181" s="8"/>
      <c r="B181" s="10"/>
      <c r="C181" s="8"/>
      <c r="D181" s="8"/>
      <c r="E181" s="8"/>
      <c r="F181" s="8"/>
      <c r="G181" s="8"/>
      <c r="H181" s="8"/>
      <c r="I181" s="11"/>
      <c r="J181" s="11"/>
      <c r="K181" s="11"/>
      <c r="L181" s="11"/>
      <c r="M181" s="11"/>
      <c r="N181" s="11"/>
      <c r="O181" s="11"/>
      <c r="P181" s="11"/>
      <c r="Q181" s="16" t="str">
        <f t="shared" si="8"/>
        <v/>
      </c>
      <c r="R181" s="12" t="str">
        <f t="shared" si="9"/>
        <v/>
      </c>
      <c r="S181" s="12" t="str">
        <f t="shared" si="10"/>
        <v/>
      </c>
      <c r="T181" s="12" t="str">
        <f t="shared" si="11"/>
        <v/>
      </c>
      <c r="U181" s="8"/>
      <c r="V181" s="8"/>
      <c r="W181" s="10"/>
      <c r="X181" s="8"/>
    </row>
    <row r="182" spans="1:24">
      <c r="A182" s="8"/>
      <c r="B182" s="10"/>
      <c r="C182" s="8"/>
      <c r="D182" s="8"/>
      <c r="E182" s="8"/>
      <c r="F182" s="8"/>
      <c r="G182" s="8"/>
      <c r="H182" s="8"/>
      <c r="I182" s="11"/>
      <c r="J182" s="11"/>
      <c r="K182" s="11"/>
      <c r="L182" s="11"/>
      <c r="M182" s="11"/>
      <c r="N182" s="11"/>
      <c r="O182" s="11"/>
      <c r="P182" s="11"/>
      <c r="Q182" s="16" t="str">
        <f t="shared" si="8"/>
        <v/>
      </c>
      <c r="R182" s="12" t="str">
        <f t="shared" si="9"/>
        <v/>
      </c>
      <c r="S182" s="12" t="str">
        <f t="shared" si="10"/>
        <v/>
      </c>
      <c r="T182" s="12" t="str">
        <f t="shared" si="11"/>
        <v/>
      </c>
      <c r="U182" s="8"/>
      <c r="V182" s="8"/>
      <c r="W182" s="10"/>
      <c r="X182" s="8"/>
    </row>
    <row r="183" spans="1:24">
      <c r="A183" s="8"/>
      <c r="B183" s="10"/>
      <c r="C183" s="8"/>
      <c r="D183" s="8"/>
      <c r="E183" s="8"/>
      <c r="F183" s="8"/>
      <c r="G183" s="8"/>
      <c r="H183" s="8"/>
      <c r="I183" s="11"/>
      <c r="J183" s="11"/>
      <c r="K183" s="11"/>
      <c r="L183" s="11"/>
      <c r="M183" s="11"/>
      <c r="N183" s="11"/>
      <c r="O183" s="11"/>
      <c r="P183" s="11"/>
      <c r="Q183" s="16" t="str">
        <f t="shared" si="8"/>
        <v/>
      </c>
      <c r="R183" s="12" t="str">
        <f t="shared" si="9"/>
        <v/>
      </c>
      <c r="S183" s="12" t="str">
        <f t="shared" si="10"/>
        <v/>
      </c>
      <c r="T183" s="12" t="str">
        <f t="shared" si="11"/>
        <v/>
      </c>
      <c r="U183" s="8"/>
      <c r="V183" s="8"/>
      <c r="W183" s="10"/>
      <c r="X183" s="8"/>
    </row>
    <row r="184" spans="1:24">
      <c r="A184" s="8"/>
      <c r="B184" s="10"/>
      <c r="C184" s="8"/>
      <c r="D184" s="8"/>
      <c r="E184" s="8"/>
      <c r="F184" s="8"/>
      <c r="G184" s="8"/>
      <c r="H184" s="8"/>
      <c r="I184" s="11"/>
      <c r="J184" s="11"/>
      <c r="K184" s="11"/>
      <c r="L184" s="11"/>
      <c r="M184" s="11"/>
      <c r="N184" s="11"/>
      <c r="O184" s="11"/>
      <c r="P184" s="11"/>
      <c r="Q184" s="16" t="str">
        <f t="shared" si="8"/>
        <v/>
      </c>
      <c r="R184" s="12" t="str">
        <f t="shared" si="9"/>
        <v/>
      </c>
      <c r="S184" s="12" t="str">
        <f t="shared" si="10"/>
        <v/>
      </c>
      <c r="T184" s="12" t="str">
        <f t="shared" si="11"/>
        <v/>
      </c>
      <c r="U184" s="8"/>
      <c r="V184" s="8"/>
      <c r="W184" s="10"/>
      <c r="X184" s="8"/>
    </row>
    <row r="185" spans="1:24">
      <c r="A185" s="8"/>
      <c r="B185" s="10"/>
      <c r="C185" s="8"/>
      <c r="D185" s="8"/>
      <c r="E185" s="8"/>
      <c r="F185" s="8"/>
      <c r="G185" s="8"/>
      <c r="H185" s="8"/>
      <c r="I185" s="11"/>
      <c r="J185" s="11"/>
      <c r="K185" s="11"/>
      <c r="L185" s="11"/>
      <c r="M185" s="11"/>
      <c r="N185" s="11"/>
      <c r="O185" s="11"/>
      <c r="P185" s="11"/>
      <c r="Q185" s="16" t="str">
        <f t="shared" si="8"/>
        <v/>
      </c>
      <c r="R185" s="12" t="str">
        <f t="shared" si="9"/>
        <v/>
      </c>
      <c r="S185" s="12" t="str">
        <f t="shared" si="10"/>
        <v/>
      </c>
      <c r="T185" s="12" t="str">
        <f t="shared" si="11"/>
        <v/>
      </c>
      <c r="U185" s="8"/>
      <c r="V185" s="8"/>
      <c r="W185" s="10"/>
      <c r="X185" s="8"/>
    </row>
    <row r="186" spans="1:24">
      <c r="A186" s="8"/>
      <c r="B186" s="10"/>
      <c r="C186" s="8"/>
      <c r="D186" s="8"/>
      <c r="E186" s="8"/>
      <c r="F186" s="8"/>
      <c r="G186" s="8"/>
      <c r="H186" s="8"/>
      <c r="I186" s="11"/>
      <c r="J186" s="11"/>
      <c r="K186" s="11"/>
      <c r="L186" s="11"/>
      <c r="M186" s="11"/>
      <c r="N186" s="11"/>
      <c r="O186" s="11"/>
      <c r="P186" s="11"/>
      <c r="Q186" s="16" t="str">
        <f t="shared" si="8"/>
        <v/>
      </c>
      <c r="R186" s="12" t="str">
        <f t="shared" si="9"/>
        <v/>
      </c>
      <c r="S186" s="12" t="str">
        <f t="shared" si="10"/>
        <v/>
      </c>
      <c r="T186" s="12" t="str">
        <f t="shared" si="11"/>
        <v/>
      </c>
      <c r="U186" s="8"/>
      <c r="V186" s="8"/>
      <c r="W186" s="10"/>
      <c r="X186" s="8"/>
    </row>
    <row r="187" spans="1:24">
      <c r="A187" s="8"/>
      <c r="B187" s="10"/>
      <c r="C187" s="8"/>
      <c r="D187" s="8"/>
      <c r="E187" s="8"/>
      <c r="F187" s="8"/>
      <c r="G187" s="8"/>
      <c r="H187" s="8"/>
      <c r="I187" s="11"/>
      <c r="J187" s="11"/>
      <c r="K187" s="11"/>
      <c r="L187" s="11"/>
      <c r="M187" s="11"/>
      <c r="N187" s="11"/>
      <c r="O187" s="11"/>
      <c r="P187" s="11"/>
      <c r="Q187" s="16" t="str">
        <f t="shared" si="8"/>
        <v/>
      </c>
      <c r="R187" s="12" t="str">
        <f t="shared" si="9"/>
        <v/>
      </c>
      <c r="S187" s="12" t="str">
        <f t="shared" si="10"/>
        <v/>
      </c>
      <c r="T187" s="12" t="str">
        <f t="shared" si="11"/>
        <v/>
      </c>
      <c r="U187" s="8"/>
      <c r="V187" s="8"/>
      <c r="W187" s="10"/>
      <c r="X187" s="8"/>
    </row>
    <row r="188" spans="1:24">
      <c r="A188" s="8"/>
      <c r="B188" s="10"/>
      <c r="C188" s="8"/>
      <c r="D188" s="8"/>
      <c r="E188" s="8"/>
      <c r="F188" s="8"/>
      <c r="G188" s="8"/>
      <c r="H188" s="8"/>
      <c r="I188" s="11"/>
      <c r="J188" s="11"/>
      <c r="K188" s="11"/>
      <c r="L188" s="11"/>
      <c r="M188" s="11"/>
      <c r="N188" s="11"/>
      <c r="O188" s="11"/>
      <c r="P188" s="11"/>
      <c r="Q188" s="16" t="str">
        <f t="shared" si="8"/>
        <v/>
      </c>
      <c r="R188" s="12" t="str">
        <f t="shared" si="9"/>
        <v/>
      </c>
      <c r="S188" s="12" t="str">
        <f t="shared" si="10"/>
        <v/>
      </c>
      <c r="T188" s="12" t="str">
        <f t="shared" si="11"/>
        <v/>
      </c>
      <c r="U188" s="8"/>
      <c r="V188" s="8"/>
      <c r="W188" s="10"/>
      <c r="X188" s="8"/>
    </row>
    <row r="189" spans="1:24">
      <c r="A189" s="8"/>
      <c r="B189" s="10"/>
      <c r="C189" s="8"/>
      <c r="D189" s="8"/>
      <c r="E189" s="8"/>
      <c r="F189" s="8"/>
      <c r="G189" s="8"/>
      <c r="H189" s="8"/>
      <c r="I189" s="11"/>
      <c r="J189" s="11"/>
      <c r="K189" s="11"/>
      <c r="L189" s="11"/>
      <c r="M189" s="11"/>
      <c r="N189" s="11"/>
      <c r="O189" s="11"/>
      <c r="P189" s="11"/>
      <c r="Q189" s="16" t="str">
        <f t="shared" si="8"/>
        <v/>
      </c>
      <c r="R189" s="12" t="str">
        <f t="shared" si="9"/>
        <v/>
      </c>
      <c r="S189" s="12" t="str">
        <f t="shared" si="10"/>
        <v/>
      </c>
      <c r="T189" s="12" t="str">
        <f t="shared" si="11"/>
        <v/>
      </c>
      <c r="U189" s="8"/>
      <c r="V189" s="8"/>
      <c r="W189" s="10"/>
      <c r="X189" s="8"/>
    </row>
    <row r="190" spans="1:24">
      <c r="A190" s="8"/>
      <c r="B190" s="10"/>
      <c r="C190" s="8"/>
      <c r="D190" s="8"/>
      <c r="E190" s="8"/>
      <c r="F190" s="8"/>
      <c r="G190" s="8"/>
      <c r="H190" s="8"/>
      <c r="I190" s="11"/>
      <c r="J190" s="11"/>
      <c r="K190" s="11"/>
      <c r="L190" s="11"/>
      <c r="M190" s="11"/>
      <c r="N190" s="11"/>
      <c r="O190" s="11"/>
      <c r="P190" s="11"/>
      <c r="Q190" s="16" t="str">
        <f t="shared" si="8"/>
        <v/>
      </c>
      <c r="R190" s="12" t="str">
        <f t="shared" si="9"/>
        <v/>
      </c>
      <c r="S190" s="12" t="str">
        <f t="shared" si="10"/>
        <v/>
      </c>
      <c r="T190" s="12" t="str">
        <f t="shared" si="11"/>
        <v/>
      </c>
      <c r="U190" s="8"/>
      <c r="V190" s="8"/>
      <c r="W190" s="10"/>
      <c r="X190" s="8"/>
    </row>
    <row r="191" spans="1:24">
      <c r="A191" s="8"/>
      <c r="B191" s="10"/>
      <c r="C191" s="8"/>
      <c r="D191" s="8"/>
      <c r="E191" s="8"/>
      <c r="F191" s="8"/>
      <c r="G191" s="8"/>
      <c r="H191" s="8"/>
      <c r="I191" s="11"/>
      <c r="J191" s="11"/>
      <c r="K191" s="11"/>
      <c r="L191" s="11"/>
      <c r="M191" s="11"/>
      <c r="N191" s="11"/>
      <c r="O191" s="11"/>
      <c r="P191" s="11"/>
      <c r="Q191" s="16" t="str">
        <f t="shared" si="8"/>
        <v/>
      </c>
      <c r="R191" s="12" t="str">
        <f t="shared" si="9"/>
        <v/>
      </c>
      <c r="S191" s="12" t="str">
        <f t="shared" si="10"/>
        <v/>
      </c>
      <c r="T191" s="12" t="str">
        <f t="shared" si="11"/>
        <v/>
      </c>
      <c r="U191" s="8"/>
      <c r="V191" s="8"/>
      <c r="W191" s="10"/>
      <c r="X191" s="8"/>
    </row>
    <row r="192" spans="1:24">
      <c r="A192" s="8"/>
      <c r="B192" s="10"/>
      <c r="C192" s="8"/>
      <c r="D192" s="8"/>
      <c r="E192" s="8"/>
      <c r="F192" s="8"/>
      <c r="G192" s="8"/>
      <c r="H192" s="8"/>
      <c r="I192" s="11"/>
      <c r="J192" s="11"/>
      <c r="K192" s="11"/>
      <c r="L192" s="11"/>
      <c r="M192" s="11"/>
      <c r="N192" s="11"/>
      <c r="O192" s="11"/>
      <c r="P192" s="11"/>
      <c r="Q192" s="16" t="str">
        <f t="shared" si="8"/>
        <v/>
      </c>
      <c r="R192" s="12" t="str">
        <f t="shared" si="9"/>
        <v/>
      </c>
      <c r="S192" s="12" t="str">
        <f t="shared" si="10"/>
        <v/>
      </c>
      <c r="T192" s="12" t="str">
        <f t="shared" si="11"/>
        <v/>
      </c>
      <c r="U192" s="8"/>
      <c r="V192" s="8"/>
      <c r="W192" s="10"/>
      <c r="X192" s="8"/>
    </row>
    <row r="193" spans="1:24">
      <c r="A193" s="8"/>
      <c r="B193" s="10"/>
      <c r="C193" s="8"/>
      <c r="D193" s="8"/>
      <c r="E193" s="8"/>
      <c r="F193" s="8"/>
      <c r="G193" s="8"/>
      <c r="H193" s="8"/>
      <c r="I193" s="11"/>
      <c r="J193" s="11"/>
      <c r="K193" s="11"/>
      <c r="L193" s="11"/>
      <c r="M193" s="11"/>
      <c r="N193" s="11"/>
      <c r="O193" s="11"/>
      <c r="P193" s="11"/>
      <c r="Q193" s="16" t="str">
        <f t="shared" si="8"/>
        <v/>
      </c>
      <c r="R193" s="12" t="str">
        <f t="shared" si="9"/>
        <v/>
      </c>
      <c r="S193" s="12" t="str">
        <f t="shared" si="10"/>
        <v/>
      </c>
      <c r="T193" s="12" t="str">
        <f t="shared" si="11"/>
        <v/>
      </c>
      <c r="U193" s="8"/>
      <c r="V193" s="8"/>
      <c r="W193" s="10"/>
      <c r="X193" s="8"/>
    </row>
    <row r="194" spans="1:24">
      <c r="A194" s="8"/>
      <c r="B194" s="10"/>
      <c r="C194" s="8"/>
      <c r="D194" s="8"/>
      <c r="E194" s="8"/>
      <c r="F194" s="8"/>
      <c r="G194" s="8"/>
      <c r="H194" s="8"/>
      <c r="I194" s="11"/>
      <c r="J194" s="11"/>
      <c r="K194" s="11"/>
      <c r="L194" s="11"/>
      <c r="M194" s="11"/>
      <c r="N194" s="11"/>
      <c r="O194" s="11"/>
      <c r="P194" s="11"/>
      <c r="Q194" s="16" t="str">
        <f t="shared" si="8"/>
        <v/>
      </c>
      <c r="R194" s="12" t="str">
        <f t="shared" si="9"/>
        <v/>
      </c>
      <c r="S194" s="12" t="str">
        <f t="shared" si="10"/>
        <v/>
      </c>
      <c r="T194" s="12" t="str">
        <f t="shared" si="11"/>
        <v/>
      </c>
      <c r="U194" s="8"/>
      <c r="V194" s="8"/>
      <c r="W194" s="10"/>
      <c r="X194" s="8"/>
    </row>
    <row r="195" spans="1:24">
      <c r="A195" s="8"/>
      <c r="B195" s="10"/>
      <c r="C195" s="8"/>
      <c r="D195" s="8"/>
      <c r="E195" s="8"/>
      <c r="F195" s="8"/>
      <c r="G195" s="8"/>
      <c r="H195" s="8"/>
      <c r="I195" s="11"/>
      <c r="J195" s="11"/>
      <c r="K195" s="11"/>
      <c r="L195" s="11"/>
      <c r="M195" s="11"/>
      <c r="N195" s="11"/>
      <c r="O195" s="11"/>
      <c r="P195" s="11"/>
      <c r="Q195" s="16" t="str">
        <f t="shared" si="8"/>
        <v/>
      </c>
      <c r="R195" s="12" t="str">
        <f t="shared" si="9"/>
        <v/>
      </c>
      <c r="S195" s="12" t="str">
        <f t="shared" si="10"/>
        <v/>
      </c>
      <c r="T195" s="12" t="str">
        <f t="shared" si="11"/>
        <v/>
      </c>
      <c r="U195" s="8"/>
      <c r="V195" s="8"/>
      <c r="W195" s="10"/>
      <c r="X195" s="8"/>
    </row>
    <row r="196" spans="1:24">
      <c r="A196" s="8"/>
      <c r="B196" s="10"/>
      <c r="C196" s="8"/>
      <c r="D196" s="8"/>
      <c r="E196" s="8"/>
      <c r="F196" s="8"/>
      <c r="G196" s="8"/>
      <c r="H196" s="8"/>
      <c r="I196" s="11"/>
      <c r="J196" s="11"/>
      <c r="K196" s="11"/>
      <c r="L196" s="11"/>
      <c r="M196" s="11"/>
      <c r="N196" s="11"/>
      <c r="O196" s="11"/>
      <c r="P196" s="11"/>
      <c r="Q196" s="16" t="str">
        <f t="shared" si="8"/>
        <v/>
      </c>
      <c r="R196" s="12" t="str">
        <f t="shared" si="9"/>
        <v/>
      </c>
      <c r="S196" s="12" t="str">
        <f t="shared" si="10"/>
        <v/>
      </c>
      <c r="T196" s="12" t="str">
        <f t="shared" si="11"/>
        <v/>
      </c>
      <c r="U196" s="8"/>
      <c r="V196" s="8"/>
      <c r="W196" s="10"/>
      <c r="X196" s="8"/>
    </row>
    <row r="197" spans="1:24">
      <c r="A197" s="8"/>
      <c r="B197" s="10"/>
      <c r="C197" s="8"/>
      <c r="D197" s="8"/>
      <c r="E197" s="8"/>
      <c r="F197" s="8"/>
      <c r="G197" s="8"/>
      <c r="H197" s="8"/>
      <c r="I197" s="11"/>
      <c r="J197" s="11"/>
      <c r="K197" s="11"/>
      <c r="L197" s="11"/>
      <c r="M197" s="11"/>
      <c r="N197" s="11"/>
      <c r="O197" s="11"/>
      <c r="P197" s="11"/>
      <c r="Q197" s="16" t="str">
        <f t="shared" ref="Q197:Q260" si="12">IF(OR(A197="",J197=0),"",K197/J197)</f>
        <v/>
      </c>
      <c r="R197" s="12" t="str">
        <f t="shared" ref="R197:R260" si="13">IF(A197="","",L197-I197)</f>
        <v/>
      </c>
      <c r="S197" s="12" t="str">
        <f t="shared" ref="S197:S260" si="14">IF(A197="","",MAX(0,I197-L197))</f>
        <v/>
      </c>
      <c r="T197" s="12" t="str">
        <f t="shared" ref="T197:T260" si="15">IF(A197="","",MAX(0,L197-I197))</f>
        <v/>
      </c>
      <c r="U197" s="8"/>
      <c r="V197" s="8"/>
      <c r="W197" s="10"/>
      <c r="X197" s="8"/>
    </row>
    <row r="198" spans="1:24">
      <c r="A198" s="8"/>
      <c r="B198" s="10"/>
      <c r="C198" s="8"/>
      <c r="D198" s="8"/>
      <c r="E198" s="8"/>
      <c r="F198" s="8"/>
      <c r="G198" s="8"/>
      <c r="H198" s="8"/>
      <c r="I198" s="11"/>
      <c r="J198" s="11"/>
      <c r="K198" s="11"/>
      <c r="L198" s="11"/>
      <c r="M198" s="11"/>
      <c r="N198" s="11"/>
      <c r="O198" s="11"/>
      <c r="P198" s="11"/>
      <c r="Q198" s="16" t="str">
        <f t="shared" si="12"/>
        <v/>
      </c>
      <c r="R198" s="12" t="str">
        <f t="shared" si="13"/>
        <v/>
      </c>
      <c r="S198" s="12" t="str">
        <f t="shared" si="14"/>
        <v/>
      </c>
      <c r="T198" s="12" t="str">
        <f t="shared" si="15"/>
        <v/>
      </c>
      <c r="U198" s="8"/>
      <c r="V198" s="8"/>
      <c r="W198" s="10"/>
      <c r="X198" s="8"/>
    </row>
    <row r="199" spans="1:24">
      <c r="A199" s="8"/>
      <c r="B199" s="10"/>
      <c r="C199" s="8"/>
      <c r="D199" s="8"/>
      <c r="E199" s="8"/>
      <c r="F199" s="8"/>
      <c r="G199" s="8"/>
      <c r="H199" s="8"/>
      <c r="I199" s="11"/>
      <c r="J199" s="11"/>
      <c r="K199" s="11"/>
      <c r="L199" s="11"/>
      <c r="M199" s="11"/>
      <c r="N199" s="11"/>
      <c r="O199" s="11"/>
      <c r="P199" s="11"/>
      <c r="Q199" s="16" t="str">
        <f t="shared" si="12"/>
        <v/>
      </c>
      <c r="R199" s="12" t="str">
        <f t="shared" si="13"/>
        <v/>
      </c>
      <c r="S199" s="12" t="str">
        <f t="shared" si="14"/>
        <v/>
      </c>
      <c r="T199" s="12" t="str">
        <f t="shared" si="15"/>
        <v/>
      </c>
      <c r="U199" s="8"/>
      <c r="V199" s="8"/>
      <c r="W199" s="10"/>
      <c r="X199" s="8"/>
    </row>
    <row r="200" spans="1:24">
      <c r="A200" s="8"/>
      <c r="B200" s="10"/>
      <c r="C200" s="8"/>
      <c r="D200" s="8"/>
      <c r="E200" s="8"/>
      <c r="F200" s="8"/>
      <c r="G200" s="8"/>
      <c r="H200" s="8"/>
      <c r="I200" s="11"/>
      <c r="J200" s="11"/>
      <c r="K200" s="11"/>
      <c r="L200" s="11"/>
      <c r="M200" s="11"/>
      <c r="N200" s="11"/>
      <c r="O200" s="11"/>
      <c r="P200" s="11"/>
      <c r="Q200" s="16" t="str">
        <f t="shared" si="12"/>
        <v/>
      </c>
      <c r="R200" s="12" t="str">
        <f t="shared" si="13"/>
        <v/>
      </c>
      <c r="S200" s="12" t="str">
        <f t="shared" si="14"/>
        <v/>
      </c>
      <c r="T200" s="12" t="str">
        <f t="shared" si="15"/>
        <v/>
      </c>
      <c r="U200" s="8"/>
      <c r="V200" s="8"/>
      <c r="W200" s="10"/>
      <c r="X200" s="8"/>
    </row>
    <row r="201" spans="1:24">
      <c r="A201" s="8"/>
      <c r="B201" s="10"/>
      <c r="C201" s="8"/>
      <c r="D201" s="8"/>
      <c r="E201" s="8"/>
      <c r="F201" s="8"/>
      <c r="G201" s="8"/>
      <c r="H201" s="8"/>
      <c r="I201" s="11"/>
      <c r="J201" s="11"/>
      <c r="K201" s="11"/>
      <c r="L201" s="11"/>
      <c r="M201" s="11"/>
      <c r="N201" s="11"/>
      <c r="O201" s="11"/>
      <c r="P201" s="11"/>
      <c r="Q201" s="16" t="str">
        <f t="shared" si="12"/>
        <v/>
      </c>
      <c r="R201" s="12" t="str">
        <f t="shared" si="13"/>
        <v/>
      </c>
      <c r="S201" s="12" t="str">
        <f t="shared" si="14"/>
        <v/>
      </c>
      <c r="T201" s="12" t="str">
        <f t="shared" si="15"/>
        <v/>
      </c>
      <c r="U201" s="8"/>
      <c r="V201" s="8"/>
      <c r="W201" s="10"/>
      <c r="X201" s="8"/>
    </row>
    <row r="202" spans="1:24">
      <c r="A202" s="8"/>
      <c r="B202" s="10"/>
      <c r="C202" s="8"/>
      <c r="D202" s="8"/>
      <c r="E202" s="8"/>
      <c r="F202" s="8"/>
      <c r="G202" s="8"/>
      <c r="H202" s="8"/>
      <c r="I202" s="11"/>
      <c r="J202" s="11"/>
      <c r="K202" s="11"/>
      <c r="L202" s="11"/>
      <c r="M202" s="11"/>
      <c r="N202" s="11"/>
      <c r="O202" s="11"/>
      <c r="P202" s="11"/>
      <c r="Q202" s="16" t="str">
        <f t="shared" si="12"/>
        <v/>
      </c>
      <c r="R202" s="12" t="str">
        <f t="shared" si="13"/>
        <v/>
      </c>
      <c r="S202" s="12" t="str">
        <f t="shared" si="14"/>
        <v/>
      </c>
      <c r="T202" s="12" t="str">
        <f t="shared" si="15"/>
        <v/>
      </c>
      <c r="U202" s="8"/>
      <c r="V202" s="8"/>
      <c r="W202" s="10"/>
      <c r="X202" s="8"/>
    </row>
    <row r="203" spans="1:24">
      <c r="A203" s="8"/>
      <c r="B203" s="10"/>
      <c r="C203" s="8"/>
      <c r="D203" s="8"/>
      <c r="E203" s="8"/>
      <c r="F203" s="8"/>
      <c r="G203" s="8"/>
      <c r="H203" s="8"/>
      <c r="I203" s="11"/>
      <c r="J203" s="11"/>
      <c r="K203" s="11"/>
      <c r="L203" s="11"/>
      <c r="M203" s="11"/>
      <c r="N203" s="11"/>
      <c r="O203" s="11"/>
      <c r="P203" s="11"/>
      <c r="Q203" s="16" t="str">
        <f t="shared" si="12"/>
        <v/>
      </c>
      <c r="R203" s="12" t="str">
        <f t="shared" si="13"/>
        <v/>
      </c>
      <c r="S203" s="12" t="str">
        <f t="shared" si="14"/>
        <v/>
      </c>
      <c r="T203" s="12" t="str">
        <f t="shared" si="15"/>
        <v/>
      </c>
      <c r="U203" s="8"/>
      <c r="V203" s="8"/>
      <c r="W203" s="10"/>
      <c r="X203" s="8"/>
    </row>
    <row r="204" spans="1:24">
      <c r="A204" s="8"/>
      <c r="B204" s="10"/>
      <c r="C204" s="8"/>
      <c r="D204" s="8"/>
      <c r="E204" s="8"/>
      <c r="F204" s="8"/>
      <c r="G204" s="8"/>
      <c r="H204" s="8"/>
      <c r="I204" s="11"/>
      <c r="J204" s="11"/>
      <c r="K204" s="11"/>
      <c r="L204" s="11"/>
      <c r="M204" s="11"/>
      <c r="N204" s="11"/>
      <c r="O204" s="11"/>
      <c r="P204" s="11"/>
      <c r="Q204" s="16" t="str">
        <f t="shared" si="12"/>
        <v/>
      </c>
      <c r="R204" s="12" t="str">
        <f t="shared" si="13"/>
        <v/>
      </c>
      <c r="S204" s="12" t="str">
        <f t="shared" si="14"/>
        <v/>
      </c>
      <c r="T204" s="12" t="str">
        <f t="shared" si="15"/>
        <v/>
      </c>
      <c r="U204" s="8"/>
      <c r="V204" s="8"/>
      <c r="W204" s="10"/>
      <c r="X204" s="8"/>
    </row>
    <row r="205" spans="1:24">
      <c r="A205" s="8"/>
      <c r="B205" s="10"/>
      <c r="C205" s="8"/>
      <c r="D205" s="8"/>
      <c r="E205" s="8"/>
      <c r="F205" s="8"/>
      <c r="G205" s="8"/>
      <c r="H205" s="8"/>
      <c r="I205" s="11"/>
      <c r="J205" s="11"/>
      <c r="K205" s="11"/>
      <c r="L205" s="11"/>
      <c r="M205" s="11"/>
      <c r="N205" s="11"/>
      <c r="O205" s="11"/>
      <c r="P205" s="11"/>
      <c r="Q205" s="16" t="str">
        <f t="shared" si="12"/>
        <v/>
      </c>
      <c r="R205" s="12" t="str">
        <f t="shared" si="13"/>
        <v/>
      </c>
      <c r="S205" s="12" t="str">
        <f t="shared" si="14"/>
        <v/>
      </c>
      <c r="T205" s="12" t="str">
        <f t="shared" si="15"/>
        <v/>
      </c>
      <c r="U205" s="8"/>
      <c r="V205" s="8"/>
      <c r="W205" s="10"/>
      <c r="X205" s="8"/>
    </row>
    <row r="206" spans="1:24">
      <c r="A206" s="8"/>
      <c r="B206" s="10"/>
      <c r="C206" s="8"/>
      <c r="D206" s="8"/>
      <c r="E206" s="8"/>
      <c r="F206" s="8"/>
      <c r="G206" s="8"/>
      <c r="H206" s="8"/>
      <c r="I206" s="11"/>
      <c r="J206" s="11"/>
      <c r="K206" s="11"/>
      <c r="L206" s="11"/>
      <c r="M206" s="11"/>
      <c r="N206" s="11"/>
      <c r="O206" s="11"/>
      <c r="P206" s="11"/>
      <c r="Q206" s="16" t="str">
        <f t="shared" si="12"/>
        <v/>
      </c>
      <c r="R206" s="12" t="str">
        <f t="shared" si="13"/>
        <v/>
      </c>
      <c r="S206" s="12" t="str">
        <f t="shared" si="14"/>
        <v/>
      </c>
      <c r="T206" s="12" t="str">
        <f t="shared" si="15"/>
        <v/>
      </c>
      <c r="U206" s="8"/>
      <c r="V206" s="8"/>
      <c r="W206" s="10"/>
      <c r="X206" s="8"/>
    </row>
    <row r="207" spans="1:24">
      <c r="A207" s="8"/>
      <c r="B207" s="10"/>
      <c r="C207" s="8"/>
      <c r="D207" s="8"/>
      <c r="E207" s="8"/>
      <c r="F207" s="8"/>
      <c r="G207" s="8"/>
      <c r="H207" s="8"/>
      <c r="I207" s="11"/>
      <c r="J207" s="11"/>
      <c r="K207" s="11"/>
      <c r="L207" s="11"/>
      <c r="M207" s="11"/>
      <c r="N207" s="11"/>
      <c r="O207" s="11"/>
      <c r="P207" s="11"/>
      <c r="Q207" s="16" t="str">
        <f t="shared" si="12"/>
        <v/>
      </c>
      <c r="R207" s="12" t="str">
        <f t="shared" si="13"/>
        <v/>
      </c>
      <c r="S207" s="12" t="str">
        <f t="shared" si="14"/>
        <v/>
      </c>
      <c r="T207" s="12" t="str">
        <f t="shared" si="15"/>
        <v/>
      </c>
      <c r="U207" s="8"/>
      <c r="V207" s="8"/>
      <c r="W207" s="10"/>
      <c r="X207" s="8"/>
    </row>
    <row r="208" spans="1:24">
      <c r="A208" s="8"/>
      <c r="B208" s="10"/>
      <c r="C208" s="8"/>
      <c r="D208" s="8"/>
      <c r="E208" s="8"/>
      <c r="F208" s="8"/>
      <c r="G208" s="8"/>
      <c r="H208" s="8"/>
      <c r="I208" s="11"/>
      <c r="J208" s="11"/>
      <c r="K208" s="11"/>
      <c r="L208" s="11"/>
      <c r="M208" s="11"/>
      <c r="N208" s="11"/>
      <c r="O208" s="11"/>
      <c r="P208" s="11"/>
      <c r="Q208" s="16" t="str">
        <f t="shared" si="12"/>
        <v/>
      </c>
      <c r="R208" s="12" t="str">
        <f t="shared" si="13"/>
        <v/>
      </c>
      <c r="S208" s="12" t="str">
        <f t="shared" si="14"/>
        <v/>
      </c>
      <c r="T208" s="12" t="str">
        <f t="shared" si="15"/>
        <v/>
      </c>
      <c r="U208" s="8"/>
      <c r="V208" s="8"/>
      <c r="W208" s="10"/>
      <c r="X208" s="8"/>
    </row>
    <row r="209" spans="1:24">
      <c r="A209" s="8"/>
      <c r="B209" s="10"/>
      <c r="C209" s="8"/>
      <c r="D209" s="8"/>
      <c r="E209" s="8"/>
      <c r="F209" s="8"/>
      <c r="G209" s="8"/>
      <c r="H209" s="8"/>
      <c r="I209" s="11"/>
      <c r="J209" s="11"/>
      <c r="K209" s="11"/>
      <c r="L209" s="11"/>
      <c r="M209" s="11"/>
      <c r="N209" s="11"/>
      <c r="O209" s="11"/>
      <c r="P209" s="11"/>
      <c r="Q209" s="16" t="str">
        <f t="shared" si="12"/>
        <v/>
      </c>
      <c r="R209" s="12" t="str">
        <f t="shared" si="13"/>
        <v/>
      </c>
      <c r="S209" s="12" t="str">
        <f t="shared" si="14"/>
        <v/>
      </c>
      <c r="T209" s="12" t="str">
        <f t="shared" si="15"/>
        <v/>
      </c>
      <c r="U209" s="8"/>
      <c r="V209" s="8"/>
      <c r="W209" s="10"/>
      <c r="X209" s="8"/>
    </row>
    <row r="210" spans="1:24">
      <c r="A210" s="8"/>
      <c r="B210" s="10"/>
      <c r="C210" s="8"/>
      <c r="D210" s="8"/>
      <c r="E210" s="8"/>
      <c r="F210" s="8"/>
      <c r="G210" s="8"/>
      <c r="H210" s="8"/>
      <c r="I210" s="11"/>
      <c r="J210" s="11"/>
      <c r="K210" s="11"/>
      <c r="L210" s="11"/>
      <c r="M210" s="11"/>
      <c r="N210" s="11"/>
      <c r="O210" s="11"/>
      <c r="P210" s="11"/>
      <c r="Q210" s="16" t="str">
        <f t="shared" si="12"/>
        <v/>
      </c>
      <c r="R210" s="12" t="str">
        <f t="shared" si="13"/>
        <v/>
      </c>
      <c r="S210" s="12" t="str">
        <f t="shared" si="14"/>
        <v/>
      </c>
      <c r="T210" s="12" t="str">
        <f t="shared" si="15"/>
        <v/>
      </c>
      <c r="U210" s="8"/>
      <c r="V210" s="8"/>
      <c r="W210" s="10"/>
      <c r="X210" s="8"/>
    </row>
    <row r="211" spans="1:24">
      <c r="A211" s="8"/>
      <c r="B211" s="10"/>
      <c r="C211" s="8"/>
      <c r="D211" s="8"/>
      <c r="E211" s="8"/>
      <c r="F211" s="8"/>
      <c r="G211" s="8"/>
      <c r="H211" s="8"/>
      <c r="I211" s="11"/>
      <c r="J211" s="11"/>
      <c r="K211" s="11"/>
      <c r="L211" s="11"/>
      <c r="M211" s="11"/>
      <c r="N211" s="11"/>
      <c r="O211" s="11"/>
      <c r="P211" s="11"/>
      <c r="Q211" s="16" t="str">
        <f t="shared" si="12"/>
        <v/>
      </c>
      <c r="R211" s="12" t="str">
        <f t="shared" si="13"/>
        <v/>
      </c>
      <c r="S211" s="12" t="str">
        <f t="shared" si="14"/>
        <v/>
      </c>
      <c r="T211" s="12" t="str">
        <f t="shared" si="15"/>
        <v/>
      </c>
      <c r="U211" s="8"/>
      <c r="V211" s="8"/>
      <c r="W211" s="10"/>
      <c r="X211" s="8"/>
    </row>
    <row r="212" spans="1:24">
      <c r="A212" s="8"/>
      <c r="B212" s="10"/>
      <c r="C212" s="8"/>
      <c r="D212" s="8"/>
      <c r="E212" s="8"/>
      <c r="F212" s="8"/>
      <c r="G212" s="8"/>
      <c r="H212" s="8"/>
      <c r="I212" s="11"/>
      <c r="J212" s="11"/>
      <c r="K212" s="11"/>
      <c r="L212" s="11"/>
      <c r="M212" s="11"/>
      <c r="N212" s="11"/>
      <c r="O212" s="11"/>
      <c r="P212" s="11"/>
      <c r="Q212" s="16" t="str">
        <f t="shared" si="12"/>
        <v/>
      </c>
      <c r="R212" s="12" t="str">
        <f t="shared" si="13"/>
        <v/>
      </c>
      <c r="S212" s="12" t="str">
        <f t="shared" si="14"/>
        <v/>
      </c>
      <c r="T212" s="12" t="str">
        <f t="shared" si="15"/>
        <v/>
      </c>
      <c r="U212" s="8"/>
      <c r="V212" s="8"/>
      <c r="W212" s="10"/>
      <c r="X212" s="8"/>
    </row>
    <row r="213" spans="1:24">
      <c r="A213" s="8"/>
      <c r="B213" s="10"/>
      <c r="C213" s="8"/>
      <c r="D213" s="8"/>
      <c r="E213" s="8"/>
      <c r="F213" s="8"/>
      <c r="G213" s="8"/>
      <c r="H213" s="8"/>
      <c r="I213" s="11"/>
      <c r="J213" s="11"/>
      <c r="K213" s="11"/>
      <c r="L213" s="11"/>
      <c r="M213" s="11"/>
      <c r="N213" s="11"/>
      <c r="O213" s="11"/>
      <c r="P213" s="11"/>
      <c r="Q213" s="16" t="str">
        <f t="shared" si="12"/>
        <v/>
      </c>
      <c r="R213" s="12" t="str">
        <f t="shared" si="13"/>
        <v/>
      </c>
      <c r="S213" s="12" t="str">
        <f t="shared" si="14"/>
        <v/>
      </c>
      <c r="T213" s="12" t="str">
        <f t="shared" si="15"/>
        <v/>
      </c>
      <c r="U213" s="8"/>
      <c r="V213" s="8"/>
      <c r="W213" s="10"/>
      <c r="X213" s="8"/>
    </row>
    <row r="214" spans="1:24">
      <c r="A214" s="8"/>
      <c r="B214" s="10"/>
      <c r="C214" s="8"/>
      <c r="D214" s="8"/>
      <c r="E214" s="8"/>
      <c r="F214" s="8"/>
      <c r="G214" s="8"/>
      <c r="H214" s="8"/>
      <c r="I214" s="11"/>
      <c r="J214" s="11"/>
      <c r="K214" s="11"/>
      <c r="L214" s="11"/>
      <c r="M214" s="11"/>
      <c r="N214" s="11"/>
      <c r="O214" s="11"/>
      <c r="P214" s="11"/>
      <c r="Q214" s="16" t="str">
        <f t="shared" si="12"/>
        <v/>
      </c>
      <c r="R214" s="12" t="str">
        <f t="shared" si="13"/>
        <v/>
      </c>
      <c r="S214" s="12" t="str">
        <f t="shared" si="14"/>
        <v/>
      </c>
      <c r="T214" s="12" t="str">
        <f t="shared" si="15"/>
        <v/>
      </c>
      <c r="U214" s="8"/>
      <c r="V214" s="8"/>
      <c r="W214" s="10"/>
      <c r="X214" s="8"/>
    </row>
    <row r="215" spans="1:24">
      <c r="A215" s="8"/>
      <c r="B215" s="10"/>
      <c r="C215" s="8"/>
      <c r="D215" s="8"/>
      <c r="E215" s="8"/>
      <c r="F215" s="8"/>
      <c r="G215" s="8"/>
      <c r="H215" s="8"/>
      <c r="I215" s="11"/>
      <c r="J215" s="11"/>
      <c r="K215" s="11"/>
      <c r="L215" s="11"/>
      <c r="M215" s="11"/>
      <c r="N215" s="11"/>
      <c r="O215" s="11"/>
      <c r="P215" s="11"/>
      <c r="Q215" s="16" t="str">
        <f t="shared" si="12"/>
        <v/>
      </c>
      <c r="R215" s="12" t="str">
        <f t="shared" si="13"/>
        <v/>
      </c>
      <c r="S215" s="12" t="str">
        <f t="shared" si="14"/>
        <v/>
      </c>
      <c r="T215" s="12" t="str">
        <f t="shared" si="15"/>
        <v/>
      </c>
      <c r="U215" s="8"/>
      <c r="V215" s="8"/>
      <c r="W215" s="10"/>
      <c r="X215" s="8"/>
    </row>
    <row r="216" spans="1:24">
      <c r="A216" s="8"/>
      <c r="B216" s="10"/>
      <c r="C216" s="8"/>
      <c r="D216" s="8"/>
      <c r="E216" s="8"/>
      <c r="F216" s="8"/>
      <c r="G216" s="8"/>
      <c r="H216" s="8"/>
      <c r="I216" s="11"/>
      <c r="J216" s="11"/>
      <c r="K216" s="11"/>
      <c r="L216" s="11"/>
      <c r="M216" s="11"/>
      <c r="N216" s="11"/>
      <c r="O216" s="11"/>
      <c r="P216" s="11"/>
      <c r="Q216" s="16" t="str">
        <f t="shared" si="12"/>
        <v/>
      </c>
      <c r="R216" s="12" t="str">
        <f t="shared" si="13"/>
        <v/>
      </c>
      <c r="S216" s="12" t="str">
        <f t="shared" si="14"/>
        <v/>
      </c>
      <c r="T216" s="12" t="str">
        <f t="shared" si="15"/>
        <v/>
      </c>
      <c r="U216" s="8"/>
      <c r="V216" s="8"/>
      <c r="W216" s="10"/>
      <c r="X216" s="8"/>
    </row>
    <row r="217" spans="1:24">
      <c r="A217" s="8"/>
      <c r="B217" s="10"/>
      <c r="C217" s="8"/>
      <c r="D217" s="8"/>
      <c r="E217" s="8"/>
      <c r="F217" s="8"/>
      <c r="G217" s="8"/>
      <c r="H217" s="8"/>
      <c r="I217" s="11"/>
      <c r="J217" s="11"/>
      <c r="K217" s="11"/>
      <c r="L217" s="11"/>
      <c r="M217" s="11"/>
      <c r="N217" s="11"/>
      <c r="O217" s="11"/>
      <c r="P217" s="11"/>
      <c r="Q217" s="16" t="str">
        <f t="shared" si="12"/>
        <v/>
      </c>
      <c r="R217" s="12" t="str">
        <f t="shared" si="13"/>
        <v/>
      </c>
      <c r="S217" s="12" t="str">
        <f t="shared" si="14"/>
        <v/>
      </c>
      <c r="T217" s="12" t="str">
        <f t="shared" si="15"/>
        <v/>
      </c>
      <c r="U217" s="8"/>
      <c r="V217" s="8"/>
      <c r="W217" s="10"/>
      <c r="X217" s="8"/>
    </row>
    <row r="218" spans="1:24">
      <c r="A218" s="8"/>
      <c r="B218" s="10"/>
      <c r="C218" s="8"/>
      <c r="D218" s="8"/>
      <c r="E218" s="8"/>
      <c r="F218" s="8"/>
      <c r="G218" s="8"/>
      <c r="H218" s="8"/>
      <c r="I218" s="11"/>
      <c r="J218" s="11"/>
      <c r="K218" s="11"/>
      <c r="L218" s="11"/>
      <c r="M218" s="11"/>
      <c r="N218" s="11"/>
      <c r="O218" s="11"/>
      <c r="P218" s="11"/>
      <c r="Q218" s="16" t="str">
        <f t="shared" si="12"/>
        <v/>
      </c>
      <c r="R218" s="12" t="str">
        <f t="shared" si="13"/>
        <v/>
      </c>
      <c r="S218" s="12" t="str">
        <f t="shared" si="14"/>
        <v/>
      </c>
      <c r="T218" s="12" t="str">
        <f t="shared" si="15"/>
        <v/>
      </c>
      <c r="U218" s="8"/>
      <c r="V218" s="8"/>
      <c r="W218" s="10"/>
      <c r="X218" s="8"/>
    </row>
    <row r="219" spans="1:24">
      <c r="A219" s="8"/>
      <c r="B219" s="10"/>
      <c r="C219" s="8"/>
      <c r="D219" s="8"/>
      <c r="E219" s="8"/>
      <c r="F219" s="8"/>
      <c r="G219" s="8"/>
      <c r="H219" s="8"/>
      <c r="I219" s="11"/>
      <c r="J219" s="11"/>
      <c r="K219" s="11"/>
      <c r="L219" s="11"/>
      <c r="M219" s="11"/>
      <c r="N219" s="11"/>
      <c r="O219" s="11"/>
      <c r="P219" s="11"/>
      <c r="Q219" s="16" t="str">
        <f t="shared" si="12"/>
        <v/>
      </c>
      <c r="R219" s="12" t="str">
        <f t="shared" si="13"/>
        <v/>
      </c>
      <c r="S219" s="12" t="str">
        <f t="shared" si="14"/>
        <v/>
      </c>
      <c r="T219" s="12" t="str">
        <f t="shared" si="15"/>
        <v/>
      </c>
      <c r="U219" s="8"/>
      <c r="V219" s="8"/>
      <c r="W219" s="10"/>
      <c r="X219" s="8"/>
    </row>
    <row r="220" spans="1:24">
      <c r="A220" s="8"/>
      <c r="B220" s="10"/>
      <c r="C220" s="8"/>
      <c r="D220" s="8"/>
      <c r="E220" s="8"/>
      <c r="F220" s="8"/>
      <c r="G220" s="8"/>
      <c r="H220" s="8"/>
      <c r="I220" s="11"/>
      <c r="J220" s="11"/>
      <c r="K220" s="11"/>
      <c r="L220" s="11"/>
      <c r="M220" s="11"/>
      <c r="N220" s="11"/>
      <c r="O220" s="11"/>
      <c r="P220" s="11"/>
      <c r="Q220" s="16" t="str">
        <f t="shared" si="12"/>
        <v/>
      </c>
      <c r="R220" s="12" t="str">
        <f t="shared" si="13"/>
        <v/>
      </c>
      <c r="S220" s="12" t="str">
        <f t="shared" si="14"/>
        <v/>
      </c>
      <c r="T220" s="12" t="str">
        <f t="shared" si="15"/>
        <v/>
      </c>
      <c r="U220" s="8"/>
      <c r="V220" s="8"/>
      <c r="W220" s="10"/>
      <c r="X220" s="8"/>
    </row>
    <row r="221" spans="1:24">
      <c r="A221" s="8"/>
      <c r="B221" s="10"/>
      <c r="C221" s="8"/>
      <c r="D221" s="8"/>
      <c r="E221" s="8"/>
      <c r="F221" s="8"/>
      <c r="G221" s="8"/>
      <c r="H221" s="8"/>
      <c r="I221" s="11"/>
      <c r="J221" s="11"/>
      <c r="K221" s="11"/>
      <c r="L221" s="11"/>
      <c r="M221" s="11"/>
      <c r="N221" s="11"/>
      <c r="O221" s="11"/>
      <c r="P221" s="11"/>
      <c r="Q221" s="16" t="str">
        <f t="shared" si="12"/>
        <v/>
      </c>
      <c r="R221" s="12" t="str">
        <f t="shared" si="13"/>
        <v/>
      </c>
      <c r="S221" s="12" t="str">
        <f t="shared" si="14"/>
        <v/>
      </c>
      <c r="T221" s="12" t="str">
        <f t="shared" si="15"/>
        <v/>
      </c>
      <c r="U221" s="8"/>
      <c r="V221" s="8"/>
      <c r="W221" s="10"/>
      <c r="X221" s="8"/>
    </row>
    <row r="222" spans="1:24">
      <c r="A222" s="8"/>
      <c r="B222" s="10"/>
      <c r="C222" s="8"/>
      <c r="D222" s="8"/>
      <c r="E222" s="8"/>
      <c r="F222" s="8"/>
      <c r="G222" s="8"/>
      <c r="H222" s="8"/>
      <c r="I222" s="11"/>
      <c r="J222" s="11"/>
      <c r="K222" s="11"/>
      <c r="L222" s="11"/>
      <c r="M222" s="11"/>
      <c r="N222" s="11"/>
      <c r="O222" s="11"/>
      <c r="P222" s="11"/>
      <c r="Q222" s="16" t="str">
        <f t="shared" si="12"/>
        <v/>
      </c>
      <c r="R222" s="12" t="str">
        <f t="shared" si="13"/>
        <v/>
      </c>
      <c r="S222" s="12" t="str">
        <f t="shared" si="14"/>
        <v/>
      </c>
      <c r="T222" s="12" t="str">
        <f t="shared" si="15"/>
        <v/>
      </c>
      <c r="U222" s="8"/>
      <c r="V222" s="8"/>
      <c r="W222" s="10"/>
      <c r="X222" s="8"/>
    </row>
    <row r="223" spans="1:24">
      <c r="A223" s="8"/>
      <c r="B223" s="10"/>
      <c r="C223" s="8"/>
      <c r="D223" s="8"/>
      <c r="E223" s="8"/>
      <c r="F223" s="8"/>
      <c r="G223" s="8"/>
      <c r="H223" s="8"/>
      <c r="I223" s="11"/>
      <c r="J223" s="11"/>
      <c r="K223" s="11"/>
      <c r="L223" s="11"/>
      <c r="M223" s="11"/>
      <c r="N223" s="11"/>
      <c r="O223" s="11"/>
      <c r="P223" s="11"/>
      <c r="Q223" s="16" t="str">
        <f t="shared" si="12"/>
        <v/>
      </c>
      <c r="R223" s="12" t="str">
        <f t="shared" si="13"/>
        <v/>
      </c>
      <c r="S223" s="12" t="str">
        <f t="shared" si="14"/>
        <v/>
      </c>
      <c r="T223" s="12" t="str">
        <f t="shared" si="15"/>
        <v/>
      </c>
      <c r="U223" s="8"/>
      <c r="V223" s="8"/>
      <c r="W223" s="10"/>
      <c r="X223" s="8"/>
    </row>
    <row r="224" spans="1:24">
      <c r="A224" s="8"/>
      <c r="B224" s="10"/>
      <c r="C224" s="8"/>
      <c r="D224" s="8"/>
      <c r="E224" s="8"/>
      <c r="F224" s="8"/>
      <c r="G224" s="8"/>
      <c r="H224" s="8"/>
      <c r="I224" s="11"/>
      <c r="J224" s="11"/>
      <c r="K224" s="11"/>
      <c r="L224" s="11"/>
      <c r="M224" s="11"/>
      <c r="N224" s="11"/>
      <c r="O224" s="11"/>
      <c r="P224" s="11"/>
      <c r="Q224" s="16" t="str">
        <f t="shared" si="12"/>
        <v/>
      </c>
      <c r="R224" s="12" t="str">
        <f t="shared" si="13"/>
        <v/>
      </c>
      <c r="S224" s="12" t="str">
        <f t="shared" si="14"/>
        <v/>
      </c>
      <c r="T224" s="12" t="str">
        <f t="shared" si="15"/>
        <v/>
      </c>
      <c r="U224" s="8"/>
      <c r="V224" s="8"/>
      <c r="W224" s="10"/>
      <c r="X224" s="8"/>
    </row>
    <row r="225" spans="1:24">
      <c r="A225" s="8"/>
      <c r="B225" s="10"/>
      <c r="C225" s="8"/>
      <c r="D225" s="8"/>
      <c r="E225" s="8"/>
      <c r="F225" s="8"/>
      <c r="G225" s="8"/>
      <c r="H225" s="8"/>
      <c r="I225" s="11"/>
      <c r="J225" s="11"/>
      <c r="K225" s="11"/>
      <c r="L225" s="11"/>
      <c r="M225" s="11"/>
      <c r="N225" s="11"/>
      <c r="O225" s="11"/>
      <c r="P225" s="11"/>
      <c r="Q225" s="16" t="str">
        <f t="shared" si="12"/>
        <v/>
      </c>
      <c r="R225" s="12" t="str">
        <f t="shared" si="13"/>
        <v/>
      </c>
      <c r="S225" s="12" t="str">
        <f t="shared" si="14"/>
        <v/>
      </c>
      <c r="T225" s="12" t="str">
        <f t="shared" si="15"/>
        <v/>
      </c>
      <c r="U225" s="8"/>
      <c r="V225" s="8"/>
      <c r="W225" s="10"/>
      <c r="X225" s="8"/>
    </row>
    <row r="226" spans="1:24">
      <c r="A226" s="8"/>
      <c r="B226" s="10"/>
      <c r="C226" s="8"/>
      <c r="D226" s="8"/>
      <c r="E226" s="8"/>
      <c r="F226" s="8"/>
      <c r="G226" s="8"/>
      <c r="H226" s="8"/>
      <c r="I226" s="11"/>
      <c r="J226" s="11"/>
      <c r="K226" s="11"/>
      <c r="L226" s="11"/>
      <c r="M226" s="11"/>
      <c r="N226" s="11"/>
      <c r="O226" s="11"/>
      <c r="P226" s="11"/>
      <c r="Q226" s="16" t="str">
        <f t="shared" si="12"/>
        <v/>
      </c>
      <c r="R226" s="12" t="str">
        <f t="shared" si="13"/>
        <v/>
      </c>
      <c r="S226" s="12" t="str">
        <f t="shared" si="14"/>
        <v/>
      </c>
      <c r="T226" s="12" t="str">
        <f t="shared" si="15"/>
        <v/>
      </c>
      <c r="U226" s="8"/>
      <c r="V226" s="8"/>
      <c r="W226" s="10"/>
      <c r="X226" s="8"/>
    </row>
    <row r="227" spans="1:24">
      <c r="A227" s="8"/>
      <c r="B227" s="10"/>
      <c r="C227" s="8"/>
      <c r="D227" s="8"/>
      <c r="E227" s="8"/>
      <c r="F227" s="8"/>
      <c r="G227" s="8"/>
      <c r="H227" s="8"/>
      <c r="I227" s="11"/>
      <c r="J227" s="11"/>
      <c r="K227" s="11"/>
      <c r="L227" s="11"/>
      <c r="M227" s="11"/>
      <c r="N227" s="11"/>
      <c r="O227" s="11"/>
      <c r="P227" s="11"/>
      <c r="Q227" s="16" t="str">
        <f t="shared" si="12"/>
        <v/>
      </c>
      <c r="R227" s="12" t="str">
        <f t="shared" si="13"/>
        <v/>
      </c>
      <c r="S227" s="12" t="str">
        <f t="shared" si="14"/>
        <v/>
      </c>
      <c r="T227" s="12" t="str">
        <f t="shared" si="15"/>
        <v/>
      </c>
      <c r="U227" s="8"/>
      <c r="V227" s="8"/>
      <c r="W227" s="10"/>
      <c r="X227" s="8"/>
    </row>
    <row r="228" spans="1:24">
      <c r="A228" s="8"/>
      <c r="B228" s="10"/>
      <c r="C228" s="8"/>
      <c r="D228" s="8"/>
      <c r="E228" s="8"/>
      <c r="F228" s="8"/>
      <c r="G228" s="8"/>
      <c r="H228" s="8"/>
      <c r="I228" s="11"/>
      <c r="J228" s="11"/>
      <c r="K228" s="11"/>
      <c r="L228" s="11"/>
      <c r="M228" s="11"/>
      <c r="N228" s="11"/>
      <c r="O228" s="11"/>
      <c r="P228" s="11"/>
      <c r="Q228" s="16" t="str">
        <f t="shared" si="12"/>
        <v/>
      </c>
      <c r="R228" s="12" t="str">
        <f t="shared" si="13"/>
        <v/>
      </c>
      <c r="S228" s="12" t="str">
        <f t="shared" si="14"/>
        <v/>
      </c>
      <c r="T228" s="12" t="str">
        <f t="shared" si="15"/>
        <v/>
      </c>
      <c r="U228" s="8"/>
      <c r="V228" s="8"/>
      <c r="W228" s="10"/>
      <c r="X228" s="8"/>
    </row>
    <row r="229" spans="1:24">
      <c r="A229" s="8"/>
      <c r="B229" s="10"/>
      <c r="C229" s="8"/>
      <c r="D229" s="8"/>
      <c r="E229" s="8"/>
      <c r="F229" s="8"/>
      <c r="G229" s="8"/>
      <c r="H229" s="8"/>
      <c r="I229" s="11"/>
      <c r="J229" s="11"/>
      <c r="K229" s="11"/>
      <c r="L229" s="11"/>
      <c r="M229" s="11"/>
      <c r="N229" s="11"/>
      <c r="O229" s="11"/>
      <c r="P229" s="11"/>
      <c r="Q229" s="16" t="str">
        <f t="shared" si="12"/>
        <v/>
      </c>
      <c r="R229" s="12" t="str">
        <f t="shared" si="13"/>
        <v/>
      </c>
      <c r="S229" s="12" t="str">
        <f t="shared" si="14"/>
        <v/>
      </c>
      <c r="T229" s="12" t="str">
        <f t="shared" si="15"/>
        <v/>
      </c>
      <c r="U229" s="8"/>
      <c r="V229" s="8"/>
      <c r="W229" s="10"/>
      <c r="X229" s="8"/>
    </row>
    <row r="230" spans="1:24">
      <c r="A230" s="8"/>
      <c r="B230" s="10"/>
      <c r="C230" s="8"/>
      <c r="D230" s="8"/>
      <c r="E230" s="8"/>
      <c r="F230" s="8"/>
      <c r="G230" s="8"/>
      <c r="H230" s="8"/>
      <c r="I230" s="11"/>
      <c r="J230" s="11"/>
      <c r="K230" s="11"/>
      <c r="L230" s="11"/>
      <c r="M230" s="11"/>
      <c r="N230" s="11"/>
      <c r="O230" s="11"/>
      <c r="P230" s="11"/>
      <c r="Q230" s="16" t="str">
        <f t="shared" si="12"/>
        <v/>
      </c>
      <c r="R230" s="12" t="str">
        <f t="shared" si="13"/>
        <v/>
      </c>
      <c r="S230" s="12" t="str">
        <f t="shared" si="14"/>
        <v/>
      </c>
      <c r="T230" s="12" t="str">
        <f t="shared" si="15"/>
        <v/>
      </c>
      <c r="U230" s="8"/>
      <c r="V230" s="8"/>
      <c r="W230" s="10"/>
      <c r="X230" s="8"/>
    </row>
    <row r="231" spans="1:24">
      <c r="A231" s="8"/>
      <c r="B231" s="10"/>
      <c r="C231" s="8"/>
      <c r="D231" s="8"/>
      <c r="E231" s="8"/>
      <c r="F231" s="8"/>
      <c r="G231" s="8"/>
      <c r="H231" s="8"/>
      <c r="I231" s="11"/>
      <c r="J231" s="11"/>
      <c r="K231" s="11"/>
      <c r="L231" s="11"/>
      <c r="M231" s="11"/>
      <c r="N231" s="11"/>
      <c r="O231" s="11"/>
      <c r="P231" s="11"/>
      <c r="Q231" s="16" t="str">
        <f t="shared" si="12"/>
        <v/>
      </c>
      <c r="R231" s="12" t="str">
        <f t="shared" si="13"/>
        <v/>
      </c>
      <c r="S231" s="12" t="str">
        <f t="shared" si="14"/>
        <v/>
      </c>
      <c r="T231" s="12" t="str">
        <f t="shared" si="15"/>
        <v/>
      </c>
      <c r="U231" s="8"/>
      <c r="V231" s="8"/>
      <c r="W231" s="10"/>
      <c r="X231" s="8"/>
    </row>
    <row r="232" spans="1:24">
      <c r="A232" s="8"/>
      <c r="B232" s="10"/>
      <c r="C232" s="8"/>
      <c r="D232" s="8"/>
      <c r="E232" s="8"/>
      <c r="F232" s="8"/>
      <c r="G232" s="8"/>
      <c r="H232" s="8"/>
      <c r="I232" s="11"/>
      <c r="J232" s="11"/>
      <c r="K232" s="11"/>
      <c r="L232" s="11"/>
      <c r="M232" s="11"/>
      <c r="N232" s="11"/>
      <c r="O232" s="11"/>
      <c r="P232" s="11"/>
      <c r="Q232" s="16" t="str">
        <f t="shared" si="12"/>
        <v/>
      </c>
      <c r="R232" s="12" t="str">
        <f t="shared" si="13"/>
        <v/>
      </c>
      <c r="S232" s="12" t="str">
        <f t="shared" si="14"/>
        <v/>
      </c>
      <c r="T232" s="12" t="str">
        <f t="shared" si="15"/>
        <v/>
      </c>
      <c r="U232" s="8"/>
      <c r="V232" s="8"/>
      <c r="W232" s="10"/>
      <c r="X232" s="8"/>
    </row>
    <row r="233" spans="1:24">
      <c r="A233" s="8"/>
      <c r="B233" s="10"/>
      <c r="C233" s="8"/>
      <c r="D233" s="8"/>
      <c r="E233" s="8"/>
      <c r="F233" s="8"/>
      <c r="G233" s="8"/>
      <c r="H233" s="8"/>
      <c r="I233" s="11"/>
      <c r="J233" s="11"/>
      <c r="K233" s="11"/>
      <c r="L233" s="11"/>
      <c r="M233" s="11"/>
      <c r="N233" s="11"/>
      <c r="O233" s="11"/>
      <c r="P233" s="11"/>
      <c r="Q233" s="16" t="str">
        <f t="shared" si="12"/>
        <v/>
      </c>
      <c r="R233" s="12" t="str">
        <f t="shared" si="13"/>
        <v/>
      </c>
      <c r="S233" s="12" t="str">
        <f t="shared" si="14"/>
        <v/>
      </c>
      <c r="T233" s="12" t="str">
        <f t="shared" si="15"/>
        <v/>
      </c>
      <c r="U233" s="8"/>
      <c r="V233" s="8"/>
      <c r="W233" s="10"/>
      <c r="X233" s="8"/>
    </row>
    <row r="234" spans="1:24">
      <c r="A234" s="8"/>
      <c r="B234" s="10"/>
      <c r="C234" s="8"/>
      <c r="D234" s="8"/>
      <c r="E234" s="8"/>
      <c r="F234" s="8"/>
      <c r="G234" s="8"/>
      <c r="H234" s="8"/>
      <c r="I234" s="11"/>
      <c r="J234" s="11"/>
      <c r="K234" s="11"/>
      <c r="L234" s="11"/>
      <c r="M234" s="11"/>
      <c r="N234" s="11"/>
      <c r="O234" s="11"/>
      <c r="P234" s="11"/>
      <c r="Q234" s="16" t="str">
        <f t="shared" si="12"/>
        <v/>
      </c>
      <c r="R234" s="12" t="str">
        <f t="shared" si="13"/>
        <v/>
      </c>
      <c r="S234" s="12" t="str">
        <f t="shared" si="14"/>
        <v/>
      </c>
      <c r="T234" s="12" t="str">
        <f t="shared" si="15"/>
        <v/>
      </c>
      <c r="U234" s="8"/>
      <c r="V234" s="8"/>
      <c r="W234" s="10"/>
      <c r="X234" s="8"/>
    </row>
    <row r="235" spans="1:24">
      <c r="A235" s="8"/>
      <c r="B235" s="10"/>
      <c r="C235" s="8"/>
      <c r="D235" s="8"/>
      <c r="E235" s="8"/>
      <c r="F235" s="8"/>
      <c r="G235" s="8"/>
      <c r="H235" s="8"/>
      <c r="I235" s="11"/>
      <c r="J235" s="11"/>
      <c r="K235" s="11"/>
      <c r="L235" s="11"/>
      <c r="M235" s="11"/>
      <c r="N235" s="11"/>
      <c r="O235" s="11"/>
      <c r="P235" s="11"/>
      <c r="Q235" s="16" t="str">
        <f t="shared" si="12"/>
        <v/>
      </c>
      <c r="R235" s="12" t="str">
        <f t="shared" si="13"/>
        <v/>
      </c>
      <c r="S235" s="12" t="str">
        <f t="shared" si="14"/>
        <v/>
      </c>
      <c r="T235" s="12" t="str">
        <f t="shared" si="15"/>
        <v/>
      </c>
      <c r="U235" s="8"/>
      <c r="V235" s="8"/>
      <c r="W235" s="10"/>
      <c r="X235" s="8"/>
    </row>
    <row r="236" spans="1:24">
      <c r="A236" s="8"/>
      <c r="B236" s="10"/>
      <c r="C236" s="8"/>
      <c r="D236" s="8"/>
      <c r="E236" s="8"/>
      <c r="F236" s="8"/>
      <c r="G236" s="8"/>
      <c r="H236" s="8"/>
      <c r="I236" s="11"/>
      <c r="J236" s="11"/>
      <c r="K236" s="11"/>
      <c r="L236" s="11"/>
      <c r="M236" s="11"/>
      <c r="N236" s="11"/>
      <c r="O236" s="11"/>
      <c r="P236" s="11"/>
      <c r="Q236" s="16" t="str">
        <f t="shared" si="12"/>
        <v/>
      </c>
      <c r="R236" s="12" t="str">
        <f t="shared" si="13"/>
        <v/>
      </c>
      <c r="S236" s="12" t="str">
        <f t="shared" si="14"/>
        <v/>
      </c>
      <c r="T236" s="12" t="str">
        <f t="shared" si="15"/>
        <v/>
      </c>
      <c r="U236" s="8"/>
      <c r="V236" s="8"/>
      <c r="W236" s="10"/>
      <c r="X236" s="8"/>
    </row>
    <row r="237" spans="1:24">
      <c r="A237" s="8"/>
      <c r="B237" s="10"/>
      <c r="C237" s="8"/>
      <c r="D237" s="8"/>
      <c r="E237" s="8"/>
      <c r="F237" s="8"/>
      <c r="G237" s="8"/>
      <c r="H237" s="8"/>
      <c r="I237" s="11"/>
      <c r="J237" s="11"/>
      <c r="K237" s="11"/>
      <c r="L237" s="11"/>
      <c r="M237" s="11"/>
      <c r="N237" s="11"/>
      <c r="O237" s="11"/>
      <c r="P237" s="11"/>
      <c r="Q237" s="16" t="str">
        <f t="shared" si="12"/>
        <v/>
      </c>
      <c r="R237" s="12" t="str">
        <f t="shared" si="13"/>
        <v/>
      </c>
      <c r="S237" s="12" t="str">
        <f t="shared" si="14"/>
        <v/>
      </c>
      <c r="T237" s="12" t="str">
        <f t="shared" si="15"/>
        <v/>
      </c>
      <c r="U237" s="8"/>
      <c r="V237" s="8"/>
      <c r="W237" s="10"/>
      <c r="X237" s="8"/>
    </row>
    <row r="238" spans="1:24">
      <c r="A238" s="8"/>
      <c r="B238" s="10"/>
      <c r="C238" s="8"/>
      <c r="D238" s="8"/>
      <c r="E238" s="8"/>
      <c r="F238" s="8"/>
      <c r="G238" s="8"/>
      <c r="H238" s="8"/>
      <c r="I238" s="11"/>
      <c r="J238" s="11"/>
      <c r="K238" s="11"/>
      <c r="L238" s="11"/>
      <c r="M238" s="11"/>
      <c r="N238" s="11"/>
      <c r="O238" s="11"/>
      <c r="P238" s="11"/>
      <c r="Q238" s="16" t="str">
        <f t="shared" si="12"/>
        <v/>
      </c>
      <c r="R238" s="12" t="str">
        <f t="shared" si="13"/>
        <v/>
      </c>
      <c r="S238" s="12" t="str">
        <f t="shared" si="14"/>
        <v/>
      </c>
      <c r="T238" s="12" t="str">
        <f t="shared" si="15"/>
        <v/>
      </c>
      <c r="U238" s="8"/>
      <c r="V238" s="8"/>
      <c r="W238" s="10"/>
      <c r="X238" s="8"/>
    </row>
    <row r="239" spans="1:24">
      <c r="A239" s="8"/>
      <c r="B239" s="10"/>
      <c r="C239" s="8"/>
      <c r="D239" s="8"/>
      <c r="E239" s="8"/>
      <c r="F239" s="8"/>
      <c r="G239" s="8"/>
      <c r="H239" s="8"/>
      <c r="I239" s="11"/>
      <c r="J239" s="11"/>
      <c r="K239" s="11"/>
      <c r="L239" s="11"/>
      <c r="M239" s="11"/>
      <c r="N239" s="11"/>
      <c r="O239" s="11"/>
      <c r="P239" s="11"/>
      <c r="Q239" s="16" t="str">
        <f t="shared" si="12"/>
        <v/>
      </c>
      <c r="R239" s="12" t="str">
        <f t="shared" si="13"/>
        <v/>
      </c>
      <c r="S239" s="12" t="str">
        <f t="shared" si="14"/>
        <v/>
      </c>
      <c r="T239" s="12" t="str">
        <f t="shared" si="15"/>
        <v/>
      </c>
      <c r="U239" s="8"/>
      <c r="V239" s="8"/>
      <c r="W239" s="10"/>
      <c r="X239" s="8"/>
    </row>
    <row r="240" spans="1:24">
      <c r="A240" s="8"/>
      <c r="B240" s="10"/>
      <c r="C240" s="8"/>
      <c r="D240" s="8"/>
      <c r="E240" s="8"/>
      <c r="F240" s="8"/>
      <c r="G240" s="8"/>
      <c r="H240" s="8"/>
      <c r="I240" s="11"/>
      <c r="J240" s="11"/>
      <c r="K240" s="11"/>
      <c r="L240" s="11"/>
      <c r="M240" s="11"/>
      <c r="N240" s="11"/>
      <c r="O240" s="11"/>
      <c r="P240" s="11"/>
      <c r="Q240" s="16" t="str">
        <f t="shared" si="12"/>
        <v/>
      </c>
      <c r="R240" s="12" t="str">
        <f t="shared" si="13"/>
        <v/>
      </c>
      <c r="S240" s="12" t="str">
        <f t="shared" si="14"/>
        <v/>
      </c>
      <c r="T240" s="12" t="str">
        <f t="shared" si="15"/>
        <v/>
      </c>
      <c r="U240" s="8"/>
      <c r="V240" s="8"/>
      <c r="W240" s="10"/>
      <c r="X240" s="8"/>
    </row>
    <row r="241" spans="1:24">
      <c r="A241" s="8"/>
      <c r="B241" s="10"/>
      <c r="C241" s="8"/>
      <c r="D241" s="8"/>
      <c r="E241" s="8"/>
      <c r="F241" s="8"/>
      <c r="G241" s="8"/>
      <c r="H241" s="8"/>
      <c r="I241" s="11"/>
      <c r="J241" s="11"/>
      <c r="K241" s="11"/>
      <c r="L241" s="11"/>
      <c r="M241" s="11"/>
      <c r="N241" s="11"/>
      <c r="O241" s="11"/>
      <c r="P241" s="11"/>
      <c r="Q241" s="16" t="str">
        <f t="shared" si="12"/>
        <v/>
      </c>
      <c r="R241" s="12" t="str">
        <f t="shared" si="13"/>
        <v/>
      </c>
      <c r="S241" s="12" t="str">
        <f t="shared" si="14"/>
        <v/>
      </c>
      <c r="T241" s="12" t="str">
        <f t="shared" si="15"/>
        <v/>
      </c>
      <c r="U241" s="8"/>
      <c r="V241" s="8"/>
      <c r="W241" s="10"/>
      <c r="X241" s="8"/>
    </row>
    <row r="242" spans="1:24">
      <c r="A242" s="8"/>
      <c r="B242" s="10"/>
      <c r="C242" s="8"/>
      <c r="D242" s="8"/>
      <c r="E242" s="8"/>
      <c r="F242" s="8"/>
      <c r="G242" s="8"/>
      <c r="H242" s="8"/>
      <c r="I242" s="11"/>
      <c r="J242" s="11"/>
      <c r="K242" s="11"/>
      <c r="L242" s="11"/>
      <c r="M242" s="11"/>
      <c r="N242" s="11"/>
      <c r="O242" s="11"/>
      <c r="P242" s="11"/>
      <c r="Q242" s="16" t="str">
        <f t="shared" si="12"/>
        <v/>
      </c>
      <c r="R242" s="12" t="str">
        <f t="shared" si="13"/>
        <v/>
      </c>
      <c r="S242" s="12" t="str">
        <f t="shared" si="14"/>
        <v/>
      </c>
      <c r="T242" s="12" t="str">
        <f t="shared" si="15"/>
        <v/>
      </c>
      <c r="U242" s="8"/>
      <c r="V242" s="8"/>
      <c r="W242" s="10"/>
      <c r="X242" s="8"/>
    </row>
    <row r="243" spans="1:24">
      <c r="A243" s="8"/>
      <c r="B243" s="10"/>
      <c r="C243" s="8"/>
      <c r="D243" s="8"/>
      <c r="E243" s="8"/>
      <c r="F243" s="8"/>
      <c r="G243" s="8"/>
      <c r="H243" s="8"/>
      <c r="I243" s="11"/>
      <c r="J243" s="11"/>
      <c r="K243" s="11"/>
      <c r="L243" s="11"/>
      <c r="M243" s="11"/>
      <c r="N243" s="11"/>
      <c r="O243" s="11"/>
      <c r="P243" s="11"/>
      <c r="Q243" s="16" t="str">
        <f t="shared" si="12"/>
        <v/>
      </c>
      <c r="R243" s="12" t="str">
        <f t="shared" si="13"/>
        <v/>
      </c>
      <c r="S243" s="12" t="str">
        <f t="shared" si="14"/>
        <v/>
      </c>
      <c r="T243" s="12" t="str">
        <f t="shared" si="15"/>
        <v/>
      </c>
      <c r="U243" s="8"/>
      <c r="V243" s="8"/>
      <c r="W243" s="10"/>
      <c r="X243" s="8"/>
    </row>
    <row r="244" spans="1:24">
      <c r="A244" s="8"/>
      <c r="B244" s="10"/>
      <c r="C244" s="8"/>
      <c r="D244" s="8"/>
      <c r="E244" s="8"/>
      <c r="F244" s="8"/>
      <c r="G244" s="8"/>
      <c r="H244" s="8"/>
      <c r="I244" s="11"/>
      <c r="J244" s="11"/>
      <c r="K244" s="11"/>
      <c r="L244" s="11"/>
      <c r="M244" s="11"/>
      <c r="N244" s="11"/>
      <c r="O244" s="11"/>
      <c r="P244" s="11"/>
      <c r="Q244" s="16" t="str">
        <f t="shared" si="12"/>
        <v/>
      </c>
      <c r="R244" s="12" t="str">
        <f t="shared" si="13"/>
        <v/>
      </c>
      <c r="S244" s="12" t="str">
        <f t="shared" si="14"/>
        <v/>
      </c>
      <c r="T244" s="12" t="str">
        <f t="shared" si="15"/>
        <v/>
      </c>
      <c r="U244" s="8"/>
      <c r="V244" s="8"/>
      <c r="W244" s="10"/>
      <c r="X244" s="8"/>
    </row>
    <row r="245" spans="1:24">
      <c r="A245" s="8"/>
      <c r="B245" s="10"/>
      <c r="C245" s="8"/>
      <c r="D245" s="8"/>
      <c r="E245" s="8"/>
      <c r="F245" s="8"/>
      <c r="G245" s="8"/>
      <c r="H245" s="8"/>
      <c r="I245" s="11"/>
      <c r="J245" s="11"/>
      <c r="K245" s="11"/>
      <c r="L245" s="11"/>
      <c r="M245" s="11"/>
      <c r="N245" s="11"/>
      <c r="O245" s="11"/>
      <c r="P245" s="11"/>
      <c r="Q245" s="16" t="str">
        <f t="shared" si="12"/>
        <v/>
      </c>
      <c r="R245" s="12" t="str">
        <f t="shared" si="13"/>
        <v/>
      </c>
      <c r="S245" s="12" t="str">
        <f t="shared" si="14"/>
        <v/>
      </c>
      <c r="T245" s="12" t="str">
        <f t="shared" si="15"/>
        <v/>
      </c>
      <c r="U245" s="8"/>
      <c r="V245" s="8"/>
      <c r="W245" s="10"/>
      <c r="X245" s="8"/>
    </row>
    <row r="246" spans="1:24">
      <c r="A246" s="8"/>
      <c r="B246" s="10"/>
      <c r="C246" s="8"/>
      <c r="D246" s="8"/>
      <c r="E246" s="8"/>
      <c r="F246" s="8"/>
      <c r="G246" s="8"/>
      <c r="H246" s="8"/>
      <c r="I246" s="11"/>
      <c r="J246" s="11"/>
      <c r="K246" s="11"/>
      <c r="L246" s="11"/>
      <c r="M246" s="11"/>
      <c r="N246" s="11"/>
      <c r="O246" s="11"/>
      <c r="P246" s="11"/>
      <c r="Q246" s="16" t="str">
        <f t="shared" si="12"/>
        <v/>
      </c>
      <c r="R246" s="12" t="str">
        <f t="shared" si="13"/>
        <v/>
      </c>
      <c r="S246" s="12" t="str">
        <f t="shared" si="14"/>
        <v/>
      </c>
      <c r="T246" s="12" t="str">
        <f t="shared" si="15"/>
        <v/>
      </c>
      <c r="U246" s="8"/>
      <c r="V246" s="8"/>
      <c r="W246" s="10"/>
      <c r="X246" s="8"/>
    </row>
    <row r="247" spans="1:24">
      <c r="A247" s="8"/>
      <c r="B247" s="10"/>
      <c r="C247" s="8"/>
      <c r="D247" s="8"/>
      <c r="E247" s="8"/>
      <c r="F247" s="8"/>
      <c r="G247" s="8"/>
      <c r="H247" s="8"/>
      <c r="I247" s="11"/>
      <c r="J247" s="11"/>
      <c r="K247" s="11"/>
      <c r="L247" s="11"/>
      <c r="M247" s="11"/>
      <c r="N247" s="11"/>
      <c r="O247" s="11"/>
      <c r="P247" s="11"/>
      <c r="Q247" s="16" t="str">
        <f t="shared" si="12"/>
        <v/>
      </c>
      <c r="R247" s="12" t="str">
        <f t="shared" si="13"/>
        <v/>
      </c>
      <c r="S247" s="12" t="str">
        <f t="shared" si="14"/>
        <v/>
      </c>
      <c r="T247" s="12" t="str">
        <f t="shared" si="15"/>
        <v/>
      </c>
      <c r="U247" s="8"/>
      <c r="V247" s="8"/>
      <c r="W247" s="10"/>
      <c r="X247" s="8"/>
    </row>
    <row r="248" spans="1:24">
      <c r="A248" s="8"/>
      <c r="B248" s="10"/>
      <c r="C248" s="8"/>
      <c r="D248" s="8"/>
      <c r="E248" s="8"/>
      <c r="F248" s="8"/>
      <c r="G248" s="8"/>
      <c r="H248" s="8"/>
      <c r="I248" s="11"/>
      <c r="J248" s="11"/>
      <c r="K248" s="11"/>
      <c r="L248" s="11"/>
      <c r="M248" s="11"/>
      <c r="N248" s="11"/>
      <c r="O248" s="11"/>
      <c r="P248" s="11"/>
      <c r="Q248" s="16" t="str">
        <f t="shared" si="12"/>
        <v/>
      </c>
      <c r="R248" s="12" t="str">
        <f t="shared" si="13"/>
        <v/>
      </c>
      <c r="S248" s="12" t="str">
        <f t="shared" si="14"/>
        <v/>
      </c>
      <c r="T248" s="12" t="str">
        <f t="shared" si="15"/>
        <v/>
      </c>
      <c r="U248" s="8"/>
      <c r="V248" s="8"/>
      <c r="W248" s="10"/>
      <c r="X248" s="8"/>
    </row>
    <row r="249" spans="1:24">
      <c r="A249" s="8"/>
      <c r="B249" s="10"/>
      <c r="C249" s="8"/>
      <c r="D249" s="8"/>
      <c r="E249" s="8"/>
      <c r="F249" s="8"/>
      <c r="G249" s="8"/>
      <c r="H249" s="8"/>
      <c r="I249" s="11"/>
      <c r="J249" s="11"/>
      <c r="K249" s="11"/>
      <c r="L249" s="11"/>
      <c r="M249" s="11"/>
      <c r="N249" s="11"/>
      <c r="O249" s="11"/>
      <c r="P249" s="11"/>
      <c r="Q249" s="16" t="str">
        <f t="shared" si="12"/>
        <v/>
      </c>
      <c r="R249" s="12" t="str">
        <f t="shared" si="13"/>
        <v/>
      </c>
      <c r="S249" s="12" t="str">
        <f t="shared" si="14"/>
        <v/>
      </c>
      <c r="T249" s="12" t="str">
        <f t="shared" si="15"/>
        <v/>
      </c>
      <c r="U249" s="8"/>
      <c r="V249" s="8"/>
      <c r="W249" s="10"/>
      <c r="X249" s="8"/>
    </row>
    <row r="250" spans="1:24">
      <c r="A250" s="8"/>
      <c r="B250" s="10"/>
      <c r="C250" s="8"/>
      <c r="D250" s="8"/>
      <c r="E250" s="8"/>
      <c r="F250" s="8"/>
      <c r="G250" s="8"/>
      <c r="H250" s="8"/>
      <c r="I250" s="11"/>
      <c r="J250" s="11"/>
      <c r="K250" s="11"/>
      <c r="L250" s="11"/>
      <c r="M250" s="11"/>
      <c r="N250" s="11"/>
      <c r="O250" s="11"/>
      <c r="P250" s="11"/>
      <c r="Q250" s="16" t="str">
        <f t="shared" si="12"/>
        <v/>
      </c>
      <c r="R250" s="12" t="str">
        <f t="shared" si="13"/>
        <v/>
      </c>
      <c r="S250" s="12" t="str">
        <f t="shared" si="14"/>
        <v/>
      </c>
      <c r="T250" s="12" t="str">
        <f t="shared" si="15"/>
        <v/>
      </c>
      <c r="U250" s="8"/>
      <c r="V250" s="8"/>
      <c r="W250" s="10"/>
      <c r="X250" s="8"/>
    </row>
    <row r="251" spans="1:24">
      <c r="A251" s="8"/>
      <c r="B251" s="10"/>
      <c r="C251" s="8"/>
      <c r="D251" s="8"/>
      <c r="E251" s="8"/>
      <c r="F251" s="8"/>
      <c r="G251" s="8"/>
      <c r="H251" s="8"/>
      <c r="I251" s="11"/>
      <c r="J251" s="11"/>
      <c r="K251" s="11"/>
      <c r="L251" s="11"/>
      <c r="M251" s="11"/>
      <c r="N251" s="11"/>
      <c r="O251" s="11"/>
      <c r="P251" s="11"/>
      <c r="Q251" s="16" t="str">
        <f t="shared" si="12"/>
        <v/>
      </c>
      <c r="R251" s="12" t="str">
        <f t="shared" si="13"/>
        <v/>
      </c>
      <c r="S251" s="12" t="str">
        <f t="shared" si="14"/>
        <v/>
      </c>
      <c r="T251" s="12" t="str">
        <f t="shared" si="15"/>
        <v/>
      </c>
      <c r="U251" s="8"/>
      <c r="V251" s="8"/>
      <c r="W251" s="10"/>
      <c r="X251" s="8"/>
    </row>
    <row r="252" spans="1:24">
      <c r="A252" s="8"/>
      <c r="B252" s="10"/>
      <c r="C252" s="8"/>
      <c r="D252" s="8"/>
      <c r="E252" s="8"/>
      <c r="F252" s="8"/>
      <c r="G252" s="8"/>
      <c r="H252" s="8"/>
      <c r="I252" s="11"/>
      <c r="J252" s="11"/>
      <c r="K252" s="11"/>
      <c r="L252" s="11"/>
      <c r="M252" s="11"/>
      <c r="N252" s="11"/>
      <c r="O252" s="11"/>
      <c r="P252" s="11"/>
      <c r="Q252" s="16" t="str">
        <f t="shared" si="12"/>
        <v/>
      </c>
      <c r="R252" s="12" t="str">
        <f t="shared" si="13"/>
        <v/>
      </c>
      <c r="S252" s="12" t="str">
        <f t="shared" si="14"/>
        <v/>
      </c>
      <c r="T252" s="12" t="str">
        <f t="shared" si="15"/>
        <v/>
      </c>
      <c r="U252" s="8"/>
      <c r="V252" s="8"/>
      <c r="W252" s="10"/>
      <c r="X252" s="8"/>
    </row>
    <row r="253" spans="1:24">
      <c r="A253" s="8"/>
      <c r="B253" s="10"/>
      <c r="C253" s="8"/>
      <c r="D253" s="8"/>
      <c r="E253" s="8"/>
      <c r="F253" s="8"/>
      <c r="G253" s="8"/>
      <c r="H253" s="8"/>
      <c r="I253" s="11"/>
      <c r="J253" s="11"/>
      <c r="K253" s="11"/>
      <c r="L253" s="11"/>
      <c r="M253" s="11"/>
      <c r="N253" s="11"/>
      <c r="O253" s="11"/>
      <c r="P253" s="11"/>
      <c r="Q253" s="16" t="str">
        <f t="shared" si="12"/>
        <v/>
      </c>
      <c r="R253" s="12" t="str">
        <f t="shared" si="13"/>
        <v/>
      </c>
      <c r="S253" s="12" t="str">
        <f t="shared" si="14"/>
        <v/>
      </c>
      <c r="T253" s="12" t="str">
        <f t="shared" si="15"/>
        <v/>
      </c>
      <c r="U253" s="8"/>
      <c r="V253" s="8"/>
      <c r="W253" s="10"/>
      <c r="X253" s="8"/>
    </row>
    <row r="254" spans="1:24">
      <c r="A254" s="8"/>
      <c r="B254" s="10"/>
      <c r="C254" s="8"/>
      <c r="D254" s="8"/>
      <c r="E254" s="8"/>
      <c r="F254" s="8"/>
      <c r="G254" s="8"/>
      <c r="H254" s="8"/>
      <c r="I254" s="11"/>
      <c r="J254" s="11"/>
      <c r="K254" s="11"/>
      <c r="L254" s="11"/>
      <c r="M254" s="11"/>
      <c r="N254" s="11"/>
      <c r="O254" s="11"/>
      <c r="P254" s="11"/>
      <c r="Q254" s="16" t="str">
        <f t="shared" si="12"/>
        <v/>
      </c>
      <c r="R254" s="12" t="str">
        <f t="shared" si="13"/>
        <v/>
      </c>
      <c r="S254" s="12" t="str">
        <f t="shared" si="14"/>
        <v/>
      </c>
      <c r="T254" s="12" t="str">
        <f t="shared" si="15"/>
        <v/>
      </c>
      <c r="U254" s="8"/>
      <c r="V254" s="8"/>
      <c r="W254" s="10"/>
      <c r="X254" s="8"/>
    </row>
    <row r="255" spans="1:24">
      <c r="A255" s="8"/>
      <c r="B255" s="10"/>
      <c r="C255" s="8"/>
      <c r="D255" s="8"/>
      <c r="E255" s="8"/>
      <c r="F255" s="8"/>
      <c r="G255" s="8"/>
      <c r="H255" s="8"/>
      <c r="I255" s="11"/>
      <c r="J255" s="11"/>
      <c r="K255" s="11"/>
      <c r="L255" s="11"/>
      <c r="M255" s="11"/>
      <c r="N255" s="11"/>
      <c r="O255" s="11"/>
      <c r="P255" s="11"/>
      <c r="Q255" s="16" t="str">
        <f t="shared" si="12"/>
        <v/>
      </c>
      <c r="R255" s="12" t="str">
        <f t="shared" si="13"/>
        <v/>
      </c>
      <c r="S255" s="12" t="str">
        <f t="shared" si="14"/>
        <v/>
      </c>
      <c r="T255" s="12" t="str">
        <f t="shared" si="15"/>
        <v/>
      </c>
      <c r="U255" s="8"/>
      <c r="V255" s="8"/>
      <c r="W255" s="10"/>
      <c r="X255" s="8"/>
    </row>
    <row r="256" spans="1:24">
      <c r="A256" s="8"/>
      <c r="B256" s="10"/>
      <c r="C256" s="8"/>
      <c r="D256" s="8"/>
      <c r="E256" s="8"/>
      <c r="F256" s="8"/>
      <c r="G256" s="8"/>
      <c r="H256" s="8"/>
      <c r="I256" s="11"/>
      <c r="J256" s="11"/>
      <c r="K256" s="11"/>
      <c r="L256" s="11"/>
      <c r="M256" s="11"/>
      <c r="N256" s="11"/>
      <c r="O256" s="11"/>
      <c r="P256" s="11"/>
      <c r="Q256" s="16" t="str">
        <f t="shared" si="12"/>
        <v/>
      </c>
      <c r="R256" s="12" t="str">
        <f t="shared" si="13"/>
        <v/>
      </c>
      <c r="S256" s="12" t="str">
        <f t="shared" si="14"/>
        <v/>
      </c>
      <c r="T256" s="12" t="str">
        <f t="shared" si="15"/>
        <v/>
      </c>
      <c r="U256" s="8"/>
      <c r="V256" s="8"/>
      <c r="W256" s="10"/>
      <c r="X256" s="8"/>
    </row>
    <row r="257" spans="1:24">
      <c r="A257" s="8"/>
      <c r="B257" s="10"/>
      <c r="C257" s="8"/>
      <c r="D257" s="8"/>
      <c r="E257" s="8"/>
      <c r="F257" s="8"/>
      <c r="G257" s="8"/>
      <c r="H257" s="8"/>
      <c r="I257" s="11"/>
      <c r="J257" s="11"/>
      <c r="K257" s="11"/>
      <c r="L257" s="11"/>
      <c r="M257" s="11"/>
      <c r="N257" s="11"/>
      <c r="O257" s="11"/>
      <c r="P257" s="11"/>
      <c r="Q257" s="16" t="str">
        <f t="shared" si="12"/>
        <v/>
      </c>
      <c r="R257" s="12" t="str">
        <f t="shared" si="13"/>
        <v/>
      </c>
      <c r="S257" s="12" t="str">
        <f t="shared" si="14"/>
        <v/>
      </c>
      <c r="T257" s="12" t="str">
        <f t="shared" si="15"/>
        <v/>
      </c>
      <c r="U257" s="8"/>
      <c r="V257" s="8"/>
      <c r="W257" s="10"/>
      <c r="X257" s="8"/>
    </row>
    <row r="258" spans="1:24">
      <c r="A258" s="8"/>
      <c r="B258" s="10"/>
      <c r="C258" s="8"/>
      <c r="D258" s="8"/>
      <c r="E258" s="8"/>
      <c r="F258" s="8"/>
      <c r="G258" s="8"/>
      <c r="H258" s="8"/>
      <c r="I258" s="11"/>
      <c r="J258" s="11"/>
      <c r="K258" s="11"/>
      <c r="L258" s="11"/>
      <c r="M258" s="11"/>
      <c r="N258" s="11"/>
      <c r="O258" s="11"/>
      <c r="P258" s="11"/>
      <c r="Q258" s="16" t="str">
        <f t="shared" si="12"/>
        <v/>
      </c>
      <c r="R258" s="12" t="str">
        <f t="shared" si="13"/>
        <v/>
      </c>
      <c r="S258" s="12" t="str">
        <f t="shared" si="14"/>
        <v/>
      </c>
      <c r="T258" s="12" t="str">
        <f t="shared" si="15"/>
        <v/>
      </c>
      <c r="U258" s="8"/>
      <c r="V258" s="8"/>
      <c r="W258" s="10"/>
      <c r="X258" s="8"/>
    </row>
    <row r="259" spans="1:24">
      <c r="A259" s="8"/>
      <c r="B259" s="10"/>
      <c r="C259" s="8"/>
      <c r="D259" s="8"/>
      <c r="E259" s="8"/>
      <c r="F259" s="8"/>
      <c r="G259" s="8"/>
      <c r="H259" s="8"/>
      <c r="I259" s="11"/>
      <c r="J259" s="11"/>
      <c r="K259" s="11"/>
      <c r="L259" s="11"/>
      <c r="M259" s="11"/>
      <c r="N259" s="11"/>
      <c r="O259" s="11"/>
      <c r="P259" s="11"/>
      <c r="Q259" s="16" t="str">
        <f t="shared" si="12"/>
        <v/>
      </c>
      <c r="R259" s="12" t="str">
        <f t="shared" si="13"/>
        <v/>
      </c>
      <c r="S259" s="12" t="str">
        <f t="shared" si="14"/>
        <v/>
      </c>
      <c r="T259" s="12" t="str">
        <f t="shared" si="15"/>
        <v/>
      </c>
      <c r="U259" s="8"/>
      <c r="V259" s="8"/>
      <c r="W259" s="10"/>
      <c r="X259" s="8"/>
    </row>
    <row r="260" spans="1:24">
      <c r="A260" s="8"/>
      <c r="B260" s="10"/>
      <c r="C260" s="8"/>
      <c r="D260" s="8"/>
      <c r="E260" s="8"/>
      <c r="F260" s="8"/>
      <c r="G260" s="8"/>
      <c r="H260" s="8"/>
      <c r="I260" s="11"/>
      <c r="J260" s="11"/>
      <c r="K260" s="11"/>
      <c r="L260" s="11"/>
      <c r="M260" s="11"/>
      <c r="N260" s="11"/>
      <c r="O260" s="11"/>
      <c r="P260" s="11"/>
      <c r="Q260" s="16" t="str">
        <f t="shared" si="12"/>
        <v/>
      </c>
      <c r="R260" s="12" t="str">
        <f t="shared" si="13"/>
        <v/>
      </c>
      <c r="S260" s="12" t="str">
        <f t="shared" si="14"/>
        <v/>
      </c>
      <c r="T260" s="12" t="str">
        <f t="shared" si="15"/>
        <v/>
      </c>
      <c r="U260" s="8"/>
      <c r="V260" s="8"/>
      <c r="W260" s="10"/>
      <c r="X260" s="8"/>
    </row>
    <row r="261" spans="1:24">
      <c r="A261" s="8"/>
      <c r="B261" s="10"/>
      <c r="C261" s="8"/>
      <c r="D261" s="8"/>
      <c r="E261" s="8"/>
      <c r="F261" s="8"/>
      <c r="G261" s="8"/>
      <c r="H261" s="8"/>
      <c r="I261" s="11"/>
      <c r="J261" s="11"/>
      <c r="K261" s="11"/>
      <c r="L261" s="11"/>
      <c r="M261" s="11"/>
      <c r="N261" s="11"/>
      <c r="O261" s="11"/>
      <c r="P261" s="11"/>
      <c r="Q261" s="16" t="str">
        <f t="shared" ref="Q261:Q304" si="16">IF(OR(A261="",J261=0),"",K261/J261)</f>
        <v/>
      </c>
      <c r="R261" s="12" t="str">
        <f t="shared" ref="R261:R304" si="17">IF(A261="","",L261-I261)</f>
        <v/>
      </c>
      <c r="S261" s="12" t="str">
        <f t="shared" ref="S261:S304" si="18">IF(A261="","",MAX(0,I261-L261))</f>
        <v/>
      </c>
      <c r="T261" s="12" t="str">
        <f t="shared" ref="T261:T304" si="19">IF(A261="","",MAX(0,L261-I261))</f>
        <v/>
      </c>
      <c r="U261" s="8"/>
      <c r="V261" s="8"/>
      <c r="W261" s="10"/>
      <c r="X261" s="8"/>
    </row>
    <row r="262" spans="1:24">
      <c r="A262" s="8"/>
      <c r="B262" s="10"/>
      <c r="C262" s="8"/>
      <c r="D262" s="8"/>
      <c r="E262" s="8"/>
      <c r="F262" s="8"/>
      <c r="G262" s="8"/>
      <c r="H262" s="8"/>
      <c r="I262" s="11"/>
      <c r="J262" s="11"/>
      <c r="K262" s="11"/>
      <c r="L262" s="11"/>
      <c r="M262" s="11"/>
      <c r="N262" s="11"/>
      <c r="O262" s="11"/>
      <c r="P262" s="11"/>
      <c r="Q262" s="16" t="str">
        <f t="shared" si="16"/>
        <v/>
      </c>
      <c r="R262" s="12" t="str">
        <f t="shared" si="17"/>
        <v/>
      </c>
      <c r="S262" s="12" t="str">
        <f t="shared" si="18"/>
        <v/>
      </c>
      <c r="T262" s="12" t="str">
        <f t="shared" si="19"/>
        <v/>
      </c>
      <c r="U262" s="8"/>
      <c r="V262" s="8"/>
      <c r="W262" s="10"/>
      <c r="X262" s="8"/>
    </row>
    <row r="263" spans="1:24">
      <c r="A263" s="8"/>
      <c r="B263" s="10"/>
      <c r="C263" s="8"/>
      <c r="D263" s="8"/>
      <c r="E263" s="8"/>
      <c r="F263" s="8"/>
      <c r="G263" s="8"/>
      <c r="H263" s="8"/>
      <c r="I263" s="11"/>
      <c r="J263" s="11"/>
      <c r="K263" s="11"/>
      <c r="L263" s="11"/>
      <c r="M263" s="11"/>
      <c r="N263" s="11"/>
      <c r="O263" s="11"/>
      <c r="P263" s="11"/>
      <c r="Q263" s="16" t="str">
        <f t="shared" si="16"/>
        <v/>
      </c>
      <c r="R263" s="12" t="str">
        <f t="shared" si="17"/>
        <v/>
      </c>
      <c r="S263" s="12" t="str">
        <f t="shared" si="18"/>
        <v/>
      </c>
      <c r="T263" s="12" t="str">
        <f t="shared" si="19"/>
        <v/>
      </c>
      <c r="U263" s="8"/>
      <c r="V263" s="8"/>
      <c r="W263" s="10"/>
      <c r="X263" s="8"/>
    </row>
    <row r="264" spans="1:24">
      <c r="A264" s="8"/>
      <c r="B264" s="10"/>
      <c r="C264" s="8"/>
      <c r="D264" s="8"/>
      <c r="E264" s="8"/>
      <c r="F264" s="8"/>
      <c r="G264" s="8"/>
      <c r="H264" s="8"/>
      <c r="I264" s="11"/>
      <c r="J264" s="11"/>
      <c r="K264" s="11"/>
      <c r="L264" s="11"/>
      <c r="M264" s="11"/>
      <c r="N264" s="11"/>
      <c r="O264" s="11"/>
      <c r="P264" s="11"/>
      <c r="Q264" s="16" t="str">
        <f t="shared" si="16"/>
        <v/>
      </c>
      <c r="R264" s="12" t="str">
        <f t="shared" si="17"/>
        <v/>
      </c>
      <c r="S264" s="12" t="str">
        <f t="shared" si="18"/>
        <v/>
      </c>
      <c r="T264" s="12" t="str">
        <f t="shared" si="19"/>
        <v/>
      </c>
      <c r="U264" s="8"/>
      <c r="V264" s="8"/>
      <c r="W264" s="10"/>
      <c r="X264" s="8"/>
    </row>
    <row r="265" spans="1:24">
      <c r="A265" s="8"/>
      <c r="B265" s="10"/>
      <c r="C265" s="8"/>
      <c r="D265" s="8"/>
      <c r="E265" s="8"/>
      <c r="F265" s="8"/>
      <c r="G265" s="8"/>
      <c r="H265" s="8"/>
      <c r="I265" s="11"/>
      <c r="J265" s="11"/>
      <c r="K265" s="11"/>
      <c r="L265" s="11"/>
      <c r="M265" s="11"/>
      <c r="N265" s="11"/>
      <c r="O265" s="11"/>
      <c r="P265" s="11"/>
      <c r="Q265" s="16" t="str">
        <f t="shared" si="16"/>
        <v/>
      </c>
      <c r="R265" s="12" t="str">
        <f t="shared" si="17"/>
        <v/>
      </c>
      <c r="S265" s="12" t="str">
        <f t="shared" si="18"/>
        <v/>
      </c>
      <c r="T265" s="12" t="str">
        <f t="shared" si="19"/>
        <v/>
      </c>
      <c r="U265" s="8"/>
      <c r="V265" s="8"/>
      <c r="W265" s="10"/>
      <c r="X265" s="8"/>
    </row>
    <row r="266" spans="1:24">
      <c r="A266" s="8"/>
      <c r="B266" s="10"/>
      <c r="C266" s="8"/>
      <c r="D266" s="8"/>
      <c r="E266" s="8"/>
      <c r="F266" s="8"/>
      <c r="G266" s="8"/>
      <c r="H266" s="8"/>
      <c r="I266" s="11"/>
      <c r="J266" s="11"/>
      <c r="K266" s="11"/>
      <c r="L266" s="11"/>
      <c r="M266" s="11"/>
      <c r="N266" s="11"/>
      <c r="O266" s="11"/>
      <c r="P266" s="11"/>
      <c r="Q266" s="16" t="str">
        <f t="shared" si="16"/>
        <v/>
      </c>
      <c r="R266" s="12" t="str">
        <f t="shared" si="17"/>
        <v/>
      </c>
      <c r="S266" s="12" t="str">
        <f t="shared" si="18"/>
        <v/>
      </c>
      <c r="T266" s="12" t="str">
        <f t="shared" si="19"/>
        <v/>
      </c>
      <c r="U266" s="8"/>
      <c r="V266" s="8"/>
      <c r="W266" s="10"/>
      <c r="X266" s="8"/>
    </row>
    <row r="267" spans="1:24">
      <c r="A267" s="8"/>
      <c r="B267" s="10"/>
      <c r="C267" s="8"/>
      <c r="D267" s="8"/>
      <c r="E267" s="8"/>
      <c r="F267" s="8"/>
      <c r="G267" s="8"/>
      <c r="H267" s="8"/>
      <c r="I267" s="11"/>
      <c r="J267" s="11"/>
      <c r="K267" s="11"/>
      <c r="L267" s="11"/>
      <c r="M267" s="11"/>
      <c r="N267" s="11"/>
      <c r="O267" s="11"/>
      <c r="P267" s="11"/>
      <c r="Q267" s="16" t="str">
        <f t="shared" si="16"/>
        <v/>
      </c>
      <c r="R267" s="12" t="str">
        <f t="shared" si="17"/>
        <v/>
      </c>
      <c r="S267" s="12" t="str">
        <f t="shared" si="18"/>
        <v/>
      </c>
      <c r="T267" s="12" t="str">
        <f t="shared" si="19"/>
        <v/>
      </c>
      <c r="U267" s="8"/>
      <c r="V267" s="8"/>
      <c r="W267" s="10"/>
      <c r="X267" s="8"/>
    </row>
    <row r="268" spans="1:24">
      <c r="A268" s="8"/>
      <c r="B268" s="10"/>
      <c r="C268" s="8"/>
      <c r="D268" s="8"/>
      <c r="E268" s="8"/>
      <c r="F268" s="8"/>
      <c r="G268" s="8"/>
      <c r="H268" s="8"/>
      <c r="I268" s="11"/>
      <c r="J268" s="11"/>
      <c r="K268" s="11"/>
      <c r="L268" s="11"/>
      <c r="M268" s="11"/>
      <c r="N268" s="11"/>
      <c r="O268" s="11"/>
      <c r="P268" s="11"/>
      <c r="Q268" s="16" t="str">
        <f t="shared" si="16"/>
        <v/>
      </c>
      <c r="R268" s="12" t="str">
        <f t="shared" si="17"/>
        <v/>
      </c>
      <c r="S268" s="12" t="str">
        <f t="shared" si="18"/>
        <v/>
      </c>
      <c r="T268" s="12" t="str">
        <f t="shared" si="19"/>
        <v/>
      </c>
      <c r="U268" s="8"/>
      <c r="V268" s="8"/>
      <c r="W268" s="10"/>
      <c r="X268" s="8"/>
    </row>
    <row r="269" spans="1:24">
      <c r="A269" s="8"/>
      <c r="B269" s="10"/>
      <c r="C269" s="8"/>
      <c r="D269" s="8"/>
      <c r="E269" s="8"/>
      <c r="F269" s="8"/>
      <c r="G269" s="8"/>
      <c r="H269" s="8"/>
      <c r="I269" s="11"/>
      <c r="J269" s="11"/>
      <c r="K269" s="11"/>
      <c r="L269" s="11"/>
      <c r="M269" s="11"/>
      <c r="N269" s="11"/>
      <c r="O269" s="11"/>
      <c r="P269" s="11"/>
      <c r="Q269" s="16" t="str">
        <f t="shared" si="16"/>
        <v/>
      </c>
      <c r="R269" s="12" t="str">
        <f t="shared" si="17"/>
        <v/>
      </c>
      <c r="S269" s="12" t="str">
        <f t="shared" si="18"/>
        <v/>
      </c>
      <c r="T269" s="12" t="str">
        <f t="shared" si="19"/>
        <v/>
      </c>
      <c r="U269" s="8"/>
      <c r="V269" s="8"/>
      <c r="W269" s="10"/>
      <c r="X269" s="8"/>
    </row>
    <row r="270" spans="1:24">
      <c r="A270" s="8"/>
      <c r="B270" s="10"/>
      <c r="C270" s="8"/>
      <c r="D270" s="8"/>
      <c r="E270" s="8"/>
      <c r="F270" s="8"/>
      <c r="G270" s="8"/>
      <c r="H270" s="8"/>
      <c r="I270" s="11"/>
      <c r="J270" s="11"/>
      <c r="K270" s="11"/>
      <c r="L270" s="11"/>
      <c r="M270" s="11"/>
      <c r="N270" s="11"/>
      <c r="O270" s="11"/>
      <c r="P270" s="11"/>
      <c r="Q270" s="16" t="str">
        <f t="shared" si="16"/>
        <v/>
      </c>
      <c r="R270" s="12" t="str">
        <f t="shared" si="17"/>
        <v/>
      </c>
      <c r="S270" s="12" t="str">
        <f t="shared" si="18"/>
        <v/>
      </c>
      <c r="T270" s="12" t="str">
        <f t="shared" si="19"/>
        <v/>
      </c>
      <c r="U270" s="8"/>
      <c r="V270" s="8"/>
      <c r="W270" s="10"/>
      <c r="X270" s="8"/>
    </row>
    <row r="271" spans="1:24">
      <c r="A271" s="8"/>
      <c r="B271" s="10"/>
      <c r="C271" s="8"/>
      <c r="D271" s="8"/>
      <c r="E271" s="8"/>
      <c r="F271" s="8"/>
      <c r="G271" s="8"/>
      <c r="H271" s="8"/>
      <c r="I271" s="11"/>
      <c r="J271" s="11"/>
      <c r="K271" s="11"/>
      <c r="L271" s="11"/>
      <c r="M271" s="11"/>
      <c r="N271" s="11"/>
      <c r="O271" s="11"/>
      <c r="P271" s="11"/>
      <c r="Q271" s="16" t="str">
        <f t="shared" si="16"/>
        <v/>
      </c>
      <c r="R271" s="12" t="str">
        <f t="shared" si="17"/>
        <v/>
      </c>
      <c r="S271" s="12" t="str">
        <f t="shared" si="18"/>
        <v/>
      </c>
      <c r="T271" s="12" t="str">
        <f t="shared" si="19"/>
        <v/>
      </c>
      <c r="U271" s="8"/>
      <c r="V271" s="8"/>
      <c r="W271" s="10"/>
      <c r="X271" s="8"/>
    </row>
    <row r="272" spans="1:24">
      <c r="A272" s="8"/>
      <c r="B272" s="10"/>
      <c r="C272" s="8"/>
      <c r="D272" s="8"/>
      <c r="E272" s="8"/>
      <c r="F272" s="8"/>
      <c r="G272" s="8"/>
      <c r="H272" s="8"/>
      <c r="I272" s="11"/>
      <c r="J272" s="11"/>
      <c r="K272" s="11"/>
      <c r="L272" s="11"/>
      <c r="M272" s="11"/>
      <c r="N272" s="11"/>
      <c r="O272" s="11"/>
      <c r="P272" s="11"/>
      <c r="Q272" s="16" t="str">
        <f t="shared" si="16"/>
        <v/>
      </c>
      <c r="R272" s="12" t="str">
        <f t="shared" si="17"/>
        <v/>
      </c>
      <c r="S272" s="12" t="str">
        <f t="shared" si="18"/>
        <v/>
      </c>
      <c r="T272" s="12" t="str">
        <f t="shared" si="19"/>
        <v/>
      </c>
      <c r="U272" s="8"/>
      <c r="V272" s="8"/>
      <c r="W272" s="10"/>
      <c r="X272" s="8"/>
    </row>
    <row r="273" spans="1:24">
      <c r="A273" s="8"/>
      <c r="B273" s="10"/>
      <c r="C273" s="8"/>
      <c r="D273" s="8"/>
      <c r="E273" s="8"/>
      <c r="F273" s="8"/>
      <c r="G273" s="8"/>
      <c r="H273" s="8"/>
      <c r="I273" s="11"/>
      <c r="J273" s="11"/>
      <c r="K273" s="11"/>
      <c r="L273" s="11"/>
      <c r="M273" s="11"/>
      <c r="N273" s="11"/>
      <c r="O273" s="11"/>
      <c r="P273" s="11"/>
      <c r="Q273" s="16" t="str">
        <f t="shared" si="16"/>
        <v/>
      </c>
      <c r="R273" s="12" t="str">
        <f t="shared" si="17"/>
        <v/>
      </c>
      <c r="S273" s="12" t="str">
        <f t="shared" si="18"/>
        <v/>
      </c>
      <c r="T273" s="12" t="str">
        <f t="shared" si="19"/>
        <v/>
      </c>
      <c r="U273" s="8"/>
      <c r="V273" s="8"/>
      <c r="W273" s="10"/>
      <c r="X273" s="8"/>
    </row>
    <row r="274" spans="1:24">
      <c r="A274" s="8"/>
      <c r="B274" s="10"/>
      <c r="C274" s="8"/>
      <c r="D274" s="8"/>
      <c r="E274" s="8"/>
      <c r="F274" s="8"/>
      <c r="G274" s="8"/>
      <c r="H274" s="8"/>
      <c r="I274" s="11"/>
      <c r="J274" s="11"/>
      <c r="K274" s="11"/>
      <c r="L274" s="11"/>
      <c r="M274" s="11"/>
      <c r="N274" s="11"/>
      <c r="O274" s="11"/>
      <c r="P274" s="11"/>
      <c r="Q274" s="16" t="str">
        <f t="shared" si="16"/>
        <v/>
      </c>
      <c r="R274" s="12" t="str">
        <f t="shared" si="17"/>
        <v/>
      </c>
      <c r="S274" s="12" t="str">
        <f t="shared" si="18"/>
        <v/>
      </c>
      <c r="T274" s="12" t="str">
        <f t="shared" si="19"/>
        <v/>
      </c>
      <c r="U274" s="8"/>
      <c r="V274" s="8"/>
      <c r="W274" s="10"/>
      <c r="X274" s="8"/>
    </row>
    <row r="275" spans="1:24">
      <c r="A275" s="8"/>
      <c r="B275" s="10"/>
      <c r="C275" s="8"/>
      <c r="D275" s="8"/>
      <c r="E275" s="8"/>
      <c r="F275" s="8"/>
      <c r="G275" s="8"/>
      <c r="H275" s="8"/>
      <c r="I275" s="11"/>
      <c r="J275" s="11"/>
      <c r="K275" s="11"/>
      <c r="L275" s="11"/>
      <c r="M275" s="11"/>
      <c r="N275" s="11"/>
      <c r="O275" s="11"/>
      <c r="P275" s="11"/>
      <c r="Q275" s="16" t="str">
        <f t="shared" si="16"/>
        <v/>
      </c>
      <c r="R275" s="12" t="str">
        <f t="shared" si="17"/>
        <v/>
      </c>
      <c r="S275" s="12" t="str">
        <f t="shared" si="18"/>
        <v/>
      </c>
      <c r="T275" s="12" t="str">
        <f t="shared" si="19"/>
        <v/>
      </c>
      <c r="U275" s="8"/>
      <c r="V275" s="8"/>
      <c r="W275" s="10"/>
      <c r="X275" s="8"/>
    </row>
    <row r="276" spans="1:24">
      <c r="A276" s="8"/>
      <c r="B276" s="10"/>
      <c r="C276" s="8"/>
      <c r="D276" s="8"/>
      <c r="E276" s="8"/>
      <c r="F276" s="8"/>
      <c r="G276" s="8"/>
      <c r="H276" s="8"/>
      <c r="I276" s="11"/>
      <c r="J276" s="11"/>
      <c r="K276" s="11"/>
      <c r="L276" s="11"/>
      <c r="M276" s="11"/>
      <c r="N276" s="11"/>
      <c r="O276" s="11"/>
      <c r="P276" s="11"/>
      <c r="Q276" s="16" t="str">
        <f t="shared" si="16"/>
        <v/>
      </c>
      <c r="R276" s="12" t="str">
        <f t="shared" si="17"/>
        <v/>
      </c>
      <c r="S276" s="12" t="str">
        <f t="shared" si="18"/>
        <v/>
      </c>
      <c r="T276" s="12" t="str">
        <f t="shared" si="19"/>
        <v/>
      </c>
      <c r="U276" s="8"/>
      <c r="V276" s="8"/>
      <c r="W276" s="10"/>
      <c r="X276" s="8"/>
    </row>
    <row r="277" spans="1:24">
      <c r="A277" s="8"/>
      <c r="B277" s="10"/>
      <c r="C277" s="8"/>
      <c r="D277" s="8"/>
      <c r="E277" s="8"/>
      <c r="F277" s="8"/>
      <c r="G277" s="8"/>
      <c r="H277" s="8"/>
      <c r="I277" s="11"/>
      <c r="J277" s="11"/>
      <c r="K277" s="11"/>
      <c r="L277" s="11"/>
      <c r="M277" s="11"/>
      <c r="N277" s="11"/>
      <c r="O277" s="11"/>
      <c r="P277" s="11"/>
      <c r="Q277" s="16" t="str">
        <f t="shared" si="16"/>
        <v/>
      </c>
      <c r="R277" s="12" t="str">
        <f t="shared" si="17"/>
        <v/>
      </c>
      <c r="S277" s="12" t="str">
        <f t="shared" si="18"/>
        <v/>
      </c>
      <c r="T277" s="12" t="str">
        <f t="shared" si="19"/>
        <v/>
      </c>
      <c r="U277" s="8"/>
      <c r="V277" s="8"/>
      <c r="W277" s="10"/>
      <c r="X277" s="8"/>
    </row>
    <row r="278" spans="1:24">
      <c r="A278" s="8"/>
      <c r="B278" s="10"/>
      <c r="C278" s="8"/>
      <c r="D278" s="8"/>
      <c r="E278" s="8"/>
      <c r="F278" s="8"/>
      <c r="G278" s="8"/>
      <c r="H278" s="8"/>
      <c r="I278" s="11"/>
      <c r="J278" s="11"/>
      <c r="K278" s="11"/>
      <c r="L278" s="11"/>
      <c r="M278" s="11"/>
      <c r="N278" s="11"/>
      <c r="O278" s="11"/>
      <c r="P278" s="11"/>
      <c r="Q278" s="16" t="str">
        <f t="shared" si="16"/>
        <v/>
      </c>
      <c r="R278" s="12" t="str">
        <f t="shared" si="17"/>
        <v/>
      </c>
      <c r="S278" s="12" t="str">
        <f t="shared" si="18"/>
        <v/>
      </c>
      <c r="T278" s="12" t="str">
        <f t="shared" si="19"/>
        <v/>
      </c>
      <c r="U278" s="8"/>
      <c r="V278" s="8"/>
      <c r="W278" s="10"/>
      <c r="X278" s="8"/>
    </row>
    <row r="279" spans="1:24">
      <c r="A279" s="8"/>
      <c r="B279" s="10"/>
      <c r="C279" s="8"/>
      <c r="D279" s="8"/>
      <c r="E279" s="8"/>
      <c r="F279" s="8"/>
      <c r="G279" s="8"/>
      <c r="H279" s="8"/>
      <c r="I279" s="11"/>
      <c r="J279" s="11"/>
      <c r="K279" s="11"/>
      <c r="L279" s="11"/>
      <c r="M279" s="11"/>
      <c r="N279" s="11"/>
      <c r="O279" s="11"/>
      <c r="P279" s="11"/>
      <c r="Q279" s="16" t="str">
        <f t="shared" si="16"/>
        <v/>
      </c>
      <c r="R279" s="12" t="str">
        <f t="shared" si="17"/>
        <v/>
      </c>
      <c r="S279" s="12" t="str">
        <f t="shared" si="18"/>
        <v/>
      </c>
      <c r="T279" s="12" t="str">
        <f t="shared" si="19"/>
        <v/>
      </c>
      <c r="U279" s="8"/>
      <c r="V279" s="8"/>
      <c r="W279" s="10"/>
      <c r="X279" s="8"/>
    </row>
    <row r="280" spans="1:24">
      <c r="A280" s="8"/>
      <c r="B280" s="10"/>
      <c r="C280" s="8"/>
      <c r="D280" s="8"/>
      <c r="E280" s="8"/>
      <c r="F280" s="8"/>
      <c r="G280" s="8"/>
      <c r="H280" s="8"/>
      <c r="I280" s="11"/>
      <c r="J280" s="11"/>
      <c r="K280" s="11"/>
      <c r="L280" s="11"/>
      <c r="M280" s="11"/>
      <c r="N280" s="11"/>
      <c r="O280" s="11"/>
      <c r="P280" s="11"/>
      <c r="Q280" s="16" t="str">
        <f t="shared" si="16"/>
        <v/>
      </c>
      <c r="R280" s="12" t="str">
        <f t="shared" si="17"/>
        <v/>
      </c>
      <c r="S280" s="12" t="str">
        <f t="shared" si="18"/>
        <v/>
      </c>
      <c r="T280" s="12" t="str">
        <f t="shared" si="19"/>
        <v/>
      </c>
      <c r="U280" s="8"/>
      <c r="V280" s="8"/>
      <c r="W280" s="10"/>
      <c r="X280" s="8"/>
    </row>
    <row r="281" spans="1:24">
      <c r="A281" s="8"/>
      <c r="B281" s="10"/>
      <c r="C281" s="8"/>
      <c r="D281" s="8"/>
      <c r="E281" s="8"/>
      <c r="F281" s="8"/>
      <c r="G281" s="8"/>
      <c r="H281" s="8"/>
      <c r="I281" s="11"/>
      <c r="J281" s="11"/>
      <c r="K281" s="11"/>
      <c r="L281" s="11"/>
      <c r="M281" s="11"/>
      <c r="N281" s="11"/>
      <c r="O281" s="11"/>
      <c r="P281" s="11"/>
      <c r="Q281" s="16" t="str">
        <f t="shared" si="16"/>
        <v/>
      </c>
      <c r="R281" s="12" t="str">
        <f t="shared" si="17"/>
        <v/>
      </c>
      <c r="S281" s="12" t="str">
        <f t="shared" si="18"/>
        <v/>
      </c>
      <c r="T281" s="12" t="str">
        <f t="shared" si="19"/>
        <v/>
      </c>
      <c r="U281" s="8"/>
      <c r="V281" s="8"/>
      <c r="W281" s="10"/>
      <c r="X281" s="8"/>
    </row>
    <row r="282" spans="1:24">
      <c r="A282" s="8"/>
      <c r="B282" s="10"/>
      <c r="C282" s="8"/>
      <c r="D282" s="8"/>
      <c r="E282" s="8"/>
      <c r="F282" s="8"/>
      <c r="G282" s="8"/>
      <c r="H282" s="8"/>
      <c r="I282" s="11"/>
      <c r="J282" s="11"/>
      <c r="K282" s="11"/>
      <c r="L282" s="11"/>
      <c r="M282" s="11"/>
      <c r="N282" s="11"/>
      <c r="O282" s="11"/>
      <c r="P282" s="11"/>
      <c r="Q282" s="16" t="str">
        <f t="shared" si="16"/>
        <v/>
      </c>
      <c r="R282" s="12" t="str">
        <f t="shared" si="17"/>
        <v/>
      </c>
      <c r="S282" s="12" t="str">
        <f t="shared" si="18"/>
        <v/>
      </c>
      <c r="T282" s="12" t="str">
        <f t="shared" si="19"/>
        <v/>
      </c>
      <c r="U282" s="8"/>
      <c r="V282" s="8"/>
      <c r="W282" s="10"/>
      <c r="X282" s="8"/>
    </row>
    <row r="283" spans="1:24">
      <c r="A283" s="8"/>
      <c r="B283" s="10"/>
      <c r="C283" s="8"/>
      <c r="D283" s="8"/>
      <c r="E283" s="8"/>
      <c r="F283" s="8"/>
      <c r="G283" s="8"/>
      <c r="H283" s="8"/>
      <c r="I283" s="11"/>
      <c r="J283" s="11"/>
      <c r="K283" s="11"/>
      <c r="L283" s="11"/>
      <c r="M283" s="11"/>
      <c r="N283" s="11"/>
      <c r="O283" s="11"/>
      <c r="P283" s="11"/>
      <c r="Q283" s="16" t="str">
        <f t="shared" si="16"/>
        <v/>
      </c>
      <c r="R283" s="12" t="str">
        <f t="shared" si="17"/>
        <v/>
      </c>
      <c r="S283" s="12" t="str">
        <f t="shared" si="18"/>
        <v/>
      </c>
      <c r="T283" s="12" t="str">
        <f t="shared" si="19"/>
        <v/>
      </c>
      <c r="U283" s="8"/>
      <c r="V283" s="8"/>
      <c r="W283" s="10"/>
      <c r="X283" s="8"/>
    </row>
    <row r="284" spans="1:24">
      <c r="A284" s="8"/>
      <c r="B284" s="10"/>
      <c r="C284" s="8"/>
      <c r="D284" s="8"/>
      <c r="E284" s="8"/>
      <c r="F284" s="8"/>
      <c r="G284" s="8"/>
      <c r="H284" s="8"/>
      <c r="I284" s="11"/>
      <c r="J284" s="11"/>
      <c r="K284" s="11"/>
      <c r="L284" s="11"/>
      <c r="M284" s="11"/>
      <c r="N284" s="11"/>
      <c r="O284" s="11"/>
      <c r="P284" s="11"/>
      <c r="Q284" s="16" t="str">
        <f t="shared" si="16"/>
        <v/>
      </c>
      <c r="R284" s="12" t="str">
        <f t="shared" si="17"/>
        <v/>
      </c>
      <c r="S284" s="12" t="str">
        <f t="shared" si="18"/>
        <v/>
      </c>
      <c r="T284" s="12" t="str">
        <f t="shared" si="19"/>
        <v/>
      </c>
      <c r="U284" s="8"/>
      <c r="V284" s="8"/>
      <c r="W284" s="10"/>
      <c r="X284" s="8"/>
    </row>
    <row r="285" spans="1:24">
      <c r="A285" s="8"/>
      <c r="B285" s="10"/>
      <c r="C285" s="8"/>
      <c r="D285" s="8"/>
      <c r="E285" s="8"/>
      <c r="F285" s="8"/>
      <c r="G285" s="8"/>
      <c r="H285" s="8"/>
      <c r="I285" s="11"/>
      <c r="J285" s="11"/>
      <c r="K285" s="11"/>
      <c r="L285" s="11"/>
      <c r="M285" s="11"/>
      <c r="N285" s="11"/>
      <c r="O285" s="11"/>
      <c r="P285" s="11"/>
      <c r="Q285" s="16" t="str">
        <f t="shared" si="16"/>
        <v/>
      </c>
      <c r="R285" s="12" t="str">
        <f t="shared" si="17"/>
        <v/>
      </c>
      <c r="S285" s="12" t="str">
        <f t="shared" si="18"/>
        <v/>
      </c>
      <c r="T285" s="12" t="str">
        <f t="shared" si="19"/>
        <v/>
      </c>
      <c r="U285" s="8"/>
      <c r="V285" s="8"/>
      <c r="W285" s="10"/>
      <c r="X285" s="8"/>
    </row>
    <row r="286" spans="1:24">
      <c r="A286" s="8"/>
      <c r="B286" s="10"/>
      <c r="C286" s="8"/>
      <c r="D286" s="8"/>
      <c r="E286" s="8"/>
      <c r="F286" s="8"/>
      <c r="G286" s="8"/>
      <c r="H286" s="8"/>
      <c r="I286" s="11"/>
      <c r="J286" s="11"/>
      <c r="K286" s="11"/>
      <c r="L286" s="11"/>
      <c r="M286" s="11"/>
      <c r="N286" s="11"/>
      <c r="O286" s="11"/>
      <c r="P286" s="11"/>
      <c r="Q286" s="16" t="str">
        <f t="shared" si="16"/>
        <v/>
      </c>
      <c r="R286" s="12" t="str">
        <f t="shared" si="17"/>
        <v/>
      </c>
      <c r="S286" s="12" t="str">
        <f t="shared" si="18"/>
        <v/>
      </c>
      <c r="T286" s="12" t="str">
        <f t="shared" si="19"/>
        <v/>
      </c>
      <c r="U286" s="8"/>
      <c r="V286" s="8"/>
      <c r="W286" s="10"/>
      <c r="X286" s="8"/>
    </row>
    <row r="287" spans="1:24">
      <c r="A287" s="8"/>
      <c r="B287" s="10"/>
      <c r="C287" s="8"/>
      <c r="D287" s="8"/>
      <c r="E287" s="8"/>
      <c r="F287" s="8"/>
      <c r="G287" s="8"/>
      <c r="H287" s="8"/>
      <c r="I287" s="11"/>
      <c r="J287" s="11"/>
      <c r="K287" s="11"/>
      <c r="L287" s="11"/>
      <c r="M287" s="11"/>
      <c r="N287" s="11"/>
      <c r="O287" s="11"/>
      <c r="P287" s="11"/>
      <c r="Q287" s="16" t="str">
        <f t="shared" si="16"/>
        <v/>
      </c>
      <c r="R287" s="12" t="str">
        <f t="shared" si="17"/>
        <v/>
      </c>
      <c r="S287" s="12" t="str">
        <f t="shared" si="18"/>
        <v/>
      </c>
      <c r="T287" s="12" t="str">
        <f t="shared" si="19"/>
        <v/>
      </c>
      <c r="U287" s="8"/>
      <c r="V287" s="8"/>
      <c r="W287" s="10"/>
      <c r="X287" s="8"/>
    </row>
    <row r="288" spans="1:24">
      <c r="A288" s="8"/>
      <c r="B288" s="10"/>
      <c r="C288" s="8"/>
      <c r="D288" s="8"/>
      <c r="E288" s="8"/>
      <c r="F288" s="8"/>
      <c r="G288" s="8"/>
      <c r="H288" s="8"/>
      <c r="I288" s="11"/>
      <c r="J288" s="11"/>
      <c r="K288" s="11"/>
      <c r="L288" s="11"/>
      <c r="M288" s="11"/>
      <c r="N288" s="11"/>
      <c r="O288" s="11"/>
      <c r="P288" s="11"/>
      <c r="Q288" s="16" t="str">
        <f t="shared" si="16"/>
        <v/>
      </c>
      <c r="R288" s="12" t="str">
        <f t="shared" si="17"/>
        <v/>
      </c>
      <c r="S288" s="12" t="str">
        <f t="shared" si="18"/>
        <v/>
      </c>
      <c r="T288" s="12" t="str">
        <f t="shared" si="19"/>
        <v/>
      </c>
      <c r="U288" s="8"/>
      <c r="V288" s="8"/>
      <c r="W288" s="10"/>
      <c r="X288" s="8"/>
    </row>
    <row r="289" spans="1:24">
      <c r="A289" s="8"/>
      <c r="B289" s="10"/>
      <c r="C289" s="8"/>
      <c r="D289" s="8"/>
      <c r="E289" s="8"/>
      <c r="F289" s="8"/>
      <c r="G289" s="8"/>
      <c r="H289" s="8"/>
      <c r="I289" s="11"/>
      <c r="J289" s="11"/>
      <c r="K289" s="11"/>
      <c r="L289" s="11"/>
      <c r="M289" s="11"/>
      <c r="N289" s="11"/>
      <c r="O289" s="11"/>
      <c r="P289" s="11"/>
      <c r="Q289" s="16" t="str">
        <f t="shared" si="16"/>
        <v/>
      </c>
      <c r="R289" s="12" t="str">
        <f t="shared" si="17"/>
        <v/>
      </c>
      <c r="S289" s="12" t="str">
        <f t="shared" si="18"/>
        <v/>
      </c>
      <c r="T289" s="12" t="str">
        <f t="shared" si="19"/>
        <v/>
      </c>
      <c r="U289" s="8"/>
      <c r="V289" s="8"/>
      <c r="W289" s="10"/>
      <c r="X289" s="8"/>
    </row>
    <row r="290" spans="1:24">
      <c r="A290" s="8"/>
      <c r="B290" s="10"/>
      <c r="C290" s="8"/>
      <c r="D290" s="8"/>
      <c r="E290" s="8"/>
      <c r="F290" s="8"/>
      <c r="G290" s="8"/>
      <c r="H290" s="8"/>
      <c r="I290" s="11"/>
      <c r="J290" s="11"/>
      <c r="K290" s="11"/>
      <c r="L290" s="11"/>
      <c r="M290" s="11"/>
      <c r="N290" s="11"/>
      <c r="O290" s="11"/>
      <c r="P290" s="11"/>
      <c r="Q290" s="16" t="str">
        <f t="shared" si="16"/>
        <v/>
      </c>
      <c r="R290" s="12" t="str">
        <f t="shared" si="17"/>
        <v/>
      </c>
      <c r="S290" s="12" t="str">
        <f t="shared" si="18"/>
        <v/>
      </c>
      <c r="T290" s="12" t="str">
        <f t="shared" si="19"/>
        <v/>
      </c>
      <c r="U290" s="8"/>
      <c r="V290" s="8"/>
      <c r="W290" s="10"/>
      <c r="X290" s="8"/>
    </row>
    <row r="291" spans="1:24">
      <c r="A291" s="8"/>
      <c r="B291" s="10"/>
      <c r="C291" s="8"/>
      <c r="D291" s="8"/>
      <c r="E291" s="8"/>
      <c r="F291" s="8"/>
      <c r="G291" s="8"/>
      <c r="H291" s="8"/>
      <c r="I291" s="11"/>
      <c r="J291" s="11"/>
      <c r="K291" s="11"/>
      <c r="L291" s="11"/>
      <c r="M291" s="11"/>
      <c r="N291" s="11"/>
      <c r="O291" s="11"/>
      <c r="P291" s="11"/>
      <c r="Q291" s="16" t="str">
        <f t="shared" si="16"/>
        <v/>
      </c>
      <c r="R291" s="12" t="str">
        <f t="shared" si="17"/>
        <v/>
      </c>
      <c r="S291" s="12" t="str">
        <f t="shared" si="18"/>
        <v/>
      </c>
      <c r="T291" s="12" t="str">
        <f t="shared" si="19"/>
        <v/>
      </c>
      <c r="U291" s="8"/>
      <c r="V291" s="8"/>
      <c r="W291" s="10"/>
      <c r="X291" s="8"/>
    </row>
    <row r="292" spans="1:24">
      <c r="A292" s="8"/>
      <c r="B292" s="10"/>
      <c r="C292" s="8"/>
      <c r="D292" s="8"/>
      <c r="E292" s="8"/>
      <c r="F292" s="8"/>
      <c r="G292" s="8"/>
      <c r="H292" s="8"/>
      <c r="I292" s="11"/>
      <c r="J292" s="11"/>
      <c r="K292" s="11"/>
      <c r="L292" s="11"/>
      <c r="M292" s="11"/>
      <c r="N292" s="11"/>
      <c r="O292" s="11"/>
      <c r="P292" s="11"/>
      <c r="Q292" s="16" t="str">
        <f t="shared" si="16"/>
        <v/>
      </c>
      <c r="R292" s="12" t="str">
        <f t="shared" si="17"/>
        <v/>
      </c>
      <c r="S292" s="12" t="str">
        <f t="shared" si="18"/>
        <v/>
      </c>
      <c r="T292" s="12" t="str">
        <f t="shared" si="19"/>
        <v/>
      </c>
      <c r="U292" s="8"/>
      <c r="V292" s="8"/>
      <c r="W292" s="10"/>
      <c r="X292" s="8"/>
    </row>
    <row r="293" spans="1:24">
      <c r="A293" s="8"/>
      <c r="B293" s="10"/>
      <c r="C293" s="8"/>
      <c r="D293" s="8"/>
      <c r="E293" s="8"/>
      <c r="F293" s="8"/>
      <c r="G293" s="8"/>
      <c r="H293" s="8"/>
      <c r="I293" s="11"/>
      <c r="J293" s="11"/>
      <c r="K293" s="11"/>
      <c r="L293" s="11"/>
      <c r="M293" s="11"/>
      <c r="N293" s="11"/>
      <c r="O293" s="11"/>
      <c r="P293" s="11"/>
      <c r="Q293" s="16" t="str">
        <f t="shared" si="16"/>
        <v/>
      </c>
      <c r="R293" s="12" t="str">
        <f t="shared" si="17"/>
        <v/>
      </c>
      <c r="S293" s="12" t="str">
        <f t="shared" si="18"/>
        <v/>
      </c>
      <c r="T293" s="12" t="str">
        <f t="shared" si="19"/>
        <v/>
      </c>
      <c r="U293" s="8"/>
      <c r="V293" s="8"/>
      <c r="W293" s="10"/>
      <c r="X293" s="8"/>
    </row>
    <row r="294" spans="1:24">
      <c r="A294" s="8"/>
      <c r="B294" s="10"/>
      <c r="C294" s="8"/>
      <c r="D294" s="8"/>
      <c r="E294" s="8"/>
      <c r="F294" s="8"/>
      <c r="G294" s="8"/>
      <c r="H294" s="8"/>
      <c r="I294" s="11"/>
      <c r="J294" s="11"/>
      <c r="K294" s="11"/>
      <c r="L294" s="11"/>
      <c r="M294" s="11"/>
      <c r="N294" s="11"/>
      <c r="O294" s="11"/>
      <c r="P294" s="11"/>
      <c r="Q294" s="16" t="str">
        <f t="shared" si="16"/>
        <v/>
      </c>
      <c r="R294" s="12" t="str">
        <f t="shared" si="17"/>
        <v/>
      </c>
      <c r="S294" s="12" t="str">
        <f t="shared" si="18"/>
        <v/>
      </c>
      <c r="T294" s="12" t="str">
        <f t="shared" si="19"/>
        <v/>
      </c>
      <c r="U294" s="8"/>
      <c r="V294" s="8"/>
      <c r="W294" s="10"/>
      <c r="X294" s="8"/>
    </row>
    <row r="295" spans="1:24">
      <c r="A295" s="8"/>
      <c r="B295" s="10"/>
      <c r="C295" s="8"/>
      <c r="D295" s="8"/>
      <c r="E295" s="8"/>
      <c r="F295" s="8"/>
      <c r="G295" s="8"/>
      <c r="H295" s="8"/>
      <c r="I295" s="11"/>
      <c r="J295" s="11"/>
      <c r="K295" s="11"/>
      <c r="L295" s="11"/>
      <c r="M295" s="11"/>
      <c r="N295" s="11"/>
      <c r="O295" s="11"/>
      <c r="P295" s="11"/>
      <c r="Q295" s="16" t="str">
        <f t="shared" si="16"/>
        <v/>
      </c>
      <c r="R295" s="12" t="str">
        <f t="shared" si="17"/>
        <v/>
      </c>
      <c r="S295" s="12" t="str">
        <f t="shared" si="18"/>
        <v/>
      </c>
      <c r="T295" s="12" t="str">
        <f t="shared" si="19"/>
        <v/>
      </c>
      <c r="U295" s="8"/>
      <c r="V295" s="8"/>
      <c r="W295" s="10"/>
      <c r="X295" s="8"/>
    </row>
    <row r="296" spans="1:24">
      <c r="A296" s="8"/>
      <c r="B296" s="10"/>
      <c r="C296" s="8"/>
      <c r="D296" s="8"/>
      <c r="E296" s="8"/>
      <c r="F296" s="8"/>
      <c r="G296" s="8"/>
      <c r="H296" s="8"/>
      <c r="I296" s="11"/>
      <c r="J296" s="11"/>
      <c r="K296" s="11"/>
      <c r="L296" s="11"/>
      <c r="M296" s="11"/>
      <c r="N296" s="11"/>
      <c r="O296" s="11"/>
      <c r="P296" s="11"/>
      <c r="Q296" s="16" t="str">
        <f t="shared" si="16"/>
        <v/>
      </c>
      <c r="R296" s="12" t="str">
        <f t="shared" si="17"/>
        <v/>
      </c>
      <c r="S296" s="12" t="str">
        <f t="shared" si="18"/>
        <v/>
      </c>
      <c r="T296" s="12" t="str">
        <f t="shared" si="19"/>
        <v/>
      </c>
      <c r="U296" s="8"/>
      <c r="V296" s="8"/>
      <c r="W296" s="10"/>
      <c r="X296" s="8"/>
    </row>
    <row r="297" spans="1:24">
      <c r="A297" s="8"/>
      <c r="B297" s="10"/>
      <c r="C297" s="8"/>
      <c r="D297" s="8"/>
      <c r="E297" s="8"/>
      <c r="F297" s="8"/>
      <c r="G297" s="8"/>
      <c r="H297" s="8"/>
      <c r="I297" s="11"/>
      <c r="J297" s="11"/>
      <c r="K297" s="11"/>
      <c r="L297" s="11"/>
      <c r="M297" s="11"/>
      <c r="N297" s="11"/>
      <c r="O297" s="11"/>
      <c r="P297" s="11"/>
      <c r="Q297" s="16" t="str">
        <f t="shared" si="16"/>
        <v/>
      </c>
      <c r="R297" s="12" t="str">
        <f t="shared" si="17"/>
        <v/>
      </c>
      <c r="S297" s="12" t="str">
        <f t="shared" si="18"/>
        <v/>
      </c>
      <c r="T297" s="12" t="str">
        <f t="shared" si="19"/>
        <v/>
      </c>
      <c r="U297" s="8"/>
      <c r="V297" s="8"/>
      <c r="W297" s="10"/>
      <c r="X297" s="8"/>
    </row>
    <row r="298" spans="1:24">
      <c r="A298" s="8"/>
      <c r="B298" s="10"/>
      <c r="C298" s="8"/>
      <c r="D298" s="8"/>
      <c r="E298" s="8"/>
      <c r="F298" s="8"/>
      <c r="G298" s="8"/>
      <c r="H298" s="8"/>
      <c r="I298" s="11"/>
      <c r="J298" s="11"/>
      <c r="K298" s="11"/>
      <c r="L298" s="11"/>
      <c r="M298" s="11"/>
      <c r="N298" s="11"/>
      <c r="O298" s="11"/>
      <c r="P298" s="11"/>
      <c r="Q298" s="16" t="str">
        <f t="shared" si="16"/>
        <v/>
      </c>
      <c r="R298" s="12" t="str">
        <f t="shared" si="17"/>
        <v/>
      </c>
      <c r="S298" s="12" t="str">
        <f t="shared" si="18"/>
        <v/>
      </c>
      <c r="T298" s="12" t="str">
        <f t="shared" si="19"/>
        <v/>
      </c>
      <c r="U298" s="8"/>
      <c r="V298" s="8"/>
      <c r="W298" s="10"/>
      <c r="X298" s="8"/>
    </row>
    <row r="299" spans="1:24">
      <c r="A299" s="8"/>
      <c r="B299" s="10"/>
      <c r="C299" s="8"/>
      <c r="D299" s="8"/>
      <c r="E299" s="8"/>
      <c r="F299" s="8"/>
      <c r="G299" s="8"/>
      <c r="H299" s="8"/>
      <c r="I299" s="11"/>
      <c r="J299" s="11"/>
      <c r="K299" s="11"/>
      <c r="L299" s="11"/>
      <c r="M299" s="11"/>
      <c r="N299" s="11"/>
      <c r="O299" s="11"/>
      <c r="P299" s="11"/>
      <c r="Q299" s="16" t="str">
        <f t="shared" si="16"/>
        <v/>
      </c>
      <c r="R299" s="12" t="str">
        <f t="shared" si="17"/>
        <v/>
      </c>
      <c r="S299" s="12" t="str">
        <f t="shared" si="18"/>
        <v/>
      </c>
      <c r="T299" s="12" t="str">
        <f t="shared" si="19"/>
        <v/>
      </c>
      <c r="U299" s="8"/>
      <c r="V299" s="8"/>
      <c r="W299" s="10"/>
      <c r="X299" s="8"/>
    </row>
    <row r="300" spans="1:24">
      <c r="A300" s="8"/>
      <c r="B300" s="10"/>
      <c r="C300" s="8"/>
      <c r="D300" s="8"/>
      <c r="E300" s="8"/>
      <c r="F300" s="8"/>
      <c r="G300" s="8"/>
      <c r="H300" s="8"/>
      <c r="I300" s="11"/>
      <c r="J300" s="11"/>
      <c r="K300" s="11"/>
      <c r="L300" s="11"/>
      <c r="M300" s="11"/>
      <c r="N300" s="11"/>
      <c r="O300" s="11"/>
      <c r="P300" s="11"/>
      <c r="Q300" s="16" t="str">
        <f t="shared" si="16"/>
        <v/>
      </c>
      <c r="R300" s="12" t="str">
        <f t="shared" si="17"/>
        <v/>
      </c>
      <c r="S300" s="12" t="str">
        <f t="shared" si="18"/>
        <v/>
      </c>
      <c r="T300" s="12" t="str">
        <f t="shared" si="19"/>
        <v/>
      </c>
      <c r="U300" s="8"/>
      <c r="V300" s="8"/>
      <c r="W300" s="10"/>
      <c r="X300" s="8"/>
    </row>
    <row r="301" spans="1:24">
      <c r="A301" s="8"/>
      <c r="B301" s="10"/>
      <c r="C301" s="8"/>
      <c r="D301" s="8"/>
      <c r="E301" s="8"/>
      <c r="F301" s="8"/>
      <c r="G301" s="8"/>
      <c r="H301" s="8"/>
      <c r="I301" s="11"/>
      <c r="J301" s="11"/>
      <c r="K301" s="11"/>
      <c r="L301" s="11"/>
      <c r="M301" s="11"/>
      <c r="N301" s="11"/>
      <c r="O301" s="11"/>
      <c r="P301" s="11"/>
      <c r="Q301" s="16" t="str">
        <f t="shared" si="16"/>
        <v/>
      </c>
      <c r="R301" s="12" t="str">
        <f t="shared" si="17"/>
        <v/>
      </c>
      <c r="S301" s="12" t="str">
        <f t="shared" si="18"/>
        <v/>
      </c>
      <c r="T301" s="12" t="str">
        <f t="shared" si="19"/>
        <v/>
      </c>
      <c r="U301" s="8"/>
      <c r="V301" s="8"/>
      <c r="W301" s="10"/>
      <c r="X301" s="8"/>
    </row>
    <row r="302" spans="1:24">
      <c r="A302" s="8"/>
      <c r="B302" s="10"/>
      <c r="C302" s="8"/>
      <c r="D302" s="8"/>
      <c r="E302" s="8"/>
      <c r="F302" s="8"/>
      <c r="G302" s="8"/>
      <c r="H302" s="8"/>
      <c r="I302" s="11"/>
      <c r="J302" s="11"/>
      <c r="K302" s="11"/>
      <c r="L302" s="11"/>
      <c r="M302" s="11"/>
      <c r="N302" s="11"/>
      <c r="O302" s="11"/>
      <c r="P302" s="11"/>
      <c r="Q302" s="16" t="str">
        <f t="shared" si="16"/>
        <v/>
      </c>
      <c r="R302" s="12" t="str">
        <f t="shared" si="17"/>
        <v/>
      </c>
      <c r="S302" s="12" t="str">
        <f t="shared" si="18"/>
        <v/>
      </c>
      <c r="T302" s="12" t="str">
        <f t="shared" si="19"/>
        <v/>
      </c>
      <c r="U302" s="8"/>
      <c r="V302" s="8"/>
      <c r="W302" s="10"/>
      <c r="X302" s="8"/>
    </row>
    <row r="303" spans="1:24">
      <c r="A303" s="8"/>
      <c r="B303" s="10"/>
      <c r="C303" s="8"/>
      <c r="D303" s="8"/>
      <c r="E303" s="8"/>
      <c r="F303" s="8"/>
      <c r="G303" s="8"/>
      <c r="H303" s="8"/>
      <c r="I303" s="11"/>
      <c r="J303" s="11"/>
      <c r="K303" s="11"/>
      <c r="L303" s="11"/>
      <c r="M303" s="11"/>
      <c r="N303" s="11"/>
      <c r="O303" s="11"/>
      <c r="P303" s="11"/>
      <c r="Q303" s="16" t="str">
        <f t="shared" si="16"/>
        <v/>
      </c>
      <c r="R303" s="12" t="str">
        <f t="shared" si="17"/>
        <v/>
      </c>
      <c r="S303" s="12" t="str">
        <f t="shared" si="18"/>
        <v/>
      </c>
      <c r="T303" s="12" t="str">
        <f t="shared" si="19"/>
        <v/>
      </c>
      <c r="U303" s="8"/>
      <c r="V303" s="8"/>
      <c r="W303" s="10"/>
      <c r="X303" s="8"/>
    </row>
    <row r="304" spans="1:24">
      <c r="A304" s="8"/>
      <c r="B304" s="10"/>
      <c r="C304" s="8"/>
      <c r="D304" s="8"/>
      <c r="E304" s="8"/>
      <c r="F304" s="8"/>
      <c r="G304" s="8"/>
      <c r="H304" s="8"/>
      <c r="I304" s="11"/>
      <c r="J304" s="11"/>
      <c r="K304" s="11"/>
      <c r="L304" s="11"/>
      <c r="M304" s="11"/>
      <c r="N304" s="11"/>
      <c r="O304" s="11"/>
      <c r="P304" s="11"/>
      <c r="Q304" s="16" t="str">
        <f t="shared" si="16"/>
        <v/>
      </c>
      <c r="R304" s="12" t="str">
        <f t="shared" si="17"/>
        <v/>
      </c>
      <c r="S304" s="12" t="str">
        <f t="shared" si="18"/>
        <v/>
      </c>
      <c r="T304" s="12" t="str">
        <f t="shared" si="19"/>
        <v/>
      </c>
      <c r="U304" s="8"/>
      <c r="V304" s="8"/>
      <c r="W304" s="10"/>
      <c r="X304" s="8"/>
    </row>
  </sheetData>
  <mergeCells count="2">
    <mergeCell ref="A1:X1"/>
    <mergeCell ref="A2:X2"/>
  </mergeCells>
  <conditionalFormatting sqref="A5:A304">
    <cfRule type="duplicateValues" dxfId="32" priority="9"/>
  </conditionalFormatting>
  <conditionalFormatting sqref="U5:U304">
    <cfRule type="containsText" dxfId="31" priority="1" operator="containsText" text="Approved"/>
    <cfRule type="containsText" dxfId="30" priority="4" operator="containsText" text="Failed"/>
    <cfRule type="containsText" dxfId="29" priority="7" operator="containsText" text="On Hold"/>
  </conditionalFormatting>
  <dataValidations count="1">
    <dataValidation type="list" sqref="U5:U304" xr:uid="{00000000-0002-0000-1900-000000000000}">
      <formula1>"Pending,Approved,Approved with Comments,Rejected,Production on Hold"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304"/>
  <sheetViews>
    <sheetView showGridLines="0" workbookViewId="0">
      <selection sqref="A1:W1"/>
    </sheetView>
  </sheetViews>
  <sheetFormatPr baseColWidth="10" defaultColWidth="8.83203125" defaultRowHeight="14"/>
  <cols>
    <col min="1" max="1" width="14" customWidth="1"/>
    <col min="2" max="2" width="13" customWidth="1"/>
    <col min="3" max="4" width="10" customWidth="1"/>
    <col min="5" max="5" width="14" customWidth="1"/>
    <col min="6" max="7" width="13" customWidth="1"/>
    <col min="8" max="8" width="18" customWidth="1"/>
    <col min="9" max="9" width="15" customWidth="1"/>
    <col min="10" max="10" width="13" customWidth="1"/>
    <col min="11" max="11" width="15" customWidth="1"/>
    <col min="12" max="14" width="14" customWidth="1"/>
    <col min="15" max="15" width="12" customWidth="1"/>
    <col min="16" max="17" width="16" customWidth="1"/>
    <col min="18" max="18" width="13" customWidth="1"/>
    <col min="19" max="20" width="14" customWidth="1"/>
    <col min="21" max="21" width="24" customWidth="1"/>
    <col min="22" max="22" width="25" customWidth="1"/>
    <col min="23" max="23" width="15" customWidth="1"/>
  </cols>
  <sheetData>
    <row r="1" spans="1:23" ht="30" customHeight="1">
      <c r="A1" s="52" t="s">
        <v>403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4" spans="1:23" ht="44" customHeight="1">
      <c r="A4" s="6" t="s">
        <v>201</v>
      </c>
      <c r="B4" s="6" t="s">
        <v>353</v>
      </c>
      <c r="C4" s="6" t="s">
        <v>404</v>
      </c>
      <c r="D4" s="6" t="s">
        <v>387</v>
      </c>
      <c r="E4" s="6" t="s">
        <v>44</v>
      </c>
      <c r="F4" s="6" t="s">
        <v>45</v>
      </c>
      <c r="G4" s="6" t="s">
        <v>46</v>
      </c>
      <c r="H4" s="6" t="s">
        <v>405</v>
      </c>
      <c r="I4" s="6" t="s">
        <v>406</v>
      </c>
      <c r="J4" s="6" t="s">
        <v>407</v>
      </c>
      <c r="K4" s="6" t="s">
        <v>408</v>
      </c>
      <c r="L4" s="6" t="s">
        <v>409</v>
      </c>
      <c r="M4" s="6" t="s">
        <v>410</v>
      </c>
      <c r="N4" s="6" t="s">
        <v>373</v>
      </c>
      <c r="O4" s="6" t="s">
        <v>411</v>
      </c>
      <c r="P4" s="6" t="s">
        <v>412</v>
      </c>
      <c r="Q4" s="6" t="s">
        <v>413</v>
      </c>
      <c r="R4" s="6" t="s">
        <v>211</v>
      </c>
      <c r="S4" s="6" t="s">
        <v>215</v>
      </c>
      <c r="T4" s="6" t="s">
        <v>216</v>
      </c>
      <c r="U4" s="6" t="s">
        <v>414</v>
      </c>
      <c r="V4" s="6" t="s">
        <v>415</v>
      </c>
      <c r="W4" s="6" t="s">
        <v>63</v>
      </c>
    </row>
    <row r="5" spans="1:23">
      <c r="A5" s="8"/>
      <c r="B5" s="10"/>
      <c r="C5" s="8"/>
      <c r="D5" s="8"/>
      <c r="E5" s="8"/>
      <c r="F5" s="8"/>
      <c r="G5" s="8"/>
      <c r="H5" s="8"/>
      <c r="I5" s="8"/>
      <c r="J5" s="11"/>
      <c r="K5" s="11"/>
      <c r="L5" s="11"/>
      <c r="M5" s="11"/>
      <c r="N5" s="12" t="str">
        <f t="shared" ref="N5:N68" si="0">IF(A5="","",SUM(K5:M5))</f>
        <v/>
      </c>
      <c r="O5" s="16" t="str">
        <f t="shared" ref="O5:O68" si="1">IF(OR(A5="",J5=0),"",N5/J5)</f>
        <v/>
      </c>
      <c r="P5" s="11"/>
      <c r="Q5" s="16" t="str">
        <f t="shared" ref="Q5:Q68" si="2">IF(OR(A5="",J5=0),"",P5/J5)</f>
        <v/>
      </c>
      <c r="R5" s="16" t="str">
        <f t="shared" ref="R5:R68" si="3">IF(A5="","",0.05)</f>
        <v/>
      </c>
      <c r="S5" s="9" t="str">
        <f t="shared" ref="S5:S68" si="4">IF(A5="","",IF(OR(K5&gt;0,Q5&gt;R5),"Failed","Passed"))</f>
        <v/>
      </c>
      <c r="T5" s="8"/>
      <c r="U5" s="8"/>
      <c r="V5" s="8"/>
      <c r="W5" s="10"/>
    </row>
    <row r="6" spans="1:23">
      <c r="A6" s="8"/>
      <c r="B6" s="10"/>
      <c r="C6" s="8"/>
      <c r="D6" s="8"/>
      <c r="E6" s="8"/>
      <c r="F6" s="8"/>
      <c r="G6" s="8"/>
      <c r="H6" s="8"/>
      <c r="I6" s="8"/>
      <c r="J6" s="11"/>
      <c r="K6" s="11"/>
      <c r="L6" s="11"/>
      <c r="M6" s="11"/>
      <c r="N6" s="12" t="str">
        <f t="shared" si="0"/>
        <v/>
      </c>
      <c r="O6" s="16" t="str">
        <f t="shared" si="1"/>
        <v/>
      </c>
      <c r="P6" s="11"/>
      <c r="Q6" s="16" t="str">
        <f t="shared" si="2"/>
        <v/>
      </c>
      <c r="R6" s="16" t="str">
        <f t="shared" si="3"/>
        <v/>
      </c>
      <c r="S6" s="9" t="str">
        <f t="shared" si="4"/>
        <v/>
      </c>
      <c r="T6" s="8"/>
      <c r="U6" s="8"/>
      <c r="V6" s="8"/>
      <c r="W6" s="10"/>
    </row>
    <row r="7" spans="1:23">
      <c r="A7" s="8"/>
      <c r="B7" s="10"/>
      <c r="C7" s="8"/>
      <c r="D7" s="8"/>
      <c r="E7" s="8"/>
      <c r="F7" s="8"/>
      <c r="G7" s="8"/>
      <c r="H7" s="8"/>
      <c r="I7" s="8"/>
      <c r="J7" s="11"/>
      <c r="K7" s="11"/>
      <c r="L7" s="11"/>
      <c r="M7" s="11"/>
      <c r="N7" s="12" t="str">
        <f t="shared" si="0"/>
        <v/>
      </c>
      <c r="O7" s="16" t="str">
        <f t="shared" si="1"/>
        <v/>
      </c>
      <c r="P7" s="11"/>
      <c r="Q7" s="16" t="str">
        <f t="shared" si="2"/>
        <v/>
      </c>
      <c r="R7" s="16" t="str">
        <f t="shared" si="3"/>
        <v/>
      </c>
      <c r="S7" s="9" t="str">
        <f t="shared" si="4"/>
        <v/>
      </c>
      <c r="T7" s="8"/>
      <c r="U7" s="8"/>
      <c r="V7" s="8"/>
      <c r="W7" s="10"/>
    </row>
    <row r="8" spans="1:23">
      <c r="A8" s="8"/>
      <c r="B8" s="10"/>
      <c r="C8" s="8"/>
      <c r="D8" s="8"/>
      <c r="E8" s="8"/>
      <c r="F8" s="8"/>
      <c r="G8" s="8"/>
      <c r="H8" s="8"/>
      <c r="I8" s="8"/>
      <c r="J8" s="11"/>
      <c r="K8" s="11"/>
      <c r="L8" s="11"/>
      <c r="M8" s="11"/>
      <c r="N8" s="12" t="str">
        <f t="shared" si="0"/>
        <v/>
      </c>
      <c r="O8" s="16" t="str">
        <f t="shared" si="1"/>
        <v/>
      </c>
      <c r="P8" s="11"/>
      <c r="Q8" s="16" t="str">
        <f t="shared" si="2"/>
        <v/>
      </c>
      <c r="R8" s="16" t="str">
        <f t="shared" si="3"/>
        <v/>
      </c>
      <c r="S8" s="9" t="str">
        <f t="shared" si="4"/>
        <v/>
      </c>
      <c r="T8" s="8"/>
      <c r="U8" s="8"/>
      <c r="V8" s="8"/>
      <c r="W8" s="10"/>
    </row>
    <row r="9" spans="1:23">
      <c r="A9" s="8"/>
      <c r="B9" s="10"/>
      <c r="C9" s="8"/>
      <c r="D9" s="8"/>
      <c r="E9" s="8"/>
      <c r="F9" s="8"/>
      <c r="G9" s="8"/>
      <c r="H9" s="8"/>
      <c r="I9" s="8"/>
      <c r="J9" s="11"/>
      <c r="K9" s="11"/>
      <c r="L9" s="11"/>
      <c r="M9" s="11"/>
      <c r="N9" s="12" t="str">
        <f t="shared" si="0"/>
        <v/>
      </c>
      <c r="O9" s="16" t="str">
        <f t="shared" si="1"/>
        <v/>
      </c>
      <c r="P9" s="11"/>
      <c r="Q9" s="16" t="str">
        <f t="shared" si="2"/>
        <v/>
      </c>
      <c r="R9" s="16" t="str">
        <f t="shared" si="3"/>
        <v/>
      </c>
      <c r="S9" s="9" t="str">
        <f t="shared" si="4"/>
        <v/>
      </c>
      <c r="T9" s="8"/>
      <c r="U9" s="8"/>
      <c r="V9" s="8"/>
      <c r="W9" s="10"/>
    </row>
    <row r="10" spans="1:23">
      <c r="A10" s="8"/>
      <c r="B10" s="10"/>
      <c r="C10" s="8"/>
      <c r="D10" s="8"/>
      <c r="E10" s="8"/>
      <c r="F10" s="8"/>
      <c r="G10" s="8"/>
      <c r="H10" s="8"/>
      <c r="I10" s="8"/>
      <c r="J10" s="11"/>
      <c r="K10" s="11"/>
      <c r="L10" s="11"/>
      <c r="M10" s="11"/>
      <c r="N10" s="12" t="str">
        <f t="shared" si="0"/>
        <v/>
      </c>
      <c r="O10" s="16" t="str">
        <f t="shared" si="1"/>
        <v/>
      </c>
      <c r="P10" s="11"/>
      <c r="Q10" s="16" t="str">
        <f t="shared" si="2"/>
        <v/>
      </c>
      <c r="R10" s="16" t="str">
        <f t="shared" si="3"/>
        <v/>
      </c>
      <c r="S10" s="9" t="str">
        <f t="shared" si="4"/>
        <v/>
      </c>
      <c r="T10" s="8"/>
      <c r="U10" s="8"/>
      <c r="V10" s="8"/>
      <c r="W10" s="10"/>
    </row>
    <row r="11" spans="1:23">
      <c r="A11" s="8"/>
      <c r="B11" s="10"/>
      <c r="C11" s="8"/>
      <c r="D11" s="8"/>
      <c r="E11" s="8"/>
      <c r="F11" s="8"/>
      <c r="G11" s="8"/>
      <c r="H11" s="8"/>
      <c r="I11" s="8"/>
      <c r="J11" s="11"/>
      <c r="K11" s="11"/>
      <c r="L11" s="11"/>
      <c r="M11" s="11"/>
      <c r="N11" s="12" t="str">
        <f t="shared" si="0"/>
        <v/>
      </c>
      <c r="O11" s="16" t="str">
        <f t="shared" si="1"/>
        <v/>
      </c>
      <c r="P11" s="11"/>
      <c r="Q11" s="16" t="str">
        <f t="shared" si="2"/>
        <v/>
      </c>
      <c r="R11" s="16" t="str">
        <f t="shared" si="3"/>
        <v/>
      </c>
      <c r="S11" s="9" t="str">
        <f t="shared" si="4"/>
        <v/>
      </c>
      <c r="T11" s="8"/>
      <c r="U11" s="8"/>
      <c r="V11" s="8"/>
      <c r="W11" s="10"/>
    </row>
    <row r="12" spans="1:23">
      <c r="A12" s="8"/>
      <c r="B12" s="10"/>
      <c r="C12" s="8"/>
      <c r="D12" s="8"/>
      <c r="E12" s="8"/>
      <c r="F12" s="8"/>
      <c r="G12" s="8"/>
      <c r="H12" s="8"/>
      <c r="I12" s="8"/>
      <c r="J12" s="11"/>
      <c r="K12" s="11"/>
      <c r="L12" s="11"/>
      <c r="M12" s="11"/>
      <c r="N12" s="12" t="str">
        <f t="shared" si="0"/>
        <v/>
      </c>
      <c r="O12" s="16" t="str">
        <f t="shared" si="1"/>
        <v/>
      </c>
      <c r="P12" s="11"/>
      <c r="Q12" s="16" t="str">
        <f t="shared" si="2"/>
        <v/>
      </c>
      <c r="R12" s="16" t="str">
        <f t="shared" si="3"/>
        <v/>
      </c>
      <c r="S12" s="9" t="str">
        <f t="shared" si="4"/>
        <v/>
      </c>
      <c r="T12" s="8"/>
      <c r="U12" s="8"/>
      <c r="V12" s="8"/>
      <c r="W12" s="10"/>
    </row>
    <row r="13" spans="1:23">
      <c r="A13" s="8"/>
      <c r="B13" s="10"/>
      <c r="C13" s="8"/>
      <c r="D13" s="8"/>
      <c r="E13" s="8"/>
      <c r="F13" s="8"/>
      <c r="G13" s="8"/>
      <c r="H13" s="8"/>
      <c r="I13" s="8"/>
      <c r="J13" s="11"/>
      <c r="K13" s="11"/>
      <c r="L13" s="11"/>
      <c r="M13" s="11"/>
      <c r="N13" s="12" t="str">
        <f t="shared" si="0"/>
        <v/>
      </c>
      <c r="O13" s="16" t="str">
        <f t="shared" si="1"/>
        <v/>
      </c>
      <c r="P13" s="11"/>
      <c r="Q13" s="16" t="str">
        <f t="shared" si="2"/>
        <v/>
      </c>
      <c r="R13" s="16" t="str">
        <f t="shared" si="3"/>
        <v/>
      </c>
      <c r="S13" s="9" t="str">
        <f t="shared" si="4"/>
        <v/>
      </c>
      <c r="T13" s="8"/>
      <c r="U13" s="8"/>
      <c r="V13" s="8"/>
      <c r="W13" s="10"/>
    </row>
    <row r="14" spans="1:23">
      <c r="A14" s="8"/>
      <c r="B14" s="10"/>
      <c r="C14" s="8"/>
      <c r="D14" s="8"/>
      <c r="E14" s="8"/>
      <c r="F14" s="8"/>
      <c r="G14" s="8"/>
      <c r="H14" s="8"/>
      <c r="I14" s="8"/>
      <c r="J14" s="11"/>
      <c r="K14" s="11"/>
      <c r="L14" s="11"/>
      <c r="M14" s="11"/>
      <c r="N14" s="12" t="str">
        <f t="shared" si="0"/>
        <v/>
      </c>
      <c r="O14" s="16" t="str">
        <f t="shared" si="1"/>
        <v/>
      </c>
      <c r="P14" s="11"/>
      <c r="Q14" s="16" t="str">
        <f t="shared" si="2"/>
        <v/>
      </c>
      <c r="R14" s="16" t="str">
        <f t="shared" si="3"/>
        <v/>
      </c>
      <c r="S14" s="9" t="str">
        <f t="shared" si="4"/>
        <v/>
      </c>
      <c r="T14" s="8"/>
      <c r="U14" s="8"/>
      <c r="V14" s="8"/>
      <c r="W14" s="10"/>
    </row>
    <row r="15" spans="1:23">
      <c r="A15" s="8"/>
      <c r="B15" s="10"/>
      <c r="C15" s="8"/>
      <c r="D15" s="8"/>
      <c r="E15" s="8"/>
      <c r="F15" s="8"/>
      <c r="G15" s="8"/>
      <c r="H15" s="8"/>
      <c r="I15" s="8"/>
      <c r="J15" s="11"/>
      <c r="K15" s="11"/>
      <c r="L15" s="11"/>
      <c r="M15" s="11"/>
      <c r="N15" s="12" t="str">
        <f t="shared" si="0"/>
        <v/>
      </c>
      <c r="O15" s="16" t="str">
        <f t="shared" si="1"/>
        <v/>
      </c>
      <c r="P15" s="11"/>
      <c r="Q15" s="16" t="str">
        <f t="shared" si="2"/>
        <v/>
      </c>
      <c r="R15" s="16" t="str">
        <f t="shared" si="3"/>
        <v/>
      </c>
      <c r="S15" s="9" t="str">
        <f t="shared" si="4"/>
        <v/>
      </c>
      <c r="T15" s="8"/>
      <c r="U15" s="8"/>
      <c r="V15" s="8"/>
      <c r="W15" s="10"/>
    </row>
    <row r="16" spans="1:23">
      <c r="A16" s="8"/>
      <c r="B16" s="10"/>
      <c r="C16" s="8"/>
      <c r="D16" s="8"/>
      <c r="E16" s="8"/>
      <c r="F16" s="8"/>
      <c r="G16" s="8"/>
      <c r="H16" s="8"/>
      <c r="I16" s="8"/>
      <c r="J16" s="11"/>
      <c r="K16" s="11"/>
      <c r="L16" s="11"/>
      <c r="M16" s="11"/>
      <c r="N16" s="12" t="str">
        <f t="shared" si="0"/>
        <v/>
      </c>
      <c r="O16" s="16" t="str">
        <f t="shared" si="1"/>
        <v/>
      </c>
      <c r="P16" s="11"/>
      <c r="Q16" s="16" t="str">
        <f t="shared" si="2"/>
        <v/>
      </c>
      <c r="R16" s="16" t="str">
        <f t="shared" si="3"/>
        <v/>
      </c>
      <c r="S16" s="9" t="str">
        <f t="shared" si="4"/>
        <v/>
      </c>
      <c r="T16" s="8"/>
      <c r="U16" s="8"/>
      <c r="V16" s="8"/>
      <c r="W16" s="10"/>
    </row>
    <row r="17" spans="1:23">
      <c r="A17" s="8"/>
      <c r="B17" s="10"/>
      <c r="C17" s="8"/>
      <c r="D17" s="8"/>
      <c r="E17" s="8"/>
      <c r="F17" s="8"/>
      <c r="G17" s="8"/>
      <c r="H17" s="8"/>
      <c r="I17" s="8"/>
      <c r="J17" s="11"/>
      <c r="K17" s="11"/>
      <c r="L17" s="11"/>
      <c r="M17" s="11"/>
      <c r="N17" s="12" t="str">
        <f t="shared" si="0"/>
        <v/>
      </c>
      <c r="O17" s="16" t="str">
        <f t="shared" si="1"/>
        <v/>
      </c>
      <c r="P17" s="11"/>
      <c r="Q17" s="16" t="str">
        <f t="shared" si="2"/>
        <v/>
      </c>
      <c r="R17" s="16" t="str">
        <f t="shared" si="3"/>
        <v/>
      </c>
      <c r="S17" s="9" t="str">
        <f t="shared" si="4"/>
        <v/>
      </c>
      <c r="T17" s="8"/>
      <c r="U17" s="8"/>
      <c r="V17" s="8"/>
      <c r="W17" s="10"/>
    </row>
    <row r="18" spans="1:23">
      <c r="A18" s="8"/>
      <c r="B18" s="10"/>
      <c r="C18" s="8"/>
      <c r="D18" s="8"/>
      <c r="E18" s="8"/>
      <c r="F18" s="8"/>
      <c r="G18" s="8"/>
      <c r="H18" s="8"/>
      <c r="I18" s="8"/>
      <c r="J18" s="11"/>
      <c r="K18" s="11"/>
      <c r="L18" s="11"/>
      <c r="M18" s="11"/>
      <c r="N18" s="12" t="str">
        <f t="shared" si="0"/>
        <v/>
      </c>
      <c r="O18" s="16" t="str">
        <f t="shared" si="1"/>
        <v/>
      </c>
      <c r="P18" s="11"/>
      <c r="Q18" s="16" t="str">
        <f t="shared" si="2"/>
        <v/>
      </c>
      <c r="R18" s="16" t="str">
        <f t="shared" si="3"/>
        <v/>
      </c>
      <c r="S18" s="9" t="str">
        <f t="shared" si="4"/>
        <v/>
      </c>
      <c r="T18" s="8"/>
      <c r="U18" s="8"/>
      <c r="V18" s="8"/>
      <c r="W18" s="10"/>
    </row>
    <row r="19" spans="1:23">
      <c r="A19" s="8"/>
      <c r="B19" s="10"/>
      <c r="C19" s="8"/>
      <c r="D19" s="8"/>
      <c r="E19" s="8"/>
      <c r="F19" s="8"/>
      <c r="G19" s="8"/>
      <c r="H19" s="8"/>
      <c r="I19" s="8"/>
      <c r="J19" s="11"/>
      <c r="K19" s="11"/>
      <c r="L19" s="11"/>
      <c r="M19" s="11"/>
      <c r="N19" s="12" t="str">
        <f t="shared" si="0"/>
        <v/>
      </c>
      <c r="O19" s="16" t="str">
        <f t="shared" si="1"/>
        <v/>
      </c>
      <c r="P19" s="11"/>
      <c r="Q19" s="16" t="str">
        <f t="shared" si="2"/>
        <v/>
      </c>
      <c r="R19" s="16" t="str">
        <f t="shared" si="3"/>
        <v/>
      </c>
      <c r="S19" s="9" t="str">
        <f t="shared" si="4"/>
        <v/>
      </c>
      <c r="T19" s="8"/>
      <c r="U19" s="8"/>
      <c r="V19" s="8"/>
      <c r="W19" s="10"/>
    </row>
    <row r="20" spans="1:23">
      <c r="A20" s="8"/>
      <c r="B20" s="10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2" t="str">
        <f t="shared" si="0"/>
        <v/>
      </c>
      <c r="O20" s="16" t="str">
        <f t="shared" si="1"/>
        <v/>
      </c>
      <c r="P20" s="11"/>
      <c r="Q20" s="16" t="str">
        <f t="shared" si="2"/>
        <v/>
      </c>
      <c r="R20" s="16" t="str">
        <f t="shared" si="3"/>
        <v/>
      </c>
      <c r="S20" s="9" t="str">
        <f t="shared" si="4"/>
        <v/>
      </c>
      <c r="T20" s="8"/>
      <c r="U20" s="8"/>
      <c r="V20" s="8"/>
      <c r="W20" s="10"/>
    </row>
    <row r="21" spans="1:23">
      <c r="A21" s="8"/>
      <c r="B21" s="10"/>
      <c r="C21" s="8"/>
      <c r="D21" s="8"/>
      <c r="E21" s="8"/>
      <c r="F21" s="8"/>
      <c r="G21" s="8"/>
      <c r="H21" s="8"/>
      <c r="I21" s="8"/>
      <c r="J21" s="11"/>
      <c r="K21" s="11"/>
      <c r="L21" s="11"/>
      <c r="M21" s="11"/>
      <c r="N21" s="12" t="str">
        <f t="shared" si="0"/>
        <v/>
      </c>
      <c r="O21" s="16" t="str">
        <f t="shared" si="1"/>
        <v/>
      </c>
      <c r="P21" s="11"/>
      <c r="Q21" s="16" t="str">
        <f t="shared" si="2"/>
        <v/>
      </c>
      <c r="R21" s="16" t="str">
        <f t="shared" si="3"/>
        <v/>
      </c>
      <c r="S21" s="9" t="str">
        <f t="shared" si="4"/>
        <v/>
      </c>
      <c r="T21" s="8"/>
      <c r="U21" s="8"/>
      <c r="V21" s="8"/>
      <c r="W21" s="10"/>
    </row>
    <row r="22" spans="1:23">
      <c r="A22" s="8"/>
      <c r="B22" s="10"/>
      <c r="C22" s="8"/>
      <c r="D22" s="8"/>
      <c r="E22" s="8"/>
      <c r="F22" s="8"/>
      <c r="G22" s="8"/>
      <c r="H22" s="8"/>
      <c r="I22" s="8"/>
      <c r="J22" s="11"/>
      <c r="K22" s="11"/>
      <c r="L22" s="11"/>
      <c r="M22" s="11"/>
      <c r="N22" s="12" t="str">
        <f t="shared" si="0"/>
        <v/>
      </c>
      <c r="O22" s="16" t="str">
        <f t="shared" si="1"/>
        <v/>
      </c>
      <c r="P22" s="11"/>
      <c r="Q22" s="16" t="str">
        <f t="shared" si="2"/>
        <v/>
      </c>
      <c r="R22" s="16" t="str">
        <f t="shared" si="3"/>
        <v/>
      </c>
      <c r="S22" s="9" t="str">
        <f t="shared" si="4"/>
        <v/>
      </c>
      <c r="T22" s="8"/>
      <c r="U22" s="8"/>
      <c r="V22" s="8"/>
      <c r="W22" s="10"/>
    </row>
    <row r="23" spans="1:23">
      <c r="A23" s="8"/>
      <c r="B23" s="10"/>
      <c r="C23" s="8"/>
      <c r="D23" s="8"/>
      <c r="E23" s="8"/>
      <c r="F23" s="8"/>
      <c r="G23" s="8"/>
      <c r="H23" s="8"/>
      <c r="I23" s="8"/>
      <c r="J23" s="11"/>
      <c r="K23" s="11"/>
      <c r="L23" s="11"/>
      <c r="M23" s="11"/>
      <c r="N23" s="12" t="str">
        <f t="shared" si="0"/>
        <v/>
      </c>
      <c r="O23" s="16" t="str">
        <f t="shared" si="1"/>
        <v/>
      </c>
      <c r="P23" s="11"/>
      <c r="Q23" s="16" t="str">
        <f t="shared" si="2"/>
        <v/>
      </c>
      <c r="R23" s="16" t="str">
        <f t="shared" si="3"/>
        <v/>
      </c>
      <c r="S23" s="9" t="str">
        <f t="shared" si="4"/>
        <v/>
      </c>
      <c r="T23" s="8"/>
      <c r="U23" s="8"/>
      <c r="V23" s="8"/>
      <c r="W23" s="10"/>
    </row>
    <row r="24" spans="1:23">
      <c r="A24" s="8"/>
      <c r="B24" s="10"/>
      <c r="C24" s="8"/>
      <c r="D24" s="8"/>
      <c r="E24" s="8"/>
      <c r="F24" s="8"/>
      <c r="G24" s="8"/>
      <c r="H24" s="8"/>
      <c r="I24" s="8"/>
      <c r="J24" s="11"/>
      <c r="K24" s="11"/>
      <c r="L24" s="11"/>
      <c r="M24" s="11"/>
      <c r="N24" s="12" t="str">
        <f t="shared" si="0"/>
        <v/>
      </c>
      <c r="O24" s="16" t="str">
        <f t="shared" si="1"/>
        <v/>
      </c>
      <c r="P24" s="11"/>
      <c r="Q24" s="16" t="str">
        <f t="shared" si="2"/>
        <v/>
      </c>
      <c r="R24" s="16" t="str">
        <f t="shared" si="3"/>
        <v/>
      </c>
      <c r="S24" s="9" t="str">
        <f t="shared" si="4"/>
        <v/>
      </c>
      <c r="T24" s="8"/>
      <c r="U24" s="8"/>
      <c r="V24" s="8"/>
      <c r="W24" s="10"/>
    </row>
    <row r="25" spans="1:23">
      <c r="A25" s="8"/>
      <c r="B25" s="10"/>
      <c r="C25" s="8"/>
      <c r="D25" s="8"/>
      <c r="E25" s="8"/>
      <c r="F25" s="8"/>
      <c r="G25" s="8"/>
      <c r="H25" s="8"/>
      <c r="I25" s="8"/>
      <c r="J25" s="11"/>
      <c r="K25" s="11"/>
      <c r="L25" s="11"/>
      <c r="M25" s="11"/>
      <c r="N25" s="12" t="str">
        <f t="shared" si="0"/>
        <v/>
      </c>
      <c r="O25" s="16" t="str">
        <f t="shared" si="1"/>
        <v/>
      </c>
      <c r="P25" s="11"/>
      <c r="Q25" s="16" t="str">
        <f t="shared" si="2"/>
        <v/>
      </c>
      <c r="R25" s="16" t="str">
        <f t="shared" si="3"/>
        <v/>
      </c>
      <c r="S25" s="9" t="str">
        <f t="shared" si="4"/>
        <v/>
      </c>
      <c r="T25" s="8"/>
      <c r="U25" s="8"/>
      <c r="V25" s="8"/>
      <c r="W25" s="10"/>
    </row>
    <row r="26" spans="1:23">
      <c r="A26" s="8"/>
      <c r="B26" s="10"/>
      <c r="C26" s="8"/>
      <c r="D26" s="8"/>
      <c r="E26" s="8"/>
      <c r="F26" s="8"/>
      <c r="G26" s="8"/>
      <c r="H26" s="8"/>
      <c r="I26" s="8"/>
      <c r="J26" s="11"/>
      <c r="K26" s="11"/>
      <c r="L26" s="11"/>
      <c r="M26" s="11"/>
      <c r="N26" s="12" t="str">
        <f t="shared" si="0"/>
        <v/>
      </c>
      <c r="O26" s="16" t="str">
        <f t="shared" si="1"/>
        <v/>
      </c>
      <c r="P26" s="11"/>
      <c r="Q26" s="16" t="str">
        <f t="shared" si="2"/>
        <v/>
      </c>
      <c r="R26" s="16" t="str">
        <f t="shared" si="3"/>
        <v/>
      </c>
      <c r="S26" s="9" t="str">
        <f t="shared" si="4"/>
        <v/>
      </c>
      <c r="T26" s="8"/>
      <c r="U26" s="8"/>
      <c r="V26" s="8"/>
      <c r="W26" s="10"/>
    </row>
    <row r="27" spans="1:23">
      <c r="A27" s="8"/>
      <c r="B27" s="10"/>
      <c r="C27" s="8"/>
      <c r="D27" s="8"/>
      <c r="E27" s="8"/>
      <c r="F27" s="8"/>
      <c r="G27" s="8"/>
      <c r="H27" s="8"/>
      <c r="I27" s="8"/>
      <c r="J27" s="11"/>
      <c r="K27" s="11"/>
      <c r="L27" s="11"/>
      <c r="M27" s="11"/>
      <c r="N27" s="12" t="str">
        <f t="shared" si="0"/>
        <v/>
      </c>
      <c r="O27" s="16" t="str">
        <f t="shared" si="1"/>
        <v/>
      </c>
      <c r="P27" s="11"/>
      <c r="Q27" s="16" t="str">
        <f t="shared" si="2"/>
        <v/>
      </c>
      <c r="R27" s="16" t="str">
        <f t="shared" si="3"/>
        <v/>
      </c>
      <c r="S27" s="9" t="str">
        <f t="shared" si="4"/>
        <v/>
      </c>
      <c r="T27" s="8"/>
      <c r="U27" s="8"/>
      <c r="V27" s="8"/>
      <c r="W27" s="10"/>
    </row>
    <row r="28" spans="1:23">
      <c r="A28" s="8"/>
      <c r="B28" s="10"/>
      <c r="C28" s="8"/>
      <c r="D28" s="8"/>
      <c r="E28" s="8"/>
      <c r="F28" s="8"/>
      <c r="G28" s="8"/>
      <c r="H28" s="8"/>
      <c r="I28" s="8"/>
      <c r="J28" s="11"/>
      <c r="K28" s="11"/>
      <c r="L28" s="11"/>
      <c r="M28" s="11"/>
      <c r="N28" s="12" t="str">
        <f t="shared" si="0"/>
        <v/>
      </c>
      <c r="O28" s="16" t="str">
        <f t="shared" si="1"/>
        <v/>
      </c>
      <c r="P28" s="11"/>
      <c r="Q28" s="16" t="str">
        <f t="shared" si="2"/>
        <v/>
      </c>
      <c r="R28" s="16" t="str">
        <f t="shared" si="3"/>
        <v/>
      </c>
      <c r="S28" s="9" t="str">
        <f t="shared" si="4"/>
        <v/>
      </c>
      <c r="T28" s="8"/>
      <c r="U28" s="8"/>
      <c r="V28" s="8"/>
      <c r="W28" s="10"/>
    </row>
    <row r="29" spans="1:23">
      <c r="A29" s="8"/>
      <c r="B29" s="10"/>
      <c r="C29" s="8"/>
      <c r="D29" s="8"/>
      <c r="E29" s="8"/>
      <c r="F29" s="8"/>
      <c r="G29" s="8"/>
      <c r="H29" s="8"/>
      <c r="I29" s="8"/>
      <c r="J29" s="11"/>
      <c r="K29" s="11"/>
      <c r="L29" s="11"/>
      <c r="M29" s="11"/>
      <c r="N29" s="12" t="str">
        <f t="shared" si="0"/>
        <v/>
      </c>
      <c r="O29" s="16" t="str">
        <f t="shared" si="1"/>
        <v/>
      </c>
      <c r="P29" s="11"/>
      <c r="Q29" s="16" t="str">
        <f t="shared" si="2"/>
        <v/>
      </c>
      <c r="R29" s="16" t="str">
        <f t="shared" si="3"/>
        <v/>
      </c>
      <c r="S29" s="9" t="str">
        <f t="shared" si="4"/>
        <v/>
      </c>
      <c r="T29" s="8"/>
      <c r="U29" s="8"/>
      <c r="V29" s="8"/>
      <c r="W29" s="10"/>
    </row>
    <row r="30" spans="1:23">
      <c r="A30" s="8"/>
      <c r="B30" s="10"/>
      <c r="C30" s="8"/>
      <c r="D30" s="8"/>
      <c r="E30" s="8"/>
      <c r="F30" s="8"/>
      <c r="G30" s="8"/>
      <c r="H30" s="8"/>
      <c r="I30" s="8"/>
      <c r="J30" s="11"/>
      <c r="K30" s="11"/>
      <c r="L30" s="11"/>
      <c r="M30" s="11"/>
      <c r="N30" s="12" t="str">
        <f t="shared" si="0"/>
        <v/>
      </c>
      <c r="O30" s="16" t="str">
        <f t="shared" si="1"/>
        <v/>
      </c>
      <c r="P30" s="11"/>
      <c r="Q30" s="16" t="str">
        <f t="shared" si="2"/>
        <v/>
      </c>
      <c r="R30" s="16" t="str">
        <f t="shared" si="3"/>
        <v/>
      </c>
      <c r="S30" s="9" t="str">
        <f t="shared" si="4"/>
        <v/>
      </c>
      <c r="T30" s="8"/>
      <c r="U30" s="8"/>
      <c r="V30" s="8"/>
      <c r="W30" s="10"/>
    </row>
    <row r="31" spans="1:23">
      <c r="A31" s="8"/>
      <c r="B31" s="10"/>
      <c r="C31" s="8"/>
      <c r="D31" s="8"/>
      <c r="E31" s="8"/>
      <c r="F31" s="8"/>
      <c r="G31" s="8"/>
      <c r="H31" s="8"/>
      <c r="I31" s="8"/>
      <c r="J31" s="11"/>
      <c r="K31" s="11"/>
      <c r="L31" s="11"/>
      <c r="M31" s="11"/>
      <c r="N31" s="12" t="str">
        <f t="shared" si="0"/>
        <v/>
      </c>
      <c r="O31" s="16" t="str">
        <f t="shared" si="1"/>
        <v/>
      </c>
      <c r="P31" s="11"/>
      <c r="Q31" s="16" t="str">
        <f t="shared" si="2"/>
        <v/>
      </c>
      <c r="R31" s="16" t="str">
        <f t="shared" si="3"/>
        <v/>
      </c>
      <c r="S31" s="9" t="str">
        <f t="shared" si="4"/>
        <v/>
      </c>
      <c r="T31" s="8"/>
      <c r="U31" s="8"/>
      <c r="V31" s="8"/>
      <c r="W31" s="10"/>
    </row>
    <row r="32" spans="1:23">
      <c r="A32" s="8"/>
      <c r="B32" s="10"/>
      <c r="C32" s="8"/>
      <c r="D32" s="8"/>
      <c r="E32" s="8"/>
      <c r="F32" s="8"/>
      <c r="G32" s="8"/>
      <c r="H32" s="8"/>
      <c r="I32" s="8"/>
      <c r="J32" s="11"/>
      <c r="K32" s="11"/>
      <c r="L32" s="11"/>
      <c r="M32" s="11"/>
      <c r="N32" s="12" t="str">
        <f t="shared" si="0"/>
        <v/>
      </c>
      <c r="O32" s="16" t="str">
        <f t="shared" si="1"/>
        <v/>
      </c>
      <c r="P32" s="11"/>
      <c r="Q32" s="16" t="str">
        <f t="shared" si="2"/>
        <v/>
      </c>
      <c r="R32" s="16" t="str">
        <f t="shared" si="3"/>
        <v/>
      </c>
      <c r="S32" s="9" t="str">
        <f t="shared" si="4"/>
        <v/>
      </c>
      <c r="T32" s="8"/>
      <c r="U32" s="8"/>
      <c r="V32" s="8"/>
      <c r="W32" s="10"/>
    </row>
    <row r="33" spans="1:23">
      <c r="A33" s="8"/>
      <c r="B33" s="10"/>
      <c r="C33" s="8"/>
      <c r="D33" s="8"/>
      <c r="E33" s="8"/>
      <c r="F33" s="8"/>
      <c r="G33" s="8"/>
      <c r="H33" s="8"/>
      <c r="I33" s="8"/>
      <c r="J33" s="11"/>
      <c r="K33" s="11"/>
      <c r="L33" s="11"/>
      <c r="M33" s="11"/>
      <c r="N33" s="12" t="str">
        <f t="shared" si="0"/>
        <v/>
      </c>
      <c r="O33" s="16" t="str">
        <f t="shared" si="1"/>
        <v/>
      </c>
      <c r="P33" s="11"/>
      <c r="Q33" s="16" t="str">
        <f t="shared" si="2"/>
        <v/>
      </c>
      <c r="R33" s="16" t="str">
        <f t="shared" si="3"/>
        <v/>
      </c>
      <c r="S33" s="9" t="str">
        <f t="shared" si="4"/>
        <v/>
      </c>
      <c r="T33" s="8"/>
      <c r="U33" s="8"/>
      <c r="V33" s="8"/>
      <c r="W33" s="10"/>
    </row>
    <row r="34" spans="1:23">
      <c r="A34" s="8"/>
      <c r="B34" s="10"/>
      <c r="C34" s="8"/>
      <c r="D34" s="8"/>
      <c r="E34" s="8"/>
      <c r="F34" s="8"/>
      <c r="G34" s="8"/>
      <c r="H34" s="8"/>
      <c r="I34" s="8"/>
      <c r="J34" s="11"/>
      <c r="K34" s="11"/>
      <c r="L34" s="11"/>
      <c r="M34" s="11"/>
      <c r="N34" s="12" t="str">
        <f t="shared" si="0"/>
        <v/>
      </c>
      <c r="O34" s="16" t="str">
        <f t="shared" si="1"/>
        <v/>
      </c>
      <c r="P34" s="11"/>
      <c r="Q34" s="16" t="str">
        <f t="shared" si="2"/>
        <v/>
      </c>
      <c r="R34" s="16" t="str">
        <f t="shared" si="3"/>
        <v/>
      </c>
      <c r="S34" s="9" t="str">
        <f t="shared" si="4"/>
        <v/>
      </c>
      <c r="T34" s="8"/>
      <c r="U34" s="8"/>
      <c r="V34" s="8"/>
      <c r="W34" s="10"/>
    </row>
    <row r="35" spans="1:23">
      <c r="A35" s="8"/>
      <c r="B35" s="10"/>
      <c r="C35" s="8"/>
      <c r="D35" s="8"/>
      <c r="E35" s="8"/>
      <c r="F35" s="8"/>
      <c r="G35" s="8"/>
      <c r="H35" s="8"/>
      <c r="I35" s="8"/>
      <c r="J35" s="11"/>
      <c r="K35" s="11"/>
      <c r="L35" s="11"/>
      <c r="M35" s="11"/>
      <c r="N35" s="12" t="str">
        <f t="shared" si="0"/>
        <v/>
      </c>
      <c r="O35" s="16" t="str">
        <f t="shared" si="1"/>
        <v/>
      </c>
      <c r="P35" s="11"/>
      <c r="Q35" s="16" t="str">
        <f t="shared" si="2"/>
        <v/>
      </c>
      <c r="R35" s="16" t="str">
        <f t="shared" si="3"/>
        <v/>
      </c>
      <c r="S35" s="9" t="str">
        <f t="shared" si="4"/>
        <v/>
      </c>
      <c r="T35" s="8"/>
      <c r="U35" s="8"/>
      <c r="V35" s="8"/>
      <c r="W35" s="10"/>
    </row>
    <row r="36" spans="1:23">
      <c r="A36" s="8"/>
      <c r="B36" s="10"/>
      <c r="C36" s="8"/>
      <c r="D36" s="8"/>
      <c r="E36" s="8"/>
      <c r="F36" s="8"/>
      <c r="G36" s="8"/>
      <c r="H36" s="8"/>
      <c r="I36" s="8"/>
      <c r="J36" s="11"/>
      <c r="K36" s="11"/>
      <c r="L36" s="11"/>
      <c r="M36" s="11"/>
      <c r="N36" s="12" t="str">
        <f t="shared" si="0"/>
        <v/>
      </c>
      <c r="O36" s="16" t="str">
        <f t="shared" si="1"/>
        <v/>
      </c>
      <c r="P36" s="11"/>
      <c r="Q36" s="16" t="str">
        <f t="shared" si="2"/>
        <v/>
      </c>
      <c r="R36" s="16" t="str">
        <f t="shared" si="3"/>
        <v/>
      </c>
      <c r="S36" s="9" t="str">
        <f t="shared" si="4"/>
        <v/>
      </c>
      <c r="T36" s="8"/>
      <c r="U36" s="8"/>
      <c r="V36" s="8"/>
      <c r="W36" s="10"/>
    </row>
    <row r="37" spans="1:23">
      <c r="A37" s="8"/>
      <c r="B37" s="10"/>
      <c r="C37" s="8"/>
      <c r="D37" s="8"/>
      <c r="E37" s="8"/>
      <c r="F37" s="8"/>
      <c r="G37" s="8"/>
      <c r="H37" s="8"/>
      <c r="I37" s="8"/>
      <c r="J37" s="11"/>
      <c r="K37" s="11"/>
      <c r="L37" s="11"/>
      <c r="M37" s="11"/>
      <c r="N37" s="12" t="str">
        <f t="shared" si="0"/>
        <v/>
      </c>
      <c r="O37" s="16" t="str">
        <f t="shared" si="1"/>
        <v/>
      </c>
      <c r="P37" s="11"/>
      <c r="Q37" s="16" t="str">
        <f t="shared" si="2"/>
        <v/>
      </c>
      <c r="R37" s="16" t="str">
        <f t="shared" si="3"/>
        <v/>
      </c>
      <c r="S37" s="9" t="str">
        <f t="shared" si="4"/>
        <v/>
      </c>
      <c r="T37" s="8"/>
      <c r="U37" s="8"/>
      <c r="V37" s="8"/>
      <c r="W37" s="10"/>
    </row>
    <row r="38" spans="1:23">
      <c r="A38" s="8"/>
      <c r="B38" s="10"/>
      <c r="C38" s="8"/>
      <c r="D38" s="8"/>
      <c r="E38" s="8"/>
      <c r="F38" s="8"/>
      <c r="G38" s="8"/>
      <c r="H38" s="8"/>
      <c r="I38" s="8"/>
      <c r="J38" s="11"/>
      <c r="K38" s="11"/>
      <c r="L38" s="11"/>
      <c r="M38" s="11"/>
      <c r="N38" s="12" t="str">
        <f t="shared" si="0"/>
        <v/>
      </c>
      <c r="O38" s="16" t="str">
        <f t="shared" si="1"/>
        <v/>
      </c>
      <c r="P38" s="11"/>
      <c r="Q38" s="16" t="str">
        <f t="shared" si="2"/>
        <v/>
      </c>
      <c r="R38" s="16" t="str">
        <f t="shared" si="3"/>
        <v/>
      </c>
      <c r="S38" s="9" t="str">
        <f t="shared" si="4"/>
        <v/>
      </c>
      <c r="T38" s="8"/>
      <c r="U38" s="8"/>
      <c r="V38" s="8"/>
      <c r="W38" s="10"/>
    </row>
    <row r="39" spans="1:23">
      <c r="A39" s="8"/>
      <c r="B39" s="10"/>
      <c r="C39" s="8"/>
      <c r="D39" s="8"/>
      <c r="E39" s="8"/>
      <c r="F39" s="8"/>
      <c r="G39" s="8"/>
      <c r="H39" s="8"/>
      <c r="I39" s="8"/>
      <c r="J39" s="11"/>
      <c r="K39" s="11"/>
      <c r="L39" s="11"/>
      <c r="M39" s="11"/>
      <c r="N39" s="12" t="str">
        <f t="shared" si="0"/>
        <v/>
      </c>
      <c r="O39" s="16" t="str">
        <f t="shared" si="1"/>
        <v/>
      </c>
      <c r="P39" s="11"/>
      <c r="Q39" s="16" t="str">
        <f t="shared" si="2"/>
        <v/>
      </c>
      <c r="R39" s="16" t="str">
        <f t="shared" si="3"/>
        <v/>
      </c>
      <c r="S39" s="9" t="str">
        <f t="shared" si="4"/>
        <v/>
      </c>
      <c r="T39" s="8"/>
      <c r="U39" s="8"/>
      <c r="V39" s="8"/>
      <c r="W39" s="10"/>
    </row>
    <row r="40" spans="1:23">
      <c r="A40" s="8"/>
      <c r="B40" s="10"/>
      <c r="C40" s="8"/>
      <c r="D40" s="8"/>
      <c r="E40" s="8"/>
      <c r="F40" s="8"/>
      <c r="G40" s="8"/>
      <c r="H40" s="8"/>
      <c r="I40" s="8"/>
      <c r="J40" s="11"/>
      <c r="K40" s="11"/>
      <c r="L40" s="11"/>
      <c r="M40" s="11"/>
      <c r="N40" s="12" t="str">
        <f t="shared" si="0"/>
        <v/>
      </c>
      <c r="O40" s="16" t="str">
        <f t="shared" si="1"/>
        <v/>
      </c>
      <c r="P40" s="11"/>
      <c r="Q40" s="16" t="str">
        <f t="shared" si="2"/>
        <v/>
      </c>
      <c r="R40" s="16" t="str">
        <f t="shared" si="3"/>
        <v/>
      </c>
      <c r="S40" s="9" t="str">
        <f t="shared" si="4"/>
        <v/>
      </c>
      <c r="T40" s="8"/>
      <c r="U40" s="8"/>
      <c r="V40" s="8"/>
      <c r="W40" s="10"/>
    </row>
    <row r="41" spans="1:23">
      <c r="A41" s="8"/>
      <c r="B41" s="10"/>
      <c r="C41" s="8"/>
      <c r="D41" s="8"/>
      <c r="E41" s="8"/>
      <c r="F41" s="8"/>
      <c r="G41" s="8"/>
      <c r="H41" s="8"/>
      <c r="I41" s="8"/>
      <c r="J41" s="11"/>
      <c r="K41" s="11"/>
      <c r="L41" s="11"/>
      <c r="M41" s="11"/>
      <c r="N41" s="12" t="str">
        <f t="shared" si="0"/>
        <v/>
      </c>
      <c r="O41" s="16" t="str">
        <f t="shared" si="1"/>
        <v/>
      </c>
      <c r="P41" s="11"/>
      <c r="Q41" s="16" t="str">
        <f t="shared" si="2"/>
        <v/>
      </c>
      <c r="R41" s="16" t="str">
        <f t="shared" si="3"/>
        <v/>
      </c>
      <c r="S41" s="9" t="str">
        <f t="shared" si="4"/>
        <v/>
      </c>
      <c r="T41" s="8"/>
      <c r="U41" s="8"/>
      <c r="V41" s="8"/>
      <c r="W41" s="10"/>
    </row>
    <row r="42" spans="1:23">
      <c r="A42" s="8"/>
      <c r="B42" s="10"/>
      <c r="C42" s="8"/>
      <c r="D42" s="8"/>
      <c r="E42" s="8"/>
      <c r="F42" s="8"/>
      <c r="G42" s="8"/>
      <c r="H42" s="8"/>
      <c r="I42" s="8"/>
      <c r="J42" s="11"/>
      <c r="K42" s="11"/>
      <c r="L42" s="11"/>
      <c r="M42" s="11"/>
      <c r="N42" s="12" t="str">
        <f t="shared" si="0"/>
        <v/>
      </c>
      <c r="O42" s="16" t="str">
        <f t="shared" si="1"/>
        <v/>
      </c>
      <c r="P42" s="11"/>
      <c r="Q42" s="16" t="str">
        <f t="shared" si="2"/>
        <v/>
      </c>
      <c r="R42" s="16" t="str">
        <f t="shared" si="3"/>
        <v/>
      </c>
      <c r="S42" s="9" t="str">
        <f t="shared" si="4"/>
        <v/>
      </c>
      <c r="T42" s="8"/>
      <c r="U42" s="8"/>
      <c r="V42" s="8"/>
      <c r="W42" s="10"/>
    </row>
    <row r="43" spans="1:23">
      <c r="A43" s="8"/>
      <c r="B43" s="10"/>
      <c r="C43" s="8"/>
      <c r="D43" s="8"/>
      <c r="E43" s="8"/>
      <c r="F43" s="8"/>
      <c r="G43" s="8"/>
      <c r="H43" s="8"/>
      <c r="I43" s="8"/>
      <c r="J43" s="11"/>
      <c r="K43" s="11"/>
      <c r="L43" s="11"/>
      <c r="M43" s="11"/>
      <c r="N43" s="12" t="str">
        <f t="shared" si="0"/>
        <v/>
      </c>
      <c r="O43" s="16" t="str">
        <f t="shared" si="1"/>
        <v/>
      </c>
      <c r="P43" s="11"/>
      <c r="Q43" s="16" t="str">
        <f t="shared" si="2"/>
        <v/>
      </c>
      <c r="R43" s="16" t="str">
        <f t="shared" si="3"/>
        <v/>
      </c>
      <c r="S43" s="9" t="str">
        <f t="shared" si="4"/>
        <v/>
      </c>
      <c r="T43" s="8"/>
      <c r="U43" s="8"/>
      <c r="V43" s="8"/>
      <c r="W43" s="10"/>
    </row>
    <row r="44" spans="1:23">
      <c r="A44" s="8"/>
      <c r="B44" s="10"/>
      <c r="C44" s="8"/>
      <c r="D44" s="8"/>
      <c r="E44" s="8"/>
      <c r="F44" s="8"/>
      <c r="G44" s="8"/>
      <c r="H44" s="8"/>
      <c r="I44" s="8"/>
      <c r="J44" s="11"/>
      <c r="K44" s="11"/>
      <c r="L44" s="11"/>
      <c r="M44" s="11"/>
      <c r="N44" s="12" t="str">
        <f t="shared" si="0"/>
        <v/>
      </c>
      <c r="O44" s="16" t="str">
        <f t="shared" si="1"/>
        <v/>
      </c>
      <c r="P44" s="11"/>
      <c r="Q44" s="16" t="str">
        <f t="shared" si="2"/>
        <v/>
      </c>
      <c r="R44" s="16" t="str">
        <f t="shared" si="3"/>
        <v/>
      </c>
      <c r="S44" s="9" t="str">
        <f t="shared" si="4"/>
        <v/>
      </c>
      <c r="T44" s="8"/>
      <c r="U44" s="8"/>
      <c r="V44" s="8"/>
      <c r="W44" s="10"/>
    </row>
    <row r="45" spans="1:23">
      <c r="A45" s="8"/>
      <c r="B45" s="10"/>
      <c r="C45" s="8"/>
      <c r="D45" s="8"/>
      <c r="E45" s="8"/>
      <c r="F45" s="8"/>
      <c r="G45" s="8"/>
      <c r="H45" s="8"/>
      <c r="I45" s="8"/>
      <c r="J45" s="11"/>
      <c r="K45" s="11"/>
      <c r="L45" s="11"/>
      <c r="M45" s="11"/>
      <c r="N45" s="12" t="str">
        <f t="shared" si="0"/>
        <v/>
      </c>
      <c r="O45" s="16" t="str">
        <f t="shared" si="1"/>
        <v/>
      </c>
      <c r="P45" s="11"/>
      <c r="Q45" s="16" t="str">
        <f t="shared" si="2"/>
        <v/>
      </c>
      <c r="R45" s="16" t="str">
        <f t="shared" si="3"/>
        <v/>
      </c>
      <c r="S45" s="9" t="str">
        <f t="shared" si="4"/>
        <v/>
      </c>
      <c r="T45" s="8"/>
      <c r="U45" s="8"/>
      <c r="V45" s="8"/>
      <c r="W45" s="10"/>
    </row>
    <row r="46" spans="1:23">
      <c r="A46" s="8"/>
      <c r="B46" s="10"/>
      <c r="C46" s="8"/>
      <c r="D46" s="8"/>
      <c r="E46" s="8"/>
      <c r="F46" s="8"/>
      <c r="G46" s="8"/>
      <c r="H46" s="8"/>
      <c r="I46" s="8"/>
      <c r="J46" s="11"/>
      <c r="K46" s="11"/>
      <c r="L46" s="11"/>
      <c r="M46" s="11"/>
      <c r="N46" s="12" t="str">
        <f t="shared" si="0"/>
        <v/>
      </c>
      <c r="O46" s="16" t="str">
        <f t="shared" si="1"/>
        <v/>
      </c>
      <c r="P46" s="11"/>
      <c r="Q46" s="16" t="str">
        <f t="shared" si="2"/>
        <v/>
      </c>
      <c r="R46" s="16" t="str">
        <f t="shared" si="3"/>
        <v/>
      </c>
      <c r="S46" s="9" t="str">
        <f t="shared" si="4"/>
        <v/>
      </c>
      <c r="T46" s="8"/>
      <c r="U46" s="8"/>
      <c r="V46" s="8"/>
      <c r="W46" s="10"/>
    </row>
    <row r="47" spans="1:23">
      <c r="A47" s="8"/>
      <c r="B47" s="10"/>
      <c r="C47" s="8"/>
      <c r="D47" s="8"/>
      <c r="E47" s="8"/>
      <c r="F47" s="8"/>
      <c r="G47" s="8"/>
      <c r="H47" s="8"/>
      <c r="I47" s="8"/>
      <c r="J47" s="11"/>
      <c r="K47" s="11"/>
      <c r="L47" s="11"/>
      <c r="M47" s="11"/>
      <c r="N47" s="12" t="str">
        <f t="shared" si="0"/>
        <v/>
      </c>
      <c r="O47" s="16" t="str">
        <f t="shared" si="1"/>
        <v/>
      </c>
      <c r="P47" s="11"/>
      <c r="Q47" s="16" t="str">
        <f t="shared" si="2"/>
        <v/>
      </c>
      <c r="R47" s="16" t="str">
        <f t="shared" si="3"/>
        <v/>
      </c>
      <c r="S47" s="9" t="str">
        <f t="shared" si="4"/>
        <v/>
      </c>
      <c r="T47" s="8"/>
      <c r="U47" s="8"/>
      <c r="V47" s="8"/>
      <c r="W47" s="10"/>
    </row>
    <row r="48" spans="1:23">
      <c r="A48" s="8"/>
      <c r="B48" s="10"/>
      <c r="C48" s="8"/>
      <c r="D48" s="8"/>
      <c r="E48" s="8"/>
      <c r="F48" s="8"/>
      <c r="G48" s="8"/>
      <c r="H48" s="8"/>
      <c r="I48" s="8"/>
      <c r="J48" s="11"/>
      <c r="K48" s="11"/>
      <c r="L48" s="11"/>
      <c r="M48" s="11"/>
      <c r="N48" s="12" t="str">
        <f t="shared" si="0"/>
        <v/>
      </c>
      <c r="O48" s="16" t="str">
        <f t="shared" si="1"/>
        <v/>
      </c>
      <c r="P48" s="11"/>
      <c r="Q48" s="16" t="str">
        <f t="shared" si="2"/>
        <v/>
      </c>
      <c r="R48" s="16" t="str">
        <f t="shared" si="3"/>
        <v/>
      </c>
      <c r="S48" s="9" t="str">
        <f t="shared" si="4"/>
        <v/>
      </c>
      <c r="T48" s="8"/>
      <c r="U48" s="8"/>
      <c r="V48" s="8"/>
      <c r="W48" s="10"/>
    </row>
    <row r="49" spans="1:23">
      <c r="A49" s="8"/>
      <c r="B49" s="10"/>
      <c r="C49" s="8"/>
      <c r="D49" s="8"/>
      <c r="E49" s="8"/>
      <c r="F49" s="8"/>
      <c r="G49" s="8"/>
      <c r="H49" s="8"/>
      <c r="I49" s="8"/>
      <c r="J49" s="11"/>
      <c r="K49" s="11"/>
      <c r="L49" s="11"/>
      <c r="M49" s="11"/>
      <c r="N49" s="12" t="str">
        <f t="shared" si="0"/>
        <v/>
      </c>
      <c r="O49" s="16" t="str">
        <f t="shared" si="1"/>
        <v/>
      </c>
      <c r="P49" s="11"/>
      <c r="Q49" s="16" t="str">
        <f t="shared" si="2"/>
        <v/>
      </c>
      <c r="R49" s="16" t="str">
        <f t="shared" si="3"/>
        <v/>
      </c>
      <c r="S49" s="9" t="str">
        <f t="shared" si="4"/>
        <v/>
      </c>
      <c r="T49" s="8"/>
      <c r="U49" s="8"/>
      <c r="V49" s="8"/>
      <c r="W49" s="10"/>
    </row>
    <row r="50" spans="1:23">
      <c r="A50" s="8"/>
      <c r="B50" s="10"/>
      <c r="C50" s="8"/>
      <c r="D50" s="8"/>
      <c r="E50" s="8"/>
      <c r="F50" s="8"/>
      <c r="G50" s="8"/>
      <c r="H50" s="8"/>
      <c r="I50" s="8"/>
      <c r="J50" s="11"/>
      <c r="K50" s="11"/>
      <c r="L50" s="11"/>
      <c r="M50" s="11"/>
      <c r="N50" s="12" t="str">
        <f t="shared" si="0"/>
        <v/>
      </c>
      <c r="O50" s="16" t="str">
        <f t="shared" si="1"/>
        <v/>
      </c>
      <c r="P50" s="11"/>
      <c r="Q50" s="16" t="str">
        <f t="shared" si="2"/>
        <v/>
      </c>
      <c r="R50" s="16" t="str">
        <f t="shared" si="3"/>
        <v/>
      </c>
      <c r="S50" s="9" t="str">
        <f t="shared" si="4"/>
        <v/>
      </c>
      <c r="T50" s="8"/>
      <c r="U50" s="8"/>
      <c r="V50" s="8"/>
      <c r="W50" s="10"/>
    </row>
    <row r="51" spans="1:23">
      <c r="A51" s="8"/>
      <c r="B51" s="10"/>
      <c r="C51" s="8"/>
      <c r="D51" s="8"/>
      <c r="E51" s="8"/>
      <c r="F51" s="8"/>
      <c r="G51" s="8"/>
      <c r="H51" s="8"/>
      <c r="I51" s="8"/>
      <c r="J51" s="11"/>
      <c r="K51" s="11"/>
      <c r="L51" s="11"/>
      <c r="M51" s="11"/>
      <c r="N51" s="12" t="str">
        <f t="shared" si="0"/>
        <v/>
      </c>
      <c r="O51" s="16" t="str">
        <f t="shared" si="1"/>
        <v/>
      </c>
      <c r="P51" s="11"/>
      <c r="Q51" s="16" t="str">
        <f t="shared" si="2"/>
        <v/>
      </c>
      <c r="R51" s="16" t="str">
        <f t="shared" si="3"/>
        <v/>
      </c>
      <c r="S51" s="9" t="str">
        <f t="shared" si="4"/>
        <v/>
      </c>
      <c r="T51" s="8"/>
      <c r="U51" s="8"/>
      <c r="V51" s="8"/>
      <c r="W51" s="10"/>
    </row>
    <row r="52" spans="1:23">
      <c r="A52" s="8"/>
      <c r="B52" s="10"/>
      <c r="C52" s="8"/>
      <c r="D52" s="8"/>
      <c r="E52" s="8"/>
      <c r="F52" s="8"/>
      <c r="G52" s="8"/>
      <c r="H52" s="8"/>
      <c r="I52" s="8"/>
      <c r="J52" s="11"/>
      <c r="K52" s="11"/>
      <c r="L52" s="11"/>
      <c r="M52" s="11"/>
      <c r="N52" s="12" t="str">
        <f t="shared" si="0"/>
        <v/>
      </c>
      <c r="O52" s="16" t="str">
        <f t="shared" si="1"/>
        <v/>
      </c>
      <c r="P52" s="11"/>
      <c r="Q52" s="16" t="str">
        <f t="shared" si="2"/>
        <v/>
      </c>
      <c r="R52" s="16" t="str">
        <f t="shared" si="3"/>
        <v/>
      </c>
      <c r="S52" s="9" t="str">
        <f t="shared" si="4"/>
        <v/>
      </c>
      <c r="T52" s="8"/>
      <c r="U52" s="8"/>
      <c r="V52" s="8"/>
      <c r="W52" s="10"/>
    </row>
    <row r="53" spans="1:23">
      <c r="A53" s="8"/>
      <c r="B53" s="10"/>
      <c r="C53" s="8"/>
      <c r="D53" s="8"/>
      <c r="E53" s="8"/>
      <c r="F53" s="8"/>
      <c r="G53" s="8"/>
      <c r="H53" s="8"/>
      <c r="I53" s="8"/>
      <c r="J53" s="11"/>
      <c r="K53" s="11"/>
      <c r="L53" s="11"/>
      <c r="M53" s="11"/>
      <c r="N53" s="12" t="str">
        <f t="shared" si="0"/>
        <v/>
      </c>
      <c r="O53" s="16" t="str">
        <f t="shared" si="1"/>
        <v/>
      </c>
      <c r="P53" s="11"/>
      <c r="Q53" s="16" t="str">
        <f t="shared" si="2"/>
        <v/>
      </c>
      <c r="R53" s="16" t="str">
        <f t="shared" si="3"/>
        <v/>
      </c>
      <c r="S53" s="9" t="str">
        <f t="shared" si="4"/>
        <v/>
      </c>
      <c r="T53" s="8"/>
      <c r="U53" s="8"/>
      <c r="V53" s="8"/>
      <c r="W53" s="10"/>
    </row>
    <row r="54" spans="1:23">
      <c r="A54" s="8"/>
      <c r="B54" s="10"/>
      <c r="C54" s="8"/>
      <c r="D54" s="8"/>
      <c r="E54" s="8"/>
      <c r="F54" s="8"/>
      <c r="G54" s="8"/>
      <c r="H54" s="8"/>
      <c r="I54" s="8"/>
      <c r="J54" s="11"/>
      <c r="K54" s="11"/>
      <c r="L54" s="11"/>
      <c r="M54" s="11"/>
      <c r="N54" s="12" t="str">
        <f t="shared" si="0"/>
        <v/>
      </c>
      <c r="O54" s="16" t="str">
        <f t="shared" si="1"/>
        <v/>
      </c>
      <c r="P54" s="11"/>
      <c r="Q54" s="16" t="str">
        <f t="shared" si="2"/>
        <v/>
      </c>
      <c r="R54" s="16" t="str">
        <f t="shared" si="3"/>
        <v/>
      </c>
      <c r="S54" s="9" t="str">
        <f t="shared" si="4"/>
        <v/>
      </c>
      <c r="T54" s="8"/>
      <c r="U54" s="8"/>
      <c r="V54" s="8"/>
      <c r="W54" s="10"/>
    </row>
    <row r="55" spans="1:23">
      <c r="A55" s="8"/>
      <c r="B55" s="10"/>
      <c r="C55" s="8"/>
      <c r="D55" s="8"/>
      <c r="E55" s="8"/>
      <c r="F55" s="8"/>
      <c r="G55" s="8"/>
      <c r="H55" s="8"/>
      <c r="I55" s="8"/>
      <c r="J55" s="11"/>
      <c r="K55" s="11"/>
      <c r="L55" s="11"/>
      <c r="M55" s="11"/>
      <c r="N55" s="12" t="str">
        <f t="shared" si="0"/>
        <v/>
      </c>
      <c r="O55" s="16" t="str">
        <f t="shared" si="1"/>
        <v/>
      </c>
      <c r="P55" s="11"/>
      <c r="Q55" s="16" t="str">
        <f t="shared" si="2"/>
        <v/>
      </c>
      <c r="R55" s="16" t="str">
        <f t="shared" si="3"/>
        <v/>
      </c>
      <c r="S55" s="9" t="str">
        <f t="shared" si="4"/>
        <v/>
      </c>
      <c r="T55" s="8"/>
      <c r="U55" s="8"/>
      <c r="V55" s="8"/>
      <c r="W55" s="10"/>
    </row>
    <row r="56" spans="1:23">
      <c r="A56" s="8"/>
      <c r="B56" s="10"/>
      <c r="C56" s="8"/>
      <c r="D56" s="8"/>
      <c r="E56" s="8"/>
      <c r="F56" s="8"/>
      <c r="G56" s="8"/>
      <c r="H56" s="8"/>
      <c r="I56" s="8"/>
      <c r="J56" s="11"/>
      <c r="K56" s="11"/>
      <c r="L56" s="11"/>
      <c r="M56" s="11"/>
      <c r="N56" s="12" t="str">
        <f t="shared" si="0"/>
        <v/>
      </c>
      <c r="O56" s="16" t="str">
        <f t="shared" si="1"/>
        <v/>
      </c>
      <c r="P56" s="11"/>
      <c r="Q56" s="16" t="str">
        <f t="shared" si="2"/>
        <v/>
      </c>
      <c r="R56" s="16" t="str">
        <f t="shared" si="3"/>
        <v/>
      </c>
      <c r="S56" s="9" t="str">
        <f t="shared" si="4"/>
        <v/>
      </c>
      <c r="T56" s="8"/>
      <c r="U56" s="8"/>
      <c r="V56" s="8"/>
      <c r="W56" s="10"/>
    </row>
    <row r="57" spans="1:23">
      <c r="A57" s="8"/>
      <c r="B57" s="10"/>
      <c r="C57" s="8"/>
      <c r="D57" s="8"/>
      <c r="E57" s="8"/>
      <c r="F57" s="8"/>
      <c r="G57" s="8"/>
      <c r="H57" s="8"/>
      <c r="I57" s="8"/>
      <c r="J57" s="11"/>
      <c r="K57" s="11"/>
      <c r="L57" s="11"/>
      <c r="M57" s="11"/>
      <c r="N57" s="12" t="str">
        <f t="shared" si="0"/>
        <v/>
      </c>
      <c r="O57" s="16" t="str">
        <f t="shared" si="1"/>
        <v/>
      </c>
      <c r="P57" s="11"/>
      <c r="Q57" s="16" t="str">
        <f t="shared" si="2"/>
        <v/>
      </c>
      <c r="R57" s="16" t="str">
        <f t="shared" si="3"/>
        <v/>
      </c>
      <c r="S57" s="9" t="str">
        <f t="shared" si="4"/>
        <v/>
      </c>
      <c r="T57" s="8"/>
      <c r="U57" s="8"/>
      <c r="V57" s="8"/>
      <c r="W57" s="10"/>
    </row>
    <row r="58" spans="1:23">
      <c r="A58" s="8"/>
      <c r="B58" s="10"/>
      <c r="C58" s="8"/>
      <c r="D58" s="8"/>
      <c r="E58" s="8"/>
      <c r="F58" s="8"/>
      <c r="G58" s="8"/>
      <c r="H58" s="8"/>
      <c r="I58" s="8"/>
      <c r="J58" s="11"/>
      <c r="K58" s="11"/>
      <c r="L58" s="11"/>
      <c r="M58" s="11"/>
      <c r="N58" s="12" t="str">
        <f t="shared" si="0"/>
        <v/>
      </c>
      <c r="O58" s="16" t="str">
        <f t="shared" si="1"/>
        <v/>
      </c>
      <c r="P58" s="11"/>
      <c r="Q58" s="16" t="str">
        <f t="shared" si="2"/>
        <v/>
      </c>
      <c r="R58" s="16" t="str">
        <f t="shared" si="3"/>
        <v/>
      </c>
      <c r="S58" s="9" t="str">
        <f t="shared" si="4"/>
        <v/>
      </c>
      <c r="T58" s="8"/>
      <c r="U58" s="8"/>
      <c r="V58" s="8"/>
      <c r="W58" s="10"/>
    </row>
    <row r="59" spans="1:23">
      <c r="A59" s="8"/>
      <c r="B59" s="10"/>
      <c r="C59" s="8"/>
      <c r="D59" s="8"/>
      <c r="E59" s="8"/>
      <c r="F59" s="8"/>
      <c r="G59" s="8"/>
      <c r="H59" s="8"/>
      <c r="I59" s="8"/>
      <c r="J59" s="11"/>
      <c r="K59" s="11"/>
      <c r="L59" s="11"/>
      <c r="M59" s="11"/>
      <c r="N59" s="12" t="str">
        <f t="shared" si="0"/>
        <v/>
      </c>
      <c r="O59" s="16" t="str">
        <f t="shared" si="1"/>
        <v/>
      </c>
      <c r="P59" s="11"/>
      <c r="Q59" s="16" t="str">
        <f t="shared" si="2"/>
        <v/>
      </c>
      <c r="R59" s="16" t="str">
        <f t="shared" si="3"/>
        <v/>
      </c>
      <c r="S59" s="9" t="str">
        <f t="shared" si="4"/>
        <v/>
      </c>
      <c r="T59" s="8"/>
      <c r="U59" s="8"/>
      <c r="V59" s="8"/>
      <c r="W59" s="10"/>
    </row>
    <row r="60" spans="1:23">
      <c r="A60" s="8"/>
      <c r="B60" s="10"/>
      <c r="C60" s="8"/>
      <c r="D60" s="8"/>
      <c r="E60" s="8"/>
      <c r="F60" s="8"/>
      <c r="G60" s="8"/>
      <c r="H60" s="8"/>
      <c r="I60" s="8"/>
      <c r="J60" s="11"/>
      <c r="K60" s="11"/>
      <c r="L60" s="11"/>
      <c r="M60" s="11"/>
      <c r="N60" s="12" t="str">
        <f t="shared" si="0"/>
        <v/>
      </c>
      <c r="O60" s="16" t="str">
        <f t="shared" si="1"/>
        <v/>
      </c>
      <c r="P60" s="11"/>
      <c r="Q60" s="16" t="str">
        <f t="shared" si="2"/>
        <v/>
      </c>
      <c r="R60" s="16" t="str">
        <f t="shared" si="3"/>
        <v/>
      </c>
      <c r="S60" s="9" t="str">
        <f t="shared" si="4"/>
        <v/>
      </c>
      <c r="T60" s="8"/>
      <c r="U60" s="8"/>
      <c r="V60" s="8"/>
      <c r="W60" s="10"/>
    </row>
    <row r="61" spans="1:23">
      <c r="A61" s="8"/>
      <c r="B61" s="10"/>
      <c r="C61" s="8"/>
      <c r="D61" s="8"/>
      <c r="E61" s="8"/>
      <c r="F61" s="8"/>
      <c r="G61" s="8"/>
      <c r="H61" s="8"/>
      <c r="I61" s="8"/>
      <c r="J61" s="11"/>
      <c r="K61" s="11"/>
      <c r="L61" s="11"/>
      <c r="M61" s="11"/>
      <c r="N61" s="12" t="str">
        <f t="shared" si="0"/>
        <v/>
      </c>
      <c r="O61" s="16" t="str">
        <f t="shared" si="1"/>
        <v/>
      </c>
      <c r="P61" s="11"/>
      <c r="Q61" s="16" t="str">
        <f t="shared" si="2"/>
        <v/>
      </c>
      <c r="R61" s="16" t="str">
        <f t="shared" si="3"/>
        <v/>
      </c>
      <c r="S61" s="9" t="str">
        <f t="shared" si="4"/>
        <v/>
      </c>
      <c r="T61" s="8"/>
      <c r="U61" s="8"/>
      <c r="V61" s="8"/>
      <c r="W61" s="10"/>
    </row>
    <row r="62" spans="1:23">
      <c r="A62" s="8"/>
      <c r="B62" s="10"/>
      <c r="C62" s="8"/>
      <c r="D62" s="8"/>
      <c r="E62" s="8"/>
      <c r="F62" s="8"/>
      <c r="G62" s="8"/>
      <c r="H62" s="8"/>
      <c r="I62" s="8"/>
      <c r="J62" s="11"/>
      <c r="K62" s="11"/>
      <c r="L62" s="11"/>
      <c r="M62" s="11"/>
      <c r="N62" s="12" t="str">
        <f t="shared" si="0"/>
        <v/>
      </c>
      <c r="O62" s="16" t="str">
        <f t="shared" si="1"/>
        <v/>
      </c>
      <c r="P62" s="11"/>
      <c r="Q62" s="16" t="str">
        <f t="shared" si="2"/>
        <v/>
      </c>
      <c r="R62" s="16" t="str">
        <f t="shared" si="3"/>
        <v/>
      </c>
      <c r="S62" s="9" t="str">
        <f t="shared" si="4"/>
        <v/>
      </c>
      <c r="T62" s="8"/>
      <c r="U62" s="8"/>
      <c r="V62" s="8"/>
      <c r="W62" s="10"/>
    </row>
    <row r="63" spans="1:23">
      <c r="A63" s="8"/>
      <c r="B63" s="10"/>
      <c r="C63" s="8"/>
      <c r="D63" s="8"/>
      <c r="E63" s="8"/>
      <c r="F63" s="8"/>
      <c r="G63" s="8"/>
      <c r="H63" s="8"/>
      <c r="I63" s="8"/>
      <c r="J63" s="11"/>
      <c r="K63" s="11"/>
      <c r="L63" s="11"/>
      <c r="M63" s="11"/>
      <c r="N63" s="12" t="str">
        <f t="shared" si="0"/>
        <v/>
      </c>
      <c r="O63" s="16" t="str">
        <f t="shared" si="1"/>
        <v/>
      </c>
      <c r="P63" s="11"/>
      <c r="Q63" s="16" t="str">
        <f t="shared" si="2"/>
        <v/>
      </c>
      <c r="R63" s="16" t="str">
        <f t="shared" si="3"/>
        <v/>
      </c>
      <c r="S63" s="9" t="str">
        <f t="shared" si="4"/>
        <v/>
      </c>
      <c r="T63" s="8"/>
      <c r="U63" s="8"/>
      <c r="V63" s="8"/>
      <c r="W63" s="10"/>
    </row>
    <row r="64" spans="1:23">
      <c r="A64" s="8"/>
      <c r="B64" s="10"/>
      <c r="C64" s="8"/>
      <c r="D64" s="8"/>
      <c r="E64" s="8"/>
      <c r="F64" s="8"/>
      <c r="G64" s="8"/>
      <c r="H64" s="8"/>
      <c r="I64" s="8"/>
      <c r="J64" s="11"/>
      <c r="K64" s="11"/>
      <c r="L64" s="11"/>
      <c r="M64" s="11"/>
      <c r="N64" s="12" t="str">
        <f t="shared" si="0"/>
        <v/>
      </c>
      <c r="O64" s="16" t="str">
        <f t="shared" si="1"/>
        <v/>
      </c>
      <c r="P64" s="11"/>
      <c r="Q64" s="16" t="str">
        <f t="shared" si="2"/>
        <v/>
      </c>
      <c r="R64" s="16" t="str">
        <f t="shared" si="3"/>
        <v/>
      </c>
      <c r="S64" s="9" t="str">
        <f t="shared" si="4"/>
        <v/>
      </c>
      <c r="T64" s="8"/>
      <c r="U64" s="8"/>
      <c r="V64" s="8"/>
      <c r="W64" s="10"/>
    </row>
    <row r="65" spans="1:23">
      <c r="A65" s="8"/>
      <c r="B65" s="10"/>
      <c r="C65" s="8"/>
      <c r="D65" s="8"/>
      <c r="E65" s="8"/>
      <c r="F65" s="8"/>
      <c r="G65" s="8"/>
      <c r="H65" s="8"/>
      <c r="I65" s="8"/>
      <c r="J65" s="11"/>
      <c r="K65" s="11"/>
      <c r="L65" s="11"/>
      <c r="M65" s="11"/>
      <c r="N65" s="12" t="str">
        <f t="shared" si="0"/>
        <v/>
      </c>
      <c r="O65" s="16" t="str">
        <f t="shared" si="1"/>
        <v/>
      </c>
      <c r="P65" s="11"/>
      <c r="Q65" s="16" t="str">
        <f t="shared" si="2"/>
        <v/>
      </c>
      <c r="R65" s="16" t="str">
        <f t="shared" si="3"/>
        <v/>
      </c>
      <c r="S65" s="9" t="str">
        <f t="shared" si="4"/>
        <v/>
      </c>
      <c r="T65" s="8"/>
      <c r="U65" s="8"/>
      <c r="V65" s="8"/>
      <c r="W65" s="10"/>
    </row>
    <row r="66" spans="1:23">
      <c r="A66" s="8"/>
      <c r="B66" s="10"/>
      <c r="C66" s="8"/>
      <c r="D66" s="8"/>
      <c r="E66" s="8"/>
      <c r="F66" s="8"/>
      <c r="G66" s="8"/>
      <c r="H66" s="8"/>
      <c r="I66" s="8"/>
      <c r="J66" s="11"/>
      <c r="K66" s="11"/>
      <c r="L66" s="11"/>
      <c r="M66" s="11"/>
      <c r="N66" s="12" t="str">
        <f t="shared" si="0"/>
        <v/>
      </c>
      <c r="O66" s="16" t="str">
        <f t="shared" si="1"/>
        <v/>
      </c>
      <c r="P66" s="11"/>
      <c r="Q66" s="16" t="str">
        <f t="shared" si="2"/>
        <v/>
      </c>
      <c r="R66" s="16" t="str">
        <f t="shared" si="3"/>
        <v/>
      </c>
      <c r="S66" s="9" t="str">
        <f t="shared" si="4"/>
        <v/>
      </c>
      <c r="T66" s="8"/>
      <c r="U66" s="8"/>
      <c r="V66" s="8"/>
      <c r="W66" s="10"/>
    </row>
    <row r="67" spans="1:23">
      <c r="A67" s="8"/>
      <c r="B67" s="10"/>
      <c r="C67" s="8"/>
      <c r="D67" s="8"/>
      <c r="E67" s="8"/>
      <c r="F67" s="8"/>
      <c r="G67" s="8"/>
      <c r="H67" s="8"/>
      <c r="I67" s="8"/>
      <c r="J67" s="11"/>
      <c r="K67" s="11"/>
      <c r="L67" s="11"/>
      <c r="M67" s="11"/>
      <c r="N67" s="12" t="str">
        <f t="shared" si="0"/>
        <v/>
      </c>
      <c r="O67" s="16" t="str">
        <f t="shared" si="1"/>
        <v/>
      </c>
      <c r="P67" s="11"/>
      <c r="Q67" s="16" t="str">
        <f t="shared" si="2"/>
        <v/>
      </c>
      <c r="R67" s="16" t="str">
        <f t="shared" si="3"/>
        <v/>
      </c>
      <c r="S67" s="9" t="str">
        <f t="shared" si="4"/>
        <v/>
      </c>
      <c r="T67" s="8"/>
      <c r="U67" s="8"/>
      <c r="V67" s="8"/>
      <c r="W67" s="10"/>
    </row>
    <row r="68" spans="1:23">
      <c r="A68" s="8"/>
      <c r="B68" s="10"/>
      <c r="C68" s="8"/>
      <c r="D68" s="8"/>
      <c r="E68" s="8"/>
      <c r="F68" s="8"/>
      <c r="G68" s="8"/>
      <c r="H68" s="8"/>
      <c r="I68" s="8"/>
      <c r="J68" s="11"/>
      <c r="K68" s="11"/>
      <c r="L68" s="11"/>
      <c r="M68" s="11"/>
      <c r="N68" s="12" t="str">
        <f t="shared" si="0"/>
        <v/>
      </c>
      <c r="O68" s="16" t="str">
        <f t="shared" si="1"/>
        <v/>
      </c>
      <c r="P68" s="11"/>
      <c r="Q68" s="16" t="str">
        <f t="shared" si="2"/>
        <v/>
      </c>
      <c r="R68" s="16" t="str">
        <f t="shared" si="3"/>
        <v/>
      </c>
      <c r="S68" s="9" t="str">
        <f t="shared" si="4"/>
        <v/>
      </c>
      <c r="T68" s="8"/>
      <c r="U68" s="8"/>
      <c r="V68" s="8"/>
      <c r="W68" s="10"/>
    </row>
    <row r="69" spans="1:23">
      <c r="A69" s="8"/>
      <c r="B69" s="10"/>
      <c r="C69" s="8"/>
      <c r="D69" s="8"/>
      <c r="E69" s="8"/>
      <c r="F69" s="8"/>
      <c r="G69" s="8"/>
      <c r="H69" s="8"/>
      <c r="I69" s="8"/>
      <c r="J69" s="11"/>
      <c r="K69" s="11"/>
      <c r="L69" s="11"/>
      <c r="M69" s="11"/>
      <c r="N69" s="12" t="str">
        <f t="shared" ref="N69:N132" si="5">IF(A69="","",SUM(K69:M69))</f>
        <v/>
      </c>
      <c r="O69" s="16" t="str">
        <f t="shared" ref="O69:O132" si="6">IF(OR(A69="",J69=0),"",N69/J69)</f>
        <v/>
      </c>
      <c r="P69" s="11"/>
      <c r="Q69" s="16" t="str">
        <f t="shared" ref="Q69:Q132" si="7">IF(OR(A69="",J69=0),"",P69/J69)</f>
        <v/>
      </c>
      <c r="R69" s="16" t="str">
        <f t="shared" ref="R69:R132" si="8">IF(A69="","",0.05)</f>
        <v/>
      </c>
      <c r="S69" s="9" t="str">
        <f t="shared" ref="S69:S132" si="9">IF(A69="","",IF(OR(K69&gt;0,Q69&gt;R69),"Failed","Passed"))</f>
        <v/>
      </c>
      <c r="T69" s="8"/>
      <c r="U69" s="8"/>
      <c r="V69" s="8"/>
      <c r="W69" s="10"/>
    </row>
    <row r="70" spans="1:23">
      <c r="A70" s="8"/>
      <c r="B70" s="10"/>
      <c r="C70" s="8"/>
      <c r="D70" s="8"/>
      <c r="E70" s="8"/>
      <c r="F70" s="8"/>
      <c r="G70" s="8"/>
      <c r="H70" s="8"/>
      <c r="I70" s="8"/>
      <c r="J70" s="11"/>
      <c r="K70" s="11"/>
      <c r="L70" s="11"/>
      <c r="M70" s="11"/>
      <c r="N70" s="12" t="str">
        <f t="shared" si="5"/>
        <v/>
      </c>
      <c r="O70" s="16" t="str">
        <f t="shared" si="6"/>
        <v/>
      </c>
      <c r="P70" s="11"/>
      <c r="Q70" s="16" t="str">
        <f t="shared" si="7"/>
        <v/>
      </c>
      <c r="R70" s="16" t="str">
        <f t="shared" si="8"/>
        <v/>
      </c>
      <c r="S70" s="9" t="str">
        <f t="shared" si="9"/>
        <v/>
      </c>
      <c r="T70" s="8"/>
      <c r="U70" s="8"/>
      <c r="V70" s="8"/>
      <c r="W70" s="10"/>
    </row>
    <row r="71" spans="1:23">
      <c r="A71" s="8"/>
      <c r="B71" s="10"/>
      <c r="C71" s="8"/>
      <c r="D71" s="8"/>
      <c r="E71" s="8"/>
      <c r="F71" s="8"/>
      <c r="G71" s="8"/>
      <c r="H71" s="8"/>
      <c r="I71" s="8"/>
      <c r="J71" s="11"/>
      <c r="K71" s="11"/>
      <c r="L71" s="11"/>
      <c r="M71" s="11"/>
      <c r="N71" s="12" t="str">
        <f t="shared" si="5"/>
        <v/>
      </c>
      <c r="O71" s="16" t="str">
        <f t="shared" si="6"/>
        <v/>
      </c>
      <c r="P71" s="11"/>
      <c r="Q71" s="16" t="str">
        <f t="shared" si="7"/>
        <v/>
      </c>
      <c r="R71" s="16" t="str">
        <f t="shared" si="8"/>
        <v/>
      </c>
      <c r="S71" s="9" t="str">
        <f t="shared" si="9"/>
        <v/>
      </c>
      <c r="T71" s="8"/>
      <c r="U71" s="8"/>
      <c r="V71" s="8"/>
      <c r="W71" s="10"/>
    </row>
    <row r="72" spans="1:23">
      <c r="A72" s="8"/>
      <c r="B72" s="10"/>
      <c r="C72" s="8"/>
      <c r="D72" s="8"/>
      <c r="E72" s="8"/>
      <c r="F72" s="8"/>
      <c r="G72" s="8"/>
      <c r="H72" s="8"/>
      <c r="I72" s="8"/>
      <c r="J72" s="11"/>
      <c r="K72" s="11"/>
      <c r="L72" s="11"/>
      <c r="M72" s="11"/>
      <c r="N72" s="12" t="str">
        <f t="shared" si="5"/>
        <v/>
      </c>
      <c r="O72" s="16" t="str">
        <f t="shared" si="6"/>
        <v/>
      </c>
      <c r="P72" s="11"/>
      <c r="Q72" s="16" t="str">
        <f t="shared" si="7"/>
        <v/>
      </c>
      <c r="R72" s="16" t="str">
        <f t="shared" si="8"/>
        <v/>
      </c>
      <c r="S72" s="9" t="str">
        <f t="shared" si="9"/>
        <v/>
      </c>
      <c r="T72" s="8"/>
      <c r="U72" s="8"/>
      <c r="V72" s="8"/>
      <c r="W72" s="10"/>
    </row>
    <row r="73" spans="1:23">
      <c r="A73" s="8"/>
      <c r="B73" s="10"/>
      <c r="C73" s="8"/>
      <c r="D73" s="8"/>
      <c r="E73" s="8"/>
      <c r="F73" s="8"/>
      <c r="G73" s="8"/>
      <c r="H73" s="8"/>
      <c r="I73" s="8"/>
      <c r="J73" s="11"/>
      <c r="K73" s="11"/>
      <c r="L73" s="11"/>
      <c r="M73" s="11"/>
      <c r="N73" s="12" t="str">
        <f t="shared" si="5"/>
        <v/>
      </c>
      <c r="O73" s="16" t="str">
        <f t="shared" si="6"/>
        <v/>
      </c>
      <c r="P73" s="11"/>
      <c r="Q73" s="16" t="str">
        <f t="shared" si="7"/>
        <v/>
      </c>
      <c r="R73" s="16" t="str">
        <f t="shared" si="8"/>
        <v/>
      </c>
      <c r="S73" s="9" t="str">
        <f t="shared" si="9"/>
        <v/>
      </c>
      <c r="T73" s="8"/>
      <c r="U73" s="8"/>
      <c r="V73" s="8"/>
      <c r="W73" s="10"/>
    </row>
    <row r="74" spans="1:23">
      <c r="A74" s="8"/>
      <c r="B74" s="10"/>
      <c r="C74" s="8"/>
      <c r="D74" s="8"/>
      <c r="E74" s="8"/>
      <c r="F74" s="8"/>
      <c r="G74" s="8"/>
      <c r="H74" s="8"/>
      <c r="I74" s="8"/>
      <c r="J74" s="11"/>
      <c r="K74" s="11"/>
      <c r="L74" s="11"/>
      <c r="M74" s="11"/>
      <c r="N74" s="12" t="str">
        <f t="shared" si="5"/>
        <v/>
      </c>
      <c r="O74" s="16" t="str">
        <f t="shared" si="6"/>
        <v/>
      </c>
      <c r="P74" s="11"/>
      <c r="Q74" s="16" t="str">
        <f t="shared" si="7"/>
        <v/>
      </c>
      <c r="R74" s="16" t="str">
        <f t="shared" si="8"/>
        <v/>
      </c>
      <c r="S74" s="9" t="str">
        <f t="shared" si="9"/>
        <v/>
      </c>
      <c r="T74" s="8"/>
      <c r="U74" s="8"/>
      <c r="V74" s="8"/>
      <c r="W74" s="10"/>
    </row>
    <row r="75" spans="1:23">
      <c r="A75" s="8"/>
      <c r="B75" s="10"/>
      <c r="C75" s="8"/>
      <c r="D75" s="8"/>
      <c r="E75" s="8"/>
      <c r="F75" s="8"/>
      <c r="G75" s="8"/>
      <c r="H75" s="8"/>
      <c r="I75" s="8"/>
      <c r="J75" s="11"/>
      <c r="K75" s="11"/>
      <c r="L75" s="11"/>
      <c r="M75" s="11"/>
      <c r="N75" s="12" t="str">
        <f t="shared" si="5"/>
        <v/>
      </c>
      <c r="O75" s="16" t="str">
        <f t="shared" si="6"/>
        <v/>
      </c>
      <c r="P75" s="11"/>
      <c r="Q75" s="16" t="str">
        <f t="shared" si="7"/>
        <v/>
      </c>
      <c r="R75" s="16" t="str">
        <f t="shared" si="8"/>
        <v/>
      </c>
      <c r="S75" s="9" t="str">
        <f t="shared" si="9"/>
        <v/>
      </c>
      <c r="T75" s="8"/>
      <c r="U75" s="8"/>
      <c r="V75" s="8"/>
      <c r="W75" s="10"/>
    </row>
    <row r="76" spans="1:23">
      <c r="A76" s="8"/>
      <c r="B76" s="10"/>
      <c r="C76" s="8"/>
      <c r="D76" s="8"/>
      <c r="E76" s="8"/>
      <c r="F76" s="8"/>
      <c r="G76" s="8"/>
      <c r="H76" s="8"/>
      <c r="I76" s="8"/>
      <c r="J76" s="11"/>
      <c r="K76" s="11"/>
      <c r="L76" s="11"/>
      <c r="M76" s="11"/>
      <c r="N76" s="12" t="str">
        <f t="shared" si="5"/>
        <v/>
      </c>
      <c r="O76" s="16" t="str">
        <f t="shared" si="6"/>
        <v/>
      </c>
      <c r="P76" s="11"/>
      <c r="Q76" s="16" t="str">
        <f t="shared" si="7"/>
        <v/>
      </c>
      <c r="R76" s="16" t="str">
        <f t="shared" si="8"/>
        <v/>
      </c>
      <c r="S76" s="9" t="str">
        <f t="shared" si="9"/>
        <v/>
      </c>
      <c r="T76" s="8"/>
      <c r="U76" s="8"/>
      <c r="V76" s="8"/>
      <c r="W76" s="10"/>
    </row>
    <row r="77" spans="1:23">
      <c r="A77" s="8"/>
      <c r="B77" s="10"/>
      <c r="C77" s="8"/>
      <c r="D77" s="8"/>
      <c r="E77" s="8"/>
      <c r="F77" s="8"/>
      <c r="G77" s="8"/>
      <c r="H77" s="8"/>
      <c r="I77" s="8"/>
      <c r="J77" s="11"/>
      <c r="K77" s="11"/>
      <c r="L77" s="11"/>
      <c r="M77" s="11"/>
      <c r="N77" s="12" t="str">
        <f t="shared" si="5"/>
        <v/>
      </c>
      <c r="O77" s="16" t="str">
        <f t="shared" si="6"/>
        <v/>
      </c>
      <c r="P77" s="11"/>
      <c r="Q77" s="16" t="str">
        <f t="shared" si="7"/>
        <v/>
      </c>
      <c r="R77" s="16" t="str">
        <f t="shared" si="8"/>
        <v/>
      </c>
      <c r="S77" s="9" t="str">
        <f t="shared" si="9"/>
        <v/>
      </c>
      <c r="T77" s="8"/>
      <c r="U77" s="8"/>
      <c r="V77" s="8"/>
      <c r="W77" s="10"/>
    </row>
    <row r="78" spans="1:23">
      <c r="A78" s="8"/>
      <c r="B78" s="10"/>
      <c r="C78" s="8"/>
      <c r="D78" s="8"/>
      <c r="E78" s="8"/>
      <c r="F78" s="8"/>
      <c r="G78" s="8"/>
      <c r="H78" s="8"/>
      <c r="I78" s="8"/>
      <c r="J78" s="11"/>
      <c r="K78" s="11"/>
      <c r="L78" s="11"/>
      <c r="M78" s="11"/>
      <c r="N78" s="12" t="str">
        <f t="shared" si="5"/>
        <v/>
      </c>
      <c r="O78" s="16" t="str">
        <f t="shared" si="6"/>
        <v/>
      </c>
      <c r="P78" s="11"/>
      <c r="Q78" s="16" t="str">
        <f t="shared" si="7"/>
        <v/>
      </c>
      <c r="R78" s="16" t="str">
        <f t="shared" si="8"/>
        <v/>
      </c>
      <c r="S78" s="9" t="str">
        <f t="shared" si="9"/>
        <v/>
      </c>
      <c r="T78" s="8"/>
      <c r="U78" s="8"/>
      <c r="V78" s="8"/>
      <c r="W78" s="10"/>
    </row>
    <row r="79" spans="1:23">
      <c r="A79" s="8"/>
      <c r="B79" s="10"/>
      <c r="C79" s="8"/>
      <c r="D79" s="8"/>
      <c r="E79" s="8"/>
      <c r="F79" s="8"/>
      <c r="G79" s="8"/>
      <c r="H79" s="8"/>
      <c r="I79" s="8"/>
      <c r="J79" s="11"/>
      <c r="K79" s="11"/>
      <c r="L79" s="11"/>
      <c r="M79" s="11"/>
      <c r="N79" s="12" t="str">
        <f t="shared" si="5"/>
        <v/>
      </c>
      <c r="O79" s="16" t="str">
        <f t="shared" si="6"/>
        <v/>
      </c>
      <c r="P79" s="11"/>
      <c r="Q79" s="16" t="str">
        <f t="shared" si="7"/>
        <v/>
      </c>
      <c r="R79" s="16" t="str">
        <f t="shared" si="8"/>
        <v/>
      </c>
      <c r="S79" s="9" t="str">
        <f t="shared" si="9"/>
        <v/>
      </c>
      <c r="T79" s="8"/>
      <c r="U79" s="8"/>
      <c r="V79" s="8"/>
      <c r="W79" s="10"/>
    </row>
    <row r="80" spans="1:23">
      <c r="A80" s="8"/>
      <c r="B80" s="10"/>
      <c r="C80" s="8"/>
      <c r="D80" s="8"/>
      <c r="E80" s="8"/>
      <c r="F80" s="8"/>
      <c r="G80" s="8"/>
      <c r="H80" s="8"/>
      <c r="I80" s="8"/>
      <c r="J80" s="11"/>
      <c r="K80" s="11"/>
      <c r="L80" s="11"/>
      <c r="M80" s="11"/>
      <c r="N80" s="12" t="str">
        <f t="shared" si="5"/>
        <v/>
      </c>
      <c r="O80" s="16" t="str">
        <f t="shared" si="6"/>
        <v/>
      </c>
      <c r="P80" s="11"/>
      <c r="Q80" s="16" t="str">
        <f t="shared" si="7"/>
        <v/>
      </c>
      <c r="R80" s="16" t="str">
        <f t="shared" si="8"/>
        <v/>
      </c>
      <c r="S80" s="9" t="str">
        <f t="shared" si="9"/>
        <v/>
      </c>
      <c r="T80" s="8"/>
      <c r="U80" s="8"/>
      <c r="V80" s="8"/>
      <c r="W80" s="10"/>
    </row>
    <row r="81" spans="1:23">
      <c r="A81" s="8"/>
      <c r="B81" s="10"/>
      <c r="C81" s="8"/>
      <c r="D81" s="8"/>
      <c r="E81" s="8"/>
      <c r="F81" s="8"/>
      <c r="G81" s="8"/>
      <c r="H81" s="8"/>
      <c r="I81" s="8"/>
      <c r="J81" s="11"/>
      <c r="K81" s="11"/>
      <c r="L81" s="11"/>
      <c r="M81" s="11"/>
      <c r="N81" s="12" t="str">
        <f t="shared" si="5"/>
        <v/>
      </c>
      <c r="O81" s="16" t="str">
        <f t="shared" si="6"/>
        <v/>
      </c>
      <c r="P81" s="11"/>
      <c r="Q81" s="16" t="str">
        <f t="shared" si="7"/>
        <v/>
      </c>
      <c r="R81" s="16" t="str">
        <f t="shared" si="8"/>
        <v/>
      </c>
      <c r="S81" s="9" t="str">
        <f t="shared" si="9"/>
        <v/>
      </c>
      <c r="T81" s="8"/>
      <c r="U81" s="8"/>
      <c r="V81" s="8"/>
      <c r="W81" s="10"/>
    </row>
    <row r="82" spans="1:23">
      <c r="A82" s="8"/>
      <c r="B82" s="10"/>
      <c r="C82" s="8"/>
      <c r="D82" s="8"/>
      <c r="E82" s="8"/>
      <c r="F82" s="8"/>
      <c r="G82" s="8"/>
      <c r="H82" s="8"/>
      <c r="I82" s="8"/>
      <c r="J82" s="11"/>
      <c r="K82" s="11"/>
      <c r="L82" s="11"/>
      <c r="M82" s="11"/>
      <c r="N82" s="12" t="str">
        <f t="shared" si="5"/>
        <v/>
      </c>
      <c r="O82" s="16" t="str">
        <f t="shared" si="6"/>
        <v/>
      </c>
      <c r="P82" s="11"/>
      <c r="Q82" s="16" t="str">
        <f t="shared" si="7"/>
        <v/>
      </c>
      <c r="R82" s="16" t="str">
        <f t="shared" si="8"/>
        <v/>
      </c>
      <c r="S82" s="9" t="str">
        <f t="shared" si="9"/>
        <v/>
      </c>
      <c r="T82" s="8"/>
      <c r="U82" s="8"/>
      <c r="V82" s="8"/>
      <c r="W82" s="10"/>
    </row>
    <row r="83" spans="1:23">
      <c r="A83" s="8"/>
      <c r="B83" s="10"/>
      <c r="C83" s="8"/>
      <c r="D83" s="8"/>
      <c r="E83" s="8"/>
      <c r="F83" s="8"/>
      <c r="G83" s="8"/>
      <c r="H83" s="8"/>
      <c r="I83" s="8"/>
      <c r="J83" s="11"/>
      <c r="K83" s="11"/>
      <c r="L83" s="11"/>
      <c r="M83" s="11"/>
      <c r="N83" s="12" t="str">
        <f t="shared" si="5"/>
        <v/>
      </c>
      <c r="O83" s="16" t="str">
        <f t="shared" si="6"/>
        <v/>
      </c>
      <c r="P83" s="11"/>
      <c r="Q83" s="16" t="str">
        <f t="shared" si="7"/>
        <v/>
      </c>
      <c r="R83" s="16" t="str">
        <f t="shared" si="8"/>
        <v/>
      </c>
      <c r="S83" s="9" t="str">
        <f t="shared" si="9"/>
        <v/>
      </c>
      <c r="T83" s="8"/>
      <c r="U83" s="8"/>
      <c r="V83" s="8"/>
      <c r="W83" s="10"/>
    </row>
    <row r="84" spans="1:23">
      <c r="A84" s="8"/>
      <c r="B84" s="10"/>
      <c r="C84" s="8"/>
      <c r="D84" s="8"/>
      <c r="E84" s="8"/>
      <c r="F84" s="8"/>
      <c r="G84" s="8"/>
      <c r="H84" s="8"/>
      <c r="I84" s="8"/>
      <c r="J84" s="11"/>
      <c r="K84" s="11"/>
      <c r="L84" s="11"/>
      <c r="M84" s="11"/>
      <c r="N84" s="12" t="str">
        <f t="shared" si="5"/>
        <v/>
      </c>
      <c r="O84" s="16" t="str">
        <f t="shared" si="6"/>
        <v/>
      </c>
      <c r="P84" s="11"/>
      <c r="Q84" s="16" t="str">
        <f t="shared" si="7"/>
        <v/>
      </c>
      <c r="R84" s="16" t="str">
        <f t="shared" si="8"/>
        <v/>
      </c>
      <c r="S84" s="9" t="str">
        <f t="shared" si="9"/>
        <v/>
      </c>
      <c r="T84" s="8"/>
      <c r="U84" s="8"/>
      <c r="V84" s="8"/>
      <c r="W84" s="10"/>
    </row>
    <row r="85" spans="1:23">
      <c r="A85" s="8"/>
      <c r="B85" s="10"/>
      <c r="C85" s="8"/>
      <c r="D85" s="8"/>
      <c r="E85" s="8"/>
      <c r="F85" s="8"/>
      <c r="G85" s="8"/>
      <c r="H85" s="8"/>
      <c r="I85" s="8"/>
      <c r="J85" s="11"/>
      <c r="K85" s="11"/>
      <c r="L85" s="11"/>
      <c r="M85" s="11"/>
      <c r="N85" s="12" t="str">
        <f t="shared" si="5"/>
        <v/>
      </c>
      <c r="O85" s="16" t="str">
        <f t="shared" si="6"/>
        <v/>
      </c>
      <c r="P85" s="11"/>
      <c r="Q85" s="16" t="str">
        <f t="shared" si="7"/>
        <v/>
      </c>
      <c r="R85" s="16" t="str">
        <f t="shared" si="8"/>
        <v/>
      </c>
      <c r="S85" s="9" t="str">
        <f t="shared" si="9"/>
        <v/>
      </c>
      <c r="T85" s="8"/>
      <c r="U85" s="8"/>
      <c r="V85" s="8"/>
      <c r="W85" s="10"/>
    </row>
    <row r="86" spans="1:23">
      <c r="A86" s="8"/>
      <c r="B86" s="10"/>
      <c r="C86" s="8"/>
      <c r="D86" s="8"/>
      <c r="E86" s="8"/>
      <c r="F86" s="8"/>
      <c r="G86" s="8"/>
      <c r="H86" s="8"/>
      <c r="I86" s="8"/>
      <c r="J86" s="11"/>
      <c r="K86" s="11"/>
      <c r="L86" s="11"/>
      <c r="M86" s="11"/>
      <c r="N86" s="12" t="str">
        <f t="shared" si="5"/>
        <v/>
      </c>
      <c r="O86" s="16" t="str">
        <f t="shared" si="6"/>
        <v/>
      </c>
      <c r="P86" s="11"/>
      <c r="Q86" s="16" t="str">
        <f t="shared" si="7"/>
        <v/>
      </c>
      <c r="R86" s="16" t="str">
        <f t="shared" si="8"/>
        <v/>
      </c>
      <c r="S86" s="9" t="str">
        <f t="shared" si="9"/>
        <v/>
      </c>
      <c r="T86" s="8"/>
      <c r="U86" s="8"/>
      <c r="V86" s="8"/>
      <c r="W86" s="10"/>
    </row>
    <row r="87" spans="1:23">
      <c r="A87" s="8"/>
      <c r="B87" s="10"/>
      <c r="C87" s="8"/>
      <c r="D87" s="8"/>
      <c r="E87" s="8"/>
      <c r="F87" s="8"/>
      <c r="G87" s="8"/>
      <c r="H87" s="8"/>
      <c r="I87" s="8"/>
      <c r="J87" s="11"/>
      <c r="K87" s="11"/>
      <c r="L87" s="11"/>
      <c r="M87" s="11"/>
      <c r="N87" s="12" t="str">
        <f t="shared" si="5"/>
        <v/>
      </c>
      <c r="O87" s="16" t="str">
        <f t="shared" si="6"/>
        <v/>
      </c>
      <c r="P87" s="11"/>
      <c r="Q87" s="16" t="str">
        <f t="shared" si="7"/>
        <v/>
      </c>
      <c r="R87" s="16" t="str">
        <f t="shared" si="8"/>
        <v/>
      </c>
      <c r="S87" s="9" t="str">
        <f t="shared" si="9"/>
        <v/>
      </c>
      <c r="T87" s="8"/>
      <c r="U87" s="8"/>
      <c r="V87" s="8"/>
      <c r="W87" s="10"/>
    </row>
    <row r="88" spans="1:23">
      <c r="A88" s="8"/>
      <c r="B88" s="10"/>
      <c r="C88" s="8"/>
      <c r="D88" s="8"/>
      <c r="E88" s="8"/>
      <c r="F88" s="8"/>
      <c r="G88" s="8"/>
      <c r="H88" s="8"/>
      <c r="I88" s="8"/>
      <c r="J88" s="11"/>
      <c r="K88" s="11"/>
      <c r="L88" s="11"/>
      <c r="M88" s="11"/>
      <c r="N88" s="12" t="str">
        <f t="shared" si="5"/>
        <v/>
      </c>
      <c r="O88" s="16" t="str">
        <f t="shared" si="6"/>
        <v/>
      </c>
      <c r="P88" s="11"/>
      <c r="Q88" s="16" t="str">
        <f t="shared" si="7"/>
        <v/>
      </c>
      <c r="R88" s="16" t="str">
        <f t="shared" si="8"/>
        <v/>
      </c>
      <c r="S88" s="9" t="str">
        <f t="shared" si="9"/>
        <v/>
      </c>
      <c r="T88" s="8"/>
      <c r="U88" s="8"/>
      <c r="V88" s="8"/>
      <c r="W88" s="10"/>
    </row>
    <row r="89" spans="1:23">
      <c r="A89" s="8"/>
      <c r="B89" s="10"/>
      <c r="C89" s="8"/>
      <c r="D89" s="8"/>
      <c r="E89" s="8"/>
      <c r="F89" s="8"/>
      <c r="G89" s="8"/>
      <c r="H89" s="8"/>
      <c r="I89" s="8"/>
      <c r="J89" s="11"/>
      <c r="K89" s="11"/>
      <c r="L89" s="11"/>
      <c r="M89" s="11"/>
      <c r="N89" s="12" t="str">
        <f t="shared" si="5"/>
        <v/>
      </c>
      <c r="O89" s="16" t="str">
        <f t="shared" si="6"/>
        <v/>
      </c>
      <c r="P89" s="11"/>
      <c r="Q89" s="16" t="str">
        <f t="shared" si="7"/>
        <v/>
      </c>
      <c r="R89" s="16" t="str">
        <f t="shared" si="8"/>
        <v/>
      </c>
      <c r="S89" s="9" t="str">
        <f t="shared" si="9"/>
        <v/>
      </c>
      <c r="T89" s="8"/>
      <c r="U89" s="8"/>
      <c r="V89" s="8"/>
      <c r="W89" s="10"/>
    </row>
    <row r="90" spans="1:23">
      <c r="A90" s="8"/>
      <c r="B90" s="10"/>
      <c r="C90" s="8"/>
      <c r="D90" s="8"/>
      <c r="E90" s="8"/>
      <c r="F90" s="8"/>
      <c r="G90" s="8"/>
      <c r="H90" s="8"/>
      <c r="I90" s="8"/>
      <c r="J90" s="11"/>
      <c r="K90" s="11"/>
      <c r="L90" s="11"/>
      <c r="M90" s="11"/>
      <c r="N90" s="12" t="str">
        <f t="shared" si="5"/>
        <v/>
      </c>
      <c r="O90" s="16" t="str">
        <f t="shared" si="6"/>
        <v/>
      </c>
      <c r="P90" s="11"/>
      <c r="Q90" s="16" t="str">
        <f t="shared" si="7"/>
        <v/>
      </c>
      <c r="R90" s="16" t="str">
        <f t="shared" si="8"/>
        <v/>
      </c>
      <c r="S90" s="9" t="str">
        <f t="shared" si="9"/>
        <v/>
      </c>
      <c r="T90" s="8"/>
      <c r="U90" s="8"/>
      <c r="V90" s="8"/>
      <c r="W90" s="10"/>
    </row>
    <row r="91" spans="1:23">
      <c r="A91" s="8"/>
      <c r="B91" s="10"/>
      <c r="C91" s="8"/>
      <c r="D91" s="8"/>
      <c r="E91" s="8"/>
      <c r="F91" s="8"/>
      <c r="G91" s="8"/>
      <c r="H91" s="8"/>
      <c r="I91" s="8"/>
      <c r="J91" s="11"/>
      <c r="K91" s="11"/>
      <c r="L91" s="11"/>
      <c r="M91" s="11"/>
      <c r="N91" s="12" t="str">
        <f t="shared" si="5"/>
        <v/>
      </c>
      <c r="O91" s="16" t="str">
        <f t="shared" si="6"/>
        <v/>
      </c>
      <c r="P91" s="11"/>
      <c r="Q91" s="16" t="str">
        <f t="shared" si="7"/>
        <v/>
      </c>
      <c r="R91" s="16" t="str">
        <f t="shared" si="8"/>
        <v/>
      </c>
      <c r="S91" s="9" t="str">
        <f t="shared" si="9"/>
        <v/>
      </c>
      <c r="T91" s="8"/>
      <c r="U91" s="8"/>
      <c r="V91" s="8"/>
      <c r="W91" s="10"/>
    </row>
    <row r="92" spans="1:23">
      <c r="A92" s="8"/>
      <c r="B92" s="10"/>
      <c r="C92" s="8"/>
      <c r="D92" s="8"/>
      <c r="E92" s="8"/>
      <c r="F92" s="8"/>
      <c r="G92" s="8"/>
      <c r="H92" s="8"/>
      <c r="I92" s="8"/>
      <c r="J92" s="11"/>
      <c r="K92" s="11"/>
      <c r="L92" s="11"/>
      <c r="M92" s="11"/>
      <c r="N92" s="12" t="str">
        <f t="shared" si="5"/>
        <v/>
      </c>
      <c r="O92" s="16" t="str">
        <f t="shared" si="6"/>
        <v/>
      </c>
      <c r="P92" s="11"/>
      <c r="Q92" s="16" t="str">
        <f t="shared" si="7"/>
        <v/>
      </c>
      <c r="R92" s="16" t="str">
        <f t="shared" si="8"/>
        <v/>
      </c>
      <c r="S92" s="9" t="str">
        <f t="shared" si="9"/>
        <v/>
      </c>
      <c r="T92" s="8"/>
      <c r="U92" s="8"/>
      <c r="V92" s="8"/>
      <c r="W92" s="10"/>
    </row>
    <row r="93" spans="1:23">
      <c r="A93" s="8"/>
      <c r="B93" s="10"/>
      <c r="C93" s="8"/>
      <c r="D93" s="8"/>
      <c r="E93" s="8"/>
      <c r="F93" s="8"/>
      <c r="G93" s="8"/>
      <c r="H93" s="8"/>
      <c r="I93" s="8"/>
      <c r="J93" s="11"/>
      <c r="K93" s="11"/>
      <c r="L93" s="11"/>
      <c r="M93" s="11"/>
      <c r="N93" s="12" t="str">
        <f t="shared" si="5"/>
        <v/>
      </c>
      <c r="O93" s="16" t="str">
        <f t="shared" si="6"/>
        <v/>
      </c>
      <c r="P93" s="11"/>
      <c r="Q93" s="16" t="str">
        <f t="shared" si="7"/>
        <v/>
      </c>
      <c r="R93" s="16" t="str">
        <f t="shared" si="8"/>
        <v/>
      </c>
      <c r="S93" s="9" t="str">
        <f t="shared" si="9"/>
        <v/>
      </c>
      <c r="T93" s="8"/>
      <c r="U93" s="8"/>
      <c r="V93" s="8"/>
      <c r="W93" s="10"/>
    </row>
    <row r="94" spans="1:23">
      <c r="A94" s="8"/>
      <c r="B94" s="10"/>
      <c r="C94" s="8"/>
      <c r="D94" s="8"/>
      <c r="E94" s="8"/>
      <c r="F94" s="8"/>
      <c r="G94" s="8"/>
      <c r="H94" s="8"/>
      <c r="I94" s="8"/>
      <c r="J94" s="11"/>
      <c r="K94" s="11"/>
      <c r="L94" s="11"/>
      <c r="M94" s="11"/>
      <c r="N94" s="12" t="str">
        <f t="shared" si="5"/>
        <v/>
      </c>
      <c r="O94" s="16" t="str">
        <f t="shared" si="6"/>
        <v/>
      </c>
      <c r="P94" s="11"/>
      <c r="Q94" s="16" t="str">
        <f t="shared" si="7"/>
        <v/>
      </c>
      <c r="R94" s="16" t="str">
        <f t="shared" si="8"/>
        <v/>
      </c>
      <c r="S94" s="9" t="str">
        <f t="shared" si="9"/>
        <v/>
      </c>
      <c r="T94" s="8"/>
      <c r="U94" s="8"/>
      <c r="V94" s="8"/>
      <c r="W94" s="10"/>
    </row>
    <row r="95" spans="1:23">
      <c r="A95" s="8"/>
      <c r="B95" s="10"/>
      <c r="C95" s="8"/>
      <c r="D95" s="8"/>
      <c r="E95" s="8"/>
      <c r="F95" s="8"/>
      <c r="G95" s="8"/>
      <c r="H95" s="8"/>
      <c r="I95" s="8"/>
      <c r="J95" s="11"/>
      <c r="K95" s="11"/>
      <c r="L95" s="11"/>
      <c r="M95" s="11"/>
      <c r="N95" s="12" t="str">
        <f t="shared" si="5"/>
        <v/>
      </c>
      <c r="O95" s="16" t="str">
        <f t="shared" si="6"/>
        <v/>
      </c>
      <c r="P95" s="11"/>
      <c r="Q95" s="16" t="str">
        <f t="shared" si="7"/>
        <v/>
      </c>
      <c r="R95" s="16" t="str">
        <f t="shared" si="8"/>
        <v/>
      </c>
      <c r="S95" s="9" t="str">
        <f t="shared" si="9"/>
        <v/>
      </c>
      <c r="T95" s="8"/>
      <c r="U95" s="8"/>
      <c r="V95" s="8"/>
      <c r="W95" s="10"/>
    </row>
    <row r="96" spans="1:23">
      <c r="A96" s="8"/>
      <c r="B96" s="10"/>
      <c r="C96" s="8"/>
      <c r="D96" s="8"/>
      <c r="E96" s="8"/>
      <c r="F96" s="8"/>
      <c r="G96" s="8"/>
      <c r="H96" s="8"/>
      <c r="I96" s="8"/>
      <c r="J96" s="11"/>
      <c r="K96" s="11"/>
      <c r="L96" s="11"/>
      <c r="M96" s="11"/>
      <c r="N96" s="12" t="str">
        <f t="shared" si="5"/>
        <v/>
      </c>
      <c r="O96" s="16" t="str">
        <f t="shared" si="6"/>
        <v/>
      </c>
      <c r="P96" s="11"/>
      <c r="Q96" s="16" t="str">
        <f t="shared" si="7"/>
        <v/>
      </c>
      <c r="R96" s="16" t="str">
        <f t="shared" si="8"/>
        <v/>
      </c>
      <c r="S96" s="9" t="str">
        <f t="shared" si="9"/>
        <v/>
      </c>
      <c r="T96" s="8"/>
      <c r="U96" s="8"/>
      <c r="V96" s="8"/>
      <c r="W96" s="10"/>
    </row>
    <row r="97" spans="1:23">
      <c r="A97" s="8"/>
      <c r="B97" s="10"/>
      <c r="C97" s="8"/>
      <c r="D97" s="8"/>
      <c r="E97" s="8"/>
      <c r="F97" s="8"/>
      <c r="G97" s="8"/>
      <c r="H97" s="8"/>
      <c r="I97" s="8"/>
      <c r="J97" s="11"/>
      <c r="K97" s="11"/>
      <c r="L97" s="11"/>
      <c r="M97" s="11"/>
      <c r="N97" s="12" t="str">
        <f t="shared" si="5"/>
        <v/>
      </c>
      <c r="O97" s="16" t="str">
        <f t="shared" si="6"/>
        <v/>
      </c>
      <c r="P97" s="11"/>
      <c r="Q97" s="16" t="str">
        <f t="shared" si="7"/>
        <v/>
      </c>
      <c r="R97" s="16" t="str">
        <f t="shared" si="8"/>
        <v/>
      </c>
      <c r="S97" s="9" t="str">
        <f t="shared" si="9"/>
        <v/>
      </c>
      <c r="T97" s="8"/>
      <c r="U97" s="8"/>
      <c r="V97" s="8"/>
      <c r="W97" s="10"/>
    </row>
    <row r="98" spans="1:23">
      <c r="A98" s="8"/>
      <c r="B98" s="10"/>
      <c r="C98" s="8"/>
      <c r="D98" s="8"/>
      <c r="E98" s="8"/>
      <c r="F98" s="8"/>
      <c r="G98" s="8"/>
      <c r="H98" s="8"/>
      <c r="I98" s="8"/>
      <c r="J98" s="11"/>
      <c r="K98" s="11"/>
      <c r="L98" s="11"/>
      <c r="M98" s="11"/>
      <c r="N98" s="12" t="str">
        <f t="shared" si="5"/>
        <v/>
      </c>
      <c r="O98" s="16" t="str">
        <f t="shared" si="6"/>
        <v/>
      </c>
      <c r="P98" s="11"/>
      <c r="Q98" s="16" t="str">
        <f t="shared" si="7"/>
        <v/>
      </c>
      <c r="R98" s="16" t="str">
        <f t="shared" si="8"/>
        <v/>
      </c>
      <c r="S98" s="9" t="str">
        <f t="shared" si="9"/>
        <v/>
      </c>
      <c r="T98" s="8"/>
      <c r="U98" s="8"/>
      <c r="V98" s="8"/>
      <c r="W98" s="10"/>
    </row>
    <row r="99" spans="1:23">
      <c r="A99" s="8"/>
      <c r="B99" s="10"/>
      <c r="C99" s="8"/>
      <c r="D99" s="8"/>
      <c r="E99" s="8"/>
      <c r="F99" s="8"/>
      <c r="G99" s="8"/>
      <c r="H99" s="8"/>
      <c r="I99" s="8"/>
      <c r="J99" s="11"/>
      <c r="K99" s="11"/>
      <c r="L99" s="11"/>
      <c r="M99" s="11"/>
      <c r="N99" s="12" t="str">
        <f t="shared" si="5"/>
        <v/>
      </c>
      <c r="O99" s="16" t="str">
        <f t="shared" si="6"/>
        <v/>
      </c>
      <c r="P99" s="11"/>
      <c r="Q99" s="16" t="str">
        <f t="shared" si="7"/>
        <v/>
      </c>
      <c r="R99" s="16" t="str">
        <f t="shared" si="8"/>
        <v/>
      </c>
      <c r="S99" s="9" t="str">
        <f t="shared" si="9"/>
        <v/>
      </c>
      <c r="T99" s="8"/>
      <c r="U99" s="8"/>
      <c r="V99" s="8"/>
      <c r="W99" s="10"/>
    </row>
    <row r="100" spans="1:23">
      <c r="A100" s="8"/>
      <c r="B100" s="10"/>
      <c r="C100" s="8"/>
      <c r="D100" s="8"/>
      <c r="E100" s="8"/>
      <c r="F100" s="8"/>
      <c r="G100" s="8"/>
      <c r="H100" s="8"/>
      <c r="I100" s="8"/>
      <c r="J100" s="11"/>
      <c r="K100" s="11"/>
      <c r="L100" s="11"/>
      <c r="M100" s="11"/>
      <c r="N100" s="12" t="str">
        <f t="shared" si="5"/>
        <v/>
      </c>
      <c r="O100" s="16" t="str">
        <f t="shared" si="6"/>
        <v/>
      </c>
      <c r="P100" s="11"/>
      <c r="Q100" s="16" t="str">
        <f t="shared" si="7"/>
        <v/>
      </c>
      <c r="R100" s="16" t="str">
        <f t="shared" si="8"/>
        <v/>
      </c>
      <c r="S100" s="9" t="str">
        <f t="shared" si="9"/>
        <v/>
      </c>
      <c r="T100" s="8"/>
      <c r="U100" s="8"/>
      <c r="V100" s="8"/>
      <c r="W100" s="10"/>
    </row>
    <row r="101" spans="1:23">
      <c r="A101" s="8"/>
      <c r="B101" s="10"/>
      <c r="C101" s="8"/>
      <c r="D101" s="8"/>
      <c r="E101" s="8"/>
      <c r="F101" s="8"/>
      <c r="G101" s="8"/>
      <c r="H101" s="8"/>
      <c r="I101" s="8"/>
      <c r="J101" s="11"/>
      <c r="K101" s="11"/>
      <c r="L101" s="11"/>
      <c r="M101" s="11"/>
      <c r="N101" s="12" t="str">
        <f t="shared" si="5"/>
        <v/>
      </c>
      <c r="O101" s="16" t="str">
        <f t="shared" si="6"/>
        <v/>
      </c>
      <c r="P101" s="11"/>
      <c r="Q101" s="16" t="str">
        <f t="shared" si="7"/>
        <v/>
      </c>
      <c r="R101" s="16" t="str">
        <f t="shared" si="8"/>
        <v/>
      </c>
      <c r="S101" s="9" t="str">
        <f t="shared" si="9"/>
        <v/>
      </c>
      <c r="T101" s="8"/>
      <c r="U101" s="8"/>
      <c r="V101" s="8"/>
      <c r="W101" s="10"/>
    </row>
    <row r="102" spans="1:23">
      <c r="A102" s="8"/>
      <c r="B102" s="10"/>
      <c r="C102" s="8"/>
      <c r="D102" s="8"/>
      <c r="E102" s="8"/>
      <c r="F102" s="8"/>
      <c r="G102" s="8"/>
      <c r="H102" s="8"/>
      <c r="I102" s="8"/>
      <c r="J102" s="11"/>
      <c r="K102" s="11"/>
      <c r="L102" s="11"/>
      <c r="M102" s="11"/>
      <c r="N102" s="12" t="str">
        <f t="shared" si="5"/>
        <v/>
      </c>
      <c r="O102" s="16" t="str">
        <f t="shared" si="6"/>
        <v/>
      </c>
      <c r="P102" s="11"/>
      <c r="Q102" s="16" t="str">
        <f t="shared" si="7"/>
        <v/>
      </c>
      <c r="R102" s="16" t="str">
        <f t="shared" si="8"/>
        <v/>
      </c>
      <c r="S102" s="9" t="str">
        <f t="shared" si="9"/>
        <v/>
      </c>
      <c r="T102" s="8"/>
      <c r="U102" s="8"/>
      <c r="V102" s="8"/>
      <c r="W102" s="10"/>
    </row>
    <row r="103" spans="1:23">
      <c r="A103" s="8"/>
      <c r="B103" s="10"/>
      <c r="C103" s="8"/>
      <c r="D103" s="8"/>
      <c r="E103" s="8"/>
      <c r="F103" s="8"/>
      <c r="G103" s="8"/>
      <c r="H103" s="8"/>
      <c r="I103" s="8"/>
      <c r="J103" s="11"/>
      <c r="K103" s="11"/>
      <c r="L103" s="11"/>
      <c r="M103" s="11"/>
      <c r="N103" s="12" t="str">
        <f t="shared" si="5"/>
        <v/>
      </c>
      <c r="O103" s="16" t="str">
        <f t="shared" si="6"/>
        <v/>
      </c>
      <c r="P103" s="11"/>
      <c r="Q103" s="16" t="str">
        <f t="shared" si="7"/>
        <v/>
      </c>
      <c r="R103" s="16" t="str">
        <f t="shared" si="8"/>
        <v/>
      </c>
      <c r="S103" s="9" t="str">
        <f t="shared" si="9"/>
        <v/>
      </c>
      <c r="T103" s="8"/>
      <c r="U103" s="8"/>
      <c r="V103" s="8"/>
      <c r="W103" s="10"/>
    </row>
    <row r="104" spans="1:23">
      <c r="A104" s="8"/>
      <c r="B104" s="10"/>
      <c r="C104" s="8"/>
      <c r="D104" s="8"/>
      <c r="E104" s="8"/>
      <c r="F104" s="8"/>
      <c r="G104" s="8"/>
      <c r="H104" s="8"/>
      <c r="I104" s="8"/>
      <c r="J104" s="11"/>
      <c r="K104" s="11"/>
      <c r="L104" s="11"/>
      <c r="M104" s="11"/>
      <c r="N104" s="12" t="str">
        <f t="shared" si="5"/>
        <v/>
      </c>
      <c r="O104" s="16" t="str">
        <f t="shared" si="6"/>
        <v/>
      </c>
      <c r="P104" s="11"/>
      <c r="Q104" s="16" t="str">
        <f t="shared" si="7"/>
        <v/>
      </c>
      <c r="R104" s="16" t="str">
        <f t="shared" si="8"/>
        <v/>
      </c>
      <c r="S104" s="9" t="str">
        <f t="shared" si="9"/>
        <v/>
      </c>
      <c r="T104" s="8"/>
      <c r="U104" s="8"/>
      <c r="V104" s="8"/>
      <c r="W104" s="10"/>
    </row>
    <row r="105" spans="1:23">
      <c r="A105" s="8"/>
      <c r="B105" s="10"/>
      <c r="C105" s="8"/>
      <c r="D105" s="8"/>
      <c r="E105" s="8"/>
      <c r="F105" s="8"/>
      <c r="G105" s="8"/>
      <c r="H105" s="8"/>
      <c r="I105" s="8"/>
      <c r="J105" s="11"/>
      <c r="K105" s="11"/>
      <c r="L105" s="11"/>
      <c r="M105" s="11"/>
      <c r="N105" s="12" t="str">
        <f t="shared" si="5"/>
        <v/>
      </c>
      <c r="O105" s="16" t="str">
        <f t="shared" si="6"/>
        <v/>
      </c>
      <c r="P105" s="11"/>
      <c r="Q105" s="16" t="str">
        <f t="shared" si="7"/>
        <v/>
      </c>
      <c r="R105" s="16" t="str">
        <f t="shared" si="8"/>
        <v/>
      </c>
      <c r="S105" s="9" t="str">
        <f t="shared" si="9"/>
        <v/>
      </c>
      <c r="T105" s="8"/>
      <c r="U105" s="8"/>
      <c r="V105" s="8"/>
      <c r="W105" s="10"/>
    </row>
    <row r="106" spans="1:23">
      <c r="A106" s="8"/>
      <c r="B106" s="10"/>
      <c r="C106" s="8"/>
      <c r="D106" s="8"/>
      <c r="E106" s="8"/>
      <c r="F106" s="8"/>
      <c r="G106" s="8"/>
      <c r="H106" s="8"/>
      <c r="I106" s="8"/>
      <c r="J106" s="11"/>
      <c r="K106" s="11"/>
      <c r="L106" s="11"/>
      <c r="M106" s="11"/>
      <c r="N106" s="12" t="str">
        <f t="shared" si="5"/>
        <v/>
      </c>
      <c r="O106" s="16" t="str">
        <f t="shared" si="6"/>
        <v/>
      </c>
      <c r="P106" s="11"/>
      <c r="Q106" s="16" t="str">
        <f t="shared" si="7"/>
        <v/>
      </c>
      <c r="R106" s="16" t="str">
        <f t="shared" si="8"/>
        <v/>
      </c>
      <c r="S106" s="9" t="str">
        <f t="shared" si="9"/>
        <v/>
      </c>
      <c r="T106" s="8"/>
      <c r="U106" s="8"/>
      <c r="V106" s="8"/>
      <c r="W106" s="10"/>
    </row>
    <row r="107" spans="1:23">
      <c r="A107" s="8"/>
      <c r="B107" s="10"/>
      <c r="C107" s="8"/>
      <c r="D107" s="8"/>
      <c r="E107" s="8"/>
      <c r="F107" s="8"/>
      <c r="G107" s="8"/>
      <c r="H107" s="8"/>
      <c r="I107" s="8"/>
      <c r="J107" s="11"/>
      <c r="K107" s="11"/>
      <c r="L107" s="11"/>
      <c r="M107" s="11"/>
      <c r="N107" s="12" t="str">
        <f t="shared" si="5"/>
        <v/>
      </c>
      <c r="O107" s="16" t="str">
        <f t="shared" si="6"/>
        <v/>
      </c>
      <c r="P107" s="11"/>
      <c r="Q107" s="16" t="str">
        <f t="shared" si="7"/>
        <v/>
      </c>
      <c r="R107" s="16" t="str">
        <f t="shared" si="8"/>
        <v/>
      </c>
      <c r="S107" s="9" t="str">
        <f t="shared" si="9"/>
        <v/>
      </c>
      <c r="T107" s="8"/>
      <c r="U107" s="8"/>
      <c r="V107" s="8"/>
      <c r="W107" s="10"/>
    </row>
    <row r="108" spans="1:23">
      <c r="A108" s="8"/>
      <c r="B108" s="10"/>
      <c r="C108" s="8"/>
      <c r="D108" s="8"/>
      <c r="E108" s="8"/>
      <c r="F108" s="8"/>
      <c r="G108" s="8"/>
      <c r="H108" s="8"/>
      <c r="I108" s="8"/>
      <c r="J108" s="11"/>
      <c r="K108" s="11"/>
      <c r="L108" s="11"/>
      <c r="M108" s="11"/>
      <c r="N108" s="12" t="str">
        <f t="shared" si="5"/>
        <v/>
      </c>
      <c r="O108" s="16" t="str">
        <f t="shared" si="6"/>
        <v/>
      </c>
      <c r="P108" s="11"/>
      <c r="Q108" s="16" t="str">
        <f t="shared" si="7"/>
        <v/>
      </c>
      <c r="R108" s="16" t="str">
        <f t="shared" si="8"/>
        <v/>
      </c>
      <c r="S108" s="9" t="str">
        <f t="shared" si="9"/>
        <v/>
      </c>
      <c r="T108" s="8"/>
      <c r="U108" s="8"/>
      <c r="V108" s="8"/>
      <c r="W108" s="10"/>
    </row>
    <row r="109" spans="1:23">
      <c r="A109" s="8"/>
      <c r="B109" s="10"/>
      <c r="C109" s="8"/>
      <c r="D109" s="8"/>
      <c r="E109" s="8"/>
      <c r="F109" s="8"/>
      <c r="G109" s="8"/>
      <c r="H109" s="8"/>
      <c r="I109" s="8"/>
      <c r="J109" s="11"/>
      <c r="K109" s="11"/>
      <c r="L109" s="11"/>
      <c r="M109" s="11"/>
      <c r="N109" s="12" t="str">
        <f t="shared" si="5"/>
        <v/>
      </c>
      <c r="O109" s="16" t="str">
        <f t="shared" si="6"/>
        <v/>
      </c>
      <c r="P109" s="11"/>
      <c r="Q109" s="16" t="str">
        <f t="shared" si="7"/>
        <v/>
      </c>
      <c r="R109" s="16" t="str">
        <f t="shared" si="8"/>
        <v/>
      </c>
      <c r="S109" s="9" t="str">
        <f t="shared" si="9"/>
        <v/>
      </c>
      <c r="T109" s="8"/>
      <c r="U109" s="8"/>
      <c r="V109" s="8"/>
      <c r="W109" s="10"/>
    </row>
    <row r="110" spans="1:23">
      <c r="A110" s="8"/>
      <c r="B110" s="10"/>
      <c r="C110" s="8"/>
      <c r="D110" s="8"/>
      <c r="E110" s="8"/>
      <c r="F110" s="8"/>
      <c r="G110" s="8"/>
      <c r="H110" s="8"/>
      <c r="I110" s="8"/>
      <c r="J110" s="11"/>
      <c r="K110" s="11"/>
      <c r="L110" s="11"/>
      <c r="M110" s="11"/>
      <c r="N110" s="12" t="str">
        <f t="shared" si="5"/>
        <v/>
      </c>
      <c r="O110" s="16" t="str">
        <f t="shared" si="6"/>
        <v/>
      </c>
      <c r="P110" s="11"/>
      <c r="Q110" s="16" t="str">
        <f t="shared" si="7"/>
        <v/>
      </c>
      <c r="R110" s="16" t="str">
        <f t="shared" si="8"/>
        <v/>
      </c>
      <c r="S110" s="9" t="str">
        <f t="shared" si="9"/>
        <v/>
      </c>
      <c r="T110" s="8"/>
      <c r="U110" s="8"/>
      <c r="V110" s="8"/>
      <c r="W110" s="10"/>
    </row>
    <row r="111" spans="1:23">
      <c r="A111" s="8"/>
      <c r="B111" s="10"/>
      <c r="C111" s="8"/>
      <c r="D111" s="8"/>
      <c r="E111" s="8"/>
      <c r="F111" s="8"/>
      <c r="G111" s="8"/>
      <c r="H111" s="8"/>
      <c r="I111" s="8"/>
      <c r="J111" s="11"/>
      <c r="K111" s="11"/>
      <c r="L111" s="11"/>
      <c r="M111" s="11"/>
      <c r="N111" s="12" t="str">
        <f t="shared" si="5"/>
        <v/>
      </c>
      <c r="O111" s="16" t="str">
        <f t="shared" si="6"/>
        <v/>
      </c>
      <c r="P111" s="11"/>
      <c r="Q111" s="16" t="str">
        <f t="shared" si="7"/>
        <v/>
      </c>
      <c r="R111" s="16" t="str">
        <f t="shared" si="8"/>
        <v/>
      </c>
      <c r="S111" s="9" t="str">
        <f t="shared" si="9"/>
        <v/>
      </c>
      <c r="T111" s="8"/>
      <c r="U111" s="8"/>
      <c r="V111" s="8"/>
      <c r="W111" s="10"/>
    </row>
    <row r="112" spans="1:23">
      <c r="A112" s="8"/>
      <c r="B112" s="10"/>
      <c r="C112" s="8"/>
      <c r="D112" s="8"/>
      <c r="E112" s="8"/>
      <c r="F112" s="8"/>
      <c r="G112" s="8"/>
      <c r="H112" s="8"/>
      <c r="I112" s="8"/>
      <c r="J112" s="11"/>
      <c r="K112" s="11"/>
      <c r="L112" s="11"/>
      <c r="M112" s="11"/>
      <c r="N112" s="12" t="str">
        <f t="shared" si="5"/>
        <v/>
      </c>
      <c r="O112" s="16" t="str">
        <f t="shared" si="6"/>
        <v/>
      </c>
      <c r="P112" s="11"/>
      <c r="Q112" s="16" t="str">
        <f t="shared" si="7"/>
        <v/>
      </c>
      <c r="R112" s="16" t="str">
        <f t="shared" si="8"/>
        <v/>
      </c>
      <c r="S112" s="9" t="str">
        <f t="shared" si="9"/>
        <v/>
      </c>
      <c r="T112" s="8"/>
      <c r="U112" s="8"/>
      <c r="V112" s="8"/>
      <c r="W112" s="10"/>
    </row>
    <row r="113" spans="1:23">
      <c r="A113" s="8"/>
      <c r="B113" s="10"/>
      <c r="C113" s="8"/>
      <c r="D113" s="8"/>
      <c r="E113" s="8"/>
      <c r="F113" s="8"/>
      <c r="G113" s="8"/>
      <c r="H113" s="8"/>
      <c r="I113" s="8"/>
      <c r="J113" s="11"/>
      <c r="K113" s="11"/>
      <c r="L113" s="11"/>
      <c r="M113" s="11"/>
      <c r="N113" s="12" t="str">
        <f t="shared" si="5"/>
        <v/>
      </c>
      <c r="O113" s="16" t="str">
        <f t="shared" si="6"/>
        <v/>
      </c>
      <c r="P113" s="11"/>
      <c r="Q113" s="16" t="str">
        <f t="shared" si="7"/>
        <v/>
      </c>
      <c r="R113" s="16" t="str">
        <f t="shared" si="8"/>
        <v/>
      </c>
      <c r="S113" s="9" t="str">
        <f t="shared" si="9"/>
        <v/>
      </c>
      <c r="T113" s="8"/>
      <c r="U113" s="8"/>
      <c r="V113" s="8"/>
      <c r="W113" s="10"/>
    </row>
    <row r="114" spans="1:23">
      <c r="A114" s="8"/>
      <c r="B114" s="10"/>
      <c r="C114" s="8"/>
      <c r="D114" s="8"/>
      <c r="E114" s="8"/>
      <c r="F114" s="8"/>
      <c r="G114" s="8"/>
      <c r="H114" s="8"/>
      <c r="I114" s="8"/>
      <c r="J114" s="11"/>
      <c r="K114" s="11"/>
      <c r="L114" s="11"/>
      <c r="M114" s="11"/>
      <c r="N114" s="12" t="str">
        <f t="shared" si="5"/>
        <v/>
      </c>
      <c r="O114" s="16" t="str">
        <f t="shared" si="6"/>
        <v/>
      </c>
      <c r="P114" s="11"/>
      <c r="Q114" s="16" t="str">
        <f t="shared" si="7"/>
        <v/>
      </c>
      <c r="R114" s="16" t="str">
        <f t="shared" si="8"/>
        <v/>
      </c>
      <c r="S114" s="9" t="str">
        <f t="shared" si="9"/>
        <v/>
      </c>
      <c r="T114" s="8"/>
      <c r="U114" s="8"/>
      <c r="V114" s="8"/>
      <c r="W114" s="10"/>
    </row>
    <row r="115" spans="1:23">
      <c r="A115" s="8"/>
      <c r="B115" s="10"/>
      <c r="C115" s="8"/>
      <c r="D115" s="8"/>
      <c r="E115" s="8"/>
      <c r="F115" s="8"/>
      <c r="G115" s="8"/>
      <c r="H115" s="8"/>
      <c r="I115" s="8"/>
      <c r="J115" s="11"/>
      <c r="K115" s="11"/>
      <c r="L115" s="11"/>
      <c r="M115" s="11"/>
      <c r="N115" s="12" t="str">
        <f t="shared" si="5"/>
        <v/>
      </c>
      <c r="O115" s="16" t="str">
        <f t="shared" si="6"/>
        <v/>
      </c>
      <c r="P115" s="11"/>
      <c r="Q115" s="16" t="str">
        <f t="shared" si="7"/>
        <v/>
      </c>
      <c r="R115" s="16" t="str">
        <f t="shared" si="8"/>
        <v/>
      </c>
      <c r="S115" s="9" t="str">
        <f t="shared" si="9"/>
        <v/>
      </c>
      <c r="T115" s="8"/>
      <c r="U115" s="8"/>
      <c r="V115" s="8"/>
      <c r="W115" s="10"/>
    </row>
    <row r="116" spans="1:23">
      <c r="A116" s="8"/>
      <c r="B116" s="10"/>
      <c r="C116" s="8"/>
      <c r="D116" s="8"/>
      <c r="E116" s="8"/>
      <c r="F116" s="8"/>
      <c r="G116" s="8"/>
      <c r="H116" s="8"/>
      <c r="I116" s="8"/>
      <c r="J116" s="11"/>
      <c r="K116" s="11"/>
      <c r="L116" s="11"/>
      <c r="M116" s="11"/>
      <c r="N116" s="12" t="str">
        <f t="shared" si="5"/>
        <v/>
      </c>
      <c r="O116" s="16" t="str">
        <f t="shared" si="6"/>
        <v/>
      </c>
      <c r="P116" s="11"/>
      <c r="Q116" s="16" t="str">
        <f t="shared" si="7"/>
        <v/>
      </c>
      <c r="R116" s="16" t="str">
        <f t="shared" si="8"/>
        <v/>
      </c>
      <c r="S116" s="9" t="str">
        <f t="shared" si="9"/>
        <v/>
      </c>
      <c r="T116" s="8"/>
      <c r="U116" s="8"/>
      <c r="V116" s="8"/>
      <c r="W116" s="10"/>
    </row>
    <row r="117" spans="1:23">
      <c r="A117" s="8"/>
      <c r="B117" s="10"/>
      <c r="C117" s="8"/>
      <c r="D117" s="8"/>
      <c r="E117" s="8"/>
      <c r="F117" s="8"/>
      <c r="G117" s="8"/>
      <c r="H117" s="8"/>
      <c r="I117" s="8"/>
      <c r="J117" s="11"/>
      <c r="K117" s="11"/>
      <c r="L117" s="11"/>
      <c r="M117" s="11"/>
      <c r="N117" s="12" t="str">
        <f t="shared" si="5"/>
        <v/>
      </c>
      <c r="O117" s="16" t="str">
        <f t="shared" si="6"/>
        <v/>
      </c>
      <c r="P117" s="11"/>
      <c r="Q117" s="16" t="str">
        <f t="shared" si="7"/>
        <v/>
      </c>
      <c r="R117" s="16" t="str">
        <f t="shared" si="8"/>
        <v/>
      </c>
      <c r="S117" s="9" t="str">
        <f t="shared" si="9"/>
        <v/>
      </c>
      <c r="T117" s="8"/>
      <c r="U117" s="8"/>
      <c r="V117" s="8"/>
      <c r="W117" s="10"/>
    </row>
    <row r="118" spans="1:23">
      <c r="A118" s="8"/>
      <c r="B118" s="10"/>
      <c r="C118" s="8"/>
      <c r="D118" s="8"/>
      <c r="E118" s="8"/>
      <c r="F118" s="8"/>
      <c r="G118" s="8"/>
      <c r="H118" s="8"/>
      <c r="I118" s="8"/>
      <c r="J118" s="11"/>
      <c r="K118" s="11"/>
      <c r="L118" s="11"/>
      <c r="M118" s="11"/>
      <c r="N118" s="12" t="str">
        <f t="shared" si="5"/>
        <v/>
      </c>
      <c r="O118" s="16" t="str">
        <f t="shared" si="6"/>
        <v/>
      </c>
      <c r="P118" s="11"/>
      <c r="Q118" s="16" t="str">
        <f t="shared" si="7"/>
        <v/>
      </c>
      <c r="R118" s="16" t="str">
        <f t="shared" si="8"/>
        <v/>
      </c>
      <c r="S118" s="9" t="str">
        <f t="shared" si="9"/>
        <v/>
      </c>
      <c r="T118" s="8"/>
      <c r="U118" s="8"/>
      <c r="V118" s="8"/>
      <c r="W118" s="10"/>
    </row>
    <row r="119" spans="1:23">
      <c r="A119" s="8"/>
      <c r="B119" s="10"/>
      <c r="C119" s="8"/>
      <c r="D119" s="8"/>
      <c r="E119" s="8"/>
      <c r="F119" s="8"/>
      <c r="G119" s="8"/>
      <c r="H119" s="8"/>
      <c r="I119" s="8"/>
      <c r="J119" s="11"/>
      <c r="K119" s="11"/>
      <c r="L119" s="11"/>
      <c r="M119" s="11"/>
      <c r="N119" s="12" t="str">
        <f t="shared" si="5"/>
        <v/>
      </c>
      <c r="O119" s="16" t="str">
        <f t="shared" si="6"/>
        <v/>
      </c>
      <c r="P119" s="11"/>
      <c r="Q119" s="16" t="str">
        <f t="shared" si="7"/>
        <v/>
      </c>
      <c r="R119" s="16" t="str">
        <f t="shared" si="8"/>
        <v/>
      </c>
      <c r="S119" s="9" t="str">
        <f t="shared" si="9"/>
        <v/>
      </c>
      <c r="T119" s="8"/>
      <c r="U119" s="8"/>
      <c r="V119" s="8"/>
      <c r="W119" s="10"/>
    </row>
    <row r="120" spans="1:23">
      <c r="A120" s="8"/>
      <c r="B120" s="10"/>
      <c r="C120" s="8"/>
      <c r="D120" s="8"/>
      <c r="E120" s="8"/>
      <c r="F120" s="8"/>
      <c r="G120" s="8"/>
      <c r="H120" s="8"/>
      <c r="I120" s="8"/>
      <c r="J120" s="11"/>
      <c r="K120" s="11"/>
      <c r="L120" s="11"/>
      <c r="M120" s="11"/>
      <c r="N120" s="12" t="str">
        <f t="shared" si="5"/>
        <v/>
      </c>
      <c r="O120" s="16" t="str">
        <f t="shared" si="6"/>
        <v/>
      </c>
      <c r="P120" s="11"/>
      <c r="Q120" s="16" t="str">
        <f t="shared" si="7"/>
        <v/>
      </c>
      <c r="R120" s="16" t="str">
        <f t="shared" si="8"/>
        <v/>
      </c>
      <c r="S120" s="9" t="str">
        <f t="shared" si="9"/>
        <v/>
      </c>
      <c r="T120" s="8"/>
      <c r="U120" s="8"/>
      <c r="V120" s="8"/>
      <c r="W120" s="10"/>
    </row>
    <row r="121" spans="1:23">
      <c r="A121" s="8"/>
      <c r="B121" s="10"/>
      <c r="C121" s="8"/>
      <c r="D121" s="8"/>
      <c r="E121" s="8"/>
      <c r="F121" s="8"/>
      <c r="G121" s="8"/>
      <c r="H121" s="8"/>
      <c r="I121" s="8"/>
      <c r="J121" s="11"/>
      <c r="K121" s="11"/>
      <c r="L121" s="11"/>
      <c r="M121" s="11"/>
      <c r="N121" s="12" t="str">
        <f t="shared" si="5"/>
        <v/>
      </c>
      <c r="O121" s="16" t="str">
        <f t="shared" si="6"/>
        <v/>
      </c>
      <c r="P121" s="11"/>
      <c r="Q121" s="16" t="str">
        <f t="shared" si="7"/>
        <v/>
      </c>
      <c r="R121" s="16" t="str">
        <f t="shared" si="8"/>
        <v/>
      </c>
      <c r="S121" s="9" t="str">
        <f t="shared" si="9"/>
        <v/>
      </c>
      <c r="T121" s="8"/>
      <c r="U121" s="8"/>
      <c r="V121" s="8"/>
      <c r="W121" s="10"/>
    </row>
    <row r="122" spans="1:23">
      <c r="A122" s="8"/>
      <c r="B122" s="10"/>
      <c r="C122" s="8"/>
      <c r="D122" s="8"/>
      <c r="E122" s="8"/>
      <c r="F122" s="8"/>
      <c r="G122" s="8"/>
      <c r="H122" s="8"/>
      <c r="I122" s="8"/>
      <c r="J122" s="11"/>
      <c r="K122" s="11"/>
      <c r="L122" s="11"/>
      <c r="M122" s="11"/>
      <c r="N122" s="12" t="str">
        <f t="shared" si="5"/>
        <v/>
      </c>
      <c r="O122" s="16" t="str">
        <f t="shared" si="6"/>
        <v/>
      </c>
      <c r="P122" s="11"/>
      <c r="Q122" s="16" t="str">
        <f t="shared" si="7"/>
        <v/>
      </c>
      <c r="R122" s="16" t="str">
        <f t="shared" si="8"/>
        <v/>
      </c>
      <c r="S122" s="9" t="str">
        <f t="shared" si="9"/>
        <v/>
      </c>
      <c r="T122" s="8"/>
      <c r="U122" s="8"/>
      <c r="V122" s="8"/>
      <c r="W122" s="10"/>
    </row>
    <row r="123" spans="1:23">
      <c r="A123" s="8"/>
      <c r="B123" s="10"/>
      <c r="C123" s="8"/>
      <c r="D123" s="8"/>
      <c r="E123" s="8"/>
      <c r="F123" s="8"/>
      <c r="G123" s="8"/>
      <c r="H123" s="8"/>
      <c r="I123" s="8"/>
      <c r="J123" s="11"/>
      <c r="K123" s="11"/>
      <c r="L123" s="11"/>
      <c r="M123" s="11"/>
      <c r="N123" s="12" t="str">
        <f t="shared" si="5"/>
        <v/>
      </c>
      <c r="O123" s="16" t="str">
        <f t="shared" si="6"/>
        <v/>
      </c>
      <c r="P123" s="11"/>
      <c r="Q123" s="16" t="str">
        <f t="shared" si="7"/>
        <v/>
      </c>
      <c r="R123" s="16" t="str">
        <f t="shared" si="8"/>
        <v/>
      </c>
      <c r="S123" s="9" t="str">
        <f t="shared" si="9"/>
        <v/>
      </c>
      <c r="T123" s="8"/>
      <c r="U123" s="8"/>
      <c r="V123" s="8"/>
      <c r="W123" s="10"/>
    </row>
    <row r="124" spans="1:23">
      <c r="A124" s="8"/>
      <c r="B124" s="10"/>
      <c r="C124" s="8"/>
      <c r="D124" s="8"/>
      <c r="E124" s="8"/>
      <c r="F124" s="8"/>
      <c r="G124" s="8"/>
      <c r="H124" s="8"/>
      <c r="I124" s="8"/>
      <c r="J124" s="11"/>
      <c r="K124" s="11"/>
      <c r="L124" s="11"/>
      <c r="M124" s="11"/>
      <c r="N124" s="12" t="str">
        <f t="shared" si="5"/>
        <v/>
      </c>
      <c r="O124" s="16" t="str">
        <f t="shared" si="6"/>
        <v/>
      </c>
      <c r="P124" s="11"/>
      <c r="Q124" s="16" t="str">
        <f t="shared" si="7"/>
        <v/>
      </c>
      <c r="R124" s="16" t="str">
        <f t="shared" si="8"/>
        <v/>
      </c>
      <c r="S124" s="9" t="str">
        <f t="shared" si="9"/>
        <v/>
      </c>
      <c r="T124" s="8"/>
      <c r="U124" s="8"/>
      <c r="V124" s="8"/>
      <c r="W124" s="10"/>
    </row>
    <row r="125" spans="1:23">
      <c r="A125" s="8"/>
      <c r="B125" s="10"/>
      <c r="C125" s="8"/>
      <c r="D125" s="8"/>
      <c r="E125" s="8"/>
      <c r="F125" s="8"/>
      <c r="G125" s="8"/>
      <c r="H125" s="8"/>
      <c r="I125" s="8"/>
      <c r="J125" s="11"/>
      <c r="K125" s="11"/>
      <c r="L125" s="11"/>
      <c r="M125" s="11"/>
      <c r="N125" s="12" t="str">
        <f t="shared" si="5"/>
        <v/>
      </c>
      <c r="O125" s="16" t="str">
        <f t="shared" si="6"/>
        <v/>
      </c>
      <c r="P125" s="11"/>
      <c r="Q125" s="16" t="str">
        <f t="shared" si="7"/>
        <v/>
      </c>
      <c r="R125" s="16" t="str">
        <f t="shared" si="8"/>
        <v/>
      </c>
      <c r="S125" s="9" t="str">
        <f t="shared" si="9"/>
        <v/>
      </c>
      <c r="T125" s="8"/>
      <c r="U125" s="8"/>
      <c r="V125" s="8"/>
      <c r="W125" s="10"/>
    </row>
    <row r="126" spans="1:23">
      <c r="A126" s="8"/>
      <c r="B126" s="10"/>
      <c r="C126" s="8"/>
      <c r="D126" s="8"/>
      <c r="E126" s="8"/>
      <c r="F126" s="8"/>
      <c r="G126" s="8"/>
      <c r="H126" s="8"/>
      <c r="I126" s="8"/>
      <c r="J126" s="11"/>
      <c r="K126" s="11"/>
      <c r="L126" s="11"/>
      <c r="M126" s="11"/>
      <c r="N126" s="12" t="str">
        <f t="shared" si="5"/>
        <v/>
      </c>
      <c r="O126" s="16" t="str">
        <f t="shared" si="6"/>
        <v/>
      </c>
      <c r="P126" s="11"/>
      <c r="Q126" s="16" t="str">
        <f t="shared" si="7"/>
        <v/>
      </c>
      <c r="R126" s="16" t="str">
        <f t="shared" si="8"/>
        <v/>
      </c>
      <c r="S126" s="9" t="str">
        <f t="shared" si="9"/>
        <v/>
      </c>
      <c r="T126" s="8"/>
      <c r="U126" s="8"/>
      <c r="V126" s="8"/>
      <c r="W126" s="10"/>
    </row>
    <row r="127" spans="1:23">
      <c r="A127" s="8"/>
      <c r="B127" s="10"/>
      <c r="C127" s="8"/>
      <c r="D127" s="8"/>
      <c r="E127" s="8"/>
      <c r="F127" s="8"/>
      <c r="G127" s="8"/>
      <c r="H127" s="8"/>
      <c r="I127" s="8"/>
      <c r="J127" s="11"/>
      <c r="K127" s="11"/>
      <c r="L127" s="11"/>
      <c r="M127" s="11"/>
      <c r="N127" s="12" t="str">
        <f t="shared" si="5"/>
        <v/>
      </c>
      <c r="O127" s="16" t="str">
        <f t="shared" si="6"/>
        <v/>
      </c>
      <c r="P127" s="11"/>
      <c r="Q127" s="16" t="str">
        <f t="shared" si="7"/>
        <v/>
      </c>
      <c r="R127" s="16" t="str">
        <f t="shared" si="8"/>
        <v/>
      </c>
      <c r="S127" s="9" t="str">
        <f t="shared" si="9"/>
        <v/>
      </c>
      <c r="T127" s="8"/>
      <c r="U127" s="8"/>
      <c r="V127" s="8"/>
      <c r="W127" s="10"/>
    </row>
    <row r="128" spans="1:23">
      <c r="A128" s="8"/>
      <c r="B128" s="10"/>
      <c r="C128" s="8"/>
      <c r="D128" s="8"/>
      <c r="E128" s="8"/>
      <c r="F128" s="8"/>
      <c r="G128" s="8"/>
      <c r="H128" s="8"/>
      <c r="I128" s="8"/>
      <c r="J128" s="11"/>
      <c r="K128" s="11"/>
      <c r="L128" s="11"/>
      <c r="M128" s="11"/>
      <c r="N128" s="12" t="str">
        <f t="shared" si="5"/>
        <v/>
      </c>
      <c r="O128" s="16" t="str">
        <f t="shared" si="6"/>
        <v/>
      </c>
      <c r="P128" s="11"/>
      <c r="Q128" s="16" t="str">
        <f t="shared" si="7"/>
        <v/>
      </c>
      <c r="R128" s="16" t="str">
        <f t="shared" si="8"/>
        <v/>
      </c>
      <c r="S128" s="9" t="str">
        <f t="shared" si="9"/>
        <v/>
      </c>
      <c r="T128" s="8"/>
      <c r="U128" s="8"/>
      <c r="V128" s="8"/>
      <c r="W128" s="10"/>
    </row>
    <row r="129" spans="1:23">
      <c r="A129" s="8"/>
      <c r="B129" s="10"/>
      <c r="C129" s="8"/>
      <c r="D129" s="8"/>
      <c r="E129" s="8"/>
      <c r="F129" s="8"/>
      <c r="G129" s="8"/>
      <c r="H129" s="8"/>
      <c r="I129" s="8"/>
      <c r="J129" s="11"/>
      <c r="K129" s="11"/>
      <c r="L129" s="11"/>
      <c r="M129" s="11"/>
      <c r="N129" s="12" t="str">
        <f t="shared" si="5"/>
        <v/>
      </c>
      <c r="O129" s="16" t="str">
        <f t="shared" si="6"/>
        <v/>
      </c>
      <c r="P129" s="11"/>
      <c r="Q129" s="16" t="str">
        <f t="shared" si="7"/>
        <v/>
      </c>
      <c r="R129" s="16" t="str">
        <f t="shared" si="8"/>
        <v/>
      </c>
      <c r="S129" s="9" t="str">
        <f t="shared" si="9"/>
        <v/>
      </c>
      <c r="T129" s="8"/>
      <c r="U129" s="8"/>
      <c r="V129" s="8"/>
      <c r="W129" s="10"/>
    </row>
    <row r="130" spans="1:23">
      <c r="A130" s="8"/>
      <c r="B130" s="10"/>
      <c r="C130" s="8"/>
      <c r="D130" s="8"/>
      <c r="E130" s="8"/>
      <c r="F130" s="8"/>
      <c r="G130" s="8"/>
      <c r="H130" s="8"/>
      <c r="I130" s="8"/>
      <c r="J130" s="11"/>
      <c r="K130" s="11"/>
      <c r="L130" s="11"/>
      <c r="M130" s="11"/>
      <c r="N130" s="12" t="str">
        <f t="shared" si="5"/>
        <v/>
      </c>
      <c r="O130" s="16" t="str">
        <f t="shared" si="6"/>
        <v/>
      </c>
      <c r="P130" s="11"/>
      <c r="Q130" s="16" t="str">
        <f t="shared" si="7"/>
        <v/>
      </c>
      <c r="R130" s="16" t="str">
        <f t="shared" si="8"/>
        <v/>
      </c>
      <c r="S130" s="9" t="str">
        <f t="shared" si="9"/>
        <v/>
      </c>
      <c r="T130" s="8"/>
      <c r="U130" s="8"/>
      <c r="V130" s="8"/>
      <c r="W130" s="10"/>
    </row>
    <row r="131" spans="1:23">
      <c r="A131" s="8"/>
      <c r="B131" s="10"/>
      <c r="C131" s="8"/>
      <c r="D131" s="8"/>
      <c r="E131" s="8"/>
      <c r="F131" s="8"/>
      <c r="G131" s="8"/>
      <c r="H131" s="8"/>
      <c r="I131" s="8"/>
      <c r="J131" s="11"/>
      <c r="K131" s="11"/>
      <c r="L131" s="11"/>
      <c r="M131" s="11"/>
      <c r="N131" s="12" t="str">
        <f t="shared" si="5"/>
        <v/>
      </c>
      <c r="O131" s="16" t="str">
        <f t="shared" si="6"/>
        <v/>
      </c>
      <c r="P131" s="11"/>
      <c r="Q131" s="16" t="str">
        <f t="shared" si="7"/>
        <v/>
      </c>
      <c r="R131" s="16" t="str">
        <f t="shared" si="8"/>
        <v/>
      </c>
      <c r="S131" s="9" t="str">
        <f t="shared" si="9"/>
        <v/>
      </c>
      <c r="T131" s="8"/>
      <c r="U131" s="8"/>
      <c r="V131" s="8"/>
      <c r="W131" s="10"/>
    </row>
    <row r="132" spans="1:23">
      <c r="A132" s="8"/>
      <c r="B132" s="10"/>
      <c r="C132" s="8"/>
      <c r="D132" s="8"/>
      <c r="E132" s="8"/>
      <c r="F132" s="8"/>
      <c r="G132" s="8"/>
      <c r="H132" s="8"/>
      <c r="I132" s="8"/>
      <c r="J132" s="11"/>
      <c r="K132" s="11"/>
      <c r="L132" s="11"/>
      <c r="M132" s="11"/>
      <c r="N132" s="12" t="str">
        <f t="shared" si="5"/>
        <v/>
      </c>
      <c r="O132" s="16" t="str">
        <f t="shared" si="6"/>
        <v/>
      </c>
      <c r="P132" s="11"/>
      <c r="Q132" s="16" t="str">
        <f t="shared" si="7"/>
        <v/>
      </c>
      <c r="R132" s="16" t="str">
        <f t="shared" si="8"/>
        <v/>
      </c>
      <c r="S132" s="9" t="str">
        <f t="shared" si="9"/>
        <v/>
      </c>
      <c r="T132" s="8"/>
      <c r="U132" s="8"/>
      <c r="V132" s="8"/>
      <c r="W132" s="10"/>
    </row>
    <row r="133" spans="1:23">
      <c r="A133" s="8"/>
      <c r="B133" s="10"/>
      <c r="C133" s="8"/>
      <c r="D133" s="8"/>
      <c r="E133" s="8"/>
      <c r="F133" s="8"/>
      <c r="G133" s="8"/>
      <c r="H133" s="8"/>
      <c r="I133" s="8"/>
      <c r="J133" s="11"/>
      <c r="K133" s="11"/>
      <c r="L133" s="11"/>
      <c r="M133" s="11"/>
      <c r="N133" s="12" t="str">
        <f t="shared" ref="N133:N196" si="10">IF(A133="","",SUM(K133:M133))</f>
        <v/>
      </c>
      <c r="O133" s="16" t="str">
        <f t="shared" ref="O133:O196" si="11">IF(OR(A133="",J133=0),"",N133/J133)</f>
        <v/>
      </c>
      <c r="P133" s="11"/>
      <c r="Q133" s="16" t="str">
        <f t="shared" ref="Q133:Q196" si="12">IF(OR(A133="",J133=0),"",P133/J133)</f>
        <v/>
      </c>
      <c r="R133" s="16" t="str">
        <f t="shared" ref="R133:R196" si="13">IF(A133="","",0.05)</f>
        <v/>
      </c>
      <c r="S133" s="9" t="str">
        <f t="shared" ref="S133:S196" si="14">IF(A133="","",IF(OR(K133&gt;0,Q133&gt;R133),"Failed","Passed"))</f>
        <v/>
      </c>
      <c r="T133" s="8"/>
      <c r="U133" s="8"/>
      <c r="V133" s="8"/>
      <c r="W133" s="10"/>
    </row>
    <row r="134" spans="1:23">
      <c r="A134" s="8"/>
      <c r="B134" s="10"/>
      <c r="C134" s="8"/>
      <c r="D134" s="8"/>
      <c r="E134" s="8"/>
      <c r="F134" s="8"/>
      <c r="G134" s="8"/>
      <c r="H134" s="8"/>
      <c r="I134" s="8"/>
      <c r="J134" s="11"/>
      <c r="K134" s="11"/>
      <c r="L134" s="11"/>
      <c r="M134" s="11"/>
      <c r="N134" s="12" t="str">
        <f t="shared" si="10"/>
        <v/>
      </c>
      <c r="O134" s="16" t="str">
        <f t="shared" si="11"/>
        <v/>
      </c>
      <c r="P134" s="11"/>
      <c r="Q134" s="16" t="str">
        <f t="shared" si="12"/>
        <v/>
      </c>
      <c r="R134" s="16" t="str">
        <f t="shared" si="13"/>
        <v/>
      </c>
      <c r="S134" s="9" t="str">
        <f t="shared" si="14"/>
        <v/>
      </c>
      <c r="T134" s="8"/>
      <c r="U134" s="8"/>
      <c r="V134" s="8"/>
      <c r="W134" s="10"/>
    </row>
    <row r="135" spans="1:23">
      <c r="A135" s="8"/>
      <c r="B135" s="10"/>
      <c r="C135" s="8"/>
      <c r="D135" s="8"/>
      <c r="E135" s="8"/>
      <c r="F135" s="8"/>
      <c r="G135" s="8"/>
      <c r="H135" s="8"/>
      <c r="I135" s="8"/>
      <c r="J135" s="11"/>
      <c r="K135" s="11"/>
      <c r="L135" s="11"/>
      <c r="M135" s="11"/>
      <c r="N135" s="12" t="str">
        <f t="shared" si="10"/>
        <v/>
      </c>
      <c r="O135" s="16" t="str">
        <f t="shared" si="11"/>
        <v/>
      </c>
      <c r="P135" s="11"/>
      <c r="Q135" s="16" t="str">
        <f t="shared" si="12"/>
        <v/>
      </c>
      <c r="R135" s="16" t="str">
        <f t="shared" si="13"/>
        <v/>
      </c>
      <c r="S135" s="9" t="str">
        <f t="shared" si="14"/>
        <v/>
      </c>
      <c r="T135" s="8"/>
      <c r="U135" s="8"/>
      <c r="V135" s="8"/>
      <c r="W135" s="10"/>
    </row>
    <row r="136" spans="1:23">
      <c r="A136" s="8"/>
      <c r="B136" s="10"/>
      <c r="C136" s="8"/>
      <c r="D136" s="8"/>
      <c r="E136" s="8"/>
      <c r="F136" s="8"/>
      <c r="G136" s="8"/>
      <c r="H136" s="8"/>
      <c r="I136" s="8"/>
      <c r="J136" s="11"/>
      <c r="K136" s="11"/>
      <c r="L136" s="11"/>
      <c r="M136" s="11"/>
      <c r="N136" s="12" t="str">
        <f t="shared" si="10"/>
        <v/>
      </c>
      <c r="O136" s="16" t="str">
        <f t="shared" si="11"/>
        <v/>
      </c>
      <c r="P136" s="11"/>
      <c r="Q136" s="16" t="str">
        <f t="shared" si="12"/>
        <v/>
      </c>
      <c r="R136" s="16" t="str">
        <f t="shared" si="13"/>
        <v/>
      </c>
      <c r="S136" s="9" t="str">
        <f t="shared" si="14"/>
        <v/>
      </c>
      <c r="T136" s="8"/>
      <c r="U136" s="8"/>
      <c r="V136" s="8"/>
      <c r="W136" s="10"/>
    </row>
    <row r="137" spans="1:23">
      <c r="A137" s="8"/>
      <c r="B137" s="10"/>
      <c r="C137" s="8"/>
      <c r="D137" s="8"/>
      <c r="E137" s="8"/>
      <c r="F137" s="8"/>
      <c r="G137" s="8"/>
      <c r="H137" s="8"/>
      <c r="I137" s="8"/>
      <c r="J137" s="11"/>
      <c r="K137" s="11"/>
      <c r="L137" s="11"/>
      <c r="M137" s="11"/>
      <c r="N137" s="12" t="str">
        <f t="shared" si="10"/>
        <v/>
      </c>
      <c r="O137" s="16" t="str">
        <f t="shared" si="11"/>
        <v/>
      </c>
      <c r="P137" s="11"/>
      <c r="Q137" s="16" t="str">
        <f t="shared" si="12"/>
        <v/>
      </c>
      <c r="R137" s="16" t="str">
        <f t="shared" si="13"/>
        <v/>
      </c>
      <c r="S137" s="9" t="str">
        <f t="shared" si="14"/>
        <v/>
      </c>
      <c r="T137" s="8"/>
      <c r="U137" s="8"/>
      <c r="V137" s="8"/>
      <c r="W137" s="10"/>
    </row>
    <row r="138" spans="1:23">
      <c r="A138" s="8"/>
      <c r="B138" s="10"/>
      <c r="C138" s="8"/>
      <c r="D138" s="8"/>
      <c r="E138" s="8"/>
      <c r="F138" s="8"/>
      <c r="G138" s="8"/>
      <c r="H138" s="8"/>
      <c r="I138" s="8"/>
      <c r="J138" s="11"/>
      <c r="K138" s="11"/>
      <c r="L138" s="11"/>
      <c r="M138" s="11"/>
      <c r="N138" s="12" t="str">
        <f t="shared" si="10"/>
        <v/>
      </c>
      <c r="O138" s="16" t="str">
        <f t="shared" si="11"/>
        <v/>
      </c>
      <c r="P138" s="11"/>
      <c r="Q138" s="16" t="str">
        <f t="shared" si="12"/>
        <v/>
      </c>
      <c r="R138" s="16" t="str">
        <f t="shared" si="13"/>
        <v/>
      </c>
      <c r="S138" s="9" t="str">
        <f t="shared" si="14"/>
        <v/>
      </c>
      <c r="T138" s="8"/>
      <c r="U138" s="8"/>
      <c r="V138" s="8"/>
      <c r="W138" s="10"/>
    </row>
    <row r="139" spans="1:23">
      <c r="A139" s="8"/>
      <c r="B139" s="10"/>
      <c r="C139" s="8"/>
      <c r="D139" s="8"/>
      <c r="E139" s="8"/>
      <c r="F139" s="8"/>
      <c r="G139" s="8"/>
      <c r="H139" s="8"/>
      <c r="I139" s="8"/>
      <c r="J139" s="11"/>
      <c r="K139" s="11"/>
      <c r="L139" s="11"/>
      <c r="M139" s="11"/>
      <c r="N139" s="12" t="str">
        <f t="shared" si="10"/>
        <v/>
      </c>
      <c r="O139" s="16" t="str">
        <f t="shared" si="11"/>
        <v/>
      </c>
      <c r="P139" s="11"/>
      <c r="Q139" s="16" t="str">
        <f t="shared" si="12"/>
        <v/>
      </c>
      <c r="R139" s="16" t="str">
        <f t="shared" si="13"/>
        <v/>
      </c>
      <c r="S139" s="9" t="str">
        <f t="shared" si="14"/>
        <v/>
      </c>
      <c r="T139" s="8"/>
      <c r="U139" s="8"/>
      <c r="V139" s="8"/>
      <c r="W139" s="10"/>
    </row>
    <row r="140" spans="1:23">
      <c r="A140" s="8"/>
      <c r="B140" s="10"/>
      <c r="C140" s="8"/>
      <c r="D140" s="8"/>
      <c r="E140" s="8"/>
      <c r="F140" s="8"/>
      <c r="G140" s="8"/>
      <c r="H140" s="8"/>
      <c r="I140" s="8"/>
      <c r="J140" s="11"/>
      <c r="K140" s="11"/>
      <c r="L140" s="11"/>
      <c r="M140" s="11"/>
      <c r="N140" s="12" t="str">
        <f t="shared" si="10"/>
        <v/>
      </c>
      <c r="O140" s="16" t="str">
        <f t="shared" si="11"/>
        <v/>
      </c>
      <c r="P140" s="11"/>
      <c r="Q140" s="16" t="str">
        <f t="shared" si="12"/>
        <v/>
      </c>
      <c r="R140" s="16" t="str">
        <f t="shared" si="13"/>
        <v/>
      </c>
      <c r="S140" s="9" t="str">
        <f t="shared" si="14"/>
        <v/>
      </c>
      <c r="T140" s="8"/>
      <c r="U140" s="8"/>
      <c r="V140" s="8"/>
      <c r="W140" s="10"/>
    </row>
    <row r="141" spans="1:23">
      <c r="A141" s="8"/>
      <c r="B141" s="10"/>
      <c r="C141" s="8"/>
      <c r="D141" s="8"/>
      <c r="E141" s="8"/>
      <c r="F141" s="8"/>
      <c r="G141" s="8"/>
      <c r="H141" s="8"/>
      <c r="I141" s="8"/>
      <c r="J141" s="11"/>
      <c r="K141" s="11"/>
      <c r="L141" s="11"/>
      <c r="M141" s="11"/>
      <c r="N141" s="12" t="str">
        <f t="shared" si="10"/>
        <v/>
      </c>
      <c r="O141" s="16" t="str">
        <f t="shared" si="11"/>
        <v/>
      </c>
      <c r="P141" s="11"/>
      <c r="Q141" s="16" t="str">
        <f t="shared" si="12"/>
        <v/>
      </c>
      <c r="R141" s="16" t="str">
        <f t="shared" si="13"/>
        <v/>
      </c>
      <c r="S141" s="9" t="str">
        <f t="shared" si="14"/>
        <v/>
      </c>
      <c r="T141" s="8"/>
      <c r="U141" s="8"/>
      <c r="V141" s="8"/>
      <c r="W141" s="10"/>
    </row>
    <row r="142" spans="1:23">
      <c r="A142" s="8"/>
      <c r="B142" s="10"/>
      <c r="C142" s="8"/>
      <c r="D142" s="8"/>
      <c r="E142" s="8"/>
      <c r="F142" s="8"/>
      <c r="G142" s="8"/>
      <c r="H142" s="8"/>
      <c r="I142" s="8"/>
      <c r="J142" s="11"/>
      <c r="K142" s="11"/>
      <c r="L142" s="11"/>
      <c r="M142" s="11"/>
      <c r="N142" s="12" t="str">
        <f t="shared" si="10"/>
        <v/>
      </c>
      <c r="O142" s="16" t="str">
        <f t="shared" si="11"/>
        <v/>
      </c>
      <c r="P142" s="11"/>
      <c r="Q142" s="16" t="str">
        <f t="shared" si="12"/>
        <v/>
      </c>
      <c r="R142" s="16" t="str">
        <f t="shared" si="13"/>
        <v/>
      </c>
      <c r="S142" s="9" t="str">
        <f t="shared" si="14"/>
        <v/>
      </c>
      <c r="T142" s="8"/>
      <c r="U142" s="8"/>
      <c r="V142" s="8"/>
      <c r="W142" s="10"/>
    </row>
    <row r="143" spans="1:23">
      <c r="A143" s="8"/>
      <c r="B143" s="10"/>
      <c r="C143" s="8"/>
      <c r="D143" s="8"/>
      <c r="E143" s="8"/>
      <c r="F143" s="8"/>
      <c r="G143" s="8"/>
      <c r="H143" s="8"/>
      <c r="I143" s="8"/>
      <c r="J143" s="11"/>
      <c r="K143" s="11"/>
      <c r="L143" s="11"/>
      <c r="M143" s="11"/>
      <c r="N143" s="12" t="str">
        <f t="shared" si="10"/>
        <v/>
      </c>
      <c r="O143" s="16" t="str">
        <f t="shared" si="11"/>
        <v/>
      </c>
      <c r="P143" s="11"/>
      <c r="Q143" s="16" t="str">
        <f t="shared" si="12"/>
        <v/>
      </c>
      <c r="R143" s="16" t="str">
        <f t="shared" si="13"/>
        <v/>
      </c>
      <c r="S143" s="9" t="str">
        <f t="shared" si="14"/>
        <v/>
      </c>
      <c r="T143" s="8"/>
      <c r="U143" s="8"/>
      <c r="V143" s="8"/>
      <c r="W143" s="10"/>
    </row>
    <row r="144" spans="1:23">
      <c r="A144" s="8"/>
      <c r="B144" s="10"/>
      <c r="C144" s="8"/>
      <c r="D144" s="8"/>
      <c r="E144" s="8"/>
      <c r="F144" s="8"/>
      <c r="G144" s="8"/>
      <c r="H144" s="8"/>
      <c r="I144" s="8"/>
      <c r="J144" s="11"/>
      <c r="K144" s="11"/>
      <c r="L144" s="11"/>
      <c r="M144" s="11"/>
      <c r="N144" s="12" t="str">
        <f t="shared" si="10"/>
        <v/>
      </c>
      <c r="O144" s="16" t="str">
        <f t="shared" si="11"/>
        <v/>
      </c>
      <c r="P144" s="11"/>
      <c r="Q144" s="16" t="str">
        <f t="shared" si="12"/>
        <v/>
      </c>
      <c r="R144" s="16" t="str">
        <f t="shared" si="13"/>
        <v/>
      </c>
      <c r="S144" s="9" t="str">
        <f t="shared" si="14"/>
        <v/>
      </c>
      <c r="T144" s="8"/>
      <c r="U144" s="8"/>
      <c r="V144" s="8"/>
      <c r="W144" s="10"/>
    </row>
    <row r="145" spans="1:23">
      <c r="A145" s="8"/>
      <c r="B145" s="10"/>
      <c r="C145" s="8"/>
      <c r="D145" s="8"/>
      <c r="E145" s="8"/>
      <c r="F145" s="8"/>
      <c r="G145" s="8"/>
      <c r="H145" s="8"/>
      <c r="I145" s="8"/>
      <c r="J145" s="11"/>
      <c r="K145" s="11"/>
      <c r="L145" s="11"/>
      <c r="M145" s="11"/>
      <c r="N145" s="12" t="str">
        <f t="shared" si="10"/>
        <v/>
      </c>
      <c r="O145" s="16" t="str">
        <f t="shared" si="11"/>
        <v/>
      </c>
      <c r="P145" s="11"/>
      <c r="Q145" s="16" t="str">
        <f t="shared" si="12"/>
        <v/>
      </c>
      <c r="R145" s="16" t="str">
        <f t="shared" si="13"/>
        <v/>
      </c>
      <c r="S145" s="9" t="str">
        <f t="shared" si="14"/>
        <v/>
      </c>
      <c r="T145" s="8"/>
      <c r="U145" s="8"/>
      <c r="V145" s="8"/>
      <c r="W145" s="10"/>
    </row>
    <row r="146" spans="1:23">
      <c r="A146" s="8"/>
      <c r="B146" s="10"/>
      <c r="C146" s="8"/>
      <c r="D146" s="8"/>
      <c r="E146" s="8"/>
      <c r="F146" s="8"/>
      <c r="G146" s="8"/>
      <c r="H146" s="8"/>
      <c r="I146" s="8"/>
      <c r="J146" s="11"/>
      <c r="K146" s="11"/>
      <c r="L146" s="11"/>
      <c r="M146" s="11"/>
      <c r="N146" s="12" t="str">
        <f t="shared" si="10"/>
        <v/>
      </c>
      <c r="O146" s="16" t="str">
        <f t="shared" si="11"/>
        <v/>
      </c>
      <c r="P146" s="11"/>
      <c r="Q146" s="16" t="str">
        <f t="shared" si="12"/>
        <v/>
      </c>
      <c r="R146" s="16" t="str">
        <f t="shared" si="13"/>
        <v/>
      </c>
      <c r="S146" s="9" t="str">
        <f t="shared" si="14"/>
        <v/>
      </c>
      <c r="T146" s="8"/>
      <c r="U146" s="8"/>
      <c r="V146" s="8"/>
      <c r="W146" s="10"/>
    </row>
    <row r="147" spans="1:23">
      <c r="A147" s="8"/>
      <c r="B147" s="10"/>
      <c r="C147" s="8"/>
      <c r="D147" s="8"/>
      <c r="E147" s="8"/>
      <c r="F147" s="8"/>
      <c r="G147" s="8"/>
      <c r="H147" s="8"/>
      <c r="I147" s="8"/>
      <c r="J147" s="11"/>
      <c r="K147" s="11"/>
      <c r="L147" s="11"/>
      <c r="M147" s="11"/>
      <c r="N147" s="12" t="str">
        <f t="shared" si="10"/>
        <v/>
      </c>
      <c r="O147" s="16" t="str">
        <f t="shared" si="11"/>
        <v/>
      </c>
      <c r="P147" s="11"/>
      <c r="Q147" s="16" t="str">
        <f t="shared" si="12"/>
        <v/>
      </c>
      <c r="R147" s="16" t="str">
        <f t="shared" si="13"/>
        <v/>
      </c>
      <c r="S147" s="9" t="str">
        <f t="shared" si="14"/>
        <v/>
      </c>
      <c r="T147" s="8"/>
      <c r="U147" s="8"/>
      <c r="V147" s="8"/>
      <c r="W147" s="10"/>
    </row>
    <row r="148" spans="1:23">
      <c r="A148" s="8"/>
      <c r="B148" s="10"/>
      <c r="C148" s="8"/>
      <c r="D148" s="8"/>
      <c r="E148" s="8"/>
      <c r="F148" s="8"/>
      <c r="G148" s="8"/>
      <c r="H148" s="8"/>
      <c r="I148" s="8"/>
      <c r="J148" s="11"/>
      <c r="K148" s="11"/>
      <c r="L148" s="11"/>
      <c r="M148" s="11"/>
      <c r="N148" s="12" t="str">
        <f t="shared" si="10"/>
        <v/>
      </c>
      <c r="O148" s="16" t="str">
        <f t="shared" si="11"/>
        <v/>
      </c>
      <c r="P148" s="11"/>
      <c r="Q148" s="16" t="str">
        <f t="shared" si="12"/>
        <v/>
      </c>
      <c r="R148" s="16" t="str">
        <f t="shared" si="13"/>
        <v/>
      </c>
      <c r="S148" s="9" t="str">
        <f t="shared" si="14"/>
        <v/>
      </c>
      <c r="T148" s="8"/>
      <c r="U148" s="8"/>
      <c r="V148" s="8"/>
      <c r="W148" s="10"/>
    </row>
    <row r="149" spans="1:23">
      <c r="A149" s="8"/>
      <c r="B149" s="10"/>
      <c r="C149" s="8"/>
      <c r="D149" s="8"/>
      <c r="E149" s="8"/>
      <c r="F149" s="8"/>
      <c r="G149" s="8"/>
      <c r="H149" s="8"/>
      <c r="I149" s="8"/>
      <c r="J149" s="11"/>
      <c r="K149" s="11"/>
      <c r="L149" s="11"/>
      <c r="M149" s="11"/>
      <c r="N149" s="12" t="str">
        <f t="shared" si="10"/>
        <v/>
      </c>
      <c r="O149" s="16" t="str">
        <f t="shared" si="11"/>
        <v/>
      </c>
      <c r="P149" s="11"/>
      <c r="Q149" s="16" t="str">
        <f t="shared" si="12"/>
        <v/>
      </c>
      <c r="R149" s="16" t="str">
        <f t="shared" si="13"/>
        <v/>
      </c>
      <c r="S149" s="9" t="str">
        <f t="shared" si="14"/>
        <v/>
      </c>
      <c r="T149" s="8"/>
      <c r="U149" s="8"/>
      <c r="V149" s="8"/>
      <c r="W149" s="10"/>
    </row>
    <row r="150" spans="1:23">
      <c r="A150" s="8"/>
      <c r="B150" s="10"/>
      <c r="C150" s="8"/>
      <c r="D150" s="8"/>
      <c r="E150" s="8"/>
      <c r="F150" s="8"/>
      <c r="G150" s="8"/>
      <c r="H150" s="8"/>
      <c r="I150" s="8"/>
      <c r="J150" s="11"/>
      <c r="K150" s="11"/>
      <c r="L150" s="11"/>
      <c r="M150" s="11"/>
      <c r="N150" s="12" t="str">
        <f t="shared" si="10"/>
        <v/>
      </c>
      <c r="O150" s="16" t="str">
        <f t="shared" si="11"/>
        <v/>
      </c>
      <c r="P150" s="11"/>
      <c r="Q150" s="16" t="str">
        <f t="shared" si="12"/>
        <v/>
      </c>
      <c r="R150" s="16" t="str">
        <f t="shared" si="13"/>
        <v/>
      </c>
      <c r="S150" s="9" t="str">
        <f t="shared" si="14"/>
        <v/>
      </c>
      <c r="T150" s="8"/>
      <c r="U150" s="8"/>
      <c r="V150" s="8"/>
      <c r="W150" s="10"/>
    </row>
    <row r="151" spans="1:23">
      <c r="A151" s="8"/>
      <c r="B151" s="10"/>
      <c r="C151" s="8"/>
      <c r="D151" s="8"/>
      <c r="E151" s="8"/>
      <c r="F151" s="8"/>
      <c r="G151" s="8"/>
      <c r="H151" s="8"/>
      <c r="I151" s="8"/>
      <c r="J151" s="11"/>
      <c r="K151" s="11"/>
      <c r="L151" s="11"/>
      <c r="M151" s="11"/>
      <c r="N151" s="12" t="str">
        <f t="shared" si="10"/>
        <v/>
      </c>
      <c r="O151" s="16" t="str">
        <f t="shared" si="11"/>
        <v/>
      </c>
      <c r="P151" s="11"/>
      <c r="Q151" s="16" t="str">
        <f t="shared" si="12"/>
        <v/>
      </c>
      <c r="R151" s="16" t="str">
        <f t="shared" si="13"/>
        <v/>
      </c>
      <c r="S151" s="9" t="str">
        <f t="shared" si="14"/>
        <v/>
      </c>
      <c r="T151" s="8"/>
      <c r="U151" s="8"/>
      <c r="V151" s="8"/>
      <c r="W151" s="10"/>
    </row>
    <row r="152" spans="1:23">
      <c r="A152" s="8"/>
      <c r="B152" s="10"/>
      <c r="C152" s="8"/>
      <c r="D152" s="8"/>
      <c r="E152" s="8"/>
      <c r="F152" s="8"/>
      <c r="G152" s="8"/>
      <c r="H152" s="8"/>
      <c r="I152" s="8"/>
      <c r="J152" s="11"/>
      <c r="K152" s="11"/>
      <c r="L152" s="11"/>
      <c r="M152" s="11"/>
      <c r="N152" s="12" t="str">
        <f t="shared" si="10"/>
        <v/>
      </c>
      <c r="O152" s="16" t="str">
        <f t="shared" si="11"/>
        <v/>
      </c>
      <c r="P152" s="11"/>
      <c r="Q152" s="16" t="str">
        <f t="shared" si="12"/>
        <v/>
      </c>
      <c r="R152" s="16" t="str">
        <f t="shared" si="13"/>
        <v/>
      </c>
      <c r="S152" s="9" t="str">
        <f t="shared" si="14"/>
        <v/>
      </c>
      <c r="T152" s="8"/>
      <c r="U152" s="8"/>
      <c r="V152" s="8"/>
      <c r="W152" s="10"/>
    </row>
    <row r="153" spans="1:23">
      <c r="A153" s="8"/>
      <c r="B153" s="10"/>
      <c r="C153" s="8"/>
      <c r="D153" s="8"/>
      <c r="E153" s="8"/>
      <c r="F153" s="8"/>
      <c r="G153" s="8"/>
      <c r="H153" s="8"/>
      <c r="I153" s="8"/>
      <c r="J153" s="11"/>
      <c r="K153" s="11"/>
      <c r="L153" s="11"/>
      <c r="M153" s="11"/>
      <c r="N153" s="12" t="str">
        <f t="shared" si="10"/>
        <v/>
      </c>
      <c r="O153" s="16" t="str">
        <f t="shared" si="11"/>
        <v/>
      </c>
      <c r="P153" s="11"/>
      <c r="Q153" s="16" t="str">
        <f t="shared" si="12"/>
        <v/>
      </c>
      <c r="R153" s="16" t="str">
        <f t="shared" si="13"/>
        <v/>
      </c>
      <c r="S153" s="9" t="str">
        <f t="shared" si="14"/>
        <v/>
      </c>
      <c r="T153" s="8"/>
      <c r="U153" s="8"/>
      <c r="V153" s="8"/>
      <c r="W153" s="10"/>
    </row>
    <row r="154" spans="1:23">
      <c r="A154" s="8"/>
      <c r="B154" s="10"/>
      <c r="C154" s="8"/>
      <c r="D154" s="8"/>
      <c r="E154" s="8"/>
      <c r="F154" s="8"/>
      <c r="G154" s="8"/>
      <c r="H154" s="8"/>
      <c r="I154" s="8"/>
      <c r="J154" s="11"/>
      <c r="K154" s="11"/>
      <c r="L154" s="11"/>
      <c r="M154" s="11"/>
      <c r="N154" s="12" t="str">
        <f t="shared" si="10"/>
        <v/>
      </c>
      <c r="O154" s="16" t="str">
        <f t="shared" si="11"/>
        <v/>
      </c>
      <c r="P154" s="11"/>
      <c r="Q154" s="16" t="str">
        <f t="shared" si="12"/>
        <v/>
      </c>
      <c r="R154" s="16" t="str">
        <f t="shared" si="13"/>
        <v/>
      </c>
      <c r="S154" s="9" t="str">
        <f t="shared" si="14"/>
        <v/>
      </c>
      <c r="T154" s="8"/>
      <c r="U154" s="8"/>
      <c r="V154" s="8"/>
      <c r="W154" s="10"/>
    </row>
    <row r="155" spans="1:23">
      <c r="A155" s="8"/>
      <c r="B155" s="10"/>
      <c r="C155" s="8"/>
      <c r="D155" s="8"/>
      <c r="E155" s="8"/>
      <c r="F155" s="8"/>
      <c r="G155" s="8"/>
      <c r="H155" s="8"/>
      <c r="I155" s="8"/>
      <c r="J155" s="11"/>
      <c r="K155" s="11"/>
      <c r="L155" s="11"/>
      <c r="M155" s="11"/>
      <c r="N155" s="12" t="str">
        <f t="shared" si="10"/>
        <v/>
      </c>
      <c r="O155" s="16" t="str">
        <f t="shared" si="11"/>
        <v/>
      </c>
      <c r="P155" s="11"/>
      <c r="Q155" s="16" t="str">
        <f t="shared" si="12"/>
        <v/>
      </c>
      <c r="R155" s="16" t="str">
        <f t="shared" si="13"/>
        <v/>
      </c>
      <c r="S155" s="9" t="str">
        <f t="shared" si="14"/>
        <v/>
      </c>
      <c r="T155" s="8"/>
      <c r="U155" s="8"/>
      <c r="V155" s="8"/>
      <c r="W155" s="10"/>
    </row>
    <row r="156" spans="1:23">
      <c r="A156" s="8"/>
      <c r="B156" s="10"/>
      <c r="C156" s="8"/>
      <c r="D156" s="8"/>
      <c r="E156" s="8"/>
      <c r="F156" s="8"/>
      <c r="G156" s="8"/>
      <c r="H156" s="8"/>
      <c r="I156" s="8"/>
      <c r="J156" s="11"/>
      <c r="K156" s="11"/>
      <c r="L156" s="11"/>
      <c r="M156" s="11"/>
      <c r="N156" s="12" t="str">
        <f t="shared" si="10"/>
        <v/>
      </c>
      <c r="O156" s="16" t="str">
        <f t="shared" si="11"/>
        <v/>
      </c>
      <c r="P156" s="11"/>
      <c r="Q156" s="16" t="str">
        <f t="shared" si="12"/>
        <v/>
      </c>
      <c r="R156" s="16" t="str">
        <f t="shared" si="13"/>
        <v/>
      </c>
      <c r="S156" s="9" t="str">
        <f t="shared" si="14"/>
        <v/>
      </c>
      <c r="T156" s="8"/>
      <c r="U156" s="8"/>
      <c r="V156" s="8"/>
      <c r="W156" s="10"/>
    </row>
    <row r="157" spans="1:23">
      <c r="A157" s="8"/>
      <c r="B157" s="10"/>
      <c r="C157" s="8"/>
      <c r="D157" s="8"/>
      <c r="E157" s="8"/>
      <c r="F157" s="8"/>
      <c r="G157" s="8"/>
      <c r="H157" s="8"/>
      <c r="I157" s="8"/>
      <c r="J157" s="11"/>
      <c r="K157" s="11"/>
      <c r="L157" s="11"/>
      <c r="M157" s="11"/>
      <c r="N157" s="12" t="str">
        <f t="shared" si="10"/>
        <v/>
      </c>
      <c r="O157" s="16" t="str">
        <f t="shared" si="11"/>
        <v/>
      </c>
      <c r="P157" s="11"/>
      <c r="Q157" s="16" t="str">
        <f t="shared" si="12"/>
        <v/>
      </c>
      <c r="R157" s="16" t="str">
        <f t="shared" si="13"/>
        <v/>
      </c>
      <c r="S157" s="9" t="str">
        <f t="shared" si="14"/>
        <v/>
      </c>
      <c r="T157" s="8"/>
      <c r="U157" s="8"/>
      <c r="V157" s="8"/>
      <c r="W157" s="10"/>
    </row>
    <row r="158" spans="1:23">
      <c r="A158" s="8"/>
      <c r="B158" s="10"/>
      <c r="C158" s="8"/>
      <c r="D158" s="8"/>
      <c r="E158" s="8"/>
      <c r="F158" s="8"/>
      <c r="G158" s="8"/>
      <c r="H158" s="8"/>
      <c r="I158" s="8"/>
      <c r="J158" s="11"/>
      <c r="K158" s="11"/>
      <c r="L158" s="11"/>
      <c r="M158" s="11"/>
      <c r="N158" s="12" t="str">
        <f t="shared" si="10"/>
        <v/>
      </c>
      <c r="O158" s="16" t="str">
        <f t="shared" si="11"/>
        <v/>
      </c>
      <c r="P158" s="11"/>
      <c r="Q158" s="16" t="str">
        <f t="shared" si="12"/>
        <v/>
      </c>
      <c r="R158" s="16" t="str">
        <f t="shared" si="13"/>
        <v/>
      </c>
      <c r="S158" s="9" t="str">
        <f t="shared" si="14"/>
        <v/>
      </c>
      <c r="T158" s="8"/>
      <c r="U158" s="8"/>
      <c r="V158" s="8"/>
      <c r="W158" s="10"/>
    </row>
    <row r="159" spans="1:23">
      <c r="A159" s="8"/>
      <c r="B159" s="10"/>
      <c r="C159" s="8"/>
      <c r="D159" s="8"/>
      <c r="E159" s="8"/>
      <c r="F159" s="8"/>
      <c r="G159" s="8"/>
      <c r="H159" s="8"/>
      <c r="I159" s="8"/>
      <c r="J159" s="11"/>
      <c r="K159" s="11"/>
      <c r="L159" s="11"/>
      <c r="M159" s="11"/>
      <c r="N159" s="12" t="str">
        <f t="shared" si="10"/>
        <v/>
      </c>
      <c r="O159" s="16" t="str">
        <f t="shared" si="11"/>
        <v/>
      </c>
      <c r="P159" s="11"/>
      <c r="Q159" s="16" t="str">
        <f t="shared" si="12"/>
        <v/>
      </c>
      <c r="R159" s="16" t="str">
        <f t="shared" si="13"/>
        <v/>
      </c>
      <c r="S159" s="9" t="str">
        <f t="shared" si="14"/>
        <v/>
      </c>
      <c r="T159" s="8"/>
      <c r="U159" s="8"/>
      <c r="V159" s="8"/>
      <c r="W159" s="10"/>
    </row>
    <row r="160" spans="1:23">
      <c r="A160" s="8"/>
      <c r="B160" s="10"/>
      <c r="C160" s="8"/>
      <c r="D160" s="8"/>
      <c r="E160" s="8"/>
      <c r="F160" s="8"/>
      <c r="G160" s="8"/>
      <c r="H160" s="8"/>
      <c r="I160" s="8"/>
      <c r="J160" s="11"/>
      <c r="K160" s="11"/>
      <c r="L160" s="11"/>
      <c r="M160" s="11"/>
      <c r="N160" s="12" t="str">
        <f t="shared" si="10"/>
        <v/>
      </c>
      <c r="O160" s="16" t="str">
        <f t="shared" si="11"/>
        <v/>
      </c>
      <c r="P160" s="11"/>
      <c r="Q160" s="16" t="str">
        <f t="shared" si="12"/>
        <v/>
      </c>
      <c r="R160" s="16" t="str">
        <f t="shared" si="13"/>
        <v/>
      </c>
      <c r="S160" s="9" t="str">
        <f t="shared" si="14"/>
        <v/>
      </c>
      <c r="T160" s="8"/>
      <c r="U160" s="8"/>
      <c r="V160" s="8"/>
      <c r="W160" s="10"/>
    </row>
    <row r="161" spans="1:23">
      <c r="A161" s="8"/>
      <c r="B161" s="10"/>
      <c r="C161" s="8"/>
      <c r="D161" s="8"/>
      <c r="E161" s="8"/>
      <c r="F161" s="8"/>
      <c r="G161" s="8"/>
      <c r="H161" s="8"/>
      <c r="I161" s="8"/>
      <c r="J161" s="11"/>
      <c r="K161" s="11"/>
      <c r="L161" s="11"/>
      <c r="M161" s="11"/>
      <c r="N161" s="12" t="str">
        <f t="shared" si="10"/>
        <v/>
      </c>
      <c r="O161" s="16" t="str">
        <f t="shared" si="11"/>
        <v/>
      </c>
      <c r="P161" s="11"/>
      <c r="Q161" s="16" t="str">
        <f t="shared" si="12"/>
        <v/>
      </c>
      <c r="R161" s="16" t="str">
        <f t="shared" si="13"/>
        <v/>
      </c>
      <c r="S161" s="9" t="str">
        <f t="shared" si="14"/>
        <v/>
      </c>
      <c r="T161" s="8"/>
      <c r="U161" s="8"/>
      <c r="V161" s="8"/>
      <c r="W161" s="10"/>
    </row>
    <row r="162" spans="1:23">
      <c r="A162" s="8"/>
      <c r="B162" s="10"/>
      <c r="C162" s="8"/>
      <c r="D162" s="8"/>
      <c r="E162" s="8"/>
      <c r="F162" s="8"/>
      <c r="G162" s="8"/>
      <c r="H162" s="8"/>
      <c r="I162" s="8"/>
      <c r="J162" s="11"/>
      <c r="K162" s="11"/>
      <c r="L162" s="11"/>
      <c r="M162" s="11"/>
      <c r="N162" s="12" t="str">
        <f t="shared" si="10"/>
        <v/>
      </c>
      <c r="O162" s="16" t="str">
        <f t="shared" si="11"/>
        <v/>
      </c>
      <c r="P162" s="11"/>
      <c r="Q162" s="16" t="str">
        <f t="shared" si="12"/>
        <v/>
      </c>
      <c r="R162" s="16" t="str">
        <f t="shared" si="13"/>
        <v/>
      </c>
      <c r="S162" s="9" t="str">
        <f t="shared" si="14"/>
        <v/>
      </c>
      <c r="T162" s="8"/>
      <c r="U162" s="8"/>
      <c r="V162" s="8"/>
      <c r="W162" s="10"/>
    </row>
    <row r="163" spans="1:23">
      <c r="A163" s="8"/>
      <c r="B163" s="10"/>
      <c r="C163" s="8"/>
      <c r="D163" s="8"/>
      <c r="E163" s="8"/>
      <c r="F163" s="8"/>
      <c r="G163" s="8"/>
      <c r="H163" s="8"/>
      <c r="I163" s="8"/>
      <c r="J163" s="11"/>
      <c r="K163" s="11"/>
      <c r="L163" s="11"/>
      <c r="M163" s="11"/>
      <c r="N163" s="12" t="str">
        <f t="shared" si="10"/>
        <v/>
      </c>
      <c r="O163" s="16" t="str">
        <f t="shared" si="11"/>
        <v/>
      </c>
      <c r="P163" s="11"/>
      <c r="Q163" s="16" t="str">
        <f t="shared" si="12"/>
        <v/>
      </c>
      <c r="R163" s="16" t="str">
        <f t="shared" si="13"/>
        <v/>
      </c>
      <c r="S163" s="9" t="str">
        <f t="shared" si="14"/>
        <v/>
      </c>
      <c r="T163" s="8"/>
      <c r="U163" s="8"/>
      <c r="V163" s="8"/>
      <c r="W163" s="10"/>
    </row>
    <row r="164" spans="1:23">
      <c r="A164" s="8"/>
      <c r="B164" s="10"/>
      <c r="C164" s="8"/>
      <c r="D164" s="8"/>
      <c r="E164" s="8"/>
      <c r="F164" s="8"/>
      <c r="G164" s="8"/>
      <c r="H164" s="8"/>
      <c r="I164" s="8"/>
      <c r="J164" s="11"/>
      <c r="K164" s="11"/>
      <c r="L164" s="11"/>
      <c r="M164" s="11"/>
      <c r="N164" s="12" t="str">
        <f t="shared" si="10"/>
        <v/>
      </c>
      <c r="O164" s="16" t="str">
        <f t="shared" si="11"/>
        <v/>
      </c>
      <c r="P164" s="11"/>
      <c r="Q164" s="16" t="str">
        <f t="shared" si="12"/>
        <v/>
      </c>
      <c r="R164" s="16" t="str">
        <f t="shared" si="13"/>
        <v/>
      </c>
      <c r="S164" s="9" t="str">
        <f t="shared" si="14"/>
        <v/>
      </c>
      <c r="T164" s="8"/>
      <c r="U164" s="8"/>
      <c r="V164" s="8"/>
      <c r="W164" s="10"/>
    </row>
    <row r="165" spans="1:23">
      <c r="A165" s="8"/>
      <c r="B165" s="10"/>
      <c r="C165" s="8"/>
      <c r="D165" s="8"/>
      <c r="E165" s="8"/>
      <c r="F165" s="8"/>
      <c r="G165" s="8"/>
      <c r="H165" s="8"/>
      <c r="I165" s="8"/>
      <c r="J165" s="11"/>
      <c r="K165" s="11"/>
      <c r="L165" s="11"/>
      <c r="M165" s="11"/>
      <c r="N165" s="12" t="str">
        <f t="shared" si="10"/>
        <v/>
      </c>
      <c r="O165" s="16" t="str">
        <f t="shared" si="11"/>
        <v/>
      </c>
      <c r="P165" s="11"/>
      <c r="Q165" s="16" t="str">
        <f t="shared" si="12"/>
        <v/>
      </c>
      <c r="R165" s="16" t="str">
        <f t="shared" si="13"/>
        <v/>
      </c>
      <c r="S165" s="9" t="str">
        <f t="shared" si="14"/>
        <v/>
      </c>
      <c r="T165" s="8"/>
      <c r="U165" s="8"/>
      <c r="V165" s="8"/>
      <c r="W165" s="10"/>
    </row>
    <row r="166" spans="1:23">
      <c r="A166" s="8"/>
      <c r="B166" s="10"/>
      <c r="C166" s="8"/>
      <c r="D166" s="8"/>
      <c r="E166" s="8"/>
      <c r="F166" s="8"/>
      <c r="G166" s="8"/>
      <c r="H166" s="8"/>
      <c r="I166" s="8"/>
      <c r="J166" s="11"/>
      <c r="K166" s="11"/>
      <c r="L166" s="11"/>
      <c r="M166" s="11"/>
      <c r="N166" s="12" t="str">
        <f t="shared" si="10"/>
        <v/>
      </c>
      <c r="O166" s="16" t="str">
        <f t="shared" si="11"/>
        <v/>
      </c>
      <c r="P166" s="11"/>
      <c r="Q166" s="16" t="str">
        <f t="shared" si="12"/>
        <v/>
      </c>
      <c r="R166" s="16" t="str">
        <f t="shared" si="13"/>
        <v/>
      </c>
      <c r="S166" s="9" t="str">
        <f t="shared" si="14"/>
        <v/>
      </c>
      <c r="T166" s="8"/>
      <c r="U166" s="8"/>
      <c r="V166" s="8"/>
      <c r="W166" s="10"/>
    </row>
    <row r="167" spans="1:23">
      <c r="A167" s="8"/>
      <c r="B167" s="10"/>
      <c r="C167" s="8"/>
      <c r="D167" s="8"/>
      <c r="E167" s="8"/>
      <c r="F167" s="8"/>
      <c r="G167" s="8"/>
      <c r="H167" s="8"/>
      <c r="I167" s="8"/>
      <c r="J167" s="11"/>
      <c r="K167" s="11"/>
      <c r="L167" s="11"/>
      <c r="M167" s="11"/>
      <c r="N167" s="12" t="str">
        <f t="shared" si="10"/>
        <v/>
      </c>
      <c r="O167" s="16" t="str">
        <f t="shared" si="11"/>
        <v/>
      </c>
      <c r="P167" s="11"/>
      <c r="Q167" s="16" t="str">
        <f t="shared" si="12"/>
        <v/>
      </c>
      <c r="R167" s="16" t="str">
        <f t="shared" si="13"/>
        <v/>
      </c>
      <c r="S167" s="9" t="str">
        <f t="shared" si="14"/>
        <v/>
      </c>
      <c r="T167" s="8"/>
      <c r="U167" s="8"/>
      <c r="V167" s="8"/>
      <c r="W167" s="10"/>
    </row>
    <row r="168" spans="1:23">
      <c r="A168" s="8"/>
      <c r="B168" s="10"/>
      <c r="C168" s="8"/>
      <c r="D168" s="8"/>
      <c r="E168" s="8"/>
      <c r="F168" s="8"/>
      <c r="G168" s="8"/>
      <c r="H168" s="8"/>
      <c r="I168" s="8"/>
      <c r="J168" s="11"/>
      <c r="K168" s="11"/>
      <c r="L168" s="11"/>
      <c r="M168" s="11"/>
      <c r="N168" s="12" t="str">
        <f t="shared" si="10"/>
        <v/>
      </c>
      <c r="O168" s="16" t="str">
        <f t="shared" si="11"/>
        <v/>
      </c>
      <c r="P168" s="11"/>
      <c r="Q168" s="16" t="str">
        <f t="shared" si="12"/>
        <v/>
      </c>
      <c r="R168" s="16" t="str">
        <f t="shared" si="13"/>
        <v/>
      </c>
      <c r="S168" s="9" t="str">
        <f t="shared" si="14"/>
        <v/>
      </c>
      <c r="T168" s="8"/>
      <c r="U168" s="8"/>
      <c r="V168" s="8"/>
      <c r="W168" s="10"/>
    </row>
    <row r="169" spans="1:23">
      <c r="A169" s="8"/>
      <c r="B169" s="10"/>
      <c r="C169" s="8"/>
      <c r="D169" s="8"/>
      <c r="E169" s="8"/>
      <c r="F169" s="8"/>
      <c r="G169" s="8"/>
      <c r="H169" s="8"/>
      <c r="I169" s="8"/>
      <c r="J169" s="11"/>
      <c r="K169" s="11"/>
      <c r="L169" s="11"/>
      <c r="M169" s="11"/>
      <c r="N169" s="12" t="str">
        <f t="shared" si="10"/>
        <v/>
      </c>
      <c r="O169" s="16" t="str">
        <f t="shared" si="11"/>
        <v/>
      </c>
      <c r="P169" s="11"/>
      <c r="Q169" s="16" t="str">
        <f t="shared" si="12"/>
        <v/>
      </c>
      <c r="R169" s="16" t="str">
        <f t="shared" si="13"/>
        <v/>
      </c>
      <c r="S169" s="9" t="str">
        <f t="shared" si="14"/>
        <v/>
      </c>
      <c r="T169" s="8"/>
      <c r="U169" s="8"/>
      <c r="V169" s="8"/>
      <c r="W169" s="10"/>
    </row>
    <row r="170" spans="1:23">
      <c r="A170" s="8"/>
      <c r="B170" s="10"/>
      <c r="C170" s="8"/>
      <c r="D170" s="8"/>
      <c r="E170" s="8"/>
      <c r="F170" s="8"/>
      <c r="G170" s="8"/>
      <c r="H170" s="8"/>
      <c r="I170" s="8"/>
      <c r="J170" s="11"/>
      <c r="K170" s="11"/>
      <c r="L170" s="11"/>
      <c r="M170" s="11"/>
      <c r="N170" s="12" t="str">
        <f t="shared" si="10"/>
        <v/>
      </c>
      <c r="O170" s="16" t="str">
        <f t="shared" si="11"/>
        <v/>
      </c>
      <c r="P170" s="11"/>
      <c r="Q170" s="16" t="str">
        <f t="shared" si="12"/>
        <v/>
      </c>
      <c r="R170" s="16" t="str">
        <f t="shared" si="13"/>
        <v/>
      </c>
      <c r="S170" s="9" t="str">
        <f t="shared" si="14"/>
        <v/>
      </c>
      <c r="T170" s="8"/>
      <c r="U170" s="8"/>
      <c r="V170" s="8"/>
      <c r="W170" s="10"/>
    </row>
    <row r="171" spans="1:23">
      <c r="A171" s="8"/>
      <c r="B171" s="10"/>
      <c r="C171" s="8"/>
      <c r="D171" s="8"/>
      <c r="E171" s="8"/>
      <c r="F171" s="8"/>
      <c r="G171" s="8"/>
      <c r="H171" s="8"/>
      <c r="I171" s="8"/>
      <c r="J171" s="11"/>
      <c r="K171" s="11"/>
      <c r="L171" s="11"/>
      <c r="M171" s="11"/>
      <c r="N171" s="12" t="str">
        <f t="shared" si="10"/>
        <v/>
      </c>
      <c r="O171" s="16" t="str">
        <f t="shared" si="11"/>
        <v/>
      </c>
      <c r="P171" s="11"/>
      <c r="Q171" s="16" t="str">
        <f t="shared" si="12"/>
        <v/>
      </c>
      <c r="R171" s="16" t="str">
        <f t="shared" si="13"/>
        <v/>
      </c>
      <c r="S171" s="9" t="str">
        <f t="shared" si="14"/>
        <v/>
      </c>
      <c r="T171" s="8"/>
      <c r="U171" s="8"/>
      <c r="V171" s="8"/>
      <c r="W171" s="10"/>
    </row>
    <row r="172" spans="1:23">
      <c r="A172" s="8"/>
      <c r="B172" s="10"/>
      <c r="C172" s="8"/>
      <c r="D172" s="8"/>
      <c r="E172" s="8"/>
      <c r="F172" s="8"/>
      <c r="G172" s="8"/>
      <c r="H172" s="8"/>
      <c r="I172" s="8"/>
      <c r="J172" s="11"/>
      <c r="K172" s="11"/>
      <c r="L172" s="11"/>
      <c r="M172" s="11"/>
      <c r="N172" s="12" t="str">
        <f t="shared" si="10"/>
        <v/>
      </c>
      <c r="O172" s="16" t="str">
        <f t="shared" si="11"/>
        <v/>
      </c>
      <c r="P172" s="11"/>
      <c r="Q172" s="16" t="str">
        <f t="shared" si="12"/>
        <v/>
      </c>
      <c r="R172" s="16" t="str">
        <f t="shared" si="13"/>
        <v/>
      </c>
      <c r="S172" s="9" t="str">
        <f t="shared" si="14"/>
        <v/>
      </c>
      <c r="T172" s="8"/>
      <c r="U172" s="8"/>
      <c r="V172" s="8"/>
      <c r="W172" s="10"/>
    </row>
    <row r="173" spans="1:23">
      <c r="A173" s="8"/>
      <c r="B173" s="10"/>
      <c r="C173" s="8"/>
      <c r="D173" s="8"/>
      <c r="E173" s="8"/>
      <c r="F173" s="8"/>
      <c r="G173" s="8"/>
      <c r="H173" s="8"/>
      <c r="I173" s="8"/>
      <c r="J173" s="11"/>
      <c r="K173" s="11"/>
      <c r="L173" s="11"/>
      <c r="M173" s="11"/>
      <c r="N173" s="12" t="str">
        <f t="shared" si="10"/>
        <v/>
      </c>
      <c r="O173" s="16" t="str">
        <f t="shared" si="11"/>
        <v/>
      </c>
      <c r="P173" s="11"/>
      <c r="Q173" s="16" t="str">
        <f t="shared" si="12"/>
        <v/>
      </c>
      <c r="R173" s="16" t="str">
        <f t="shared" si="13"/>
        <v/>
      </c>
      <c r="S173" s="9" t="str">
        <f t="shared" si="14"/>
        <v/>
      </c>
      <c r="T173" s="8"/>
      <c r="U173" s="8"/>
      <c r="V173" s="8"/>
      <c r="W173" s="10"/>
    </row>
    <row r="174" spans="1:23">
      <c r="A174" s="8"/>
      <c r="B174" s="10"/>
      <c r="C174" s="8"/>
      <c r="D174" s="8"/>
      <c r="E174" s="8"/>
      <c r="F174" s="8"/>
      <c r="G174" s="8"/>
      <c r="H174" s="8"/>
      <c r="I174" s="8"/>
      <c r="J174" s="11"/>
      <c r="K174" s="11"/>
      <c r="L174" s="11"/>
      <c r="M174" s="11"/>
      <c r="N174" s="12" t="str">
        <f t="shared" si="10"/>
        <v/>
      </c>
      <c r="O174" s="16" t="str">
        <f t="shared" si="11"/>
        <v/>
      </c>
      <c r="P174" s="11"/>
      <c r="Q174" s="16" t="str">
        <f t="shared" si="12"/>
        <v/>
      </c>
      <c r="R174" s="16" t="str">
        <f t="shared" si="13"/>
        <v/>
      </c>
      <c r="S174" s="9" t="str">
        <f t="shared" si="14"/>
        <v/>
      </c>
      <c r="T174" s="8"/>
      <c r="U174" s="8"/>
      <c r="V174" s="8"/>
      <c r="W174" s="10"/>
    </row>
    <row r="175" spans="1:23">
      <c r="A175" s="8"/>
      <c r="B175" s="10"/>
      <c r="C175" s="8"/>
      <c r="D175" s="8"/>
      <c r="E175" s="8"/>
      <c r="F175" s="8"/>
      <c r="G175" s="8"/>
      <c r="H175" s="8"/>
      <c r="I175" s="8"/>
      <c r="J175" s="11"/>
      <c r="K175" s="11"/>
      <c r="L175" s="11"/>
      <c r="M175" s="11"/>
      <c r="N175" s="12" t="str">
        <f t="shared" si="10"/>
        <v/>
      </c>
      <c r="O175" s="16" t="str">
        <f t="shared" si="11"/>
        <v/>
      </c>
      <c r="P175" s="11"/>
      <c r="Q175" s="16" t="str">
        <f t="shared" si="12"/>
        <v/>
      </c>
      <c r="R175" s="16" t="str">
        <f t="shared" si="13"/>
        <v/>
      </c>
      <c r="S175" s="9" t="str">
        <f t="shared" si="14"/>
        <v/>
      </c>
      <c r="T175" s="8"/>
      <c r="U175" s="8"/>
      <c r="V175" s="8"/>
      <c r="W175" s="10"/>
    </row>
    <row r="176" spans="1:23">
      <c r="A176" s="8"/>
      <c r="B176" s="10"/>
      <c r="C176" s="8"/>
      <c r="D176" s="8"/>
      <c r="E176" s="8"/>
      <c r="F176" s="8"/>
      <c r="G176" s="8"/>
      <c r="H176" s="8"/>
      <c r="I176" s="8"/>
      <c r="J176" s="11"/>
      <c r="K176" s="11"/>
      <c r="L176" s="11"/>
      <c r="M176" s="11"/>
      <c r="N176" s="12" t="str">
        <f t="shared" si="10"/>
        <v/>
      </c>
      <c r="O176" s="16" t="str">
        <f t="shared" si="11"/>
        <v/>
      </c>
      <c r="P176" s="11"/>
      <c r="Q176" s="16" t="str">
        <f t="shared" si="12"/>
        <v/>
      </c>
      <c r="R176" s="16" t="str">
        <f t="shared" si="13"/>
        <v/>
      </c>
      <c r="S176" s="9" t="str">
        <f t="shared" si="14"/>
        <v/>
      </c>
      <c r="T176" s="8"/>
      <c r="U176" s="8"/>
      <c r="V176" s="8"/>
      <c r="W176" s="10"/>
    </row>
    <row r="177" spans="1:23">
      <c r="A177" s="8"/>
      <c r="B177" s="10"/>
      <c r="C177" s="8"/>
      <c r="D177" s="8"/>
      <c r="E177" s="8"/>
      <c r="F177" s="8"/>
      <c r="G177" s="8"/>
      <c r="H177" s="8"/>
      <c r="I177" s="8"/>
      <c r="J177" s="11"/>
      <c r="K177" s="11"/>
      <c r="L177" s="11"/>
      <c r="M177" s="11"/>
      <c r="N177" s="12" t="str">
        <f t="shared" si="10"/>
        <v/>
      </c>
      <c r="O177" s="16" t="str">
        <f t="shared" si="11"/>
        <v/>
      </c>
      <c r="P177" s="11"/>
      <c r="Q177" s="16" t="str">
        <f t="shared" si="12"/>
        <v/>
      </c>
      <c r="R177" s="16" t="str">
        <f t="shared" si="13"/>
        <v/>
      </c>
      <c r="S177" s="9" t="str">
        <f t="shared" si="14"/>
        <v/>
      </c>
      <c r="T177" s="8"/>
      <c r="U177" s="8"/>
      <c r="V177" s="8"/>
      <c r="W177" s="10"/>
    </row>
    <row r="178" spans="1:23">
      <c r="A178" s="8"/>
      <c r="B178" s="10"/>
      <c r="C178" s="8"/>
      <c r="D178" s="8"/>
      <c r="E178" s="8"/>
      <c r="F178" s="8"/>
      <c r="G178" s="8"/>
      <c r="H178" s="8"/>
      <c r="I178" s="8"/>
      <c r="J178" s="11"/>
      <c r="K178" s="11"/>
      <c r="L178" s="11"/>
      <c r="M178" s="11"/>
      <c r="N178" s="12" t="str">
        <f t="shared" si="10"/>
        <v/>
      </c>
      <c r="O178" s="16" t="str">
        <f t="shared" si="11"/>
        <v/>
      </c>
      <c r="P178" s="11"/>
      <c r="Q178" s="16" t="str">
        <f t="shared" si="12"/>
        <v/>
      </c>
      <c r="R178" s="16" t="str">
        <f t="shared" si="13"/>
        <v/>
      </c>
      <c r="S178" s="9" t="str">
        <f t="shared" si="14"/>
        <v/>
      </c>
      <c r="T178" s="8"/>
      <c r="U178" s="8"/>
      <c r="V178" s="8"/>
      <c r="W178" s="10"/>
    </row>
    <row r="179" spans="1:23">
      <c r="A179" s="8"/>
      <c r="B179" s="10"/>
      <c r="C179" s="8"/>
      <c r="D179" s="8"/>
      <c r="E179" s="8"/>
      <c r="F179" s="8"/>
      <c r="G179" s="8"/>
      <c r="H179" s="8"/>
      <c r="I179" s="8"/>
      <c r="J179" s="11"/>
      <c r="K179" s="11"/>
      <c r="L179" s="11"/>
      <c r="M179" s="11"/>
      <c r="N179" s="12" t="str">
        <f t="shared" si="10"/>
        <v/>
      </c>
      <c r="O179" s="16" t="str">
        <f t="shared" si="11"/>
        <v/>
      </c>
      <c r="P179" s="11"/>
      <c r="Q179" s="16" t="str">
        <f t="shared" si="12"/>
        <v/>
      </c>
      <c r="R179" s="16" t="str">
        <f t="shared" si="13"/>
        <v/>
      </c>
      <c r="S179" s="9" t="str">
        <f t="shared" si="14"/>
        <v/>
      </c>
      <c r="T179" s="8"/>
      <c r="U179" s="8"/>
      <c r="V179" s="8"/>
      <c r="W179" s="10"/>
    </row>
    <row r="180" spans="1:23">
      <c r="A180" s="8"/>
      <c r="B180" s="10"/>
      <c r="C180" s="8"/>
      <c r="D180" s="8"/>
      <c r="E180" s="8"/>
      <c r="F180" s="8"/>
      <c r="G180" s="8"/>
      <c r="H180" s="8"/>
      <c r="I180" s="8"/>
      <c r="J180" s="11"/>
      <c r="K180" s="11"/>
      <c r="L180" s="11"/>
      <c r="M180" s="11"/>
      <c r="N180" s="12" t="str">
        <f t="shared" si="10"/>
        <v/>
      </c>
      <c r="O180" s="16" t="str">
        <f t="shared" si="11"/>
        <v/>
      </c>
      <c r="P180" s="11"/>
      <c r="Q180" s="16" t="str">
        <f t="shared" si="12"/>
        <v/>
      </c>
      <c r="R180" s="16" t="str">
        <f t="shared" si="13"/>
        <v/>
      </c>
      <c r="S180" s="9" t="str">
        <f t="shared" si="14"/>
        <v/>
      </c>
      <c r="T180" s="8"/>
      <c r="U180" s="8"/>
      <c r="V180" s="8"/>
      <c r="W180" s="10"/>
    </row>
    <row r="181" spans="1:23">
      <c r="A181" s="8"/>
      <c r="B181" s="10"/>
      <c r="C181" s="8"/>
      <c r="D181" s="8"/>
      <c r="E181" s="8"/>
      <c r="F181" s="8"/>
      <c r="G181" s="8"/>
      <c r="H181" s="8"/>
      <c r="I181" s="8"/>
      <c r="J181" s="11"/>
      <c r="K181" s="11"/>
      <c r="L181" s="11"/>
      <c r="M181" s="11"/>
      <c r="N181" s="12" t="str">
        <f t="shared" si="10"/>
        <v/>
      </c>
      <c r="O181" s="16" t="str">
        <f t="shared" si="11"/>
        <v/>
      </c>
      <c r="P181" s="11"/>
      <c r="Q181" s="16" t="str">
        <f t="shared" si="12"/>
        <v/>
      </c>
      <c r="R181" s="16" t="str">
        <f t="shared" si="13"/>
        <v/>
      </c>
      <c r="S181" s="9" t="str">
        <f t="shared" si="14"/>
        <v/>
      </c>
      <c r="T181" s="8"/>
      <c r="U181" s="8"/>
      <c r="V181" s="8"/>
      <c r="W181" s="10"/>
    </row>
    <row r="182" spans="1:23">
      <c r="A182" s="8"/>
      <c r="B182" s="10"/>
      <c r="C182" s="8"/>
      <c r="D182" s="8"/>
      <c r="E182" s="8"/>
      <c r="F182" s="8"/>
      <c r="G182" s="8"/>
      <c r="H182" s="8"/>
      <c r="I182" s="8"/>
      <c r="J182" s="11"/>
      <c r="K182" s="11"/>
      <c r="L182" s="11"/>
      <c r="M182" s="11"/>
      <c r="N182" s="12" t="str">
        <f t="shared" si="10"/>
        <v/>
      </c>
      <c r="O182" s="16" t="str">
        <f t="shared" si="11"/>
        <v/>
      </c>
      <c r="P182" s="11"/>
      <c r="Q182" s="16" t="str">
        <f t="shared" si="12"/>
        <v/>
      </c>
      <c r="R182" s="16" t="str">
        <f t="shared" si="13"/>
        <v/>
      </c>
      <c r="S182" s="9" t="str">
        <f t="shared" si="14"/>
        <v/>
      </c>
      <c r="T182" s="8"/>
      <c r="U182" s="8"/>
      <c r="V182" s="8"/>
      <c r="W182" s="10"/>
    </row>
    <row r="183" spans="1:23">
      <c r="A183" s="8"/>
      <c r="B183" s="10"/>
      <c r="C183" s="8"/>
      <c r="D183" s="8"/>
      <c r="E183" s="8"/>
      <c r="F183" s="8"/>
      <c r="G183" s="8"/>
      <c r="H183" s="8"/>
      <c r="I183" s="8"/>
      <c r="J183" s="11"/>
      <c r="K183" s="11"/>
      <c r="L183" s="11"/>
      <c r="M183" s="11"/>
      <c r="N183" s="12" t="str">
        <f t="shared" si="10"/>
        <v/>
      </c>
      <c r="O183" s="16" t="str">
        <f t="shared" si="11"/>
        <v/>
      </c>
      <c r="P183" s="11"/>
      <c r="Q183" s="16" t="str">
        <f t="shared" si="12"/>
        <v/>
      </c>
      <c r="R183" s="16" t="str">
        <f t="shared" si="13"/>
        <v/>
      </c>
      <c r="S183" s="9" t="str">
        <f t="shared" si="14"/>
        <v/>
      </c>
      <c r="T183" s="8"/>
      <c r="U183" s="8"/>
      <c r="V183" s="8"/>
      <c r="W183" s="10"/>
    </row>
    <row r="184" spans="1:23">
      <c r="A184" s="8"/>
      <c r="B184" s="10"/>
      <c r="C184" s="8"/>
      <c r="D184" s="8"/>
      <c r="E184" s="8"/>
      <c r="F184" s="8"/>
      <c r="G184" s="8"/>
      <c r="H184" s="8"/>
      <c r="I184" s="8"/>
      <c r="J184" s="11"/>
      <c r="K184" s="11"/>
      <c r="L184" s="11"/>
      <c r="M184" s="11"/>
      <c r="N184" s="12" t="str">
        <f t="shared" si="10"/>
        <v/>
      </c>
      <c r="O184" s="16" t="str">
        <f t="shared" si="11"/>
        <v/>
      </c>
      <c r="P184" s="11"/>
      <c r="Q184" s="16" t="str">
        <f t="shared" si="12"/>
        <v/>
      </c>
      <c r="R184" s="16" t="str">
        <f t="shared" si="13"/>
        <v/>
      </c>
      <c r="S184" s="9" t="str">
        <f t="shared" si="14"/>
        <v/>
      </c>
      <c r="T184" s="8"/>
      <c r="U184" s="8"/>
      <c r="V184" s="8"/>
      <c r="W184" s="10"/>
    </row>
    <row r="185" spans="1:23">
      <c r="A185" s="8"/>
      <c r="B185" s="10"/>
      <c r="C185" s="8"/>
      <c r="D185" s="8"/>
      <c r="E185" s="8"/>
      <c r="F185" s="8"/>
      <c r="G185" s="8"/>
      <c r="H185" s="8"/>
      <c r="I185" s="8"/>
      <c r="J185" s="11"/>
      <c r="K185" s="11"/>
      <c r="L185" s="11"/>
      <c r="M185" s="11"/>
      <c r="N185" s="12" t="str">
        <f t="shared" si="10"/>
        <v/>
      </c>
      <c r="O185" s="16" t="str">
        <f t="shared" si="11"/>
        <v/>
      </c>
      <c r="P185" s="11"/>
      <c r="Q185" s="16" t="str">
        <f t="shared" si="12"/>
        <v/>
      </c>
      <c r="R185" s="16" t="str">
        <f t="shared" si="13"/>
        <v/>
      </c>
      <c r="S185" s="9" t="str">
        <f t="shared" si="14"/>
        <v/>
      </c>
      <c r="T185" s="8"/>
      <c r="U185" s="8"/>
      <c r="V185" s="8"/>
      <c r="W185" s="10"/>
    </row>
    <row r="186" spans="1:23">
      <c r="A186" s="8"/>
      <c r="B186" s="10"/>
      <c r="C186" s="8"/>
      <c r="D186" s="8"/>
      <c r="E186" s="8"/>
      <c r="F186" s="8"/>
      <c r="G186" s="8"/>
      <c r="H186" s="8"/>
      <c r="I186" s="8"/>
      <c r="J186" s="11"/>
      <c r="K186" s="11"/>
      <c r="L186" s="11"/>
      <c r="M186" s="11"/>
      <c r="N186" s="12" t="str">
        <f t="shared" si="10"/>
        <v/>
      </c>
      <c r="O186" s="16" t="str">
        <f t="shared" si="11"/>
        <v/>
      </c>
      <c r="P186" s="11"/>
      <c r="Q186" s="16" t="str">
        <f t="shared" si="12"/>
        <v/>
      </c>
      <c r="R186" s="16" t="str">
        <f t="shared" si="13"/>
        <v/>
      </c>
      <c r="S186" s="9" t="str">
        <f t="shared" si="14"/>
        <v/>
      </c>
      <c r="T186" s="8"/>
      <c r="U186" s="8"/>
      <c r="V186" s="8"/>
      <c r="W186" s="10"/>
    </row>
    <row r="187" spans="1:23">
      <c r="A187" s="8"/>
      <c r="B187" s="10"/>
      <c r="C187" s="8"/>
      <c r="D187" s="8"/>
      <c r="E187" s="8"/>
      <c r="F187" s="8"/>
      <c r="G187" s="8"/>
      <c r="H187" s="8"/>
      <c r="I187" s="8"/>
      <c r="J187" s="11"/>
      <c r="K187" s="11"/>
      <c r="L187" s="11"/>
      <c r="M187" s="11"/>
      <c r="N187" s="12" t="str">
        <f t="shared" si="10"/>
        <v/>
      </c>
      <c r="O187" s="16" t="str">
        <f t="shared" si="11"/>
        <v/>
      </c>
      <c r="P187" s="11"/>
      <c r="Q187" s="16" t="str">
        <f t="shared" si="12"/>
        <v/>
      </c>
      <c r="R187" s="16" t="str">
        <f t="shared" si="13"/>
        <v/>
      </c>
      <c r="S187" s="9" t="str">
        <f t="shared" si="14"/>
        <v/>
      </c>
      <c r="T187" s="8"/>
      <c r="U187" s="8"/>
      <c r="V187" s="8"/>
      <c r="W187" s="10"/>
    </row>
    <row r="188" spans="1:23">
      <c r="A188" s="8"/>
      <c r="B188" s="10"/>
      <c r="C188" s="8"/>
      <c r="D188" s="8"/>
      <c r="E188" s="8"/>
      <c r="F188" s="8"/>
      <c r="G188" s="8"/>
      <c r="H188" s="8"/>
      <c r="I188" s="8"/>
      <c r="J188" s="11"/>
      <c r="K188" s="11"/>
      <c r="L188" s="11"/>
      <c r="M188" s="11"/>
      <c r="N188" s="12" t="str">
        <f t="shared" si="10"/>
        <v/>
      </c>
      <c r="O188" s="16" t="str">
        <f t="shared" si="11"/>
        <v/>
      </c>
      <c r="P188" s="11"/>
      <c r="Q188" s="16" t="str">
        <f t="shared" si="12"/>
        <v/>
      </c>
      <c r="R188" s="16" t="str">
        <f t="shared" si="13"/>
        <v/>
      </c>
      <c r="S188" s="9" t="str">
        <f t="shared" si="14"/>
        <v/>
      </c>
      <c r="T188" s="8"/>
      <c r="U188" s="8"/>
      <c r="V188" s="8"/>
      <c r="W188" s="10"/>
    </row>
    <row r="189" spans="1:23">
      <c r="A189" s="8"/>
      <c r="B189" s="10"/>
      <c r="C189" s="8"/>
      <c r="D189" s="8"/>
      <c r="E189" s="8"/>
      <c r="F189" s="8"/>
      <c r="G189" s="8"/>
      <c r="H189" s="8"/>
      <c r="I189" s="8"/>
      <c r="J189" s="11"/>
      <c r="K189" s="11"/>
      <c r="L189" s="11"/>
      <c r="M189" s="11"/>
      <c r="N189" s="12" t="str">
        <f t="shared" si="10"/>
        <v/>
      </c>
      <c r="O189" s="16" t="str">
        <f t="shared" si="11"/>
        <v/>
      </c>
      <c r="P189" s="11"/>
      <c r="Q189" s="16" t="str">
        <f t="shared" si="12"/>
        <v/>
      </c>
      <c r="R189" s="16" t="str">
        <f t="shared" si="13"/>
        <v/>
      </c>
      <c r="S189" s="9" t="str">
        <f t="shared" si="14"/>
        <v/>
      </c>
      <c r="T189" s="8"/>
      <c r="U189" s="8"/>
      <c r="V189" s="8"/>
      <c r="W189" s="10"/>
    </row>
    <row r="190" spans="1:23">
      <c r="A190" s="8"/>
      <c r="B190" s="10"/>
      <c r="C190" s="8"/>
      <c r="D190" s="8"/>
      <c r="E190" s="8"/>
      <c r="F190" s="8"/>
      <c r="G190" s="8"/>
      <c r="H190" s="8"/>
      <c r="I190" s="8"/>
      <c r="J190" s="11"/>
      <c r="K190" s="11"/>
      <c r="L190" s="11"/>
      <c r="M190" s="11"/>
      <c r="N190" s="12" t="str">
        <f t="shared" si="10"/>
        <v/>
      </c>
      <c r="O190" s="16" t="str">
        <f t="shared" si="11"/>
        <v/>
      </c>
      <c r="P190" s="11"/>
      <c r="Q190" s="16" t="str">
        <f t="shared" si="12"/>
        <v/>
      </c>
      <c r="R190" s="16" t="str">
        <f t="shared" si="13"/>
        <v/>
      </c>
      <c r="S190" s="9" t="str">
        <f t="shared" si="14"/>
        <v/>
      </c>
      <c r="T190" s="8"/>
      <c r="U190" s="8"/>
      <c r="V190" s="8"/>
      <c r="W190" s="10"/>
    </row>
    <row r="191" spans="1:23">
      <c r="A191" s="8"/>
      <c r="B191" s="10"/>
      <c r="C191" s="8"/>
      <c r="D191" s="8"/>
      <c r="E191" s="8"/>
      <c r="F191" s="8"/>
      <c r="G191" s="8"/>
      <c r="H191" s="8"/>
      <c r="I191" s="8"/>
      <c r="J191" s="11"/>
      <c r="K191" s="11"/>
      <c r="L191" s="11"/>
      <c r="M191" s="11"/>
      <c r="N191" s="12" t="str">
        <f t="shared" si="10"/>
        <v/>
      </c>
      <c r="O191" s="16" t="str">
        <f t="shared" si="11"/>
        <v/>
      </c>
      <c r="P191" s="11"/>
      <c r="Q191" s="16" t="str">
        <f t="shared" si="12"/>
        <v/>
      </c>
      <c r="R191" s="16" t="str">
        <f t="shared" si="13"/>
        <v/>
      </c>
      <c r="S191" s="9" t="str">
        <f t="shared" si="14"/>
        <v/>
      </c>
      <c r="T191" s="8"/>
      <c r="U191" s="8"/>
      <c r="V191" s="8"/>
      <c r="W191" s="10"/>
    </row>
    <row r="192" spans="1:23">
      <c r="A192" s="8"/>
      <c r="B192" s="10"/>
      <c r="C192" s="8"/>
      <c r="D192" s="8"/>
      <c r="E192" s="8"/>
      <c r="F192" s="8"/>
      <c r="G192" s="8"/>
      <c r="H192" s="8"/>
      <c r="I192" s="8"/>
      <c r="J192" s="11"/>
      <c r="K192" s="11"/>
      <c r="L192" s="11"/>
      <c r="M192" s="11"/>
      <c r="N192" s="12" t="str">
        <f t="shared" si="10"/>
        <v/>
      </c>
      <c r="O192" s="16" t="str">
        <f t="shared" si="11"/>
        <v/>
      </c>
      <c r="P192" s="11"/>
      <c r="Q192" s="16" t="str">
        <f t="shared" si="12"/>
        <v/>
      </c>
      <c r="R192" s="16" t="str">
        <f t="shared" si="13"/>
        <v/>
      </c>
      <c r="S192" s="9" t="str">
        <f t="shared" si="14"/>
        <v/>
      </c>
      <c r="T192" s="8"/>
      <c r="U192" s="8"/>
      <c r="V192" s="8"/>
      <c r="W192" s="10"/>
    </row>
    <row r="193" spans="1:23">
      <c r="A193" s="8"/>
      <c r="B193" s="10"/>
      <c r="C193" s="8"/>
      <c r="D193" s="8"/>
      <c r="E193" s="8"/>
      <c r="F193" s="8"/>
      <c r="G193" s="8"/>
      <c r="H193" s="8"/>
      <c r="I193" s="8"/>
      <c r="J193" s="11"/>
      <c r="K193" s="11"/>
      <c r="L193" s="11"/>
      <c r="M193" s="11"/>
      <c r="N193" s="12" t="str">
        <f t="shared" si="10"/>
        <v/>
      </c>
      <c r="O193" s="16" t="str">
        <f t="shared" si="11"/>
        <v/>
      </c>
      <c r="P193" s="11"/>
      <c r="Q193" s="16" t="str">
        <f t="shared" si="12"/>
        <v/>
      </c>
      <c r="R193" s="16" t="str">
        <f t="shared" si="13"/>
        <v/>
      </c>
      <c r="S193" s="9" t="str">
        <f t="shared" si="14"/>
        <v/>
      </c>
      <c r="T193" s="8"/>
      <c r="U193" s="8"/>
      <c r="V193" s="8"/>
      <c r="W193" s="10"/>
    </row>
    <row r="194" spans="1:23">
      <c r="A194" s="8"/>
      <c r="B194" s="10"/>
      <c r="C194" s="8"/>
      <c r="D194" s="8"/>
      <c r="E194" s="8"/>
      <c r="F194" s="8"/>
      <c r="G194" s="8"/>
      <c r="H194" s="8"/>
      <c r="I194" s="8"/>
      <c r="J194" s="11"/>
      <c r="K194" s="11"/>
      <c r="L194" s="11"/>
      <c r="M194" s="11"/>
      <c r="N194" s="12" t="str">
        <f t="shared" si="10"/>
        <v/>
      </c>
      <c r="O194" s="16" t="str">
        <f t="shared" si="11"/>
        <v/>
      </c>
      <c r="P194" s="11"/>
      <c r="Q194" s="16" t="str">
        <f t="shared" si="12"/>
        <v/>
      </c>
      <c r="R194" s="16" t="str">
        <f t="shared" si="13"/>
        <v/>
      </c>
      <c r="S194" s="9" t="str">
        <f t="shared" si="14"/>
        <v/>
      </c>
      <c r="T194" s="8"/>
      <c r="U194" s="8"/>
      <c r="V194" s="8"/>
      <c r="W194" s="10"/>
    </row>
    <row r="195" spans="1:23">
      <c r="A195" s="8"/>
      <c r="B195" s="10"/>
      <c r="C195" s="8"/>
      <c r="D195" s="8"/>
      <c r="E195" s="8"/>
      <c r="F195" s="8"/>
      <c r="G195" s="8"/>
      <c r="H195" s="8"/>
      <c r="I195" s="8"/>
      <c r="J195" s="11"/>
      <c r="K195" s="11"/>
      <c r="L195" s="11"/>
      <c r="M195" s="11"/>
      <c r="N195" s="12" t="str">
        <f t="shared" si="10"/>
        <v/>
      </c>
      <c r="O195" s="16" t="str">
        <f t="shared" si="11"/>
        <v/>
      </c>
      <c r="P195" s="11"/>
      <c r="Q195" s="16" t="str">
        <f t="shared" si="12"/>
        <v/>
      </c>
      <c r="R195" s="16" t="str">
        <f t="shared" si="13"/>
        <v/>
      </c>
      <c r="S195" s="9" t="str">
        <f t="shared" si="14"/>
        <v/>
      </c>
      <c r="T195" s="8"/>
      <c r="U195" s="8"/>
      <c r="V195" s="8"/>
      <c r="W195" s="10"/>
    </row>
    <row r="196" spans="1:23">
      <c r="A196" s="8"/>
      <c r="B196" s="10"/>
      <c r="C196" s="8"/>
      <c r="D196" s="8"/>
      <c r="E196" s="8"/>
      <c r="F196" s="8"/>
      <c r="G196" s="8"/>
      <c r="H196" s="8"/>
      <c r="I196" s="8"/>
      <c r="J196" s="11"/>
      <c r="K196" s="11"/>
      <c r="L196" s="11"/>
      <c r="M196" s="11"/>
      <c r="N196" s="12" t="str">
        <f t="shared" si="10"/>
        <v/>
      </c>
      <c r="O196" s="16" t="str">
        <f t="shared" si="11"/>
        <v/>
      </c>
      <c r="P196" s="11"/>
      <c r="Q196" s="16" t="str">
        <f t="shared" si="12"/>
        <v/>
      </c>
      <c r="R196" s="16" t="str">
        <f t="shared" si="13"/>
        <v/>
      </c>
      <c r="S196" s="9" t="str">
        <f t="shared" si="14"/>
        <v/>
      </c>
      <c r="T196" s="8"/>
      <c r="U196" s="8"/>
      <c r="V196" s="8"/>
      <c r="W196" s="10"/>
    </row>
    <row r="197" spans="1:23">
      <c r="A197" s="8"/>
      <c r="B197" s="10"/>
      <c r="C197" s="8"/>
      <c r="D197" s="8"/>
      <c r="E197" s="8"/>
      <c r="F197" s="8"/>
      <c r="G197" s="8"/>
      <c r="H197" s="8"/>
      <c r="I197" s="8"/>
      <c r="J197" s="11"/>
      <c r="K197" s="11"/>
      <c r="L197" s="11"/>
      <c r="M197" s="11"/>
      <c r="N197" s="12" t="str">
        <f t="shared" ref="N197:N260" si="15">IF(A197="","",SUM(K197:M197))</f>
        <v/>
      </c>
      <c r="O197" s="16" t="str">
        <f t="shared" ref="O197:O260" si="16">IF(OR(A197="",J197=0),"",N197/J197)</f>
        <v/>
      </c>
      <c r="P197" s="11"/>
      <c r="Q197" s="16" t="str">
        <f t="shared" ref="Q197:Q260" si="17">IF(OR(A197="",J197=0),"",P197/J197)</f>
        <v/>
      </c>
      <c r="R197" s="16" t="str">
        <f t="shared" ref="R197:R260" si="18">IF(A197="","",0.05)</f>
        <v/>
      </c>
      <c r="S197" s="9" t="str">
        <f t="shared" ref="S197:S260" si="19">IF(A197="","",IF(OR(K197&gt;0,Q197&gt;R197),"Failed","Passed"))</f>
        <v/>
      </c>
      <c r="T197" s="8"/>
      <c r="U197" s="8"/>
      <c r="V197" s="8"/>
      <c r="W197" s="10"/>
    </row>
    <row r="198" spans="1:23">
      <c r="A198" s="8"/>
      <c r="B198" s="10"/>
      <c r="C198" s="8"/>
      <c r="D198" s="8"/>
      <c r="E198" s="8"/>
      <c r="F198" s="8"/>
      <c r="G198" s="8"/>
      <c r="H198" s="8"/>
      <c r="I198" s="8"/>
      <c r="J198" s="11"/>
      <c r="K198" s="11"/>
      <c r="L198" s="11"/>
      <c r="M198" s="11"/>
      <c r="N198" s="12" t="str">
        <f t="shared" si="15"/>
        <v/>
      </c>
      <c r="O198" s="16" t="str">
        <f t="shared" si="16"/>
        <v/>
      </c>
      <c r="P198" s="11"/>
      <c r="Q198" s="16" t="str">
        <f t="shared" si="17"/>
        <v/>
      </c>
      <c r="R198" s="16" t="str">
        <f t="shared" si="18"/>
        <v/>
      </c>
      <c r="S198" s="9" t="str">
        <f t="shared" si="19"/>
        <v/>
      </c>
      <c r="T198" s="8"/>
      <c r="U198" s="8"/>
      <c r="V198" s="8"/>
      <c r="W198" s="10"/>
    </row>
    <row r="199" spans="1:23">
      <c r="A199" s="8"/>
      <c r="B199" s="10"/>
      <c r="C199" s="8"/>
      <c r="D199" s="8"/>
      <c r="E199" s="8"/>
      <c r="F199" s="8"/>
      <c r="G199" s="8"/>
      <c r="H199" s="8"/>
      <c r="I199" s="8"/>
      <c r="J199" s="11"/>
      <c r="K199" s="11"/>
      <c r="L199" s="11"/>
      <c r="M199" s="11"/>
      <c r="N199" s="12" t="str">
        <f t="shared" si="15"/>
        <v/>
      </c>
      <c r="O199" s="16" t="str">
        <f t="shared" si="16"/>
        <v/>
      </c>
      <c r="P199" s="11"/>
      <c r="Q199" s="16" t="str">
        <f t="shared" si="17"/>
        <v/>
      </c>
      <c r="R199" s="16" t="str">
        <f t="shared" si="18"/>
        <v/>
      </c>
      <c r="S199" s="9" t="str">
        <f t="shared" si="19"/>
        <v/>
      </c>
      <c r="T199" s="8"/>
      <c r="U199" s="8"/>
      <c r="V199" s="8"/>
      <c r="W199" s="10"/>
    </row>
    <row r="200" spans="1:23">
      <c r="A200" s="8"/>
      <c r="B200" s="10"/>
      <c r="C200" s="8"/>
      <c r="D200" s="8"/>
      <c r="E200" s="8"/>
      <c r="F200" s="8"/>
      <c r="G200" s="8"/>
      <c r="H200" s="8"/>
      <c r="I200" s="8"/>
      <c r="J200" s="11"/>
      <c r="K200" s="11"/>
      <c r="L200" s="11"/>
      <c r="M200" s="11"/>
      <c r="N200" s="12" t="str">
        <f t="shared" si="15"/>
        <v/>
      </c>
      <c r="O200" s="16" t="str">
        <f t="shared" si="16"/>
        <v/>
      </c>
      <c r="P200" s="11"/>
      <c r="Q200" s="16" t="str">
        <f t="shared" si="17"/>
        <v/>
      </c>
      <c r="R200" s="16" t="str">
        <f t="shared" si="18"/>
        <v/>
      </c>
      <c r="S200" s="9" t="str">
        <f t="shared" si="19"/>
        <v/>
      </c>
      <c r="T200" s="8"/>
      <c r="U200" s="8"/>
      <c r="V200" s="8"/>
      <c r="W200" s="10"/>
    </row>
    <row r="201" spans="1:23">
      <c r="A201" s="8"/>
      <c r="B201" s="10"/>
      <c r="C201" s="8"/>
      <c r="D201" s="8"/>
      <c r="E201" s="8"/>
      <c r="F201" s="8"/>
      <c r="G201" s="8"/>
      <c r="H201" s="8"/>
      <c r="I201" s="8"/>
      <c r="J201" s="11"/>
      <c r="K201" s="11"/>
      <c r="L201" s="11"/>
      <c r="M201" s="11"/>
      <c r="N201" s="12" t="str">
        <f t="shared" si="15"/>
        <v/>
      </c>
      <c r="O201" s="16" t="str">
        <f t="shared" si="16"/>
        <v/>
      </c>
      <c r="P201" s="11"/>
      <c r="Q201" s="16" t="str">
        <f t="shared" si="17"/>
        <v/>
      </c>
      <c r="R201" s="16" t="str">
        <f t="shared" si="18"/>
        <v/>
      </c>
      <c r="S201" s="9" t="str">
        <f t="shared" si="19"/>
        <v/>
      </c>
      <c r="T201" s="8"/>
      <c r="U201" s="8"/>
      <c r="V201" s="8"/>
      <c r="W201" s="10"/>
    </row>
    <row r="202" spans="1:23">
      <c r="A202" s="8"/>
      <c r="B202" s="10"/>
      <c r="C202" s="8"/>
      <c r="D202" s="8"/>
      <c r="E202" s="8"/>
      <c r="F202" s="8"/>
      <c r="G202" s="8"/>
      <c r="H202" s="8"/>
      <c r="I202" s="8"/>
      <c r="J202" s="11"/>
      <c r="K202" s="11"/>
      <c r="L202" s="11"/>
      <c r="M202" s="11"/>
      <c r="N202" s="12" t="str">
        <f t="shared" si="15"/>
        <v/>
      </c>
      <c r="O202" s="16" t="str">
        <f t="shared" si="16"/>
        <v/>
      </c>
      <c r="P202" s="11"/>
      <c r="Q202" s="16" t="str">
        <f t="shared" si="17"/>
        <v/>
      </c>
      <c r="R202" s="16" t="str">
        <f t="shared" si="18"/>
        <v/>
      </c>
      <c r="S202" s="9" t="str">
        <f t="shared" si="19"/>
        <v/>
      </c>
      <c r="T202" s="8"/>
      <c r="U202" s="8"/>
      <c r="V202" s="8"/>
      <c r="W202" s="10"/>
    </row>
    <row r="203" spans="1:23">
      <c r="A203" s="8"/>
      <c r="B203" s="10"/>
      <c r="C203" s="8"/>
      <c r="D203" s="8"/>
      <c r="E203" s="8"/>
      <c r="F203" s="8"/>
      <c r="G203" s="8"/>
      <c r="H203" s="8"/>
      <c r="I203" s="8"/>
      <c r="J203" s="11"/>
      <c r="K203" s="11"/>
      <c r="L203" s="11"/>
      <c r="M203" s="11"/>
      <c r="N203" s="12" t="str">
        <f t="shared" si="15"/>
        <v/>
      </c>
      <c r="O203" s="16" t="str">
        <f t="shared" si="16"/>
        <v/>
      </c>
      <c r="P203" s="11"/>
      <c r="Q203" s="16" t="str">
        <f t="shared" si="17"/>
        <v/>
      </c>
      <c r="R203" s="16" t="str">
        <f t="shared" si="18"/>
        <v/>
      </c>
      <c r="S203" s="9" t="str">
        <f t="shared" si="19"/>
        <v/>
      </c>
      <c r="T203" s="8"/>
      <c r="U203" s="8"/>
      <c r="V203" s="8"/>
      <c r="W203" s="10"/>
    </row>
    <row r="204" spans="1:23">
      <c r="A204" s="8"/>
      <c r="B204" s="10"/>
      <c r="C204" s="8"/>
      <c r="D204" s="8"/>
      <c r="E204" s="8"/>
      <c r="F204" s="8"/>
      <c r="G204" s="8"/>
      <c r="H204" s="8"/>
      <c r="I204" s="8"/>
      <c r="J204" s="11"/>
      <c r="K204" s="11"/>
      <c r="L204" s="11"/>
      <c r="M204" s="11"/>
      <c r="N204" s="12" t="str">
        <f t="shared" si="15"/>
        <v/>
      </c>
      <c r="O204" s="16" t="str">
        <f t="shared" si="16"/>
        <v/>
      </c>
      <c r="P204" s="11"/>
      <c r="Q204" s="16" t="str">
        <f t="shared" si="17"/>
        <v/>
      </c>
      <c r="R204" s="16" t="str">
        <f t="shared" si="18"/>
        <v/>
      </c>
      <c r="S204" s="9" t="str">
        <f t="shared" si="19"/>
        <v/>
      </c>
      <c r="T204" s="8"/>
      <c r="U204" s="8"/>
      <c r="V204" s="8"/>
      <c r="W204" s="10"/>
    </row>
    <row r="205" spans="1:23">
      <c r="A205" s="8"/>
      <c r="B205" s="10"/>
      <c r="C205" s="8"/>
      <c r="D205" s="8"/>
      <c r="E205" s="8"/>
      <c r="F205" s="8"/>
      <c r="G205" s="8"/>
      <c r="H205" s="8"/>
      <c r="I205" s="8"/>
      <c r="J205" s="11"/>
      <c r="K205" s="11"/>
      <c r="L205" s="11"/>
      <c r="M205" s="11"/>
      <c r="N205" s="12" t="str">
        <f t="shared" si="15"/>
        <v/>
      </c>
      <c r="O205" s="16" t="str">
        <f t="shared" si="16"/>
        <v/>
      </c>
      <c r="P205" s="11"/>
      <c r="Q205" s="16" t="str">
        <f t="shared" si="17"/>
        <v/>
      </c>
      <c r="R205" s="16" t="str">
        <f t="shared" si="18"/>
        <v/>
      </c>
      <c r="S205" s="9" t="str">
        <f t="shared" si="19"/>
        <v/>
      </c>
      <c r="T205" s="8"/>
      <c r="U205" s="8"/>
      <c r="V205" s="8"/>
      <c r="W205" s="10"/>
    </row>
    <row r="206" spans="1:23">
      <c r="A206" s="8"/>
      <c r="B206" s="10"/>
      <c r="C206" s="8"/>
      <c r="D206" s="8"/>
      <c r="E206" s="8"/>
      <c r="F206" s="8"/>
      <c r="G206" s="8"/>
      <c r="H206" s="8"/>
      <c r="I206" s="8"/>
      <c r="J206" s="11"/>
      <c r="K206" s="11"/>
      <c r="L206" s="11"/>
      <c r="M206" s="11"/>
      <c r="N206" s="12" t="str">
        <f t="shared" si="15"/>
        <v/>
      </c>
      <c r="O206" s="16" t="str">
        <f t="shared" si="16"/>
        <v/>
      </c>
      <c r="P206" s="11"/>
      <c r="Q206" s="16" t="str">
        <f t="shared" si="17"/>
        <v/>
      </c>
      <c r="R206" s="16" t="str">
        <f t="shared" si="18"/>
        <v/>
      </c>
      <c r="S206" s="9" t="str">
        <f t="shared" si="19"/>
        <v/>
      </c>
      <c r="T206" s="8"/>
      <c r="U206" s="8"/>
      <c r="V206" s="8"/>
      <c r="W206" s="10"/>
    </row>
    <row r="207" spans="1:23">
      <c r="A207" s="8"/>
      <c r="B207" s="10"/>
      <c r="C207" s="8"/>
      <c r="D207" s="8"/>
      <c r="E207" s="8"/>
      <c r="F207" s="8"/>
      <c r="G207" s="8"/>
      <c r="H207" s="8"/>
      <c r="I207" s="8"/>
      <c r="J207" s="11"/>
      <c r="K207" s="11"/>
      <c r="L207" s="11"/>
      <c r="M207" s="11"/>
      <c r="N207" s="12" t="str">
        <f t="shared" si="15"/>
        <v/>
      </c>
      <c r="O207" s="16" t="str">
        <f t="shared" si="16"/>
        <v/>
      </c>
      <c r="P207" s="11"/>
      <c r="Q207" s="16" t="str">
        <f t="shared" si="17"/>
        <v/>
      </c>
      <c r="R207" s="16" t="str">
        <f t="shared" si="18"/>
        <v/>
      </c>
      <c r="S207" s="9" t="str">
        <f t="shared" si="19"/>
        <v/>
      </c>
      <c r="T207" s="8"/>
      <c r="U207" s="8"/>
      <c r="V207" s="8"/>
      <c r="W207" s="10"/>
    </row>
    <row r="208" spans="1:23">
      <c r="A208" s="8"/>
      <c r="B208" s="10"/>
      <c r="C208" s="8"/>
      <c r="D208" s="8"/>
      <c r="E208" s="8"/>
      <c r="F208" s="8"/>
      <c r="G208" s="8"/>
      <c r="H208" s="8"/>
      <c r="I208" s="8"/>
      <c r="J208" s="11"/>
      <c r="K208" s="11"/>
      <c r="L208" s="11"/>
      <c r="M208" s="11"/>
      <c r="N208" s="12" t="str">
        <f t="shared" si="15"/>
        <v/>
      </c>
      <c r="O208" s="16" t="str">
        <f t="shared" si="16"/>
        <v/>
      </c>
      <c r="P208" s="11"/>
      <c r="Q208" s="16" t="str">
        <f t="shared" si="17"/>
        <v/>
      </c>
      <c r="R208" s="16" t="str">
        <f t="shared" si="18"/>
        <v/>
      </c>
      <c r="S208" s="9" t="str">
        <f t="shared" si="19"/>
        <v/>
      </c>
      <c r="T208" s="8"/>
      <c r="U208" s="8"/>
      <c r="V208" s="8"/>
      <c r="W208" s="10"/>
    </row>
    <row r="209" spans="1:23">
      <c r="A209" s="8"/>
      <c r="B209" s="10"/>
      <c r="C209" s="8"/>
      <c r="D209" s="8"/>
      <c r="E209" s="8"/>
      <c r="F209" s="8"/>
      <c r="G209" s="8"/>
      <c r="H209" s="8"/>
      <c r="I209" s="8"/>
      <c r="J209" s="11"/>
      <c r="K209" s="11"/>
      <c r="L209" s="11"/>
      <c r="M209" s="11"/>
      <c r="N209" s="12" t="str">
        <f t="shared" si="15"/>
        <v/>
      </c>
      <c r="O209" s="16" t="str">
        <f t="shared" si="16"/>
        <v/>
      </c>
      <c r="P209" s="11"/>
      <c r="Q209" s="16" t="str">
        <f t="shared" si="17"/>
        <v/>
      </c>
      <c r="R209" s="16" t="str">
        <f t="shared" si="18"/>
        <v/>
      </c>
      <c r="S209" s="9" t="str">
        <f t="shared" si="19"/>
        <v/>
      </c>
      <c r="T209" s="8"/>
      <c r="U209" s="8"/>
      <c r="V209" s="8"/>
      <c r="W209" s="10"/>
    </row>
    <row r="210" spans="1:23">
      <c r="A210" s="8"/>
      <c r="B210" s="10"/>
      <c r="C210" s="8"/>
      <c r="D210" s="8"/>
      <c r="E210" s="8"/>
      <c r="F210" s="8"/>
      <c r="G210" s="8"/>
      <c r="H210" s="8"/>
      <c r="I210" s="8"/>
      <c r="J210" s="11"/>
      <c r="K210" s="11"/>
      <c r="L210" s="11"/>
      <c r="M210" s="11"/>
      <c r="N210" s="12" t="str">
        <f t="shared" si="15"/>
        <v/>
      </c>
      <c r="O210" s="16" t="str">
        <f t="shared" si="16"/>
        <v/>
      </c>
      <c r="P210" s="11"/>
      <c r="Q210" s="16" t="str">
        <f t="shared" si="17"/>
        <v/>
      </c>
      <c r="R210" s="16" t="str">
        <f t="shared" si="18"/>
        <v/>
      </c>
      <c r="S210" s="9" t="str">
        <f t="shared" si="19"/>
        <v/>
      </c>
      <c r="T210" s="8"/>
      <c r="U210" s="8"/>
      <c r="V210" s="8"/>
      <c r="W210" s="10"/>
    </row>
    <row r="211" spans="1:23">
      <c r="A211" s="8"/>
      <c r="B211" s="10"/>
      <c r="C211" s="8"/>
      <c r="D211" s="8"/>
      <c r="E211" s="8"/>
      <c r="F211" s="8"/>
      <c r="G211" s="8"/>
      <c r="H211" s="8"/>
      <c r="I211" s="8"/>
      <c r="J211" s="11"/>
      <c r="K211" s="11"/>
      <c r="L211" s="11"/>
      <c r="M211" s="11"/>
      <c r="N211" s="12" t="str">
        <f t="shared" si="15"/>
        <v/>
      </c>
      <c r="O211" s="16" t="str">
        <f t="shared" si="16"/>
        <v/>
      </c>
      <c r="P211" s="11"/>
      <c r="Q211" s="16" t="str">
        <f t="shared" si="17"/>
        <v/>
      </c>
      <c r="R211" s="16" t="str">
        <f t="shared" si="18"/>
        <v/>
      </c>
      <c r="S211" s="9" t="str">
        <f t="shared" si="19"/>
        <v/>
      </c>
      <c r="T211" s="8"/>
      <c r="U211" s="8"/>
      <c r="V211" s="8"/>
      <c r="W211" s="10"/>
    </row>
    <row r="212" spans="1:23">
      <c r="A212" s="8"/>
      <c r="B212" s="10"/>
      <c r="C212" s="8"/>
      <c r="D212" s="8"/>
      <c r="E212" s="8"/>
      <c r="F212" s="8"/>
      <c r="G212" s="8"/>
      <c r="H212" s="8"/>
      <c r="I212" s="8"/>
      <c r="J212" s="11"/>
      <c r="K212" s="11"/>
      <c r="L212" s="11"/>
      <c r="M212" s="11"/>
      <c r="N212" s="12" t="str">
        <f t="shared" si="15"/>
        <v/>
      </c>
      <c r="O212" s="16" t="str">
        <f t="shared" si="16"/>
        <v/>
      </c>
      <c r="P212" s="11"/>
      <c r="Q212" s="16" t="str">
        <f t="shared" si="17"/>
        <v/>
      </c>
      <c r="R212" s="16" t="str">
        <f t="shared" si="18"/>
        <v/>
      </c>
      <c r="S212" s="9" t="str">
        <f t="shared" si="19"/>
        <v/>
      </c>
      <c r="T212" s="8"/>
      <c r="U212" s="8"/>
      <c r="V212" s="8"/>
      <c r="W212" s="10"/>
    </row>
    <row r="213" spans="1:23">
      <c r="A213" s="8"/>
      <c r="B213" s="10"/>
      <c r="C213" s="8"/>
      <c r="D213" s="8"/>
      <c r="E213" s="8"/>
      <c r="F213" s="8"/>
      <c r="G213" s="8"/>
      <c r="H213" s="8"/>
      <c r="I213" s="8"/>
      <c r="J213" s="11"/>
      <c r="K213" s="11"/>
      <c r="L213" s="11"/>
      <c r="M213" s="11"/>
      <c r="N213" s="12" t="str">
        <f t="shared" si="15"/>
        <v/>
      </c>
      <c r="O213" s="16" t="str">
        <f t="shared" si="16"/>
        <v/>
      </c>
      <c r="P213" s="11"/>
      <c r="Q213" s="16" t="str">
        <f t="shared" si="17"/>
        <v/>
      </c>
      <c r="R213" s="16" t="str">
        <f t="shared" si="18"/>
        <v/>
      </c>
      <c r="S213" s="9" t="str">
        <f t="shared" si="19"/>
        <v/>
      </c>
      <c r="T213" s="8"/>
      <c r="U213" s="8"/>
      <c r="V213" s="8"/>
      <c r="W213" s="10"/>
    </row>
    <row r="214" spans="1:23">
      <c r="A214" s="8"/>
      <c r="B214" s="10"/>
      <c r="C214" s="8"/>
      <c r="D214" s="8"/>
      <c r="E214" s="8"/>
      <c r="F214" s="8"/>
      <c r="G214" s="8"/>
      <c r="H214" s="8"/>
      <c r="I214" s="8"/>
      <c r="J214" s="11"/>
      <c r="K214" s="11"/>
      <c r="L214" s="11"/>
      <c r="M214" s="11"/>
      <c r="N214" s="12" t="str">
        <f t="shared" si="15"/>
        <v/>
      </c>
      <c r="O214" s="16" t="str">
        <f t="shared" si="16"/>
        <v/>
      </c>
      <c r="P214" s="11"/>
      <c r="Q214" s="16" t="str">
        <f t="shared" si="17"/>
        <v/>
      </c>
      <c r="R214" s="16" t="str">
        <f t="shared" si="18"/>
        <v/>
      </c>
      <c r="S214" s="9" t="str">
        <f t="shared" si="19"/>
        <v/>
      </c>
      <c r="T214" s="8"/>
      <c r="U214" s="8"/>
      <c r="V214" s="8"/>
      <c r="W214" s="10"/>
    </row>
    <row r="215" spans="1:23">
      <c r="A215" s="8"/>
      <c r="B215" s="10"/>
      <c r="C215" s="8"/>
      <c r="D215" s="8"/>
      <c r="E215" s="8"/>
      <c r="F215" s="8"/>
      <c r="G215" s="8"/>
      <c r="H215" s="8"/>
      <c r="I215" s="8"/>
      <c r="J215" s="11"/>
      <c r="K215" s="11"/>
      <c r="L215" s="11"/>
      <c r="M215" s="11"/>
      <c r="N215" s="12" t="str">
        <f t="shared" si="15"/>
        <v/>
      </c>
      <c r="O215" s="16" t="str">
        <f t="shared" si="16"/>
        <v/>
      </c>
      <c r="P215" s="11"/>
      <c r="Q215" s="16" t="str">
        <f t="shared" si="17"/>
        <v/>
      </c>
      <c r="R215" s="16" t="str">
        <f t="shared" si="18"/>
        <v/>
      </c>
      <c r="S215" s="9" t="str">
        <f t="shared" si="19"/>
        <v/>
      </c>
      <c r="T215" s="8"/>
      <c r="U215" s="8"/>
      <c r="V215" s="8"/>
      <c r="W215" s="10"/>
    </row>
    <row r="216" spans="1:23">
      <c r="A216" s="8"/>
      <c r="B216" s="10"/>
      <c r="C216" s="8"/>
      <c r="D216" s="8"/>
      <c r="E216" s="8"/>
      <c r="F216" s="8"/>
      <c r="G216" s="8"/>
      <c r="H216" s="8"/>
      <c r="I216" s="8"/>
      <c r="J216" s="11"/>
      <c r="K216" s="11"/>
      <c r="L216" s="11"/>
      <c r="M216" s="11"/>
      <c r="N216" s="12" t="str">
        <f t="shared" si="15"/>
        <v/>
      </c>
      <c r="O216" s="16" t="str">
        <f t="shared" si="16"/>
        <v/>
      </c>
      <c r="P216" s="11"/>
      <c r="Q216" s="16" t="str">
        <f t="shared" si="17"/>
        <v/>
      </c>
      <c r="R216" s="16" t="str">
        <f t="shared" si="18"/>
        <v/>
      </c>
      <c r="S216" s="9" t="str">
        <f t="shared" si="19"/>
        <v/>
      </c>
      <c r="T216" s="8"/>
      <c r="U216" s="8"/>
      <c r="V216" s="8"/>
      <c r="W216" s="10"/>
    </row>
    <row r="217" spans="1:23">
      <c r="A217" s="8"/>
      <c r="B217" s="10"/>
      <c r="C217" s="8"/>
      <c r="D217" s="8"/>
      <c r="E217" s="8"/>
      <c r="F217" s="8"/>
      <c r="G217" s="8"/>
      <c r="H217" s="8"/>
      <c r="I217" s="8"/>
      <c r="J217" s="11"/>
      <c r="K217" s="11"/>
      <c r="L217" s="11"/>
      <c r="M217" s="11"/>
      <c r="N217" s="12" t="str">
        <f t="shared" si="15"/>
        <v/>
      </c>
      <c r="O217" s="16" t="str">
        <f t="shared" si="16"/>
        <v/>
      </c>
      <c r="P217" s="11"/>
      <c r="Q217" s="16" t="str">
        <f t="shared" si="17"/>
        <v/>
      </c>
      <c r="R217" s="16" t="str">
        <f t="shared" si="18"/>
        <v/>
      </c>
      <c r="S217" s="9" t="str">
        <f t="shared" si="19"/>
        <v/>
      </c>
      <c r="T217" s="8"/>
      <c r="U217" s="8"/>
      <c r="V217" s="8"/>
      <c r="W217" s="10"/>
    </row>
    <row r="218" spans="1:23">
      <c r="A218" s="8"/>
      <c r="B218" s="10"/>
      <c r="C218" s="8"/>
      <c r="D218" s="8"/>
      <c r="E218" s="8"/>
      <c r="F218" s="8"/>
      <c r="G218" s="8"/>
      <c r="H218" s="8"/>
      <c r="I218" s="8"/>
      <c r="J218" s="11"/>
      <c r="K218" s="11"/>
      <c r="L218" s="11"/>
      <c r="M218" s="11"/>
      <c r="N218" s="12" t="str">
        <f t="shared" si="15"/>
        <v/>
      </c>
      <c r="O218" s="16" t="str">
        <f t="shared" si="16"/>
        <v/>
      </c>
      <c r="P218" s="11"/>
      <c r="Q218" s="16" t="str">
        <f t="shared" si="17"/>
        <v/>
      </c>
      <c r="R218" s="16" t="str">
        <f t="shared" si="18"/>
        <v/>
      </c>
      <c r="S218" s="9" t="str">
        <f t="shared" si="19"/>
        <v/>
      </c>
      <c r="T218" s="8"/>
      <c r="U218" s="8"/>
      <c r="V218" s="8"/>
      <c r="W218" s="10"/>
    </row>
    <row r="219" spans="1:23">
      <c r="A219" s="8"/>
      <c r="B219" s="10"/>
      <c r="C219" s="8"/>
      <c r="D219" s="8"/>
      <c r="E219" s="8"/>
      <c r="F219" s="8"/>
      <c r="G219" s="8"/>
      <c r="H219" s="8"/>
      <c r="I219" s="8"/>
      <c r="J219" s="11"/>
      <c r="K219" s="11"/>
      <c r="L219" s="11"/>
      <c r="M219" s="11"/>
      <c r="N219" s="12" t="str">
        <f t="shared" si="15"/>
        <v/>
      </c>
      <c r="O219" s="16" t="str">
        <f t="shared" si="16"/>
        <v/>
      </c>
      <c r="P219" s="11"/>
      <c r="Q219" s="16" t="str">
        <f t="shared" si="17"/>
        <v/>
      </c>
      <c r="R219" s="16" t="str">
        <f t="shared" si="18"/>
        <v/>
      </c>
      <c r="S219" s="9" t="str">
        <f t="shared" si="19"/>
        <v/>
      </c>
      <c r="T219" s="8"/>
      <c r="U219" s="8"/>
      <c r="V219" s="8"/>
      <c r="W219" s="10"/>
    </row>
    <row r="220" spans="1:23">
      <c r="A220" s="8"/>
      <c r="B220" s="10"/>
      <c r="C220" s="8"/>
      <c r="D220" s="8"/>
      <c r="E220" s="8"/>
      <c r="F220" s="8"/>
      <c r="G220" s="8"/>
      <c r="H220" s="8"/>
      <c r="I220" s="8"/>
      <c r="J220" s="11"/>
      <c r="K220" s="11"/>
      <c r="L220" s="11"/>
      <c r="M220" s="11"/>
      <c r="N220" s="12" t="str">
        <f t="shared" si="15"/>
        <v/>
      </c>
      <c r="O220" s="16" t="str">
        <f t="shared" si="16"/>
        <v/>
      </c>
      <c r="P220" s="11"/>
      <c r="Q220" s="16" t="str">
        <f t="shared" si="17"/>
        <v/>
      </c>
      <c r="R220" s="16" t="str">
        <f t="shared" si="18"/>
        <v/>
      </c>
      <c r="S220" s="9" t="str">
        <f t="shared" si="19"/>
        <v/>
      </c>
      <c r="T220" s="8"/>
      <c r="U220" s="8"/>
      <c r="V220" s="8"/>
      <c r="W220" s="10"/>
    </row>
    <row r="221" spans="1:23">
      <c r="A221" s="8"/>
      <c r="B221" s="10"/>
      <c r="C221" s="8"/>
      <c r="D221" s="8"/>
      <c r="E221" s="8"/>
      <c r="F221" s="8"/>
      <c r="G221" s="8"/>
      <c r="H221" s="8"/>
      <c r="I221" s="8"/>
      <c r="J221" s="11"/>
      <c r="K221" s="11"/>
      <c r="L221" s="11"/>
      <c r="M221" s="11"/>
      <c r="N221" s="12" t="str">
        <f t="shared" si="15"/>
        <v/>
      </c>
      <c r="O221" s="16" t="str">
        <f t="shared" si="16"/>
        <v/>
      </c>
      <c r="P221" s="11"/>
      <c r="Q221" s="16" t="str">
        <f t="shared" si="17"/>
        <v/>
      </c>
      <c r="R221" s="16" t="str">
        <f t="shared" si="18"/>
        <v/>
      </c>
      <c r="S221" s="9" t="str">
        <f t="shared" si="19"/>
        <v/>
      </c>
      <c r="T221" s="8"/>
      <c r="U221" s="8"/>
      <c r="V221" s="8"/>
      <c r="W221" s="10"/>
    </row>
    <row r="222" spans="1:23">
      <c r="A222" s="8"/>
      <c r="B222" s="10"/>
      <c r="C222" s="8"/>
      <c r="D222" s="8"/>
      <c r="E222" s="8"/>
      <c r="F222" s="8"/>
      <c r="G222" s="8"/>
      <c r="H222" s="8"/>
      <c r="I222" s="8"/>
      <c r="J222" s="11"/>
      <c r="K222" s="11"/>
      <c r="L222" s="11"/>
      <c r="M222" s="11"/>
      <c r="N222" s="12" t="str">
        <f t="shared" si="15"/>
        <v/>
      </c>
      <c r="O222" s="16" t="str">
        <f t="shared" si="16"/>
        <v/>
      </c>
      <c r="P222" s="11"/>
      <c r="Q222" s="16" t="str">
        <f t="shared" si="17"/>
        <v/>
      </c>
      <c r="R222" s="16" t="str">
        <f t="shared" si="18"/>
        <v/>
      </c>
      <c r="S222" s="9" t="str">
        <f t="shared" si="19"/>
        <v/>
      </c>
      <c r="T222" s="8"/>
      <c r="U222" s="8"/>
      <c r="V222" s="8"/>
      <c r="W222" s="10"/>
    </row>
    <row r="223" spans="1:23">
      <c r="A223" s="8"/>
      <c r="B223" s="10"/>
      <c r="C223" s="8"/>
      <c r="D223" s="8"/>
      <c r="E223" s="8"/>
      <c r="F223" s="8"/>
      <c r="G223" s="8"/>
      <c r="H223" s="8"/>
      <c r="I223" s="8"/>
      <c r="J223" s="11"/>
      <c r="K223" s="11"/>
      <c r="L223" s="11"/>
      <c r="M223" s="11"/>
      <c r="N223" s="12" t="str">
        <f t="shared" si="15"/>
        <v/>
      </c>
      <c r="O223" s="16" t="str">
        <f t="shared" si="16"/>
        <v/>
      </c>
      <c r="P223" s="11"/>
      <c r="Q223" s="16" t="str">
        <f t="shared" si="17"/>
        <v/>
      </c>
      <c r="R223" s="16" t="str">
        <f t="shared" si="18"/>
        <v/>
      </c>
      <c r="S223" s="9" t="str">
        <f t="shared" si="19"/>
        <v/>
      </c>
      <c r="T223" s="8"/>
      <c r="U223" s="8"/>
      <c r="V223" s="8"/>
      <c r="W223" s="10"/>
    </row>
    <row r="224" spans="1:23">
      <c r="A224" s="8"/>
      <c r="B224" s="10"/>
      <c r="C224" s="8"/>
      <c r="D224" s="8"/>
      <c r="E224" s="8"/>
      <c r="F224" s="8"/>
      <c r="G224" s="8"/>
      <c r="H224" s="8"/>
      <c r="I224" s="8"/>
      <c r="J224" s="11"/>
      <c r="K224" s="11"/>
      <c r="L224" s="11"/>
      <c r="M224" s="11"/>
      <c r="N224" s="12" t="str">
        <f t="shared" si="15"/>
        <v/>
      </c>
      <c r="O224" s="16" t="str">
        <f t="shared" si="16"/>
        <v/>
      </c>
      <c r="P224" s="11"/>
      <c r="Q224" s="16" t="str">
        <f t="shared" si="17"/>
        <v/>
      </c>
      <c r="R224" s="16" t="str">
        <f t="shared" si="18"/>
        <v/>
      </c>
      <c r="S224" s="9" t="str">
        <f t="shared" si="19"/>
        <v/>
      </c>
      <c r="T224" s="8"/>
      <c r="U224" s="8"/>
      <c r="V224" s="8"/>
      <c r="W224" s="10"/>
    </row>
    <row r="225" spans="1:23">
      <c r="A225" s="8"/>
      <c r="B225" s="10"/>
      <c r="C225" s="8"/>
      <c r="D225" s="8"/>
      <c r="E225" s="8"/>
      <c r="F225" s="8"/>
      <c r="G225" s="8"/>
      <c r="H225" s="8"/>
      <c r="I225" s="8"/>
      <c r="J225" s="11"/>
      <c r="K225" s="11"/>
      <c r="L225" s="11"/>
      <c r="M225" s="11"/>
      <c r="N225" s="12" t="str">
        <f t="shared" si="15"/>
        <v/>
      </c>
      <c r="O225" s="16" t="str">
        <f t="shared" si="16"/>
        <v/>
      </c>
      <c r="P225" s="11"/>
      <c r="Q225" s="16" t="str">
        <f t="shared" si="17"/>
        <v/>
      </c>
      <c r="R225" s="16" t="str">
        <f t="shared" si="18"/>
        <v/>
      </c>
      <c r="S225" s="9" t="str">
        <f t="shared" si="19"/>
        <v/>
      </c>
      <c r="T225" s="8"/>
      <c r="U225" s="8"/>
      <c r="V225" s="8"/>
      <c r="W225" s="10"/>
    </row>
    <row r="226" spans="1:23">
      <c r="A226" s="8"/>
      <c r="B226" s="10"/>
      <c r="C226" s="8"/>
      <c r="D226" s="8"/>
      <c r="E226" s="8"/>
      <c r="F226" s="8"/>
      <c r="G226" s="8"/>
      <c r="H226" s="8"/>
      <c r="I226" s="8"/>
      <c r="J226" s="11"/>
      <c r="K226" s="11"/>
      <c r="L226" s="11"/>
      <c r="M226" s="11"/>
      <c r="N226" s="12" t="str">
        <f t="shared" si="15"/>
        <v/>
      </c>
      <c r="O226" s="16" t="str">
        <f t="shared" si="16"/>
        <v/>
      </c>
      <c r="P226" s="11"/>
      <c r="Q226" s="16" t="str">
        <f t="shared" si="17"/>
        <v/>
      </c>
      <c r="R226" s="16" t="str">
        <f t="shared" si="18"/>
        <v/>
      </c>
      <c r="S226" s="9" t="str">
        <f t="shared" si="19"/>
        <v/>
      </c>
      <c r="T226" s="8"/>
      <c r="U226" s="8"/>
      <c r="V226" s="8"/>
      <c r="W226" s="10"/>
    </row>
    <row r="227" spans="1:23">
      <c r="A227" s="8"/>
      <c r="B227" s="10"/>
      <c r="C227" s="8"/>
      <c r="D227" s="8"/>
      <c r="E227" s="8"/>
      <c r="F227" s="8"/>
      <c r="G227" s="8"/>
      <c r="H227" s="8"/>
      <c r="I227" s="8"/>
      <c r="J227" s="11"/>
      <c r="K227" s="11"/>
      <c r="L227" s="11"/>
      <c r="M227" s="11"/>
      <c r="N227" s="12" t="str">
        <f t="shared" si="15"/>
        <v/>
      </c>
      <c r="O227" s="16" t="str">
        <f t="shared" si="16"/>
        <v/>
      </c>
      <c r="P227" s="11"/>
      <c r="Q227" s="16" t="str">
        <f t="shared" si="17"/>
        <v/>
      </c>
      <c r="R227" s="16" t="str">
        <f t="shared" si="18"/>
        <v/>
      </c>
      <c r="S227" s="9" t="str">
        <f t="shared" si="19"/>
        <v/>
      </c>
      <c r="T227" s="8"/>
      <c r="U227" s="8"/>
      <c r="V227" s="8"/>
      <c r="W227" s="10"/>
    </row>
    <row r="228" spans="1:23">
      <c r="A228" s="8"/>
      <c r="B228" s="10"/>
      <c r="C228" s="8"/>
      <c r="D228" s="8"/>
      <c r="E228" s="8"/>
      <c r="F228" s="8"/>
      <c r="G228" s="8"/>
      <c r="H228" s="8"/>
      <c r="I228" s="8"/>
      <c r="J228" s="11"/>
      <c r="K228" s="11"/>
      <c r="L228" s="11"/>
      <c r="M228" s="11"/>
      <c r="N228" s="12" t="str">
        <f t="shared" si="15"/>
        <v/>
      </c>
      <c r="O228" s="16" t="str">
        <f t="shared" si="16"/>
        <v/>
      </c>
      <c r="P228" s="11"/>
      <c r="Q228" s="16" t="str">
        <f t="shared" si="17"/>
        <v/>
      </c>
      <c r="R228" s="16" t="str">
        <f t="shared" si="18"/>
        <v/>
      </c>
      <c r="S228" s="9" t="str">
        <f t="shared" si="19"/>
        <v/>
      </c>
      <c r="T228" s="8"/>
      <c r="U228" s="8"/>
      <c r="V228" s="8"/>
      <c r="W228" s="10"/>
    </row>
    <row r="229" spans="1:23">
      <c r="A229" s="8"/>
      <c r="B229" s="10"/>
      <c r="C229" s="8"/>
      <c r="D229" s="8"/>
      <c r="E229" s="8"/>
      <c r="F229" s="8"/>
      <c r="G229" s="8"/>
      <c r="H229" s="8"/>
      <c r="I229" s="8"/>
      <c r="J229" s="11"/>
      <c r="K229" s="11"/>
      <c r="L229" s="11"/>
      <c r="M229" s="11"/>
      <c r="N229" s="12" t="str">
        <f t="shared" si="15"/>
        <v/>
      </c>
      <c r="O229" s="16" t="str">
        <f t="shared" si="16"/>
        <v/>
      </c>
      <c r="P229" s="11"/>
      <c r="Q229" s="16" t="str">
        <f t="shared" si="17"/>
        <v/>
      </c>
      <c r="R229" s="16" t="str">
        <f t="shared" si="18"/>
        <v/>
      </c>
      <c r="S229" s="9" t="str">
        <f t="shared" si="19"/>
        <v/>
      </c>
      <c r="T229" s="8"/>
      <c r="U229" s="8"/>
      <c r="V229" s="8"/>
      <c r="W229" s="10"/>
    </row>
    <row r="230" spans="1:23">
      <c r="A230" s="8"/>
      <c r="B230" s="10"/>
      <c r="C230" s="8"/>
      <c r="D230" s="8"/>
      <c r="E230" s="8"/>
      <c r="F230" s="8"/>
      <c r="G230" s="8"/>
      <c r="H230" s="8"/>
      <c r="I230" s="8"/>
      <c r="J230" s="11"/>
      <c r="K230" s="11"/>
      <c r="L230" s="11"/>
      <c r="M230" s="11"/>
      <c r="N230" s="12" t="str">
        <f t="shared" si="15"/>
        <v/>
      </c>
      <c r="O230" s="16" t="str">
        <f t="shared" si="16"/>
        <v/>
      </c>
      <c r="P230" s="11"/>
      <c r="Q230" s="16" t="str">
        <f t="shared" si="17"/>
        <v/>
      </c>
      <c r="R230" s="16" t="str">
        <f t="shared" si="18"/>
        <v/>
      </c>
      <c r="S230" s="9" t="str">
        <f t="shared" si="19"/>
        <v/>
      </c>
      <c r="T230" s="8"/>
      <c r="U230" s="8"/>
      <c r="V230" s="8"/>
      <c r="W230" s="10"/>
    </row>
    <row r="231" spans="1:23">
      <c r="A231" s="8"/>
      <c r="B231" s="10"/>
      <c r="C231" s="8"/>
      <c r="D231" s="8"/>
      <c r="E231" s="8"/>
      <c r="F231" s="8"/>
      <c r="G231" s="8"/>
      <c r="H231" s="8"/>
      <c r="I231" s="8"/>
      <c r="J231" s="11"/>
      <c r="K231" s="11"/>
      <c r="L231" s="11"/>
      <c r="M231" s="11"/>
      <c r="N231" s="12" t="str">
        <f t="shared" si="15"/>
        <v/>
      </c>
      <c r="O231" s="16" t="str">
        <f t="shared" si="16"/>
        <v/>
      </c>
      <c r="P231" s="11"/>
      <c r="Q231" s="16" t="str">
        <f t="shared" si="17"/>
        <v/>
      </c>
      <c r="R231" s="16" t="str">
        <f t="shared" si="18"/>
        <v/>
      </c>
      <c r="S231" s="9" t="str">
        <f t="shared" si="19"/>
        <v/>
      </c>
      <c r="T231" s="8"/>
      <c r="U231" s="8"/>
      <c r="V231" s="8"/>
      <c r="W231" s="10"/>
    </row>
    <row r="232" spans="1:23">
      <c r="A232" s="8"/>
      <c r="B232" s="10"/>
      <c r="C232" s="8"/>
      <c r="D232" s="8"/>
      <c r="E232" s="8"/>
      <c r="F232" s="8"/>
      <c r="G232" s="8"/>
      <c r="H232" s="8"/>
      <c r="I232" s="8"/>
      <c r="J232" s="11"/>
      <c r="K232" s="11"/>
      <c r="L232" s="11"/>
      <c r="M232" s="11"/>
      <c r="N232" s="12" t="str">
        <f t="shared" si="15"/>
        <v/>
      </c>
      <c r="O232" s="16" t="str">
        <f t="shared" si="16"/>
        <v/>
      </c>
      <c r="P232" s="11"/>
      <c r="Q232" s="16" t="str">
        <f t="shared" si="17"/>
        <v/>
      </c>
      <c r="R232" s="16" t="str">
        <f t="shared" si="18"/>
        <v/>
      </c>
      <c r="S232" s="9" t="str">
        <f t="shared" si="19"/>
        <v/>
      </c>
      <c r="T232" s="8"/>
      <c r="U232" s="8"/>
      <c r="V232" s="8"/>
      <c r="W232" s="10"/>
    </row>
    <row r="233" spans="1:23">
      <c r="A233" s="8"/>
      <c r="B233" s="10"/>
      <c r="C233" s="8"/>
      <c r="D233" s="8"/>
      <c r="E233" s="8"/>
      <c r="F233" s="8"/>
      <c r="G233" s="8"/>
      <c r="H233" s="8"/>
      <c r="I233" s="8"/>
      <c r="J233" s="11"/>
      <c r="K233" s="11"/>
      <c r="L233" s="11"/>
      <c r="M233" s="11"/>
      <c r="N233" s="12" t="str">
        <f t="shared" si="15"/>
        <v/>
      </c>
      <c r="O233" s="16" t="str">
        <f t="shared" si="16"/>
        <v/>
      </c>
      <c r="P233" s="11"/>
      <c r="Q233" s="16" t="str">
        <f t="shared" si="17"/>
        <v/>
      </c>
      <c r="R233" s="16" t="str">
        <f t="shared" si="18"/>
        <v/>
      </c>
      <c r="S233" s="9" t="str">
        <f t="shared" si="19"/>
        <v/>
      </c>
      <c r="T233" s="8"/>
      <c r="U233" s="8"/>
      <c r="V233" s="8"/>
      <c r="W233" s="10"/>
    </row>
    <row r="234" spans="1:23">
      <c r="A234" s="8"/>
      <c r="B234" s="10"/>
      <c r="C234" s="8"/>
      <c r="D234" s="8"/>
      <c r="E234" s="8"/>
      <c r="F234" s="8"/>
      <c r="G234" s="8"/>
      <c r="H234" s="8"/>
      <c r="I234" s="8"/>
      <c r="J234" s="11"/>
      <c r="K234" s="11"/>
      <c r="L234" s="11"/>
      <c r="M234" s="11"/>
      <c r="N234" s="12" t="str">
        <f t="shared" si="15"/>
        <v/>
      </c>
      <c r="O234" s="16" t="str">
        <f t="shared" si="16"/>
        <v/>
      </c>
      <c r="P234" s="11"/>
      <c r="Q234" s="16" t="str">
        <f t="shared" si="17"/>
        <v/>
      </c>
      <c r="R234" s="16" t="str">
        <f t="shared" si="18"/>
        <v/>
      </c>
      <c r="S234" s="9" t="str">
        <f t="shared" si="19"/>
        <v/>
      </c>
      <c r="T234" s="8"/>
      <c r="U234" s="8"/>
      <c r="V234" s="8"/>
      <c r="W234" s="10"/>
    </row>
    <row r="235" spans="1:23">
      <c r="A235" s="8"/>
      <c r="B235" s="10"/>
      <c r="C235" s="8"/>
      <c r="D235" s="8"/>
      <c r="E235" s="8"/>
      <c r="F235" s="8"/>
      <c r="G235" s="8"/>
      <c r="H235" s="8"/>
      <c r="I235" s="8"/>
      <c r="J235" s="11"/>
      <c r="K235" s="11"/>
      <c r="L235" s="11"/>
      <c r="M235" s="11"/>
      <c r="N235" s="12" t="str">
        <f t="shared" si="15"/>
        <v/>
      </c>
      <c r="O235" s="16" t="str">
        <f t="shared" si="16"/>
        <v/>
      </c>
      <c r="P235" s="11"/>
      <c r="Q235" s="16" t="str">
        <f t="shared" si="17"/>
        <v/>
      </c>
      <c r="R235" s="16" t="str">
        <f t="shared" si="18"/>
        <v/>
      </c>
      <c r="S235" s="9" t="str">
        <f t="shared" si="19"/>
        <v/>
      </c>
      <c r="T235" s="8"/>
      <c r="U235" s="8"/>
      <c r="V235" s="8"/>
      <c r="W235" s="10"/>
    </row>
    <row r="236" spans="1:23">
      <c r="A236" s="8"/>
      <c r="B236" s="10"/>
      <c r="C236" s="8"/>
      <c r="D236" s="8"/>
      <c r="E236" s="8"/>
      <c r="F236" s="8"/>
      <c r="G236" s="8"/>
      <c r="H236" s="8"/>
      <c r="I236" s="8"/>
      <c r="J236" s="11"/>
      <c r="K236" s="11"/>
      <c r="L236" s="11"/>
      <c r="M236" s="11"/>
      <c r="N236" s="12" t="str">
        <f t="shared" si="15"/>
        <v/>
      </c>
      <c r="O236" s="16" t="str">
        <f t="shared" si="16"/>
        <v/>
      </c>
      <c r="P236" s="11"/>
      <c r="Q236" s="16" t="str">
        <f t="shared" si="17"/>
        <v/>
      </c>
      <c r="R236" s="16" t="str">
        <f t="shared" si="18"/>
        <v/>
      </c>
      <c r="S236" s="9" t="str">
        <f t="shared" si="19"/>
        <v/>
      </c>
      <c r="T236" s="8"/>
      <c r="U236" s="8"/>
      <c r="V236" s="8"/>
      <c r="W236" s="10"/>
    </row>
    <row r="237" spans="1:23">
      <c r="A237" s="8"/>
      <c r="B237" s="10"/>
      <c r="C237" s="8"/>
      <c r="D237" s="8"/>
      <c r="E237" s="8"/>
      <c r="F237" s="8"/>
      <c r="G237" s="8"/>
      <c r="H237" s="8"/>
      <c r="I237" s="8"/>
      <c r="J237" s="11"/>
      <c r="K237" s="11"/>
      <c r="L237" s="11"/>
      <c r="M237" s="11"/>
      <c r="N237" s="12" t="str">
        <f t="shared" si="15"/>
        <v/>
      </c>
      <c r="O237" s="16" t="str">
        <f t="shared" si="16"/>
        <v/>
      </c>
      <c r="P237" s="11"/>
      <c r="Q237" s="16" t="str">
        <f t="shared" si="17"/>
        <v/>
      </c>
      <c r="R237" s="16" t="str">
        <f t="shared" si="18"/>
        <v/>
      </c>
      <c r="S237" s="9" t="str">
        <f t="shared" si="19"/>
        <v/>
      </c>
      <c r="T237" s="8"/>
      <c r="U237" s="8"/>
      <c r="V237" s="8"/>
      <c r="W237" s="10"/>
    </row>
    <row r="238" spans="1:23">
      <c r="A238" s="8"/>
      <c r="B238" s="10"/>
      <c r="C238" s="8"/>
      <c r="D238" s="8"/>
      <c r="E238" s="8"/>
      <c r="F238" s="8"/>
      <c r="G238" s="8"/>
      <c r="H238" s="8"/>
      <c r="I238" s="8"/>
      <c r="J238" s="11"/>
      <c r="K238" s="11"/>
      <c r="L238" s="11"/>
      <c r="M238" s="11"/>
      <c r="N238" s="12" t="str">
        <f t="shared" si="15"/>
        <v/>
      </c>
      <c r="O238" s="16" t="str">
        <f t="shared" si="16"/>
        <v/>
      </c>
      <c r="P238" s="11"/>
      <c r="Q238" s="16" t="str">
        <f t="shared" si="17"/>
        <v/>
      </c>
      <c r="R238" s="16" t="str">
        <f t="shared" si="18"/>
        <v/>
      </c>
      <c r="S238" s="9" t="str">
        <f t="shared" si="19"/>
        <v/>
      </c>
      <c r="T238" s="8"/>
      <c r="U238" s="8"/>
      <c r="V238" s="8"/>
      <c r="W238" s="10"/>
    </row>
    <row r="239" spans="1:23">
      <c r="A239" s="8"/>
      <c r="B239" s="10"/>
      <c r="C239" s="8"/>
      <c r="D239" s="8"/>
      <c r="E239" s="8"/>
      <c r="F239" s="8"/>
      <c r="G239" s="8"/>
      <c r="H239" s="8"/>
      <c r="I239" s="8"/>
      <c r="J239" s="11"/>
      <c r="K239" s="11"/>
      <c r="L239" s="11"/>
      <c r="M239" s="11"/>
      <c r="N239" s="12" t="str">
        <f t="shared" si="15"/>
        <v/>
      </c>
      <c r="O239" s="16" t="str">
        <f t="shared" si="16"/>
        <v/>
      </c>
      <c r="P239" s="11"/>
      <c r="Q239" s="16" t="str">
        <f t="shared" si="17"/>
        <v/>
      </c>
      <c r="R239" s="16" t="str">
        <f t="shared" si="18"/>
        <v/>
      </c>
      <c r="S239" s="9" t="str">
        <f t="shared" si="19"/>
        <v/>
      </c>
      <c r="T239" s="8"/>
      <c r="U239" s="8"/>
      <c r="V239" s="8"/>
      <c r="W239" s="10"/>
    </row>
    <row r="240" spans="1:23">
      <c r="A240" s="8"/>
      <c r="B240" s="10"/>
      <c r="C240" s="8"/>
      <c r="D240" s="8"/>
      <c r="E240" s="8"/>
      <c r="F240" s="8"/>
      <c r="G240" s="8"/>
      <c r="H240" s="8"/>
      <c r="I240" s="8"/>
      <c r="J240" s="11"/>
      <c r="K240" s="11"/>
      <c r="L240" s="11"/>
      <c r="M240" s="11"/>
      <c r="N240" s="12" t="str">
        <f t="shared" si="15"/>
        <v/>
      </c>
      <c r="O240" s="16" t="str">
        <f t="shared" si="16"/>
        <v/>
      </c>
      <c r="P240" s="11"/>
      <c r="Q240" s="16" t="str">
        <f t="shared" si="17"/>
        <v/>
      </c>
      <c r="R240" s="16" t="str">
        <f t="shared" si="18"/>
        <v/>
      </c>
      <c r="S240" s="9" t="str">
        <f t="shared" si="19"/>
        <v/>
      </c>
      <c r="T240" s="8"/>
      <c r="U240" s="8"/>
      <c r="V240" s="8"/>
      <c r="W240" s="10"/>
    </row>
    <row r="241" spans="1:23">
      <c r="A241" s="8"/>
      <c r="B241" s="10"/>
      <c r="C241" s="8"/>
      <c r="D241" s="8"/>
      <c r="E241" s="8"/>
      <c r="F241" s="8"/>
      <c r="G241" s="8"/>
      <c r="H241" s="8"/>
      <c r="I241" s="8"/>
      <c r="J241" s="11"/>
      <c r="K241" s="11"/>
      <c r="L241" s="11"/>
      <c r="M241" s="11"/>
      <c r="N241" s="12" t="str">
        <f t="shared" si="15"/>
        <v/>
      </c>
      <c r="O241" s="16" t="str">
        <f t="shared" si="16"/>
        <v/>
      </c>
      <c r="P241" s="11"/>
      <c r="Q241" s="16" t="str">
        <f t="shared" si="17"/>
        <v/>
      </c>
      <c r="R241" s="16" t="str">
        <f t="shared" si="18"/>
        <v/>
      </c>
      <c r="S241" s="9" t="str">
        <f t="shared" si="19"/>
        <v/>
      </c>
      <c r="T241" s="8"/>
      <c r="U241" s="8"/>
      <c r="V241" s="8"/>
      <c r="W241" s="10"/>
    </row>
    <row r="242" spans="1:23">
      <c r="A242" s="8"/>
      <c r="B242" s="10"/>
      <c r="C242" s="8"/>
      <c r="D242" s="8"/>
      <c r="E242" s="8"/>
      <c r="F242" s="8"/>
      <c r="G242" s="8"/>
      <c r="H242" s="8"/>
      <c r="I242" s="8"/>
      <c r="J242" s="11"/>
      <c r="K242" s="11"/>
      <c r="L242" s="11"/>
      <c r="M242" s="11"/>
      <c r="N242" s="12" t="str">
        <f t="shared" si="15"/>
        <v/>
      </c>
      <c r="O242" s="16" t="str">
        <f t="shared" si="16"/>
        <v/>
      </c>
      <c r="P242" s="11"/>
      <c r="Q242" s="16" t="str">
        <f t="shared" si="17"/>
        <v/>
      </c>
      <c r="R242" s="16" t="str">
        <f t="shared" si="18"/>
        <v/>
      </c>
      <c r="S242" s="9" t="str">
        <f t="shared" si="19"/>
        <v/>
      </c>
      <c r="T242" s="8"/>
      <c r="U242" s="8"/>
      <c r="V242" s="8"/>
      <c r="W242" s="10"/>
    </row>
    <row r="243" spans="1:23">
      <c r="A243" s="8"/>
      <c r="B243" s="10"/>
      <c r="C243" s="8"/>
      <c r="D243" s="8"/>
      <c r="E243" s="8"/>
      <c r="F243" s="8"/>
      <c r="G243" s="8"/>
      <c r="H243" s="8"/>
      <c r="I243" s="8"/>
      <c r="J243" s="11"/>
      <c r="K243" s="11"/>
      <c r="L243" s="11"/>
      <c r="M243" s="11"/>
      <c r="N243" s="12" t="str">
        <f t="shared" si="15"/>
        <v/>
      </c>
      <c r="O243" s="16" t="str">
        <f t="shared" si="16"/>
        <v/>
      </c>
      <c r="P243" s="11"/>
      <c r="Q243" s="16" t="str">
        <f t="shared" si="17"/>
        <v/>
      </c>
      <c r="R243" s="16" t="str">
        <f t="shared" si="18"/>
        <v/>
      </c>
      <c r="S243" s="9" t="str">
        <f t="shared" si="19"/>
        <v/>
      </c>
      <c r="T243" s="8"/>
      <c r="U243" s="8"/>
      <c r="V243" s="8"/>
      <c r="W243" s="10"/>
    </row>
    <row r="244" spans="1:23">
      <c r="A244" s="8"/>
      <c r="B244" s="10"/>
      <c r="C244" s="8"/>
      <c r="D244" s="8"/>
      <c r="E244" s="8"/>
      <c r="F244" s="8"/>
      <c r="G244" s="8"/>
      <c r="H244" s="8"/>
      <c r="I244" s="8"/>
      <c r="J244" s="11"/>
      <c r="K244" s="11"/>
      <c r="L244" s="11"/>
      <c r="M244" s="11"/>
      <c r="N244" s="12" t="str">
        <f t="shared" si="15"/>
        <v/>
      </c>
      <c r="O244" s="16" t="str">
        <f t="shared" si="16"/>
        <v/>
      </c>
      <c r="P244" s="11"/>
      <c r="Q244" s="16" t="str">
        <f t="shared" si="17"/>
        <v/>
      </c>
      <c r="R244" s="16" t="str">
        <f t="shared" si="18"/>
        <v/>
      </c>
      <c r="S244" s="9" t="str">
        <f t="shared" si="19"/>
        <v/>
      </c>
      <c r="T244" s="8"/>
      <c r="U244" s="8"/>
      <c r="V244" s="8"/>
      <c r="W244" s="10"/>
    </row>
    <row r="245" spans="1:23">
      <c r="A245" s="8"/>
      <c r="B245" s="10"/>
      <c r="C245" s="8"/>
      <c r="D245" s="8"/>
      <c r="E245" s="8"/>
      <c r="F245" s="8"/>
      <c r="G245" s="8"/>
      <c r="H245" s="8"/>
      <c r="I245" s="8"/>
      <c r="J245" s="11"/>
      <c r="K245" s="11"/>
      <c r="L245" s="11"/>
      <c r="M245" s="11"/>
      <c r="N245" s="12" t="str">
        <f t="shared" si="15"/>
        <v/>
      </c>
      <c r="O245" s="16" t="str">
        <f t="shared" si="16"/>
        <v/>
      </c>
      <c r="P245" s="11"/>
      <c r="Q245" s="16" t="str">
        <f t="shared" si="17"/>
        <v/>
      </c>
      <c r="R245" s="16" t="str">
        <f t="shared" si="18"/>
        <v/>
      </c>
      <c r="S245" s="9" t="str">
        <f t="shared" si="19"/>
        <v/>
      </c>
      <c r="T245" s="8"/>
      <c r="U245" s="8"/>
      <c r="V245" s="8"/>
      <c r="W245" s="10"/>
    </row>
    <row r="246" spans="1:23">
      <c r="A246" s="8"/>
      <c r="B246" s="10"/>
      <c r="C246" s="8"/>
      <c r="D246" s="8"/>
      <c r="E246" s="8"/>
      <c r="F246" s="8"/>
      <c r="G246" s="8"/>
      <c r="H246" s="8"/>
      <c r="I246" s="8"/>
      <c r="J246" s="11"/>
      <c r="K246" s="11"/>
      <c r="L246" s="11"/>
      <c r="M246" s="11"/>
      <c r="N246" s="12" t="str">
        <f t="shared" si="15"/>
        <v/>
      </c>
      <c r="O246" s="16" t="str">
        <f t="shared" si="16"/>
        <v/>
      </c>
      <c r="P246" s="11"/>
      <c r="Q246" s="16" t="str">
        <f t="shared" si="17"/>
        <v/>
      </c>
      <c r="R246" s="16" t="str">
        <f t="shared" si="18"/>
        <v/>
      </c>
      <c r="S246" s="9" t="str">
        <f t="shared" si="19"/>
        <v/>
      </c>
      <c r="T246" s="8"/>
      <c r="U246" s="8"/>
      <c r="V246" s="8"/>
      <c r="W246" s="10"/>
    </row>
    <row r="247" spans="1:23">
      <c r="A247" s="8"/>
      <c r="B247" s="10"/>
      <c r="C247" s="8"/>
      <c r="D247" s="8"/>
      <c r="E247" s="8"/>
      <c r="F247" s="8"/>
      <c r="G247" s="8"/>
      <c r="H247" s="8"/>
      <c r="I247" s="8"/>
      <c r="J247" s="11"/>
      <c r="K247" s="11"/>
      <c r="L247" s="11"/>
      <c r="M247" s="11"/>
      <c r="N247" s="12" t="str">
        <f t="shared" si="15"/>
        <v/>
      </c>
      <c r="O247" s="16" t="str">
        <f t="shared" si="16"/>
        <v/>
      </c>
      <c r="P247" s="11"/>
      <c r="Q247" s="16" t="str">
        <f t="shared" si="17"/>
        <v/>
      </c>
      <c r="R247" s="16" t="str">
        <f t="shared" si="18"/>
        <v/>
      </c>
      <c r="S247" s="9" t="str">
        <f t="shared" si="19"/>
        <v/>
      </c>
      <c r="T247" s="8"/>
      <c r="U247" s="8"/>
      <c r="V247" s="8"/>
      <c r="W247" s="10"/>
    </row>
    <row r="248" spans="1:23">
      <c r="A248" s="8"/>
      <c r="B248" s="10"/>
      <c r="C248" s="8"/>
      <c r="D248" s="8"/>
      <c r="E248" s="8"/>
      <c r="F248" s="8"/>
      <c r="G248" s="8"/>
      <c r="H248" s="8"/>
      <c r="I248" s="8"/>
      <c r="J248" s="11"/>
      <c r="K248" s="11"/>
      <c r="L248" s="11"/>
      <c r="M248" s="11"/>
      <c r="N248" s="12" t="str">
        <f t="shared" si="15"/>
        <v/>
      </c>
      <c r="O248" s="16" t="str">
        <f t="shared" si="16"/>
        <v/>
      </c>
      <c r="P248" s="11"/>
      <c r="Q248" s="16" t="str">
        <f t="shared" si="17"/>
        <v/>
      </c>
      <c r="R248" s="16" t="str">
        <f t="shared" si="18"/>
        <v/>
      </c>
      <c r="S248" s="9" t="str">
        <f t="shared" si="19"/>
        <v/>
      </c>
      <c r="T248" s="8"/>
      <c r="U248" s="8"/>
      <c r="V248" s="8"/>
      <c r="W248" s="10"/>
    </row>
    <row r="249" spans="1:23">
      <c r="A249" s="8"/>
      <c r="B249" s="10"/>
      <c r="C249" s="8"/>
      <c r="D249" s="8"/>
      <c r="E249" s="8"/>
      <c r="F249" s="8"/>
      <c r="G249" s="8"/>
      <c r="H249" s="8"/>
      <c r="I249" s="8"/>
      <c r="J249" s="11"/>
      <c r="K249" s="11"/>
      <c r="L249" s="11"/>
      <c r="M249" s="11"/>
      <c r="N249" s="12" t="str">
        <f t="shared" si="15"/>
        <v/>
      </c>
      <c r="O249" s="16" t="str">
        <f t="shared" si="16"/>
        <v/>
      </c>
      <c r="P249" s="11"/>
      <c r="Q249" s="16" t="str">
        <f t="shared" si="17"/>
        <v/>
      </c>
      <c r="R249" s="16" t="str">
        <f t="shared" si="18"/>
        <v/>
      </c>
      <c r="S249" s="9" t="str">
        <f t="shared" si="19"/>
        <v/>
      </c>
      <c r="T249" s="8"/>
      <c r="U249" s="8"/>
      <c r="V249" s="8"/>
      <c r="W249" s="10"/>
    </row>
    <row r="250" spans="1:23">
      <c r="A250" s="8"/>
      <c r="B250" s="10"/>
      <c r="C250" s="8"/>
      <c r="D250" s="8"/>
      <c r="E250" s="8"/>
      <c r="F250" s="8"/>
      <c r="G250" s="8"/>
      <c r="H250" s="8"/>
      <c r="I250" s="8"/>
      <c r="J250" s="11"/>
      <c r="K250" s="11"/>
      <c r="L250" s="11"/>
      <c r="M250" s="11"/>
      <c r="N250" s="12" t="str">
        <f t="shared" si="15"/>
        <v/>
      </c>
      <c r="O250" s="16" t="str">
        <f t="shared" si="16"/>
        <v/>
      </c>
      <c r="P250" s="11"/>
      <c r="Q250" s="16" t="str">
        <f t="shared" si="17"/>
        <v/>
      </c>
      <c r="R250" s="16" t="str">
        <f t="shared" si="18"/>
        <v/>
      </c>
      <c r="S250" s="9" t="str">
        <f t="shared" si="19"/>
        <v/>
      </c>
      <c r="T250" s="8"/>
      <c r="U250" s="8"/>
      <c r="V250" s="8"/>
      <c r="W250" s="10"/>
    </row>
    <row r="251" spans="1:23">
      <c r="A251" s="8"/>
      <c r="B251" s="10"/>
      <c r="C251" s="8"/>
      <c r="D251" s="8"/>
      <c r="E251" s="8"/>
      <c r="F251" s="8"/>
      <c r="G251" s="8"/>
      <c r="H251" s="8"/>
      <c r="I251" s="8"/>
      <c r="J251" s="11"/>
      <c r="K251" s="11"/>
      <c r="L251" s="11"/>
      <c r="M251" s="11"/>
      <c r="N251" s="12" t="str">
        <f t="shared" si="15"/>
        <v/>
      </c>
      <c r="O251" s="16" t="str">
        <f t="shared" si="16"/>
        <v/>
      </c>
      <c r="P251" s="11"/>
      <c r="Q251" s="16" t="str">
        <f t="shared" si="17"/>
        <v/>
      </c>
      <c r="R251" s="16" t="str">
        <f t="shared" si="18"/>
        <v/>
      </c>
      <c r="S251" s="9" t="str">
        <f t="shared" si="19"/>
        <v/>
      </c>
      <c r="T251" s="8"/>
      <c r="U251" s="8"/>
      <c r="V251" s="8"/>
      <c r="W251" s="10"/>
    </row>
    <row r="252" spans="1:23">
      <c r="A252" s="8"/>
      <c r="B252" s="10"/>
      <c r="C252" s="8"/>
      <c r="D252" s="8"/>
      <c r="E252" s="8"/>
      <c r="F252" s="8"/>
      <c r="G252" s="8"/>
      <c r="H252" s="8"/>
      <c r="I252" s="8"/>
      <c r="J252" s="11"/>
      <c r="K252" s="11"/>
      <c r="L252" s="11"/>
      <c r="M252" s="11"/>
      <c r="N252" s="12" t="str">
        <f t="shared" si="15"/>
        <v/>
      </c>
      <c r="O252" s="16" t="str">
        <f t="shared" si="16"/>
        <v/>
      </c>
      <c r="P252" s="11"/>
      <c r="Q252" s="16" t="str">
        <f t="shared" si="17"/>
        <v/>
      </c>
      <c r="R252" s="16" t="str">
        <f t="shared" si="18"/>
        <v/>
      </c>
      <c r="S252" s="9" t="str">
        <f t="shared" si="19"/>
        <v/>
      </c>
      <c r="T252" s="8"/>
      <c r="U252" s="8"/>
      <c r="V252" s="8"/>
      <c r="W252" s="10"/>
    </row>
    <row r="253" spans="1:23">
      <c r="A253" s="8"/>
      <c r="B253" s="10"/>
      <c r="C253" s="8"/>
      <c r="D253" s="8"/>
      <c r="E253" s="8"/>
      <c r="F253" s="8"/>
      <c r="G253" s="8"/>
      <c r="H253" s="8"/>
      <c r="I253" s="8"/>
      <c r="J253" s="11"/>
      <c r="K253" s="11"/>
      <c r="L253" s="11"/>
      <c r="M253" s="11"/>
      <c r="N253" s="12" t="str">
        <f t="shared" si="15"/>
        <v/>
      </c>
      <c r="O253" s="16" t="str">
        <f t="shared" si="16"/>
        <v/>
      </c>
      <c r="P253" s="11"/>
      <c r="Q253" s="16" t="str">
        <f t="shared" si="17"/>
        <v/>
      </c>
      <c r="R253" s="16" t="str">
        <f t="shared" si="18"/>
        <v/>
      </c>
      <c r="S253" s="9" t="str">
        <f t="shared" si="19"/>
        <v/>
      </c>
      <c r="T253" s="8"/>
      <c r="U253" s="8"/>
      <c r="V253" s="8"/>
      <c r="W253" s="10"/>
    </row>
    <row r="254" spans="1:23">
      <c r="A254" s="8"/>
      <c r="B254" s="10"/>
      <c r="C254" s="8"/>
      <c r="D254" s="8"/>
      <c r="E254" s="8"/>
      <c r="F254" s="8"/>
      <c r="G254" s="8"/>
      <c r="H254" s="8"/>
      <c r="I254" s="8"/>
      <c r="J254" s="11"/>
      <c r="K254" s="11"/>
      <c r="L254" s="11"/>
      <c r="M254" s="11"/>
      <c r="N254" s="12" t="str">
        <f t="shared" si="15"/>
        <v/>
      </c>
      <c r="O254" s="16" t="str">
        <f t="shared" si="16"/>
        <v/>
      </c>
      <c r="P254" s="11"/>
      <c r="Q254" s="16" t="str">
        <f t="shared" si="17"/>
        <v/>
      </c>
      <c r="R254" s="16" t="str">
        <f t="shared" si="18"/>
        <v/>
      </c>
      <c r="S254" s="9" t="str">
        <f t="shared" si="19"/>
        <v/>
      </c>
      <c r="T254" s="8"/>
      <c r="U254" s="8"/>
      <c r="V254" s="8"/>
      <c r="W254" s="10"/>
    </row>
    <row r="255" spans="1:23">
      <c r="A255" s="8"/>
      <c r="B255" s="10"/>
      <c r="C255" s="8"/>
      <c r="D255" s="8"/>
      <c r="E255" s="8"/>
      <c r="F255" s="8"/>
      <c r="G255" s="8"/>
      <c r="H255" s="8"/>
      <c r="I255" s="8"/>
      <c r="J255" s="11"/>
      <c r="K255" s="11"/>
      <c r="L255" s="11"/>
      <c r="M255" s="11"/>
      <c r="N255" s="12" t="str">
        <f t="shared" si="15"/>
        <v/>
      </c>
      <c r="O255" s="16" t="str">
        <f t="shared" si="16"/>
        <v/>
      </c>
      <c r="P255" s="11"/>
      <c r="Q255" s="16" t="str">
        <f t="shared" si="17"/>
        <v/>
      </c>
      <c r="R255" s="16" t="str">
        <f t="shared" si="18"/>
        <v/>
      </c>
      <c r="S255" s="9" t="str">
        <f t="shared" si="19"/>
        <v/>
      </c>
      <c r="T255" s="8"/>
      <c r="U255" s="8"/>
      <c r="V255" s="8"/>
      <c r="W255" s="10"/>
    </row>
    <row r="256" spans="1:23">
      <c r="A256" s="8"/>
      <c r="B256" s="10"/>
      <c r="C256" s="8"/>
      <c r="D256" s="8"/>
      <c r="E256" s="8"/>
      <c r="F256" s="8"/>
      <c r="G256" s="8"/>
      <c r="H256" s="8"/>
      <c r="I256" s="8"/>
      <c r="J256" s="11"/>
      <c r="K256" s="11"/>
      <c r="L256" s="11"/>
      <c r="M256" s="11"/>
      <c r="N256" s="12" t="str">
        <f t="shared" si="15"/>
        <v/>
      </c>
      <c r="O256" s="16" t="str">
        <f t="shared" si="16"/>
        <v/>
      </c>
      <c r="P256" s="11"/>
      <c r="Q256" s="16" t="str">
        <f t="shared" si="17"/>
        <v/>
      </c>
      <c r="R256" s="16" t="str">
        <f t="shared" si="18"/>
        <v/>
      </c>
      <c r="S256" s="9" t="str">
        <f t="shared" si="19"/>
        <v/>
      </c>
      <c r="T256" s="8"/>
      <c r="U256" s="8"/>
      <c r="V256" s="8"/>
      <c r="W256" s="10"/>
    </row>
    <row r="257" spans="1:23">
      <c r="A257" s="8"/>
      <c r="B257" s="10"/>
      <c r="C257" s="8"/>
      <c r="D257" s="8"/>
      <c r="E257" s="8"/>
      <c r="F257" s="8"/>
      <c r="G257" s="8"/>
      <c r="H257" s="8"/>
      <c r="I257" s="8"/>
      <c r="J257" s="11"/>
      <c r="K257" s="11"/>
      <c r="L257" s="11"/>
      <c r="M257" s="11"/>
      <c r="N257" s="12" t="str">
        <f t="shared" si="15"/>
        <v/>
      </c>
      <c r="O257" s="16" t="str">
        <f t="shared" si="16"/>
        <v/>
      </c>
      <c r="P257" s="11"/>
      <c r="Q257" s="16" t="str">
        <f t="shared" si="17"/>
        <v/>
      </c>
      <c r="R257" s="16" t="str">
        <f t="shared" si="18"/>
        <v/>
      </c>
      <c r="S257" s="9" t="str">
        <f t="shared" si="19"/>
        <v/>
      </c>
      <c r="T257" s="8"/>
      <c r="U257" s="8"/>
      <c r="V257" s="8"/>
      <c r="W257" s="10"/>
    </row>
    <row r="258" spans="1:23">
      <c r="A258" s="8"/>
      <c r="B258" s="10"/>
      <c r="C258" s="8"/>
      <c r="D258" s="8"/>
      <c r="E258" s="8"/>
      <c r="F258" s="8"/>
      <c r="G258" s="8"/>
      <c r="H258" s="8"/>
      <c r="I258" s="8"/>
      <c r="J258" s="11"/>
      <c r="K258" s="11"/>
      <c r="L258" s="11"/>
      <c r="M258" s="11"/>
      <c r="N258" s="12" t="str">
        <f t="shared" si="15"/>
        <v/>
      </c>
      <c r="O258" s="16" t="str">
        <f t="shared" si="16"/>
        <v/>
      </c>
      <c r="P258" s="11"/>
      <c r="Q258" s="16" t="str">
        <f t="shared" si="17"/>
        <v/>
      </c>
      <c r="R258" s="16" t="str">
        <f t="shared" si="18"/>
        <v/>
      </c>
      <c r="S258" s="9" t="str">
        <f t="shared" si="19"/>
        <v/>
      </c>
      <c r="T258" s="8"/>
      <c r="U258" s="8"/>
      <c r="V258" s="8"/>
      <c r="W258" s="10"/>
    </row>
    <row r="259" spans="1:23">
      <c r="A259" s="8"/>
      <c r="B259" s="10"/>
      <c r="C259" s="8"/>
      <c r="D259" s="8"/>
      <c r="E259" s="8"/>
      <c r="F259" s="8"/>
      <c r="G259" s="8"/>
      <c r="H259" s="8"/>
      <c r="I259" s="8"/>
      <c r="J259" s="11"/>
      <c r="K259" s="11"/>
      <c r="L259" s="11"/>
      <c r="M259" s="11"/>
      <c r="N259" s="12" t="str">
        <f t="shared" si="15"/>
        <v/>
      </c>
      <c r="O259" s="16" t="str">
        <f t="shared" si="16"/>
        <v/>
      </c>
      <c r="P259" s="11"/>
      <c r="Q259" s="16" t="str">
        <f t="shared" si="17"/>
        <v/>
      </c>
      <c r="R259" s="16" t="str">
        <f t="shared" si="18"/>
        <v/>
      </c>
      <c r="S259" s="9" t="str">
        <f t="shared" si="19"/>
        <v/>
      </c>
      <c r="T259" s="8"/>
      <c r="U259" s="8"/>
      <c r="V259" s="8"/>
      <c r="W259" s="10"/>
    </row>
    <row r="260" spans="1:23">
      <c r="A260" s="8"/>
      <c r="B260" s="10"/>
      <c r="C260" s="8"/>
      <c r="D260" s="8"/>
      <c r="E260" s="8"/>
      <c r="F260" s="8"/>
      <c r="G260" s="8"/>
      <c r="H260" s="8"/>
      <c r="I260" s="8"/>
      <c r="J260" s="11"/>
      <c r="K260" s="11"/>
      <c r="L260" s="11"/>
      <c r="M260" s="11"/>
      <c r="N260" s="12" t="str">
        <f t="shared" si="15"/>
        <v/>
      </c>
      <c r="O260" s="16" t="str">
        <f t="shared" si="16"/>
        <v/>
      </c>
      <c r="P260" s="11"/>
      <c r="Q260" s="16" t="str">
        <f t="shared" si="17"/>
        <v/>
      </c>
      <c r="R260" s="16" t="str">
        <f t="shared" si="18"/>
        <v/>
      </c>
      <c r="S260" s="9" t="str">
        <f t="shared" si="19"/>
        <v/>
      </c>
      <c r="T260" s="8"/>
      <c r="U260" s="8"/>
      <c r="V260" s="8"/>
      <c r="W260" s="10"/>
    </row>
    <row r="261" spans="1:23">
      <c r="A261" s="8"/>
      <c r="B261" s="10"/>
      <c r="C261" s="8"/>
      <c r="D261" s="8"/>
      <c r="E261" s="8"/>
      <c r="F261" s="8"/>
      <c r="G261" s="8"/>
      <c r="H261" s="8"/>
      <c r="I261" s="8"/>
      <c r="J261" s="11"/>
      <c r="K261" s="11"/>
      <c r="L261" s="11"/>
      <c r="M261" s="11"/>
      <c r="N261" s="12" t="str">
        <f t="shared" ref="N261:N324" si="20">IF(A261="","",SUM(K261:M261))</f>
        <v/>
      </c>
      <c r="O261" s="16" t="str">
        <f t="shared" ref="O261:O324" si="21">IF(OR(A261="",J261=0),"",N261/J261)</f>
        <v/>
      </c>
      <c r="P261" s="11"/>
      <c r="Q261" s="16" t="str">
        <f t="shared" ref="Q261:Q324" si="22">IF(OR(A261="",J261=0),"",P261/J261)</f>
        <v/>
      </c>
      <c r="R261" s="16" t="str">
        <f t="shared" ref="R261:R304" si="23">IF(A261="","",0.05)</f>
        <v/>
      </c>
      <c r="S261" s="9" t="str">
        <f t="shared" ref="S261:S324" si="24">IF(A261="","",IF(OR(K261&gt;0,Q261&gt;R261),"Failed","Passed"))</f>
        <v/>
      </c>
      <c r="T261" s="8"/>
      <c r="U261" s="8"/>
      <c r="V261" s="8"/>
      <c r="W261" s="10"/>
    </row>
    <row r="262" spans="1:23">
      <c r="A262" s="8"/>
      <c r="B262" s="10"/>
      <c r="C262" s="8"/>
      <c r="D262" s="8"/>
      <c r="E262" s="8"/>
      <c r="F262" s="8"/>
      <c r="G262" s="8"/>
      <c r="H262" s="8"/>
      <c r="I262" s="8"/>
      <c r="J262" s="11"/>
      <c r="K262" s="11"/>
      <c r="L262" s="11"/>
      <c r="M262" s="11"/>
      <c r="N262" s="12" t="str">
        <f t="shared" si="20"/>
        <v/>
      </c>
      <c r="O262" s="16" t="str">
        <f t="shared" si="21"/>
        <v/>
      </c>
      <c r="P262" s="11"/>
      <c r="Q262" s="16" t="str">
        <f t="shared" si="22"/>
        <v/>
      </c>
      <c r="R262" s="16" t="str">
        <f t="shared" si="23"/>
        <v/>
      </c>
      <c r="S262" s="9" t="str">
        <f t="shared" si="24"/>
        <v/>
      </c>
      <c r="T262" s="8"/>
      <c r="U262" s="8"/>
      <c r="V262" s="8"/>
      <c r="W262" s="10"/>
    </row>
    <row r="263" spans="1:23">
      <c r="A263" s="8"/>
      <c r="B263" s="10"/>
      <c r="C263" s="8"/>
      <c r="D263" s="8"/>
      <c r="E263" s="8"/>
      <c r="F263" s="8"/>
      <c r="G263" s="8"/>
      <c r="H263" s="8"/>
      <c r="I263" s="8"/>
      <c r="J263" s="11"/>
      <c r="K263" s="11"/>
      <c r="L263" s="11"/>
      <c r="M263" s="11"/>
      <c r="N263" s="12" t="str">
        <f t="shared" si="20"/>
        <v/>
      </c>
      <c r="O263" s="16" t="str">
        <f t="shared" si="21"/>
        <v/>
      </c>
      <c r="P263" s="11"/>
      <c r="Q263" s="16" t="str">
        <f t="shared" si="22"/>
        <v/>
      </c>
      <c r="R263" s="16" t="str">
        <f t="shared" si="23"/>
        <v/>
      </c>
      <c r="S263" s="9" t="str">
        <f t="shared" si="24"/>
        <v/>
      </c>
      <c r="T263" s="8"/>
      <c r="U263" s="8"/>
      <c r="V263" s="8"/>
      <c r="W263" s="10"/>
    </row>
    <row r="264" spans="1:23">
      <c r="A264" s="8"/>
      <c r="B264" s="10"/>
      <c r="C264" s="8"/>
      <c r="D264" s="8"/>
      <c r="E264" s="8"/>
      <c r="F264" s="8"/>
      <c r="G264" s="8"/>
      <c r="H264" s="8"/>
      <c r="I264" s="8"/>
      <c r="J264" s="11"/>
      <c r="K264" s="11"/>
      <c r="L264" s="11"/>
      <c r="M264" s="11"/>
      <c r="N264" s="12" t="str">
        <f t="shared" si="20"/>
        <v/>
      </c>
      <c r="O264" s="16" t="str">
        <f t="shared" si="21"/>
        <v/>
      </c>
      <c r="P264" s="11"/>
      <c r="Q264" s="16" t="str">
        <f t="shared" si="22"/>
        <v/>
      </c>
      <c r="R264" s="16" t="str">
        <f t="shared" si="23"/>
        <v/>
      </c>
      <c r="S264" s="9" t="str">
        <f t="shared" si="24"/>
        <v/>
      </c>
      <c r="T264" s="8"/>
      <c r="U264" s="8"/>
      <c r="V264" s="8"/>
      <c r="W264" s="10"/>
    </row>
    <row r="265" spans="1:23">
      <c r="A265" s="8"/>
      <c r="B265" s="10"/>
      <c r="C265" s="8"/>
      <c r="D265" s="8"/>
      <c r="E265" s="8"/>
      <c r="F265" s="8"/>
      <c r="G265" s="8"/>
      <c r="H265" s="8"/>
      <c r="I265" s="8"/>
      <c r="J265" s="11"/>
      <c r="K265" s="11"/>
      <c r="L265" s="11"/>
      <c r="M265" s="11"/>
      <c r="N265" s="12" t="str">
        <f t="shared" si="20"/>
        <v/>
      </c>
      <c r="O265" s="16" t="str">
        <f t="shared" si="21"/>
        <v/>
      </c>
      <c r="P265" s="11"/>
      <c r="Q265" s="16" t="str">
        <f t="shared" si="22"/>
        <v/>
      </c>
      <c r="R265" s="16" t="str">
        <f t="shared" si="23"/>
        <v/>
      </c>
      <c r="S265" s="9" t="str">
        <f t="shared" si="24"/>
        <v/>
      </c>
      <c r="T265" s="8"/>
      <c r="U265" s="8"/>
      <c r="V265" s="8"/>
      <c r="W265" s="10"/>
    </row>
    <row r="266" spans="1:23">
      <c r="A266" s="8"/>
      <c r="B266" s="10"/>
      <c r="C266" s="8"/>
      <c r="D266" s="8"/>
      <c r="E266" s="8"/>
      <c r="F266" s="8"/>
      <c r="G266" s="8"/>
      <c r="H266" s="8"/>
      <c r="I266" s="8"/>
      <c r="J266" s="11"/>
      <c r="K266" s="11"/>
      <c r="L266" s="11"/>
      <c r="M266" s="11"/>
      <c r="N266" s="12" t="str">
        <f t="shared" si="20"/>
        <v/>
      </c>
      <c r="O266" s="16" t="str">
        <f t="shared" si="21"/>
        <v/>
      </c>
      <c r="P266" s="11"/>
      <c r="Q266" s="16" t="str">
        <f t="shared" si="22"/>
        <v/>
      </c>
      <c r="R266" s="16" t="str">
        <f t="shared" si="23"/>
        <v/>
      </c>
      <c r="S266" s="9" t="str">
        <f t="shared" si="24"/>
        <v/>
      </c>
      <c r="T266" s="8"/>
      <c r="U266" s="8"/>
      <c r="V266" s="8"/>
      <c r="W266" s="10"/>
    </row>
    <row r="267" spans="1:23">
      <c r="A267" s="8"/>
      <c r="B267" s="10"/>
      <c r="C267" s="8"/>
      <c r="D267" s="8"/>
      <c r="E267" s="8"/>
      <c r="F267" s="8"/>
      <c r="G267" s="8"/>
      <c r="H267" s="8"/>
      <c r="I267" s="8"/>
      <c r="J267" s="11"/>
      <c r="K267" s="11"/>
      <c r="L267" s="11"/>
      <c r="M267" s="11"/>
      <c r="N267" s="12" t="str">
        <f t="shared" si="20"/>
        <v/>
      </c>
      <c r="O267" s="16" t="str">
        <f t="shared" si="21"/>
        <v/>
      </c>
      <c r="P267" s="11"/>
      <c r="Q267" s="16" t="str">
        <f t="shared" si="22"/>
        <v/>
      </c>
      <c r="R267" s="16" t="str">
        <f t="shared" si="23"/>
        <v/>
      </c>
      <c r="S267" s="9" t="str">
        <f t="shared" si="24"/>
        <v/>
      </c>
      <c r="T267" s="8"/>
      <c r="U267" s="8"/>
      <c r="V267" s="8"/>
      <c r="W267" s="10"/>
    </row>
    <row r="268" spans="1:23">
      <c r="A268" s="8"/>
      <c r="B268" s="10"/>
      <c r="C268" s="8"/>
      <c r="D268" s="8"/>
      <c r="E268" s="8"/>
      <c r="F268" s="8"/>
      <c r="G268" s="8"/>
      <c r="H268" s="8"/>
      <c r="I268" s="8"/>
      <c r="J268" s="11"/>
      <c r="K268" s="11"/>
      <c r="L268" s="11"/>
      <c r="M268" s="11"/>
      <c r="N268" s="12" t="str">
        <f t="shared" si="20"/>
        <v/>
      </c>
      <c r="O268" s="16" t="str">
        <f t="shared" si="21"/>
        <v/>
      </c>
      <c r="P268" s="11"/>
      <c r="Q268" s="16" t="str">
        <f t="shared" si="22"/>
        <v/>
      </c>
      <c r="R268" s="16" t="str">
        <f t="shared" si="23"/>
        <v/>
      </c>
      <c r="S268" s="9" t="str">
        <f t="shared" si="24"/>
        <v/>
      </c>
      <c r="T268" s="8"/>
      <c r="U268" s="8"/>
      <c r="V268" s="8"/>
      <c r="W268" s="10"/>
    </row>
    <row r="269" spans="1:23">
      <c r="A269" s="8"/>
      <c r="B269" s="10"/>
      <c r="C269" s="8"/>
      <c r="D269" s="8"/>
      <c r="E269" s="8"/>
      <c r="F269" s="8"/>
      <c r="G269" s="8"/>
      <c r="H269" s="8"/>
      <c r="I269" s="8"/>
      <c r="J269" s="11"/>
      <c r="K269" s="11"/>
      <c r="L269" s="11"/>
      <c r="M269" s="11"/>
      <c r="N269" s="12" t="str">
        <f t="shared" si="20"/>
        <v/>
      </c>
      <c r="O269" s="16" t="str">
        <f t="shared" si="21"/>
        <v/>
      </c>
      <c r="P269" s="11"/>
      <c r="Q269" s="16" t="str">
        <f t="shared" si="22"/>
        <v/>
      </c>
      <c r="R269" s="16" t="str">
        <f t="shared" si="23"/>
        <v/>
      </c>
      <c r="S269" s="9" t="str">
        <f t="shared" si="24"/>
        <v/>
      </c>
      <c r="T269" s="8"/>
      <c r="U269" s="8"/>
      <c r="V269" s="8"/>
      <c r="W269" s="10"/>
    </row>
    <row r="270" spans="1:23">
      <c r="A270" s="8"/>
      <c r="B270" s="10"/>
      <c r="C270" s="8"/>
      <c r="D270" s="8"/>
      <c r="E270" s="8"/>
      <c r="F270" s="8"/>
      <c r="G270" s="8"/>
      <c r="H270" s="8"/>
      <c r="I270" s="8"/>
      <c r="J270" s="11"/>
      <c r="K270" s="11"/>
      <c r="L270" s="11"/>
      <c r="M270" s="11"/>
      <c r="N270" s="12" t="str">
        <f t="shared" si="20"/>
        <v/>
      </c>
      <c r="O270" s="16" t="str">
        <f t="shared" si="21"/>
        <v/>
      </c>
      <c r="P270" s="11"/>
      <c r="Q270" s="16" t="str">
        <f t="shared" si="22"/>
        <v/>
      </c>
      <c r="R270" s="16" t="str">
        <f t="shared" si="23"/>
        <v/>
      </c>
      <c r="S270" s="9" t="str">
        <f t="shared" si="24"/>
        <v/>
      </c>
      <c r="T270" s="8"/>
      <c r="U270" s="8"/>
      <c r="V270" s="8"/>
      <c r="W270" s="10"/>
    </row>
    <row r="271" spans="1:23">
      <c r="A271" s="8"/>
      <c r="B271" s="10"/>
      <c r="C271" s="8"/>
      <c r="D271" s="8"/>
      <c r="E271" s="8"/>
      <c r="F271" s="8"/>
      <c r="G271" s="8"/>
      <c r="H271" s="8"/>
      <c r="I271" s="8"/>
      <c r="J271" s="11"/>
      <c r="K271" s="11"/>
      <c r="L271" s="11"/>
      <c r="M271" s="11"/>
      <c r="N271" s="12" t="str">
        <f t="shared" si="20"/>
        <v/>
      </c>
      <c r="O271" s="16" t="str">
        <f t="shared" si="21"/>
        <v/>
      </c>
      <c r="P271" s="11"/>
      <c r="Q271" s="16" t="str">
        <f t="shared" si="22"/>
        <v/>
      </c>
      <c r="R271" s="16" t="str">
        <f t="shared" si="23"/>
        <v/>
      </c>
      <c r="S271" s="9" t="str">
        <f t="shared" si="24"/>
        <v/>
      </c>
      <c r="T271" s="8"/>
      <c r="U271" s="8"/>
      <c r="V271" s="8"/>
      <c r="W271" s="10"/>
    </row>
    <row r="272" spans="1:23">
      <c r="A272" s="8"/>
      <c r="B272" s="10"/>
      <c r="C272" s="8"/>
      <c r="D272" s="8"/>
      <c r="E272" s="8"/>
      <c r="F272" s="8"/>
      <c r="G272" s="8"/>
      <c r="H272" s="8"/>
      <c r="I272" s="8"/>
      <c r="J272" s="11"/>
      <c r="K272" s="11"/>
      <c r="L272" s="11"/>
      <c r="M272" s="11"/>
      <c r="N272" s="12" t="str">
        <f t="shared" si="20"/>
        <v/>
      </c>
      <c r="O272" s="16" t="str">
        <f t="shared" si="21"/>
        <v/>
      </c>
      <c r="P272" s="11"/>
      <c r="Q272" s="16" t="str">
        <f t="shared" si="22"/>
        <v/>
      </c>
      <c r="R272" s="16" t="str">
        <f t="shared" si="23"/>
        <v/>
      </c>
      <c r="S272" s="9" t="str">
        <f t="shared" si="24"/>
        <v/>
      </c>
      <c r="T272" s="8"/>
      <c r="U272" s="8"/>
      <c r="V272" s="8"/>
      <c r="W272" s="10"/>
    </row>
    <row r="273" spans="1:23">
      <c r="A273" s="8"/>
      <c r="B273" s="10"/>
      <c r="C273" s="8"/>
      <c r="D273" s="8"/>
      <c r="E273" s="8"/>
      <c r="F273" s="8"/>
      <c r="G273" s="8"/>
      <c r="H273" s="8"/>
      <c r="I273" s="8"/>
      <c r="J273" s="11"/>
      <c r="K273" s="11"/>
      <c r="L273" s="11"/>
      <c r="M273" s="11"/>
      <c r="N273" s="12" t="str">
        <f t="shared" si="20"/>
        <v/>
      </c>
      <c r="O273" s="16" t="str">
        <f t="shared" si="21"/>
        <v/>
      </c>
      <c r="P273" s="11"/>
      <c r="Q273" s="16" t="str">
        <f t="shared" si="22"/>
        <v/>
      </c>
      <c r="R273" s="16" t="str">
        <f t="shared" si="23"/>
        <v/>
      </c>
      <c r="S273" s="9" t="str">
        <f t="shared" si="24"/>
        <v/>
      </c>
      <c r="T273" s="8"/>
      <c r="U273" s="8"/>
      <c r="V273" s="8"/>
      <c r="W273" s="10"/>
    </row>
    <row r="274" spans="1:23">
      <c r="A274" s="8"/>
      <c r="B274" s="10"/>
      <c r="C274" s="8"/>
      <c r="D274" s="8"/>
      <c r="E274" s="8"/>
      <c r="F274" s="8"/>
      <c r="G274" s="8"/>
      <c r="H274" s="8"/>
      <c r="I274" s="8"/>
      <c r="J274" s="11"/>
      <c r="K274" s="11"/>
      <c r="L274" s="11"/>
      <c r="M274" s="11"/>
      <c r="N274" s="12" t="str">
        <f t="shared" si="20"/>
        <v/>
      </c>
      <c r="O274" s="16" t="str">
        <f t="shared" si="21"/>
        <v/>
      </c>
      <c r="P274" s="11"/>
      <c r="Q274" s="16" t="str">
        <f t="shared" si="22"/>
        <v/>
      </c>
      <c r="R274" s="16" t="str">
        <f t="shared" si="23"/>
        <v/>
      </c>
      <c r="S274" s="9" t="str">
        <f t="shared" si="24"/>
        <v/>
      </c>
      <c r="T274" s="8"/>
      <c r="U274" s="8"/>
      <c r="V274" s="8"/>
      <c r="W274" s="10"/>
    </row>
    <row r="275" spans="1:23">
      <c r="A275" s="8"/>
      <c r="B275" s="10"/>
      <c r="C275" s="8"/>
      <c r="D275" s="8"/>
      <c r="E275" s="8"/>
      <c r="F275" s="8"/>
      <c r="G275" s="8"/>
      <c r="H275" s="8"/>
      <c r="I275" s="8"/>
      <c r="J275" s="11"/>
      <c r="K275" s="11"/>
      <c r="L275" s="11"/>
      <c r="M275" s="11"/>
      <c r="N275" s="12" t="str">
        <f t="shared" si="20"/>
        <v/>
      </c>
      <c r="O275" s="16" t="str">
        <f t="shared" si="21"/>
        <v/>
      </c>
      <c r="P275" s="11"/>
      <c r="Q275" s="16" t="str">
        <f t="shared" si="22"/>
        <v/>
      </c>
      <c r="R275" s="16" t="str">
        <f t="shared" si="23"/>
        <v/>
      </c>
      <c r="S275" s="9" t="str">
        <f t="shared" si="24"/>
        <v/>
      </c>
      <c r="T275" s="8"/>
      <c r="U275" s="8"/>
      <c r="V275" s="8"/>
      <c r="W275" s="10"/>
    </row>
    <row r="276" spans="1:23">
      <c r="A276" s="8"/>
      <c r="B276" s="10"/>
      <c r="C276" s="8"/>
      <c r="D276" s="8"/>
      <c r="E276" s="8"/>
      <c r="F276" s="8"/>
      <c r="G276" s="8"/>
      <c r="H276" s="8"/>
      <c r="I276" s="8"/>
      <c r="J276" s="11"/>
      <c r="K276" s="11"/>
      <c r="L276" s="11"/>
      <c r="M276" s="11"/>
      <c r="N276" s="12" t="str">
        <f t="shared" si="20"/>
        <v/>
      </c>
      <c r="O276" s="16" t="str">
        <f t="shared" si="21"/>
        <v/>
      </c>
      <c r="P276" s="11"/>
      <c r="Q276" s="16" t="str">
        <f t="shared" si="22"/>
        <v/>
      </c>
      <c r="R276" s="16" t="str">
        <f t="shared" si="23"/>
        <v/>
      </c>
      <c r="S276" s="9" t="str">
        <f t="shared" si="24"/>
        <v/>
      </c>
      <c r="T276" s="8"/>
      <c r="U276" s="8"/>
      <c r="V276" s="8"/>
      <c r="W276" s="10"/>
    </row>
    <row r="277" spans="1:23">
      <c r="A277" s="8"/>
      <c r="B277" s="10"/>
      <c r="C277" s="8"/>
      <c r="D277" s="8"/>
      <c r="E277" s="8"/>
      <c r="F277" s="8"/>
      <c r="G277" s="8"/>
      <c r="H277" s="8"/>
      <c r="I277" s="8"/>
      <c r="J277" s="11"/>
      <c r="K277" s="11"/>
      <c r="L277" s="11"/>
      <c r="M277" s="11"/>
      <c r="N277" s="12" t="str">
        <f t="shared" si="20"/>
        <v/>
      </c>
      <c r="O277" s="16" t="str">
        <f t="shared" si="21"/>
        <v/>
      </c>
      <c r="P277" s="11"/>
      <c r="Q277" s="16" t="str">
        <f t="shared" si="22"/>
        <v/>
      </c>
      <c r="R277" s="16" t="str">
        <f t="shared" si="23"/>
        <v/>
      </c>
      <c r="S277" s="9" t="str">
        <f t="shared" si="24"/>
        <v/>
      </c>
      <c r="T277" s="8"/>
      <c r="U277" s="8"/>
      <c r="V277" s="8"/>
      <c r="W277" s="10"/>
    </row>
    <row r="278" spans="1:23">
      <c r="A278" s="8"/>
      <c r="B278" s="10"/>
      <c r="C278" s="8"/>
      <c r="D278" s="8"/>
      <c r="E278" s="8"/>
      <c r="F278" s="8"/>
      <c r="G278" s="8"/>
      <c r="H278" s="8"/>
      <c r="I278" s="8"/>
      <c r="J278" s="11"/>
      <c r="K278" s="11"/>
      <c r="L278" s="11"/>
      <c r="M278" s="11"/>
      <c r="N278" s="12" t="str">
        <f t="shared" si="20"/>
        <v/>
      </c>
      <c r="O278" s="16" t="str">
        <f t="shared" si="21"/>
        <v/>
      </c>
      <c r="P278" s="11"/>
      <c r="Q278" s="16" t="str">
        <f t="shared" si="22"/>
        <v/>
      </c>
      <c r="R278" s="16" t="str">
        <f t="shared" si="23"/>
        <v/>
      </c>
      <c r="S278" s="9" t="str">
        <f t="shared" si="24"/>
        <v/>
      </c>
      <c r="T278" s="8"/>
      <c r="U278" s="8"/>
      <c r="V278" s="8"/>
      <c r="W278" s="10"/>
    </row>
    <row r="279" spans="1:23">
      <c r="A279" s="8"/>
      <c r="B279" s="10"/>
      <c r="C279" s="8"/>
      <c r="D279" s="8"/>
      <c r="E279" s="8"/>
      <c r="F279" s="8"/>
      <c r="G279" s="8"/>
      <c r="H279" s="8"/>
      <c r="I279" s="8"/>
      <c r="J279" s="11"/>
      <c r="K279" s="11"/>
      <c r="L279" s="11"/>
      <c r="M279" s="11"/>
      <c r="N279" s="12" t="str">
        <f t="shared" si="20"/>
        <v/>
      </c>
      <c r="O279" s="16" t="str">
        <f t="shared" si="21"/>
        <v/>
      </c>
      <c r="P279" s="11"/>
      <c r="Q279" s="16" t="str">
        <f t="shared" si="22"/>
        <v/>
      </c>
      <c r="R279" s="16" t="str">
        <f t="shared" si="23"/>
        <v/>
      </c>
      <c r="S279" s="9" t="str">
        <f t="shared" si="24"/>
        <v/>
      </c>
      <c r="T279" s="8"/>
      <c r="U279" s="8"/>
      <c r="V279" s="8"/>
      <c r="W279" s="10"/>
    </row>
    <row r="280" spans="1:23">
      <c r="A280" s="8"/>
      <c r="B280" s="10"/>
      <c r="C280" s="8"/>
      <c r="D280" s="8"/>
      <c r="E280" s="8"/>
      <c r="F280" s="8"/>
      <c r="G280" s="8"/>
      <c r="H280" s="8"/>
      <c r="I280" s="8"/>
      <c r="J280" s="11"/>
      <c r="K280" s="11"/>
      <c r="L280" s="11"/>
      <c r="M280" s="11"/>
      <c r="N280" s="12" t="str">
        <f t="shared" si="20"/>
        <v/>
      </c>
      <c r="O280" s="16" t="str">
        <f t="shared" si="21"/>
        <v/>
      </c>
      <c r="P280" s="11"/>
      <c r="Q280" s="16" t="str">
        <f t="shared" si="22"/>
        <v/>
      </c>
      <c r="R280" s="16" t="str">
        <f t="shared" si="23"/>
        <v/>
      </c>
      <c r="S280" s="9" t="str">
        <f t="shared" si="24"/>
        <v/>
      </c>
      <c r="T280" s="8"/>
      <c r="U280" s="8"/>
      <c r="V280" s="8"/>
      <c r="W280" s="10"/>
    </row>
    <row r="281" spans="1:23">
      <c r="A281" s="8"/>
      <c r="B281" s="10"/>
      <c r="C281" s="8"/>
      <c r="D281" s="8"/>
      <c r="E281" s="8"/>
      <c r="F281" s="8"/>
      <c r="G281" s="8"/>
      <c r="H281" s="8"/>
      <c r="I281" s="8"/>
      <c r="J281" s="11"/>
      <c r="K281" s="11"/>
      <c r="L281" s="11"/>
      <c r="M281" s="11"/>
      <c r="N281" s="12" t="str">
        <f t="shared" si="20"/>
        <v/>
      </c>
      <c r="O281" s="16" t="str">
        <f t="shared" si="21"/>
        <v/>
      </c>
      <c r="P281" s="11"/>
      <c r="Q281" s="16" t="str">
        <f t="shared" si="22"/>
        <v/>
      </c>
      <c r="R281" s="16" t="str">
        <f t="shared" si="23"/>
        <v/>
      </c>
      <c r="S281" s="9" t="str">
        <f t="shared" si="24"/>
        <v/>
      </c>
      <c r="T281" s="8"/>
      <c r="U281" s="8"/>
      <c r="V281" s="8"/>
      <c r="W281" s="10"/>
    </row>
    <row r="282" spans="1:23">
      <c r="A282" s="8"/>
      <c r="B282" s="10"/>
      <c r="C282" s="8"/>
      <c r="D282" s="8"/>
      <c r="E282" s="8"/>
      <c r="F282" s="8"/>
      <c r="G282" s="8"/>
      <c r="H282" s="8"/>
      <c r="I282" s="8"/>
      <c r="J282" s="11"/>
      <c r="K282" s="11"/>
      <c r="L282" s="11"/>
      <c r="M282" s="11"/>
      <c r="N282" s="12" t="str">
        <f t="shared" si="20"/>
        <v/>
      </c>
      <c r="O282" s="16" t="str">
        <f t="shared" si="21"/>
        <v/>
      </c>
      <c r="P282" s="11"/>
      <c r="Q282" s="16" t="str">
        <f t="shared" si="22"/>
        <v/>
      </c>
      <c r="R282" s="16" t="str">
        <f t="shared" si="23"/>
        <v/>
      </c>
      <c r="S282" s="9" t="str">
        <f t="shared" si="24"/>
        <v/>
      </c>
      <c r="T282" s="8"/>
      <c r="U282" s="8"/>
      <c r="V282" s="8"/>
      <c r="W282" s="10"/>
    </row>
    <row r="283" spans="1:23">
      <c r="A283" s="8"/>
      <c r="B283" s="10"/>
      <c r="C283" s="8"/>
      <c r="D283" s="8"/>
      <c r="E283" s="8"/>
      <c r="F283" s="8"/>
      <c r="G283" s="8"/>
      <c r="H283" s="8"/>
      <c r="I283" s="8"/>
      <c r="J283" s="11"/>
      <c r="K283" s="11"/>
      <c r="L283" s="11"/>
      <c r="M283" s="11"/>
      <c r="N283" s="12" t="str">
        <f t="shared" si="20"/>
        <v/>
      </c>
      <c r="O283" s="16" t="str">
        <f t="shared" si="21"/>
        <v/>
      </c>
      <c r="P283" s="11"/>
      <c r="Q283" s="16" t="str">
        <f t="shared" si="22"/>
        <v/>
      </c>
      <c r="R283" s="16" t="str">
        <f t="shared" si="23"/>
        <v/>
      </c>
      <c r="S283" s="9" t="str">
        <f t="shared" si="24"/>
        <v/>
      </c>
      <c r="T283" s="8"/>
      <c r="U283" s="8"/>
      <c r="V283" s="8"/>
      <c r="W283" s="10"/>
    </row>
    <row r="284" spans="1:23">
      <c r="A284" s="8"/>
      <c r="B284" s="10"/>
      <c r="C284" s="8"/>
      <c r="D284" s="8"/>
      <c r="E284" s="8"/>
      <c r="F284" s="8"/>
      <c r="G284" s="8"/>
      <c r="H284" s="8"/>
      <c r="I284" s="8"/>
      <c r="J284" s="11"/>
      <c r="K284" s="11"/>
      <c r="L284" s="11"/>
      <c r="M284" s="11"/>
      <c r="N284" s="12" t="str">
        <f t="shared" si="20"/>
        <v/>
      </c>
      <c r="O284" s="16" t="str">
        <f t="shared" si="21"/>
        <v/>
      </c>
      <c r="P284" s="11"/>
      <c r="Q284" s="16" t="str">
        <f t="shared" si="22"/>
        <v/>
      </c>
      <c r="R284" s="16" t="str">
        <f t="shared" si="23"/>
        <v/>
      </c>
      <c r="S284" s="9" t="str">
        <f t="shared" si="24"/>
        <v/>
      </c>
      <c r="T284" s="8"/>
      <c r="U284" s="8"/>
      <c r="V284" s="8"/>
      <c r="W284" s="10"/>
    </row>
    <row r="285" spans="1:23">
      <c r="A285" s="8"/>
      <c r="B285" s="10"/>
      <c r="C285" s="8"/>
      <c r="D285" s="8"/>
      <c r="E285" s="8"/>
      <c r="F285" s="8"/>
      <c r="G285" s="8"/>
      <c r="H285" s="8"/>
      <c r="I285" s="8"/>
      <c r="J285" s="11"/>
      <c r="K285" s="11"/>
      <c r="L285" s="11"/>
      <c r="M285" s="11"/>
      <c r="N285" s="12" t="str">
        <f t="shared" si="20"/>
        <v/>
      </c>
      <c r="O285" s="16" t="str">
        <f t="shared" si="21"/>
        <v/>
      </c>
      <c r="P285" s="11"/>
      <c r="Q285" s="16" t="str">
        <f t="shared" si="22"/>
        <v/>
      </c>
      <c r="R285" s="16" t="str">
        <f t="shared" si="23"/>
        <v/>
      </c>
      <c r="S285" s="9" t="str">
        <f t="shared" si="24"/>
        <v/>
      </c>
      <c r="T285" s="8"/>
      <c r="U285" s="8"/>
      <c r="V285" s="8"/>
      <c r="W285" s="10"/>
    </row>
    <row r="286" spans="1:23">
      <c r="A286" s="8"/>
      <c r="B286" s="10"/>
      <c r="C286" s="8"/>
      <c r="D286" s="8"/>
      <c r="E286" s="8"/>
      <c r="F286" s="8"/>
      <c r="G286" s="8"/>
      <c r="H286" s="8"/>
      <c r="I286" s="8"/>
      <c r="J286" s="11"/>
      <c r="K286" s="11"/>
      <c r="L286" s="11"/>
      <c r="M286" s="11"/>
      <c r="N286" s="12" t="str">
        <f t="shared" si="20"/>
        <v/>
      </c>
      <c r="O286" s="16" t="str">
        <f t="shared" si="21"/>
        <v/>
      </c>
      <c r="P286" s="11"/>
      <c r="Q286" s="16" t="str">
        <f t="shared" si="22"/>
        <v/>
      </c>
      <c r="R286" s="16" t="str">
        <f t="shared" si="23"/>
        <v/>
      </c>
      <c r="S286" s="9" t="str">
        <f t="shared" si="24"/>
        <v/>
      </c>
      <c r="T286" s="8"/>
      <c r="U286" s="8"/>
      <c r="V286" s="8"/>
      <c r="W286" s="10"/>
    </row>
    <row r="287" spans="1:23">
      <c r="A287" s="8"/>
      <c r="B287" s="10"/>
      <c r="C287" s="8"/>
      <c r="D287" s="8"/>
      <c r="E287" s="8"/>
      <c r="F287" s="8"/>
      <c r="G287" s="8"/>
      <c r="H287" s="8"/>
      <c r="I287" s="8"/>
      <c r="J287" s="11"/>
      <c r="K287" s="11"/>
      <c r="L287" s="11"/>
      <c r="M287" s="11"/>
      <c r="N287" s="12" t="str">
        <f t="shared" si="20"/>
        <v/>
      </c>
      <c r="O287" s="16" t="str">
        <f t="shared" si="21"/>
        <v/>
      </c>
      <c r="P287" s="11"/>
      <c r="Q287" s="16" t="str">
        <f t="shared" si="22"/>
        <v/>
      </c>
      <c r="R287" s="16" t="str">
        <f t="shared" si="23"/>
        <v/>
      </c>
      <c r="S287" s="9" t="str">
        <f t="shared" si="24"/>
        <v/>
      </c>
      <c r="T287" s="8"/>
      <c r="U287" s="8"/>
      <c r="V287" s="8"/>
      <c r="W287" s="10"/>
    </row>
    <row r="288" spans="1:23">
      <c r="A288" s="8"/>
      <c r="B288" s="10"/>
      <c r="C288" s="8"/>
      <c r="D288" s="8"/>
      <c r="E288" s="8"/>
      <c r="F288" s="8"/>
      <c r="G288" s="8"/>
      <c r="H288" s="8"/>
      <c r="I288" s="8"/>
      <c r="J288" s="11"/>
      <c r="K288" s="11"/>
      <c r="L288" s="11"/>
      <c r="M288" s="11"/>
      <c r="N288" s="12" t="str">
        <f t="shared" si="20"/>
        <v/>
      </c>
      <c r="O288" s="16" t="str">
        <f t="shared" si="21"/>
        <v/>
      </c>
      <c r="P288" s="11"/>
      <c r="Q288" s="16" t="str">
        <f t="shared" si="22"/>
        <v/>
      </c>
      <c r="R288" s="16" t="str">
        <f t="shared" si="23"/>
        <v/>
      </c>
      <c r="S288" s="9" t="str">
        <f t="shared" si="24"/>
        <v/>
      </c>
      <c r="T288" s="8"/>
      <c r="U288" s="8"/>
      <c r="V288" s="8"/>
      <c r="W288" s="10"/>
    </row>
    <row r="289" spans="1:23">
      <c r="A289" s="8"/>
      <c r="B289" s="10"/>
      <c r="C289" s="8"/>
      <c r="D289" s="8"/>
      <c r="E289" s="8"/>
      <c r="F289" s="8"/>
      <c r="G289" s="8"/>
      <c r="H289" s="8"/>
      <c r="I289" s="8"/>
      <c r="J289" s="11"/>
      <c r="K289" s="11"/>
      <c r="L289" s="11"/>
      <c r="M289" s="11"/>
      <c r="N289" s="12" t="str">
        <f t="shared" si="20"/>
        <v/>
      </c>
      <c r="O289" s="16" t="str">
        <f t="shared" si="21"/>
        <v/>
      </c>
      <c r="P289" s="11"/>
      <c r="Q289" s="16" t="str">
        <f t="shared" si="22"/>
        <v/>
      </c>
      <c r="R289" s="16" t="str">
        <f t="shared" si="23"/>
        <v/>
      </c>
      <c r="S289" s="9" t="str">
        <f t="shared" si="24"/>
        <v/>
      </c>
      <c r="T289" s="8"/>
      <c r="U289" s="8"/>
      <c r="V289" s="8"/>
      <c r="W289" s="10"/>
    </row>
    <row r="290" spans="1:23">
      <c r="A290" s="8"/>
      <c r="B290" s="10"/>
      <c r="C290" s="8"/>
      <c r="D290" s="8"/>
      <c r="E290" s="8"/>
      <c r="F290" s="8"/>
      <c r="G290" s="8"/>
      <c r="H290" s="8"/>
      <c r="I290" s="8"/>
      <c r="J290" s="11"/>
      <c r="K290" s="11"/>
      <c r="L290" s="11"/>
      <c r="M290" s="11"/>
      <c r="N290" s="12" t="str">
        <f t="shared" si="20"/>
        <v/>
      </c>
      <c r="O290" s="16" t="str">
        <f t="shared" si="21"/>
        <v/>
      </c>
      <c r="P290" s="11"/>
      <c r="Q290" s="16" t="str">
        <f t="shared" si="22"/>
        <v/>
      </c>
      <c r="R290" s="16" t="str">
        <f t="shared" si="23"/>
        <v/>
      </c>
      <c r="S290" s="9" t="str">
        <f t="shared" si="24"/>
        <v/>
      </c>
      <c r="T290" s="8"/>
      <c r="U290" s="8"/>
      <c r="V290" s="8"/>
      <c r="W290" s="10"/>
    </row>
    <row r="291" spans="1:23">
      <c r="A291" s="8"/>
      <c r="B291" s="10"/>
      <c r="C291" s="8"/>
      <c r="D291" s="8"/>
      <c r="E291" s="8"/>
      <c r="F291" s="8"/>
      <c r="G291" s="8"/>
      <c r="H291" s="8"/>
      <c r="I291" s="8"/>
      <c r="J291" s="11"/>
      <c r="K291" s="11"/>
      <c r="L291" s="11"/>
      <c r="M291" s="11"/>
      <c r="N291" s="12" t="str">
        <f t="shared" si="20"/>
        <v/>
      </c>
      <c r="O291" s="16" t="str">
        <f t="shared" si="21"/>
        <v/>
      </c>
      <c r="P291" s="11"/>
      <c r="Q291" s="16" t="str">
        <f t="shared" si="22"/>
        <v/>
      </c>
      <c r="R291" s="16" t="str">
        <f t="shared" si="23"/>
        <v/>
      </c>
      <c r="S291" s="9" t="str">
        <f t="shared" si="24"/>
        <v/>
      </c>
      <c r="T291" s="8"/>
      <c r="U291" s="8"/>
      <c r="V291" s="8"/>
      <c r="W291" s="10"/>
    </row>
    <row r="292" spans="1:23">
      <c r="A292" s="8"/>
      <c r="B292" s="10"/>
      <c r="C292" s="8"/>
      <c r="D292" s="8"/>
      <c r="E292" s="8"/>
      <c r="F292" s="8"/>
      <c r="G292" s="8"/>
      <c r="H292" s="8"/>
      <c r="I292" s="8"/>
      <c r="J292" s="11"/>
      <c r="K292" s="11"/>
      <c r="L292" s="11"/>
      <c r="M292" s="11"/>
      <c r="N292" s="12" t="str">
        <f t="shared" si="20"/>
        <v/>
      </c>
      <c r="O292" s="16" t="str">
        <f t="shared" si="21"/>
        <v/>
      </c>
      <c r="P292" s="11"/>
      <c r="Q292" s="16" t="str">
        <f t="shared" si="22"/>
        <v/>
      </c>
      <c r="R292" s="16" t="str">
        <f t="shared" si="23"/>
        <v/>
      </c>
      <c r="S292" s="9" t="str">
        <f t="shared" si="24"/>
        <v/>
      </c>
      <c r="T292" s="8"/>
      <c r="U292" s="8"/>
      <c r="V292" s="8"/>
      <c r="W292" s="10"/>
    </row>
    <row r="293" spans="1:23">
      <c r="A293" s="8"/>
      <c r="B293" s="10"/>
      <c r="C293" s="8"/>
      <c r="D293" s="8"/>
      <c r="E293" s="8"/>
      <c r="F293" s="8"/>
      <c r="G293" s="8"/>
      <c r="H293" s="8"/>
      <c r="I293" s="8"/>
      <c r="J293" s="11"/>
      <c r="K293" s="11"/>
      <c r="L293" s="11"/>
      <c r="M293" s="11"/>
      <c r="N293" s="12" t="str">
        <f t="shared" si="20"/>
        <v/>
      </c>
      <c r="O293" s="16" t="str">
        <f t="shared" si="21"/>
        <v/>
      </c>
      <c r="P293" s="11"/>
      <c r="Q293" s="16" t="str">
        <f t="shared" si="22"/>
        <v/>
      </c>
      <c r="R293" s="16" t="str">
        <f t="shared" si="23"/>
        <v/>
      </c>
      <c r="S293" s="9" t="str">
        <f t="shared" si="24"/>
        <v/>
      </c>
      <c r="T293" s="8"/>
      <c r="U293" s="8"/>
      <c r="V293" s="8"/>
      <c r="W293" s="10"/>
    </row>
    <row r="294" spans="1:23">
      <c r="A294" s="8"/>
      <c r="B294" s="10"/>
      <c r="C294" s="8"/>
      <c r="D294" s="8"/>
      <c r="E294" s="8"/>
      <c r="F294" s="8"/>
      <c r="G294" s="8"/>
      <c r="H294" s="8"/>
      <c r="I294" s="8"/>
      <c r="J294" s="11"/>
      <c r="K294" s="11"/>
      <c r="L294" s="11"/>
      <c r="M294" s="11"/>
      <c r="N294" s="12" t="str">
        <f t="shared" si="20"/>
        <v/>
      </c>
      <c r="O294" s="16" t="str">
        <f t="shared" si="21"/>
        <v/>
      </c>
      <c r="P294" s="11"/>
      <c r="Q294" s="16" t="str">
        <f t="shared" si="22"/>
        <v/>
      </c>
      <c r="R294" s="16" t="str">
        <f t="shared" si="23"/>
        <v/>
      </c>
      <c r="S294" s="9" t="str">
        <f t="shared" si="24"/>
        <v/>
      </c>
      <c r="T294" s="8"/>
      <c r="U294" s="8"/>
      <c r="V294" s="8"/>
      <c r="W294" s="10"/>
    </row>
    <row r="295" spans="1:23">
      <c r="A295" s="8"/>
      <c r="B295" s="10"/>
      <c r="C295" s="8"/>
      <c r="D295" s="8"/>
      <c r="E295" s="8"/>
      <c r="F295" s="8"/>
      <c r="G295" s="8"/>
      <c r="H295" s="8"/>
      <c r="I295" s="8"/>
      <c r="J295" s="11"/>
      <c r="K295" s="11"/>
      <c r="L295" s="11"/>
      <c r="M295" s="11"/>
      <c r="N295" s="12" t="str">
        <f t="shared" si="20"/>
        <v/>
      </c>
      <c r="O295" s="16" t="str">
        <f t="shared" si="21"/>
        <v/>
      </c>
      <c r="P295" s="11"/>
      <c r="Q295" s="16" t="str">
        <f t="shared" si="22"/>
        <v/>
      </c>
      <c r="R295" s="16" t="str">
        <f t="shared" si="23"/>
        <v/>
      </c>
      <c r="S295" s="9" t="str">
        <f t="shared" si="24"/>
        <v/>
      </c>
      <c r="T295" s="8"/>
      <c r="U295" s="8"/>
      <c r="V295" s="8"/>
      <c r="W295" s="10"/>
    </row>
    <row r="296" spans="1:23">
      <c r="A296" s="8"/>
      <c r="B296" s="10"/>
      <c r="C296" s="8"/>
      <c r="D296" s="8"/>
      <c r="E296" s="8"/>
      <c r="F296" s="8"/>
      <c r="G296" s="8"/>
      <c r="H296" s="8"/>
      <c r="I296" s="8"/>
      <c r="J296" s="11"/>
      <c r="K296" s="11"/>
      <c r="L296" s="11"/>
      <c r="M296" s="11"/>
      <c r="N296" s="12" t="str">
        <f t="shared" si="20"/>
        <v/>
      </c>
      <c r="O296" s="16" t="str">
        <f t="shared" si="21"/>
        <v/>
      </c>
      <c r="P296" s="11"/>
      <c r="Q296" s="16" t="str">
        <f t="shared" si="22"/>
        <v/>
      </c>
      <c r="R296" s="16" t="str">
        <f t="shared" si="23"/>
        <v/>
      </c>
      <c r="S296" s="9" t="str">
        <f t="shared" si="24"/>
        <v/>
      </c>
      <c r="T296" s="8"/>
      <c r="U296" s="8"/>
      <c r="V296" s="8"/>
      <c r="W296" s="10"/>
    </row>
    <row r="297" spans="1:23">
      <c r="A297" s="8"/>
      <c r="B297" s="10"/>
      <c r="C297" s="8"/>
      <c r="D297" s="8"/>
      <c r="E297" s="8"/>
      <c r="F297" s="8"/>
      <c r="G297" s="8"/>
      <c r="H297" s="8"/>
      <c r="I297" s="8"/>
      <c r="J297" s="11"/>
      <c r="K297" s="11"/>
      <c r="L297" s="11"/>
      <c r="M297" s="11"/>
      <c r="N297" s="12" t="str">
        <f t="shared" si="20"/>
        <v/>
      </c>
      <c r="O297" s="16" t="str">
        <f t="shared" si="21"/>
        <v/>
      </c>
      <c r="P297" s="11"/>
      <c r="Q297" s="16" t="str">
        <f t="shared" si="22"/>
        <v/>
      </c>
      <c r="R297" s="16" t="str">
        <f t="shared" si="23"/>
        <v/>
      </c>
      <c r="S297" s="9" t="str">
        <f t="shared" si="24"/>
        <v/>
      </c>
      <c r="T297" s="8"/>
      <c r="U297" s="8"/>
      <c r="V297" s="8"/>
      <c r="W297" s="10"/>
    </row>
    <row r="298" spans="1:23">
      <c r="A298" s="8"/>
      <c r="B298" s="10"/>
      <c r="C298" s="8"/>
      <c r="D298" s="8"/>
      <c r="E298" s="8"/>
      <c r="F298" s="8"/>
      <c r="G298" s="8"/>
      <c r="H298" s="8"/>
      <c r="I298" s="8"/>
      <c r="J298" s="11"/>
      <c r="K298" s="11"/>
      <c r="L298" s="11"/>
      <c r="M298" s="11"/>
      <c r="N298" s="12" t="str">
        <f t="shared" si="20"/>
        <v/>
      </c>
      <c r="O298" s="16" t="str">
        <f t="shared" si="21"/>
        <v/>
      </c>
      <c r="P298" s="11"/>
      <c r="Q298" s="16" t="str">
        <f t="shared" si="22"/>
        <v/>
      </c>
      <c r="R298" s="16" t="str">
        <f t="shared" si="23"/>
        <v/>
      </c>
      <c r="S298" s="9" t="str">
        <f t="shared" si="24"/>
        <v/>
      </c>
      <c r="T298" s="8"/>
      <c r="U298" s="8"/>
      <c r="V298" s="8"/>
      <c r="W298" s="10"/>
    </row>
    <row r="299" spans="1:23">
      <c r="A299" s="8"/>
      <c r="B299" s="10"/>
      <c r="C299" s="8"/>
      <c r="D299" s="8"/>
      <c r="E299" s="8"/>
      <c r="F299" s="8"/>
      <c r="G299" s="8"/>
      <c r="H299" s="8"/>
      <c r="I299" s="8"/>
      <c r="J299" s="11"/>
      <c r="K299" s="11"/>
      <c r="L299" s="11"/>
      <c r="M299" s="11"/>
      <c r="N299" s="12" t="str">
        <f t="shared" si="20"/>
        <v/>
      </c>
      <c r="O299" s="16" t="str">
        <f t="shared" si="21"/>
        <v/>
      </c>
      <c r="P299" s="11"/>
      <c r="Q299" s="16" t="str">
        <f t="shared" si="22"/>
        <v/>
      </c>
      <c r="R299" s="16" t="str">
        <f t="shared" si="23"/>
        <v/>
      </c>
      <c r="S299" s="9" t="str">
        <f t="shared" si="24"/>
        <v/>
      </c>
      <c r="T299" s="8"/>
      <c r="U299" s="8"/>
      <c r="V299" s="8"/>
      <c r="W299" s="10"/>
    </row>
    <row r="300" spans="1:23">
      <c r="A300" s="8"/>
      <c r="B300" s="10"/>
      <c r="C300" s="8"/>
      <c r="D300" s="8"/>
      <c r="E300" s="8"/>
      <c r="F300" s="8"/>
      <c r="G300" s="8"/>
      <c r="H300" s="8"/>
      <c r="I300" s="8"/>
      <c r="J300" s="11"/>
      <c r="K300" s="11"/>
      <c r="L300" s="11"/>
      <c r="M300" s="11"/>
      <c r="N300" s="12" t="str">
        <f t="shared" si="20"/>
        <v/>
      </c>
      <c r="O300" s="16" t="str">
        <f t="shared" si="21"/>
        <v/>
      </c>
      <c r="P300" s="11"/>
      <c r="Q300" s="16" t="str">
        <f t="shared" si="22"/>
        <v/>
      </c>
      <c r="R300" s="16" t="str">
        <f t="shared" si="23"/>
        <v/>
      </c>
      <c r="S300" s="9" t="str">
        <f t="shared" si="24"/>
        <v/>
      </c>
      <c r="T300" s="8"/>
      <c r="U300" s="8"/>
      <c r="V300" s="8"/>
      <c r="W300" s="10"/>
    </row>
    <row r="301" spans="1:23">
      <c r="A301" s="8"/>
      <c r="B301" s="10"/>
      <c r="C301" s="8"/>
      <c r="D301" s="8"/>
      <c r="E301" s="8"/>
      <c r="F301" s="8"/>
      <c r="G301" s="8"/>
      <c r="H301" s="8"/>
      <c r="I301" s="8"/>
      <c r="J301" s="11"/>
      <c r="K301" s="11"/>
      <c r="L301" s="11"/>
      <c r="M301" s="11"/>
      <c r="N301" s="12" t="str">
        <f t="shared" si="20"/>
        <v/>
      </c>
      <c r="O301" s="16" t="str">
        <f t="shared" si="21"/>
        <v/>
      </c>
      <c r="P301" s="11"/>
      <c r="Q301" s="16" t="str">
        <f t="shared" si="22"/>
        <v/>
      </c>
      <c r="R301" s="16" t="str">
        <f t="shared" si="23"/>
        <v/>
      </c>
      <c r="S301" s="9" t="str">
        <f t="shared" si="24"/>
        <v/>
      </c>
      <c r="T301" s="8"/>
      <c r="U301" s="8"/>
      <c r="V301" s="8"/>
      <c r="W301" s="10"/>
    </row>
    <row r="302" spans="1:23">
      <c r="A302" s="8"/>
      <c r="B302" s="10"/>
      <c r="C302" s="8"/>
      <c r="D302" s="8"/>
      <c r="E302" s="8"/>
      <c r="F302" s="8"/>
      <c r="G302" s="8"/>
      <c r="H302" s="8"/>
      <c r="I302" s="8"/>
      <c r="J302" s="11"/>
      <c r="K302" s="11"/>
      <c r="L302" s="11"/>
      <c r="M302" s="11"/>
      <c r="N302" s="12" t="str">
        <f t="shared" si="20"/>
        <v/>
      </c>
      <c r="O302" s="16" t="str">
        <f t="shared" si="21"/>
        <v/>
      </c>
      <c r="P302" s="11"/>
      <c r="Q302" s="16" t="str">
        <f t="shared" si="22"/>
        <v/>
      </c>
      <c r="R302" s="16" t="str">
        <f t="shared" si="23"/>
        <v/>
      </c>
      <c r="S302" s="9" t="str">
        <f t="shared" si="24"/>
        <v/>
      </c>
      <c r="T302" s="8"/>
      <c r="U302" s="8"/>
      <c r="V302" s="8"/>
      <c r="W302" s="10"/>
    </row>
    <row r="303" spans="1:23">
      <c r="A303" s="8"/>
      <c r="B303" s="10"/>
      <c r="C303" s="8"/>
      <c r="D303" s="8"/>
      <c r="E303" s="8"/>
      <c r="F303" s="8"/>
      <c r="G303" s="8"/>
      <c r="H303" s="8"/>
      <c r="I303" s="8"/>
      <c r="J303" s="11"/>
      <c r="K303" s="11"/>
      <c r="L303" s="11"/>
      <c r="M303" s="11"/>
      <c r="N303" s="12" t="str">
        <f t="shared" si="20"/>
        <v/>
      </c>
      <c r="O303" s="16" t="str">
        <f t="shared" si="21"/>
        <v/>
      </c>
      <c r="P303" s="11"/>
      <c r="Q303" s="16" t="str">
        <f t="shared" si="22"/>
        <v/>
      </c>
      <c r="R303" s="16" t="str">
        <f t="shared" si="23"/>
        <v/>
      </c>
      <c r="S303" s="9" t="str">
        <f t="shared" si="24"/>
        <v/>
      </c>
      <c r="T303" s="8"/>
      <c r="U303" s="8"/>
      <c r="V303" s="8"/>
      <c r="W303" s="10"/>
    </row>
    <row r="304" spans="1:23">
      <c r="A304" s="8"/>
      <c r="B304" s="10"/>
      <c r="C304" s="8"/>
      <c r="D304" s="8"/>
      <c r="E304" s="8"/>
      <c r="F304" s="8"/>
      <c r="G304" s="8"/>
      <c r="H304" s="8"/>
      <c r="I304" s="8"/>
      <c r="J304" s="11"/>
      <c r="K304" s="11"/>
      <c r="L304" s="11"/>
      <c r="M304" s="11"/>
      <c r="N304" s="12" t="str">
        <f t="shared" si="20"/>
        <v/>
      </c>
      <c r="O304" s="16" t="str">
        <f t="shared" si="21"/>
        <v/>
      </c>
      <c r="P304" s="11"/>
      <c r="Q304" s="16" t="str">
        <f t="shared" si="22"/>
        <v/>
      </c>
      <c r="R304" s="16" t="str">
        <f t="shared" si="23"/>
        <v/>
      </c>
      <c r="S304" s="9" t="str">
        <f t="shared" si="24"/>
        <v/>
      </c>
      <c r="T304" s="8"/>
      <c r="U304" s="8"/>
      <c r="V304" s="8"/>
      <c r="W304" s="10"/>
    </row>
  </sheetData>
  <mergeCells count="2">
    <mergeCell ref="A1:W1"/>
    <mergeCell ref="A2:W2"/>
  </mergeCells>
  <conditionalFormatting sqref="A5:A304">
    <cfRule type="duplicateValues" dxfId="28" priority="9"/>
  </conditionalFormatting>
  <conditionalFormatting sqref="S5:S304">
    <cfRule type="containsText" dxfId="27" priority="1" operator="containsText" text="Approved"/>
    <cfRule type="containsText" dxfId="26" priority="4" operator="containsText" text="Failed"/>
    <cfRule type="containsText" dxfId="25" priority="7" operator="containsText" text="On Hold"/>
  </conditionalFormatting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04"/>
  <sheetViews>
    <sheetView showGridLines="0" workbookViewId="0">
      <selection sqref="A1:Z1"/>
    </sheetView>
  </sheetViews>
  <sheetFormatPr baseColWidth="10" defaultColWidth="8.83203125" defaultRowHeight="14"/>
  <cols>
    <col min="1" max="3" width="14" customWidth="1"/>
    <col min="4" max="5" width="13" customWidth="1"/>
    <col min="6" max="6" width="16" customWidth="1"/>
    <col min="7" max="7" width="12" customWidth="1"/>
    <col min="8" max="8" width="16" customWidth="1"/>
    <col min="9" max="11" width="12" customWidth="1"/>
    <col min="12" max="12" width="15" customWidth="1"/>
    <col min="13" max="14" width="14" customWidth="1"/>
    <col min="15" max="15" width="12" customWidth="1"/>
    <col min="16" max="17" width="11" customWidth="1"/>
    <col min="18" max="18" width="12" customWidth="1"/>
    <col min="19" max="20" width="11" customWidth="1"/>
    <col min="21" max="22" width="14" customWidth="1"/>
    <col min="23" max="23" width="18" customWidth="1"/>
    <col min="24" max="24" width="20" customWidth="1"/>
    <col min="25" max="25" width="15" customWidth="1"/>
    <col min="26" max="26" width="24" customWidth="1"/>
  </cols>
  <sheetData>
    <row r="1" spans="1:26" ht="30" customHeight="1">
      <c r="A1" s="52" t="s">
        <v>416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4" spans="1:26" ht="44" customHeight="1">
      <c r="A4" s="6" t="s">
        <v>201</v>
      </c>
      <c r="B4" s="6" t="s">
        <v>202</v>
      </c>
      <c r="C4" s="6" t="s">
        <v>44</v>
      </c>
      <c r="D4" s="6" t="s">
        <v>45</v>
      </c>
      <c r="E4" s="6" t="s">
        <v>46</v>
      </c>
      <c r="F4" s="6" t="s">
        <v>417</v>
      </c>
      <c r="G4" s="6" t="s">
        <v>418</v>
      </c>
      <c r="H4" s="6" t="s">
        <v>419</v>
      </c>
      <c r="I4" s="6" t="s">
        <v>420</v>
      </c>
      <c r="J4" s="6" t="s">
        <v>421</v>
      </c>
      <c r="K4" s="6" t="s">
        <v>422</v>
      </c>
      <c r="L4" s="6" t="s">
        <v>408</v>
      </c>
      <c r="M4" s="6" t="s">
        <v>409</v>
      </c>
      <c r="N4" s="6" t="s">
        <v>410</v>
      </c>
      <c r="O4" s="6" t="s">
        <v>423</v>
      </c>
      <c r="P4" s="6" t="s">
        <v>424</v>
      </c>
      <c r="Q4" s="6" t="s">
        <v>425</v>
      </c>
      <c r="R4" s="6" t="s">
        <v>426</v>
      </c>
      <c r="S4" s="6" t="s">
        <v>427</v>
      </c>
      <c r="T4" s="6" t="s">
        <v>428</v>
      </c>
      <c r="U4" s="6" t="s">
        <v>215</v>
      </c>
      <c r="V4" s="6" t="s">
        <v>216</v>
      </c>
      <c r="W4" s="6" t="s">
        <v>429</v>
      </c>
      <c r="X4" s="6" t="s">
        <v>160</v>
      </c>
      <c r="Y4" s="6" t="s">
        <v>63</v>
      </c>
      <c r="Z4" s="6" t="s">
        <v>161</v>
      </c>
    </row>
    <row r="5" spans="1:26">
      <c r="A5" s="8"/>
      <c r="B5" s="10"/>
      <c r="C5" s="8"/>
      <c r="D5" s="8"/>
      <c r="E5" s="8"/>
      <c r="F5" s="8"/>
      <c r="G5" s="11"/>
      <c r="H5" s="8"/>
      <c r="I5" s="8"/>
      <c r="J5" s="8"/>
      <c r="K5" s="11"/>
      <c r="L5" s="11"/>
      <c r="M5" s="11"/>
      <c r="N5" s="11"/>
      <c r="O5" s="11"/>
      <c r="P5" s="11"/>
      <c r="Q5" s="11"/>
      <c r="R5" s="11"/>
      <c r="S5" s="11"/>
      <c r="T5" s="11"/>
      <c r="U5" s="9" t="str">
        <f t="shared" ref="U5:U68" si="0">IF(A5="","",IF(OR(L5&gt;=R5,M5&gt;=S5,N5&gt;=T5),"Failed","Passed"))</f>
        <v/>
      </c>
      <c r="V5" s="8"/>
      <c r="W5" s="8"/>
      <c r="X5" s="8"/>
      <c r="Y5" s="10"/>
      <c r="Z5" s="8"/>
    </row>
    <row r="6" spans="1:26">
      <c r="A6" s="8"/>
      <c r="B6" s="10"/>
      <c r="C6" s="8"/>
      <c r="D6" s="8"/>
      <c r="E6" s="8"/>
      <c r="F6" s="8"/>
      <c r="G6" s="11"/>
      <c r="H6" s="8"/>
      <c r="I6" s="8"/>
      <c r="J6" s="8"/>
      <c r="K6" s="11"/>
      <c r="L6" s="11"/>
      <c r="M6" s="11"/>
      <c r="N6" s="11"/>
      <c r="O6" s="11"/>
      <c r="P6" s="11"/>
      <c r="Q6" s="11"/>
      <c r="R6" s="11"/>
      <c r="S6" s="11"/>
      <c r="T6" s="11"/>
      <c r="U6" s="9" t="str">
        <f t="shared" si="0"/>
        <v/>
      </c>
      <c r="V6" s="8"/>
      <c r="W6" s="8"/>
      <c r="X6" s="8"/>
      <c r="Y6" s="10"/>
      <c r="Z6" s="8"/>
    </row>
    <row r="7" spans="1:26">
      <c r="A7" s="8"/>
      <c r="B7" s="10"/>
      <c r="C7" s="8"/>
      <c r="D7" s="8"/>
      <c r="E7" s="8"/>
      <c r="F7" s="8"/>
      <c r="G7" s="11"/>
      <c r="H7" s="8"/>
      <c r="I7" s="8"/>
      <c r="J7" s="8"/>
      <c r="K7" s="11"/>
      <c r="L7" s="11"/>
      <c r="M7" s="11"/>
      <c r="N7" s="11"/>
      <c r="O7" s="11"/>
      <c r="P7" s="11"/>
      <c r="Q7" s="11"/>
      <c r="R7" s="11"/>
      <c r="S7" s="11"/>
      <c r="T7" s="11"/>
      <c r="U7" s="9" t="str">
        <f t="shared" si="0"/>
        <v/>
      </c>
      <c r="V7" s="8"/>
      <c r="W7" s="8"/>
      <c r="X7" s="8"/>
      <c r="Y7" s="10"/>
      <c r="Z7" s="8"/>
    </row>
    <row r="8" spans="1:26">
      <c r="A8" s="8"/>
      <c r="B8" s="10"/>
      <c r="C8" s="8"/>
      <c r="D8" s="8"/>
      <c r="E8" s="8"/>
      <c r="F8" s="8"/>
      <c r="G8" s="11"/>
      <c r="H8" s="8"/>
      <c r="I8" s="8"/>
      <c r="J8" s="8"/>
      <c r="K8" s="11"/>
      <c r="L8" s="11"/>
      <c r="M8" s="11"/>
      <c r="N8" s="11"/>
      <c r="O8" s="11"/>
      <c r="P8" s="11"/>
      <c r="Q8" s="11"/>
      <c r="R8" s="11"/>
      <c r="S8" s="11"/>
      <c r="T8" s="11"/>
      <c r="U8" s="9" t="str">
        <f t="shared" si="0"/>
        <v/>
      </c>
      <c r="V8" s="8"/>
      <c r="W8" s="8"/>
      <c r="X8" s="8"/>
      <c r="Y8" s="10"/>
      <c r="Z8" s="8"/>
    </row>
    <row r="9" spans="1:26">
      <c r="A9" s="8"/>
      <c r="B9" s="10"/>
      <c r="C9" s="8"/>
      <c r="D9" s="8"/>
      <c r="E9" s="8"/>
      <c r="F9" s="8"/>
      <c r="G9" s="11"/>
      <c r="H9" s="8"/>
      <c r="I9" s="8"/>
      <c r="J9" s="8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tr">
        <f t="shared" si="0"/>
        <v/>
      </c>
      <c r="V9" s="8"/>
      <c r="W9" s="8"/>
      <c r="X9" s="8"/>
      <c r="Y9" s="10"/>
      <c r="Z9" s="8"/>
    </row>
    <row r="10" spans="1:26">
      <c r="A10" s="8"/>
      <c r="B10" s="10"/>
      <c r="C10" s="8"/>
      <c r="D10" s="8"/>
      <c r="E10" s="8"/>
      <c r="F10" s="8"/>
      <c r="G10" s="11"/>
      <c r="H10" s="8"/>
      <c r="I10" s="8"/>
      <c r="J10" s="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tr">
        <f t="shared" si="0"/>
        <v/>
      </c>
      <c r="V10" s="8"/>
      <c r="W10" s="8"/>
      <c r="X10" s="8"/>
      <c r="Y10" s="10"/>
      <c r="Z10" s="8"/>
    </row>
    <row r="11" spans="1:26">
      <c r="A11" s="8"/>
      <c r="B11" s="10"/>
      <c r="C11" s="8"/>
      <c r="D11" s="8"/>
      <c r="E11" s="8"/>
      <c r="F11" s="8"/>
      <c r="G11" s="11"/>
      <c r="H11" s="8"/>
      <c r="I11" s="8"/>
      <c r="J11" s="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tr">
        <f t="shared" si="0"/>
        <v/>
      </c>
      <c r="V11" s="8"/>
      <c r="W11" s="8"/>
      <c r="X11" s="8"/>
      <c r="Y11" s="10"/>
      <c r="Z11" s="8"/>
    </row>
    <row r="12" spans="1:26">
      <c r="A12" s="8"/>
      <c r="B12" s="10"/>
      <c r="C12" s="8"/>
      <c r="D12" s="8"/>
      <c r="E12" s="8"/>
      <c r="F12" s="8"/>
      <c r="G12" s="11"/>
      <c r="H12" s="8"/>
      <c r="I12" s="8"/>
      <c r="J12" s="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tr">
        <f t="shared" si="0"/>
        <v/>
      </c>
      <c r="V12" s="8"/>
      <c r="W12" s="8"/>
      <c r="X12" s="8"/>
      <c r="Y12" s="10"/>
      <c r="Z12" s="8"/>
    </row>
    <row r="13" spans="1:26">
      <c r="A13" s="8"/>
      <c r="B13" s="10"/>
      <c r="C13" s="8"/>
      <c r="D13" s="8"/>
      <c r="E13" s="8"/>
      <c r="F13" s="8"/>
      <c r="G13" s="11"/>
      <c r="H13" s="8"/>
      <c r="I13" s="8"/>
      <c r="J13" s="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tr">
        <f t="shared" si="0"/>
        <v/>
      </c>
      <c r="V13" s="8"/>
      <c r="W13" s="8"/>
      <c r="X13" s="8"/>
      <c r="Y13" s="10"/>
      <c r="Z13" s="8"/>
    </row>
    <row r="14" spans="1:26">
      <c r="A14" s="8"/>
      <c r="B14" s="10"/>
      <c r="C14" s="8"/>
      <c r="D14" s="8"/>
      <c r="E14" s="8"/>
      <c r="F14" s="8"/>
      <c r="G14" s="11"/>
      <c r="H14" s="8"/>
      <c r="I14" s="8"/>
      <c r="J14" s="8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9" t="str">
        <f t="shared" si="0"/>
        <v/>
      </c>
      <c r="V14" s="8"/>
      <c r="W14" s="8"/>
      <c r="X14" s="8"/>
      <c r="Y14" s="10"/>
      <c r="Z14" s="8"/>
    </row>
    <row r="15" spans="1:26">
      <c r="A15" s="8"/>
      <c r="B15" s="10"/>
      <c r="C15" s="8"/>
      <c r="D15" s="8"/>
      <c r="E15" s="8"/>
      <c r="F15" s="8"/>
      <c r="G15" s="11"/>
      <c r="H15" s="8"/>
      <c r="I15" s="8"/>
      <c r="J15" s="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9" t="str">
        <f t="shared" si="0"/>
        <v/>
      </c>
      <c r="V15" s="8"/>
      <c r="W15" s="8"/>
      <c r="X15" s="8"/>
      <c r="Y15" s="10"/>
      <c r="Z15" s="8"/>
    </row>
    <row r="16" spans="1:26">
      <c r="A16" s="8"/>
      <c r="B16" s="10"/>
      <c r="C16" s="8"/>
      <c r="D16" s="8"/>
      <c r="E16" s="8"/>
      <c r="F16" s="8"/>
      <c r="G16" s="11"/>
      <c r="H16" s="8"/>
      <c r="I16" s="8"/>
      <c r="J16" s="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9" t="str">
        <f t="shared" si="0"/>
        <v/>
      </c>
      <c r="V16" s="8"/>
      <c r="W16" s="8"/>
      <c r="X16" s="8"/>
      <c r="Y16" s="10"/>
      <c r="Z16" s="8"/>
    </row>
    <row r="17" spans="1:26">
      <c r="A17" s="8"/>
      <c r="B17" s="10"/>
      <c r="C17" s="8"/>
      <c r="D17" s="8"/>
      <c r="E17" s="8"/>
      <c r="F17" s="8"/>
      <c r="G17" s="11"/>
      <c r="H17" s="8"/>
      <c r="I17" s="8"/>
      <c r="J17" s="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9" t="str">
        <f t="shared" si="0"/>
        <v/>
      </c>
      <c r="V17" s="8"/>
      <c r="W17" s="8"/>
      <c r="X17" s="8"/>
      <c r="Y17" s="10"/>
      <c r="Z17" s="8"/>
    </row>
    <row r="18" spans="1:26">
      <c r="A18" s="8"/>
      <c r="B18" s="10"/>
      <c r="C18" s="8"/>
      <c r="D18" s="8"/>
      <c r="E18" s="8"/>
      <c r="F18" s="8"/>
      <c r="G18" s="11"/>
      <c r="H18" s="8"/>
      <c r="I18" s="8"/>
      <c r="J18" s="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9" t="str">
        <f t="shared" si="0"/>
        <v/>
      </c>
      <c r="V18" s="8"/>
      <c r="W18" s="8"/>
      <c r="X18" s="8"/>
      <c r="Y18" s="10"/>
      <c r="Z18" s="8"/>
    </row>
    <row r="19" spans="1:26">
      <c r="A19" s="8"/>
      <c r="B19" s="10"/>
      <c r="C19" s="8"/>
      <c r="D19" s="8"/>
      <c r="E19" s="8"/>
      <c r="F19" s="8"/>
      <c r="G19" s="11"/>
      <c r="H19" s="8"/>
      <c r="I19" s="8"/>
      <c r="J19" s="8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9" t="str">
        <f t="shared" si="0"/>
        <v/>
      </c>
      <c r="V19" s="8"/>
      <c r="W19" s="8"/>
      <c r="X19" s="8"/>
      <c r="Y19" s="10"/>
      <c r="Z19" s="8"/>
    </row>
    <row r="20" spans="1:26">
      <c r="A20" s="8"/>
      <c r="B20" s="10"/>
      <c r="C20" s="8"/>
      <c r="D20" s="8"/>
      <c r="E20" s="8"/>
      <c r="F20" s="8"/>
      <c r="G20" s="11"/>
      <c r="H20" s="8"/>
      <c r="I20" s="8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9" t="str">
        <f t="shared" si="0"/>
        <v/>
      </c>
      <c r="V20" s="8"/>
      <c r="W20" s="8"/>
      <c r="X20" s="8"/>
      <c r="Y20" s="10"/>
      <c r="Z20" s="8"/>
    </row>
    <row r="21" spans="1:26">
      <c r="A21" s="8"/>
      <c r="B21" s="10"/>
      <c r="C21" s="8"/>
      <c r="D21" s="8"/>
      <c r="E21" s="8"/>
      <c r="F21" s="8"/>
      <c r="G21" s="11"/>
      <c r="H21" s="8"/>
      <c r="I21" s="8"/>
      <c r="J21" s="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9" t="str">
        <f t="shared" si="0"/>
        <v/>
      </c>
      <c r="V21" s="8"/>
      <c r="W21" s="8"/>
      <c r="X21" s="8"/>
      <c r="Y21" s="10"/>
      <c r="Z21" s="8"/>
    </row>
    <row r="22" spans="1:26">
      <c r="A22" s="8"/>
      <c r="B22" s="10"/>
      <c r="C22" s="8"/>
      <c r="D22" s="8"/>
      <c r="E22" s="8"/>
      <c r="F22" s="8"/>
      <c r="G22" s="11"/>
      <c r="H22" s="8"/>
      <c r="I22" s="8"/>
      <c r="J22" s="8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9" t="str">
        <f t="shared" si="0"/>
        <v/>
      </c>
      <c r="V22" s="8"/>
      <c r="W22" s="8"/>
      <c r="X22" s="8"/>
      <c r="Y22" s="10"/>
      <c r="Z22" s="8"/>
    </row>
    <row r="23" spans="1:26">
      <c r="A23" s="8"/>
      <c r="B23" s="10"/>
      <c r="C23" s="8"/>
      <c r="D23" s="8"/>
      <c r="E23" s="8"/>
      <c r="F23" s="8"/>
      <c r="G23" s="11"/>
      <c r="H23" s="8"/>
      <c r="I23" s="8"/>
      <c r="J23" s="8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9" t="str">
        <f t="shared" si="0"/>
        <v/>
      </c>
      <c r="V23" s="8"/>
      <c r="W23" s="8"/>
      <c r="X23" s="8"/>
      <c r="Y23" s="10"/>
      <c r="Z23" s="8"/>
    </row>
    <row r="24" spans="1:26">
      <c r="A24" s="8"/>
      <c r="B24" s="10"/>
      <c r="C24" s="8"/>
      <c r="D24" s="8"/>
      <c r="E24" s="8"/>
      <c r="F24" s="8"/>
      <c r="G24" s="11"/>
      <c r="H24" s="8"/>
      <c r="I24" s="8"/>
      <c r="J24" s="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" t="str">
        <f t="shared" si="0"/>
        <v/>
      </c>
      <c r="V24" s="8"/>
      <c r="W24" s="8"/>
      <c r="X24" s="8"/>
      <c r="Y24" s="10"/>
      <c r="Z24" s="8"/>
    </row>
    <row r="25" spans="1:26">
      <c r="A25" s="8"/>
      <c r="B25" s="10"/>
      <c r="C25" s="8"/>
      <c r="D25" s="8"/>
      <c r="E25" s="8"/>
      <c r="F25" s="8"/>
      <c r="G25" s="11"/>
      <c r="H25" s="8"/>
      <c r="I25" s="8"/>
      <c r="J25" s="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9" t="str">
        <f t="shared" si="0"/>
        <v/>
      </c>
      <c r="V25" s="8"/>
      <c r="W25" s="8"/>
      <c r="X25" s="8"/>
      <c r="Y25" s="10"/>
      <c r="Z25" s="8"/>
    </row>
    <row r="26" spans="1:26">
      <c r="A26" s="8"/>
      <c r="B26" s="10"/>
      <c r="C26" s="8"/>
      <c r="D26" s="8"/>
      <c r="E26" s="8"/>
      <c r="F26" s="8"/>
      <c r="G26" s="11"/>
      <c r="H26" s="8"/>
      <c r="I26" s="8"/>
      <c r="J26" s="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9" t="str">
        <f t="shared" si="0"/>
        <v/>
      </c>
      <c r="V26" s="8"/>
      <c r="W26" s="8"/>
      <c r="X26" s="8"/>
      <c r="Y26" s="10"/>
      <c r="Z26" s="8"/>
    </row>
    <row r="27" spans="1:26">
      <c r="A27" s="8"/>
      <c r="B27" s="10"/>
      <c r="C27" s="8"/>
      <c r="D27" s="8"/>
      <c r="E27" s="8"/>
      <c r="F27" s="8"/>
      <c r="G27" s="11"/>
      <c r="H27" s="8"/>
      <c r="I27" s="8"/>
      <c r="J27" s="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9" t="str">
        <f t="shared" si="0"/>
        <v/>
      </c>
      <c r="V27" s="8"/>
      <c r="W27" s="8"/>
      <c r="X27" s="8"/>
      <c r="Y27" s="10"/>
      <c r="Z27" s="8"/>
    </row>
    <row r="28" spans="1:26">
      <c r="A28" s="8"/>
      <c r="B28" s="10"/>
      <c r="C28" s="8"/>
      <c r="D28" s="8"/>
      <c r="E28" s="8"/>
      <c r="F28" s="8"/>
      <c r="G28" s="11"/>
      <c r="H28" s="8"/>
      <c r="I28" s="8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" t="str">
        <f t="shared" si="0"/>
        <v/>
      </c>
      <c r="V28" s="8"/>
      <c r="W28" s="8"/>
      <c r="X28" s="8"/>
      <c r="Y28" s="10"/>
      <c r="Z28" s="8"/>
    </row>
    <row r="29" spans="1:26">
      <c r="A29" s="8"/>
      <c r="B29" s="10"/>
      <c r="C29" s="8"/>
      <c r="D29" s="8"/>
      <c r="E29" s="8"/>
      <c r="F29" s="8"/>
      <c r="G29" s="11"/>
      <c r="H29" s="8"/>
      <c r="I29" s="8"/>
      <c r="J29" s="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tr">
        <f t="shared" si="0"/>
        <v/>
      </c>
      <c r="V29" s="8"/>
      <c r="W29" s="8"/>
      <c r="X29" s="8"/>
      <c r="Y29" s="10"/>
      <c r="Z29" s="8"/>
    </row>
    <row r="30" spans="1:26">
      <c r="A30" s="8"/>
      <c r="B30" s="10"/>
      <c r="C30" s="8"/>
      <c r="D30" s="8"/>
      <c r="E30" s="8"/>
      <c r="F30" s="8"/>
      <c r="G30" s="11"/>
      <c r="H30" s="8"/>
      <c r="I30" s="8"/>
      <c r="J30" s="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9" t="str">
        <f t="shared" si="0"/>
        <v/>
      </c>
      <c r="V30" s="8"/>
      <c r="W30" s="8"/>
      <c r="X30" s="8"/>
      <c r="Y30" s="10"/>
      <c r="Z30" s="8"/>
    </row>
    <row r="31" spans="1:26">
      <c r="A31" s="8"/>
      <c r="B31" s="10"/>
      <c r="C31" s="8"/>
      <c r="D31" s="8"/>
      <c r="E31" s="8"/>
      <c r="F31" s="8"/>
      <c r="G31" s="11"/>
      <c r="H31" s="8"/>
      <c r="I31" s="8"/>
      <c r="J31" s="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 t="str">
        <f t="shared" si="0"/>
        <v/>
      </c>
      <c r="V31" s="8"/>
      <c r="W31" s="8"/>
      <c r="X31" s="8"/>
      <c r="Y31" s="10"/>
      <c r="Z31" s="8"/>
    </row>
    <row r="32" spans="1:26">
      <c r="A32" s="8"/>
      <c r="B32" s="10"/>
      <c r="C32" s="8"/>
      <c r="D32" s="8"/>
      <c r="E32" s="8"/>
      <c r="F32" s="8"/>
      <c r="G32" s="11"/>
      <c r="H32" s="8"/>
      <c r="I32" s="8"/>
      <c r="J32" s="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9" t="str">
        <f t="shared" si="0"/>
        <v/>
      </c>
      <c r="V32" s="8"/>
      <c r="W32" s="8"/>
      <c r="X32" s="8"/>
      <c r="Y32" s="10"/>
      <c r="Z32" s="8"/>
    </row>
    <row r="33" spans="1:26">
      <c r="A33" s="8"/>
      <c r="B33" s="10"/>
      <c r="C33" s="8"/>
      <c r="D33" s="8"/>
      <c r="E33" s="8"/>
      <c r="F33" s="8"/>
      <c r="G33" s="11"/>
      <c r="H33" s="8"/>
      <c r="I33" s="8"/>
      <c r="J33" s="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9" t="str">
        <f t="shared" si="0"/>
        <v/>
      </c>
      <c r="V33" s="8"/>
      <c r="W33" s="8"/>
      <c r="X33" s="8"/>
      <c r="Y33" s="10"/>
      <c r="Z33" s="8"/>
    </row>
    <row r="34" spans="1:26">
      <c r="A34" s="8"/>
      <c r="B34" s="10"/>
      <c r="C34" s="8"/>
      <c r="D34" s="8"/>
      <c r="E34" s="8"/>
      <c r="F34" s="8"/>
      <c r="G34" s="11"/>
      <c r="H34" s="8"/>
      <c r="I34" s="8"/>
      <c r="J34" s="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9" t="str">
        <f t="shared" si="0"/>
        <v/>
      </c>
      <c r="V34" s="8"/>
      <c r="W34" s="8"/>
      <c r="X34" s="8"/>
      <c r="Y34" s="10"/>
      <c r="Z34" s="8"/>
    </row>
    <row r="35" spans="1:26">
      <c r="A35" s="8"/>
      <c r="B35" s="10"/>
      <c r="C35" s="8"/>
      <c r="D35" s="8"/>
      <c r="E35" s="8"/>
      <c r="F35" s="8"/>
      <c r="G35" s="11"/>
      <c r="H35" s="8"/>
      <c r="I35" s="8"/>
      <c r="J35" s="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9" t="str">
        <f t="shared" si="0"/>
        <v/>
      </c>
      <c r="V35" s="8"/>
      <c r="W35" s="8"/>
      <c r="X35" s="8"/>
      <c r="Y35" s="10"/>
      <c r="Z35" s="8"/>
    </row>
    <row r="36" spans="1:26">
      <c r="A36" s="8"/>
      <c r="B36" s="10"/>
      <c r="C36" s="8"/>
      <c r="D36" s="8"/>
      <c r="E36" s="8"/>
      <c r="F36" s="8"/>
      <c r="G36" s="11"/>
      <c r="H36" s="8"/>
      <c r="I36" s="8"/>
      <c r="J36" s="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9" t="str">
        <f t="shared" si="0"/>
        <v/>
      </c>
      <c r="V36" s="8"/>
      <c r="W36" s="8"/>
      <c r="X36" s="8"/>
      <c r="Y36" s="10"/>
      <c r="Z36" s="8"/>
    </row>
    <row r="37" spans="1:26">
      <c r="A37" s="8"/>
      <c r="B37" s="10"/>
      <c r="C37" s="8"/>
      <c r="D37" s="8"/>
      <c r="E37" s="8"/>
      <c r="F37" s="8"/>
      <c r="G37" s="11"/>
      <c r="H37" s="8"/>
      <c r="I37" s="8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9" t="str">
        <f t="shared" si="0"/>
        <v/>
      </c>
      <c r="V37" s="8"/>
      <c r="W37" s="8"/>
      <c r="X37" s="8"/>
      <c r="Y37" s="10"/>
      <c r="Z37" s="8"/>
    </row>
    <row r="38" spans="1:26">
      <c r="A38" s="8"/>
      <c r="B38" s="10"/>
      <c r="C38" s="8"/>
      <c r="D38" s="8"/>
      <c r="E38" s="8"/>
      <c r="F38" s="8"/>
      <c r="G38" s="11"/>
      <c r="H38" s="8"/>
      <c r="I38" s="8"/>
      <c r="J38" s="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9" t="str">
        <f t="shared" si="0"/>
        <v/>
      </c>
      <c r="V38" s="8"/>
      <c r="W38" s="8"/>
      <c r="X38" s="8"/>
      <c r="Y38" s="10"/>
      <c r="Z38" s="8"/>
    </row>
    <row r="39" spans="1:26">
      <c r="A39" s="8"/>
      <c r="B39" s="10"/>
      <c r="C39" s="8"/>
      <c r="D39" s="8"/>
      <c r="E39" s="8"/>
      <c r="F39" s="8"/>
      <c r="G39" s="11"/>
      <c r="H39" s="8"/>
      <c r="I39" s="8"/>
      <c r="J39" s="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9" t="str">
        <f t="shared" si="0"/>
        <v/>
      </c>
      <c r="V39" s="8"/>
      <c r="W39" s="8"/>
      <c r="X39" s="8"/>
      <c r="Y39" s="10"/>
      <c r="Z39" s="8"/>
    </row>
    <row r="40" spans="1:26">
      <c r="A40" s="8"/>
      <c r="B40" s="10"/>
      <c r="C40" s="8"/>
      <c r="D40" s="8"/>
      <c r="E40" s="8"/>
      <c r="F40" s="8"/>
      <c r="G40" s="11"/>
      <c r="H40" s="8"/>
      <c r="I40" s="8"/>
      <c r="J40" s="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9" t="str">
        <f t="shared" si="0"/>
        <v/>
      </c>
      <c r="V40" s="8"/>
      <c r="W40" s="8"/>
      <c r="X40" s="8"/>
      <c r="Y40" s="10"/>
      <c r="Z40" s="8"/>
    </row>
    <row r="41" spans="1:26">
      <c r="A41" s="8"/>
      <c r="B41" s="10"/>
      <c r="C41" s="8"/>
      <c r="D41" s="8"/>
      <c r="E41" s="8"/>
      <c r="F41" s="8"/>
      <c r="G41" s="11"/>
      <c r="H41" s="8"/>
      <c r="I41" s="8"/>
      <c r="J41" s="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9" t="str">
        <f t="shared" si="0"/>
        <v/>
      </c>
      <c r="V41" s="8"/>
      <c r="W41" s="8"/>
      <c r="X41" s="8"/>
      <c r="Y41" s="10"/>
      <c r="Z41" s="8"/>
    </row>
    <row r="42" spans="1:26">
      <c r="A42" s="8"/>
      <c r="B42" s="10"/>
      <c r="C42" s="8"/>
      <c r="D42" s="8"/>
      <c r="E42" s="8"/>
      <c r="F42" s="8"/>
      <c r="G42" s="11"/>
      <c r="H42" s="8"/>
      <c r="I42" s="8"/>
      <c r="J42" s="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9" t="str">
        <f t="shared" si="0"/>
        <v/>
      </c>
      <c r="V42" s="8"/>
      <c r="W42" s="8"/>
      <c r="X42" s="8"/>
      <c r="Y42" s="10"/>
      <c r="Z42" s="8"/>
    </row>
    <row r="43" spans="1:26">
      <c r="A43" s="8"/>
      <c r="B43" s="10"/>
      <c r="C43" s="8"/>
      <c r="D43" s="8"/>
      <c r="E43" s="8"/>
      <c r="F43" s="8"/>
      <c r="G43" s="11"/>
      <c r="H43" s="8"/>
      <c r="I43" s="8"/>
      <c r="J43" s="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9" t="str">
        <f t="shared" si="0"/>
        <v/>
      </c>
      <c r="V43" s="8"/>
      <c r="W43" s="8"/>
      <c r="X43" s="8"/>
      <c r="Y43" s="10"/>
      <c r="Z43" s="8"/>
    </row>
    <row r="44" spans="1:26">
      <c r="A44" s="8"/>
      <c r="B44" s="10"/>
      <c r="C44" s="8"/>
      <c r="D44" s="8"/>
      <c r="E44" s="8"/>
      <c r="F44" s="8"/>
      <c r="G44" s="11"/>
      <c r="H44" s="8"/>
      <c r="I44" s="8"/>
      <c r="J44" s="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9" t="str">
        <f t="shared" si="0"/>
        <v/>
      </c>
      <c r="V44" s="8"/>
      <c r="W44" s="8"/>
      <c r="X44" s="8"/>
      <c r="Y44" s="10"/>
      <c r="Z44" s="8"/>
    </row>
    <row r="45" spans="1:26">
      <c r="A45" s="8"/>
      <c r="B45" s="10"/>
      <c r="C45" s="8"/>
      <c r="D45" s="8"/>
      <c r="E45" s="8"/>
      <c r="F45" s="8"/>
      <c r="G45" s="11"/>
      <c r="H45" s="8"/>
      <c r="I45" s="8"/>
      <c r="J45" s="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9" t="str">
        <f t="shared" si="0"/>
        <v/>
      </c>
      <c r="V45" s="8"/>
      <c r="W45" s="8"/>
      <c r="X45" s="8"/>
      <c r="Y45" s="10"/>
      <c r="Z45" s="8"/>
    </row>
    <row r="46" spans="1:26">
      <c r="A46" s="8"/>
      <c r="B46" s="10"/>
      <c r="C46" s="8"/>
      <c r="D46" s="8"/>
      <c r="E46" s="8"/>
      <c r="F46" s="8"/>
      <c r="G46" s="11"/>
      <c r="H46" s="8"/>
      <c r="I46" s="8"/>
      <c r="J46" s="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9" t="str">
        <f t="shared" si="0"/>
        <v/>
      </c>
      <c r="V46" s="8"/>
      <c r="W46" s="8"/>
      <c r="X46" s="8"/>
      <c r="Y46" s="10"/>
      <c r="Z46" s="8"/>
    </row>
    <row r="47" spans="1:26">
      <c r="A47" s="8"/>
      <c r="B47" s="10"/>
      <c r="C47" s="8"/>
      <c r="D47" s="8"/>
      <c r="E47" s="8"/>
      <c r="F47" s="8"/>
      <c r="G47" s="11"/>
      <c r="H47" s="8"/>
      <c r="I47" s="8"/>
      <c r="J47" s="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9" t="str">
        <f t="shared" si="0"/>
        <v/>
      </c>
      <c r="V47" s="8"/>
      <c r="W47" s="8"/>
      <c r="X47" s="8"/>
      <c r="Y47" s="10"/>
      <c r="Z47" s="8"/>
    </row>
    <row r="48" spans="1:26">
      <c r="A48" s="8"/>
      <c r="B48" s="10"/>
      <c r="C48" s="8"/>
      <c r="D48" s="8"/>
      <c r="E48" s="8"/>
      <c r="F48" s="8"/>
      <c r="G48" s="11"/>
      <c r="H48" s="8"/>
      <c r="I48" s="8"/>
      <c r="J48" s="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9" t="str">
        <f t="shared" si="0"/>
        <v/>
      </c>
      <c r="V48" s="8"/>
      <c r="W48" s="8"/>
      <c r="X48" s="8"/>
      <c r="Y48" s="10"/>
      <c r="Z48" s="8"/>
    </row>
    <row r="49" spans="1:26">
      <c r="A49" s="8"/>
      <c r="B49" s="10"/>
      <c r="C49" s="8"/>
      <c r="D49" s="8"/>
      <c r="E49" s="8"/>
      <c r="F49" s="8"/>
      <c r="G49" s="11"/>
      <c r="H49" s="8"/>
      <c r="I49" s="8"/>
      <c r="J49" s="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9" t="str">
        <f t="shared" si="0"/>
        <v/>
      </c>
      <c r="V49" s="8"/>
      <c r="W49" s="8"/>
      <c r="X49" s="8"/>
      <c r="Y49" s="10"/>
      <c r="Z49" s="8"/>
    </row>
    <row r="50" spans="1:26">
      <c r="A50" s="8"/>
      <c r="B50" s="10"/>
      <c r="C50" s="8"/>
      <c r="D50" s="8"/>
      <c r="E50" s="8"/>
      <c r="F50" s="8"/>
      <c r="G50" s="11"/>
      <c r="H50" s="8"/>
      <c r="I50" s="8"/>
      <c r="J50" s="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9" t="str">
        <f t="shared" si="0"/>
        <v/>
      </c>
      <c r="V50" s="8"/>
      <c r="W50" s="8"/>
      <c r="X50" s="8"/>
      <c r="Y50" s="10"/>
      <c r="Z50" s="8"/>
    </row>
    <row r="51" spans="1:26">
      <c r="A51" s="8"/>
      <c r="B51" s="10"/>
      <c r="C51" s="8"/>
      <c r="D51" s="8"/>
      <c r="E51" s="8"/>
      <c r="F51" s="8"/>
      <c r="G51" s="11"/>
      <c r="H51" s="8"/>
      <c r="I51" s="8"/>
      <c r="J51" s="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9" t="str">
        <f t="shared" si="0"/>
        <v/>
      </c>
      <c r="V51" s="8"/>
      <c r="W51" s="8"/>
      <c r="X51" s="8"/>
      <c r="Y51" s="10"/>
      <c r="Z51" s="8"/>
    </row>
    <row r="52" spans="1:26">
      <c r="A52" s="8"/>
      <c r="B52" s="10"/>
      <c r="C52" s="8"/>
      <c r="D52" s="8"/>
      <c r="E52" s="8"/>
      <c r="F52" s="8"/>
      <c r="G52" s="11"/>
      <c r="H52" s="8"/>
      <c r="I52" s="8"/>
      <c r="J52" s="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" t="str">
        <f t="shared" si="0"/>
        <v/>
      </c>
      <c r="V52" s="8"/>
      <c r="W52" s="8"/>
      <c r="X52" s="8"/>
      <c r="Y52" s="10"/>
      <c r="Z52" s="8"/>
    </row>
    <row r="53" spans="1:26">
      <c r="A53" s="8"/>
      <c r="B53" s="10"/>
      <c r="C53" s="8"/>
      <c r="D53" s="8"/>
      <c r="E53" s="8"/>
      <c r="F53" s="8"/>
      <c r="G53" s="11"/>
      <c r="H53" s="8"/>
      <c r="I53" s="8"/>
      <c r="J53" s="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9" t="str">
        <f t="shared" si="0"/>
        <v/>
      </c>
      <c r="V53" s="8"/>
      <c r="W53" s="8"/>
      <c r="X53" s="8"/>
      <c r="Y53" s="10"/>
      <c r="Z53" s="8"/>
    </row>
    <row r="54" spans="1:26">
      <c r="A54" s="8"/>
      <c r="B54" s="10"/>
      <c r="C54" s="8"/>
      <c r="D54" s="8"/>
      <c r="E54" s="8"/>
      <c r="F54" s="8"/>
      <c r="G54" s="11"/>
      <c r="H54" s="8"/>
      <c r="I54" s="8"/>
      <c r="J54" s="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9" t="str">
        <f t="shared" si="0"/>
        <v/>
      </c>
      <c r="V54" s="8"/>
      <c r="W54" s="8"/>
      <c r="X54" s="8"/>
      <c r="Y54" s="10"/>
      <c r="Z54" s="8"/>
    </row>
    <row r="55" spans="1:26">
      <c r="A55" s="8"/>
      <c r="B55" s="10"/>
      <c r="C55" s="8"/>
      <c r="D55" s="8"/>
      <c r="E55" s="8"/>
      <c r="F55" s="8"/>
      <c r="G55" s="11"/>
      <c r="H55" s="8"/>
      <c r="I55" s="8"/>
      <c r="J55" s="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9" t="str">
        <f t="shared" si="0"/>
        <v/>
      </c>
      <c r="V55" s="8"/>
      <c r="W55" s="8"/>
      <c r="X55" s="8"/>
      <c r="Y55" s="10"/>
      <c r="Z55" s="8"/>
    </row>
    <row r="56" spans="1:26">
      <c r="A56" s="8"/>
      <c r="B56" s="10"/>
      <c r="C56" s="8"/>
      <c r="D56" s="8"/>
      <c r="E56" s="8"/>
      <c r="F56" s="8"/>
      <c r="G56" s="11"/>
      <c r="H56" s="8"/>
      <c r="I56" s="8"/>
      <c r="J56" s="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9" t="str">
        <f t="shared" si="0"/>
        <v/>
      </c>
      <c r="V56" s="8"/>
      <c r="W56" s="8"/>
      <c r="X56" s="8"/>
      <c r="Y56" s="10"/>
      <c r="Z56" s="8"/>
    </row>
    <row r="57" spans="1:26">
      <c r="A57" s="8"/>
      <c r="B57" s="10"/>
      <c r="C57" s="8"/>
      <c r="D57" s="8"/>
      <c r="E57" s="8"/>
      <c r="F57" s="8"/>
      <c r="G57" s="11"/>
      <c r="H57" s="8"/>
      <c r="I57" s="8"/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9" t="str">
        <f t="shared" si="0"/>
        <v/>
      </c>
      <c r="V57" s="8"/>
      <c r="W57" s="8"/>
      <c r="X57" s="8"/>
      <c r="Y57" s="10"/>
      <c r="Z57" s="8"/>
    </row>
    <row r="58" spans="1:26">
      <c r="A58" s="8"/>
      <c r="B58" s="10"/>
      <c r="C58" s="8"/>
      <c r="D58" s="8"/>
      <c r="E58" s="8"/>
      <c r="F58" s="8"/>
      <c r="G58" s="11"/>
      <c r="H58" s="8"/>
      <c r="I58" s="8"/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9" t="str">
        <f t="shared" si="0"/>
        <v/>
      </c>
      <c r="V58" s="8"/>
      <c r="W58" s="8"/>
      <c r="X58" s="8"/>
      <c r="Y58" s="10"/>
      <c r="Z58" s="8"/>
    </row>
    <row r="59" spans="1:26">
      <c r="A59" s="8"/>
      <c r="B59" s="10"/>
      <c r="C59" s="8"/>
      <c r="D59" s="8"/>
      <c r="E59" s="8"/>
      <c r="F59" s="8"/>
      <c r="G59" s="11"/>
      <c r="H59" s="8"/>
      <c r="I59" s="8"/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9" t="str">
        <f t="shared" si="0"/>
        <v/>
      </c>
      <c r="V59" s="8"/>
      <c r="W59" s="8"/>
      <c r="X59" s="8"/>
      <c r="Y59" s="10"/>
      <c r="Z59" s="8"/>
    </row>
    <row r="60" spans="1:26">
      <c r="A60" s="8"/>
      <c r="B60" s="10"/>
      <c r="C60" s="8"/>
      <c r="D60" s="8"/>
      <c r="E60" s="8"/>
      <c r="F60" s="8"/>
      <c r="G60" s="11"/>
      <c r="H60" s="8"/>
      <c r="I60" s="8"/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9" t="str">
        <f t="shared" si="0"/>
        <v/>
      </c>
      <c r="V60" s="8"/>
      <c r="W60" s="8"/>
      <c r="X60" s="8"/>
      <c r="Y60" s="10"/>
      <c r="Z60" s="8"/>
    </row>
    <row r="61" spans="1:26">
      <c r="A61" s="8"/>
      <c r="B61" s="10"/>
      <c r="C61" s="8"/>
      <c r="D61" s="8"/>
      <c r="E61" s="8"/>
      <c r="F61" s="8"/>
      <c r="G61" s="11"/>
      <c r="H61" s="8"/>
      <c r="I61" s="8"/>
      <c r="J61" s="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9" t="str">
        <f t="shared" si="0"/>
        <v/>
      </c>
      <c r="V61" s="8"/>
      <c r="W61" s="8"/>
      <c r="X61" s="8"/>
      <c r="Y61" s="10"/>
      <c r="Z61" s="8"/>
    </row>
    <row r="62" spans="1:26">
      <c r="A62" s="8"/>
      <c r="B62" s="10"/>
      <c r="C62" s="8"/>
      <c r="D62" s="8"/>
      <c r="E62" s="8"/>
      <c r="F62" s="8"/>
      <c r="G62" s="11"/>
      <c r="H62" s="8"/>
      <c r="I62" s="8"/>
      <c r="J62" s="8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9" t="str">
        <f t="shared" si="0"/>
        <v/>
      </c>
      <c r="V62" s="8"/>
      <c r="W62" s="8"/>
      <c r="X62" s="8"/>
      <c r="Y62" s="10"/>
      <c r="Z62" s="8"/>
    </row>
    <row r="63" spans="1:26">
      <c r="A63" s="8"/>
      <c r="B63" s="10"/>
      <c r="C63" s="8"/>
      <c r="D63" s="8"/>
      <c r="E63" s="8"/>
      <c r="F63" s="8"/>
      <c r="G63" s="11"/>
      <c r="H63" s="8"/>
      <c r="I63" s="8"/>
      <c r="J63" s="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9" t="str">
        <f t="shared" si="0"/>
        <v/>
      </c>
      <c r="V63" s="8"/>
      <c r="W63" s="8"/>
      <c r="X63" s="8"/>
      <c r="Y63" s="10"/>
      <c r="Z63" s="8"/>
    </row>
    <row r="64" spans="1:26">
      <c r="A64" s="8"/>
      <c r="B64" s="10"/>
      <c r="C64" s="8"/>
      <c r="D64" s="8"/>
      <c r="E64" s="8"/>
      <c r="F64" s="8"/>
      <c r="G64" s="11"/>
      <c r="H64" s="8"/>
      <c r="I64" s="8"/>
      <c r="J64" s="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9" t="str">
        <f t="shared" si="0"/>
        <v/>
      </c>
      <c r="V64" s="8"/>
      <c r="W64" s="8"/>
      <c r="X64" s="8"/>
      <c r="Y64" s="10"/>
      <c r="Z64" s="8"/>
    </row>
    <row r="65" spans="1:26">
      <c r="A65" s="8"/>
      <c r="B65" s="10"/>
      <c r="C65" s="8"/>
      <c r="D65" s="8"/>
      <c r="E65" s="8"/>
      <c r="F65" s="8"/>
      <c r="G65" s="11"/>
      <c r="H65" s="8"/>
      <c r="I65" s="8"/>
      <c r="J65" s="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9" t="str">
        <f t="shared" si="0"/>
        <v/>
      </c>
      <c r="V65" s="8"/>
      <c r="W65" s="8"/>
      <c r="X65" s="8"/>
      <c r="Y65" s="10"/>
      <c r="Z65" s="8"/>
    </row>
    <row r="66" spans="1:26">
      <c r="A66" s="8"/>
      <c r="B66" s="10"/>
      <c r="C66" s="8"/>
      <c r="D66" s="8"/>
      <c r="E66" s="8"/>
      <c r="F66" s="8"/>
      <c r="G66" s="11"/>
      <c r="H66" s="8"/>
      <c r="I66" s="8"/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9" t="str">
        <f t="shared" si="0"/>
        <v/>
      </c>
      <c r="V66" s="8"/>
      <c r="W66" s="8"/>
      <c r="X66" s="8"/>
      <c r="Y66" s="10"/>
      <c r="Z66" s="8"/>
    </row>
    <row r="67" spans="1:26">
      <c r="A67" s="8"/>
      <c r="B67" s="10"/>
      <c r="C67" s="8"/>
      <c r="D67" s="8"/>
      <c r="E67" s="8"/>
      <c r="F67" s="8"/>
      <c r="G67" s="11"/>
      <c r="H67" s="8"/>
      <c r="I67" s="8"/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9" t="str">
        <f t="shared" si="0"/>
        <v/>
      </c>
      <c r="V67" s="8"/>
      <c r="W67" s="8"/>
      <c r="X67" s="8"/>
      <c r="Y67" s="10"/>
      <c r="Z67" s="8"/>
    </row>
    <row r="68" spans="1:26">
      <c r="A68" s="8"/>
      <c r="B68" s="10"/>
      <c r="C68" s="8"/>
      <c r="D68" s="8"/>
      <c r="E68" s="8"/>
      <c r="F68" s="8"/>
      <c r="G68" s="11"/>
      <c r="H68" s="8"/>
      <c r="I68" s="8"/>
      <c r="J68" s="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9" t="str">
        <f t="shared" si="0"/>
        <v/>
      </c>
      <c r="V68" s="8"/>
      <c r="W68" s="8"/>
      <c r="X68" s="8"/>
      <c r="Y68" s="10"/>
      <c r="Z68" s="8"/>
    </row>
    <row r="69" spans="1:26">
      <c r="A69" s="8"/>
      <c r="B69" s="10"/>
      <c r="C69" s="8"/>
      <c r="D69" s="8"/>
      <c r="E69" s="8"/>
      <c r="F69" s="8"/>
      <c r="G69" s="11"/>
      <c r="H69" s="8"/>
      <c r="I69" s="8"/>
      <c r="J69" s="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9" t="str">
        <f t="shared" ref="U69:U132" si="1">IF(A69="","",IF(OR(L69&gt;=R69,M69&gt;=S69,N69&gt;=T69),"Failed","Passed"))</f>
        <v/>
      </c>
      <c r="V69" s="8"/>
      <c r="W69" s="8"/>
      <c r="X69" s="8"/>
      <c r="Y69" s="10"/>
      <c r="Z69" s="8"/>
    </row>
    <row r="70" spans="1:26">
      <c r="A70" s="8"/>
      <c r="B70" s="10"/>
      <c r="C70" s="8"/>
      <c r="D70" s="8"/>
      <c r="E70" s="8"/>
      <c r="F70" s="8"/>
      <c r="G70" s="11"/>
      <c r="H70" s="8"/>
      <c r="I70" s="8"/>
      <c r="J70" s="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9" t="str">
        <f t="shared" si="1"/>
        <v/>
      </c>
      <c r="V70" s="8"/>
      <c r="W70" s="8"/>
      <c r="X70" s="8"/>
      <c r="Y70" s="10"/>
      <c r="Z70" s="8"/>
    </row>
    <row r="71" spans="1:26">
      <c r="A71" s="8"/>
      <c r="B71" s="10"/>
      <c r="C71" s="8"/>
      <c r="D71" s="8"/>
      <c r="E71" s="8"/>
      <c r="F71" s="8"/>
      <c r="G71" s="11"/>
      <c r="H71" s="8"/>
      <c r="I71" s="8"/>
      <c r="J71" s="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9" t="str">
        <f t="shared" si="1"/>
        <v/>
      </c>
      <c r="V71" s="8"/>
      <c r="W71" s="8"/>
      <c r="X71" s="8"/>
      <c r="Y71" s="10"/>
      <c r="Z71" s="8"/>
    </row>
    <row r="72" spans="1:26">
      <c r="A72" s="8"/>
      <c r="B72" s="10"/>
      <c r="C72" s="8"/>
      <c r="D72" s="8"/>
      <c r="E72" s="8"/>
      <c r="F72" s="8"/>
      <c r="G72" s="11"/>
      <c r="H72" s="8"/>
      <c r="I72" s="8"/>
      <c r="J72" s="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9" t="str">
        <f t="shared" si="1"/>
        <v/>
      </c>
      <c r="V72" s="8"/>
      <c r="W72" s="8"/>
      <c r="X72" s="8"/>
      <c r="Y72" s="10"/>
      <c r="Z72" s="8"/>
    </row>
    <row r="73" spans="1:26">
      <c r="A73" s="8"/>
      <c r="B73" s="10"/>
      <c r="C73" s="8"/>
      <c r="D73" s="8"/>
      <c r="E73" s="8"/>
      <c r="F73" s="8"/>
      <c r="G73" s="11"/>
      <c r="H73" s="8"/>
      <c r="I73" s="8"/>
      <c r="J73" s="8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9" t="str">
        <f t="shared" si="1"/>
        <v/>
      </c>
      <c r="V73" s="8"/>
      <c r="W73" s="8"/>
      <c r="X73" s="8"/>
      <c r="Y73" s="10"/>
      <c r="Z73" s="8"/>
    </row>
    <row r="74" spans="1:26">
      <c r="A74" s="8"/>
      <c r="B74" s="10"/>
      <c r="C74" s="8"/>
      <c r="D74" s="8"/>
      <c r="E74" s="8"/>
      <c r="F74" s="8"/>
      <c r="G74" s="11"/>
      <c r="H74" s="8"/>
      <c r="I74" s="8"/>
      <c r="J74" s="8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9" t="str">
        <f t="shared" si="1"/>
        <v/>
      </c>
      <c r="V74" s="8"/>
      <c r="W74" s="8"/>
      <c r="X74" s="8"/>
      <c r="Y74" s="10"/>
      <c r="Z74" s="8"/>
    </row>
    <row r="75" spans="1:26">
      <c r="A75" s="8"/>
      <c r="B75" s="10"/>
      <c r="C75" s="8"/>
      <c r="D75" s="8"/>
      <c r="E75" s="8"/>
      <c r="F75" s="8"/>
      <c r="G75" s="11"/>
      <c r="H75" s="8"/>
      <c r="I75" s="8"/>
      <c r="J75" s="8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9" t="str">
        <f t="shared" si="1"/>
        <v/>
      </c>
      <c r="V75" s="8"/>
      <c r="W75" s="8"/>
      <c r="X75" s="8"/>
      <c r="Y75" s="10"/>
      <c r="Z75" s="8"/>
    </row>
    <row r="76" spans="1:26">
      <c r="A76" s="8"/>
      <c r="B76" s="10"/>
      <c r="C76" s="8"/>
      <c r="D76" s="8"/>
      <c r="E76" s="8"/>
      <c r="F76" s="8"/>
      <c r="G76" s="11"/>
      <c r="H76" s="8"/>
      <c r="I76" s="8"/>
      <c r="J76" s="8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9" t="str">
        <f t="shared" si="1"/>
        <v/>
      </c>
      <c r="V76" s="8"/>
      <c r="W76" s="8"/>
      <c r="X76" s="8"/>
      <c r="Y76" s="10"/>
      <c r="Z76" s="8"/>
    </row>
    <row r="77" spans="1:26">
      <c r="A77" s="8"/>
      <c r="B77" s="10"/>
      <c r="C77" s="8"/>
      <c r="D77" s="8"/>
      <c r="E77" s="8"/>
      <c r="F77" s="8"/>
      <c r="G77" s="11"/>
      <c r="H77" s="8"/>
      <c r="I77" s="8"/>
      <c r="J77" s="8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9" t="str">
        <f t="shared" si="1"/>
        <v/>
      </c>
      <c r="V77" s="8"/>
      <c r="W77" s="8"/>
      <c r="X77" s="8"/>
      <c r="Y77" s="10"/>
      <c r="Z77" s="8"/>
    </row>
    <row r="78" spans="1:26">
      <c r="A78" s="8"/>
      <c r="B78" s="10"/>
      <c r="C78" s="8"/>
      <c r="D78" s="8"/>
      <c r="E78" s="8"/>
      <c r="F78" s="8"/>
      <c r="G78" s="11"/>
      <c r="H78" s="8"/>
      <c r="I78" s="8"/>
      <c r="J78" s="8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9" t="str">
        <f t="shared" si="1"/>
        <v/>
      </c>
      <c r="V78" s="8"/>
      <c r="W78" s="8"/>
      <c r="X78" s="8"/>
      <c r="Y78" s="10"/>
      <c r="Z78" s="8"/>
    </row>
    <row r="79" spans="1:26">
      <c r="A79" s="8"/>
      <c r="B79" s="10"/>
      <c r="C79" s="8"/>
      <c r="D79" s="8"/>
      <c r="E79" s="8"/>
      <c r="F79" s="8"/>
      <c r="G79" s="11"/>
      <c r="H79" s="8"/>
      <c r="I79" s="8"/>
      <c r="J79" s="8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9" t="str">
        <f t="shared" si="1"/>
        <v/>
      </c>
      <c r="V79" s="8"/>
      <c r="W79" s="8"/>
      <c r="X79" s="8"/>
      <c r="Y79" s="10"/>
      <c r="Z79" s="8"/>
    </row>
    <row r="80" spans="1:26">
      <c r="A80" s="8"/>
      <c r="B80" s="10"/>
      <c r="C80" s="8"/>
      <c r="D80" s="8"/>
      <c r="E80" s="8"/>
      <c r="F80" s="8"/>
      <c r="G80" s="11"/>
      <c r="H80" s="8"/>
      <c r="I80" s="8"/>
      <c r="J80" s="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9" t="str">
        <f t="shared" si="1"/>
        <v/>
      </c>
      <c r="V80" s="8"/>
      <c r="W80" s="8"/>
      <c r="X80" s="8"/>
      <c r="Y80" s="10"/>
      <c r="Z80" s="8"/>
    </row>
    <row r="81" spans="1:26">
      <c r="A81" s="8"/>
      <c r="B81" s="10"/>
      <c r="C81" s="8"/>
      <c r="D81" s="8"/>
      <c r="E81" s="8"/>
      <c r="F81" s="8"/>
      <c r="G81" s="11"/>
      <c r="H81" s="8"/>
      <c r="I81" s="8"/>
      <c r="J81" s="8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9" t="str">
        <f t="shared" si="1"/>
        <v/>
      </c>
      <c r="V81" s="8"/>
      <c r="W81" s="8"/>
      <c r="X81" s="8"/>
      <c r="Y81" s="10"/>
      <c r="Z81" s="8"/>
    </row>
    <row r="82" spans="1:26">
      <c r="A82" s="8"/>
      <c r="B82" s="10"/>
      <c r="C82" s="8"/>
      <c r="D82" s="8"/>
      <c r="E82" s="8"/>
      <c r="F82" s="8"/>
      <c r="G82" s="11"/>
      <c r="H82" s="8"/>
      <c r="I82" s="8"/>
      <c r="J82" s="8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9" t="str">
        <f t="shared" si="1"/>
        <v/>
      </c>
      <c r="V82" s="8"/>
      <c r="W82" s="8"/>
      <c r="X82" s="8"/>
      <c r="Y82" s="10"/>
      <c r="Z82" s="8"/>
    </row>
    <row r="83" spans="1:26">
      <c r="A83" s="8"/>
      <c r="B83" s="10"/>
      <c r="C83" s="8"/>
      <c r="D83" s="8"/>
      <c r="E83" s="8"/>
      <c r="F83" s="8"/>
      <c r="G83" s="11"/>
      <c r="H83" s="8"/>
      <c r="I83" s="8"/>
      <c r="J83" s="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9" t="str">
        <f t="shared" si="1"/>
        <v/>
      </c>
      <c r="V83" s="8"/>
      <c r="W83" s="8"/>
      <c r="X83" s="8"/>
      <c r="Y83" s="10"/>
      <c r="Z83" s="8"/>
    </row>
    <row r="84" spans="1:26">
      <c r="A84" s="8"/>
      <c r="B84" s="10"/>
      <c r="C84" s="8"/>
      <c r="D84" s="8"/>
      <c r="E84" s="8"/>
      <c r="F84" s="8"/>
      <c r="G84" s="11"/>
      <c r="H84" s="8"/>
      <c r="I84" s="8"/>
      <c r="J84" s="8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9" t="str">
        <f t="shared" si="1"/>
        <v/>
      </c>
      <c r="V84" s="8"/>
      <c r="W84" s="8"/>
      <c r="X84" s="8"/>
      <c r="Y84" s="10"/>
      <c r="Z84" s="8"/>
    </row>
    <row r="85" spans="1:26">
      <c r="A85" s="8"/>
      <c r="B85" s="10"/>
      <c r="C85" s="8"/>
      <c r="D85" s="8"/>
      <c r="E85" s="8"/>
      <c r="F85" s="8"/>
      <c r="G85" s="11"/>
      <c r="H85" s="8"/>
      <c r="I85" s="8"/>
      <c r="J85" s="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9" t="str">
        <f t="shared" si="1"/>
        <v/>
      </c>
      <c r="V85" s="8"/>
      <c r="W85" s="8"/>
      <c r="X85" s="8"/>
      <c r="Y85" s="10"/>
      <c r="Z85" s="8"/>
    </row>
    <row r="86" spans="1:26">
      <c r="A86" s="8"/>
      <c r="B86" s="10"/>
      <c r="C86" s="8"/>
      <c r="D86" s="8"/>
      <c r="E86" s="8"/>
      <c r="F86" s="8"/>
      <c r="G86" s="11"/>
      <c r="H86" s="8"/>
      <c r="I86" s="8"/>
      <c r="J86" s="8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9" t="str">
        <f t="shared" si="1"/>
        <v/>
      </c>
      <c r="V86" s="8"/>
      <c r="W86" s="8"/>
      <c r="X86" s="8"/>
      <c r="Y86" s="10"/>
      <c r="Z86" s="8"/>
    </row>
    <row r="87" spans="1:26">
      <c r="A87" s="8"/>
      <c r="B87" s="10"/>
      <c r="C87" s="8"/>
      <c r="D87" s="8"/>
      <c r="E87" s="8"/>
      <c r="F87" s="8"/>
      <c r="G87" s="11"/>
      <c r="H87" s="8"/>
      <c r="I87" s="8"/>
      <c r="J87" s="8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9" t="str">
        <f t="shared" si="1"/>
        <v/>
      </c>
      <c r="V87" s="8"/>
      <c r="W87" s="8"/>
      <c r="X87" s="8"/>
      <c r="Y87" s="10"/>
      <c r="Z87" s="8"/>
    </row>
    <row r="88" spans="1:26">
      <c r="A88" s="8"/>
      <c r="B88" s="10"/>
      <c r="C88" s="8"/>
      <c r="D88" s="8"/>
      <c r="E88" s="8"/>
      <c r="F88" s="8"/>
      <c r="G88" s="11"/>
      <c r="H88" s="8"/>
      <c r="I88" s="8"/>
      <c r="J88" s="8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9" t="str">
        <f t="shared" si="1"/>
        <v/>
      </c>
      <c r="V88" s="8"/>
      <c r="W88" s="8"/>
      <c r="X88" s="8"/>
      <c r="Y88" s="10"/>
      <c r="Z88" s="8"/>
    </row>
    <row r="89" spans="1:26">
      <c r="A89" s="8"/>
      <c r="B89" s="10"/>
      <c r="C89" s="8"/>
      <c r="D89" s="8"/>
      <c r="E89" s="8"/>
      <c r="F89" s="8"/>
      <c r="G89" s="11"/>
      <c r="H89" s="8"/>
      <c r="I89" s="8"/>
      <c r="J89" s="8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9" t="str">
        <f t="shared" si="1"/>
        <v/>
      </c>
      <c r="V89" s="8"/>
      <c r="W89" s="8"/>
      <c r="X89" s="8"/>
      <c r="Y89" s="10"/>
      <c r="Z89" s="8"/>
    </row>
    <row r="90" spans="1:26">
      <c r="A90" s="8"/>
      <c r="B90" s="10"/>
      <c r="C90" s="8"/>
      <c r="D90" s="8"/>
      <c r="E90" s="8"/>
      <c r="F90" s="8"/>
      <c r="G90" s="11"/>
      <c r="H90" s="8"/>
      <c r="I90" s="8"/>
      <c r="J90" s="8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9" t="str">
        <f t="shared" si="1"/>
        <v/>
      </c>
      <c r="V90" s="8"/>
      <c r="W90" s="8"/>
      <c r="X90" s="8"/>
      <c r="Y90" s="10"/>
      <c r="Z90" s="8"/>
    </row>
    <row r="91" spans="1:26">
      <c r="A91" s="8"/>
      <c r="B91" s="10"/>
      <c r="C91" s="8"/>
      <c r="D91" s="8"/>
      <c r="E91" s="8"/>
      <c r="F91" s="8"/>
      <c r="G91" s="11"/>
      <c r="H91" s="8"/>
      <c r="I91" s="8"/>
      <c r="J91" s="8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9" t="str">
        <f t="shared" si="1"/>
        <v/>
      </c>
      <c r="V91" s="8"/>
      <c r="W91" s="8"/>
      <c r="X91" s="8"/>
      <c r="Y91" s="10"/>
      <c r="Z91" s="8"/>
    </row>
    <row r="92" spans="1:26">
      <c r="A92" s="8"/>
      <c r="B92" s="10"/>
      <c r="C92" s="8"/>
      <c r="D92" s="8"/>
      <c r="E92" s="8"/>
      <c r="F92" s="8"/>
      <c r="G92" s="11"/>
      <c r="H92" s="8"/>
      <c r="I92" s="8"/>
      <c r="J92" s="8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9" t="str">
        <f t="shared" si="1"/>
        <v/>
      </c>
      <c r="V92" s="8"/>
      <c r="W92" s="8"/>
      <c r="X92" s="8"/>
      <c r="Y92" s="10"/>
      <c r="Z92" s="8"/>
    </row>
    <row r="93" spans="1:26">
      <c r="A93" s="8"/>
      <c r="B93" s="10"/>
      <c r="C93" s="8"/>
      <c r="D93" s="8"/>
      <c r="E93" s="8"/>
      <c r="F93" s="8"/>
      <c r="G93" s="11"/>
      <c r="H93" s="8"/>
      <c r="I93" s="8"/>
      <c r="J93" s="8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9" t="str">
        <f t="shared" si="1"/>
        <v/>
      </c>
      <c r="V93" s="8"/>
      <c r="W93" s="8"/>
      <c r="X93" s="8"/>
      <c r="Y93" s="10"/>
      <c r="Z93" s="8"/>
    </row>
    <row r="94" spans="1:26">
      <c r="A94" s="8"/>
      <c r="B94" s="10"/>
      <c r="C94" s="8"/>
      <c r="D94" s="8"/>
      <c r="E94" s="8"/>
      <c r="F94" s="8"/>
      <c r="G94" s="11"/>
      <c r="H94" s="8"/>
      <c r="I94" s="8"/>
      <c r="J94" s="8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9" t="str">
        <f t="shared" si="1"/>
        <v/>
      </c>
      <c r="V94" s="8"/>
      <c r="W94" s="8"/>
      <c r="X94" s="8"/>
      <c r="Y94" s="10"/>
      <c r="Z94" s="8"/>
    </row>
    <row r="95" spans="1:26">
      <c r="A95" s="8"/>
      <c r="B95" s="10"/>
      <c r="C95" s="8"/>
      <c r="D95" s="8"/>
      <c r="E95" s="8"/>
      <c r="F95" s="8"/>
      <c r="G95" s="11"/>
      <c r="H95" s="8"/>
      <c r="I95" s="8"/>
      <c r="J95" s="8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9" t="str">
        <f t="shared" si="1"/>
        <v/>
      </c>
      <c r="V95" s="8"/>
      <c r="W95" s="8"/>
      <c r="X95" s="8"/>
      <c r="Y95" s="10"/>
      <c r="Z95" s="8"/>
    </row>
    <row r="96" spans="1:26">
      <c r="A96" s="8"/>
      <c r="B96" s="10"/>
      <c r="C96" s="8"/>
      <c r="D96" s="8"/>
      <c r="E96" s="8"/>
      <c r="F96" s="8"/>
      <c r="G96" s="11"/>
      <c r="H96" s="8"/>
      <c r="I96" s="8"/>
      <c r="J96" s="8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9" t="str">
        <f t="shared" si="1"/>
        <v/>
      </c>
      <c r="V96" s="8"/>
      <c r="W96" s="8"/>
      <c r="X96" s="8"/>
      <c r="Y96" s="10"/>
      <c r="Z96" s="8"/>
    </row>
    <row r="97" spans="1:26">
      <c r="A97" s="8"/>
      <c r="B97" s="10"/>
      <c r="C97" s="8"/>
      <c r="D97" s="8"/>
      <c r="E97" s="8"/>
      <c r="F97" s="8"/>
      <c r="G97" s="11"/>
      <c r="H97" s="8"/>
      <c r="I97" s="8"/>
      <c r="J97" s="8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9" t="str">
        <f t="shared" si="1"/>
        <v/>
      </c>
      <c r="V97" s="8"/>
      <c r="W97" s="8"/>
      <c r="X97" s="8"/>
      <c r="Y97" s="10"/>
      <c r="Z97" s="8"/>
    </row>
    <row r="98" spans="1:26">
      <c r="A98" s="8"/>
      <c r="B98" s="10"/>
      <c r="C98" s="8"/>
      <c r="D98" s="8"/>
      <c r="E98" s="8"/>
      <c r="F98" s="8"/>
      <c r="G98" s="11"/>
      <c r="H98" s="8"/>
      <c r="I98" s="8"/>
      <c r="J98" s="8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9" t="str">
        <f t="shared" si="1"/>
        <v/>
      </c>
      <c r="V98" s="8"/>
      <c r="W98" s="8"/>
      <c r="X98" s="8"/>
      <c r="Y98" s="10"/>
      <c r="Z98" s="8"/>
    </row>
    <row r="99" spans="1:26">
      <c r="A99" s="8"/>
      <c r="B99" s="10"/>
      <c r="C99" s="8"/>
      <c r="D99" s="8"/>
      <c r="E99" s="8"/>
      <c r="F99" s="8"/>
      <c r="G99" s="11"/>
      <c r="H99" s="8"/>
      <c r="I99" s="8"/>
      <c r="J99" s="8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9" t="str">
        <f t="shared" si="1"/>
        <v/>
      </c>
      <c r="V99" s="8"/>
      <c r="W99" s="8"/>
      <c r="X99" s="8"/>
      <c r="Y99" s="10"/>
      <c r="Z99" s="8"/>
    </row>
    <row r="100" spans="1:26">
      <c r="A100" s="8"/>
      <c r="B100" s="10"/>
      <c r="C100" s="8"/>
      <c r="D100" s="8"/>
      <c r="E100" s="8"/>
      <c r="F100" s="8"/>
      <c r="G100" s="11"/>
      <c r="H100" s="8"/>
      <c r="I100" s="8"/>
      <c r="J100" s="8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9" t="str">
        <f t="shared" si="1"/>
        <v/>
      </c>
      <c r="V100" s="8"/>
      <c r="W100" s="8"/>
      <c r="X100" s="8"/>
      <c r="Y100" s="10"/>
      <c r="Z100" s="8"/>
    </row>
    <row r="101" spans="1:26">
      <c r="A101" s="8"/>
      <c r="B101" s="10"/>
      <c r="C101" s="8"/>
      <c r="D101" s="8"/>
      <c r="E101" s="8"/>
      <c r="F101" s="8"/>
      <c r="G101" s="11"/>
      <c r="H101" s="8"/>
      <c r="I101" s="8"/>
      <c r="J101" s="8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9" t="str">
        <f t="shared" si="1"/>
        <v/>
      </c>
      <c r="V101" s="8"/>
      <c r="W101" s="8"/>
      <c r="X101" s="8"/>
      <c r="Y101" s="10"/>
      <c r="Z101" s="8"/>
    </row>
    <row r="102" spans="1:26">
      <c r="A102" s="8"/>
      <c r="B102" s="10"/>
      <c r="C102" s="8"/>
      <c r="D102" s="8"/>
      <c r="E102" s="8"/>
      <c r="F102" s="8"/>
      <c r="G102" s="11"/>
      <c r="H102" s="8"/>
      <c r="I102" s="8"/>
      <c r="J102" s="8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9" t="str">
        <f t="shared" si="1"/>
        <v/>
      </c>
      <c r="V102" s="8"/>
      <c r="W102" s="8"/>
      <c r="X102" s="8"/>
      <c r="Y102" s="10"/>
      <c r="Z102" s="8"/>
    </row>
    <row r="103" spans="1:26">
      <c r="A103" s="8"/>
      <c r="B103" s="10"/>
      <c r="C103" s="8"/>
      <c r="D103" s="8"/>
      <c r="E103" s="8"/>
      <c r="F103" s="8"/>
      <c r="G103" s="11"/>
      <c r="H103" s="8"/>
      <c r="I103" s="8"/>
      <c r="J103" s="8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9" t="str">
        <f t="shared" si="1"/>
        <v/>
      </c>
      <c r="V103" s="8"/>
      <c r="W103" s="8"/>
      <c r="X103" s="8"/>
      <c r="Y103" s="10"/>
      <c r="Z103" s="8"/>
    </row>
    <row r="104" spans="1:26">
      <c r="A104" s="8"/>
      <c r="B104" s="10"/>
      <c r="C104" s="8"/>
      <c r="D104" s="8"/>
      <c r="E104" s="8"/>
      <c r="F104" s="8"/>
      <c r="G104" s="11"/>
      <c r="H104" s="8"/>
      <c r="I104" s="8"/>
      <c r="J104" s="8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9" t="str">
        <f t="shared" si="1"/>
        <v/>
      </c>
      <c r="V104" s="8"/>
      <c r="W104" s="8"/>
      <c r="X104" s="8"/>
      <c r="Y104" s="10"/>
      <c r="Z104" s="8"/>
    </row>
    <row r="105" spans="1:26">
      <c r="A105" s="8"/>
      <c r="B105" s="10"/>
      <c r="C105" s="8"/>
      <c r="D105" s="8"/>
      <c r="E105" s="8"/>
      <c r="F105" s="8"/>
      <c r="G105" s="11"/>
      <c r="H105" s="8"/>
      <c r="I105" s="8"/>
      <c r="J105" s="8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9" t="str">
        <f t="shared" si="1"/>
        <v/>
      </c>
      <c r="V105" s="8"/>
      <c r="W105" s="8"/>
      <c r="X105" s="8"/>
      <c r="Y105" s="10"/>
      <c r="Z105" s="8"/>
    </row>
    <row r="106" spans="1:26">
      <c r="A106" s="8"/>
      <c r="B106" s="10"/>
      <c r="C106" s="8"/>
      <c r="D106" s="8"/>
      <c r="E106" s="8"/>
      <c r="F106" s="8"/>
      <c r="G106" s="11"/>
      <c r="H106" s="8"/>
      <c r="I106" s="8"/>
      <c r="J106" s="8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9" t="str">
        <f t="shared" si="1"/>
        <v/>
      </c>
      <c r="V106" s="8"/>
      <c r="W106" s="8"/>
      <c r="X106" s="8"/>
      <c r="Y106" s="10"/>
      <c r="Z106" s="8"/>
    </row>
    <row r="107" spans="1:26">
      <c r="A107" s="8"/>
      <c r="B107" s="10"/>
      <c r="C107" s="8"/>
      <c r="D107" s="8"/>
      <c r="E107" s="8"/>
      <c r="F107" s="8"/>
      <c r="G107" s="11"/>
      <c r="H107" s="8"/>
      <c r="I107" s="8"/>
      <c r="J107" s="8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9" t="str">
        <f t="shared" si="1"/>
        <v/>
      </c>
      <c r="V107" s="8"/>
      <c r="W107" s="8"/>
      <c r="X107" s="8"/>
      <c r="Y107" s="10"/>
      <c r="Z107" s="8"/>
    </row>
    <row r="108" spans="1:26">
      <c r="A108" s="8"/>
      <c r="B108" s="10"/>
      <c r="C108" s="8"/>
      <c r="D108" s="8"/>
      <c r="E108" s="8"/>
      <c r="F108" s="8"/>
      <c r="G108" s="11"/>
      <c r="H108" s="8"/>
      <c r="I108" s="8"/>
      <c r="J108" s="8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9" t="str">
        <f t="shared" si="1"/>
        <v/>
      </c>
      <c r="V108" s="8"/>
      <c r="W108" s="8"/>
      <c r="X108" s="8"/>
      <c r="Y108" s="10"/>
      <c r="Z108" s="8"/>
    </row>
    <row r="109" spans="1:26">
      <c r="A109" s="8"/>
      <c r="B109" s="10"/>
      <c r="C109" s="8"/>
      <c r="D109" s="8"/>
      <c r="E109" s="8"/>
      <c r="F109" s="8"/>
      <c r="G109" s="11"/>
      <c r="H109" s="8"/>
      <c r="I109" s="8"/>
      <c r="J109" s="8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9" t="str">
        <f t="shared" si="1"/>
        <v/>
      </c>
      <c r="V109" s="8"/>
      <c r="W109" s="8"/>
      <c r="X109" s="8"/>
      <c r="Y109" s="10"/>
      <c r="Z109" s="8"/>
    </row>
    <row r="110" spans="1:26">
      <c r="A110" s="8"/>
      <c r="B110" s="10"/>
      <c r="C110" s="8"/>
      <c r="D110" s="8"/>
      <c r="E110" s="8"/>
      <c r="F110" s="8"/>
      <c r="G110" s="11"/>
      <c r="H110" s="8"/>
      <c r="I110" s="8"/>
      <c r="J110" s="8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9" t="str">
        <f t="shared" si="1"/>
        <v/>
      </c>
      <c r="V110" s="8"/>
      <c r="W110" s="8"/>
      <c r="X110" s="8"/>
      <c r="Y110" s="10"/>
      <c r="Z110" s="8"/>
    </row>
    <row r="111" spans="1:26">
      <c r="A111" s="8"/>
      <c r="B111" s="10"/>
      <c r="C111" s="8"/>
      <c r="D111" s="8"/>
      <c r="E111" s="8"/>
      <c r="F111" s="8"/>
      <c r="G111" s="11"/>
      <c r="H111" s="8"/>
      <c r="I111" s="8"/>
      <c r="J111" s="8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9" t="str">
        <f t="shared" si="1"/>
        <v/>
      </c>
      <c r="V111" s="8"/>
      <c r="W111" s="8"/>
      <c r="X111" s="8"/>
      <c r="Y111" s="10"/>
      <c r="Z111" s="8"/>
    </row>
    <row r="112" spans="1:26">
      <c r="A112" s="8"/>
      <c r="B112" s="10"/>
      <c r="C112" s="8"/>
      <c r="D112" s="8"/>
      <c r="E112" s="8"/>
      <c r="F112" s="8"/>
      <c r="G112" s="11"/>
      <c r="H112" s="8"/>
      <c r="I112" s="8"/>
      <c r="J112" s="8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9" t="str">
        <f t="shared" si="1"/>
        <v/>
      </c>
      <c r="V112" s="8"/>
      <c r="W112" s="8"/>
      <c r="X112" s="8"/>
      <c r="Y112" s="10"/>
      <c r="Z112" s="8"/>
    </row>
    <row r="113" spans="1:26">
      <c r="A113" s="8"/>
      <c r="B113" s="10"/>
      <c r="C113" s="8"/>
      <c r="D113" s="8"/>
      <c r="E113" s="8"/>
      <c r="F113" s="8"/>
      <c r="G113" s="11"/>
      <c r="H113" s="8"/>
      <c r="I113" s="8"/>
      <c r="J113" s="8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9" t="str">
        <f t="shared" si="1"/>
        <v/>
      </c>
      <c r="V113" s="8"/>
      <c r="W113" s="8"/>
      <c r="X113" s="8"/>
      <c r="Y113" s="10"/>
      <c r="Z113" s="8"/>
    </row>
    <row r="114" spans="1:26">
      <c r="A114" s="8"/>
      <c r="B114" s="10"/>
      <c r="C114" s="8"/>
      <c r="D114" s="8"/>
      <c r="E114" s="8"/>
      <c r="F114" s="8"/>
      <c r="G114" s="11"/>
      <c r="H114" s="8"/>
      <c r="I114" s="8"/>
      <c r="J114" s="8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9" t="str">
        <f t="shared" si="1"/>
        <v/>
      </c>
      <c r="V114" s="8"/>
      <c r="W114" s="8"/>
      <c r="X114" s="8"/>
      <c r="Y114" s="10"/>
      <c r="Z114" s="8"/>
    </row>
    <row r="115" spans="1:26">
      <c r="A115" s="8"/>
      <c r="B115" s="10"/>
      <c r="C115" s="8"/>
      <c r="D115" s="8"/>
      <c r="E115" s="8"/>
      <c r="F115" s="8"/>
      <c r="G115" s="11"/>
      <c r="H115" s="8"/>
      <c r="I115" s="8"/>
      <c r="J115" s="8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9" t="str">
        <f t="shared" si="1"/>
        <v/>
      </c>
      <c r="V115" s="8"/>
      <c r="W115" s="8"/>
      <c r="X115" s="8"/>
      <c r="Y115" s="10"/>
      <c r="Z115" s="8"/>
    </row>
    <row r="116" spans="1:26">
      <c r="A116" s="8"/>
      <c r="B116" s="10"/>
      <c r="C116" s="8"/>
      <c r="D116" s="8"/>
      <c r="E116" s="8"/>
      <c r="F116" s="8"/>
      <c r="G116" s="11"/>
      <c r="H116" s="8"/>
      <c r="I116" s="8"/>
      <c r="J116" s="8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9" t="str">
        <f t="shared" si="1"/>
        <v/>
      </c>
      <c r="V116" s="8"/>
      <c r="W116" s="8"/>
      <c r="X116" s="8"/>
      <c r="Y116" s="10"/>
      <c r="Z116" s="8"/>
    </row>
    <row r="117" spans="1:26">
      <c r="A117" s="8"/>
      <c r="B117" s="10"/>
      <c r="C117" s="8"/>
      <c r="D117" s="8"/>
      <c r="E117" s="8"/>
      <c r="F117" s="8"/>
      <c r="G117" s="11"/>
      <c r="H117" s="8"/>
      <c r="I117" s="8"/>
      <c r="J117" s="8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9" t="str">
        <f t="shared" si="1"/>
        <v/>
      </c>
      <c r="V117" s="8"/>
      <c r="W117" s="8"/>
      <c r="X117" s="8"/>
      <c r="Y117" s="10"/>
      <c r="Z117" s="8"/>
    </row>
    <row r="118" spans="1:26">
      <c r="A118" s="8"/>
      <c r="B118" s="10"/>
      <c r="C118" s="8"/>
      <c r="D118" s="8"/>
      <c r="E118" s="8"/>
      <c r="F118" s="8"/>
      <c r="G118" s="11"/>
      <c r="H118" s="8"/>
      <c r="I118" s="8"/>
      <c r="J118" s="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9" t="str">
        <f t="shared" si="1"/>
        <v/>
      </c>
      <c r="V118" s="8"/>
      <c r="W118" s="8"/>
      <c r="X118" s="8"/>
      <c r="Y118" s="10"/>
      <c r="Z118" s="8"/>
    </row>
    <row r="119" spans="1:26">
      <c r="A119" s="8"/>
      <c r="B119" s="10"/>
      <c r="C119" s="8"/>
      <c r="D119" s="8"/>
      <c r="E119" s="8"/>
      <c r="F119" s="8"/>
      <c r="G119" s="11"/>
      <c r="H119" s="8"/>
      <c r="I119" s="8"/>
      <c r="J119" s="8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9" t="str">
        <f t="shared" si="1"/>
        <v/>
      </c>
      <c r="V119" s="8"/>
      <c r="W119" s="8"/>
      <c r="X119" s="8"/>
      <c r="Y119" s="10"/>
      <c r="Z119" s="8"/>
    </row>
    <row r="120" spans="1:26">
      <c r="A120" s="8"/>
      <c r="B120" s="10"/>
      <c r="C120" s="8"/>
      <c r="D120" s="8"/>
      <c r="E120" s="8"/>
      <c r="F120" s="8"/>
      <c r="G120" s="11"/>
      <c r="H120" s="8"/>
      <c r="I120" s="8"/>
      <c r="J120" s="8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9" t="str">
        <f t="shared" si="1"/>
        <v/>
      </c>
      <c r="V120" s="8"/>
      <c r="W120" s="8"/>
      <c r="X120" s="8"/>
      <c r="Y120" s="10"/>
      <c r="Z120" s="8"/>
    </row>
    <row r="121" spans="1:26">
      <c r="A121" s="8"/>
      <c r="B121" s="10"/>
      <c r="C121" s="8"/>
      <c r="D121" s="8"/>
      <c r="E121" s="8"/>
      <c r="F121" s="8"/>
      <c r="G121" s="11"/>
      <c r="H121" s="8"/>
      <c r="I121" s="8"/>
      <c r="J121" s="8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9" t="str">
        <f t="shared" si="1"/>
        <v/>
      </c>
      <c r="V121" s="8"/>
      <c r="W121" s="8"/>
      <c r="X121" s="8"/>
      <c r="Y121" s="10"/>
      <c r="Z121" s="8"/>
    </row>
    <row r="122" spans="1:26">
      <c r="A122" s="8"/>
      <c r="B122" s="10"/>
      <c r="C122" s="8"/>
      <c r="D122" s="8"/>
      <c r="E122" s="8"/>
      <c r="F122" s="8"/>
      <c r="G122" s="11"/>
      <c r="H122" s="8"/>
      <c r="I122" s="8"/>
      <c r="J122" s="8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9" t="str">
        <f t="shared" si="1"/>
        <v/>
      </c>
      <c r="V122" s="8"/>
      <c r="W122" s="8"/>
      <c r="X122" s="8"/>
      <c r="Y122" s="10"/>
      <c r="Z122" s="8"/>
    </row>
    <row r="123" spans="1:26">
      <c r="A123" s="8"/>
      <c r="B123" s="10"/>
      <c r="C123" s="8"/>
      <c r="D123" s="8"/>
      <c r="E123" s="8"/>
      <c r="F123" s="8"/>
      <c r="G123" s="11"/>
      <c r="H123" s="8"/>
      <c r="I123" s="8"/>
      <c r="J123" s="8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9" t="str">
        <f t="shared" si="1"/>
        <v/>
      </c>
      <c r="V123" s="8"/>
      <c r="W123" s="8"/>
      <c r="X123" s="8"/>
      <c r="Y123" s="10"/>
      <c r="Z123" s="8"/>
    </row>
    <row r="124" spans="1:26">
      <c r="A124" s="8"/>
      <c r="B124" s="10"/>
      <c r="C124" s="8"/>
      <c r="D124" s="8"/>
      <c r="E124" s="8"/>
      <c r="F124" s="8"/>
      <c r="G124" s="11"/>
      <c r="H124" s="8"/>
      <c r="I124" s="8"/>
      <c r="J124" s="8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9" t="str">
        <f t="shared" si="1"/>
        <v/>
      </c>
      <c r="V124" s="8"/>
      <c r="W124" s="8"/>
      <c r="X124" s="8"/>
      <c r="Y124" s="10"/>
      <c r="Z124" s="8"/>
    </row>
    <row r="125" spans="1:26">
      <c r="A125" s="8"/>
      <c r="B125" s="10"/>
      <c r="C125" s="8"/>
      <c r="D125" s="8"/>
      <c r="E125" s="8"/>
      <c r="F125" s="8"/>
      <c r="G125" s="11"/>
      <c r="H125" s="8"/>
      <c r="I125" s="8"/>
      <c r="J125" s="8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9" t="str">
        <f t="shared" si="1"/>
        <v/>
      </c>
      <c r="V125" s="8"/>
      <c r="W125" s="8"/>
      <c r="X125" s="8"/>
      <c r="Y125" s="10"/>
      <c r="Z125" s="8"/>
    </row>
    <row r="126" spans="1:26">
      <c r="A126" s="8"/>
      <c r="B126" s="10"/>
      <c r="C126" s="8"/>
      <c r="D126" s="8"/>
      <c r="E126" s="8"/>
      <c r="F126" s="8"/>
      <c r="G126" s="11"/>
      <c r="H126" s="8"/>
      <c r="I126" s="8"/>
      <c r="J126" s="8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9" t="str">
        <f t="shared" si="1"/>
        <v/>
      </c>
      <c r="V126" s="8"/>
      <c r="W126" s="8"/>
      <c r="X126" s="8"/>
      <c r="Y126" s="10"/>
      <c r="Z126" s="8"/>
    </row>
    <row r="127" spans="1:26">
      <c r="A127" s="8"/>
      <c r="B127" s="10"/>
      <c r="C127" s="8"/>
      <c r="D127" s="8"/>
      <c r="E127" s="8"/>
      <c r="F127" s="8"/>
      <c r="G127" s="11"/>
      <c r="H127" s="8"/>
      <c r="I127" s="8"/>
      <c r="J127" s="8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9" t="str">
        <f t="shared" si="1"/>
        <v/>
      </c>
      <c r="V127" s="8"/>
      <c r="W127" s="8"/>
      <c r="X127" s="8"/>
      <c r="Y127" s="10"/>
      <c r="Z127" s="8"/>
    </row>
    <row r="128" spans="1:26">
      <c r="A128" s="8"/>
      <c r="B128" s="10"/>
      <c r="C128" s="8"/>
      <c r="D128" s="8"/>
      <c r="E128" s="8"/>
      <c r="F128" s="8"/>
      <c r="G128" s="11"/>
      <c r="H128" s="8"/>
      <c r="I128" s="8"/>
      <c r="J128" s="8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9" t="str">
        <f t="shared" si="1"/>
        <v/>
      </c>
      <c r="V128" s="8"/>
      <c r="W128" s="8"/>
      <c r="X128" s="8"/>
      <c r="Y128" s="10"/>
      <c r="Z128" s="8"/>
    </row>
    <row r="129" spans="1:26">
      <c r="A129" s="8"/>
      <c r="B129" s="10"/>
      <c r="C129" s="8"/>
      <c r="D129" s="8"/>
      <c r="E129" s="8"/>
      <c r="F129" s="8"/>
      <c r="G129" s="11"/>
      <c r="H129" s="8"/>
      <c r="I129" s="8"/>
      <c r="J129" s="8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9" t="str">
        <f t="shared" si="1"/>
        <v/>
      </c>
      <c r="V129" s="8"/>
      <c r="W129" s="8"/>
      <c r="X129" s="8"/>
      <c r="Y129" s="10"/>
      <c r="Z129" s="8"/>
    </row>
    <row r="130" spans="1:26">
      <c r="A130" s="8"/>
      <c r="B130" s="10"/>
      <c r="C130" s="8"/>
      <c r="D130" s="8"/>
      <c r="E130" s="8"/>
      <c r="F130" s="8"/>
      <c r="G130" s="11"/>
      <c r="H130" s="8"/>
      <c r="I130" s="8"/>
      <c r="J130" s="8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9" t="str">
        <f t="shared" si="1"/>
        <v/>
      </c>
      <c r="V130" s="8"/>
      <c r="W130" s="8"/>
      <c r="X130" s="8"/>
      <c r="Y130" s="10"/>
      <c r="Z130" s="8"/>
    </row>
    <row r="131" spans="1:26">
      <c r="A131" s="8"/>
      <c r="B131" s="10"/>
      <c r="C131" s="8"/>
      <c r="D131" s="8"/>
      <c r="E131" s="8"/>
      <c r="F131" s="8"/>
      <c r="G131" s="11"/>
      <c r="H131" s="8"/>
      <c r="I131" s="8"/>
      <c r="J131" s="8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9" t="str">
        <f t="shared" si="1"/>
        <v/>
      </c>
      <c r="V131" s="8"/>
      <c r="W131" s="8"/>
      <c r="X131" s="8"/>
      <c r="Y131" s="10"/>
      <c r="Z131" s="8"/>
    </row>
    <row r="132" spans="1:26">
      <c r="A132" s="8"/>
      <c r="B132" s="10"/>
      <c r="C132" s="8"/>
      <c r="D132" s="8"/>
      <c r="E132" s="8"/>
      <c r="F132" s="8"/>
      <c r="G132" s="11"/>
      <c r="H132" s="8"/>
      <c r="I132" s="8"/>
      <c r="J132" s="8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9" t="str">
        <f t="shared" si="1"/>
        <v/>
      </c>
      <c r="V132" s="8"/>
      <c r="W132" s="8"/>
      <c r="X132" s="8"/>
      <c r="Y132" s="10"/>
      <c r="Z132" s="8"/>
    </row>
    <row r="133" spans="1:26">
      <c r="A133" s="8"/>
      <c r="B133" s="10"/>
      <c r="C133" s="8"/>
      <c r="D133" s="8"/>
      <c r="E133" s="8"/>
      <c r="F133" s="8"/>
      <c r="G133" s="11"/>
      <c r="H133" s="8"/>
      <c r="I133" s="8"/>
      <c r="J133" s="8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9" t="str">
        <f t="shared" ref="U133:U196" si="2">IF(A133="","",IF(OR(L133&gt;=R133,M133&gt;=S133,N133&gt;=T133),"Failed","Passed"))</f>
        <v/>
      </c>
      <c r="V133" s="8"/>
      <c r="W133" s="8"/>
      <c r="X133" s="8"/>
      <c r="Y133" s="10"/>
      <c r="Z133" s="8"/>
    </row>
    <row r="134" spans="1:26">
      <c r="A134" s="8"/>
      <c r="B134" s="10"/>
      <c r="C134" s="8"/>
      <c r="D134" s="8"/>
      <c r="E134" s="8"/>
      <c r="F134" s="8"/>
      <c r="G134" s="11"/>
      <c r="H134" s="8"/>
      <c r="I134" s="8"/>
      <c r="J134" s="8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9" t="str">
        <f t="shared" si="2"/>
        <v/>
      </c>
      <c r="V134" s="8"/>
      <c r="W134" s="8"/>
      <c r="X134" s="8"/>
      <c r="Y134" s="10"/>
      <c r="Z134" s="8"/>
    </row>
    <row r="135" spans="1:26">
      <c r="A135" s="8"/>
      <c r="B135" s="10"/>
      <c r="C135" s="8"/>
      <c r="D135" s="8"/>
      <c r="E135" s="8"/>
      <c r="F135" s="8"/>
      <c r="G135" s="11"/>
      <c r="H135" s="8"/>
      <c r="I135" s="8"/>
      <c r="J135" s="8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9" t="str">
        <f t="shared" si="2"/>
        <v/>
      </c>
      <c r="V135" s="8"/>
      <c r="W135" s="8"/>
      <c r="X135" s="8"/>
      <c r="Y135" s="10"/>
      <c r="Z135" s="8"/>
    </row>
    <row r="136" spans="1:26">
      <c r="A136" s="8"/>
      <c r="B136" s="10"/>
      <c r="C136" s="8"/>
      <c r="D136" s="8"/>
      <c r="E136" s="8"/>
      <c r="F136" s="8"/>
      <c r="G136" s="11"/>
      <c r="H136" s="8"/>
      <c r="I136" s="8"/>
      <c r="J136" s="8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9" t="str">
        <f t="shared" si="2"/>
        <v/>
      </c>
      <c r="V136" s="8"/>
      <c r="W136" s="8"/>
      <c r="X136" s="8"/>
      <c r="Y136" s="10"/>
      <c r="Z136" s="8"/>
    </row>
    <row r="137" spans="1:26">
      <c r="A137" s="8"/>
      <c r="B137" s="10"/>
      <c r="C137" s="8"/>
      <c r="D137" s="8"/>
      <c r="E137" s="8"/>
      <c r="F137" s="8"/>
      <c r="G137" s="11"/>
      <c r="H137" s="8"/>
      <c r="I137" s="8"/>
      <c r="J137" s="8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9" t="str">
        <f t="shared" si="2"/>
        <v/>
      </c>
      <c r="V137" s="8"/>
      <c r="W137" s="8"/>
      <c r="X137" s="8"/>
      <c r="Y137" s="10"/>
      <c r="Z137" s="8"/>
    </row>
    <row r="138" spans="1:26">
      <c r="A138" s="8"/>
      <c r="B138" s="10"/>
      <c r="C138" s="8"/>
      <c r="D138" s="8"/>
      <c r="E138" s="8"/>
      <c r="F138" s="8"/>
      <c r="G138" s="11"/>
      <c r="H138" s="8"/>
      <c r="I138" s="8"/>
      <c r="J138" s="8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9" t="str">
        <f t="shared" si="2"/>
        <v/>
      </c>
      <c r="V138" s="8"/>
      <c r="W138" s="8"/>
      <c r="X138" s="8"/>
      <c r="Y138" s="10"/>
      <c r="Z138" s="8"/>
    </row>
    <row r="139" spans="1:26">
      <c r="A139" s="8"/>
      <c r="B139" s="10"/>
      <c r="C139" s="8"/>
      <c r="D139" s="8"/>
      <c r="E139" s="8"/>
      <c r="F139" s="8"/>
      <c r="G139" s="11"/>
      <c r="H139" s="8"/>
      <c r="I139" s="8"/>
      <c r="J139" s="8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9" t="str">
        <f t="shared" si="2"/>
        <v/>
      </c>
      <c r="V139" s="8"/>
      <c r="W139" s="8"/>
      <c r="X139" s="8"/>
      <c r="Y139" s="10"/>
      <c r="Z139" s="8"/>
    </row>
    <row r="140" spans="1:26">
      <c r="A140" s="8"/>
      <c r="B140" s="10"/>
      <c r="C140" s="8"/>
      <c r="D140" s="8"/>
      <c r="E140" s="8"/>
      <c r="F140" s="8"/>
      <c r="G140" s="11"/>
      <c r="H140" s="8"/>
      <c r="I140" s="8"/>
      <c r="J140" s="8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9" t="str">
        <f t="shared" si="2"/>
        <v/>
      </c>
      <c r="V140" s="8"/>
      <c r="W140" s="8"/>
      <c r="X140" s="8"/>
      <c r="Y140" s="10"/>
      <c r="Z140" s="8"/>
    </row>
    <row r="141" spans="1:26">
      <c r="A141" s="8"/>
      <c r="B141" s="10"/>
      <c r="C141" s="8"/>
      <c r="D141" s="8"/>
      <c r="E141" s="8"/>
      <c r="F141" s="8"/>
      <c r="G141" s="11"/>
      <c r="H141" s="8"/>
      <c r="I141" s="8"/>
      <c r="J141" s="8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9" t="str">
        <f t="shared" si="2"/>
        <v/>
      </c>
      <c r="V141" s="8"/>
      <c r="W141" s="8"/>
      <c r="X141" s="8"/>
      <c r="Y141" s="10"/>
      <c r="Z141" s="8"/>
    </row>
    <row r="142" spans="1:26">
      <c r="A142" s="8"/>
      <c r="B142" s="10"/>
      <c r="C142" s="8"/>
      <c r="D142" s="8"/>
      <c r="E142" s="8"/>
      <c r="F142" s="8"/>
      <c r="G142" s="11"/>
      <c r="H142" s="8"/>
      <c r="I142" s="8"/>
      <c r="J142" s="8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9" t="str">
        <f t="shared" si="2"/>
        <v/>
      </c>
      <c r="V142" s="8"/>
      <c r="W142" s="8"/>
      <c r="X142" s="8"/>
      <c r="Y142" s="10"/>
      <c r="Z142" s="8"/>
    </row>
    <row r="143" spans="1:26">
      <c r="A143" s="8"/>
      <c r="B143" s="10"/>
      <c r="C143" s="8"/>
      <c r="D143" s="8"/>
      <c r="E143" s="8"/>
      <c r="F143" s="8"/>
      <c r="G143" s="11"/>
      <c r="H143" s="8"/>
      <c r="I143" s="8"/>
      <c r="J143" s="8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9" t="str">
        <f t="shared" si="2"/>
        <v/>
      </c>
      <c r="V143" s="8"/>
      <c r="W143" s="8"/>
      <c r="X143" s="8"/>
      <c r="Y143" s="10"/>
      <c r="Z143" s="8"/>
    </row>
    <row r="144" spans="1:26">
      <c r="A144" s="8"/>
      <c r="B144" s="10"/>
      <c r="C144" s="8"/>
      <c r="D144" s="8"/>
      <c r="E144" s="8"/>
      <c r="F144" s="8"/>
      <c r="G144" s="11"/>
      <c r="H144" s="8"/>
      <c r="I144" s="8"/>
      <c r="J144" s="8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9" t="str">
        <f t="shared" si="2"/>
        <v/>
      </c>
      <c r="V144" s="8"/>
      <c r="W144" s="8"/>
      <c r="X144" s="8"/>
      <c r="Y144" s="10"/>
      <c r="Z144" s="8"/>
    </row>
    <row r="145" spans="1:26">
      <c r="A145" s="8"/>
      <c r="B145" s="10"/>
      <c r="C145" s="8"/>
      <c r="D145" s="8"/>
      <c r="E145" s="8"/>
      <c r="F145" s="8"/>
      <c r="G145" s="11"/>
      <c r="H145" s="8"/>
      <c r="I145" s="8"/>
      <c r="J145" s="8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9" t="str">
        <f t="shared" si="2"/>
        <v/>
      </c>
      <c r="V145" s="8"/>
      <c r="W145" s="8"/>
      <c r="X145" s="8"/>
      <c r="Y145" s="10"/>
      <c r="Z145" s="8"/>
    </row>
    <row r="146" spans="1:26">
      <c r="A146" s="8"/>
      <c r="B146" s="10"/>
      <c r="C146" s="8"/>
      <c r="D146" s="8"/>
      <c r="E146" s="8"/>
      <c r="F146" s="8"/>
      <c r="G146" s="11"/>
      <c r="H146" s="8"/>
      <c r="I146" s="8"/>
      <c r="J146" s="8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9" t="str">
        <f t="shared" si="2"/>
        <v/>
      </c>
      <c r="V146" s="8"/>
      <c r="W146" s="8"/>
      <c r="X146" s="8"/>
      <c r="Y146" s="10"/>
      <c r="Z146" s="8"/>
    </row>
    <row r="147" spans="1:26">
      <c r="A147" s="8"/>
      <c r="B147" s="10"/>
      <c r="C147" s="8"/>
      <c r="D147" s="8"/>
      <c r="E147" s="8"/>
      <c r="F147" s="8"/>
      <c r="G147" s="11"/>
      <c r="H147" s="8"/>
      <c r="I147" s="8"/>
      <c r="J147" s="8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9" t="str">
        <f t="shared" si="2"/>
        <v/>
      </c>
      <c r="V147" s="8"/>
      <c r="W147" s="8"/>
      <c r="X147" s="8"/>
      <c r="Y147" s="10"/>
      <c r="Z147" s="8"/>
    </row>
    <row r="148" spans="1:26">
      <c r="A148" s="8"/>
      <c r="B148" s="10"/>
      <c r="C148" s="8"/>
      <c r="D148" s="8"/>
      <c r="E148" s="8"/>
      <c r="F148" s="8"/>
      <c r="G148" s="11"/>
      <c r="H148" s="8"/>
      <c r="I148" s="8"/>
      <c r="J148" s="8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9" t="str">
        <f t="shared" si="2"/>
        <v/>
      </c>
      <c r="V148" s="8"/>
      <c r="W148" s="8"/>
      <c r="X148" s="8"/>
      <c r="Y148" s="10"/>
      <c r="Z148" s="8"/>
    </row>
    <row r="149" spans="1:26">
      <c r="A149" s="8"/>
      <c r="B149" s="10"/>
      <c r="C149" s="8"/>
      <c r="D149" s="8"/>
      <c r="E149" s="8"/>
      <c r="F149" s="8"/>
      <c r="G149" s="11"/>
      <c r="H149" s="8"/>
      <c r="I149" s="8"/>
      <c r="J149" s="8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9" t="str">
        <f t="shared" si="2"/>
        <v/>
      </c>
      <c r="V149" s="8"/>
      <c r="W149" s="8"/>
      <c r="X149" s="8"/>
      <c r="Y149" s="10"/>
      <c r="Z149" s="8"/>
    </row>
    <row r="150" spans="1:26">
      <c r="A150" s="8"/>
      <c r="B150" s="10"/>
      <c r="C150" s="8"/>
      <c r="D150" s="8"/>
      <c r="E150" s="8"/>
      <c r="F150" s="8"/>
      <c r="G150" s="11"/>
      <c r="H150" s="8"/>
      <c r="I150" s="8"/>
      <c r="J150" s="8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9" t="str">
        <f t="shared" si="2"/>
        <v/>
      </c>
      <c r="V150" s="8"/>
      <c r="W150" s="8"/>
      <c r="X150" s="8"/>
      <c r="Y150" s="10"/>
      <c r="Z150" s="8"/>
    </row>
    <row r="151" spans="1:26">
      <c r="A151" s="8"/>
      <c r="B151" s="10"/>
      <c r="C151" s="8"/>
      <c r="D151" s="8"/>
      <c r="E151" s="8"/>
      <c r="F151" s="8"/>
      <c r="G151" s="11"/>
      <c r="H151" s="8"/>
      <c r="I151" s="8"/>
      <c r="J151" s="8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9" t="str">
        <f t="shared" si="2"/>
        <v/>
      </c>
      <c r="V151" s="8"/>
      <c r="W151" s="8"/>
      <c r="X151" s="8"/>
      <c r="Y151" s="10"/>
      <c r="Z151" s="8"/>
    </row>
    <row r="152" spans="1:26">
      <c r="A152" s="8"/>
      <c r="B152" s="10"/>
      <c r="C152" s="8"/>
      <c r="D152" s="8"/>
      <c r="E152" s="8"/>
      <c r="F152" s="8"/>
      <c r="G152" s="11"/>
      <c r="H152" s="8"/>
      <c r="I152" s="8"/>
      <c r="J152" s="8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9" t="str">
        <f t="shared" si="2"/>
        <v/>
      </c>
      <c r="V152" s="8"/>
      <c r="W152" s="8"/>
      <c r="X152" s="8"/>
      <c r="Y152" s="10"/>
      <c r="Z152" s="8"/>
    </row>
    <row r="153" spans="1:26">
      <c r="A153" s="8"/>
      <c r="B153" s="10"/>
      <c r="C153" s="8"/>
      <c r="D153" s="8"/>
      <c r="E153" s="8"/>
      <c r="F153" s="8"/>
      <c r="G153" s="11"/>
      <c r="H153" s="8"/>
      <c r="I153" s="8"/>
      <c r="J153" s="8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9" t="str">
        <f t="shared" si="2"/>
        <v/>
      </c>
      <c r="V153" s="8"/>
      <c r="W153" s="8"/>
      <c r="X153" s="8"/>
      <c r="Y153" s="10"/>
      <c r="Z153" s="8"/>
    </row>
    <row r="154" spans="1:26">
      <c r="A154" s="8"/>
      <c r="B154" s="10"/>
      <c r="C154" s="8"/>
      <c r="D154" s="8"/>
      <c r="E154" s="8"/>
      <c r="F154" s="8"/>
      <c r="G154" s="11"/>
      <c r="H154" s="8"/>
      <c r="I154" s="8"/>
      <c r="J154" s="8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9" t="str">
        <f t="shared" si="2"/>
        <v/>
      </c>
      <c r="V154" s="8"/>
      <c r="W154" s="8"/>
      <c r="X154" s="8"/>
      <c r="Y154" s="10"/>
      <c r="Z154" s="8"/>
    </row>
    <row r="155" spans="1:26">
      <c r="A155" s="8"/>
      <c r="B155" s="10"/>
      <c r="C155" s="8"/>
      <c r="D155" s="8"/>
      <c r="E155" s="8"/>
      <c r="F155" s="8"/>
      <c r="G155" s="11"/>
      <c r="H155" s="8"/>
      <c r="I155" s="8"/>
      <c r="J155" s="8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9" t="str">
        <f t="shared" si="2"/>
        <v/>
      </c>
      <c r="V155" s="8"/>
      <c r="W155" s="8"/>
      <c r="X155" s="8"/>
      <c r="Y155" s="10"/>
      <c r="Z155" s="8"/>
    </row>
    <row r="156" spans="1:26">
      <c r="A156" s="8"/>
      <c r="B156" s="10"/>
      <c r="C156" s="8"/>
      <c r="D156" s="8"/>
      <c r="E156" s="8"/>
      <c r="F156" s="8"/>
      <c r="G156" s="11"/>
      <c r="H156" s="8"/>
      <c r="I156" s="8"/>
      <c r="J156" s="8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9" t="str">
        <f t="shared" si="2"/>
        <v/>
      </c>
      <c r="V156" s="8"/>
      <c r="W156" s="8"/>
      <c r="X156" s="8"/>
      <c r="Y156" s="10"/>
      <c r="Z156" s="8"/>
    </row>
    <row r="157" spans="1:26">
      <c r="A157" s="8"/>
      <c r="B157" s="10"/>
      <c r="C157" s="8"/>
      <c r="D157" s="8"/>
      <c r="E157" s="8"/>
      <c r="F157" s="8"/>
      <c r="G157" s="11"/>
      <c r="H157" s="8"/>
      <c r="I157" s="8"/>
      <c r="J157" s="8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9" t="str">
        <f t="shared" si="2"/>
        <v/>
      </c>
      <c r="V157" s="8"/>
      <c r="W157" s="8"/>
      <c r="X157" s="8"/>
      <c r="Y157" s="10"/>
      <c r="Z157" s="8"/>
    </row>
    <row r="158" spans="1:26">
      <c r="A158" s="8"/>
      <c r="B158" s="10"/>
      <c r="C158" s="8"/>
      <c r="D158" s="8"/>
      <c r="E158" s="8"/>
      <c r="F158" s="8"/>
      <c r="G158" s="11"/>
      <c r="H158" s="8"/>
      <c r="I158" s="8"/>
      <c r="J158" s="8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9" t="str">
        <f t="shared" si="2"/>
        <v/>
      </c>
      <c r="V158" s="8"/>
      <c r="W158" s="8"/>
      <c r="X158" s="8"/>
      <c r="Y158" s="10"/>
      <c r="Z158" s="8"/>
    </row>
    <row r="159" spans="1:26">
      <c r="A159" s="8"/>
      <c r="B159" s="10"/>
      <c r="C159" s="8"/>
      <c r="D159" s="8"/>
      <c r="E159" s="8"/>
      <c r="F159" s="8"/>
      <c r="G159" s="11"/>
      <c r="H159" s="8"/>
      <c r="I159" s="8"/>
      <c r="J159" s="8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9" t="str">
        <f t="shared" si="2"/>
        <v/>
      </c>
      <c r="V159" s="8"/>
      <c r="W159" s="8"/>
      <c r="X159" s="8"/>
      <c r="Y159" s="10"/>
      <c r="Z159" s="8"/>
    </row>
    <row r="160" spans="1:26">
      <c r="A160" s="8"/>
      <c r="B160" s="10"/>
      <c r="C160" s="8"/>
      <c r="D160" s="8"/>
      <c r="E160" s="8"/>
      <c r="F160" s="8"/>
      <c r="G160" s="11"/>
      <c r="H160" s="8"/>
      <c r="I160" s="8"/>
      <c r="J160" s="8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9" t="str">
        <f t="shared" si="2"/>
        <v/>
      </c>
      <c r="V160" s="8"/>
      <c r="W160" s="8"/>
      <c r="X160" s="8"/>
      <c r="Y160" s="10"/>
      <c r="Z160" s="8"/>
    </row>
    <row r="161" spans="1:26">
      <c r="A161" s="8"/>
      <c r="B161" s="10"/>
      <c r="C161" s="8"/>
      <c r="D161" s="8"/>
      <c r="E161" s="8"/>
      <c r="F161" s="8"/>
      <c r="G161" s="11"/>
      <c r="H161" s="8"/>
      <c r="I161" s="8"/>
      <c r="J161" s="8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9" t="str">
        <f t="shared" si="2"/>
        <v/>
      </c>
      <c r="V161" s="8"/>
      <c r="W161" s="8"/>
      <c r="X161" s="8"/>
      <c r="Y161" s="10"/>
      <c r="Z161" s="8"/>
    </row>
    <row r="162" spans="1:26">
      <c r="A162" s="8"/>
      <c r="B162" s="10"/>
      <c r="C162" s="8"/>
      <c r="D162" s="8"/>
      <c r="E162" s="8"/>
      <c r="F162" s="8"/>
      <c r="G162" s="11"/>
      <c r="H162" s="8"/>
      <c r="I162" s="8"/>
      <c r="J162" s="8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9" t="str">
        <f t="shared" si="2"/>
        <v/>
      </c>
      <c r="V162" s="8"/>
      <c r="W162" s="8"/>
      <c r="X162" s="8"/>
      <c r="Y162" s="10"/>
      <c r="Z162" s="8"/>
    </row>
    <row r="163" spans="1:26">
      <c r="A163" s="8"/>
      <c r="B163" s="10"/>
      <c r="C163" s="8"/>
      <c r="D163" s="8"/>
      <c r="E163" s="8"/>
      <c r="F163" s="8"/>
      <c r="G163" s="11"/>
      <c r="H163" s="8"/>
      <c r="I163" s="8"/>
      <c r="J163" s="8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9" t="str">
        <f t="shared" si="2"/>
        <v/>
      </c>
      <c r="V163" s="8"/>
      <c r="W163" s="8"/>
      <c r="X163" s="8"/>
      <c r="Y163" s="10"/>
      <c r="Z163" s="8"/>
    </row>
    <row r="164" spans="1:26">
      <c r="A164" s="8"/>
      <c r="B164" s="10"/>
      <c r="C164" s="8"/>
      <c r="D164" s="8"/>
      <c r="E164" s="8"/>
      <c r="F164" s="8"/>
      <c r="G164" s="11"/>
      <c r="H164" s="8"/>
      <c r="I164" s="8"/>
      <c r="J164" s="8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9" t="str">
        <f t="shared" si="2"/>
        <v/>
      </c>
      <c r="V164" s="8"/>
      <c r="W164" s="8"/>
      <c r="X164" s="8"/>
      <c r="Y164" s="10"/>
      <c r="Z164" s="8"/>
    </row>
    <row r="165" spans="1:26">
      <c r="A165" s="8"/>
      <c r="B165" s="10"/>
      <c r="C165" s="8"/>
      <c r="D165" s="8"/>
      <c r="E165" s="8"/>
      <c r="F165" s="8"/>
      <c r="G165" s="11"/>
      <c r="H165" s="8"/>
      <c r="I165" s="8"/>
      <c r="J165" s="8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9" t="str">
        <f t="shared" si="2"/>
        <v/>
      </c>
      <c r="V165" s="8"/>
      <c r="W165" s="8"/>
      <c r="X165" s="8"/>
      <c r="Y165" s="10"/>
      <c r="Z165" s="8"/>
    </row>
    <row r="166" spans="1:26">
      <c r="A166" s="8"/>
      <c r="B166" s="10"/>
      <c r="C166" s="8"/>
      <c r="D166" s="8"/>
      <c r="E166" s="8"/>
      <c r="F166" s="8"/>
      <c r="G166" s="11"/>
      <c r="H166" s="8"/>
      <c r="I166" s="8"/>
      <c r="J166" s="8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9" t="str">
        <f t="shared" si="2"/>
        <v/>
      </c>
      <c r="V166" s="8"/>
      <c r="W166" s="8"/>
      <c r="X166" s="8"/>
      <c r="Y166" s="10"/>
      <c r="Z166" s="8"/>
    </row>
    <row r="167" spans="1:26">
      <c r="A167" s="8"/>
      <c r="B167" s="10"/>
      <c r="C167" s="8"/>
      <c r="D167" s="8"/>
      <c r="E167" s="8"/>
      <c r="F167" s="8"/>
      <c r="G167" s="11"/>
      <c r="H167" s="8"/>
      <c r="I167" s="8"/>
      <c r="J167" s="8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9" t="str">
        <f t="shared" si="2"/>
        <v/>
      </c>
      <c r="V167" s="8"/>
      <c r="W167" s="8"/>
      <c r="X167" s="8"/>
      <c r="Y167" s="10"/>
      <c r="Z167" s="8"/>
    </row>
    <row r="168" spans="1:26">
      <c r="A168" s="8"/>
      <c r="B168" s="10"/>
      <c r="C168" s="8"/>
      <c r="D168" s="8"/>
      <c r="E168" s="8"/>
      <c r="F168" s="8"/>
      <c r="G168" s="11"/>
      <c r="H168" s="8"/>
      <c r="I168" s="8"/>
      <c r="J168" s="8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9" t="str">
        <f t="shared" si="2"/>
        <v/>
      </c>
      <c r="V168" s="8"/>
      <c r="W168" s="8"/>
      <c r="X168" s="8"/>
      <c r="Y168" s="10"/>
      <c r="Z168" s="8"/>
    </row>
    <row r="169" spans="1:26">
      <c r="A169" s="8"/>
      <c r="B169" s="10"/>
      <c r="C169" s="8"/>
      <c r="D169" s="8"/>
      <c r="E169" s="8"/>
      <c r="F169" s="8"/>
      <c r="G169" s="11"/>
      <c r="H169" s="8"/>
      <c r="I169" s="8"/>
      <c r="J169" s="8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9" t="str">
        <f t="shared" si="2"/>
        <v/>
      </c>
      <c r="V169" s="8"/>
      <c r="W169" s="8"/>
      <c r="X169" s="8"/>
      <c r="Y169" s="10"/>
      <c r="Z169" s="8"/>
    </row>
    <row r="170" spans="1:26">
      <c r="A170" s="8"/>
      <c r="B170" s="10"/>
      <c r="C170" s="8"/>
      <c r="D170" s="8"/>
      <c r="E170" s="8"/>
      <c r="F170" s="8"/>
      <c r="G170" s="11"/>
      <c r="H170" s="8"/>
      <c r="I170" s="8"/>
      <c r="J170" s="8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9" t="str">
        <f t="shared" si="2"/>
        <v/>
      </c>
      <c r="V170" s="8"/>
      <c r="W170" s="8"/>
      <c r="X170" s="8"/>
      <c r="Y170" s="10"/>
      <c r="Z170" s="8"/>
    </row>
    <row r="171" spans="1:26">
      <c r="A171" s="8"/>
      <c r="B171" s="10"/>
      <c r="C171" s="8"/>
      <c r="D171" s="8"/>
      <c r="E171" s="8"/>
      <c r="F171" s="8"/>
      <c r="G171" s="11"/>
      <c r="H171" s="8"/>
      <c r="I171" s="8"/>
      <c r="J171" s="8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9" t="str">
        <f t="shared" si="2"/>
        <v/>
      </c>
      <c r="V171" s="8"/>
      <c r="W171" s="8"/>
      <c r="X171" s="8"/>
      <c r="Y171" s="10"/>
      <c r="Z171" s="8"/>
    </row>
    <row r="172" spans="1:26">
      <c r="A172" s="8"/>
      <c r="B172" s="10"/>
      <c r="C172" s="8"/>
      <c r="D172" s="8"/>
      <c r="E172" s="8"/>
      <c r="F172" s="8"/>
      <c r="G172" s="11"/>
      <c r="H172" s="8"/>
      <c r="I172" s="8"/>
      <c r="J172" s="8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9" t="str">
        <f t="shared" si="2"/>
        <v/>
      </c>
      <c r="V172" s="8"/>
      <c r="W172" s="8"/>
      <c r="X172" s="8"/>
      <c r="Y172" s="10"/>
      <c r="Z172" s="8"/>
    </row>
    <row r="173" spans="1:26">
      <c r="A173" s="8"/>
      <c r="B173" s="10"/>
      <c r="C173" s="8"/>
      <c r="D173" s="8"/>
      <c r="E173" s="8"/>
      <c r="F173" s="8"/>
      <c r="G173" s="11"/>
      <c r="H173" s="8"/>
      <c r="I173" s="8"/>
      <c r="J173" s="8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9" t="str">
        <f t="shared" si="2"/>
        <v/>
      </c>
      <c r="V173" s="8"/>
      <c r="W173" s="8"/>
      <c r="X173" s="8"/>
      <c r="Y173" s="10"/>
      <c r="Z173" s="8"/>
    </row>
    <row r="174" spans="1:26">
      <c r="A174" s="8"/>
      <c r="B174" s="10"/>
      <c r="C174" s="8"/>
      <c r="D174" s="8"/>
      <c r="E174" s="8"/>
      <c r="F174" s="8"/>
      <c r="G174" s="11"/>
      <c r="H174" s="8"/>
      <c r="I174" s="8"/>
      <c r="J174" s="8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9" t="str">
        <f t="shared" si="2"/>
        <v/>
      </c>
      <c r="V174" s="8"/>
      <c r="W174" s="8"/>
      <c r="X174" s="8"/>
      <c r="Y174" s="10"/>
      <c r="Z174" s="8"/>
    </row>
    <row r="175" spans="1:26">
      <c r="A175" s="8"/>
      <c r="B175" s="10"/>
      <c r="C175" s="8"/>
      <c r="D175" s="8"/>
      <c r="E175" s="8"/>
      <c r="F175" s="8"/>
      <c r="G175" s="11"/>
      <c r="H175" s="8"/>
      <c r="I175" s="8"/>
      <c r="J175" s="8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9" t="str">
        <f t="shared" si="2"/>
        <v/>
      </c>
      <c r="V175" s="8"/>
      <c r="W175" s="8"/>
      <c r="X175" s="8"/>
      <c r="Y175" s="10"/>
      <c r="Z175" s="8"/>
    </row>
    <row r="176" spans="1:26">
      <c r="A176" s="8"/>
      <c r="B176" s="10"/>
      <c r="C176" s="8"/>
      <c r="D176" s="8"/>
      <c r="E176" s="8"/>
      <c r="F176" s="8"/>
      <c r="G176" s="11"/>
      <c r="H176" s="8"/>
      <c r="I176" s="8"/>
      <c r="J176" s="8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9" t="str">
        <f t="shared" si="2"/>
        <v/>
      </c>
      <c r="V176" s="8"/>
      <c r="W176" s="8"/>
      <c r="X176" s="8"/>
      <c r="Y176" s="10"/>
      <c r="Z176" s="8"/>
    </row>
    <row r="177" spans="1:26">
      <c r="A177" s="8"/>
      <c r="B177" s="10"/>
      <c r="C177" s="8"/>
      <c r="D177" s="8"/>
      <c r="E177" s="8"/>
      <c r="F177" s="8"/>
      <c r="G177" s="11"/>
      <c r="H177" s="8"/>
      <c r="I177" s="8"/>
      <c r="J177" s="8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9" t="str">
        <f t="shared" si="2"/>
        <v/>
      </c>
      <c r="V177" s="8"/>
      <c r="W177" s="8"/>
      <c r="X177" s="8"/>
      <c r="Y177" s="10"/>
      <c r="Z177" s="8"/>
    </row>
    <row r="178" spans="1:26">
      <c r="A178" s="8"/>
      <c r="B178" s="10"/>
      <c r="C178" s="8"/>
      <c r="D178" s="8"/>
      <c r="E178" s="8"/>
      <c r="F178" s="8"/>
      <c r="G178" s="11"/>
      <c r="H178" s="8"/>
      <c r="I178" s="8"/>
      <c r="J178" s="8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9" t="str">
        <f t="shared" si="2"/>
        <v/>
      </c>
      <c r="V178" s="8"/>
      <c r="W178" s="8"/>
      <c r="X178" s="8"/>
      <c r="Y178" s="10"/>
      <c r="Z178" s="8"/>
    </row>
    <row r="179" spans="1:26">
      <c r="A179" s="8"/>
      <c r="B179" s="10"/>
      <c r="C179" s="8"/>
      <c r="D179" s="8"/>
      <c r="E179" s="8"/>
      <c r="F179" s="8"/>
      <c r="G179" s="11"/>
      <c r="H179" s="8"/>
      <c r="I179" s="8"/>
      <c r="J179" s="8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9" t="str">
        <f t="shared" si="2"/>
        <v/>
      </c>
      <c r="V179" s="8"/>
      <c r="W179" s="8"/>
      <c r="X179" s="8"/>
      <c r="Y179" s="10"/>
      <c r="Z179" s="8"/>
    </row>
    <row r="180" spans="1:26">
      <c r="A180" s="8"/>
      <c r="B180" s="10"/>
      <c r="C180" s="8"/>
      <c r="D180" s="8"/>
      <c r="E180" s="8"/>
      <c r="F180" s="8"/>
      <c r="G180" s="11"/>
      <c r="H180" s="8"/>
      <c r="I180" s="8"/>
      <c r="J180" s="8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9" t="str">
        <f t="shared" si="2"/>
        <v/>
      </c>
      <c r="V180" s="8"/>
      <c r="W180" s="8"/>
      <c r="X180" s="8"/>
      <c r="Y180" s="10"/>
      <c r="Z180" s="8"/>
    </row>
    <row r="181" spans="1:26">
      <c r="A181" s="8"/>
      <c r="B181" s="10"/>
      <c r="C181" s="8"/>
      <c r="D181" s="8"/>
      <c r="E181" s="8"/>
      <c r="F181" s="8"/>
      <c r="G181" s="11"/>
      <c r="H181" s="8"/>
      <c r="I181" s="8"/>
      <c r="J181" s="8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9" t="str">
        <f t="shared" si="2"/>
        <v/>
      </c>
      <c r="V181" s="8"/>
      <c r="W181" s="8"/>
      <c r="X181" s="8"/>
      <c r="Y181" s="10"/>
      <c r="Z181" s="8"/>
    </row>
    <row r="182" spans="1:26">
      <c r="A182" s="8"/>
      <c r="B182" s="10"/>
      <c r="C182" s="8"/>
      <c r="D182" s="8"/>
      <c r="E182" s="8"/>
      <c r="F182" s="8"/>
      <c r="G182" s="11"/>
      <c r="H182" s="8"/>
      <c r="I182" s="8"/>
      <c r="J182" s="8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9" t="str">
        <f t="shared" si="2"/>
        <v/>
      </c>
      <c r="V182" s="8"/>
      <c r="W182" s="8"/>
      <c r="X182" s="8"/>
      <c r="Y182" s="10"/>
      <c r="Z182" s="8"/>
    </row>
    <row r="183" spans="1:26">
      <c r="A183" s="8"/>
      <c r="B183" s="10"/>
      <c r="C183" s="8"/>
      <c r="D183" s="8"/>
      <c r="E183" s="8"/>
      <c r="F183" s="8"/>
      <c r="G183" s="11"/>
      <c r="H183" s="8"/>
      <c r="I183" s="8"/>
      <c r="J183" s="8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9" t="str">
        <f t="shared" si="2"/>
        <v/>
      </c>
      <c r="V183" s="8"/>
      <c r="W183" s="8"/>
      <c r="X183" s="8"/>
      <c r="Y183" s="10"/>
      <c r="Z183" s="8"/>
    </row>
    <row r="184" spans="1:26">
      <c r="A184" s="8"/>
      <c r="B184" s="10"/>
      <c r="C184" s="8"/>
      <c r="D184" s="8"/>
      <c r="E184" s="8"/>
      <c r="F184" s="8"/>
      <c r="G184" s="11"/>
      <c r="H184" s="8"/>
      <c r="I184" s="8"/>
      <c r="J184" s="8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9" t="str">
        <f t="shared" si="2"/>
        <v/>
      </c>
      <c r="V184" s="8"/>
      <c r="W184" s="8"/>
      <c r="X184" s="8"/>
      <c r="Y184" s="10"/>
      <c r="Z184" s="8"/>
    </row>
    <row r="185" spans="1:26">
      <c r="A185" s="8"/>
      <c r="B185" s="10"/>
      <c r="C185" s="8"/>
      <c r="D185" s="8"/>
      <c r="E185" s="8"/>
      <c r="F185" s="8"/>
      <c r="G185" s="11"/>
      <c r="H185" s="8"/>
      <c r="I185" s="8"/>
      <c r="J185" s="8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9" t="str">
        <f t="shared" si="2"/>
        <v/>
      </c>
      <c r="V185" s="8"/>
      <c r="W185" s="8"/>
      <c r="X185" s="8"/>
      <c r="Y185" s="10"/>
      <c r="Z185" s="8"/>
    </row>
    <row r="186" spans="1:26">
      <c r="A186" s="8"/>
      <c r="B186" s="10"/>
      <c r="C186" s="8"/>
      <c r="D186" s="8"/>
      <c r="E186" s="8"/>
      <c r="F186" s="8"/>
      <c r="G186" s="11"/>
      <c r="H186" s="8"/>
      <c r="I186" s="8"/>
      <c r="J186" s="8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9" t="str">
        <f t="shared" si="2"/>
        <v/>
      </c>
      <c r="V186" s="8"/>
      <c r="W186" s="8"/>
      <c r="X186" s="8"/>
      <c r="Y186" s="10"/>
      <c r="Z186" s="8"/>
    </row>
    <row r="187" spans="1:26">
      <c r="A187" s="8"/>
      <c r="B187" s="10"/>
      <c r="C187" s="8"/>
      <c r="D187" s="8"/>
      <c r="E187" s="8"/>
      <c r="F187" s="8"/>
      <c r="G187" s="11"/>
      <c r="H187" s="8"/>
      <c r="I187" s="8"/>
      <c r="J187" s="8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9" t="str">
        <f t="shared" si="2"/>
        <v/>
      </c>
      <c r="V187" s="8"/>
      <c r="W187" s="8"/>
      <c r="X187" s="8"/>
      <c r="Y187" s="10"/>
      <c r="Z187" s="8"/>
    </row>
    <row r="188" spans="1:26">
      <c r="A188" s="8"/>
      <c r="B188" s="10"/>
      <c r="C188" s="8"/>
      <c r="D188" s="8"/>
      <c r="E188" s="8"/>
      <c r="F188" s="8"/>
      <c r="G188" s="11"/>
      <c r="H188" s="8"/>
      <c r="I188" s="8"/>
      <c r="J188" s="8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9" t="str">
        <f t="shared" si="2"/>
        <v/>
      </c>
      <c r="V188" s="8"/>
      <c r="W188" s="8"/>
      <c r="X188" s="8"/>
      <c r="Y188" s="10"/>
      <c r="Z188" s="8"/>
    </row>
    <row r="189" spans="1:26">
      <c r="A189" s="8"/>
      <c r="B189" s="10"/>
      <c r="C189" s="8"/>
      <c r="D189" s="8"/>
      <c r="E189" s="8"/>
      <c r="F189" s="8"/>
      <c r="G189" s="11"/>
      <c r="H189" s="8"/>
      <c r="I189" s="8"/>
      <c r="J189" s="8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9" t="str">
        <f t="shared" si="2"/>
        <v/>
      </c>
      <c r="V189" s="8"/>
      <c r="W189" s="8"/>
      <c r="X189" s="8"/>
      <c r="Y189" s="10"/>
      <c r="Z189" s="8"/>
    </row>
    <row r="190" spans="1:26">
      <c r="A190" s="8"/>
      <c r="B190" s="10"/>
      <c r="C190" s="8"/>
      <c r="D190" s="8"/>
      <c r="E190" s="8"/>
      <c r="F190" s="8"/>
      <c r="G190" s="11"/>
      <c r="H190" s="8"/>
      <c r="I190" s="8"/>
      <c r="J190" s="8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9" t="str">
        <f t="shared" si="2"/>
        <v/>
      </c>
      <c r="V190" s="8"/>
      <c r="W190" s="8"/>
      <c r="X190" s="8"/>
      <c r="Y190" s="10"/>
      <c r="Z190" s="8"/>
    </row>
    <row r="191" spans="1:26">
      <c r="A191" s="8"/>
      <c r="B191" s="10"/>
      <c r="C191" s="8"/>
      <c r="D191" s="8"/>
      <c r="E191" s="8"/>
      <c r="F191" s="8"/>
      <c r="G191" s="11"/>
      <c r="H191" s="8"/>
      <c r="I191" s="8"/>
      <c r="J191" s="8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9" t="str">
        <f t="shared" si="2"/>
        <v/>
      </c>
      <c r="V191" s="8"/>
      <c r="W191" s="8"/>
      <c r="X191" s="8"/>
      <c r="Y191" s="10"/>
      <c r="Z191" s="8"/>
    </row>
    <row r="192" spans="1:26">
      <c r="A192" s="8"/>
      <c r="B192" s="10"/>
      <c r="C192" s="8"/>
      <c r="D192" s="8"/>
      <c r="E192" s="8"/>
      <c r="F192" s="8"/>
      <c r="G192" s="11"/>
      <c r="H192" s="8"/>
      <c r="I192" s="8"/>
      <c r="J192" s="8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9" t="str">
        <f t="shared" si="2"/>
        <v/>
      </c>
      <c r="V192" s="8"/>
      <c r="W192" s="8"/>
      <c r="X192" s="8"/>
      <c r="Y192" s="10"/>
      <c r="Z192" s="8"/>
    </row>
    <row r="193" spans="1:26">
      <c r="A193" s="8"/>
      <c r="B193" s="10"/>
      <c r="C193" s="8"/>
      <c r="D193" s="8"/>
      <c r="E193" s="8"/>
      <c r="F193" s="8"/>
      <c r="G193" s="11"/>
      <c r="H193" s="8"/>
      <c r="I193" s="8"/>
      <c r="J193" s="8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9" t="str">
        <f t="shared" si="2"/>
        <v/>
      </c>
      <c r="V193" s="8"/>
      <c r="W193" s="8"/>
      <c r="X193" s="8"/>
      <c r="Y193" s="10"/>
      <c r="Z193" s="8"/>
    </row>
    <row r="194" spans="1:26">
      <c r="A194" s="8"/>
      <c r="B194" s="10"/>
      <c r="C194" s="8"/>
      <c r="D194" s="8"/>
      <c r="E194" s="8"/>
      <c r="F194" s="8"/>
      <c r="G194" s="11"/>
      <c r="H194" s="8"/>
      <c r="I194" s="8"/>
      <c r="J194" s="8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9" t="str">
        <f t="shared" si="2"/>
        <v/>
      </c>
      <c r="V194" s="8"/>
      <c r="W194" s="8"/>
      <c r="X194" s="8"/>
      <c r="Y194" s="10"/>
      <c r="Z194" s="8"/>
    </row>
    <row r="195" spans="1:26">
      <c r="A195" s="8"/>
      <c r="B195" s="10"/>
      <c r="C195" s="8"/>
      <c r="D195" s="8"/>
      <c r="E195" s="8"/>
      <c r="F195" s="8"/>
      <c r="G195" s="11"/>
      <c r="H195" s="8"/>
      <c r="I195" s="8"/>
      <c r="J195" s="8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9" t="str">
        <f t="shared" si="2"/>
        <v/>
      </c>
      <c r="V195" s="8"/>
      <c r="W195" s="8"/>
      <c r="X195" s="8"/>
      <c r="Y195" s="10"/>
      <c r="Z195" s="8"/>
    </row>
    <row r="196" spans="1:26">
      <c r="A196" s="8"/>
      <c r="B196" s="10"/>
      <c r="C196" s="8"/>
      <c r="D196" s="8"/>
      <c r="E196" s="8"/>
      <c r="F196" s="8"/>
      <c r="G196" s="11"/>
      <c r="H196" s="8"/>
      <c r="I196" s="8"/>
      <c r="J196" s="8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9" t="str">
        <f t="shared" si="2"/>
        <v/>
      </c>
      <c r="V196" s="8"/>
      <c r="W196" s="8"/>
      <c r="X196" s="8"/>
      <c r="Y196" s="10"/>
      <c r="Z196" s="8"/>
    </row>
    <row r="197" spans="1:26">
      <c r="A197" s="8"/>
      <c r="B197" s="10"/>
      <c r="C197" s="8"/>
      <c r="D197" s="8"/>
      <c r="E197" s="8"/>
      <c r="F197" s="8"/>
      <c r="G197" s="11"/>
      <c r="H197" s="8"/>
      <c r="I197" s="8"/>
      <c r="J197" s="8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9" t="str">
        <f t="shared" ref="U197:U260" si="3">IF(A197="","",IF(OR(L197&gt;=R197,M197&gt;=S197,N197&gt;=T197),"Failed","Passed"))</f>
        <v/>
      </c>
      <c r="V197" s="8"/>
      <c r="W197" s="8"/>
      <c r="X197" s="8"/>
      <c r="Y197" s="10"/>
      <c r="Z197" s="8"/>
    </row>
    <row r="198" spans="1:26">
      <c r="A198" s="8"/>
      <c r="B198" s="10"/>
      <c r="C198" s="8"/>
      <c r="D198" s="8"/>
      <c r="E198" s="8"/>
      <c r="F198" s="8"/>
      <c r="G198" s="11"/>
      <c r="H198" s="8"/>
      <c r="I198" s="8"/>
      <c r="J198" s="8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9" t="str">
        <f t="shared" si="3"/>
        <v/>
      </c>
      <c r="V198" s="8"/>
      <c r="W198" s="8"/>
      <c r="X198" s="8"/>
      <c r="Y198" s="10"/>
      <c r="Z198" s="8"/>
    </row>
    <row r="199" spans="1:26">
      <c r="A199" s="8"/>
      <c r="B199" s="10"/>
      <c r="C199" s="8"/>
      <c r="D199" s="8"/>
      <c r="E199" s="8"/>
      <c r="F199" s="8"/>
      <c r="G199" s="11"/>
      <c r="H199" s="8"/>
      <c r="I199" s="8"/>
      <c r="J199" s="8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9" t="str">
        <f t="shared" si="3"/>
        <v/>
      </c>
      <c r="V199" s="8"/>
      <c r="W199" s="8"/>
      <c r="X199" s="8"/>
      <c r="Y199" s="10"/>
      <c r="Z199" s="8"/>
    </row>
    <row r="200" spans="1:26">
      <c r="A200" s="8"/>
      <c r="B200" s="10"/>
      <c r="C200" s="8"/>
      <c r="D200" s="8"/>
      <c r="E200" s="8"/>
      <c r="F200" s="8"/>
      <c r="G200" s="11"/>
      <c r="H200" s="8"/>
      <c r="I200" s="8"/>
      <c r="J200" s="8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9" t="str">
        <f t="shared" si="3"/>
        <v/>
      </c>
      <c r="V200" s="8"/>
      <c r="W200" s="8"/>
      <c r="X200" s="8"/>
      <c r="Y200" s="10"/>
      <c r="Z200" s="8"/>
    </row>
    <row r="201" spans="1:26">
      <c r="A201" s="8"/>
      <c r="B201" s="10"/>
      <c r="C201" s="8"/>
      <c r="D201" s="8"/>
      <c r="E201" s="8"/>
      <c r="F201" s="8"/>
      <c r="G201" s="11"/>
      <c r="H201" s="8"/>
      <c r="I201" s="8"/>
      <c r="J201" s="8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9" t="str">
        <f t="shared" si="3"/>
        <v/>
      </c>
      <c r="V201" s="8"/>
      <c r="W201" s="8"/>
      <c r="X201" s="8"/>
      <c r="Y201" s="10"/>
      <c r="Z201" s="8"/>
    </row>
    <row r="202" spans="1:26">
      <c r="A202" s="8"/>
      <c r="B202" s="10"/>
      <c r="C202" s="8"/>
      <c r="D202" s="8"/>
      <c r="E202" s="8"/>
      <c r="F202" s="8"/>
      <c r="G202" s="11"/>
      <c r="H202" s="8"/>
      <c r="I202" s="8"/>
      <c r="J202" s="8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9" t="str">
        <f t="shared" si="3"/>
        <v/>
      </c>
      <c r="V202" s="8"/>
      <c r="W202" s="8"/>
      <c r="X202" s="8"/>
      <c r="Y202" s="10"/>
      <c r="Z202" s="8"/>
    </row>
    <row r="203" spans="1:26">
      <c r="A203" s="8"/>
      <c r="B203" s="10"/>
      <c r="C203" s="8"/>
      <c r="D203" s="8"/>
      <c r="E203" s="8"/>
      <c r="F203" s="8"/>
      <c r="G203" s="11"/>
      <c r="H203" s="8"/>
      <c r="I203" s="8"/>
      <c r="J203" s="8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9" t="str">
        <f t="shared" si="3"/>
        <v/>
      </c>
      <c r="V203" s="8"/>
      <c r="W203" s="8"/>
      <c r="X203" s="8"/>
      <c r="Y203" s="10"/>
      <c r="Z203" s="8"/>
    </row>
    <row r="204" spans="1:26">
      <c r="A204" s="8"/>
      <c r="B204" s="10"/>
      <c r="C204" s="8"/>
      <c r="D204" s="8"/>
      <c r="E204" s="8"/>
      <c r="F204" s="8"/>
      <c r="G204" s="11"/>
      <c r="H204" s="8"/>
      <c r="I204" s="8"/>
      <c r="J204" s="8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9" t="str">
        <f t="shared" si="3"/>
        <v/>
      </c>
      <c r="V204" s="8"/>
      <c r="W204" s="8"/>
      <c r="X204" s="8"/>
      <c r="Y204" s="10"/>
      <c r="Z204" s="8"/>
    </row>
    <row r="205" spans="1:26">
      <c r="A205" s="8"/>
      <c r="B205" s="10"/>
      <c r="C205" s="8"/>
      <c r="D205" s="8"/>
      <c r="E205" s="8"/>
      <c r="F205" s="8"/>
      <c r="G205" s="11"/>
      <c r="H205" s="8"/>
      <c r="I205" s="8"/>
      <c r="J205" s="8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9" t="str">
        <f t="shared" si="3"/>
        <v/>
      </c>
      <c r="V205" s="8"/>
      <c r="W205" s="8"/>
      <c r="X205" s="8"/>
      <c r="Y205" s="10"/>
      <c r="Z205" s="8"/>
    </row>
    <row r="206" spans="1:26">
      <c r="A206" s="8"/>
      <c r="B206" s="10"/>
      <c r="C206" s="8"/>
      <c r="D206" s="8"/>
      <c r="E206" s="8"/>
      <c r="F206" s="8"/>
      <c r="G206" s="11"/>
      <c r="H206" s="8"/>
      <c r="I206" s="8"/>
      <c r="J206" s="8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9" t="str">
        <f t="shared" si="3"/>
        <v/>
      </c>
      <c r="V206" s="8"/>
      <c r="W206" s="8"/>
      <c r="X206" s="8"/>
      <c r="Y206" s="10"/>
      <c r="Z206" s="8"/>
    </row>
    <row r="207" spans="1:26">
      <c r="A207" s="8"/>
      <c r="B207" s="10"/>
      <c r="C207" s="8"/>
      <c r="D207" s="8"/>
      <c r="E207" s="8"/>
      <c r="F207" s="8"/>
      <c r="G207" s="11"/>
      <c r="H207" s="8"/>
      <c r="I207" s="8"/>
      <c r="J207" s="8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9" t="str">
        <f t="shared" si="3"/>
        <v/>
      </c>
      <c r="V207" s="8"/>
      <c r="W207" s="8"/>
      <c r="X207" s="8"/>
      <c r="Y207" s="10"/>
      <c r="Z207" s="8"/>
    </row>
    <row r="208" spans="1:26">
      <c r="A208" s="8"/>
      <c r="B208" s="10"/>
      <c r="C208" s="8"/>
      <c r="D208" s="8"/>
      <c r="E208" s="8"/>
      <c r="F208" s="8"/>
      <c r="G208" s="11"/>
      <c r="H208" s="8"/>
      <c r="I208" s="8"/>
      <c r="J208" s="8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9" t="str">
        <f t="shared" si="3"/>
        <v/>
      </c>
      <c r="V208" s="8"/>
      <c r="W208" s="8"/>
      <c r="X208" s="8"/>
      <c r="Y208" s="10"/>
      <c r="Z208" s="8"/>
    </row>
    <row r="209" spans="1:26">
      <c r="A209" s="8"/>
      <c r="B209" s="10"/>
      <c r="C209" s="8"/>
      <c r="D209" s="8"/>
      <c r="E209" s="8"/>
      <c r="F209" s="8"/>
      <c r="G209" s="11"/>
      <c r="H209" s="8"/>
      <c r="I209" s="8"/>
      <c r="J209" s="8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9" t="str">
        <f t="shared" si="3"/>
        <v/>
      </c>
      <c r="V209" s="8"/>
      <c r="W209" s="8"/>
      <c r="X209" s="8"/>
      <c r="Y209" s="10"/>
      <c r="Z209" s="8"/>
    </row>
    <row r="210" spans="1:26">
      <c r="A210" s="8"/>
      <c r="B210" s="10"/>
      <c r="C210" s="8"/>
      <c r="D210" s="8"/>
      <c r="E210" s="8"/>
      <c r="F210" s="8"/>
      <c r="G210" s="11"/>
      <c r="H210" s="8"/>
      <c r="I210" s="8"/>
      <c r="J210" s="8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9" t="str">
        <f t="shared" si="3"/>
        <v/>
      </c>
      <c r="V210" s="8"/>
      <c r="W210" s="8"/>
      <c r="X210" s="8"/>
      <c r="Y210" s="10"/>
      <c r="Z210" s="8"/>
    </row>
    <row r="211" spans="1:26">
      <c r="A211" s="8"/>
      <c r="B211" s="10"/>
      <c r="C211" s="8"/>
      <c r="D211" s="8"/>
      <c r="E211" s="8"/>
      <c r="F211" s="8"/>
      <c r="G211" s="11"/>
      <c r="H211" s="8"/>
      <c r="I211" s="8"/>
      <c r="J211" s="8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9" t="str">
        <f t="shared" si="3"/>
        <v/>
      </c>
      <c r="V211" s="8"/>
      <c r="W211" s="8"/>
      <c r="X211" s="8"/>
      <c r="Y211" s="10"/>
      <c r="Z211" s="8"/>
    </row>
    <row r="212" spans="1:26">
      <c r="A212" s="8"/>
      <c r="B212" s="10"/>
      <c r="C212" s="8"/>
      <c r="D212" s="8"/>
      <c r="E212" s="8"/>
      <c r="F212" s="8"/>
      <c r="G212" s="11"/>
      <c r="H212" s="8"/>
      <c r="I212" s="8"/>
      <c r="J212" s="8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9" t="str">
        <f t="shared" si="3"/>
        <v/>
      </c>
      <c r="V212" s="8"/>
      <c r="W212" s="8"/>
      <c r="X212" s="8"/>
      <c r="Y212" s="10"/>
      <c r="Z212" s="8"/>
    </row>
    <row r="213" spans="1:26">
      <c r="A213" s="8"/>
      <c r="B213" s="10"/>
      <c r="C213" s="8"/>
      <c r="D213" s="8"/>
      <c r="E213" s="8"/>
      <c r="F213" s="8"/>
      <c r="G213" s="11"/>
      <c r="H213" s="8"/>
      <c r="I213" s="8"/>
      <c r="J213" s="8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9" t="str">
        <f t="shared" si="3"/>
        <v/>
      </c>
      <c r="V213" s="8"/>
      <c r="W213" s="8"/>
      <c r="X213" s="8"/>
      <c r="Y213" s="10"/>
      <c r="Z213" s="8"/>
    </row>
    <row r="214" spans="1:26">
      <c r="A214" s="8"/>
      <c r="B214" s="10"/>
      <c r="C214" s="8"/>
      <c r="D214" s="8"/>
      <c r="E214" s="8"/>
      <c r="F214" s="8"/>
      <c r="G214" s="11"/>
      <c r="H214" s="8"/>
      <c r="I214" s="8"/>
      <c r="J214" s="8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9" t="str">
        <f t="shared" si="3"/>
        <v/>
      </c>
      <c r="V214" s="8"/>
      <c r="W214" s="8"/>
      <c r="X214" s="8"/>
      <c r="Y214" s="10"/>
      <c r="Z214" s="8"/>
    </row>
    <row r="215" spans="1:26">
      <c r="A215" s="8"/>
      <c r="B215" s="10"/>
      <c r="C215" s="8"/>
      <c r="D215" s="8"/>
      <c r="E215" s="8"/>
      <c r="F215" s="8"/>
      <c r="G215" s="11"/>
      <c r="H215" s="8"/>
      <c r="I215" s="8"/>
      <c r="J215" s="8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9" t="str">
        <f t="shared" si="3"/>
        <v/>
      </c>
      <c r="V215" s="8"/>
      <c r="W215" s="8"/>
      <c r="X215" s="8"/>
      <c r="Y215" s="10"/>
      <c r="Z215" s="8"/>
    </row>
    <row r="216" spans="1:26">
      <c r="A216" s="8"/>
      <c r="B216" s="10"/>
      <c r="C216" s="8"/>
      <c r="D216" s="8"/>
      <c r="E216" s="8"/>
      <c r="F216" s="8"/>
      <c r="G216" s="11"/>
      <c r="H216" s="8"/>
      <c r="I216" s="8"/>
      <c r="J216" s="8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9" t="str">
        <f t="shared" si="3"/>
        <v/>
      </c>
      <c r="V216" s="8"/>
      <c r="W216" s="8"/>
      <c r="X216" s="8"/>
      <c r="Y216" s="10"/>
      <c r="Z216" s="8"/>
    </row>
    <row r="217" spans="1:26">
      <c r="A217" s="8"/>
      <c r="B217" s="10"/>
      <c r="C217" s="8"/>
      <c r="D217" s="8"/>
      <c r="E217" s="8"/>
      <c r="F217" s="8"/>
      <c r="G217" s="11"/>
      <c r="H217" s="8"/>
      <c r="I217" s="8"/>
      <c r="J217" s="8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9" t="str">
        <f t="shared" si="3"/>
        <v/>
      </c>
      <c r="V217" s="8"/>
      <c r="W217" s="8"/>
      <c r="X217" s="8"/>
      <c r="Y217" s="10"/>
      <c r="Z217" s="8"/>
    </row>
    <row r="218" spans="1:26">
      <c r="A218" s="8"/>
      <c r="B218" s="10"/>
      <c r="C218" s="8"/>
      <c r="D218" s="8"/>
      <c r="E218" s="8"/>
      <c r="F218" s="8"/>
      <c r="G218" s="11"/>
      <c r="H218" s="8"/>
      <c r="I218" s="8"/>
      <c r="J218" s="8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9" t="str">
        <f t="shared" si="3"/>
        <v/>
      </c>
      <c r="V218" s="8"/>
      <c r="W218" s="8"/>
      <c r="X218" s="8"/>
      <c r="Y218" s="10"/>
      <c r="Z218" s="8"/>
    </row>
    <row r="219" spans="1:26">
      <c r="A219" s="8"/>
      <c r="B219" s="10"/>
      <c r="C219" s="8"/>
      <c r="D219" s="8"/>
      <c r="E219" s="8"/>
      <c r="F219" s="8"/>
      <c r="G219" s="11"/>
      <c r="H219" s="8"/>
      <c r="I219" s="8"/>
      <c r="J219" s="8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9" t="str">
        <f t="shared" si="3"/>
        <v/>
      </c>
      <c r="V219" s="8"/>
      <c r="W219" s="8"/>
      <c r="X219" s="8"/>
      <c r="Y219" s="10"/>
      <c r="Z219" s="8"/>
    </row>
    <row r="220" spans="1:26">
      <c r="A220" s="8"/>
      <c r="B220" s="10"/>
      <c r="C220" s="8"/>
      <c r="D220" s="8"/>
      <c r="E220" s="8"/>
      <c r="F220" s="8"/>
      <c r="G220" s="11"/>
      <c r="H220" s="8"/>
      <c r="I220" s="8"/>
      <c r="J220" s="8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9" t="str">
        <f t="shared" si="3"/>
        <v/>
      </c>
      <c r="V220" s="8"/>
      <c r="W220" s="8"/>
      <c r="X220" s="8"/>
      <c r="Y220" s="10"/>
      <c r="Z220" s="8"/>
    </row>
    <row r="221" spans="1:26">
      <c r="A221" s="8"/>
      <c r="B221" s="10"/>
      <c r="C221" s="8"/>
      <c r="D221" s="8"/>
      <c r="E221" s="8"/>
      <c r="F221" s="8"/>
      <c r="G221" s="11"/>
      <c r="H221" s="8"/>
      <c r="I221" s="8"/>
      <c r="J221" s="8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9" t="str">
        <f t="shared" si="3"/>
        <v/>
      </c>
      <c r="V221" s="8"/>
      <c r="W221" s="8"/>
      <c r="X221" s="8"/>
      <c r="Y221" s="10"/>
      <c r="Z221" s="8"/>
    </row>
    <row r="222" spans="1:26">
      <c r="A222" s="8"/>
      <c r="B222" s="10"/>
      <c r="C222" s="8"/>
      <c r="D222" s="8"/>
      <c r="E222" s="8"/>
      <c r="F222" s="8"/>
      <c r="G222" s="11"/>
      <c r="H222" s="8"/>
      <c r="I222" s="8"/>
      <c r="J222" s="8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9" t="str">
        <f t="shared" si="3"/>
        <v/>
      </c>
      <c r="V222" s="8"/>
      <c r="W222" s="8"/>
      <c r="X222" s="8"/>
      <c r="Y222" s="10"/>
      <c r="Z222" s="8"/>
    </row>
    <row r="223" spans="1:26">
      <c r="A223" s="8"/>
      <c r="B223" s="10"/>
      <c r="C223" s="8"/>
      <c r="D223" s="8"/>
      <c r="E223" s="8"/>
      <c r="F223" s="8"/>
      <c r="G223" s="11"/>
      <c r="H223" s="8"/>
      <c r="I223" s="8"/>
      <c r="J223" s="8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9" t="str">
        <f t="shared" si="3"/>
        <v/>
      </c>
      <c r="V223" s="8"/>
      <c r="W223" s="8"/>
      <c r="X223" s="8"/>
      <c r="Y223" s="10"/>
      <c r="Z223" s="8"/>
    </row>
    <row r="224" spans="1:26">
      <c r="A224" s="8"/>
      <c r="B224" s="10"/>
      <c r="C224" s="8"/>
      <c r="D224" s="8"/>
      <c r="E224" s="8"/>
      <c r="F224" s="8"/>
      <c r="G224" s="11"/>
      <c r="H224" s="8"/>
      <c r="I224" s="8"/>
      <c r="J224" s="8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9" t="str">
        <f t="shared" si="3"/>
        <v/>
      </c>
      <c r="V224" s="8"/>
      <c r="W224" s="8"/>
      <c r="X224" s="8"/>
      <c r="Y224" s="10"/>
      <c r="Z224" s="8"/>
    </row>
    <row r="225" spans="1:26">
      <c r="A225" s="8"/>
      <c r="B225" s="10"/>
      <c r="C225" s="8"/>
      <c r="D225" s="8"/>
      <c r="E225" s="8"/>
      <c r="F225" s="8"/>
      <c r="G225" s="11"/>
      <c r="H225" s="8"/>
      <c r="I225" s="8"/>
      <c r="J225" s="8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9" t="str">
        <f t="shared" si="3"/>
        <v/>
      </c>
      <c r="V225" s="8"/>
      <c r="W225" s="8"/>
      <c r="X225" s="8"/>
      <c r="Y225" s="10"/>
      <c r="Z225" s="8"/>
    </row>
    <row r="226" spans="1:26">
      <c r="A226" s="8"/>
      <c r="B226" s="10"/>
      <c r="C226" s="8"/>
      <c r="D226" s="8"/>
      <c r="E226" s="8"/>
      <c r="F226" s="8"/>
      <c r="G226" s="11"/>
      <c r="H226" s="8"/>
      <c r="I226" s="8"/>
      <c r="J226" s="8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9" t="str">
        <f t="shared" si="3"/>
        <v/>
      </c>
      <c r="V226" s="8"/>
      <c r="W226" s="8"/>
      <c r="X226" s="8"/>
      <c r="Y226" s="10"/>
      <c r="Z226" s="8"/>
    </row>
    <row r="227" spans="1:26">
      <c r="A227" s="8"/>
      <c r="B227" s="10"/>
      <c r="C227" s="8"/>
      <c r="D227" s="8"/>
      <c r="E227" s="8"/>
      <c r="F227" s="8"/>
      <c r="G227" s="11"/>
      <c r="H227" s="8"/>
      <c r="I227" s="8"/>
      <c r="J227" s="8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9" t="str">
        <f t="shared" si="3"/>
        <v/>
      </c>
      <c r="V227" s="8"/>
      <c r="W227" s="8"/>
      <c r="X227" s="8"/>
      <c r="Y227" s="10"/>
      <c r="Z227" s="8"/>
    </row>
    <row r="228" spans="1:26">
      <c r="A228" s="8"/>
      <c r="B228" s="10"/>
      <c r="C228" s="8"/>
      <c r="D228" s="8"/>
      <c r="E228" s="8"/>
      <c r="F228" s="8"/>
      <c r="G228" s="11"/>
      <c r="H228" s="8"/>
      <c r="I228" s="8"/>
      <c r="J228" s="8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9" t="str">
        <f t="shared" si="3"/>
        <v/>
      </c>
      <c r="V228" s="8"/>
      <c r="W228" s="8"/>
      <c r="X228" s="8"/>
      <c r="Y228" s="10"/>
      <c r="Z228" s="8"/>
    </row>
    <row r="229" spans="1:26">
      <c r="A229" s="8"/>
      <c r="B229" s="10"/>
      <c r="C229" s="8"/>
      <c r="D229" s="8"/>
      <c r="E229" s="8"/>
      <c r="F229" s="8"/>
      <c r="G229" s="11"/>
      <c r="H229" s="8"/>
      <c r="I229" s="8"/>
      <c r="J229" s="8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9" t="str">
        <f t="shared" si="3"/>
        <v/>
      </c>
      <c r="V229" s="8"/>
      <c r="W229" s="8"/>
      <c r="X229" s="8"/>
      <c r="Y229" s="10"/>
      <c r="Z229" s="8"/>
    </row>
    <row r="230" spans="1:26">
      <c r="A230" s="8"/>
      <c r="B230" s="10"/>
      <c r="C230" s="8"/>
      <c r="D230" s="8"/>
      <c r="E230" s="8"/>
      <c r="F230" s="8"/>
      <c r="G230" s="11"/>
      <c r="H230" s="8"/>
      <c r="I230" s="8"/>
      <c r="J230" s="8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9" t="str">
        <f t="shared" si="3"/>
        <v/>
      </c>
      <c r="V230" s="8"/>
      <c r="W230" s="8"/>
      <c r="X230" s="8"/>
      <c r="Y230" s="10"/>
      <c r="Z230" s="8"/>
    </row>
    <row r="231" spans="1:26">
      <c r="A231" s="8"/>
      <c r="B231" s="10"/>
      <c r="C231" s="8"/>
      <c r="D231" s="8"/>
      <c r="E231" s="8"/>
      <c r="F231" s="8"/>
      <c r="G231" s="11"/>
      <c r="H231" s="8"/>
      <c r="I231" s="8"/>
      <c r="J231" s="8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9" t="str">
        <f t="shared" si="3"/>
        <v/>
      </c>
      <c r="V231" s="8"/>
      <c r="W231" s="8"/>
      <c r="X231" s="8"/>
      <c r="Y231" s="10"/>
      <c r="Z231" s="8"/>
    </row>
    <row r="232" spans="1:26">
      <c r="A232" s="8"/>
      <c r="B232" s="10"/>
      <c r="C232" s="8"/>
      <c r="D232" s="8"/>
      <c r="E232" s="8"/>
      <c r="F232" s="8"/>
      <c r="G232" s="11"/>
      <c r="H232" s="8"/>
      <c r="I232" s="8"/>
      <c r="J232" s="8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9" t="str">
        <f t="shared" si="3"/>
        <v/>
      </c>
      <c r="V232" s="8"/>
      <c r="W232" s="8"/>
      <c r="X232" s="8"/>
      <c r="Y232" s="10"/>
      <c r="Z232" s="8"/>
    </row>
    <row r="233" spans="1:26">
      <c r="A233" s="8"/>
      <c r="B233" s="10"/>
      <c r="C233" s="8"/>
      <c r="D233" s="8"/>
      <c r="E233" s="8"/>
      <c r="F233" s="8"/>
      <c r="G233" s="11"/>
      <c r="H233" s="8"/>
      <c r="I233" s="8"/>
      <c r="J233" s="8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9" t="str">
        <f t="shared" si="3"/>
        <v/>
      </c>
      <c r="V233" s="8"/>
      <c r="W233" s="8"/>
      <c r="X233" s="8"/>
      <c r="Y233" s="10"/>
      <c r="Z233" s="8"/>
    </row>
    <row r="234" spans="1:26">
      <c r="A234" s="8"/>
      <c r="B234" s="10"/>
      <c r="C234" s="8"/>
      <c r="D234" s="8"/>
      <c r="E234" s="8"/>
      <c r="F234" s="8"/>
      <c r="G234" s="11"/>
      <c r="H234" s="8"/>
      <c r="I234" s="8"/>
      <c r="J234" s="8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9" t="str">
        <f t="shared" si="3"/>
        <v/>
      </c>
      <c r="V234" s="8"/>
      <c r="W234" s="8"/>
      <c r="X234" s="8"/>
      <c r="Y234" s="10"/>
      <c r="Z234" s="8"/>
    </row>
    <row r="235" spans="1:26">
      <c r="A235" s="8"/>
      <c r="B235" s="10"/>
      <c r="C235" s="8"/>
      <c r="D235" s="8"/>
      <c r="E235" s="8"/>
      <c r="F235" s="8"/>
      <c r="G235" s="11"/>
      <c r="H235" s="8"/>
      <c r="I235" s="8"/>
      <c r="J235" s="8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9" t="str">
        <f t="shared" si="3"/>
        <v/>
      </c>
      <c r="V235" s="8"/>
      <c r="W235" s="8"/>
      <c r="X235" s="8"/>
      <c r="Y235" s="10"/>
      <c r="Z235" s="8"/>
    </row>
    <row r="236" spans="1:26">
      <c r="A236" s="8"/>
      <c r="B236" s="10"/>
      <c r="C236" s="8"/>
      <c r="D236" s="8"/>
      <c r="E236" s="8"/>
      <c r="F236" s="8"/>
      <c r="G236" s="11"/>
      <c r="H236" s="8"/>
      <c r="I236" s="8"/>
      <c r="J236" s="8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9" t="str">
        <f t="shared" si="3"/>
        <v/>
      </c>
      <c r="V236" s="8"/>
      <c r="W236" s="8"/>
      <c r="X236" s="8"/>
      <c r="Y236" s="10"/>
      <c r="Z236" s="8"/>
    </row>
    <row r="237" spans="1:26">
      <c r="A237" s="8"/>
      <c r="B237" s="10"/>
      <c r="C237" s="8"/>
      <c r="D237" s="8"/>
      <c r="E237" s="8"/>
      <c r="F237" s="8"/>
      <c r="G237" s="11"/>
      <c r="H237" s="8"/>
      <c r="I237" s="8"/>
      <c r="J237" s="8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9" t="str">
        <f t="shared" si="3"/>
        <v/>
      </c>
      <c r="V237" s="8"/>
      <c r="W237" s="8"/>
      <c r="X237" s="8"/>
      <c r="Y237" s="10"/>
      <c r="Z237" s="8"/>
    </row>
    <row r="238" spans="1:26">
      <c r="A238" s="8"/>
      <c r="B238" s="10"/>
      <c r="C238" s="8"/>
      <c r="D238" s="8"/>
      <c r="E238" s="8"/>
      <c r="F238" s="8"/>
      <c r="G238" s="11"/>
      <c r="H238" s="8"/>
      <c r="I238" s="8"/>
      <c r="J238" s="8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9" t="str">
        <f t="shared" si="3"/>
        <v/>
      </c>
      <c r="V238" s="8"/>
      <c r="W238" s="8"/>
      <c r="X238" s="8"/>
      <c r="Y238" s="10"/>
      <c r="Z238" s="8"/>
    </row>
    <row r="239" spans="1:26">
      <c r="A239" s="8"/>
      <c r="B239" s="10"/>
      <c r="C239" s="8"/>
      <c r="D239" s="8"/>
      <c r="E239" s="8"/>
      <c r="F239" s="8"/>
      <c r="G239" s="11"/>
      <c r="H239" s="8"/>
      <c r="I239" s="8"/>
      <c r="J239" s="8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9" t="str">
        <f t="shared" si="3"/>
        <v/>
      </c>
      <c r="V239" s="8"/>
      <c r="W239" s="8"/>
      <c r="X239" s="8"/>
      <c r="Y239" s="10"/>
      <c r="Z239" s="8"/>
    </row>
    <row r="240" spans="1:26">
      <c r="A240" s="8"/>
      <c r="B240" s="10"/>
      <c r="C240" s="8"/>
      <c r="D240" s="8"/>
      <c r="E240" s="8"/>
      <c r="F240" s="8"/>
      <c r="G240" s="11"/>
      <c r="H240" s="8"/>
      <c r="I240" s="8"/>
      <c r="J240" s="8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9" t="str">
        <f t="shared" si="3"/>
        <v/>
      </c>
      <c r="V240" s="8"/>
      <c r="W240" s="8"/>
      <c r="X240" s="8"/>
      <c r="Y240" s="10"/>
      <c r="Z240" s="8"/>
    </row>
    <row r="241" spans="1:26">
      <c r="A241" s="8"/>
      <c r="B241" s="10"/>
      <c r="C241" s="8"/>
      <c r="D241" s="8"/>
      <c r="E241" s="8"/>
      <c r="F241" s="8"/>
      <c r="G241" s="11"/>
      <c r="H241" s="8"/>
      <c r="I241" s="8"/>
      <c r="J241" s="8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9" t="str">
        <f t="shared" si="3"/>
        <v/>
      </c>
      <c r="V241" s="8"/>
      <c r="W241" s="8"/>
      <c r="X241" s="8"/>
      <c r="Y241" s="10"/>
      <c r="Z241" s="8"/>
    </row>
    <row r="242" spans="1:26">
      <c r="A242" s="8"/>
      <c r="B242" s="10"/>
      <c r="C242" s="8"/>
      <c r="D242" s="8"/>
      <c r="E242" s="8"/>
      <c r="F242" s="8"/>
      <c r="G242" s="11"/>
      <c r="H242" s="8"/>
      <c r="I242" s="8"/>
      <c r="J242" s="8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9" t="str">
        <f t="shared" si="3"/>
        <v/>
      </c>
      <c r="V242" s="8"/>
      <c r="W242" s="8"/>
      <c r="X242" s="8"/>
      <c r="Y242" s="10"/>
      <c r="Z242" s="8"/>
    </row>
    <row r="243" spans="1:26">
      <c r="A243" s="8"/>
      <c r="B243" s="10"/>
      <c r="C243" s="8"/>
      <c r="D243" s="8"/>
      <c r="E243" s="8"/>
      <c r="F243" s="8"/>
      <c r="G243" s="11"/>
      <c r="H243" s="8"/>
      <c r="I243" s="8"/>
      <c r="J243" s="8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9" t="str">
        <f t="shared" si="3"/>
        <v/>
      </c>
      <c r="V243" s="8"/>
      <c r="W243" s="8"/>
      <c r="X243" s="8"/>
      <c r="Y243" s="10"/>
      <c r="Z243" s="8"/>
    </row>
    <row r="244" spans="1:26">
      <c r="A244" s="8"/>
      <c r="B244" s="10"/>
      <c r="C244" s="8"/>
      <c r="D244" s="8"/>
      <c r="E244" s="8"/>
      <c r="F244" s="8"/>
      <c r="G244" s="11"/>
      <c r="H244" s="8"/>
      <c r="I244" s="8"/>
      <c r="J244" s="8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9" t="str">
        <f t="shared" si="3"/>
        <v/>
      </c>
      <c r="V244" s="8"/>
      <c r="W244" s="8"/>
      <c r="X244" s="8"/>
      <c r="Y244" s="10"/>
      <c r="Z244" s="8"/>
    </row>
    <row r="245" spans="1:26">
      <c r="A245" s="8"/>
      <c r="B245" s="10"/>
      <c r="C245" s="8"/>
      <c r="D245" s="8"/>
      <c r="E245" s="8"/>
      <c r="F245" s="8"/>
      <c r="G245" s="11"/>
      <c r="H245" s="8"/>
      <c r="I245" s="8"/>
      <c r="J245" s="8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9" t="str">
        <f t="shared" si="3"/>
        <v/>
      </c>
      <c r="V245" s="8"/>
      <c r="W245" s="8"/>
      <c r="X245" s="8"/>
      <c r="Y245" s="10"/>
      <c r="Z245" s="8"/>
    </row>
    <row r="246" spans="1:26">
      <c r="A246" s="8"/>
      <c r="B246" s="10"/>
      <c r="C246" s="8"/>
      <c r="D246" s="8"/>
      <c r="E246" s="8"/>
      <c r="F246" s="8"/>
      <c r="G246" s="11"/>
      <c r="H246" s="8"/>
      <c r="I246" s="8"/>
      <c r="J246" s="8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9" t="str">
        <f t="shared" si="3"/>
        <v/>
      </c>
      <c r="V246" s="8"/>
      <c r="W246" s="8"/>
      <c r="X246" s="8"/>
      <c r="Y246" s="10"/>
      <c r="Z246" s="8"/>
    </row>
    <row r="247" spans="1:26">
      <c r="A247" s="8"/>
      <c r="B247" s="10"/>
      <c r="C247" s="8"/>
      <c r="D247" s="8"/>
      <c r="E247" s="8"/>
      <c r="F247" s="8"/>
      <c r="G247" s="11"/>
      <c r="H247" s="8"/>
      <c r="I247" s="8"/>
      <c r="J247" s="8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9" t="str">
        <f t="shared" si="3"/>
        <v/>
      </c>
      <c r="V247" s="8"/>
      <c r="W247" s="8"/>
      <c r="X247" s="8"/>
      <c r="Y247" s="10"/>
      <c r="Z247" s="8"/>
    </row>
    <row r="248" spans="1:26">
      <c r="A248" s="8"/>
      <c r="B248" s="10"/>
      <c r="C248" s="8"/>
      <c r="D248" s="8"/>
      <c r="E248" s="8"/>
      <c r="F248" s="8"/>
      <c r="G248" s="11"/>
      <c r="H248" s="8"/>
      <c r="I248" s="8"/>
      <c r="J248" s="8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9" t="str">
        <f t="shared" si="3"/>
        <v/>
      </c>
      <c r="V248" s="8"/>
      <c r="W248" s="8"/>
      <c r="X248" s="8"/>
      <c r="Y248" s="10"/>
      <c r="Z248" s="8"/>
    </row>
    <row r="249" spans="1:26">
      <c r="A249" s="8"/>
      <c r="B249" s="10"/>
      <c r="C249" s="8"/>
      <c r="D249" s="8"/>
      <c r="E249" s="8"/>
      <c r="F249" s="8"/>
      <c r="G249" s="11"/>
      <c r="H249" s="8"/>
      <c r="I249" s="8"/>
      <c r="J249" s="8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9" t="str">
        <f t="shared" si="3"/>
        <v/>
      </c>
      <c r="V249" s="8"/>
      <c r="W249" s="8"/>
      <c r="X249" s="8"/>
      <c r="Y249" s="10"/>
      <c r="Z249" s="8"/>
    </row>
    <row r="250" spans="1:26">
      <c r="A250" s="8"/>
      <c r="B250" s="10"/>
      <c r="C250" s="8"/>
      <c r="D250" s="8"/>
      <c r="E250" s="8"/>
      <c r="F250" s="8"/>
      <c r="G250" s="11"/>
      <c r="H250" s="8"/>
      <c r="I250" s="8"/>
      <c r="J250" s="8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9" t="str">
        <f t="shared" si="3"/>
        <v/>
      </c>
      <c r="V250" s="8"/>
      <c r="W250" s="8"/>
      <c r="X250" s="8"/>
      <c r="Y250" s="10"/>
      <c r="Z250" s="8"/>
    </row>
    <row r="251" spans="1:26">
      <c r="A251" s="8"/>
      <c r="B251" s="10"/>
      <c r="C251" s="8"/>
      <c r="D251" s="8"/>
      <c r="E251" s="8"/>
      <c r="F251" s="8"/>
      <c r="G251" s="11"/>
      <c r="H251" s="8"/>
      <c r="I251" s="8"/>
      <c r="J251" s="8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9" t="str">
        <f t="shared" si="3"/>
        <v/>
      </c>
      <c r="V251" s="8"/>
      <c r="W251" s="8"/>
      <c r="X251" s="8"/>
      <c r="Y251" s="10"/>
      <c r="Z251" s="8"/>
    </row>
    <row r="252" spans="1:26">
      <c r="A252" s="8"/>
      <c r="B252" s="10"/>
      <c r="C252" s="8"/>
      <c r="D252" s="8"/>
      <c r="E252" s="8"/>
      <c r="F252" s="8"/>
      <c r="G252" s="11"/>
      <c r="H252" s="8"/>
      <c r="I252" s="8"/>
      <c r="J252" s="8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9" t="str">
        <f t="shared" si="3"/>
        <v/>
      </c>
      <c r="V252" s="8"/>
      <c r="W252" s="8"/>
      <c r="X252" s="8"/>
      <c r="Y252" s="10"/>
      <c r="Z252" s="8"/>
    </row>
    <row r="253" spans="1:26">
      <c r="A253" s="8"/>
      <c r="B253" s="10"/>
      <c r="C253" s="8"/>
      <c r="D253" s="8"/>
      <c r="E253" s="8"/>
      <c r="F253" s="8"/>
      <c r="G253" s="11"/>
      <c r="H253" s="8"/>
      <c r="I253" s="8"/>
      <c r="J253" s="8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9" t="str">
        <f t="shared" si="3"/>
        <v/>
      </c>
      <c r="V253" s="8"/>
      <c r="W253" s="8"/>
      <c r="X253" s="8"/>
      <c r="Y253" s="10"/>
      <c r="Z253" s="8"/>
    </row>
    <row r="254" spans="1:26">
      <c r="A254" s="8"/>
      <c r="B254" s="10"/>
      <c r="C254" s="8"/>
      <c r="D254" s="8"/>
      <c r="E254" s="8"/>
      <c r="F254" s="8"/>
      <c r="G254" s="11"/>
      <c r="H254" s="8"/>
      <c r="I254" s="8"/>
      <c r="J254" s="8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9" t="str">
        <f t="shared" si="3"/>
        <v/>
      </c>
      <c r="V254" s="8"/>
      <c r="W254" s="8"/>
      <c r="X254" s="8"/>
      <c r="Y254" s="10"/>
      <c r="Z254" s="8"/>
    </row>
    <row r="255" spans="1:26">
      <c r="A255" s="8"/>
      <c r="B255" s="10"/>
      <c r="C255" s="8"/>
      <c r="D255" s="8"/>
      <c r="E255" s="8"/>
      <c r="F255" s="8"/>
      <c r="G255" s="11"/>
      <c r="H255" s="8"/>
      <c r="I255" s="8"/>
      <c r="J255" s="8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9" t="str">
        <f t="shared" si="3"/>
        <v/>
      </c>
      <c r="V255" s="8"/>
      <c r="W255" s="8"/>
      <c r="X255" s="8"/>
      <c r="Y255" s="10"/>
      <c r="Z255" s="8"/>
    </row>
    <row r="256" spans="1:26">
      <c r="A256" s="8"/>
      <c r="B256" s="10"/>
      <c r="C256" s="8"/>
      <c r="D256" s="8"/>
      <c r="E256" s="8"/>
      <c r="F256" s="8"/>
      <c r="G256" s="11"/>
      <c r="H256" s="8"/>
      <c r="I256" s="8"/>
      <c r="J256" s="8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9" t="str">
        <f t="shared" si="3"/>
        <v/>
      </c>
      <c r="V256" s="8"/>
      <c r="W256" s="8"/>
      <c r="X256" s="8"/>
      <c r="Y256" s="10"/>
      <c r="Z256" s="8"/>
    </row>
    <row r="257" spans="1:26">
      <c r="A257" s="8"/>
      <c r="B257" s="10"/>
      <c r="C257" s="8"/>
      <c r="D257" s="8"/>
      <c r="E257" s="8"/>
      <c r="F257" s="8"/>
      <c r="G257" s="11"/>
      <c r="H257" s="8"/>
      <c r="I257" s="8"/>
      <c r="J257" s="8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9" t="str">
        <f t="shared" si="3"/>
        <v/>
      </c>
      <c r="V257" s="8"/>
      <c r="W257" s="8"/>
      <c r="X257" s="8"/>
      <c r="Y257" s="10"/>
      <c r="Z257" s="8"/>
    </row>
    <row r="258" spans="1:26">
      <c r="A258" s="8"/>
      <c r="B258" s="10"/>
      <c r="C258" s="8"/>
      <c r="D258" s="8"/>
      <c r="E258" s="8"/>
      <c r="F258" s="8"/>
      <c r="G258" s="11"/>
      <c r="H258" s="8"/>
      <c r="I258" s="8"/>
      <c r="J258" s="8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9" t="str">
        <f t="shared" si="3"/>
        <v/>
      </c>
      <c r="V258" s="8"/>
      <c r="W258" s="8"/>
      <c r="X258" s="8"/>
      <c r="Y258" s="10"/>
      <c r="Z258" s="8"/>
    </row>
    <row r="259" spans="1:26">
      <c r="A259" s="8"/>
      <c r="B259" s="10"/>
      <c r="C259" s="8"/>
      <c r="D259" s="8"/>
      <c r="E259" s="8"/>
      <c r="F259" s="8"/>
      <c r="G259" s="11"/>
      <c r="H259" s="8"/>
      <c r="I259" s="8"/>
      <c r="J259" s="8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9" t="str">
        <f t="shared" si="3"/>
        <v/>
      </c>
      <c r="V259" s="8"/>
      <c r="W259" s="8"/>
      <c r="X259" s="8"/>
      <c r="Y259" s="10"/>
      <c r="Z259" s="8"/>
    </row>
    <row r="260" spans="1:26">
      <c r="A260" s="8"/>
      <c r="B260" s="10"/>
      <c r="C260" s="8"/>
      <c r="D260" s="8"/>
      <c r="E260" s="8"/>
      <c r="F260" s="8"/>
      <c r="G260" s="11"/>
      <c r="H260" s="8"/>
      <c r="I260" s="8"/>
      <c r="J260" s="8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9" t="str">
        <f t="shared" si="3"/>
        <v/>
      </c>
      <c r="V260" s="8"/>
      <c r="W260" s="8"/>
      <c r="X260" s="8"/>
      <c r="Y260" s="10"/>
      <c r="Z260" s="8"/>
    </row>
    <row r="261" spans="1:26">
      <c r="A261" s="8"/>
      <c r="B261" s="10"/>
      <c r="C261" s="8"/>
      <c r="D261" s="8"/>
      <c r="E261" s="8"/>
      <c r="F261" s="8"/>
      <c r="G261" s="11"/>
      <c r="H261" s="8"/>
      <c r="I261" s="8"/>
      <c r="J261" s="8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9" t="str">
        <f t="shared" ref="U261:U324" si="4">IF(A261="","",IF(OR(L261&gt;=R261,M261&gt;=S261,N261&gt;=T261),"Failed","Passed"))</f>
        <v/>
      </c>
      <c r="V261" s="8"/>
      <c r="W261" s="8"/>
      <c r="X261" s="8"/>
      <c r="Y261" s="10"/>
      <c r="Z261" s="8"/>
    </row>
    <row r="262" spans="1:26">
      <c r="A262" s="8"/>
      <c r="B262" s="10"/>
      <c r="C262" s="8"/>
      <c r="D262" s="8"/>
      <c r="E262" s="8"/>
      <c r="F262" s="8"/>
      <c r="G262" s="11"/>
      <c r="H262" s="8"/>
      <c r="I262" s="8"/>
      <c r="J262" s="8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9" t="str">
        <f t="shared" si="4"/>
        <v/>
      </c>
      <c r="V262" s="8"/>
      <c r="W262" s="8"/>
      <c r="X262" s="8"/>
      <c r="Y262" s="10"/>
      <c r="Z262" s="8"/>
    </row>
    <row r="263" spans="1:26">
      <c r="A263" s="8"/>
      <c r="B263" s="10"/>
      <c r="C263" s="8"/>
      <c r="D263" s="8"/>
      <c r="E263" s="8"/>
      <c r="F263" s="8"/>
      <c r="G263" s="11"/>
      <c r="H263" s="8"/>
      <c r="I263" s="8"/>
      <c r="J263" s="8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9" t="str">
        <f t="shared" si="4"/>
        <v/>
      </c>
      <c r="V263" s="8"/>
      <c r="W263" s="8"/>
      <c r="X263" s="8"/>
      <c r="Y263" s="10"/>
      <c r="Z263" s="8"/>
    </row>
    <row r="264" spans="1:26">
      <c r="A264" s="8"/>
      <c r="B264" s="10"/>
      <c r="C264" s="8"/>
      <c r="D264" s="8"/>
      <c r="E264" s="8"/>
      <c r="F264" s="8"/>
      <c r="G264" s="11"/>
      <c r="H264" s="8"/>
      <c r="I264" s="8"/>
      <c r="J264" s="8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9" t="str">
        <f t="shared" si="4"/>
        <v/>
      </c>
      <c r="V264" s="8"/>
      <c r="W264" s="8"/>
      <c r="X264" s="8"/>
      <c r="Y264" s="10"/>
      <c r="Z264" s="8"/>
    </row>
    <row r="265" spans="1:26">
      <c r="A265" s="8"/>
      <c r="B265" s="10"/>
      <c r="C265" s="8"/>
      <c r="D265" s="8"/>
      <c r="E265" s="8"/>
      <c r="F265" s="8"/>
      <c r="G265" s="11"/>
      <c r="H265" s="8"/>
      <c r="I265" s="8"/>
      <c r="J265" s="8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9" t="str">
        <f t="shared" si="4"/>
        <v/>
      </c>
      <c r="V265" s="8"/>
      <c r="W265" s="8"/>
      <c r="X265" s="8"/>
      <c r="Y265" s="10"/>
      <c r="Z265" s="8"/>
    </row>
    <row r="266" spans="1:26">
      <c r="A266" s="8"/>
      <c r="B266" s="10"/>
      <c r="C266" s="8"/>
      <c r="D266" s="8"/>
      <c r="E266" s="8"/>
      <c r="F266" s="8"/>
      <c r="G266" s="11"/>
      <c r="H266" s="8"/>
      <c r="I266" s="8"/>
      <c r="J266" s="8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9" t="str">
        <f t="shared" si="4"/>
        <v/>
      </c>
      <c r="V266" s="8"/>
      <c r="W266" s="8"/>
      <c r="X266" s="8"/>
      <c r="Y266" s="10"/>
      <c r="Z266" s="8"/>
    </row>
    <row r="267" spans="1:26">
      <c r="A267" s="8"/>
      <c r="B267" s="10"/>
      <c r="C267" s="8"/>
      <c r="D267" s="8"/>
      <c r="E267" s="8"/>
      <c r="F267" s="8"/>
      <c r="G267" s="11"/>
      <c r="H267" s="8"/>
      <c r="I267" s="8"/>
      <c r="J267" s="8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9" t="str">
        <f t="shared" si="4"/>
        <v/>
      </c>
      <c r="V267" s="8"/>
      <c r="W267" s="8"/>
      <c r="X267" s="8"/>
      <c r="Y267" s="10"/>
      <c r="Z267" s="8"/>
    </row>
    <row r="268" spans="1:26">
      <c r="A268" s="8"/>
      <c r="B268" s="10"/>
      <c r="C268" s="8"/>
      <c r="D268" s="8"/>
      <c r="E268" s="8"/>
      <c r="F268" s="8"/>
      <c r="G268" s="11"/>
      <c r="H268" s="8"/>
      <c r="I268" s="8"/>
      <c r="J268" s="8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9" t="str">
        <f t="shared" si="4"/>
        <v/>
      </c>
      <c r="V268" s="8"/>
      <c r="W268" s="8"/>
      <c r="X268" s="8"/>
      <c r="Y268" s="10"/>
      <c r="Z268" s="8"/>
    </row>
    <row r="269" spans="1:26">
      <c r="A269" s="8"/>
      <c r="B269" s="10"/>
      <c r="C269" s="8"/>
      <c r="D269" s="8"/>
      <c r="E269" s="8"/>
      <c r="F269" s="8"/>
      <c r="G269" s="11"/>
      <c r="H269" s="8"/>
      <c r="I269" s="8"/>
      <c r="J269" s="8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9" t="str">
        <f t="shared" si="4"/>
        <v/>
      </c>
      <c r="V269" s="8"/>
      <c r="W269" s="8"/>
      <c r="X269" s="8"/>
      <c r="Y269" s="10"/>
      <c r="Z269" s="8"/>
    </row>
    <row r="270" spans="1:26">
      <c r="A270" s="8"/>
      <c r="B270" s="10"/>
      <c r="C270" s="8"/>
      <c r="D270" s="8"/>
      <c r="E270" s="8"/>
      <c r="F270" s="8"/>
      <c r="G270" s="11"/>
      <c r="H270" s="8"/>
      <c r="I270" s="8"/>
      <c r="J270" s="8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9" t="str">
        <f t="shared" si="4"/>
        <v/>
      </c>
      <c r="V270" s="8"/>
      <c r="W270" s="8"/>
      <c r="X270" s="8"/>
      <c r="Y270" s="10"/>
      <c r="Z270" s="8"/>
    </row>
    <row r="271" spans="1:26">
      <c r="A271" s="8"/>
      <c r="B271" s="10"/>
      <c r="C271" s="8"/>
      <c r="D271" s="8"/>
      <c r="E271" s="8"/>
      <c r="F271" s="8"/>
      <c r="G271" s="11"/>
      <c r="H271" s="8"/>
      <c r="I271" s="8"/>
      <c r="J271" s="8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9" t="str">
        <f t="shared" si="4"/>
        <v/>
      </c>
      <c r="V271" s="8"/>
      <c r="W271" s="8"/>
      <c r="X271" s="8"/>
      <c r="Y271" s="10"/>
      <c r="Z271" s="8"/>
    </row>
    <row r="272" spans="1:26">
      <c r="A272" s="8"/>
      <c r="B272" s="10"/>
      <c r="C272" s="8"/>
      <c r="D272" s="8"/>
      <c r="E272" s="8"/>
      <c r="F272" s="8"/>
      <c r="G272" s="11"/>
      <c r="H272" s="8"/>
      <c r="I272" s="8"/>
      <c r="J272" s="8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9" t="str">
        <f t="shared" si="4"/>
        <v/>
      </c>
      <c r="V272" s="8"/>
      <c r="W272" s="8"/>
      <c r="X272" s="8"/>
      <c r="Y272" s="10"/>
      <c r="Z272" s="8"/>
    </row>
    <row r="273" spans="1:26">
      <c r="A273" s="8"/>
      <c r="B273" s="10"/>
      <c r="C273" s="8"/>
      <c r="D273" s="8"/>
      <c r="E273" s="8"/>
      <c r="F273" s="8"/>
      <c r="G273" s="11"/>
      <c r="H273" s="8"/>
      <c r="I273" s="8"/>
      <c r="J273" s="8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9" t="str">
        <f t="shared" si="4"/>
        <v/>
      </c>
      <c r="V273" s="8"/>
      <c r="W273" s="8"/>
      <c r="X273" s="8"/>
      <c r="Y273" s="10"/>
      <c r="Z273" s="8"/>
    </row>
    <row r="274" spans="1:26">
      <c r="A274" s="8"/>
      <c r="B274" s="10"/>
      <c r="C274" s="8"/>
      <c r="D274" s="8"/>
      <c r="E274" s="8"/>
      <c r="F274" s="8"/>
      <c r="G274" s="11"/>
      <c r="H274" s="8"/>
      <c r="I274" s="8"/>
      <c r="J274" s="8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9" t="str">
        <f t="shared" si="4"/>
        <v/>
      </c>
      <c r="V274" s="8"/>
      <c r="W274" s="8"/>
      <c r="X274" s="8"/>
      <c r="Y274" s="10"/>
      <c r="Z274" s="8"/>
    </row>
    <row r="275" spans="1:26">
      <c r="A275" s="8"/>
      <c r="B275" s="10"/>
      <c r="C275" s="8"/>
      <c r="D275" s="8"/>
      <c r="E275" s="8"/>
      <c r="F275" s="8"/>
      <c r="G275" s="11"/>
      <c r="H275" s="8"/>
      <c r="I275" s="8"/>
      <c r="J275" s="8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9" t="str">
        <f t="shared" si="4"/>
        <v/>
      </c>
      <c r="V275" s="8"/>
      <c r="W275" s="8"/>
      <c r="X275" s="8"/>
      <c r="Y275" s="10"/>
      <c r="Z275" s="8"/>
    </row>
    <row r="276" spans="1:26">
      <c r="A276" s="8"/>
      <c r="B276" s="10"/>
      <c r="C276" s="8"/>
      <c r="D276" s="8"/>
      <c r="E276" s="8"/>
      <c r="F276" s="8"/>
      <c r="G276" s="11"/>
      <c r="H276" s="8"/>
      <c r="I276" s="8"/>
      <c r="J276" s="8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9" t="str">
        <f t="shared" si="4"/>
        <v/>
      </c>
      <c r="V276" s="8"/>
      <c r="W276" s="8"/>
      <c r="X276" s="8"/>
      <c r="Y276" s="10"/>
      <c r="Z276" s="8"/>
    </row>
    <row r="277" spans="1:26">
      <c r="A277" s="8"/>
      <c r="B277" s="10"/>
      <c r="C277" s="8"/>
      <c r="D277" s="8"/>
      <c r="E277" s="8"/>
      <c r="F277" s="8"/>
      <c r="G277" s="11"/>
      <c r="H277" s="8"/>
      <c r="I277" s="8"/>
      <c r="J277" s="8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9" t="str">
        <f t="shared" si="4"/>
        <v/>
      </c>
      <c r="V277" s="8"/>
      <c r="W277" s="8"/>
      <c r="X277" s="8"/>
      <c r="Y277" s="10"/>
      <c r="Z277" s="8"/>
    </row>
    <row r="278" spans="1:26">
      <c r="A278" s="8"/>
      <c r="B278" s="10"/>
      <c r="C278" s="8"/>
      <c r="D278" s="8"/>
      <c r="E278" s="8"/>
      <c r="F278" s="8"/>
      <c r="G278" s="11"/>
      <c r="H278" s="8"/>
      <c r="I278" s="8"/>
      <c r="J278" s="8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9" t="str">
        <f t="shared" si="4"/>
        <v/>
      </c>
      <c r="V278" s="8"/>
      <c r="W278" s="8"/>
      <c r="X278" s="8"/>
      <c r="Y278" s="10"/>
      <c r="Z278" s="8"/>
    </row>
    <row r="279" spans="1:26">
      <c r="A279" s="8"/>
      <c r="B279" s="10"/>
      <c r="C279" s="8"/>
      <c r="D279" s="8"/>
      <c r="E279" s="8"/>
      <c r="F279" s="8"/>
      <c r="G279" s="11"/>
      <c r="H279" s="8"/>
      <c r="I279" s="8"/>
      <c r="J279" s="8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9" t="str">
        <f t="shared" si="4"/>
        <v/>
      </c>
      <c r="V279" s="8"/>
      <c r="W279" s="8"/>
      <c r="X279" s="8"/>
      <c r="Y279" s="10"/>
      <c r="Z279" s="8"/>
    </row>
    <row r="280" spans="1:26">
      <c r="A280" s="8"/>
      <c r="B280" s="10"/>
      <c r="C280" s="8"/>
      <c r="D280" s="8"/>
      <c r="E280" s="8"/>
      <c r="F280" s="8"/>
      <c r="G280" s="11"/>
      <c r="H280" s="8"/>
      <c r="I280" s="8"/>
      <c r="J280" s="8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9" t="str">
        <f t="shared" si="4"/>
        <v/>
      </c>
      <c r="V280" s="8"/>
      <c r="W280" s="8"/>
      <c r="X280" s="8"/>
      <c r="Y280" s="10"/>
      <c r="Z280" s="8"/>
    </row>
    <row r="281" spans="1:26">
      <c r="A281" s="8"/>
      <c r="B281" s="10"/>
      <c r="C281" s="8"/>
      <c r="D281" s="8"/>
      <c r="E281" s="8"/>
      <c r="F281" s="8"/>
      <c r="G281" s="11"/>
      <c r="H281" s="8"/>
      <c r="I281" s="8"/>
      <c r="J281" s="8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9" t="str">
        <f t="shared" si="4"/>
        <v/>
      </c>
      <c r="V281" s="8"/>
      <c r="W281" s="8"/>
      <c r="X281" s="8"/>
      <c r="Y281" s="10"/>
      <c r="Z281" s="8"/>
    </row>
    <row r="282" spans="1:26">
      <c r="A282" s="8"/>
      <c r="B282" s="10"/>
      <c r="C282" s="8"/>
      <c r="D282" s="8"/>
      <c r="E282" s="8"/>
      <c r="F282" s="8"/>
      <c r="G282" s="11"/>
      <c r="H282" s="8"/>
      <c r="I282" s="8"/>
      <c r="J282" s="8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9" t="str">
        <f t="shared" si="4"/>
        <v/>
      </c>
      <c r="V282" s="8"/>
      <c r="W282" s="8"/>
      <c r="X282" s="8"/>
      <c r="Y282" s="10"/>
      <c r="Z282" s="8"/>
    </row>
    <row r="283" spans="1:26">
      <c r="A283" s="8"/>
      <c r="B283" s="10"/>
      <c r="C283" s="8"/>
      <c r="D283" s="8"/>
      <c r="E283" s="8"/>
      <c r="F283" s="8"/>
      <c r="G283" s="11"/>
      <c r="H283" s="8"/>
      <c r="I283" s="8"/>
      <c r="J283" s="8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9" t="str">
        <f t="shared" si="4"/>
        <v/>
      </c>
      <c r="V283" s="8"/>
      <c r="W283" s="8"/>
      <c r="X283" s="8"/>
      <c r="Y283" s="10"/>
      <c r="Z283" s="8"/>
    </row>
    <row r="284" spans="1:26">
      <c r="A284" s="8"/>
      <c r="B284" s="10"/>
      <c r="C284" s="8"/>
      <c r="D284" s="8"/>
      <c r="E284" s="8"/>
      <c r="F284" s="8"/>
      <c r="G284" s="11"/>
      <c r="H284" s="8"/>
      <c r="I284" s="8"/>
      <c r="J284" s="8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9" t="str">
        <f t="shared" si="4"/>
        <v/>
      </c>
      <c r="V284" s="8"/>
      <c r="W284" s="8"/>
      <c r="X284" s="8"/>
      <c r="Y284" s="10"/>
      <c r="Z284" s="8"/>
    </row>
    <row r="285" spans="1:26">
      <c r="A285" s="8"/>
      <c r="B285" s="10"/>
      <c r="C285" s="8"/>
      <c r="D285" s="8"/>
      <c r="E285" s="8"/>
      <c r="F285" s="8"/>
      <c r="G285" s="11"/>
      <c r="H285" s="8"/>
      <c r="I285" s="8"/>
      <c r="J285" s="8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9" t="str">
        <f t="shared" si="4"/>
        <v/>
      </c>
      <c r="V285" s="8"/>
      <c r="W285" s="8"/>
      <c r="X285" s="8"/>
      <c r="Y285" s="10"/>
      <c r="Z285" s="8"/>
    </row>
    <row r="286" spans="1:26">
      <c r="A286" s="8"/>
      <c r="B286" s="10"/>
      <c r="C286" s="8"/>
      <c r="D286" s="8"/>
      <c r="E286" s="8"/>
      <c r="F286" s="8"/>
      <c r="G286" s="11"/>
      <c r="H286" s="8"/>
      <c r="I286" s="8"/>
      <c r="J286" s="8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9" t="str">
        <f t="shared" si="4"/>
        <v/>
      </c>
      <c r="V286" s="8"/>
      <c r="W286" s="8"/>
      <c r="X286" s="8"/>
      <c r="Y286" s="10"/>
      <c r="Z286" s="8"/>
    </row>
    <row r="287" spans="1:26">
      <c r="A287" s="8"/>
      <c r="B287" s="10"/>
      <c r="C287" s="8"/>
      <c r="D287" s="8"/>
      <c r="E287" s="8"/>
      <c r="F287" s="8"/>
      <c r="G287" s="11"/>
      <c r="H287" s="8"/>
      <c r="I287" s="8"/>
      <c r="J287" s="8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9" t="str">
        <f t="shared" si="4"/>
        <v/>
      </c>
      <c r="V287" s="8"/>
      <c r="W287" s="8"/>
      <c r="X287" s="8"/>
      <c r="Y287" s="10"/>
      <c r="Z287" s="8"/>
    </row>
    <row r="288" spans="1:26">
      <c r="A288" s="8"/>
      <c r="B288" s="10"/>
      <c r="C288" s="8"/>
      <c r="D288" s="8"/>
      <c r="E288" s="8"/>
      <c r="F288" s="8"/>
      <c r="G288" s="11"/>
      <c r="H288" s="8"/>
      <c r="I288" s="8"/>
      <c r="J288" s="8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9" t="str">
        <f t="shared" si="4"/>
        <v/>
      </c>
      <c r="V288" s="8"/>
      <c r="W288" s="8"/>
      <c r="X288" s="8"/>
      <c r="Y288" s="10"/>
      <c r="Z288" s="8"/>
    </row>
    <row r="289" spans="1:26">
      <c r="A289" s="8"/>
      <c r="B289" s="10"/>
      <c r="C289" s="8"/>
      <c r="D289" s="8"/>
      <c r="E289" s="8"/>
      <c r="F289" s="8"/>
      <c r="G289" s="11"/>
      <c r="H289" s="8"/>
      <c r="I289" s="8"/>
      <c r="J289" s="8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9" t="str">
        <f t="shared" si="4"/>
        <v/>
      </c>
      <c r="V289" s="8"/>
      <c r="W289" s="8"/>
      <c r="X289" s="8"/>
      <c r="Y289" s="10"/>
      <c r="Z289" s="8"/>
    </row>
    <row r="290" spans="1:26">
      <c r="A290" s="8"/>
      <c r="B290" s="10"/>
      <c r="C290" s="8"/>
      <c r="D290" s="8"/>
      <c r="E290" s="8"/>
      <c r="F290" s="8"/>
      <c r="G290" s="11"/>
      <c r="H290" s="8"/>
      <c r="I290" s="8"/>
      <c r="J290" s="8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9" t="str">
        <f t="shared" si="4"/>
        <v/>
      </c>
      <c r="V290" s="8"/>
      <c r="W290" s="8"/>
      <c r="X290" s="8"/>
      <c r="Y290" s="10"/>
      <c r="Z290" s="8"/>
    </row>
    <row r="291" spans="1:26">
      <c r="A291" s="8"/>
      <c r="B291" s="10"/>
      <c r="C291" s="8"/>
      <c r="D291" s="8"/>
      <c r="E291" s="8"/>
      <c r="F291" s="8"/>
      <c r="G291" s="11"/>
      <c r="H291" s="8"/>
      <c r="I291" s="8"/>
      <c r="J291" s="8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9" t="str">
        <f t="shared" si="4"/>
        <v/>
      </c>
      <c r="V291" s="8"/>
      <c r="W291" s="8"/>
      <c r="X291" s="8"/>
      <c r="Y291" s="10"/>
      <c r="Z291" s="8"/>
    </row>
    <row r="292" spans="1:26">
      <c r="A292" s="8"/>
      <c r="B292" s="10"/>
      <c r="C292" s="8"/>
      <c r="D292" s="8"/>
      <c r="E292" s="8"/>
      <c r="F292" s="8"/>
      <c r="G292" s="11"/>
      <c r="H292" s="8"/>
      <c r="I292" s="8"/>
      <c r="J292" s="8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9" t="str">
        <f t="shared" si="4"/>
        <v/>
      </c>
      <c r="V292" s="8"/>
      <c r="W292" s="8"/>
      <c r="X292" s="8"/>
      <c r="Y292" s="10"/>
      <c r="Z292" s="8"/>
    </row>
    <row r="293" spans="1:26">
      <c r="A293" s="8"/>
      <c r="B293" s="10"/>
      <c r="C293" s="8"/>
      <c r="D293" s="8"/>
      <c r="E293" s="8"/>
      <c r="F293" s="8"/>
      <c r="G293" s="11"/>
      <c r="H293" s="8"/>
      <c r="I293" s="8"/>
      <c r="J293" s="8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9" t="str">
        <f t="shared" si="4"/>
        <v/>
      </c>
      <c r="V293" s="8"/>
      <c r="W293" s="8"/>
      <c r="X293" s="8"/>
      <c r="Y293" s="10"/>
      <c r="Z293" s="8"/>
    </row>
    <row r="294" spans="1:26">
      <c r="A294" s="8"/>
      <c r="B294" s="10"/>
      <c r="C294" s="8"/>
      <c r="D294" s="8"/>
      <c r="E294" s="8"/>
      <c r="F294" s="8"/>
      <c r="G294" s="11"/>
      <c r="H294" s="8"/>
      <c r="I294" s="8"/>
      <c r="J294" s="8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9" t="str">
        <f t="shared" si="4"/>
        <v/>
      </c>
      <c r="V294" s="8"/>
      <c r="W294" s="8"/>
      <c r="X294" s="8"/>
      <c r="Y294" s="10"/>
      <c r="Z294" s="8"/>
    </row>
    <row r="295" spans="1:26">
      <c r="A295" s="8"/>
      <c r="B295" s="10"/>
      <c r="C295" s="8"/>
      <c r="D295" s="8"/>
      <c r="E295" s="8"/>
      <c r="F295" s="8"/>
      <c r="G295" s="11"/>
      <c r="H295" s="8"/>
      <c r="I295" s="8"/>
      <c r="J295" s="8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9" t="str">
        <f t="shared" si="4"/>
        <v/>
      </c>
      <c r="V295" s="8"/>
      <c r="W295" s="8"/>
      <c r="X295" s="8"/>
      <c r="Y295" s="10"/>
      <c r="Z295" s="8"/>
    </row>
    <row r="296" spans="1:26">
      <c r="A296" s="8"/>
      <c r="B296" s="10"/>
      <c r="C296" s="8"/>
      <c r="D296" s="8"/>
      <c r="E296" s="8"/>
      <c r="F296" s="8"/>
      <c r="G296" s="11"/>
      <c r="H296" s="8"/>
      <c r="I296" s="8"/>
      <c r="J296" s="8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9" t="str">
        <f t="shared" si="4"/>
        <v/>
      </c>
      <c r="V296" s="8"/>
      <c r="W296" s="8"/>
      <c r="X296" s="8"/>
      <c r="Y296" s="10"/>
      <c r="Z296" s="8"/>
    </row>
    <row r="297" spans="1:26">
      <c r="A297" s="8"/>
      <c r="B297" s="10"/>
      <c r="C297" s="8"/>
      <c r="D297" s="8"/>
      <c r="E297" s="8"/>
      <c r="F297" s="8"/>
      <c r="G297" s="11"/>
      <c r="H297" s="8"/>
      <c r="I297" s="8"/>
      <c r="J297" s="8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9" t="str">
        <f t="shared" si="4"/>
        <v/>
      </c>
      <c r="V297" s="8"/>
      <c r="W297" s="8"/>
      <c r="X297" s="8"/>
      <c r="Y297" s="10"/>
      <c r="Z297" s="8"/>
    </row>
    <row r="298" spans="1:26">
      <c r="A298" s="8"/>
      <c r="B298" s="10"/>
      <c r="C298" s="8"/>
      <c r="D298" s="8"/>
      <c r="E298" s="8"/>
      <c r="F298" s="8"/>
      <c r="G298" s="11"/>
      <c r="H298" s="8"/>
      <c r="I298" s="8"/>
      <c r="J298" s="8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9" t="str">
        <f t="shared" si="4"/>
        <v/>
      </c>
      <c r="V298" s="8"/>
      <c r="W298" s="8"/>
      <c r="X298" s="8"/>
      <c r="Y298" s="10"/>
      <c r="Z298" s="8"/>
    </row>
    <row r="299" spans="1:26">
      <c r="A299" s="8"/>
      <c r="B299" s="10"/>
      <c r="C299" s="8"/>
      <c r="D299" s="8"/>
      <c r="E299" s="8"/>
      <c r="F299" s="8"/>
      <c r="G299" s="11"/>
      <c r="H299" s="8"/>
      <c r="I299" s="8"/>
      <c r="J299" s="8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9" t="str">
        <f t="shared" si="4"/>
        <v/>
      </c>
      <c r="V299" s="8"/>
      <c r="W299" s="8"/>
      <c r="X299" s="8"/>
      <c r="Y299" s="10"/>
      <c r="Z299" s="8"/>
    </row>
    <row r="300" spans="1:26">
      <c r="A300" s="8"/>
      <c r="B300" s="10"/>
      <c r="C300" s="8"/>
      <c r="D300" s="8"/>
      <c r="E300" s="8"/>
      <c r="F300" s="8"/>
      <c r="G300" s="11"/>
      <c r="H300" s="8"/>
      <c r="I300" s="8"/>
      <c r="J300" s="8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9" t="str">
        <f t="shared" si="4"/>
        <v/>
      </c>
      <c r="V300" s="8"/>
      <c r="W300" s="8"/>
      <c r="X300" s="8"/>
      <c r="Y300" s="10"/>
      <c r="Z300" s="8"/>
    </row>
    <row r="301" spans="1:26">
      <c r="A301" s="8"/>
      <c r="B301" s="10"/>
      <c r="C301" s="8"/>
      <c r="D301" s="8"/>
      <c r="E301" s="8"/>
      <c r="F301" s="8"/>
      <c r="G301" s="11"/>
      <c r="H301" s="8"/>
      <c r="I301" s="8"/>
      <c r="J301" s="8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9" t="str">
        <f t="shared" si="4"/>
        <v/>
      </c>
      <c r="V301" s="8"/>
      <c r="W301" s="8"/>
      <c r="X301" s="8"/>
      <c r="Y301" s="10"/>
      <c r="Z301" s="8"/>
    </row>
    <row r="302" spans="1:26">
      <c r="A302" s="8"/>
      <c r="B302" s="10"/>
      <c r="C302" s="8"/>
      <c r="D302" s="8"/>
      <c r="E302" s="8"/>
      <c r="F302" s="8"/>
      <c r="G302" s="11"/>
      <c r="H302" s="8"/>
      <c r="I302" s="8"/>
      <c r="J302" s="8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9" t="str">
        <f t="shared" si="4"/>
        <v/>
      </c>
      <c r="V302" s="8"/>
      <c r="W302" s="8"/>
      <c r="X302" s="8"/>
      <c r="Y302" s="10"/>
      <c r="Z302" s="8"/>
    </row>
    <row r="303" spans="1:26">
      <c r="A303" s="8"/>
      <c r="B303" s="10"/>
      <c r="C303" s="8"/>
      <c r="D303" s="8"/>
      <c r="E303" s="8"/>
      <c r="F303" s="8"/>
      <c r="G303" s="11"/>
      <c r="H303" s="8"/>
      <c r="I303" s="8"/>
      <c r="J303" s="8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9" t="str">
        <f t="shared" si="4"/>
        <v/>
      </c>
      <c r="V303" s="8"/>
      <c r="W303" s="8"/>
      <c r="X303" s="8"/>
      <c r="Y303" s="10"/>
      <c r="Z303" s="8"/>
    </row>
    <row r="304" spans="1:26">
      <c r="A304" s="8"/>
      <c r="B304" s="10"/>
      <c r="C304" s="8"/>
      <c r="D304" s="8"/>
      <c r="E304" s="8"/>
      <c r="F304" s="8"/>
      <c r="G304" s="11"/>
      <c r="H304" s="8"/>
      <c r="I304" s="8"/>
      <c r="J304" s="8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9" t="str">
        <f t="shared" si="4"/>
        <v/>
      </c>
      <c r="V304" s="8"/>
      <c r="W304" s="8"/>
      <c r="X304" s="8"/>
      <c r="Y304" s="10"/>
      <c r="Z304" s="8"/>
    </row>
  </sheetData>
  <mergeCells count="2">
    <mergeCell ref="A1:Z1"/>
    <mergeCell ref="A2:Z2"/>
  </mergeCells>
  <conditionalFormatting sqref="A5:A304">
    <cfRule type="duplicateValues" dxfId="24" priority="9"/>
  </conditionalFormatting>
  <conditionalFormatting sqref="U5:U304">
    <cfRule type="containsText" dxfId="23" priority="1" operator="containsText" text="Approved"/>
    <cfRule type="containsText" dxfId="22" priority="4" operator="containsText" text="Failed"/>
    <cfRule type="containsText" dxfId="21" priority="7" operator="containsText" text="On Hold"/>
  </conditionalFormatting>
  <dataValidations count="3">
    <dataValidation type="list" sqref="H5:H304" xr:uid="{00000000-0002-0000-1B00-000000000000}">
      <formula1>"General I,General II,General III"</formula1>
    </dataValidation>
    <dataValidation type="list" sqref="I5:J304" xr:uid="{00000000-0002-0000-1B00-000001000000}">
      <formula1>"0.65,1.0,1.5,2.5,4.0"</formula1>
    </dataValidation>
    <dataValidation type="list" sqref="W5:W304" xr:uid="{00000000-0002-0000-1B00-000002000000}">
      <formula1>"Accept,Reject,Rework,Hold,Conditional Release"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04"/>
  <sheetViews>
    <sheetView showGridLines="0" workbookViewId="0">
      <selection sqref="A1:Z1"/>
    </sheetView>
  </sheetViews>
  <sheetFormatPr baseColWidth="10" defaultColWidth="8.83203125" defaultRowHeight="14"/>
  <cols>
    <col min="1" max="3" width="14" customWidth="1"/>
    <col min="4" max="5" width="13" customWidth="1"/>
    <col min="6" max="6" width="16" customWidth="1"/>
    <col min="7" max="7" width="12" customWidth="1"/>
    <col min="8" max="8" width="16" customWidth="1"/>
    <col min="9" max="11" width="12" customWidth="1"/>
    <col min="12" max="12" width="15" customWidth="1"/>
    <col min="13" max="14" width="14" customWidth="1"/>
    <col min="15" max="15" width="12" customWidth="1"/>
    <col min="16" max="17" width="11" customWidth="1"/>
    <col min="18" max="18" width="12" customWidth="1"/>
    <col min="19" max="20" width="11" customWidth="1"/>
    <col min="21" max="22" width="14" customWidth="1"/>
    <col min="23" max="23" width="18" customWidth="1"/>
    <col min="24" max="24" width="20" customWidth="1"/>
    <col min="25" max="25" width="15" customWidth="1"/>
    <col min="26" max="26" width="24" customWidth="1"/>
  </cols>
  <sheetData>
    <row r="1" spans="1:26" ht="30" customHeight="1">
      <c r="A1" s="52" t="s">
        <v>430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4" spans="1:26" ht="44" customHeight="1">
      <c r="A4" s="6" t="s">
        <v>201</v>
      </c>
      <c r="B4" s="6" t="s">
        <v>202</v>
      </c>
      <c r="C4" s="6" t="s">
        <v>44</v>
      </c>
      <c r="D4" s="6" t="s">
        <v>45</v>
      </c>
      <c r="E4" s="6" t="s">
        <v>46</v>
      </c>
      <c r="F4" s="6" t="s">
        <v>417</v>
      </c>
      <c r="G4" s="6" t="s">
        <v>418</v>
      </c>
      <c r="H4" s="6" t="s">
        <v>419</v>
      </c>
      <c r="I4" s="6" t="s">
        <v>420</v>
      </c>
      <c r="J4" s="6" t="s">
        <v>421</v>
      </c>
      <c r="K4" s="6" t="s">
        <v>422</v>
      </c>
      <c r="L4" s="6" t="s">
        <v>408</v>
      </c>
      <c r="M4" s="6" t="s">
        <v>409</v>
      </c>
      <c r="N4" s="6" t="s">
        <v>410</v>
      </c>
      <c r="O4" s="6" t="s">
        <v>423</v>
      </c>
      <c r="P4" s="6" t="s">
        <v>424</v>
      </c>
      <c r="Q4" s="6" t="s">
        <v>425</v>
      </c>
      <c r="R4" s="6" t="s">
        <v>426</v>
      </c>
      <c r="S4" s="6" t="s">
        <v>427</v>
      </c>
      <c r="T4" s="6" t="s">
        <v>428</v>
      </c>
      <c r="U4" s="6" t="s">
        <v>215</v>
      </c>
      <c r="V4" s="6" t="s">
        <v>216</v>
      </c>
      <c r="W4" s="6" t="s">
        <v>429</v>
      </c>
      <c r="X4" s="6" t="s">
        <v>160</v>
      </c>
      <c r="Y4" s="6" t="s">
        <v>63</v>
      </c>
      <c r="Z4" s="6" t="s">
        <v>161</v>
      </c>
    </row>
    <row r="5" spans="1:26">
      <c r="A5" s="8"/>
      <c r="B5" s="10"/>
      <c r="C5" s="8"/>
      <c r="D5" s="8"/>
      <c r="E5" s="8"/>
      <c r="F5" s="8"/>
      <c r="G5" s="11"/>
      <c r="H5" s="8"/>
      <c r="I5" s="8"/>
      <c r="J5" s="8"/>
      <c r="K5" s="11"/>
      <c r="L5" s="11"/>
      <c r="M5" s="11"/>
      <c r="N5" s="11"/>
      <c r="O5" s="11"/>
      <c r="P5" s="11"/>
      <c r="Q5" s="11"/>
      <c r="R5" s="11"/>
      <c r="S5" s="11"/>
      <c r="T5" s="11"/>
      <c r="U5" s="9" t="str">
        <f t="shared" ref="U5:U68" si="0">IF(A5="","",IF(OR(L5&gt;=R5,M5&gt;=S5,N5&gt;=T5),"Failed","Passed"))</f>
        <v/>
      </c>
      <c r="V5" s="8"/>
      <c r="W5" s="8"/>
      <c r="X5" s="8"/>
      <c r="Y5" s="10"/>
      <c r="Z5" s="8"/>
    </row>
    <row r="6" spans="1:26">
      <c r="A6" s="8"/>
      <c r="B6" s="10"/>
      <c r="C6" s="8"/>
      <c r="D6" s="8"/>
      <c r="E6" s="8"/>
      <c r="F6" s="8"/>
      <c r="G6" s="11"/>
      <c r="H6" s="8"/>
      <c r="I6" s="8"/>
      <c r="J6" s="8"/>
      <c r="K6" s="11"/>
      <c r="L6" s="11"/>
      <c r="M6" s="11"/>
      <c r="N6" s="11"/>
      <c r="O6" s="11"/>
      <c r="P6" s="11"/>
      <c r="Q6" s="11"/>
      <c r="R6" s="11"/>
      <c r="S6" s="11"/>
      <c r="T6" s="11"/>
      <c r="U6" s="9" t="str">
        <f t="shared" si="0"/>
        <v/>
      </c>
      <c r="V6" s="8"/>
      <c r="W6" s="8"/>
      <c r="X6" s="8"/>
      <c r="Y6" s="10"/>
      <c r="Z6" s="8"/>
    </row>
    <row r="7" spans="1:26">
      <c r="A7" s="8"/>
      <c r="B7" s="10"/>
      <c r="C7" s="8"/>
      <c r="D7" s="8"/>
      <c r="E7" s="8"/>
      <c r="F7" s="8"/>
      <c r="G7" s="11"/>
      <c r="H7" s="8"/>
      <c r="I7" s="8"/>
      <c r="J7" s="8"/>
      <c r="K7" s="11"/>
      <c r="L7" s="11"/>
      <c r="M7" s="11"/>
      <c r="N7" s="11"/>
      <c r="O7" s="11"/>
      <c r="P7" s="11"/>
      <c r="Q7" s="11"/>
      <c r="R7" s="11"/>
      <c r="S7" s="11"/>
      <c r="T7" s="11"/>
      <c r="U7" s="9" t="str">
        <f t="shared" si="0"/>
        <v/>
      </c>
      <c r="V7" s="8"/>
      <c r="W7" s="8"/>
      <c r="X7" s="8"/>
      <c r="Y7" s="10"/>
      <c r="Z7" s="8"/>
    </row>
    <row r="8" spans="1:26">
      <c r="A8" s="8"/>
      <c r="B8" s="10"/>
      <c r="C8" s="8"/>
      <c r="D8" s="8"/>
      <c r="E8" s="8"/>
      <c r="F8" s="8"/>
      <c r="G8" s="11"/>
      <c r="H8" s="8"/>
      <c r="I8" s="8"/>
      <c r="J8" s="8"/>
      <c r="K8" s="11"/>
      <c r="L8" s="11"/>
      <c r="M8" s="11"/>
      <c r="N8" s="11"/>
      <c r="O8" s="11"/>
      <c r="P8" s="11"/>
      <c r="Q8" s="11"/>
      <c r="R8" s="11"/>
      <c r="S8" s="11"/>
      <c r="T8" s="11"/>
      <c r="U8" s="9" t="str">
        <f t="shared" si="0"/>
        <v/>
      </c>
      <c r="V8" s="8"/>
      <c r="W8" s="8"/>
      <c r="X8" s="8"/>
      <c r="Y8" s="10"/>
      <c r="Z8" s="8"/>
    </row>
    <row r="9" spans="1:26">
      <c r="A9" s="8"/>
      <c r="B9" s="10"/>
      <c r="C9" s="8"/>
      <c r="D9" s="8"/>
      <c r="E9" s="8"/>
      <c r="F9" s="8"/>
      <c r="G9" s="11"/>
      <c r="H9" s="8"/>
      <c r="I9" s="8"/>
      <c r="J9" s="8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tr">
        <f t="shared" si="0"/>
        <v/>
      </c>
      <c r="V9" s="8"/>
      <c r="W9" s="8"/>
      <c r="X9" s="8"/>
      <c r="Y9" s="10"/>
      <c r="Z9" s="8"/>
    </row>
    <row r="10" spans="1:26">
      <c r="A10" s="8"/>
      <c r="B10" s="10"/>
      <c r="C10" s="8"/>
      <c r="D10" s="8"/>
      <c r="E10" s="8"/>
      <c r="F10" s="8"/>
      <c r="G10" s="11"/>
      <c r="H10" s="8"/>
      <c r="I10" s="8"/>
      <c r="J10" s="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tr">
        <f t="shared" si="0"/>
        <v/>
      </c>
      <c r="V10" s="8"/>
      <c r="W10" s="8"/>
      <c r="X10" s="8"/>
      <c r="Y10" s="10"/>
      <c r="Z10" s="8"/>
    </row>
    <row r="11" spans="1:26">
      <c r="A11" s="8"/>
      <c r="B11" s="10"/>
      <c r="C11" s="8"/>
      <c r="D11" s="8"/>
      <c r="E11" s="8"/>
      <c r="F11" s="8"/>
      <c r="G11" s="11"/>
      <c r="H11" s="8"/>
      <c r="I11" s="8"/>
      <c r="J11" s="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tr">
        <f t="shared" si="0"/>
        <v/>
      </c>
      <c r="V11" s="8"/>
      <c r="W11" s="8"/>
      <c r="X11" s="8"/>
      <c r="Y11" s="10"/>
      <c r="Z11" s="8"/>
    </row>
    <row r="12" spans="1:26">
      <c r="A12" s="8"/>
      <c r="B12" s="10"/>
      <c r="C12" s="8"/>
      <c r="D12" s="8"/>
      <c r="E12" s="8"/>
      <c r="F12" s="8"/>
      <c r="G12" s="11"/>
      <c r="H12" s="8"/>
      <c r="I12" s="8"/>
      <c r="J12" s="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tr">
        <f t="shared" si="0"/>
        <v/>
      </c>
      <c r="V12" s="8"/>
      <c r="W12" s="8"/>
      <c r="X12" s="8"/>
      <c r="Y12" s="10"/>
      <c r="Z12" s="8"/>
    </row>
    <row r="13" spans="1:26">
      <c r="A13" s="8"/>
      <c r="B13" s="10"/>
      <c r="C13" s="8"/>
      <c r="D13" s="8"/>
      <c r="E13" s="8"/>
      <c r="F13" s="8"/>
      <c r="G13" s="11"/>
      <c r="H13" s="8"/>
      <c r="I13" s="8"/>
      <c r="J13" s="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tr">
        <f t="shared" si="0"/>
        <v/>
      </c>
      <c r="V13" s="8"/>
      <c r="W13" s="8"/>
      <c r="X13" s="8"/>
      <c r="Y13" s="10"/>
      <c r="Z13" s="8"/>
    </row>
    <row r="14" spans="1:26">
      <c r="A14" s="8"/>
      <c r="B14" s="10"/>
      <c r="C14" s="8"/>
      <c r="D14" s="8"/>
      <c r="E14" s="8"/>
      <c r="F14" s="8"/>
      <c r="G14" s="11"/>
      <c r="H14" s="8"/>
      <c r="I14" s="8"/>
      <c r="J14" s="8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9" t="str">
        <f t="shared" si="0"/>
        <v/>
      </c>
      <c r="V14" s="8"/>
      <c r="W14" s="8"/>
      <c r="X14" s="8"/>
      <c r="Y14" s="10"/>
      <c r="Z14" s="8"/>
    </row>
    <row r="15" spans="1:26">
      <c r="A15" s="8"/>
      <c r="B15" s="10"/>
      <c r="C15" s="8"/>
      <c r="D15" s="8"/>
      <c r="E15" s="8"/>
      <c r="F15" s="8"/>
      <c r="G15" s="11"/>
      <c r="H15" s="8"/>
      <c r="I15" s="8"/>
      <c r="J15" s="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9" t="str">
        <f t="shared" si="0"/>
        <v/>
      </c>
      <c r="V15" s="8"/>
      <c r="W15" s="8"/>
      <c r="X15" s="8"/>
      <c r="Y15" s="10"/>
      <c r="Z15" s="8"/>
    </row>
    <row r="16" spans="1:26">
      <c r="A16" s="8"/>
      <c r="B16" s="10"/>
      <c r="C16" s="8"/>
      <c r="D16" s="8"/>
      <c r="E16" s="8"/>
      <c r="F16" s="8"/>
      <c r="G16" s="11"/>
      <c r="H16" s="8"/>
      <c r="I16" s="8"/>
      <c r="J16" s="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9" t="str">
        <f t="shared" si="0"/>
        <v/>
      </c>
      <c r="V16" s="8"/>
      <c r="W16" s="8"/>
      <c r="X16" s="8"/>
      <c r="Y16" s="10"/>
      <c r="Z16" s="8"/>
    </row>
    <row r="17" spans="1:26">
      <c r="A17" s="8"/>
      <c r="B17" s="10"/>
      <c r="C17" s="8"/>
      <c r="D17" s="8"/>
      <c r="E17" s="8"/>
      <c r="F17" s="8"/>
      <c r="G17" s="11"/>
      <c r="H17" s="8"/>
      <c r="I17" s="8"/>
      <c r="J17" s="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9" t="str">
        <f t="shared" si="0"/>
        <v/>
      </c>
      <c r="V17" s="8"/>
      <c r="W17" s="8"/>
      <c r="X17" s="8"/>
      <c r="Y17" s="10"/>
      <c r="Z17" s="8"/>
    </row>
    <row r="18" spans="1:26">
      <c r="A18" s="8"/>
      <c r="B18" s="10"/>
      <c r="C18" s="8"/>
      <c r="D18" s="8"/>
      <c r="E18" s="8"/>
      <c r="F18" s="8"/>
      <c r="G18" s="11"/>
      <c r="H18" s="8"/>
      <c r="I18" s="8"/>
      <c r="J18" s="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9" t="str">
        <f t="shared" si="0"/>
        <v/>
      </c>
      <c r="V18" s="8"/>
      <c r="W18" s="8"/>
      <c r="X18" s="8"/>
      <c r="Y18" s="10"/>
      <c r="Z18" s="8"/>
    </row>
    <row r="19" spans="1:26">
      <c r="A19" s="8"/>
      <c r="B19" s="10"/>
      <c r="C19" s="8"/>
      <c r="D19" s="8"/>
      <c r="E19" s="8"/>
      <c r="F19" s="8"/>
      <c r="G19" s="11"/>
      <c r="H19" s="8"/>
      <c r="I19" s="8"/>
      <c r="J19" s="8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9" t="str">
        <f t="shared" si="0"/>
        <v/>
      </c>
      <c r="V19" s="8"/>
      <c r="W19" s="8"/>
      <c r="X19" s="8"/>
      <c r="Y19" s="10"/>
      <c r="Z19" s="8"/>
    </row>
    <row r="20" spans="1:26">
      <c r="A20" s="8"/>
      <c r="B20" s="10"/>
      <c r="C20" s="8"/>
      <c r="D20" s="8"/>
      <c r="E20" s="8"/>
      <c r="F20" s="8"/>
      <c r="G20" s="11"/>
      <c r="H20" s="8"/>
      <c r="I20" s="8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9" t="str">
        <f t="shared" si="0"/>
        <v/>
      </c>
      <c r="V20" s="8"/>
      <c r="W20" s="8"/>
      <c r="X20" s="8"/>
      <c r="Y20" s="10"/>
      <c r="Z20" s="8"/>
    </row>
    <row r="21" spans="1:26">
      <c r="A21" s="8"/>
      <c r="B21" s="10"/>
      <c r="C21" s="8"/>
      <c r="D21" s="8"/>
      <c r="E21" s="8"/>
      <c r="F21" s="8"/>
      <c r="G21" s="11"/>
      <c r="H21" s="8"/>
      <c r="I21" s="8"/>
      <c r="J21" s="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9" t="str">
        <f t="shared" si="0"/>
        <v/>
      </c>
      <c r="V21" s="8"/>
      <c r="W21" s="8"/>
      <c r="X21" s="8"/>
      <c r="Y21" s="10"/>
      <c r="Z21" s="8"/>
    </row>
    <row r="22" spans="1:26">
      <c r="A22" s="8"/>
      <c r="B22" s="10"/>
      <c r="C22" s="8"/>
      <c r="D22" s="8"/>
      <c r="E22" s="8"/>
      <c r="F22" s="8"/>
      <c r="G22" s="11"/>
      <c r="H22" s="8"/>
      <c r="I22" s="8"/>
      <c r="J22" s="8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9" t="str">
        <f t="shared" si="0"/>
        <v/>
      </c>
      <c r="V22" s="8"/>
      <c r="W22" s="8"/>
      <c r="X22" s="8"/>
      <c r="Y22" s="10"/>
      <c r="Z22" s="8"/>
    </row>
    <row r="23" spans="1:26">
      <c r="A23" s="8"/>
      <c r="B23" s="10"/>
      <c r="C23" s="8"/>
      <c r="D23" s="8"/>
      <c r="E23" s="8"/>
      <c r="F23" s="8"/>
      <c r="G23" s="11"/>
      <c r="H23" s="8"/>
      <c r="I23" s="8"/>
      <c r="J23" s="8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9" t="str">
        <f t="shared" si="0"/>
        <v/>
      </c>
      <c r="V23" s="8"/>
      <c r="W23" s="8"/>
      <c r="X23" s="8"/>
      <c r="Y23" s="10"/>
      <c r="Z23" s="8"/>
    </row>
    <row r="24" spans="1:26">
      <c r="A24" s="8"/>
      <c r="B24" s="10"/>
      <c r="C24" s="8"/>
      <c r="D24" s="8"/>
      <c r="E24" s="8"/>
      <c r="F24" s="8"/>
      <c r="G24" s="11"/>
      <c r="H24" s="8"/>
      <c r="I24" s="8"/>
      <c r="J24" s="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" t="str">
        <f t="shared" si="0"/>
        <v/>
      </c>
      <c r="V24" s="8"/>
      <c r="W24" s="8"/>
      <c r="X24" s="8"/>
      <c r="Y24" s="10"/>
      <c r="Z24" s="8"/>
    </row>
    <row r="25" spans="1:26">
      <c r="A25" s="8"/>
      <c r="B25" s="10"/>
      <c r="C25" s="8"/>
      <c r="D25" s="8"/>
      <c r="E25" s="8"/>
      <c r="F25" s="8"/>
      <c r="G25" s="11"/>
      <c r="H25" s="8"/>
      <c r="I25" s="8"/>
      <c r="J25" s="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9" t="str">
        <f t="shared" si="0"/>
        <v/>
      </c>
      <c r="V25" s="8"/>
      <c r="W25" s="8"/>
      <c r="X25" s="8"/>
      <c r="Y25" s="10"/>
      <c r="Z25" s="8"/>
    </row>
    <row r="26" spans="1:26">
      <c r="A26" s="8"/>
      <c r="B26" s="10"/>
      <c r="C26" s="8"/>
      <c r="D26" s="8"/>
      <c r="E26" s="8"/>
      <c r="F26" s="8"/>
      <c r="G26" s="11"/>
      <c r="H26" s="8"/>
      <c r="I26" s="8"/>
      <c r="J26" s="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9" t="str">
        <f t="shared" si="0"/>
        <v/>
      </c>
      <c r="V26" s="8"/>
      <c r="W26" s="8"/>
      <c r="X26" s="8"/>
      <c r="Y26" s="10"/>
      <c r="Z26" s="8"/>
    </row>
    <row r="27" spans="1:26">
      <c r="A27" s="8"/>
      <c r="B27" s="10"/>
      <c r="C27" s="8"/>
      <c r="D27" s="8"/>
      <c r="E27" s="8"/>
      <c r="F27" s="8"/>
      <c r="G27" s="11"/>
      <c r="H27" s="8"/>
      <c r="I27" s="8"/>
      <c r="J27" s="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9" t="str">
        <f t="shared" si="0"/>
        <v/>
      </c>
      <c r="V27" s="8"/>
      <c r="W27" s="8"/>
      <c r="X27" s="8"/>
      <c r="Y27" s="10"/>
      <c r="Z27" s="8"/>
    </row>
    <row r="28" spans="1:26">
      <c r="A28" s="8"/>
      <c r="B28" s="10"/>
      <c r="C28" s="8"/>
      <c r="D28" s="8"/>
      <c r="E28" s="8"/>
      <c r="F28" s="8"/>
      <c r="G28" s="11"/>
      <c r="H28" s="8"/>
      <c r="I28" s="8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" t="str">
        <f t="shared" si="0"/>
        <v/>
      </c>
      <c r="V28" s="8"/>
      <c r="W28" s="8"/>
      <c r="X28" s="8"/>
      <c r="Y28" s="10"/>
      <c r="Z28" s="8"/>
    </row>
    <row r="29" spans="1:26">
      <c r="A29" s="8"/>
      <c r="B29" s="10"/>
      <c r="C29" s="8"/>
      <c r="D29" s="8"/>
      <c r="E29" s="8"/>
      <c r="F29" s="8"/>
      <c r="G29" s="11"/>
      <c r="H29" s="8"/>
      <c r="I29" s="8"/>
      <c r="J29" s="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tr">
        <f t="shared" si="0"/>
        <v/>
      </c>
      <c r="V29" s="8"/>
      <c r="W29" s="8"/>
      <c r="X29" s="8"/>
      <c r="Y29" s="10"/>
      <c r="Z29" s="8"/>
    </row>
    <row r="30" spans="1:26">
      <c r="A30" s="8"/>
      <c r="B30" s="10"/>
      <c r="C30" s="8"/>
      <c r="D30" s="8"/>
      <c r="E30" s="8"/>
      <c r="F30" s="8"/>
      <c r="G30" s="11"/>
      <c r="H30" s="8"/>
      <c r="I30" s="8"/>
      <c r="J30" s="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9" t="str">
        <f t="shared" si="0"/>
        <v/>
      </c>
      <c r="V30" s="8"/>
      <c r="W30" s="8"/>
      <c r="X30" s="8"/>
      <c r="Y30" s="10"/>
      <c r="Z30" s="8"/>
    </row>
    <row r="31" spans="1:26">
      <c r="A31" s="8"/>
      <c r="B31" s="10"/>
      <c r="C31" s="8"/>
      <c r="D31" s="8"/>
      <c r="E31" s="8"/>
      <c r="F31" s="8"/>
      <c r="G31" s="11"/>
      <c r="H31" s="8"/>
      <c r="I31" s="8"/>
      <c r="J31" s="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 t="str">
        <f t="shared" si="0"/>
        <v/>
      </c>
      <c r="V31" s="8"/>
      <c r="W31" s="8"/>
      <c r="X31" s="8"/>
      <c r="Y31" s="10"/>
      <c r="Z31" s="8"/>
    </row>
    <row r="32" spans="1:26">
      <c r="A32" s="8"/>
      <c r="B32" s="10"/>
      <c r="C32" s="8"/>
      <c r="D32" s="8"/>
      <c r="E32" s="8"/>
      <c r="F32" s="8"/>
      <c r="G32" s="11"/>
      <c r="H32" s="8"/>
      <c r="I32" s="8"/>
      <c r="J32" s="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9" t="str">
        <f t="shared" si="0"/>
        <v/>
      </c>
      <c r="V32" s="8"/>
      <c r="W32" s="8"/>
      <c r="X32" s="8"/>
      <c r="Y32" s="10"/>
      <c r="Z32" s="8"/>
    </row>
    <row r="33" spans="1:26">
      <c r="A33" s="8"/>
      <c r="B33" s="10"/>
      <c r="C33" s="8"/>
      <c r="D33" s="8"/>
      <c r="E33" s="8"/>
      <c r="F33" s="8"/>
      <c r="G33" s="11"/>
      <c r="H33" s="8"/>
      <c r="I33" s="8"/>
      <c r="J33" s="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9" t="str">
        <f t="shared" si="0"/>
        <v/>
      </c>
      <c r="V33" s="8"/>
      <c r="W33" s="8"/>
      <c r="X33" s="8"/>
      <c r="Y33" s="10"/>
      <c r="Z33" s="8"/>
    </row>
    <row r="34" spans="1:26">
      <c r="A34" s="8"/>
      <c r="B34" s="10"/>
      <c r="C34" s="8"/>
      <c r="D34" s="8"/>
      <c r="E34" s="8"/>
      <c r="F34" s="8"/>
      <c r="G34" s="11"/>
      <c r="H34" s="8"/>
      <c r="I34" s="8"/>
      <c r="J34" s="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9" t="str">
        <f t="shared" si="0"/>
        <v/>
      </c>
      <c r="V34" s="8"/>
      <c r="W34" s="8"/>
      <c r="X34" s="8"/>
      <c r="Y34" s="10"/>
      <c r="Z34" s="8"/>
    </row>
    <row r="35" spans="1:26">
      <c r="A35" s="8"/>
      <c r="B35" s="10"/>
      <c r="C35" s="8"/>
      <c r="D35" s="8"/>
      <c r="E35" s="8"/>
      <c r="F35" s="8"/>
      <c r="G35" s="11"/>
      <c r="H35" s="8"/>
      <c r="I35" s="8"/>
      <c r="J35" s="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9" t="str">
        <f t="shared" si="0"/>
        <v/>
      </c>
      <c r="V35" s="8"/>
      <c r="W35" s="8"/>
      <c r="X35" s="8"/>
      <c r="Y35" s="10"/>
      <c r="Z35" s="8"/>
    </row>
    <row r="36" spans="1:26">
      <c r="A36" s="8"/>
      <c r="B36" s="10"/>
      <c r="C36" s="8"/>
      <c r="D36" s="8"/>
      <c r="E36" s="8"/>
      <c r="F36" s="8"/>
      <c r="G36" s="11"/>
      <c r="H36" s="8"/>
      <c r="I36" s="8"/>
      <c r="J36" s="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9" t="str">
        <f t="shared" si="0"/>
        <v/>
      </c>
      <c r="V36" s="8"/>
      <c r="W36" s="8"/>
      <c r="X36" s="8"/>
      <c r="Y36" s="10"/>
      <c r="Z36" s="8"/>
    </row>
    <row r="37" spans="1:26">
      <c r="A37" s="8"/>
      <c r="B37" s="10"/>
      <c r="C37" s="8"/>
      <c r="D37" s="8"/>
      <c r="E37" s="8"/>
      <c r="F37" s="8"/>
      <c r="G37" s="11"/>
      <c r="H37" s="8"/>
      <c r="I37" s="8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9" t="str">
        <f t="shared" si="0"/>
        <v/>
      </c>
      <c r="V37" s="8"/>
      <c r="W37" s="8"/>
      <c r="X37" s="8"/>
      <c r="Y37" s="10"/>
      <c r="Z37" s="8"/>
    </row>
    <row r="38" spans="1:26">
      <c r="A38" s="8"/>
      <c r="B38" s="10"/>
      <c r="C38" s="8"/>
      <c r="D38" s="8"/>
      <c r="E38" s="8"/>
      <c r="F38" s="8"/>
      <c r="G38" s="11"/>
      <c r="H38" s="8"/>
      <c r="I38" s="8"/>
      <c r="J38" s="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9" t="str">
        <f t="shared" si="0"/>
        <v/>
      </c>
      <c r="V38" s="8"/>
      <c r="W38" s="8"/>
      <c r="X38" s="8"/>
      <c r="Y38" s="10"/>
      <c r="Z38" s="8"/>
    </row>
    <row r="39" spans="1:26">
      <c r="A39" s="8"/>
      <c r="B39" s="10"/>
      <c r="C39" s="8"/>
      <c r="D39" s="8"/>
      <c r="E39" s="8"/>
      <c r="F39" s="8"/>
      <c r="G39" s="11"/>
      <c r="H39" s="8"/>
      <c r="I39" s="8"/>
      <c r="J39" s="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9" t="str">
        <f t="shared" si="0"/>
        <v/>
      </c>
      <c r="V39" s="8"/>
      <c r="W39" s="8"/>
      <c r="X39" s="8"/>
      <c r="Y39" s="10"/>
      <c r="Z39" s="8"/>
    </row>
    <row r="40" spans="1:26">
      <c r="A40" s="8"/>
      <c r="B40" s="10"/>
      <c r="C40" s="8"/>
      <c r="D40" s="8"/>
      <c r="E40" s="8"/>
      <c r="F40" s="8"/>
      <c r="G40" s="11"/>
      <c r="H40" s="8"/>
      <c r="I40" s="8"/>
      <c r="J40" s="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9" t="str">
        <f t="shared" si="0"/>
        <v/>
      </c>
      <c r="V40" s="8"/>
      <c r="W40" s="8"/>
      <c r="X40" s="8"/>
      <c r="Y40" s="10"/>
      <c r="Z40" s="8"/>
    </row>
    <row r="41" spans="1:26">
      <c r="A41" s="8"/>
      <c r="B41" s="10"/>
      <c r="C41" s="8"/>
      <c r="D41" s="8"/>
      <c r="E41" s="8"/>
      <c r="F41" s="8"/>
      <c r="G41" s="11"/>
      <c r="H41" s="8"/>
      <c r="I41" s="8"/>
      <c r="J41" s="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9" t="str">
        <f t="shared" si="0"/>
        <v/>
      </c>
      <c r="V41" s="8"/>
      <c r="W41" s="8"/>
      <c r="X41" s="8"/>
      <c r="Y41" s="10"/>
      <c r="Z41" s="8"/>
    </row>
    <row r="42" spans="1:26">
      <c r="A42" s="8"/>
      <c r="B42" s="10"/>
      <c r="C42" s="8"/>
      <c r="D42" s="8"/>
      <c r="E42" s="8"/>
      <c r="F42" s="8"/>
      <c r="G42" s="11"/>
      <c r="H42" s="8"/>
      <c r="I42" s="8"/>
      <c r="J42" s="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9" t="str">
        <f t="shared" si="0"/>
        <v/>
      </c>
      <c r="V42" s="8"/>
      <c r="W42" s="8"/>
      <c r="X42" s="8"/>
      <c r="Y42" s="10"/>
      <c r="Z42" s="8"/>
    </row>
    <row r="43" spans="1:26">
      <c r="A43" s="8"/>
      <c r="B43" s="10"/>
      <c r="C43" s="8"/>
      <c r="D43" s="8"/>
      <c r="E43" s="8"/>
      <c r="F43" s="8"/>
      <c r="G43" s="11"/>
      <c r="H43" s="8"/>
      <c r="I43" s="8"/>
      <c r="J43" s="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9" t="str">
        <f t="shared" si="0"/>
        <v/>
      </c>
      <c r="V43" s="8"/>
      <c r="W43" s="8"/>
      <c r="X43" s="8"/>
      <c r="Y43" s="10"/>
      <c r="Z43" s="8"/>
    </row>
    <row r="44" spans="1:26">
      <c r="A44" s="8"/>
      <c r="B44" s="10"/>
      <c r="C44" s="8"/>
      <c r="D44" s="8"/>
      <c r="E44" s="8"/>
      <c r="F44" s="8"/>
      <c r="G44" s="11"/>
      <c r="H44" s="8"/>
      <c r="I44" s="8"/>
      <c r="J44" s="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9" t="str">
        <f t="shared" si="0"/>
        <v/>
      </c>
      <c r="V44" s="8"/>
      <c r="W44" s="8"/>
      <c r="X44" s="8"/>
      <c r="Y44" s="10"/>
      <c r="Z44" s="8"/>
    </row>
    <row r="45" spans="1:26">
      <c r="A45" s="8"/>
      <c r="B45" s="10"/>
      <c r="C45" s="8"/>
      <c r="D45" s="8"/>
      <c r="E45" s="8"/>
      <c r="F45" s="8"/>
      <c r="G45" s="11"/>
      <c r="H45" s="8"/>
      <c r="I45" s="8"/>
      <c r="J45" s="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9" t="str">
        <f t="shared" si="0"/>
        <v/>
      </c>
      <c r="V45" s="8"/>
      <c r="W45" s="8"/>
      <c r="X45" s="8"/>
      <c r="Y45" s="10"/>
      <c r="Z45" s="8"/>
    </row>
    <row r="46" spans="1:26">
      <c r="A46" s="8"/>
      <c r="B46" s="10"/>
      <c r="C46" s="8"/>
      <c r="D46" s="8"/>
      <c r="E46" s="8"/>
      <c r="F46" s="8"/>
      <c r="G46" s="11"/>
      <c r="H46" s="8"/>
      <c r="I46" s="8"/>
      <c r="J46" s="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9" t="str">
        <f t="shared" si="0"/>
        <v/>
      </c>
      <c r="V46" s="8"/>
      <c r="W46" s="8"/>
      <c r="X46" s="8"/>
      <c r="Y46" s="10"/>
      <c r="Z46" s="8"/>
    </row>
    <row r="47" spans="1:26">
      <c r="A47" s="8"/>
      <c r="B47" s="10"/>
      <c r="C47" s="8"/>
      <c r="D47" s="8"/>
      <c r="E47" s="8"/>
      <c r="F47" s="8"/>
      <c r="G47" s="11"/>
      <c r="H47" s="8"/>
      <c r="I47" s="8"/>
      <c r="J47" s="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9" t="str">
        <f t="shared" si="0"/>
        <v/>
      </c>
      <c r="V47" s="8"/>
      <c r="W47" s="8"/>
      <c r="X47" s="8"/>
      <c r="Y47" s="10"/>
      <c r="Z47" s="8"/>
    </row>
    <row r="48" spans="1:26">
      <c r="A48" s="8"/>
      <c r="B48" s="10"/>
      <c r="C48" s="8"/>
      <c r="D48" s="8"/>
      <c r="E48" s="8"/>
      <c r="F48" s="8"/>
      <c r="G48" s="11"/>
      <c r="H48" s="8"/>
      <c r="I48" s="8"/>
      <c r="J48" s="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9" t="str">
        <f t="shared" si="0"/>
        <v/>
      </c>
      <c r="V48" s="8"/>
      <c r="W48" s="8"/>
      <c r="X48" s="8"/>
      <c r="Y48" s="10"/>
      <c r="Z48" s="8"/>
    </row>
    <row r="49" spans="1:26">
      <c r="A49" s="8"/>
      <c r="B49" s="10"/>
      <c r="C49" s="8"/>
      <c r="D49" s="8"/>
      <c r="E49" s="8"/>
      <c r="F49" s="8"/>
      <c r="G49" s="11"/>
      <c r="H49" s="8"/>
      <c r="I49" s="8"/>
      <c r="J49" s="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9" t="str">
        <f t="shared" si="0"/>
        <v/>
      </c>
      <c r="V49" s="8"/>
      <c r="W49" s="8"/>
      <c r="X49" s="8"/>
      <c r="Y49" s="10"/>
      <c r="Z49" s="8"/>
    </row>
    <row r="50" spans="1:26">
      <c r="A50" s="8"/>
      <c r="B50" s="10"/>
      <c r="C50" s="8"/>
      <c r="D50" s="8"/>
      <c r="E50" s="8"/>
      <c r="F50" s="8"/>
      <c r="G50" s="11"/>
      <c r="H50" s="8"/>
      <c r="I50" s="8"/>
      <c r="J50" s="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9" t="str">
        <f t="shared" si="0"/>
        <v/>
      </c>
      <c r="V50" s="8"/>
      <c r="W50" s="8"/>
      <c r="X50" s="8"/>
      <c r="Y50" s="10"/>
      <c r="Z50" s="8"/>
    </row>
    <row r="51" spans="1:26">
      <c r="A51" s="8"/>
      <c r="B51" s="10"/>
      <c r="C51" s="8"/>
      <c r="D51" s="8"/>
      <c r="E51" s="8"/>
      <c r="F51" s="8"/>
      <c r="G51" s="11"/>
      <c r="H51" s="8"/>
      <c r="I51" s="8"/>
      <c r="J51" s="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9" t="str">
        <f t="shared" si="0"/>
        <v/>
      </c>
      <c r="V51" s="8"/>
      <c r="W51" s="8"/>
      <c r="X51" s="8"/>
      <c r="Y51" s="10"/>
      <c r="Z51" s="8"/>
    </row>
    <row r="52" spans="1:26">
      <c r="A52" s="8"/>
      <c r="B52" s="10"/>
      <c r="C52" s="8"/>
      <c r="D52" s="8"/>
      <c r="E52" s="8"/>
      <c r="F52" s="8"/>
      <c r="G52" s="11"/>
      <c r="H52" s="8"/>
      <c r="I52" s="8"/>
      <c r="J52" s="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" t="str">
        <f t="shared" si="0"/>
        <v/>
      </c>
      <c r="V52" s="8"/>
      <c r="W52" s="8"/>
      <c r="X52" s="8"/>
      <c r="Y52" s="10"/>
      <c r="Z52" s="8"/>
    </row>
    <row r="53" spans="1:26">
      <c r="A53" s="8"/>
      <c r="B53" s="10"/>
      <c r="C53" s="8"/>
      <c r="D53" s="8"/>
      <c r="E53" s="8"/>
      <c r="F53" s="8"/>
      <c r="G53" s="11"/>
      <c r="H53" s="8"/>
      <c r="I53" s="8"/>
      <c r="J53" s="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9" t="str">
        <f t="shared" si="0"/>
        <v/>
      </c>
      <c r="V53" s="8"/>
      <c r="W53" s="8"/>
      <c r="X53" s="8"/>
      <c r="Y53" s="10"/>
      <c r="Z53" s="8"/>
    </row>
    <row r="54" spans="1:26">
      <c r="A54" s="8"/>
      <c r="B54" s="10"/>
      <c r="C54" s="8"/>
      <c r="D54" s="8"/>
      <c r="E54" s="8"/>
      <c r="F54" s="8"/>
      <c r="G54" s="11"/>
      <c r="H54" s="8"/>
      <c r="I54" s="8"/>
      <c r="J54" s="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9" t="str">
        <f t="shared" si="0"/>
        <v/>
      </c>
      <c r="V54" s="8"/>
      <c r="W54" s="8"/>
      <c r="X54" s="8"/>
      <c r="Y54" s="10"/>
      <c r="Z54" s="8"/>
    </row>
    <row r="55" spans="1:26">
      <c r="A55" s="8"/>
      <c r="B55" s="10"/>
      <c r="C55" s="8"/>
      <c r="D55" s="8"/>
      <c r="E55" s="8"/>
      <c r="F55" s="8"/>
      <c r="G55" s="11"/>
      <c r="H55" s="8"/>
      <c r="I55" s="8"/>
      <c r="J55" s="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9" t="str">
        <f t="shared" si="0"/>
        <v/>
      </c>
      <c r="V55" s="8"/>
      <c r="W55" s="8"/>
      <c r="X55" s="8"/>
      <c r="Y55" s="10"/>
      <c r="Z55" s="8"/>
    </row>
    <row r="56" spans="1:26">
      <c r="A56" s="8"/>
      <c r="B56" s="10"/>
      <c r="C56" s="8"/>
      <c r="D56" s="8"/>
      <c r="E56" s="8"/>
      <c r="F56" s="8"/>
      <c r="G56" s="11"/>
      <c r="H56" s="8"/>
      <c r="I56" s="8"/>
      <c r="J56" s="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9" t="str">
        <f t="shared" si="0"/>
        <v/>
      </c>
      <c r="V56" s="8"/>
      <c r="W56" s="8"/>
      <c r="X56" s="8"/>
      <c r="Y56" s="10"/>
      <c r="Z56" s="8"/>
    </row>
    <row r="57" spans="1:26">
      <c r="A57" s="8"/>
      <c r="B57" s="10"/>
      <c r="C57" s="8"/>
      <c r="D57" s="8"/>
      <c r="E57" s="8"/>
      <c r="F57" s="8"/>
      <c r="G57" s="11"/>
      <c r="H57" s="8"/>
      <c r="I57" s="8"/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9" t="str">
        <f t="shared" si="0"/>
        <v/>
      </c>
      <c r="V57" s="8"/>
      <c r="W57" s="8"/>
      <c r="X57" s="8"/>
      <c r="Y57" s="10"/>
      <c r="Z57" s="8"/>
    </row>
    <row r="58" spans="1:26">
      <c r="A58" s="8"/>
      <c r="B58" s="10"/>
      <c r="C58" s="8"/>
      <c r="D58" s="8"/>
      <c r="E58" s="8"/>
      <c r="F58" s="8"/>
      <c r="G58" s="11"/>
      <c r="H58" s="8"/>
      <c r="I58" s="8"/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9" t="str">
        <f t="shared" si="0"/>
        <v/>
      </c>
      <c r="V58" s="8"/>
      <c r="W58" s="8"/>
      <c r="X58" s="8"/>
      <c r="Y58" s="10"/>
      <c r="Z58" s="8"/>
    </row>
    <row r="59" spans="1:26">
      <c r="A59" s="8"/>
      <c r="B59" s="10"/>
      <c r="C59" s="8"/>
      <c r="D59" s="8"/>
      <c r="E59" s="8"/>
      <c r="F59" s="8"/>
      <c r="G59" s="11"/>
      <c r="H59" s="8"/>
      <c r="I59" s="8"/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9" t="str">
        <f t="shared" si="0"/>
        <v/>
      </c>
      <c r="V59" s="8"/>
      <c r="W59" s="8"/>
      <c r="X59" s="8"/>
      <c r="Y59" s="10"/>
      <c r="Z59" s="8"/>
    </row>
    <row r="60" spans="1:26">
      <c r="A60" s="8"/>
      <c r="B60" s="10"/>
      <c r="C60" s="8"/>
      <c r="D60" s="8"/>
      <c r="E60" s="8"/>
      <c r="F60" s="8"/>
      <c r="G60" s="11"/>
      <c r="H60" s="8"/>
      <c r="I60" s="8"/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9" t="str">
        <f t="shared" si="0"/>
        <v/>
      </c>
      <c r="V60" s="8"/>
      <c r="W60" s="8"/>
      <c r="X60" s="8"/>
      <c r="Y60" s="10"/>
      <c r="Z60" s="8"/>
    </row>
    <row r="61" spans="1:26">
      <c r="A61" s="8"/>
      <c r="B61" s="10"/>
      <c r="C61" s="8"/>
      <c r="D61" s="8"/>
      <c r="E61" s="8"/>
      <c r="F61" s="8"/>
      <c r="G61" s="11"/>
      <c r="H61" s="8"/>
      <c r="I61" s="8"/>
      <c r="J61" s="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9" t="str">
        <f t="shared" si="0"/>
        <v/>
      </c>
      <c r="V61" s="8"/>
      <c r="W61" s="8"/>
      <c r="X61" s="8"/>
      <c r="Y61" s="10"/>
      <c r="Z61" s="8"/>
    </row>
    <row r="62" spans="1:26">
      <c r="A62" s="8"/>
      <c r="B62" s="10"/>
      <c r="C62" s="8"/>
      <c r="D62" s="8"/>
      <c r="E62" s="8"/>
      <c r="F62" s="8"/>
      <c r="G62" s="11"/>
      <c r="H62" s="8"/>
      <c r="I62" s="8"/>
      <c r="J62" s="8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9" t="str">
        <f t="shared" si="0"/>
        <v/>
      </c>
      <c r="V62" s="8"/>
      <c r="W62" s="8"/>
      <c r="X62" s="8"/>
      <c r="Y62" s="10"/>
      <c r="Z62" s="8"/>
    </row>
    <row r="63" spans="1:26">
      <c r="A63" s="8"/>
      <c r="B63" s="10"/>
      <c r="C63" s="8"/>
      <c r="D63" s="8"/>
      <c r="E63" s="8"/>
      <c r="F63" s="8"/>
      <c r="G63" s="11"/>
      <c r="H63" s="8"/>
      <c r="I63" s="8"/>
      <c r="J63" s="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9" t="str">
        <f t="shared" si="0"/>
        <v/>
      </c>
      <c r="V63" s="8"/>
      <c r="W63" s="8"/>
      <c r="X63" s="8"/>
      <c r="Y63" s="10"/>
      <c r="Z63" s="8"/>
    </row>
    <row r="64" spans="1:26">
      <c r="A64" s="8"/>
      <c r="B64" s="10"/>
      <c r="C64" s="8"/>
      <c r="D64" s="8"/>
      <c r="E64" s="8"/>
      <c r="F64" s="8"/>
      <c r="G64" s="11"/>
      <c r="H64" s="8"/>
      <c r="I64" s="8"/>
      <c r="J64" s="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9" t="str">
        <f t="shared" si="0"/>
        <v/>
      </c>
      <c r="V64" s="8"/>
      <c r="W64" s="8"/>
      <c r="X64" s="8"/>
      <c r="Y64" s="10"/>
      <c r="Z64" s="8"/>
    </row>
    <row r="65" spans="1:26">
      <c r="A65" s="8"/>
      <c r="B65" s="10"/>
      <c r="C65" s="8"/>
      <c r="D65" s="8"/>
      <c r="E65" s="8"/>
      <c r="F65" s="8"/>
      <c r="G65" s="11"/>
      <c r="H65" s="8"/>
      <c r="I65" s="8"/>
      <c r="J65" s="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9" t="str">
        <f t="shared" si="0"/>
        <v/>
      </c>
      <c r="V65" s="8"/>
      <c r="W65" s="8"/>
      <c r="X65" s="8"/>
      <c r="Y65" s="10"/>
      <c r="Z65" s="8"/>
    </row>
    <row r="66" spans="1:26">
      <c r="A66" s="8"/>
      <c r="B66" s="10"/>
      <c r="C66" s="8"/>
      <c r="D66" s="8"/>
      <c r="E66" s="8"/>
      <c r="F66" s="8"/>
      <c r="G66" s="11"/>
      <c r="H66" s="8"/>
      <c r="I66" s="8"/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9" t="str">
        <f t="shared" si="0"/>
        <v/>
      </c>
      <c r="V66" s="8"/>
      <c r="W66" s="8"/>
      <c r="X66" s="8"/>
      <c r="Y66" s="10"/>
      <c r="Z66" s="8"/>
    </row>
    <row r="67" spans="1:26">
      <c r="A67" s="8"/>
      <c r="B67" s="10"/>
      <c r="C67" s="8"/>
      <c r="D67" s="8"/>
      <c r="E67" s="8"/>
      <c r="F67" s="8"/>
      <c r="G67" s="11"/>
      <c r="H67" s="8"/>
      <c r="I67" s="8"/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9" t="str">
        <f t="shared" si="0"/>
        <v/>
      </c>
      <c r="V67" s="8"/>
      <c r="W67" s="8"/>
      <c r="X67" s="8"/>
      <c r="Y67" s="10"/>
      <c r="Z67" s="8"/>
    </row>
    <row r="68" spans="1:26">
      <c r="A68" s="8"/>
      <c r="B68" s="10"/>
      <c r="C68" s="8"/>
      <c r="D68" s="8"/>
      <c r="E68" s="8"/>
      <c r="F68" s="8"/>
      <c r="G68" s="11"/>
      <c r="H68" s="8"/>
      <c r="I68" s="8"/>
      <c r="J68" s="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9" t="str">
        <f t="shared" si="0"/>
        <v/>
      </c>
      <c r="V68" s="8"/>
      <c r="W68" s="8"/>
      <c r="X68" s="8"/>
      <c r="Y68" s="10"/>
      <c r="Z68" s="8"/>
    </row>
    <row r="69" spans="1:26">
      <c r="A69" s="8"/>
      <c r="B69" s="10"/>
      <c r="C69" s="8"/>
      <c r="D69" s="8"/>
      <c r="E69" s="8"/>
      <c r="F69" s="8"/>
      <c r="G69" s="11"/>
      <c r="H69" s="8"/>
      <c r="I69" s="8"/>
      <c r="J69" s="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9" t="str">
        <f t="shared" ref="U69:U132" si="1">IF(A69="","",IF(OR(L69&gt;=R69,M69&gt;=S69,N69&gt;=T69),"Failed","Passed"))</f>
        <v/>
      </c>
      <c r="V69" s="8"/>
      <c r="W69" s="8"/>
      <c r="X69" s="8"/>
      <c r="Y69" s="10"/>
      <c r="Z69" s="8"/>
    </row>
    <row r="70" spans="1:26">
      <c r="A70" s="8"/>
      <c r="B70" s="10"/>
      <c r="C70" s="8"/>
      <c r="D70" s="8"/>
      <c r="E70" s="8"/>
      <c r="F70" s="8"/>
      <c r="G70" s="11"/>
      <c r="H70" s="8"/>
      <c r="I70" s="8"/>
      <c r="J70" s="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9" t="str">
        <f t="shared" si="1"/>
        <v/>
      </c>
      <c r="V70" s="8"/>
      <c r="W70" s="8"/>
      <c r="X70" s="8"/>
      <c r="Y70" s="10"/>
      <c r="Z70" s="8"/>
    </row>
    <row r="71" spans="1:26">
      <c r="A71" s="8"/>
      <c r="B71" s="10"/>
      <c r="C71" s="8"/>
      <c r="D71" s="8"/>
      <c r="E71" s="8"/>
      <c r="F71" s="8"/>
      <c r="G71" s="11"/>
      <c r="H71" s="8"/>
      <c r="I71" s="8"/>
      <c r="J71" s="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9" t="str">
        <f t="shared" si="1"/>
        <v/>
      </c>
      <c r="V71" s="8"/>
      <c r="W71" s="8"/>
      <c r="X71" s="8"/>
      <c r="Y71" s="10"/>
      <c r="Z71" s="8"/>
    </row>
    <row r="72" spans="1:26">
      <c r="A72" s="8"/>
      <c r="B72" s="10"/>
      <c r="C72" s="8"/>
      <c r="D72" s="8"/>
      <c r="E72" s="8"/>
      <c r="F72" s="8"/>
      <c r="G72" s="11"/>
      <c r="H72" s="8"/>
      <c r="I72" s="8"/>
      <c r="J72" s="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9" t="str">
        <f t="shared" si="1"/>
        <v/>
      </c>
      <c r="V72" s="8"/>
      <c r="W72" s="8"/>
      <c r="X72" s="8"/>
      <c r="Y72" s="10"/>
      <c r="Z72" s="8"/>
    </row>
    <row r="73" spans="1:26">
      <c r="A73" s="8"/>
      <c r="B73" s="10"/>
      <c r="C73" s="8"/>
      <c r="D73" s="8"/>
      <c r="E73" s="8"/>
      <c r="F73" s="8"/>
      <c r="G73" s="11"/>
      <c r="H73" s="8"/>
      <c r="I73" s="8"/>
      <c r="J73" s="8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9" t="str">
        <f t="shared" si="1"/>
        <v/>
      </c>
      <c r="V73" s="8"/>
      <c r="W73" s="8"/>
      <c r="X73" s="8"/>
      <c r="Y73" s="10"/>
      <c r="Z73" s="8"/>
    </row>
    <row r="74" spans="1:26">
      <c r="A74" s="8"/>
      <c r="B74" s="10"/>
      <c r="C74" s="8"/>
      <c r="D74" s="8"/>
      <c r="E74" s="8"/>
      <c r="F74" s="8"/>
      <c r="G74" s="11"/>
      <c r="H74" s="8"/>
      <c r="I74" s="8"/>
      <c r="J74" s="8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9" t="str">
        <f t="shared" si="1"/>
        <v/>
      </c>
      <c r="V74" s="8"/>
      <c r="W74" s="8"/>
      <c r="X74" s="8"/>
      <c r="Y74" s="10"/>
      <c r="Z74" s="8"/>
    </row>
    <row r="75" spans="1:26">
      <c r="A75" s="8"/>
      <c r="B75" s="10"/>
      <c r="C75" s="8"/>
      <c r="D75" s="8"/>
      <c r="E75" s="8"/>
      <c r="F75" s="8"/>
      <c r="G75" s="11"/>
      <c r="H75" s="8"/>
      <c r="I75" s="8"/>
      <c r="J75" s="8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9" t="str">
        <f t="shared" si="1"/>
        <v/>
      </c>
      <c r="V75" s="8"/>
      <c r="W75" s="8"/>
      <c r="X75" s="8"/>
      <c r="Y75" s="10"/>
      <c r="Z75" s="8"/>
    </row>
    <row r="76" spans="1:26">
      <c r="A76" s="8"/>
      <c r="B76" s="10"/>
      <c r="C76" s="8"/>
      <c r="D76" s="8"/>
      <c r="E76" s="8"/>
      <c r="F76" s="8"/>
      <c r="G76" s="11"/>
      <c r="H76" s="8"/>
      <c r="I76" s="8"/>
      <c r="J76" s="8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9" t="str">
        <f t="shared" si="1"/>
        <v/>
      </c>
      <c r="V76" s="8"/>
      <c r="W76" s="8"/>
      <c r="X76" s="8"/>
      <c r="Y76" s="10"/>
      <c r="Z76" s="8"/>
    </row>
    <row r="77" spans="1:26">
      <c r="A77" s="8"/>
      <c r="B77" s="10"/>
      <c r="C77" s="8"/>
      <c r="D77" s="8"/>
      <c r="E77" s="8"/>
      <c r="F77" s="8"/>
      <c r="G77" s="11"/>
      <c r="H77" s="8"/>
      <c r="I77" s="8"/>
      <c r="J77" s="8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9" t="str">
        <f t="shared" si="1"/>
        <v/>
      </c>
      <c r="V77" s="8"/>
      <c r="W77" s="8"/>
      <c r="X77" s="8"/>
      <c r="Y77" s="10"/>
      <c r="Z77" s="8"/>
    </row>
    <row r="78" spans="1:26">
      <c r="A78" s="8"/>
      <c r="B78" s="10"/>
      <c r="C78" s="8"/>
      <c r="D78" s="8"/>
      <c r="E78" s="8"/>
      <c r="F78" s="8"/>
      <c r="G78" s="11"/>
      <c r="H78" s="8"/>
      <c r="I78" s="8"/>
      <c r="J78" s="8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9" t="str">
        <f t="shared" si="1"/>
        <v/>
      </c>
      <c r="V78" s="8"/>
      <c r="W78" s="8"/>
      <c r="X78" s="8"/>
      <c r="Y78" s="10"/>
      <c r="Z78" s="8"/>
    </row>
    <row r="79" spans="1:26">
      <c r="A79" s="8"/>
      <c r="B79" s="10"/>
      <c r="C79" s="8"/>
      <c r="D79" s="8"/>
      <c r="E79" s="8"/>
      <c r="F79" s="8"/>
      <c r="G79" s="11"/>
      <c r="H79" s="8"/>
      <c r="I79" s="8"/>
      <c r="J79" s="8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9" t="str">
        <f t="shared" si="1"/>
        <v/>
      </c>
      <c r="V79" s="8"/>
      <c r="W79" s="8"/>
      <c r="X79" s="8"/>
      <c r="Y79" s="10"/>
      <c r="Z79" s="8"/>
    </row>
    <row r="80" spans="1:26">
      <c r="A80" s="8"/>
      <c r="B80" s="10"/>
      <c r="C80" s="8"/>
      <c r="D80" s="8"/>
      <c r="E80" s="8"/>
      <c r="F80" s="8"/>
      <c r="G80" s="11"/>
      <c r="H80" s="8"/>
      <c r="I80" s="8"/>
      <c r="J80" s="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9" t="str">
        <f t="shared" si="1"/>
        <v/>
      </c>
      <c r="V80" s="8"/>
      <c r="W80" s="8"/>
      <c r="X80" s="8"/>
      <c r="Y80" s="10"/>
      <c r="Z80" s="8"/>
    </row>
    <row r="81" spans="1:26">
      <c r="A81" s="8"/>
      <c r="B81" s="10"/>
      <c r="C81" s="8"/>
      <c r="D81" s="8"/>
      <c r="E81" s="8"/>
      <c r="F81" s="8"/>
      <c r="G81" s="11"/>
      <c r="H81" s="8"/>
      <c r="I81" s="8"/>
      <c r="J81" s="8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9" t="str">
        <f t="shared" si="1"/>
        <v/>
      </c>
      <c r="V81" s="8"/>
      <c r="W81" s="8"/>
      <c r="X81" s="8"/>
      <c r="Y81" s="10"/>
      <c r="Z81" s="8"/>
    </row>
    <row r="82" spans="1:26">
      <c r="A82" s="8"/>
      <c r="B82" s="10"/>
      <c r="C82" s="8"/>
      <c r="D82" s="8"/>
      <c r="E82" s="8"/>
      <c r="F82" s="8"/>
      <c r="G82" s="11"/>
      <c r="H82" s="8"/>
      <c r="I82" s="8"/>
      <c r="J82" s="8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9" t="str">
        <f t="shared" si="1"/>
        <v/>
      </c>
      <c r="V82" s="8"/>
      <c r="W82" s="8"/>
      <c r="X82" s="8"/>
      <c r="Y82" s="10"/>
      <c r="Z82" s="8"/>
    </row>
    <row r="83" spans="1:26">
      <c r="A83" s="8"/>
      <c r="B83" s="10"/>
      <c r="C83" s="8"/>
      <c r="D83" s="8"/>
      <c r="E83" s="8"/>
      <c r="F83" s="8"/>
      <c r="G83" s="11"/>
      <c r="H83" s="8"/>
      <c r="I83" s="8"/>
      <c r="J83" s="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9" t="str">
        <f t="shared" si="1"/>
        <v/>
      </c>
      <c r="V83" s="8"/>
      <c r="W83" s="8"/>
      <c r="X83" s="8"/>
      <c r="Y83" s="10"/>
      <c r="Z83" s="8"/>
    </row>
    <row r="84" spans="1:26">
      <c r="A84" s="8"/>
      <c r="B84" s="10"/>
      <c r="C84" s="8"/>
      <c r="D84" s="8"/>
      <c r="E84" s="8"/>
      <c r="F84" s="8"/>
      <c r="G84" s="11"/>
      <c r="H84" s="8"/>
      <c r="I84" s="8"/>
      <c r="J84" s="8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9" t="str">
        <f t="shared" si="1"/>
        <v/>
      </c>
      <c r="V84" s="8"/>
      <c r="W84" s="8"/>
      <c r="X84" s="8"/>
      <c r="Y84" s="10"/>
      <c r="Z84" s="8"/>
    </row>
    <row r="85" spans="1:26">
      <c r="A85" s="8"/>
      <c r="B85" s="10"/>
      <c r="C85" s="8"/>
      <c r="D85" s="8"/>
      <c r="E85" s="8"/>
      <c r="F85" s="8"/>
      <c r="G85" s="11"/>
      <c r="H85" s="8"/>
      <c r="I85" s="8"/>
      <c r="J85" s="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9" t="str">
        <f t="shared" si="1"/>
        <v/>
      </c>
      <c r="V85" s="8"/>
      <c r="W85" s="8"/>
      <c r="X85" s="8"/>
      <c r="Y85" s="10"/>
      <c r="Z85" s="8"/>
    </row>
    <row r="86" spans="1:26">
      <c r="A86" s="8"/>
      <c r="B86" s="10"/>
      <c r="C86" s="8"/>
      <c r="D86" s="8"/>
      <c r="E86" s="8"/>
      <c r="F86" s="8"/>
      <c r="G86" s="11"/>
      <c r="H86" s="8"/>
      <c r="I86" s="8"/>
      <c r="J86" s="8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9" t="str">
        <f t="shared" si="1"/>
        <v/>
      </c>
      <c r="V86" s="8"/>
      <c r="W86" s="8"/>
      <c r="X86" s="8"/>
      <c r="Y86" s="10"/>
      <c r="Z86" s="8"/>
    </row>
    <row r="87" spans="1:26">
      <c r="A87" s="8"/>
      <c r="B87" s="10"/>
      <c r="C87" s="8"/>
      <c r="D87" s="8"/>
      <c r="E87" s="8"/>
      <c r="F87" s="8"/>
      <c r="G87" s="11"/>
      <c r="H87" s="8"/>
      <c r="I87" s="8"/>
      <c r="J87" s="8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9" t="str">
        <f t="shared" si="1"/>
        <v/>
      </c>
      <c r="V87" s="8"/>
      <c r="W87" s="8"/>
      <c r="X87" s="8"/>
      <c r="Y87" s="10"/>
      <c r="Z87" s="8"/>
    </row>
    <row r="88" spans="1:26">
      <c r="A88" s="8"/>
      <c r="B88" s="10"/>
      <c r="C88" s="8"/>
      <c r="D88" s="8"/>
      <c r="E88" s="8"/>
      <c r="F88" s="8"/>
      <c r="G88" s="11"/>
      <c r="H88" s="8"/>
      <c r="I88" s="8"/>
      <c r="J88" s="8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9" t="str">
        <f t="shared" si="1"/>
        <v/>
      </c>
      <c r="V88" s="8"/>
      <c r="W88" s="8"/>
      <c r="X88" s="8"/>
      <c r="Y88" s="10"/>
      <c r="Z88" s="8"/>
    </row>
    <row r="89" spans="1:26">
      <c r="A89" s="8"/>
      <c r="B89" s="10"/>
      <c r="C89" s="8"/>
      <c r="D89" s="8"/>
      <c r="E89" s="8"/>
      <c r="F89" s="8"/>
      <c r="G89" s="11"/>
      <c r="H89" s="8"/>
      <c r="I89" s="8"/>
      <c r="J89" s="8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9" t="str">
        <f t="shared" si="1"/>
        <v/>
      </c>
      <c r="V89" s="8"/>
      <c r="W89" s="8"/>
      <c r="X89" s="8"/>
      <c r="Y89" s="10"/>
      <c r="Z89" s="8"/>
    </row>
    <row r="90" spans="1:26">
      <c r="A90" s="8"/>
      <c r="B90" s="10"/>
      <c r="C90" s="8"/>
      <c r="D90" s="8"/>
      <c r="E90" s="8"/>
      <c r="F90" s="8"/>
      <c r="G90" s="11"/>
      <c r="H90" s="8"/>
      <c r="I90" s="8"/>
      <c r="J90" s="8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9" t="str">
        <f t="shared" si="1"/>
        <v/>
      </c>
      <c r="V90" s="8"/>
      <c r="W90" s="8"/>
      <c r="X90" s="8"/>
      <c r="Y90" s="10"/>
      <c r="Z90" s="8"/>
    </row>
    <row r="91" spans="1:26">
      <c r="A91" s="8"/>
      <c r="B91" s="10"/>
      <c r="C91" s="8"/>
      <c r="D91" s="8"/>
      <c r="E91" s="8"/>
      <c r="F91" s="8"/>
      <c r="G91" s="11"/>
      <c r="H91" s="8"/>
      <c r="I91" s="8"/>
      <c r="J91" s="8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9" t="str">
        <f t="shared" si="1"/>
        <v/>
      </c>
      <c r="V91" s="8"/>
      <c r="W91" s="8"/>
      <c r="X91" s="8"/>
      <c r="Y91" s="10"/>
      <c r="Z91" s="8"/>
    </row>
    <row r="92" spans="1:26">
      <c r="A92" s="8"/>
      <c r="B92" s="10"/>
      <c r="C92" s="8"/>
      <c r="D92" s="8"/>
      <c r="E92" s="8"/>
      <c r="F92" s="8"/>
      <c r="G92" s="11"/>
      <c r="H92" s="8"/>
      <c r="I92" s="8"/>
      <c r="J92" s="8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9" t="str">
        <f t="shared" si="1"/>
        <v/>
      </c>
      <c r="V92" s="8"/>
      <c r="W92" s="8"/>
      <c r="X92" s="8"/>
      <c r="Y92" s="10"/>
      <c r="Z92" s="8"/>
    </row>
    <row r="93" spans="1:26">
      <c r="A93" s="8"/>
      <c r="B93" s="10"/>
      <c r="C93" s="8"/>
      <c r="D93" s="8"/>
      <c r="E93" s="8"/>
      <c r="F93" s="8"/>
      <c r="G93" s="11"/>
      <c r="H93" s="8"/>
      <c r="I93" s="8"/>
      <c r="J93" s="8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9" t="str">
        <f t="shared" si="1"/>
        <v/>
      </c>
      <c r="V93" s="8"/>
      <c r="W93" s="8"/>
      <c r="X93" s="8"/>
      <c r="Y93" s="10"/>
      <c r="Z93" s="8"/>
    </row>
    <row r="94" spans="1:26">
      <c r="A94" s="8"/>
      <c r="B94" s="10"/>
      <c r="C94" s="8"/>
      <c r="D94" s="8"/>
      <c r="E94" s="8"/>
      <c r="F94" s="8"/>
      <c r="G94" s="11"/>
      <c r="H94" s="8"/>
      <c r="I94" s="8"/>
      <c r="J94" s="8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9" t="str">
        <f t="shared" si="1"/>
        <v/>
      </c>
      <c r="V94" s="8"/>
      <c r="W94" s="8"/>
      <c r="X94" s="8"/>
      <c r="Y94" s="10"/>
      <c r="Z94" s="8"/>
    </row>
    <row r="95" spans="1:26">
      <c r="A95" s="8"/>
      <c r="B95" s="10"/>
      <c r="C95" s="8"/>
      <c r="D95" s="8"/>
      <c r="E95" s="8"/>
      <c r="F95" s="8"/>
      <c r="G95" s="11"/>
      <c r="H95" s="8"/>
      <c r="I95" s="8"/>
      <c r="J95" s="8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9" t="str">
        <f t="shared" si="1"/>
        <v/>
      </c>
      <c r="V95" s="8"/>
      <c r="W95" s="8"/>
      <c r="X95" s="8"/>
      <c r="Y95" s="10"/>
      <c r="Z95" s="8"/>
    </row>
    <row r="96" spans="1:26">
      <c r="A96" s="8"/>
      <c r="B96" s="10"/>
      <c r="C96" s="8"/>
      <c r="D96" s="8"/>
      <c r="E96" s="8"/>
      <c r="F96" s="8"/>
      <c r="G96" s="11"/>
      <c r="H96" s="8"/>
      <c r="I96" s="8"/>
      <c r="J96" s="8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9" t="str">
        <f t="shared" si="1"/>
        <v/>
      </c>
      <c r="V96" s="8"/>
      <c r="W96" s="8"/>
      <c r="X96" s="8"/>
      <c r="Y96" s="10"/>
      <c r="Z96" s="8"/>
    </row>
    <row r="97" spans="1:26">
      <c r="A97" s="8"/>
      <c r="B97" s="10"/>
      <c r="C97" s="8"/>
      <c r="D97" s="8"/>
      <c r="E97" s="8"/>
      <c r="F97" s="8"/>
      <c r="G97" s="11"/>
      <c r="H97" s="8"/>
      <c r="I97" s="8"/>
      <c r="J97" s="8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9" t="str">
        <f t="shared" si="1"/>
        <v/>
      </c>
      <c r="V97" s="8"/>
      <c r="W97" s="8"/>
      <c r="X97" s="8"/>
      <c r="Y97" s="10"/>
      <c r="Z97" s="8"/>
    </row>
    <row r="98" spans="1:26">
      <c r="A98" s="8"/>
      <c r="B98" s="10"/>
      <c r="C98" s="8"/>
      <c r="D98" s="8"/>
      <c r="E98" s="8"/>
      <c r="F98" s="8"/>
      <c r="G98" s="11"/>
      <c r="H98" s="8"/>
      <c r="I98" s="8"/>
      <c r="J98" s="8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9" t="str">
        <f t="shared" si="1"/>
        <v/>
      </c>
      <c r="V98" s="8"/>
      <c r="W98" s="8"/>
      <c r="X98" s="8"/>
      <c r="Y98" s="10"/>
      <c r="Z98" s="8"/>
    </row>
    <row r="99" spans="1:26">
      <c r="A99" s="8"/>
      <c r="B99" s="10"/>
      <c r="C99" s="8"/>
      <c r="D99" s="8"/>
      <c r="E99" s="8"/>
      <c r="F99" s="8"/>
      <c r="G99" s="11"/>
      <c r="H99" s="8"/>
      <c r="I99" s="8"/>
      <c r="J99" s="8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9" t="str">
        <f t="shared" si="1"/>
        <v/>
      </c>
      <c r="V99" s="8"/>
      <c r="W99" s="8"/>
      <c r="X99" s="8"/>
      <c r="Y99" s="10"/>
      <c r="Z99" s="8"/>
    </row>
    <row r="100" spans="1:26">
      <c r="A100" s="8"/>
      <c r="B100" s="10"/>
      <c r="C100" s="8"/>
      <c r="D100" s="8"/>
      <c r="E100" s="8"/>
      <c r="F100" s="8"/>
      <c r="G100" s="11"/>
      <c r="H100" s="8"/>
      <c r="I100" s="8"/>
      <c r="J100" s="8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9" t="str">
        <f t="shared" si="1"/>
        <v/>
      </c>
      <c r="V100" s="8"/>
      <c r="W100" s="8"/>
      <c r="X100" s="8"/>
      <c r="Y100" s="10"/>
      <c r="Z100" s="8"/>
    </row>
    <row r="101" spans="1:26">
      <c r="A101" s="8"/>
      <c r="B101" s="10"/>
      <c r="C101" s="8"/>
      <c r="D101" s="8"/>
      <c r="E101" s="8"/>
      <c r="F101" s="8"/>
      <c r="G101" s="11"/>
      <c r="H101" s="8"/>
      <c r="I101" s="8"/>
      <c r="J101" s="8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9" t="str">
        <f t="shared" si="1"/>
        <v/>
      </c>
      <c r="V101" s="8"/>
      <c r="W101" s="8"/>
      <c r="X101" s="8"/>
      <c r="Y101" s="10"/>
      <c r="Z101" s="8"/>
    </row>
    <row r="102" spans="1:26">
      <c r="A102" s="8"/>
      <c r="B102" s="10"/>
      <c r="C102" s="8"/>
      <c r="D102" s="8"/>
      <c r="E102" s="8"/>
      <c r="F102" s="8"/>
      <c r="G102" s="11"/>
      <c r="H102" s="8"/>
      <c r="I102" s="8"/>
      <c r="J102" s="8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9" t="str">
        <f t="shared" si="1"/>
        <v/>
      </c>
      <c r="V102" s="8"/>
      <c r="W102" s="8"/>
      <c r="X102" s="8"/>
      <c r="Y102" s="10"/>
      <c r="Z102" s="8"/>
    </row>
    <row r="103" spans="1:26">
      <c r="A103" s="8"/>
      <c r="B103" s="10"/>
      <c r="C103" s="8"/>
      <c r="D103" s="8"/>
      <c r="E103" s="8"/>
      <c r="F103" s="8"/>
      <c r="G103" s="11"/>
      <c r="H103" s="8"/>
      <c r="I103" s="8"/>
      <c r="J103" s="8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9" t="str">
        <f t="shared" si="1"/>
        <v/>
      </c>
      <c r="V103" s="8"/>
      <c r="W103" s="8"/>
      <c r="X103" s="8"/>
      <c r="Y103" s="10"/>
      <c r="Z103" s="8"/>
    </row>
    <row r="104" spans="1:26">
      <c r="A104" s="8"/>
      <c r="B104" s="10"/>
      <c r="C104" s="8"/>
      <c r="D104" s="8"/>
      <c r="E104" s="8"/>
      <c r="F104" s="8"/>
      <c r="G104" s="11"/>
      <c r="H104" s="8"/>
      <c r="I104" s="8"/>
      <c r="J104" s="8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9" t="str">
        <f t="shared" si="1"/>
        <v/>
      </c>
      <c r="V104" s="8"/>
      <c r="W104" s="8"/>
      <c r="X104" s="8"/>
      <c r="Y104" s="10"/>
      <c r="Z104" s="8"/>
    </row>
    <row r="105" spans="1:26">
      <c r="A105" s="8"/>
      <c r="B105" s="10"/>
      <c r="C105" s="8"/>
      <c r="D105" s="8"/>
      <c r="E105" s="8"/>
      <c r="F105" s="8"/>
      <c r="G105" s="11"/>
      <c r="H105" s="8"/>
      <c r="I105" s="8"/>
      <c r="J105" s="8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9" t="str">
        <f t="shared" si="1"/>
        <v/>
      </c>
      <c r="V105" s="8"/>
      <c r="W105" s="8"/>
      <c r="X105" s="8"/>
      <c r="Y105" s="10"/>
      <c r="Z105" s="8"/>
    </row>
    <row r="106" spans="1:26">
      <c r="A106" s="8"/>
      <c r="B106" s="10"/>
      <c r="C106" s="8"/>
      <c r="D106" s="8"/>
      <c r="E106" s="8"/>
      <c r="F106" s="8"/>
      <c r="G106" s="11"/>
      <c r="H106" s="8"/>
      <c r="I106" s="8"/>
      <c r="J106" s="8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9" t="str">
        <f t="shared" si="1"/>
        <v/>
      </c>
      <c r="V106" s="8"/>
      <c r="W106" s="8"/>
      <c r="X106" s="8"/>
      <c r="Y106" s="10"/>
      <c r="Z106" s="8"/>
    </row>
    <row r="107" spans="1:26">
      <c r="A107" s="8"/>
      <c r="B107" s="10"/>
      <c r="C107" s="8"/>
      <c r="D107" s="8"/>
      <c r="E107" s="8"/>
      <c r="F107" s="8"/>
      <c r="G107" s="11"/>
      <c r="H107" s="8"/>
      <c r="I107" s="8"/>
      <c r="J107" s="8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9" t="str">
        <f t="shared" si="1"/>
        <v/>
      </c>
      <c r="V107" s="8"/>
      <c r="W107" s="8"/>
      <c r="X107" s="8"/>
      <c r="Y107" s="10"/>
      <c r="Z107" s="8"/>
    </row>
    <row r="108" spans="1:26">
      <c r="A108" s="8"/>
      <c r="B108" s="10"/>
      <c r="C108" s="8"/>
      <c r="D108" s="8"/>
      <c r="E108" s="8"/>
      <c r="F108" s="8"/>
      <c r="G108" s="11"/>
      <c r="H108" s="8"/>
      <c r="I108" s="8"/>
      <c r="J108" s="8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9" t="str">
        <f t="shared" si="1"/>
        <v/>
      </c>
      <c r="V108" s="8"/>
      <c r="W108" s="8"/>
      <c r="X108" s="8"/>
      <c r="Y108" s="10"/>
      <c r="Z108" s="8"/>
    </row>
    <row r="109" spans="1:26">
      <c r="A109" s="8"/>
      <c r="B109" s="10"/>
      <c r="C109" s="8"/>
      <c r="D109" s="8"/>
      <c r="E109" s="8"/>
      <c r="F109" s="8"/>
      <c r="G109" s="11"/>
      <c r="H109" s="8"/>
      <c r="I109" s="8"/>
      <c r="J109" s="8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9" t="str">
        <f t="shared" si="1"/>
        <v/>
      </c>
      <c r="V109" s="8"/>
      <c r="W109" s="8"/>
      <c r="X109" s="8"/>
      <c r="Y109" s="10"/>
      <c r="Z109" s="8"/>
    </row>
    <row r="110" spans="1:26">
      <c r="A110" s="8"/>
      <c r="B110" s="10"/>
      <c r="C110" s="8"/>
      <c r="D110" s="8"/>
      <c r="E110" s="8"/>
      <c r="F110" s="8"/>
      <c r="G110" s="11"/>
      <c r="H110" s="8"/>
      <c r="I110" s="8"/>
      <c r="J110" s="8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9" t="str">
        <f t="shared" si="1"/>
        <v/>
      </c>
      <c r="V110" s="8"/>
      <c r="W110" s="8"/>
      <c r="X110" s="8"/>
      <c r="Y110" s="10"/>
      <c r="Z110" s="8"/>
    </row>
    <row r="111" spans="1:26">
      <c r="A111" s="8"/>
      <c r="B111" s="10"/>
      <c r="C111" s="8"/>
      <c r="D111" s="8"/>
      <c r="E111" s="8"/>
      <c r="F111" s="8"/>
      <c r="G111" s="11"/>
      <c r="H111" s="8"/>
      <c r="I111" s="8"/>
      <c r="J111" s="8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9" t="str">
        <f t="shared" si="1"/>
        <v/>
      </c>
      <c r="V111" s="8"/>
      <c r="W111" s="8"/>
      <c r="X111" s="8"/>
      <c r="Y111" s="10"/>
      <c r="Z111" s="8"/>
    </row>
    <row r="112" spans="1:26">
      <c r="A112" s="8"/>
      <c r="B112" s="10"/>
      <c r="C112" s="8"/>
      <c r="D112" s="8"/>
      <c r="E112" s="8"/>
      <c r="F112" s="8"/>
      <c r="G112" s="11"/>
      <c r="H112" s="8"/>
      <c r="I112" s="8"/>
      <c r="J112" s="8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9" t="str">
        <f t="shared" si="1"/>
        <v/>
      </c>
      <c r="V112" s="8"/>
      <c r="W112" s="8"/>
      <c r="X112" s="8"/>
      <c r="Y112" s="10"/>
      <c r="Z112" s="8"/>
    </row>
    <row r="113" spans="1:26">
      <c r="A113" s="8"/>
      <c r="B113" s="10"/>
      <c r="C113" s="8"/>
      <c r="D113" s="8"/>
      <c r="E113" s="8"/>
      <c r="F113" s="8"/>
      <c r="G113" s="11"/>
      <c r="H113" s="8"/>
      <c r="I113" s="8"/>
      <c r="J113" s="8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9" t="str">
        <f t="shared" si="1"/>
        <v/>
      </c>
      <c r="V113" s="8"/>
      <c r="W113" s="8"/>
      <c r="X113" s="8"/>
      <c r="Y113" s="10"/>
      <c r="Z113" s="8"/>
    </row>
    <row r="114" spans="1:26">
      <c r="A114" s="8"/>
      <c r="B114" s="10"/>
      <c r="C114" s="8"/>
      <c r="D114" s="8"/>
      <c r="E114" s="8"/>
      <c r="F114" s="8"/>
      <c r="G114" s="11"/>
      <c r="H114" s="8"/>
      <c r="I114" s="8"/>
      <c r="J114" s="8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9" t="str">
        <f t="shared" si="1"/>
        <v/>
      </c>
      <c r="V114" s="8"/>
      <c r="W114" s="8"/>
      <c r="X114" s="8"/>
      <c r="Y114" s="10"/>
      <c r="Z114" s="8"/>
    </row>
    <row r="115" spans="1:26">
      <c r="A115" s="8"/>
      <c r="B115" s="10"/>
      <c r="C115" s="8"/>
      <c r="D115" s="8"/>
      <c r="E115" s="8"/>
      <c r="F115" s="8"/>
      <c r="G115" s="11"/>
      <c r="H115" s="8"/>
      <c r="I115" s="8"/>
      <c r="J115" s="8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9" t="str">
        <f t="shared" si="1"/>
        <v/>
      </c>
      <c r="V115" s="8"/>
      <c r="W115" s="8"/>
      <c r="X115" s="8"/>
      <c r="Y115" s="10"/>
      <c r="Z115" s="8"/>
    </row>
    <row r="116" spans="1:26">
      <c r="A116" s="8"/>
      <c r="B116" s="10"/>
      <c r="C116" s="8"/>
      <c r="D116" s="8"/>
      <c r="E116" s="8"/>
      <c r="F116" s="8"/>
      <c r="G116" s="11"/>
      <c r="H116" s="8"/>
      <c r="I116" s="8"/>
      <c r="J116" s="8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9" t="str">
        <f t="shared" si="1"/>
        <v/>
      </c>
      <c r="V116" s="8"/>
      <c r="W116" s="8"/>
      <c r="X116" s="8"/>
      <c r="Y116" s="10"/>
      <c r="Z116" s="8"/>
    </row>
    <row r="117" spans="1:26">
      <c r="A117" s="8"/>
      <c r="B117" s="10"/>
      <c r="C117" s="8"/>
      <c r="D117" s="8"/>
      <c r="E117" s="8"/>
      <c r="F117" s="8"/>
      <c r="G117" s="11"/>
      <c r="H117" s="8"/>
      <c r="I117" s="8"/>
      <c r="J117" s="8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9" t="str">
        <f t="shared" si="1"/>
        <v/>
      </c>
      <c r="V117" s="8"/>
      <c r="W117" s="8"/>
      <c r="X117" s="8"/>
      <c r="Y117" s="10"/>
      <c r="Z117" s="8"/>
    </row>
    <row r="118" spans="1:26">
      <c r="A118" s="8"/>
      <c r="B118" s="10"/>
      <c r="C118" s="8"/>
      <c r="D118" s="8"/>
      <c r="E118" s="8"/>
      <c r="F118" s="8"/>
      <c r="G118" s="11"/>
      <c r="H118" s="8"/>
      <c r="I118" s="8"/>
      <c r="J118" s="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9" t="str">
        <f t="shared" si="1"/>
        <v/>
      </c>
      <c r="V118" s="8"/>
      <c r="W118" s="8"/>
      <c r="X118" s="8"/>
      <c r="Y118" s="10"/>
      <c r="Z118" s="8"/>
    </row>
    <row r="119" spans="1:26">
      <c r="A119" s="8"/>
      <c r="B119" s="10"/>
      <c r="C119" s="8"/>
      <c r="D119" s="8"/>
      <c r="E119" s="8"/>
      <c r="F119" s="8"/>
      <c r="G119" s="11"/>
      <c r="H119" s="8"/>
      <c r="I119" s="8"/>
      <c r="J119" s="8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9" t="str">
        <f t="shared" si="1"/>
        <v/>
      </c>
      <c r="V119" s="8"/>
      <c r="W119" s="8"/>
      <c r="X119" s="8"/>
      <c r="Y119" s="10"/>
      <c r="Z119" s="8"/>
    </row>
    <row r="120" spans="1:26">
      <c r="A120" s="8"/>
      <c r="B120" s="10"/>
      <c r="C120" s="8"/>
      <c r="D120" s="8"/>
      <c r="E120" s="8"/>
      <c r="F120" s="8"/>
      <c r="G120" s="11"/>
      <c r="H120" s="8"/>
      <c r="I120" s="8"/>
      <c r="J120" s="8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9" t="str">
        <f t="shared" si="1"/>
        <v/>
      </c>
      <c r="V120" s="8"/>
      <c r="W120" s="8"/>
      <c r="X120" s="8"/>
      <c r="Y120" s="10"/>
      <c r="Z120" s="8"/>
    </row>
    <row r="121" spans="1:26">
      <c r="A121" s="8"/>
      <c r="B121" s="10"/>
      <c r="C121" s="8"/>
      <c r="D121" s="8"/>
      <c r="E121" s="8"/>
      <c r="F121" s="8"/>
      <c r="G121" s="11"/>
      <c r="H121" s="8"/>
      <c r="I121" s="8"/>
      <c r="J121" s="8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9" t="str">
        <f t="shared" si="1"/>
        <v/>
      </c>
      <c r="V121" s="8"/>
      <c r="W121" s="8"/>
      <c r="X121" s="8"/>
      <c r="Y121" s="10"/>
      <c r="Z121" s="8"/>
    </row>
    <row r="122" spans="1:26">
      <c r="A122" s="8"/>
      <c r="B122" s="10"/>
      <c r="C122" s="8"/>
      <c r="D122" s="8"/>
      <c r="E122" s="8"/>
      <c r="F122" s="8"/>
      <c r="G122" s="11"/>
      <c r="H122" s="8"/>
      <c r="I122" s="8"/>
      <c r="J122" s="8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9" t="str">
        <f t="shared" si="1"/>
        <v/>
      </c>
      <c r="V122" s="8"/>
      <c r="W122" s="8"/>
      <c r="X122" s="8"/>
      <c r="Y122" s="10"/>
      <c r="Z122" s="8"/>
    </row>
    <row r="123" spans="1:26">
      <c r="A123" s="8"/>
      <c r="B123" s="10"/>
      <c r="C123" s="8"/>
      <c r="D123" s="8"/>
      <c r="E123" s="8"/>
      <c r="F123" s="8"/>
      <c r="G123" s="11"/>
      <c r="H123" s="8"/>
      <c r="I123" s="8"/>
      <c r="J123" s="8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9" t="str">
        <f t="shared" si="1"/>
        <v/>
      </c>
      <c r="V123" s="8"/>
      <c r="W123" s="8"/>
      <c r="X123" s="8"/>
      <c r="Y123" s="10"/>
      <c r="Z123" s="8"/>
    </row>
    <row r="124" spans="1:26">
      <c r="A124" s="8"/>
      <c r="B124" s="10"/>
      <c r="C124" s="8"/>
      <c r="D124" s="8"/>
      <c r="E124" s="8"/>
      <c r="F124" s="8"/>
      <c r="G124" s="11"/>
      <c r="H124" s="8"/>
      <c r="I124" s="8"/>
      <c r="J124" s="8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9" t="str">
        <f t="shared" si="1"/>
        <v/>
      </c>
      <c r="V124" s="8"/>
      <c r="W124" s="8"/>
      <c r="X124" s="8"/>
      <c r="Y124" s="10"/>
      <c r="Z124" s="8"/>
    </row>
    <row r="125" spans="1:26">
      <c r="A125" s="8"/>
      <c r="B125" s="10"/>
      <c r="C125" s="8"/>
      <c r="D125" s="8"/>
      <c r="E125" s="8"/>
      <c r="F125" s="8"/>
      <c r="G125" s="11"/>
      <c r="H125" s="8"/>
      <c r="I125" s="8"/>
      <c r="J125" s="8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9" t="str">
        <f t="shared" si="1"/>
        <v/>
      </c>
      <c r="V125" s="8"/>
      <c r="W125" s="8"/>
      <c r="X125" s="8"/>
      <c r="Y125" s="10"/>
      <c r="Z125" s="8"/>
    </row>
    <row r="126" spans="1:26">
      <c r="A126" s="8"/>
      <c r="B126" s="10"/>
      <c r="C126" s="8"/>
      <c r="D126" s="8"/>
      <c r="E126" s="8"/>
      <c r="F126" s="8"/>
      <c r="G126" s="11"/>
      <c r="H126" s="8"/>
      <c r="I126" s="8"/>
      <c r="J126" s="8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9" t="str">
        <f t="shared" si="1"/>
        <v/>
      </c>
      <c r="V126" s="8"/>
      <c r="W126" s="8"/>
      <c r="X126" s="8"/>
      <c r="Y126" s="10"/>
      <c r="Z126" s="8"/>
    </row>
    <row r="127" spans="1:26">
      <c r="A127" s="8"/>
      <c r="B127" s="10"/>
      <c r="C127" s="8"/>
      <c r="D127" s="8"/>
      <c r="E127" s="8"/>
      <c r="F127" s="8"/>
      <c r="G127" s="11"/>
      <c r="H127" s="8"/>
      <c r="I127" s="8"/>
      <c r="J127" s="8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9" t="str">
        <f t="shared" si="1"/>
        <v/>
      </c>
      <c r="V127" s="8"/>
      <c r="W127" s="8"/>
      <c r="X127" s="8"/>
      <c r="Y127" s="10"/>
      <c r="Z127" s="8"/>
    </row>
    <row r="128" spans="1:26">
      <c r="A128" s="8"/>
      <c r="B128" s="10"/>
      <c r="C128" s="8"/>
      <c r="D128" s="8"/>
      <c r="E128" s="8"/>
      <c r="F128" s="8"/>
      <c r="G128" s="11"/>
      <c r="H128" s="8"/>
      <c r="I128" s="8"/>
      <c r="J128" s="8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9" t="str">
        <f t="shared" si="1"/>
        <v/>
      </c>
      <c r="V128" s="8"/>
      <c r="W128" s="8"/>
      <c r="X128" s="8"/>
      <c r="Y128" s="10"/>
      <c r="Z128" s="8"/>
    </row>
    <row r="129" spans="1:26">
      <c r="A129" s="8"/>
      <c r="B129" s="10"/>
      <c r="C129" s="8"/>
      <c r="D129" s="8"/>
      <c r="E129" s="8"/>
      <c r="F129" s="8"/>
      <c r="G129" s="11"/>
      <c r="H129" s="8"/>
      <c r="I129" s="8"/>
      <c r="J129" s="8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9" t="str">
        <f t="shared" si="1"/>
        <v/>
      </c>
      <c r="V129" s="8"/>
      <c r="W129" s="8"/>
      <c r="X129" s="8"/>
      <c r="Y129" s="10"/>
      <c r="Z129" s="8"/>
    </row>
    <row r="130" spans="1:26">
      <c r="A130" s="8"/>
      <c r="B130" s="10"/>
      <c r="C130" s="8"/>
      <c r="D130" s="8"/>
      <c r="E130" s="8"/>
      <c r="F130" s="8"/>
      <c r="G130" s="11"/>
      <c r="H130" s="8"/>
      <c r="I130" s="8"/>
      <c r="J130" s="8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9" t="str">
        <f t="shared" si="1"/>
        <v/>
      </c>
      <c r="V130" s="8"/>
      <c r="W130" s="8"/>
      <c r="X130" s="8"/>
      <c r="Y130" s="10"/>
      <c r="Z130" s="8"/>
    </row>
    <row r="131" spans="1:26">
      <c r="A131" s="8"/>
      <c r="B131" s="10"/>
      <c r="C131" s="8"/>
      <c r="D131" s="8"/>
      <c r="E131" s="8"/>
      <c r="F131" s="8"/>
      <c r="G131" s="11"/>
      <c r="H131" s="8"/>
      <c r="I131" s="8"/>
      <c r="J131" s="8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9" t="str">
        <f t="shared" si="1"/>
        <v/>
      </c>
      <c r="V131" s="8"/>
      <c r="W131" s="8"/>
      <c r="X131" s="8"/>
      <c r="Y131" s="10"/>
      <c r="Z131" s="8"/>
    </row>
    <row r="132" spans="1:26">
      <c r="A132" s="8"/>
      <c r="B132" s="10"/>
      <c r="C132" s="8"/>
      <c r="D132" s="8"/>
      <c r="E132" s="8"/>
      <c r="F132" s="8"/>
      <c r="G132" s="11"/>
      <c r="H132" s="8"/>
      <c r="I132" s="8"/>
      <c r="J132" s="8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9" t="str">
        <f t="shared" si="1"/>
        <v/>
      </c>
      <c r="V132" s="8"/>
      <c r="W132" s="8"/>
      <c r="X132" s="8"/>
      <c r="Y132" s="10"/>
      <c r="Z132" s="8"/>
    </row>
    <row r="133" spans="1:26">
      <c r="A133" s="8"/>
      <c r="B133" s="10"/>
      <c r="C133" s="8"/>
      <c r="D133" s="8"/>
      <c r="E133" s="8"/>
      <c r="F133" s="8"/>
      <c r="G133" s="11"/>
      <c r="H133" s="8"/>
      <c r="I133" s="8"/>
      <c r="J133" s="8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9" t="str">
        <f t="shared" ref="U133:U196" si="2">IF(A133="","",IF(OR(L133&gt;=R133,M133&gt;=S133,N133&gt;=T133),"Failed","Passed"))</f>
        <v/>
      </c>
      <c r="V133" s="8"/>
      <c r="W133" s="8"/>
      <c r="X133" s="8"/>
      <c r="Y133" s="10"/>
      <c r="Z133" s="8"/>
    </row>
    <row r="134" spans="1:26">
      <c r="A134" s="8"/>
      <c r="B134" s="10"/>
      <c r="C134" s="8"/>
      <c r="D134" s="8"/>
      <c r="E134" s="8"/>
      <c r="F134" s="8"/>
      <c r="G134" s="11"/>
      <c r="H134" s="8"/>
      <c r="I134" s="8"/>
      <c r="J134" s="8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9" t="str">
        <f t="shared" si="2"/>
        <v/>
      </c>
      <c r="V134" s="8"/>
      <c r="W134" s="8"/>
      <c r="X134" s="8"/>
      <c r="Y134" s="10"/>
      <c r="Z134" s="8"/>
    </row>
    <row r="135" spans="1:26">
      <c r="A135" s="8"/>
      <c r="B135" s="10"/>
      <c r="C135" s="8"/>
      <c r="D135" s="8"/>
      <c r="E135" s="8"/>
      <c r="F135" s="8"/>
      <c r="G135" s="11"/>
      <c r="H135" s="8"/>
      <c r="I135" s="8"/>
      <c r="J135" s="8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9" t="str">
        <f t="shared" si="2"/>
        <v/>
      </c>
      <c r="V135" s="8"/>
      <c r="W135" s="8"/>
      <c r="X135" s="8"/>
      <c r="Y135" s="10"/>
      <c r="Z135" s="8"/>
    </row>
    <row r="136" spans="1:26">
      <c r="A136" s="8"/>
      <c r="B136" s="10"/>
      <c r="C136" s="8"/>
      <c r="D136" s="8"/>
      <c r="E136" s="8"/>
      <c r="F136" s="8"/>
      <c r="G136" s="11"/>
      <c r="H136" s="8"/>
      <c r="I136" s="8"/>
      <c r="J136" s="8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9" t="str">
        <f t="shared" si="2"/>
        <v/>
      </c>
      <c r="V136" s="8"/>
      <c r="W136" s="8"/>
      <c r="X136" s="8"/>
      <c r="Y136" s="10"/>
      <c r="Z136" s="8"/>
    </row>
    <row r="137" spans="1:26">
      <c r="A137" s="8"/>
      <c r="B137" s="10"/>
      <c r="C137" s="8"/>
      <c r="D137" s="8"/>
      <c r="E137" s="8"/>
      <c r="F137" s="8"/>
      <c r="G137" s="11"/>
      <c r="H137" s="8"/>
      <c r="I137" s="8"/>
      <c r="J137" s="8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9" t="str">
        <f t="shared" si="2"/>
        <v/>
      </c>
      <c r="V137" s="8"/>
      <c r="W137" s="8"/>
      <c r="X137" s="8"/>
      <c r="Y137" s="10"/>
      <c r="Z137" s="8"/>
    </row>
    <row r="138" spans="1:26">
      <c r="A138" s="8"/>
      <c r="B138" s="10"/>
      <c r="C138" s="8"/>
      <c r="D138" s="8"/>
      <c r="E138" s="8"/>
      <c r="F138" s="8"/>
      <c r="G138" s="11"/>
      <c r="H138" s="8"/>
      <c r="I138" s="8"/>
      <c r="J138" s="8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9" t="str">
        <f t="shared" si="2"/>
        <v/>
      </c>
      <c r="V138" s="8"/>
      <c r="W138" s="8"/>
      <c r="X138" s="8"/>
      <c r="Y138" s="10"/>
      <c r="Z138" s="8"/>
    </row>
    <row r="139" spans="1:26">
      <c r="A139" s="8"/>
      <c r="B139" s="10"/>
      <c r="C139" s="8"/>
      <c r="D139" s="8"/>
      <c r="E139" s="8"/>
      <c r="F139" s="8"/>
      <c r="G139" s="11"/>
      <c r="H139" s="8"/>
      <c r="I139" s="8"/>
      <c r="J139" s="8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9" t="str">
        <f t="shared" si="2"/>
        <v/>
      </c>
      <c r="V139" s="8"/>
      <c r="W139" s="8"/>
      <c r="X139" s="8"/>
      <c r="Y139" s="10"/>
      <c r="Z139" s="8"/>
    </row>
    <row r="140" spans="1:26">
      <c r="A140" s="8"/>
      <c r="B140" s="10"/>
      <c r="C140" s="8"/>
      <c r="D140" s="8"/>
      <c r="E140" s="8"/>
      <c r="F140" s="8"/>
      <c r="G140" s="11"/>
      <c r="H140" s="8"/>
      <c r="I140" s="8"/>
      <c r="J140" s="8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9" t="str">
        <f t="shared" si="2"/>
        <v/>
      </c>
      <c r="V140" s="8"/>
      <c r="W140" s="8"/>
      <c r="X140" s="8"/>
      <c r="Y140" s="10"/>
      <c r="Z140" s="8"/>
    </row>
    <row r="141" spans="1:26">
      <c r="A141" s="8"/>
      <c r="B141" s="10"/>
      <c r="C141" s="8"/>
      <c r="D141" s="8"/>
      <c r="E141" s="8"/>
      <c r="F141" s="8"/>
      <c r="G141" s="11"/>
      <c r="H141" s="8"/>
      <c r="I141" s="8"/>
      <c r="J141" s="8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9" t="str">
        <f t="shared" si="2"/>
        <v/>
      </c>
      <c r="V141" s="8"/>
      <c r="W141" s="8"/>
      <c r="X141" s="8"/>
      <c r="Y141" s="10"/>
      <c r="Z141" s="8"/>
    </row>
    <row r="142" spans="1:26">
      <c r="A142" s="8"/>
      <c r="B142" s="10"/>
      <c r="C142" s="8"/>
      <c r="D142" s="8"/>
      <c r="E142" s="8"/>
      <c r="F142" s="8"/>
      <c r="G142" s="11"/>
      <c r="H142" s="8"/>
      <c r="I142" s="8"/>
      <c r="J142" s="8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9" t="str">
        <f t="shared" si="2"/>
        <v/>
      </c>
      <c r="V142" s="8"/>
      <c r="W142" s="8"/>
      <c r="X142" s="8"/>
      <c r="Y142" s="10"/>
      <c r="Z142" s="8"/>
    </row>
    <row r="143" spans="1:26">
      <c r="A143" s="8"/>
      <c r="B143" s="10"/>
      <c r="C143" s="8"/>
      <c r="D143" s="8"/>
      <c r="E143" s="8"/>
      <c r="F143" s="8"/>
      <c r="G143" s="11"/>
      <c r="H143" s="8"/>
      <c r="I143" s="8"/>
      <c r="J143" s="8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9" t="str">
        <f t="shared" si="2"/>
        <v/>
      </c>
      <c r="V143" s="8"/>
      <c r="W143" s="8"/>
      <c r="X143" s="8"/>
      <c r="Y143" s="10"/>
      <c r="Z143" s="8"/>
    </row>
    <row r="144" spans="1:26">
      <c r="A144" s="8"/>
      <c r="B144" s="10"/>
      <c r="C144" s="8"/>
      <c r="D144" s="8"/>
      <c r="E144" s="8"/>
      <c r="F144" s="8"/>
      <c r="G144" s="11"/>
      <c r="H144" s="8"/>
      <c r="I144" s="8"/>
      <c r="J144" s="8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9" t="str">
        <f t="shared" si="2"/>
        <v/>
      </c>
      <c r="V144" s="8"/>
      <c r="W144" s="8"/>
      <c r="X144" s="8"/>
      <c r="Y144" s="10"/>
      <c r="Z144" s="8"/>
    </row>
    <row r="145" spans="1:26">
      <c r="A145" s="8"/>
      <c r="B145" s="10"/>
      <c r="C145" s="8"/>
      <c r="D145" s="8"/>
      <c r="E145" s="8"/>
      <c r="F145" s="8"/>
      <c r="G145" s="11"/>
      <c r="H145" s="8"/>
      <c r="I145" s="8"/>
      <c r="J145" s="8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9" t="str">
        <f t="shared" si="2"/>
        <v/>
      </c>
      <c r="V145" s="8"/>
      <c r="W145" s="8"/>
      <c r="X145" s="8"/>
      <c r="Y145" s="10"/>
      <c r="Z145" s="8"/>
    </row>
    <row r="146" spans="1:26">
      <c r="A146" s="8"/>
      <c r="B146" s="10"/>
      <c r="C146" s="8"/>
      <c r="D146" s="8"/>
      <c r="E146" s="8"/>
      <c r="F146" s="8"/>
      <c r="G146" s="11"/>
      <c r="H146" s="8"/>
      <c r="I146" s="8"/>
      <c r="J146" s="8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9" t="str">
        <f t="shared" si="2"/>
        <v/>
      </c>
      <c r="V146" s="8"/>
      <c r="W146" s="8"/>
      <c r="X146" s="8"/>
      <c r="Y146" s="10"/>
      <c r="Z146" s="8"/>
    </row>
    <row r="147" spans="1:26">
      <c r="A147" s="8"/>
      <c r="B147" s="10"/>
      <c r="C147" s="8"/>
      <c r="D147" s="8"/>
      <c r="E147" s="8"/>
      <c r="F147" s="8"/>
      <c r="G147" s="11"/>
      <c r="H147" s="8"/>
      <c r="I147" s="8"/>
      <c r="J147" s="8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9" t="str">
        <f t="shared" si="2"/>
        <v/>
      </c>
      <c r="V147" s="8"/>
      <c r="W147" s="8"/>
      <c r="X147" s="8"/>
      <c r="Y147" s="10"/>
      <c r="Z147" s="8"/>
    </row>
    <row r="148" spans="1:26">
      <c r="A148" s="8"/>
      <c r="B148" s="10"/>
      <c r="C148" s="8"/>
      <c r="D148" s="8"/>
      <c r="E148" s="8"/>
      <c r="F148" s="8"/>
      <c r="G148" s="11"/>
      <c r="H148" s="8"/>
      <c r="I148" s="8"/>
      <c r="J148" s="8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9" t="str">
        <f t="shared" si="2"/>
        <v/>
      </c>
      <c r="V148" s="8"/>
      <c r="W148" s="8"/>
      <c r="X148" s="8"/>
      <c r="Y148" s="10"/>
      <c r="Z148" s="8"/>
    </row>
    <row r="149" spans="1:26">
      <c r="A149" s="8"/>
      <c r="B149" s="10"/>
      <c r="C149" s="8"/>
      <c r="D149" s="8"/>
      <c r="E149" s="8"/>
      <c r="F149" s="8"/>
      <c r="G149" s="11"/>
      <c r="H149" s="8"/>
      <c r="I149" s="8"/>
      <c r="J149" s="8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9" t="str">
        <f t="shared" si="2"/>
        <v/>
      </c>
      <c r="V149" s="8"/>
      <c r="W149" s="8"/>
      <c r="X149" s="8"/>
      <c r="Y149" s="10"/>
      <c r="Z149" s="8"/>
    </row>
    <row r="150" spans="1:26">
      <c r="A150" s="8"/>
      <c r="B150" s="10"/>
      <c r="C150" s="8"/>
      <c r="D150" s="8"/>
      <c r="E150" s="8"/>
      <c r="F150" s="8"/>
      <c r="G150" s="11"/>
      <c r="H150" s="8"/>
      <c r="I150" s="8"/>
      <c r="J150" s="8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9" t="str">
        <f t="shared" si="2"/>
        <v/>
      </c>
      <c r="V150" s="8"/>
      <c r="W150" s="8"/>
      <c r="X150" s="8"/>
      <c r="Y150" s="10"/>
      <c r="Z150" s="8"/>
    </row>
    <row r="151" spans="1:26">
      <c r="A151" s="8"/>
      <c r="B151" s="10"/>
      <c r="C151" s="8"/>
      <c r="D151" s="8"/>
      <c r="E151" s="8"/>
      <c r="F151" s="8"/>
      <c r="G151" s="11"/>
      <c r="H151" s="8"/>
      <c r="I151" s="8"/>
      <c r="J151" s="8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9" t="str">
        <f t="shared" si="2"/>
        <v/>
      </c>
      <c r="V151" s="8"/>
      <c r="W151" s="8"/>
      <c r="X151" s="8"/>
      <c r="Y151" s="10"/>
      <c r="Z151" s="8"/>
    </row>
    <row r="152" spans="1:26">
      <c r="A152" s="8"/>
      <c r="B152" s="10"/>
      <c r="C152" s="8"/>
      <c r="D152" s="8"/>
      <c r="E152" s="8"/>
      <c r="F152" s="8"/>
      <c r="G152" s="11"/>
      <c r="H152" s="8"/>
      <c r="I152" s="8"/>
      <c r="J152" s="8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9" t="str">
        <f t="shared" si="2"/>
        <v/>
      </c>
      <c r="V152" s="8"/>
      <c r="W152" s="8"/>
      <c r="X152" s="8"/>
      <c r="Y152" s="10"/>
      <c r="Z152" s="8"/>
    </row>
    <row r="153" spans="1:26">
      <c r="A153" s="8"/>
      <c r="B153" s="10"/>
      <c r="C153" s="8"/>
      <c r="D153" s="8"/>
      <c r="E153" s="8"/>
      <c r="F153" s="8"/>
      <c r="G153" s="11"/>
      <c r="H153" s="8"/>
      <c r="I153" s="8"/>
      <c r="J153" s="8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9" t="str">
        <f t="shared" si="2"/>
        <v/>
      </c>
      <c r="V153" s="8"/>
      <c r="W153" s="8"/>
      <c r="X153" s="8"/>
      <c r="Y153" s="10"/>
      <c r="Z153" s="8"/>
    </row>
    <row r="154" spans="1:26">
      <c r="A154" s="8"/>
      <c r="B154" s="10"/>
      <c r="C154" s="8"/>
      <c r="D154" s="8"/>
      <c r="E154" s="8"/>
      <c r="F154" s="8"/>
      <c r="G154" s="11"/>
      <c r="H154" s="8"/>
      <c r="I154" s="8"/>
      <c r="J154" s="8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9" t="str">
        <f t="shared" si="2"/>
        <v/>
      </c>
      <c r="V154" s="8"/>
      <c r="W154" s="8"/>
      <c r="X154" s="8"/>
      <c r="Y154" s="10"/>
      <c r="Z154" s="8"/>
    </row>
    <row r="155" spans="1:26">
      <c r="A155" s="8"/>
      <c r="B155" s="10"/>
      <c r="C155" s="8"/>
      <c r="D155" s="8"/>
      <c r="E155" s="8"/>
      <c r="F155" s="8"/>
      <c r="G155" s="11"/>
      <c r="H155" s="8"/>
      <c r="I155" s="8"/>
      <c r="J155" s="8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9" t="str">
        <f t="shared" si="2"/>
        <v/>
      </c>
      <c r="V155" s="8"/>
      <c r="W155" s="8"/>
      <c r="X155" s="8"/>
      <c r="Y155" s="10"/>
      <c r="Z155" s="8"/>
    </row>
    <row r="156" spans="1:26">
      <c r="A156" s="8"/>
      <c r="B156" s="10"/>
      <c r="C156" s="8"/>
      <c r="D156" s="8"/>
      <c r="E156" s="8"/>
      <c r="F156" s="8"/>
      <c r="G156" s="11"/>
      <c r="H156" s="8"/>
      <c r="I156" s="8"/>
      <c r="J156" s="8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9" t="str">
        <f t="shared" si="2"/>
        <v/>
      </c>
      <c r="V156" s="8"/>
      <c r="W156" s="8"/>
      <c r="X156" s="8"/>
      <c r="Y156" s="10"/>
      <c r="Z156" s="8"/>
    </row>
    <row r="157" spans="1:26">
      <c r="A157" s="8"/>
      <c r="B157" s="10"/>
      <c r="C157" s="8"/>
      <c r="D157" s="8"/>
      <c r="E157" s="8"/>
      <c r="F157" s="8"/>
      <c r="G157" s="11"/>
      <c r="H157" s="8"/>
      <c r="I157" s="8"/>
      <c r="J157" s="8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9" t="str">
        <f t="shared" si="2"/>
        <v/>
      </c>
      <c r="V157" s="8"/>
      <c r="W157" s="8"/>
      <c r="X157" s="8"/>
      <c r="Y157" s="10"/>
      <c r="Z157" s="8"/>
    </row>
    <row r="158" spans="1:26">
      <c r="A158" s="8"/>
      <c r="B158" s="10"/>
      <c r="C158" s="8"/>
      <c r="D158" s="8"/>
      <c r="E158" s="8"/>
      <c r="F158" s="8"/>
      <c r="G158" s="11"/>
      <c r="H158" s="8"/>
      <c r="I158" s="8"/>
      <c r="J158" s="8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9" t="str">
        <f t="shared" si="2"/>
        <v/>
      </c>
      <c r="V158" s="8"/>
      <c r="W158" s="8"/>
      <c r="X158" s="8"/>
      <c r="Y158" s="10"/>
      <c r="Z158" s="8"/>
    </row>
    <row r="159" spans="1:26">
      <c r="A159" s="8"/>
      <c r="B159" s="10"/>
      <c r="C159" s="8"/>
      <c r="D159" s="8"/>
      <c r="E159" s="8"/>
      <c r="F159" s="8"/>
      <c r="G159" s="11"/>
      <c r="H159" s="8"/>
      <c r="I159" s="8"/>
      <c r="J159" s="8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9" t="str">
        <f t="shared" si="2"/>
        <v/>
      </c>
      <c r="V159" s="8"/>
      <c r="W159" s="8"/>
      <c r="X159" s="8"/>
      <c r="Y159" s="10"/>
      <c r="Z159" s="8"/>
    </row>
    <row r="160" spans="1:26">
      <c r="A160" s="8"/>
      <c r="B160" s="10"/>
      <c r="C160" s="8"/>
      <c r="D160" s="8"/>
      <c r="E160" s="8"/>
      <c r="F160" s="8"/>
      <c r="G160" s="11"/>
      <c r="H160" s="8"/>
      <c r="I160" s="8"/>
      <c r="J160" s="8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9" t="str">
        <f t="shared" si="2"/>
        <v/>
      </c>
      <c r="V160" s="8"/>
      <c r="W160" s="8"/>
      <c r="X160" s="8"/>
      <c r="Y160" s="10"/>
      <c r="Z160" s="8"/>
    </row>
    <row r="161" spans="1:26">
      <c r="A161" s="8"/>
      <c r="B161" s="10"/>
      <c r="C161" s="8"/>
      <c r="D161" s="8"/>
      <c r="E161" s="8"/>
      <c r="F161" s="8"/>
      <c r="G161" s="11"/>
      <c r="H161" s="8"/>
      <c r="I161" s="8"/>
      <c r="J161" s="8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9" t="str">
        <f t="shared" si="2"/>
        <v/>
      </c>
      <c r="V161" s="8"/>
      <c r="W161" s="8"/>
      <c r="X161" s="8"/>
      <c r="Y161" s="10"/>
      <c r="Z161" s="8"/>
    </row>
    <row r="162" spans="1:26">
      <c r="A162" s="8"/>
      <c r="B162" s="10"/>
      <c r="C162" s="8"/>
      <c r="D162" s="8"/>
      <c r="E162" s="8"/>
      <c r="F162" s="8"/>
      <c r="G162" s="11"/>
      <c r="H162" s="8"/>
      <c r="I162" s="8"/>
      <c r="J162" s="8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9" t="str">
        <f t="shared" si="2"/>
        <v/>
      </c>
      <c r="V162" s="8"/>
      <c r="W162" s="8"/>
      <c r="X162" s="8"/>
      <c r="Y162" s="10"/>
      <c r="Z162" s="8"/>
    </row>
    <row r="163" spans="1:26">
      <c r="A163" s="8"/>
      <c r="B163" s="10"/>
      <c r="C163" s="8"/>
      <c r="D163" s="8"/>
      <c r="E163" s="8"/>
      <c r="F163" s="8"/>
      <c r="G163" s="11"/>
      <c r="H163" s="8"/>
      <c r="I163" s="8"/>
      <c r="J163" s="8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9" t="str">
        <f t="shared" si="2"/>
        <v/>
      </c>
      <c r="V163" s="8"/>
      <c r="W163" s="8"/>
      <c r="X163" s="8"/>
      <c r="Y163" s="10"/>
      <c r="Z163" s="8"/>
    </row>
    <row r="164" spans="1:26">
      <c r="A164" s="8"/>
      <c r="B164" s="10"/>
      <c r="C164" s="8"/>
      <c r="D164" s="8"/>
      <c r="E164" s="8"/>
      <c r="F164" s="8"/>
      <c r="G164" s="11"/>
      <c r="H164" s="8"/>
      <c r="I164" s="8"/>
      <c r="J164" s="8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9" t="str">
        <f t="shared" si="2"/>
        <v/>
      </c>
      <c r="V164" s="8"/>
      <c r="W164" s="8"/>
      <c r="X164" s="8"/>
      <c r="Y164" s="10"/>
      <c r="Z164" s="8"/>
    </row>
    <row r="165" spans="1:26">
      <c r="A165" s="8"/>
      <c r="B165" s="10"/>
      <c r="C165" s="8"/>
      <c r="D165" s="8"/>
      <c r="E165" s="8"/>
      <c r="F165" s="8"/>
      <c r="G165" s="11"/>
      <c r="H165" s="8"/>
      <c r="I165" s="8"/>
      <c r="J165" s="8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9" t="str">
        <f t="shared" si="2"/>
        <v/>
      </c>
      <c r="V165" s="8"/>
      <c r="W165" s="8"/>
      <c r="X165" s="8"/>
      <c r="Y165" s="10"/>
      <c r="Z165" s="8"/>
    </row>
    <row r="166" spans="1:26">
      <c r="A166" s="8"/>
      <c r="B166" s="10"/>
      <c r="C166" s="8"/>
      <c r="D166" s="8"/>
      <c r="E166" s="8"/>
      <c r="F166" s="8"/>
      <c r="G166" s="11"/>
      <c r="H166" s="8"/>
      <c r="I166" s="8"/>
      <c r="J166" s="8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9" t="str">
        <f t="shared" si="2"/>
        <v/>
      </c>
      <c r="V166" s="8"/>
      <c r="W166" s="8"/>
      <c r="X166" s="8"/>
      <c r="Y166" s="10"/>
      <c r="Z166" s="8"/>
    </row>
    <row r="167" spans="1:26">
      <c r="A167" s="8"/>
      <c r="B167" s="10"/>
      <c r="C167" s="8"/>
      <c r="D167" s="8"/>
      <c r="E167" s="8"/>
      <c r="F167" s="8"/>
      <c r="G167" s="11"/>
      <c r="H167" s="8"/>
      <c r="I167" s="8"/>
      <c r="J167" s="8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9" t="str">
        <f t="shared" si="2"/>
        <v/>
      </c>
      <c r="V167" s="8"/>
      <c r="W167" s="8"/>
      <c r="X167" s="8"/>
      <c r="Y167" s="10"/>
      <c r="Z167" s="8"/>
    </row>
    <row r="168" spans="1:26">
      <c r="A168" s="8"/>
      <c r="B168" s="10"/>
      <c r="C168" s="8"/>
      <c r="D168" s="8"/>
      <c r="E168" s="8"/>
      <c r="F168" s="8"/>
      <c r="G168" s="11"/>
      <c r="H168" s="8"/>
      <c r="I168" s="8"/>
      <c r="J168" s="8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9" t="str">
        <f t="shared" si="2"/>
        <v/>
      </c>
      <c r="V168" s="8"/>
      <c r="W168" s="8"/>
      <c r="X168" s="8"/>
      <c r="Y168" s="10"/>
      <c r="Z168" s="8"/>
    </row>
    <row r="169" spans="1:26">
      <c r="A169" s="8"/>
      <c r="B169" s="10"/>
      <c r="C169" s="8"/>
      <c r="D169" s="8"/>
      <c r="E169" s="8"/>
      <c r="F169" s="8"/>
      <c r="G169" s="11"/>
      <c r="H169" s="8"/>
      <c r="I169" s="8"/>
      <c r="J169" s="8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9" t="str">
        <f t="shared" si="2"/>
        <v/>
      </c>
      <c r="V169" s="8"/>
      <c r="W169" s="8"/>
      <c r="X169" s="8"/>
      <c r="Y169" s="10"/>
      <c r="Z169" s="8"/>
    </row>
    <row r="170" spans="1:26">
      <c r="A170" s="8"/>
      <c r="B170" s="10"/>
      <c r="C170" s="8"/>
      <c r="D170" s="8"/>
      <c r="E170" s="8"/>
      <c r="F170" s="8"/>
      <c r="G170" s="11"/>
      <c r="H170" s="8"/>
      <c r="I170" s="8"/>
      <c r="J170" s="8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9" t="str">
        <f t="shared" si="2"/>
        <v/>
      </c>
      <c r="V170" s="8"/>
      <c r="W170" s="8"/>
      <c r="X170" s="8"/>
      <c r="Y170" s="10"/>
      <c r="Z170" s="8"/>
    </row>
    <row r="171" spans="1:26">
      <c r="A171" s="8"/>
      <c r="B171" s="10"/>
      <c r="C171" s="8"/>
      <c r="D171" s="8"/>
      <c r="E171" s="8"/>
      <c r="F171" s="8"/>
      <c r="G171" s="11"/>
      <c r="H171" s="8"/>
      <c r="I171" s="8"/>
      <c r="J171" s="8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9" t="str">
        <f t="shared" si="2"/>
        <v/>
      </c>
      <c r="V171" s="8"/>
      <c r="W171" s="8"/>
      <c r="X171" s="8"/>
      <c r="Y171" s="10"/>
      <c r="Z171" s="8"/>
    </row>
    <row r="172" spans="1:26">
      <c r="A172" s="8"/>
      <c r="B172" s="10"/>
      <c r="C172" s="8"/>
      <c r="D172" s="8"/>
      <c r="E172" s="8"/>
      <c r="F172" s="8"/>
      <c r="G172" s="11"/>
      <c r="H172" s="8"/>
      <c r="I172" s="8"/>
      <c r="J172" s="8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9" t="str">
        <f t="shared" si="2"/>
        <v/>
      </c>
      <c r="V172" s="8"/>
      <c r="W172" s="8"/>
      <c r="X172" s="8"/>
      <c r="Y172" s="10"/>
      <c r="Z172" s="8"/>
    </row>
    <row r="173" spans="1:26">
      <c r="A173" s="8"/>
      <c r="B173" s="10"/>
      <c r="C173" s="8"/>
      <c r="D173" s="8"/>
      <c r="E173" s="8"/>
      <c r="F173" s="8"/>
      <c r="G173" s="11"/>
      <c r="H173" s="8"/>
      <c r="I173" s="8"/>
      <c r="J173" s="8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9" t="str">
        <f t="shared" si="2"/>
        <v/>
      </c>
      <c r="V173" s="8"/>
      <c r="W173" s="8"/>
      <c r="X173" s="8"/>
      <c r="Y173" s="10"/>
      <c r="Z173" s="8"/>
    </row>
    <row r="174" spans="1:26">
      <c r="A174" s="8"/>
      <c r="B174" s="10"/>
      <c r="C174" s="8"/>
      <c r="D174" s="8"/>
      <c r="E174" s="8"/>
      <c r="F174" s="8"/>
      <c r="G174" s="11"/>
      <c r="H174" s="8"/>
      <c r="I174" s="8"/>
      <c r="J174" s="8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9" t="str">
        <f t="shared" si="2"/>
        <v/>
      </c>
      <c r="V174" s="8"/>
      <c r="W174" s="8"/>
      <c r="X174" s="8"/>
      <c r="Y174" s="10"/>
      <c r="Z174" s="8"/>
    </row>
    <row r="175" spans="1:26">
      <c r="A175" s="8"/>
      <c r="B175" s="10"/>
      <c r="C175" s="8"/>
      <c r="D175" s="8"/>
      <c r="E175" s="8"/>
      <c r="F175" s="8"/>
      <c r="G175" s="11"/>
      <c r="H175" s="8"/>
      <c r="I175" s="8"/>
      <c r="J175" s="8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9" t="str">
        <f t="shared" si="2"/>
        <v/>
      </c>
      <c r="V175" s="8"/>
      <c r="W175" s="8"/>
      <c r="X175" s="8"/>
      <c r="Y175" s="10"/>
      <c r="Z175" s="8"/>
    </row>
    <row r="176" spans="1:26">
      <c r="A176" s="8"/>
      <c r="B176" s="10"/>
      <c r="C176" s="8"/>
      <c r="D176" s="8"/>
      <c r="E176" s="8"/>
      <c r="F176" s="8"/>
      <c r="G176" s="11"/>
      <c r="H176" s="8"/>
      <c r="I176" s="8"/>
      <c r="J176" s="8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9" t="str">
        <f t="shared" si="2"/>
        <v/>
      </c>
      <c r="V176" s="8"/>
      <c r="W176" s="8"/>
      <c r="X176" s="8"/>
      <c r="Y176" s="10"/>
      <c r="Z176" s="8"/>
    </row>
    <row r="177" spans="1:26">
      <c r="A177" s="8"/>
      <c r="B177" s="10"/>
      <c r="C177" s="8"/>
      <c r="D177" s="8"/>
      <c r="E177" s="8"/>
      <c r="F177" s="8"/>
      <c r="G177" s="11"/>
      <c r="H177" s="8"/>
      <c r="I177" s="8"/>
      <c r="J177" s="8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9" t="str">
        <f t="shared" si="2"/>
        <v/>
      </c>
      <c r="V177" s="8"/>
      <c r="W177" s="8"/>
      <c r="X177" s="8"/>
      <c r="Y177" s="10"/>
      <c r="Z177" s="8"/>
    </row>
    <row r="178" spans="1:26">
      <c r="A178" s="8"/>
      <c r="B178" s="10"/>
      <c r="C178" s="8"/>
      <c r="D178" s="8"/>
      <c r="E178" s="8"/>
      <c r="F178" s="8"/>
      <c r="G178" s="11"/>
      <c r="H178" s="8"/>
      <c r="I178" s="8"/>
      <c r="J178" s="8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9" t="str">
        <f t="shared" si="2"/>
        <v/>
      </c>
      <c r="V178" s="8"/>
      <c r="W178" s="8"/>
      <c r="X178" s="8"/>
      <c r="Y178" s="10"/>
      <c r="Z178" s="8"/>
    </row>
    <row r="179" spans="1:26">
      <c r="A179" s="8"/>
      <c r="B179" s="10"/>
      <c r="C179" s="8"/>
      <c r="D179" s="8"/>
      <c r="E179" s="8"/>
      <c r="F179" s="8"/>
      <c r="G179" s="11"/>
      <c r="H179" s="8"/>
      <c r="I179" s="8"/>
      <c r="J179" s="8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9" t="str">
        <f t="shared" si="2"/>
        <v/>
      </c>
      <c r="V179" s="8"/>
      <c r="W179" s="8"/>
      <c r="X179" s="8"/>
      <c r="Y179" s="10"/>
      <c r="Z179" s="8"/>
    </row>
    <row r="180" spans="1:26">
      <c r="A180" s="8"/>
      <c r="B180" s="10"/>
      <c r="C180" s="8"/>
      <c r="D180" s="8"/>
      <c r="E180" s="8"/>
      <c r="F180" s="8"/>
      <c r="G180" s="11"/>
      <c r="H180" s="8"/>
      <c r="I180" s="8"/>
      <c r="J180" s="8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9" t="str">
        <f t="shared" si="2"/>
        <v/>
      </c>
      <c r="V180" s="8"/>
      <c r="W180" s="8"/>
      <c r="X180" s="8"/>
      <c r="Y180" s="10"/>
      <c r="Z180" s="8"/>
    </row>
    <row r="181" spans="1:26">
      <c r="A181" s="8"/>
      <c r="B181" s="10"/>
      <c r="C181" s="8"/>
      <c r="D181" s="8"/>
      <c r="E181" s="8"/>
      <c r="F181" s="8"/>
      <c r="G181" s="11"/>
      <c r="H181" s="8"/>
      <c r="I181" s="8"/>
      <c r="J181" s="8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9" t="str">
        <f t="shared" si="2"/>
        <v/>
      </c>
      <c r="V181" s="8"/>
      <c r="W181" s="8"/>
      <c r="X181" s="8"/>
      <c r="Y181" s="10"/>
      <c r="Z181" s="8"/>
    </row>
    <row r="182" spans="1:26">
      <c r="A182" s="8"/>
      <c r="B182" s="10"/>
      <c r="C182" s="8"/>
      <c r="D182" s="8"/>
      <c r="E182" s="8"/>
      <c r="F182" s="8"/>
      <c r="G182" s="11"/>
      <c r="H182" s="8"/>
      <c r="I182" s="8"/>
      <c r="J182" s="8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9" t="str">
        <f t="shared" si="2"/>
        <v/>
      </c>
      <c r="V182" s="8"/>
      <c r="W182" s="8"/>
      <c r="X182" s="8"/>
      <c r="Y182" s="10"/>
      <c r="Z182" s="8"/>
    </row>
    <row r="183" spans="1:26">
      <c r="A183" s="8"/>
      <c r="B183" s="10"/>
      <c r="C183" s="8"/>
      <c r="D183" s="8"/>
      <c r="E183" s="8"/>
      <c r="F183" s="8"/>
      <c r="G183" s="11"/>
      <c r="H183" s="8"/>
      <c r="I183" s="8"/>
      <c r="J183" s="8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9" t="str">
        <f t="shared" si="2"/>
        <v/>
      </c>
      <c r="V183" s="8"/>
      <c r="W183" s="8"/>
      <c r="X183" s="8"/>
      <c r="Y183" s="10"/>
      <c r="Z183" s="8"/>
    </row>
    <row r="184" spans="1:26">
      <c r="A184" s="8"/>
      <c r="B184" s="10"/>
      <c r="C184" s="8"/>
      <c r="D184" s="8"/>
      <c r="E184" s="8"/>
      <c r="F184" s="8"/>
      <c r="G184" s="11"/>
      <c r="H184" s="8"/>
      <c r="I184" s="8"/>
      <c r="J184" s="8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9" t="str">
        <f t="shared" si="2"/>
        <v/>
      </c>
      <c r="V184" s="8"/>
      <c r="W184" s="8"/>
      <c r="X184" s="8"/>
      <c r="Y184" s="10"/>
      <c r="Z184" s="8"/>
    </row>
    <row r="185" spans="1:26">
      <c r="A185" s="8"/>
      <c r="B185" s="10"/>
      <c r="C185" s="8"/>
      <c r="D185" s="8"/>
      <c r="E185" s="8"/>
      <c r="F185" s="8"/>
      <c r="G185" s="11"/>
      <c r="H185" s="8"/>
      <c r="I185" s="8"/>
      <c r="J185" s="8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9" t="str">
        <f t="shared" si="2"/>
        <v/>
      </c>
      <c r="V185" s="8"/>
      <c r="W185" s="8"/>
      <c r="X185" s="8"/>
      <c r="Y185" s="10"/>
      <c r="Z185" s="8"/>
    </row>
    <row r="186" spans="1:26">
      <c r="A186" s="8"/>
      <c r="B186" s="10"/>
      <c r="C186" s="8"/>
      <c r="D186" s="8"/>
      <c r="E186" s="8"/>
      <c r="F186" s="8"/>
      <c r="G186" s="11"/>
      <c r="H186" s="8"/>
      <c r="I186" s="8"/>
      <c r="J186" s="8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9" t="str">
        <f t="shared" si="2"/>
        <v/>
      </c>
      <c r="V186" s="8"/>
      <c r="W186" s="8"/>
      <c r="X186" s="8"/>
      <c r="Y186" s="10"/>
      <c r="Z186" s="8"/>
    </row>
    <row r="187" spans="1:26">
      <c r="A187" s="8"/>
      <c r="B187" s="10"/>
      <c r="C187" s="8"/>
      <c r="D187" s="8"/>
      <c r="E187" s="8"/>
      <c r="F187" s="8"/>
      <c r="G187" s="11"/>
      <c r="H187" s="8"/>
      <c r="I187" s="8"/>
      <c r="J187" s="8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9" t="str">
        <f t="shared" si="2"/>
        <v/>
      </c>
      <c r="V187" s="8"/>
      <c r="W187" s="8"/>
      <c r="X187" s="8"/>
      <c r="Y187" s="10"/>
      <c r="Z187" s="8"/>
    </row>
    <row r="188" spans="1:26">
      <c r="A188" s="8"/>
      <c r="B188" s="10"/>
      <c r="C188" s="8"/>
      <c r="D188" s="8"/>
      <c r="E188" s="8"/>
      <c r="F188" s="8"/>
      <c r="G188" s="11"/>
      <c r="H188" s="8"/>
      <c r="I188" s="8"/>
      <c r="J188" s="8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9" t="str">
        <f t="shared" si="2"/>
        <v/>
      </c>
      <c r="V188" s="8"/>
      <c r="W188" s="8"/>
      <c r="X188" s="8"/>
      <c r="Y188" s="10"/>
      <c r="Z188" s="8"/>
    </row>
    <row r="189" spans="1:26">
      <c r="A189" s="8"/>
      <c r="B189" s="10"/>
      <c r="C189" s="8"/>
      <c r="D189" s="8"/>
      <c r="E189" s="8"/>
      <c r="F189" s="8"/>
      <c r="G189" s="11"/>
      <c r="H189" s="8"/>
      <c r="I189" s="8"/>
      <c r="J189" s="8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9" t="str">
        <f t="shared" si="2"/>
        <v/>
      </c>
      <c r="V189" s="8"/>
      <c r="W189" s="8"/>
      <c r="X189" s="8"/>
      <c r="Y189" s="10"/>
      <c r="Z189" s="8"/>
    </row>
    <row r="190" spans="1:26">
      <c r="A190" s="8"/>
      <c r="B190" s="10"/>
      <c r="C190" s="8"/>
      <c r="D190" s="8"/>
      <c r="E190" s="8"/>
      <c r="F190" s="8"/>
      <c r="G190" s="11"/>
      <c r="H190" s="8"/>
      <c r="I190" s="8"/>
      <c r="J190" s="8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9" t="str">
        <f t="shared" si="2"/>
        <v/>
      </c>
      <c r="V190" s="8"/>
      <c r="W190" s="8"/>
      <c r="X190" s="8"/>
      <c r="Y190" s="10"/>
      <c r="Z190" s="8"/>
    </row>
    <row r="191" spans="1:26">
      <c r="A191" s="8"/>
      <c r="B191" s="10"/>
      <c r="C191" s="8"/>
      <c r="D191" s="8"/>
      <c r="E191" s="8"/>
      <c r="F191" s="8"/>
      <c r="G191" s="11"/>
      <c r="H191" s="8"/>
      <c r="I191" s="8"/>
      <c r="J191" s="8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9" t="str">
        <f t="shared" si="2"/>
        <v/>
      </c>
      <c r="V191" s="8"/>
      <c r="W191" s="8"/>
      <c r="X191" s="8"/>
      <c r="Y191" s="10"/>
      <c r="Z191" s="8"/>
    </row>
    <row r="192" spans="1:26">
      <c r="A192" s="8"/>
      <c r="B192" s="10"/>
      <c r="C192" s="8"/>
      <c r="D192" s="8"/>
      <c r="E192" s="8"/>
      <c r="F192" s="8"/>
      <c r="G192" s="11"/>
      <c r="H192" s="8"/>
      <c r="I192" s="8"/>
      <c r="J192" s="8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9" t="str">
        <f t="shared" si="2"/>
        <v/>
      </c>
      <c r="V192" s="8"/>
      <c r="W192" s="8"/>
      <c r="X192" s="8"/>
      <c r="Y192" s="10"/>
      <c r="Z192" s="8"/>
    </row>
    <row r="193" spans="1:26">
      <c r="A193" s="8"/>
      <c r="B193" s="10"/>
      <c r="C193" s="8"/>
      <c r="D193" s="8"/>
      <c r="E193" s="8"/>
      <c r="F193" s="8"/>
      <c r="G193" s="11"/>
      <c r="H193" s="8"/>
      <c r="I193" s="8"/>
      <c r="J193" s="8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9" t="str">
        <f t="shared" si="2"/>
        <v/>
      </c>
      <c r="V193" s="8"/>
      <c r="W193" s="8"/>
      <c r="X193" s="8"/>
      <c r="Y193" s="10"/>
      <c r="Z193" s="8"/>
    </row>
    <row r="194" spans="1:26">
      <c r="A194" s="8"/>
      <c r="B194" s="10"/>
      <c r="C194" s="8"/>
      <c r="D194" s="8"/>
      <c r="E194" s="8"/>
      <c r="F194" s="8"/>
      <c r="G194" s="11"/>
      <c r="H194" s="8"/>
      <c r="I194" s="8"/>
      <c r="J194" s="8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9" t="str">
        <f t="shared" si="2"/>
        <v/>
      </c>
      <c r="V194" s="8"/>
      <c r="W194" s="8"/>
      <c r="X194" s="8"/>
      <c r="Y194" s="10"/>
      <c r="Z194" s="8"/>
    </row>
    <row r="195" spans="1:26">
      <c r="A195" s="8"/>
      <c r="B195" s="10"/>
      <c r="C195" s="8"/>
      <c r="D195" s="8"/>
      <c r="E195" s="8"/>
      <c r="F195" s="8"/>
      <c r="G195" s="11"/>
      <c r="H195" s="8"/>
      <c r="I195" s="8"/>
      <c r="J195" s="8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9" t="str">
        <f t="shared" si="2"/>
        <v/>
      </c>
      <c r="V195" s="8"/>
      <c r="W195" s="8"/>
      <c r="X195" s="8"/>
      <c r="Y195" s="10"/>
      <c r="Z195" s="8"/>
    </row>
    <row r="196" spans="1:26">
      <c r="A196" s="8"/>
      <c r="B196" s="10"/>
      <c r="C196" s="8"/>
      <c r="D196" s="8"/>
      <c r="E196" s="8"/>
      <c r="F196" s="8"/>
      <c r="G196" s="11"/>
      <c r="H196" s="8"/>
      <c r="I196" s="8"/>
      <c r="J196" s="8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9" t="str">
        <f t="shared" si="2"/>
        <v/>
      </c>
      <c r="V196" s="8"/>
      <c r="W196" s="8"/>
      <c r="X196" s="8"/>
      <c r="Y196" s="10"/>
      <c r="Z196" s="8"/>
    </row>
    <row r="197" spans="1:26">
      <c r="A197" s="8"/>
      <c r="B197" s="10"/>
      <c r="C197" s="8"/>
      <c r="D197" s="8"/>
      <c r="E197" s="8"/>
      <c r="F197" s="8"/>
      <c r="G197" s="11"/>
      <c r="H197" s="8"/>
      <c r="I197" s="8"/>
      <c r="J197" s="8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9" t="str">
        <f t="shared" ref="U197:U260" si="3">IF(A197="","",IF(OR(L197&gt;=R197,M197&gt;=S197,N197&gt;=T197),"Failed","Passed"))</f>
        <v/>
      </c>
      <c r="V197" s="8"/>
      <c r="W197" s="8"/>
      <c r="X197" s="8"/>
      <c r="Y197" s="10"/>
      <c r="Z197" s="8"/>
    </row>
    <row r="198" spans="1:26">
      <c r="A198" s="8"/>
      <c r="B198" s="10"/>
      <c r="C198" s="8"/>
      <c r="D198" s="8"/>
      <c r="E198" s="8"/>
      <c r="F198" s="8"/>
      <c r="G198" s="11"/>
      <c r="H198" s="8"/>
      <c r="I198" s="8"/>
      <c r="J198" s="8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9" t="str">
        <f t="shared" si="3"/>
        <v/>
      </c>
      <c r="V198" s="8"/>
      <c r="W198" s="8"/>
      <c r="X198" s="8"/>
      <c r="Y198" s="10"/>
      <c r="Z198" s="8"/>
    </row>
    <row r="199" spans="1:26">
      <c r="A199" s="8"/>
      <c r="B199" s="10"/>
      <c r="C199" s="8"/>
      <c r="D199" s="8"/>
      <c r="E199" s="8"/>
      <c r="F199" s="8"/>
      <c r="G199" s="11"/>
      <c r="H199" s="8"/>
      <c r="I199" s="8"/>
      <c r="J199" s="8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9" t="str">
        <f t="shared" si="3"/>
        <v/>
      </c>
      <c r="V199" s="8"/>
      <c r="W199" s="8"/>
      <c r="X199" s="8"/>
      <c r="Y199" s="10"/>
      <c r="Z199" s="8"/>
    </row>
    <row r="200" spans="1:26">
      <c r="A200" s="8"/>
      <c r="B200" s="10"/>
      <c r="C200" s="8"/>
      <c r="D200" s="8"/>
      <c r="E200" s="8"/>
      <c r="F200" s="8"/>
      <c r="G200" s="11"/>
      <c r="H200" s="8"/>
      <c r="I200" s="8"/>
      <c r="J200" s="8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9" t="str">
        <f t="shared" si="3"/>
        <v/>
      </c>
      <c r="V200" s="8"/>
      <c r="W200" s="8"/>
      <c r="X200" s="8"/>
      <c r="Y200" s="10"/>
      <c r="Z200" s="8"/>
    </row>
    <row r="201" spans="1:26">
      <c r="A201" s="8"/>
      <c r="B201" s="10"/>
      <c r="C201" s="8"/>
      <c r="D201" s="8"/>
      <c r="E201" s="8"/>
      <c r="F201" s="8"/>
      <c r="G201" s="11"/>
      <c r="H201" s="8"/>
      <c r="I201" s="8"/>
      <c r="J201" s="8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9" t="str">
        <f t="shared" si="3"/>
        <v/>
      </c>
      <c r="V201" s="8"/>
      <c r="W201" s="8"/>
      <c r="X201" s="8"/>
      <c r="Y201" s="10"/>
      <c r="Z201" s="8"/>
    </row>
    <row r="202" spans="1:26">
      <c r="A202" s="8"/>
      <c r="B202" s="10"/>
      <c r="C202" s="8"/>
      <c r="D202" s="8"/>
      <c r="E202" s="8"/>
      <c r="F202" s="8"/>
      <c r="G202" s="11"/>
      <c r="H202" s="8"/>
      <c r="I202" s="8"/>
      <c r="J202" s="8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9" t="str">
        <f t="shared" si="3"/>
        <v/>
      </c>
      <c r="V202" s="8"/>
      <c r="W202" s="8"/>
      <c r="X202" s="8"/>
      <c r="Y202" s="10"/>
      <c r="Z202" s="8"/>
    </row>
    <row r="203" spans="1:26">
      <c r="A203" s="8"/>
      <c r="B203" s="10"/>
      <c r="C203" s="8"/>
      <c r="D203" s="8"/>
      <c r="E203" s="8"/>
      <c r="F203" s="8"/>
      <c r="G203" s="11"/>
      <c r="H203" s="8"/>
      <c r="I203" s="8"/>
      <c r="J203" s="8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9" t="str">
        <f t="shared" si="3"/>
        <v/>
      </c>
      <c r="V203" s="8"/>
      <c r="W203" s="8"/>
      <c r="X203" s="8"/>
      <c r="Y203" s="10"/>
      <c r="Z203" s="8"/>
    </row>
    <row r="204" spans="1:26">
      <c r="A204" s="8"/>
      <c r="B204" s="10"/>
      <c r="C204" s="8"/>
      <c r="D204" s="8"/>
      <c r="E204" s="8"/>
      <c r="F204" s="8"/>
      <c r="G204" s="11"/>
      <c r="H204" s="8"/>
      <c r="I204" s="8"/>
      <c r="J204" s="8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9" t="str">
        <f t="shared" si="3"/>
        <v/>
      </c>
      <c r="V204" s="8"/>
      <c r="W204" s="8"/>
      <c r="X204" s="8"/>
      <c r="Y204" s="10"/>
      <c r="Z204" s="8"/>
    </row>
    <row r="205" spans="1:26">
      <c r="A205" s="8"/>
      <c r="B205" s="10"/>
      <c r="C205" s="8"/>
      <c r="D205" s="8"/>
      <c r="E205" s="8"/>
      <c r="F205" s="8"/>
      <c r="G205" s="11"/>
      <c r="H205" s="8"/>
      <c r="I205" s="8"/>
      <c r="J205" s="8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9" t="str">
        <f t="shared" si="3"/>
        <v/>
      </c>
      <c r="V205" s="8"/>
      <c r="W205" s="8"/>
      <c r="X205" s="8"/>
      <c r="Y205" s="10"/>
      <c r="Z205" s="8"/>
    </row>
    <row r="206" spans="1:26">
      <c r="A206" s="8"/>
      <c r="B206" s="10"/>
      <c r="C206" s="8"/>
      <c r="D206" s="8"/>
      <c r="E206" s="8"/>
      <c r="F206" s="8"/>
      <c r="G206" s="11"/>
      <c r="H206" s="8"/>
      <c r="I206" s="8"/>
      <c r="J206" s="8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9" t="str">
        <f t="shared" si="3"/>
        <v/>
      </c>
      <c r="V206" s="8"/>
      <c r="W206" s="8"/>
      <c r="X206" s="8"/>
      <c r="Y206" s="10"/>
      <c r="Z206" s="8"/>
    </row>
    <row r="207" spans="1:26">
      <c r="A207" s="8"/>
      <c r="B207" s="10"/>
      <c r="C207" s="8"/>
      <c r="D207" s="8"/>
      <c r="E207" s="8"/>
      <c r="F207" s="8"/>
      <c r="G207" s="11"/>
      <c r="H207" s="8"/>
      <c r="I207" s="8"/>
      <c r="J207" s="8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9" t="str">
        <f t="shared" si="3"/>
        <v/>
      </c>
      <c r="V207" s="8"/>
      <c r="W207" s="8"/>
      <c r="X207" s="8"/>
      <c r="Y207" s="10"/>
      <c r="Z207" s="8"/>
    </row>
    <row r="208" spans="1:26">
      <c r="A208" s="8"/>
      <c r="B208" s="10"/>
      <c r="C208" s="8"/>
      <c r="D208" s="8"/>
      <c r="E208" s="8"/>
      <c r="F208" s="8"/>
      <c r="G208" s="11"/>
      <c r="H208" s="8"/>
      <c r="I208" s="8"/>
      <c r="J208" s="8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9" t="str">
        <f t="shared" si="3"/>
        <v/>
      </c>
      <c r="V208" s="8"/>
      <c r="W208" s="8"/>
      <c r="X208" s="8"/>
      <c r="Y208" s="10"/>
      <c r="Z208" s="8"/>
    </row>
    <row r="209" spans="1:26">
      <c r="A209" s="8"/>
      <c r="B209" s="10"/>
      <c r="C209" s="8"/>
      <c r="D209" s="8"/>
      <c r="E209" s="8"/>
      <c r="F209" s="8"/>
      <c r="G209" s="11"/>
      <c r="H209" s="8"/>
      <c r="I209" s="8"/>
      <c r="J209" s="8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9" t="str">
        <f t="shared" si="3"/>
        <v/>
      </c>
      <c r="V209" s="8"/>
      <c r="W209" s="8"/>
      <c r="X209" s="8"/>
      <c r="Y209" s="10"/>
      <c r="Z209" s="8"/>
    </row>
    <row r="210" spans="1:26">
      <c r="A210" s="8"/>
      <c r="B210" s="10"/>
      <c r="C210" s="8"/>
      <c r="D210" s="8"/>
      <c r="E210" s="8"/>
      <c r="F210" s="8"/>
      <c r="G210" s="11"/>
      <c r="H210" s="8"/>
      <c r="I210" s="8"/>
      <c r="J210" s="8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9" t="str">
        <f t="shared" si="3"/>
        <v/>
      </c>
      <c r="V210" s="8"/>
      <c r="W210" s="8"/>
      <c r="X210" s="8"/>
      <c r="Y210" s="10"/>
      <c r="Z210" s="8"/>
    </row>
    <row r="211" spans="1:26">
      <c r="A211" s="8"/>
      <c r="B211" s="10"/>
      <c r="C211" s="8"/>
      <c r="D211" s="8"/>
      <c r="E211" s="8"/>
      <c r="F211" s="8"/>
      <c r="G211" s="11"/>
      <c r="H211" s="8"/>
      <c r="I211" s="8"/>
      <c r="J211" s="8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9" t="str">
        <f t="shared" si="3"/>
        <v/>
      </c>
      <c r="V211" s="8"/>
      <c r="W211" s="8"/>
      <c r="X211" s="8"/>
      <c r="Y211" s="10"/>
      <c r="Z211" s="8"/>
    </row>
    <row r="212" spans="1:26">
      <c r="A212" s="8"/>
      <c r="B212" s="10"/>
      <c r="C212" s="8"/>
      <c r="D212" s="8"/>
      <c r="E212" s="8"/>
      <c r="F212" s="8"/>
      <c r="G212" s="11"/>
      <c r="H212" s="8"/>
      <c r="I212" s="8"/>
      <c r="J212" s="8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9" t="str">
        <f t="shared" si="3"/>
        <v/>
      </c>
      <c r="V212" s="8"/>
      <c r="W212" s="8"/>
      <c r="X212" s="8"/>
      <c r="Y212" s="10"/>
      <c r="Z212" s="8"/>
    </row>
    <row r="213" spans="1:26">
      <c r="A213" s="8"/>
      <c r="B213" s="10"/>
      <c r="C213" s="8"/>
      <c r="D213" s="8"/>
      <c r="E213" s="8"/>
      <c r="F213" s="8"/>
      <c r="G213" s="11"/>
      <c r="H213" s="8"/>
      <c r="I213" s="8"/>
      <c r="J213" s="8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9" t="str">
        <f t="shared" si="3"/>
        <v/>
      </c>
      <c r="V213" s="8"/>
      <c r="W213" s="8"/>
      <c r="X213" s="8"/>
      <c r="Y213" s="10"/>
      <c r="Z213" s="8"/>
    </row>
    <row r="214" spans="1:26">
      <c r="A214" s="8"/>
      <c r="B214" s="10"/>
      <c r="C214" s="8"/>
      <c r="D214" s="8"/>
      <c r="E214" s="8"/>
      <c r="F214" s="8"/>
      <c r="G214" s="11"/>
      <c r="H214" s="8"/>
      <c r="I214" s="8"/>
      <c r="J214" s="8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9" t="str">
        <f t="shared" si="3"/>
        <v/>
      </c>
      <c r="V214" s="8"/>
      <c r="W214" s="8"/>
      <c r="X214" s="8"/>
      <c r="Y214" s="10"/>
      <c r="Z214" s="8"/>
    </row>
    <row r="215" spans="1:26">
      <c r="A215" s="8"/>
      <c r="B215" s="10"/>
      <c r="C215" s="8"/>
      <c r="D215" s="8"/>
      <c r="E215" s="8"/>
      <c r="F215" s="8"/>
      <c r="G215" s="11"/>
      <c r="H215" s="8"/>
      <c r="I215" s="8"/>
      <c r="J215" s="8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9" t="str">
        <f t="shared" si="3"/>
        <v/>
      </c>
      <c r="V215" s="8"/>
      <c r="W215" s="8"/>
      <c r="X215" s="8"/>
      <c r="Y215" s="10"/>
      <c r="Z215" s="8"/>
    </row>
    <row r="216" spans="1:26">
      <c r="A216" s="8"/>
      <c r="B216" s="10"/>
      <c r="C216" s="8"/>
      <c r="D216" s="8"/>
      <c r="E216" s="8"/>
      <c r="F216" s="8"/>
      <c r="G216" s="11"/>
      <c r="H216" s="8"/>
      <c r="I216" s="8"/>
      <c r="J216" s="8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9" t="str">
        <f t="shared" si="3"/>
        <v/>
      </c>
      <c r="V216" s="8"/>
      <c r="W216" s="8"/>
      <c r="X216" s="8"/>
      <c r="Y216" s="10"/>
      <c r="Z216" s="8"/>
    </row>
    <row r="217" spans="1:26">
      <c r="A217" s="8"/>
      <c r="B217" s="10"/>
      <c r="C217" s="8"/>
      <c r="D217" s="8"/>
      <c r="E217" s="8"/>
      <c r="F217" s="8"/>
      <c r="G217" s="11"/>
      <c r="H217" s="8"/>
      <c r="I217" s="8"/>
      <c r="J217" s="8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9" t="str">
        <f t="shared" si="3"/>
        <v/>
      </c>
      <c r="V217" s="8"/>
      <c r="W217" s="8"/>
      <c r="X217" s="8"/>
      <c r="Y217" s="10"/>
      <c r="Z217" s="8"/>
    </row>
    <row r="218" spans="1:26">
      <c r="A218" s="8"/>
      <c r="B218" s="10"/>
      <c r="C218" s="8"/>
      <c r="D218" s="8"/>
      <c r="E218" s="8"/>
      <c r="F218" s="8"/>
      <c r="G218" s="11"/>
      <c r="H218" s="8"/>
      <c r="I218" s="8"/>
      <c r="J218" s="8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9" t="str">
        <f t="shared" si="3"/>
        <v/>
      </c>
      <c r="V218" s="8"/>
      <c r="W218" s="8"/>
      <c r="X218" s="8"/>
      <c r="Y218" s="10"/>
      <c r="Z218" s="8"/>
    </row>
    <row r="219" spans="1:26">
      <c r="A219" s="8"/>
      <c r="B219" s="10"/>
      <c r="C219" s="8"/>
      <c r="D219" s="8"/>
      <c r="E219" s="8"/>
      <c r="F219" s="8"/>
      <c r="G219" s="11"/>
      <c r="H219" s="8"/>
      <c r="I219" s="8"/>
      <c r="J219" s="8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9" t="str">
        <f t="shared" si="3"/>
        <v/>
      </c>
      <c r="V219" s="8"/>
      <c r="W219" s="8"/>
      <c r="X219" s="8"/>
      <c r="Y219" s="10"/>
      <c r="Z219" s="8"/>
    </row>
    <row r="220" spans="1:26">
      <c r="A220" s="8"/>
      <c r="B220" s="10"/>
      <c r="C220" s="8"/>
      <c r="D220" s="8"/>
      <c r="E220" s="8"/>
      <c r="F220" s="8"/>
      <c r="G220" s="11"/>
      <c r="H220" s="8"/>
      <c r="I220" s="8"/>
      <c r="J220" s="8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9" t="str">
        <f t="shared" si="3"/>
        <v/>
      </c>
      <c r="V220" s="8"/>
      <c r="W220" s="8"/>
      <c r="X220" s="8"/>
      <c r="Y220" s="10"/>
      <c r="Z220" s="8"/>
    </row>
    <row r="221" spans="1:26">
      <c r="A221" s="8"/>
      <c r="B221" s="10"/>
      <c r="C221" s="8"/>
      <c r="D221" s="8"/>
      <c r="E221" s="8"/>
      <c r="F221" s="8"/>
      <c r="G221" s="11"/>
      <c r="H221" s="8"/>
      <c r="I221" s="8"/>
      <c r="J221" s="8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9" t="str">
        <f t="shared" si="3"/>
        <v/>
      </c>
      <c r="V221" s="8"/>
      <c r="W221" s="8"/>
      <c r="X221" s="8"/>
      <c r="Y221" s="10"/>
      <c r="Z221" s="8"/>
    </row>
    <row r="222" spans="1:26">
      <c r="A222" s="8"/>
      <c r="B222" s="10"/>
      <c r="C222" s="8"/>
      <c r="D222" s="8"/>
      <c r="E222" s="8"/>
      <c r="F222" s="8"/>
      <c r="G222" s="11"/>
      <c r="H222" s="8"/>
      <c r="I222" s="8"/>
      <c r="J222" s="8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9" t="str">
        <f t="shared" si="3"/>
        <v/>
      </c>
      <c r="V222" s="8"/>
      <c r="W222" s="8"/>
      <c r="X222" s="8"/>
      <c r="Y222" s="10"/>
      <c r="Z222" s="8"/>
    </row>
    <row r="223" spans="1:26">
      <c r="A223" s="8"/>
      <c r="B223" s="10"/>
      <c r="C223" s="8"/>
      <c r="D223" s="8"/>
      <c r="E223" s="8"/>
      <c r="F223" s="8"/>
      <c r="G223" s="11"/>
      <c r="H223" s="8"/>
      <c r="I223" s="8"/>
      <c r="J223" s="8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9" t="str">
        <f t="shared" si="3"/>
        <v/>
      </c>
      <c r="V223" s="8"/>
      <c r="W223" s="8"/>
      <c r="X223" s="8"/>
      <c r="Y223" s="10"/>
      <c r="Z223" s="8"/>
    </row>
    <row r="224" spans="1:26">
      <c r="A224" s="8"/>
      <c r="B224" s="10"/>
      <c r="C224" s="8"/>
      <c r="D224" s="8"/>
      <c r="E224" s="8"/>
      <c r="F224" s="8"/>
      <c r="G224" s="11"/>
      <c r="H224" s="8"/>
      <c r="I224" s="8"/>
      <c r="J224" s="8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9" t="str">
        <f t="shared" si="3"/>
        <v/>
      </c>
      <c r="V224" s="8"/>
      <c r="W224" s="8"/>
      <c r="X224" s="8"/>
      <c r="Y224" s="10"/>
      <c r="Z224" s="8"/>
    </row>
    <row r="225" spans="1:26">
      <c r="A225" s="8"/>
      <c r="B225" s="10"/>
      <c r="C225" s="8"/>
      <c r="D225" s="8"/>
      <c r="E225" s="8"/>
      <c r="F225" s="8"/>
      <c r="G225" s="11"/>
      <c r="H225" s="8"/>
      <c r="I225" s="8"/>
      <c r="J225" s="8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9" t="str">
        <f t="shared" si="3"/>
        <v/>
      </c>
      <c r="V225" s="8"/>
      <c r="W225" s="8"/>
      <c r="X225" s="8"/>
      <c r="Y225" s="10"/>
      <c r="Z225" s="8"/>
    </row>
    <row r="226" spans="1:26">
      <c r="A226" s="8"/>
      <c r="B226" s="10"/>
      <c r="C226" s="8"/>
      <c r="D226" s="8"/>
      <c r="E226" s="8"/>
      <c r="F226" s="8"/>
      <c r="G226" s="11"/>
      <c r="H226" s="8"/>
      <c r="I226" s="8"/>
      <c r="J226" s="8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9" t="str">
        <f t="shared" si="3"/>
        <v/>
      </c>
      <c r="V226" s="8"/>
      <c r="W226" s="8"/>
      <c r="X226" s="8"/>
      <c r="Y226" s="10"/>
      <c r="Z226" s="8"/>
    </row>
    <row r="227" spans="1:26">
      <c r="A227" s="8"/>
      <c r="B227" s="10"/>
      <c r="C227" s="8"/>
      <c r="D227" s="8"/>
      <c r="E227" s="8"/>
      <c r="F227" s="8"/>
      <c r="G227" s="11"/>
      <c r="H227" s="8"/>
      <c r="I227" s="8"/>
      <c r="J227" s="8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9" t="str">
        <f t="shared" si="3"/>
        <v/>
      </c>
      <c r="V227" s="8"/>
      <c r="W227" s="8"/>
      <c r="X227" s="8"/>
      <c r="Y227" s="10"/>
      <c r="Z227" s="8"/>
    </row>
    <row r="228" spans="1:26">
      <c r="A228" s="8"/>
      <c r="B228" s="10"/>
      <c r="C228" s="8"/>
      <c r="D228" s="8"/>
      <c r="E228" s="8"/>
      <c r="F228" s="8"/>
      <c r="G228" s="11"/>
      <c r="H228" s="8"/>
      <c r="I228" s="8"/>
      <c r="J228" s="8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9" t="str">
        <f t="shared" si="3"/>
        <v/>
      </c>
      <c r="V228" s="8"/>
      <c r="W228" s="8"/>
      <c r="X228" s="8"/>
      <c r="Y228" s="10"/>
      <c r="Z228" s="8"/>
    </row>
    <row r="229" spans="1:26">
      <c r="A229" s="8"/>
      <c r="B229" s="10"/>
      <c r="C229" s="8"/>
      <c r="D229" s="8"/>
      <c r="E229" s="8"/>
      <c r="F229" s="8"/>
      <c r="G229" s="11"/>
      <c r="H229" s="8"/>
      <c r="I229" s="8"/>
      <c r="J229" s="8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9" t="str">
        <f t="shared" si="3"/>
        <v/>
      </c>
      <c r="V229" s="8"/>
      <c r="W229" s="8"/>
      <c r="X229" s="8"/>
      <c r="Y229" s="10"/>
      <c r="Z229" s="8"/>
    </row>
    <row r="230" spans="1:26">
      <c r="A230" s="8"/>
      <c r="B230" s="10"/>
      <c r="C230" s="8"/>
      <c r="D230" s="8"/>
      <c r="E230" s="8"/>
      <c r="F230" s="8"/>
      <c r="G230" s="11"/>
      <c r="H230" s="8"/>
      <c r="I230" s="8"/>
      <c r="J230" s="8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9" t="str">
        <f t="shared" si="3"/>
        <v/>
      </c>
      <c r="V230" s="8"/>
      <c r="W230" s="8"/>
      <c r="X230" s="8"/>
      <c r="Y230" s="10"/>
      <c r="Z230" s="8"/>
    </row>
    <row r="231" spans="1:26">
      <c r="A231" s="8"/>
      <c r="B231" s="10"/>
      <c r="C231" s="8"/>
      <c r="D231" s="8"/>
      <c r="E231" s="8"/>
      <c r="F231" s="8"/>
      <c r="G231" s="11"/>
      <c r="H231" s="8"/>
      <c r="I231" s="8"/>
      <c r="J231" s="8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9" t="str">
        <f t="shared" si="3"/>
        <v/>
      </c>
      <c r="V231" s="8"/>
      <c r="W231" s="8"/>
      <c r="X231" s="8"/>
      <c r="Y231" s="10"/>
      <c r="Z231" s="8"/>
    </row>
    <row r="232" spans="1:26">
      <c r="A232" s="8"/>
      <c r="B232" s="10"/>
      <c r="C232" s="8"/>
      <c r="D232" s="8"/>
      <c r="E232" s="8"/>
      <c r="F232" s="8"/>
      <c r="G232" s="11"/>
      <c r="H232" s="8"/>
      <c r="I232" s="8"/>
      <c r="J232" s="8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9" t="str">
        <f t="shared" si="3"/>
        <v/>
      </c>
      <c r="V232" s="8"/>
      <c r="W232" s="8"/>
      <c r="X232" s="8"/>
      <c r="Y232" s="10"/>
      <c r="Z232" s="8"/>
    </row>
    <row r="233" spans="1:26">
      <c r="A233" s="8"/>
      <c r="B233" s="10"/>
      <c r="C233" s="8"/>
      <c r="D233" s="8"/>
      <c r="E233" s="8"/>
      <c r="F233" s="8"/>
      <c r="G233" s="11"/>
      <c r="H233" s="8"/>
      <c r="I233" s="8"/>
      <c r="J233" s="8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9" t="str">
        <f t="shared" si="3"/>
        <v/>
      </c>
      <c r="V233" s="8"/>
      <c r="W233" s="8"/>
      <c r="X233" s="8"/>
      <c r="Y233" s="10"/>
      <c r="Z233" s="8"/>
    </row>
    <row r="234" spans="1:26">
      <c r="A234" s="8"/>
      <c r="B234" s="10"/>
      <c r="C234" s="8"/>
      <c r="D234" s="8"/>
      <c r="E234" s="8"/>
      <c r="F234" s="8"/>
      <c r="G234" s="11"/>
      <c r="H234" s="8"/>
      <c r="I234" s="8"/>
      <c r="J234" s="8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9" t="str">
        <f t="shared" si="3"/>
        <v/>
      </c>
      <c r="V234" s="8"/>
      <c r="W234" s="8"/>
      <c r="X234" s="8"/>
      <c r="Y234" s="10"/>
      <c r="Z234" s="8"/>
    </row>
    <row r="235" spans="1:26">
      <c r="A235" s="8"/>
      <c r="B235" s="10"/>
      <c r="C235" s="8"/>
      <c r="D235" s="8"/>
      <c r="E235" s="8"/>
      <c r="F235" s="8"/>
      <c r="G235" s="11"/>
      <c r="H235" s="8"/>
      <c r="I235" s="8"/>
      <c r="J235" s="8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9" t="str">
        <f t="shared" si="3"/>
        <v/>
      </c>
      <c r="V235" s="8"/>
      <c r="W235" s="8"/>
      <c r="X235" s="8"/>
      <c r="Y235" s="10"/>
      <c r="Z235" s="8"/>
    </row>
    <row r="236" spans="1:26">
      <c r="A236" s="8"/>
      <c r="B236" s="10"/>
      <c r="C236" s="8"/>
      <c r="D236" s="8"/>
      <c r="E236" s="8"/>
      <c r="F236" s="8"/>
      <c r="G236" s="11"/>
      <c r="H236" s="8"/>
      <c r="I236" s="8"/>
      <c r="J236" s="8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9" t="str">
        <f t="shared" si="3"/>
        <v/>
      </c>
      <c r="V236" s="8"/>
      <c r="W236" s="8"/>
      <c r="X236" s="8"/>
      <c r="Y236" s="10"/>
      <c r="Z236" s="8"/>
    </row>
    <row r="237" spans="1:26">
      <c r="A237" s="8"/>
      <c r="B237" s="10"/>
      <c r="C237" s="8"/>
      <c r="D237" s="8"/>
      <c r="E237" s="8"/>
      <c r="F237" s="8"/>
      <c r="G237" s="11"/>
      <c r="H237" s="8"/>
      <c r="I237" s="8"/>
      <c r="J237" s="8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9" t="str">
        <f t="shared" si="3"/>
        <v/>
      </c>
      <c r="V237" s="8"/>
      <c r="W237" s="8"/>
      <c r="X237" s="8"/>
      <c r="Y237" s="10"/>
      <c r="Z237" s="8"/>
    </row>
    <row r="238" spans="1:26">
      <c r="A238" s="8"/>
      <c r="B238" s="10"/>
      <c r="C238" s="8"/>
      <c r="D238" s="8"/>
      <c r="E238" s="8"/>
      <c r="F238" s="8"/>
      <c r="G238" s="11"/>
      <c r="H238" s="8"/>
      <c r="I238" s="8"/>
      <c r="J238" s="8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9" t="str">
        <f t="shared" si="3"/>
        <v/>
      </c>
      <c r="V238" s="8"/>
      <c r="W238" s="8"/>
      <c r="X238" s="8"/>
      <c r="Y238" s="10"/>
      <c r="Z238" s="8"/>
    </row>
    <row r="239" spans="1:26">
      <c r="A239" s="8"/>
      <c r="B239" s="10"/>
      <c r="C239" s="8"/>
      <c r="D239" s="8"/>
      <c r="E239" s="8"/>
      <c r="F239" s="8"/>
      <c r="G239" s="11"/>
      <c r="H239" s="8"/>
      <c r="I239" s="8"/>
      <c r="J239" s="8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9" t="str">
        <f t="shared" si="3"/>
        <v/>
      </c>
      <c r="V239" s="8"/>
      <c r="W239" s="8"/>
      <c r="X239" s="8"/>
      <c r="Y239" s="10"/>
      <c r="Z239" s="8"/>
    </row>
    <row r="240" spans="1:26">
      <c r="A240" s="8"/>
      <c r="B240" s="10"/>
      <c r="C240" s="8"/>
      <c r="D240" s="8"/>
      <c r="E240" s="8"/>
      <c r="F240" s="8"/>
      <c r="G240" s="11"/>
      <c r="H240" s="8"/>
      <c r="I240" s="8"/>
      <c r="J240" s="8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9" t="str">
        <f t="shared" si="3"/>
        <v/>
      </c>
      <c r="V240" s="8"/>
      <c r="W240" s="8"/>
      <c r="X240" s="8"/>
      <c r="Y240" s="10"/>
      <c r="Z240" s="8"/>
    </row>
    <row r="241" spans="1:26">
      <c r="A241" s="8"/>
      <c r="B241" s="10"/>
      <c r="C241" s="8"/>
      <c r="D241" s="8"/>
      <c r="E241" s="8"/>
      <c r="F241" s="8"/>
      <c r="G241" s="11"/>
      <c r="H241" s="8"/>
      <c r="I241" s="8"/>
      <c r="J241" s="8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9" t="str">
        <f t="shared" si="3"/>
        <v/>
      </c>
      <c r="V241" s="8"/>
      <c r="W241" s="8"/>
      <c r="X241" s="8"/>
      <c r="Y241" s="10"/>
      <c r="Z241" s="8"/>
    </row>
    <row r="242" spans="1:26">
      <c r="A242" s="8"/>
      <c r="B242" s="10"/>
      <c r="C242" s="8"/>
      <c r="D242" s="8"/>
      <c r="E242" s="8"/>
      <c r="F242" s="8"/>
      <c r="G242" s="11"/>
      <c r="H242" s="8"/>
      <c r="I242" s="8"/>
      <c r="J242" s="8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9" t="str">
        <f t="shared" si="3"/>
        <v/>
      </c>
      <c r="V242" s="8"/>
      <c r="W242" s="8"/>
      <c r="X242" s="8"/>
      <c r="Y242" s="10"/>
      <c r="Z242" s="8"/>
    </row>
    <row r="243" spans="1:26">
      <c r="A243" s="8"/>
      <c r="B243" s="10"/>
      <c r="C243" s="8"/>
      <c r="D243" s="8"/>
      <c r="E243" s="8"/>
      <c r="F243" s="8"/>
      <c r="G243" s="11"/>
      <c r="H243" s="8"/>
      <c r="I243" s="8"/>
      <c r="J243" s="8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9" t="str">
        <f t="shared" si="3"/>
        <v/>
      </c>
      <c r="V243" s="8"/>
      <c r="W243" s="8"/>
      <c r="X243" s="8"/>
      <c r="Y243" s="10"/>
      <c r="Z243" s="8"/>
    </row>
    <row r="244" spans="1:26">
      <c r="A244" s="8"/>
      <c r="B244" s="10"/>
      <c r="C244" s="8"/>
      <c r="D244" s="8"/>
      <c r="E244" s="8"/>
      <c r="F244" s="8"/>
      <c r="G244" s="11"/>
      <c r="H244" s="8"/>
      <c r="I244" s="8"/>
      <c r="J244" s="8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9" t="str">
        <f t="shared" si="3"/>
        <v/>
      </c>
      <c r="V244" s="8"/>
      <c r="W244" s="8"/>
      <c r="X244" s="8"/>
      <c r="Y244" s="10"/>
      <c r="Z244" s="8"/>
    </row>
    <row r="245" spans="1:26">
      <c r="A245" s="8"/>
      <c r="B245" s="10"/>
      <c r="C245" s="8"/>
      <c r="D245" s="8"/>
      <c r="E245" s="8"/>
      <c r="F245" s="8"/>
      <c r="G245" s="11"/>
      <c r="H245" s="8"/>
      <c r="I245" s="8"/>
      <c r="J245" s="8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9" t="str">
        <f t="shared" si="3"/>
        <v/>
      </c>
      <c r="V245" s="8"/>
      <c r="W245" s="8"/>
      <c r="X245" s="8"/>
      <c r="Y245" s="10"/>
      <c r="Z245" s="8"/>
    </row>
    <row r="246" spans="1:26">
      <c r="A246" s="8"/>
      <c r="B246" s="10"/>
      <c r="C246" s="8"/>
      <c r="D246" s="8"/>
      <c r="E246" s="8"/>
      <c r="F246" s="8"/>
      <c r="G246" s="11"/>
      <c r="H246" s="8"/>
      <c r="I246" s="8"/>
      <c r="J246" s="8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9" t="str">
        <f t="shared" si="3"/>
        <v/>
      </c>
      <c r="V246" s="8"/>
      <c r="W246" s="8"/>
      <c r="X246" s="8"/>
      <c r="Y246" s="10"/>
      <c r="Z246" s="8"/>
    </row>
    <row r="247" spans="1:26">
      <c r="A247" s="8"/>
      <c r="B247" s="10"/>
      <c r="C247" s="8"/>
      <c r="D247" s="8"/>
      <c r="E247" s="8"/>
      <c r="F247" s="8"/>
      <c r="G247" s="11"/>
      <c r="H247" s="8"/>
      <c r="I247" s="8"/>
      <c r="J247" s="8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9" t="str">
        <f t="shared" si="3"/>
        <v/>
      </c>
      <c r="V247" s="8"/>
      <c r="W247" s="8"/>
      <c r="X247" s="8"/>
      <c r="Y247" s="10"/>
      <c r="Z247" s="8"/>
    </row>
    <row r="248" spans="1:26">
      <c r="A248" s="8"/>
      <c r="B248" s="10"/>
      <c r="C248" s="8"/>
      <c r="D248" s="8"/>
      <c r="E248" s="8"/>
      <c r="F248" s="8"/>
      <c r="G248" s="11"/>
      <c r="H248" s="8"/>
      <c r="I248" s="8"/>
      <c r="J248" s="8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9" t="str">
        <f t="shared" si="3"/>
        <v/>
      </c>
      <c r="V248" s="8"/>
      <c r="W248" s="8"/>
      <c r="X248" s="8"/>
      <c r="Y248" s="10"/>
      <c r="Z248" s="8"/>
    </row>
    <row r="249" spans="1:26">
      <c r="A249" s="8"/>
      <c r="B249" s="10"/>
      <c r="C249" s="8"/>
      <c r="D249" s="8"/>
      <c r="E249" s="8"/>
      <c r="F249" s="8"/>
      <c r="G249" s="11"/>
      <c r="H249" s="8"/>
      <c r="I249" s="8"/>
      <c r="J249" s="8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9" t="str">
        <f t="shared" si="3"/>
        <v/>
      </c>
      <c r="V249" s="8"/>
      <c r="W249" s="8"/>
      <c r="X249" s="8"/>
      <c r="Y249" s="10"/>
      <c r="Z249" s="8"/>
    </row>
    <row r="250" spans="1:26">
      <c r="A250" s="8"/>
      <c r="B250" s="10"/>
      <c r="C250" s="8"/>
      <c r="D250" s="8"/>
      <c r="E250" s="8"/>
      <c r="F250" s="8"/>
      <c r="G250" s="11"/>
      <c r="H250" s="8"/>
      <c r="I250" s="8"/>
      <c r="J250" s="8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9" t="str">
        <f t="shared" si="3"/>
        <v/>
      </c>
      <c r="V250" s="8"/>
      <c r="W250" s="8"/>
      <c r="X250" s="8"/>
      <c r="Y250" s="10"/>
      <c r="Z250" s="8"/>
    </row>
    <row r="251" spans="1:26">
      <c r="A251" s="8"/>
      <c r="B251" s="10"/>
      <c r="C251" s="8"/>
      <c r="D251" s="8"/>
      <c r="E251" s="8"/>
      <c r="F251" s="8"/>
      <c r="G251" s="11"/>
      <c r="H251" s="8"/>
      <c r="I251" s="8"/>
      <c r="J251" s="8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9" t="str">
        <f t="shared" si="3"/>
        <v/>
      </c>
      <c r="V251" s="8"/>
      <c r="W251" s="8"/>
      <c r="X251" s="8"/>
      <c r="Y251" s="10"/>
      <c r="Z251" s="8"/>
    </row>
    <row r="252" spans="1:26">
      <c r="A252" s="8"/>
      <c r="B252" s="10"/>
      <c r="C252" s="8"/>
      <c r="D252" s="8"/>
      <c r="E252" s="8"/>
      <c r="F252" s="8"/>
      <c r="G252" s="11"/>
      <c r="H252" s="8"/>
      <c r="I252" s="8"/>
      <c r="J252" s="8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9" t="str">
        <f t="shared" si="3"/>
        <v/>
      </c>
      <c r="V252" s="8"/>
      <c r="W252" s="8"/>
      <c r="X252" s="8"/>
      <c r="Y252" s="10"/>
      <c r="Z252" s="8"/>
    </row>
    <row r="253" spans="1:26">
      <c r="A253" s="8"/>
      <c r="B253" s="10"/>
      <c r="C253" s="8"/>
      <c r="D253" s="8"/>
      <c r="E253" s="8"/>
      <c r="F253" s="8"/>
      <c r="G253" s="11"/>
      <c r="H253" s="8"/>
      <c r="I253" s="8"/>
      <c r="J253" s="8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9" t="str">
        <f t="shared" si="3"/>
        <v/>
      </c>
      <c r="V253" s="8"/>
      <c r="W253" s="8"/>
      <c r="X253" s="8"/>
      <c r="Y253" s="10"/>
      <c r="Z253" s="8"/>
    </row>
    <row r="254" spans="1:26">
      <c r="A254" s="8"/>
      <c r="B254" s="10"/>
      <c r="C254" s="8"/>
      <c r="D254" s="8"/>
      <c r="E254" s="8"/>
      <c r="F254" s="8"/>
      <c r="G254" s="11"/>
      <c r="H254" s="8"/>
      <c r="I254" s="8"/>
      <c r="J254" s="8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9" t="str">
        <f t="shared" si="3"/>
        <v/>
      </c>
      <c r="V254" s="8"/>
      <c r="W254" s="8"/>
      <c r="X254" s="8"/>
      <c r="Y254" s="10"/>
      <c r="Z254" s="8"/>
    </row>
    <row r="255" spans="1:26">
      <c r="A255" s="8"/>
      <c r="B255" s="10"/>
      <c r="C255" s="8"/>
      <c r="D255" s="8"/>
      <c r="E255" s="8"/>
      <c r="F255" s="8"/>
      <c r="G255" s="11"/>
      <c r="H255" s="8"/>
      <c r="I255" s="8"/>
      <c r="J255" s="8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9" t="str">
        <f t="shared" si="3"/>
        <v/>
      </c>
      <c r="V255" s="8"/>
      <c r="W255" s="8"/>
      <c r="X255" s="8"/>
      <c r="Y255" s="10"/>
      <c r="Z255" s="8"/>
    </row>
    <row r="256" spans="1:26">
      <c r="A256" s="8"/>
      <c r="B256" s="10"/>
      <c r="C256" s="8"/>
      <c r="D256" s="8"/>
      <c r="E256" s="8"/>
      <c r="F256" s="8"/>
      <c r="G256" s="11"/>
      <c r="H256" s="8"/>
      <c r="I256" s="8"/>
      <c r="J256" s="8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9" t="str">
        <f t="shared" si="3"/>
        <v/>
      </c>
      <c r="V256" s="8"/>
      <c r="W256" s="8"/>
      <c r="X256" s="8"/>
      <c r="Y256" s="10"/>
      <c r="Z256" s="8"/>
    </row>
    <row r="257" spans="1:26">
      <c r="A257" s="8"/>
      <c r="B257" s="10"/>
      <c r="C257" s="8"/>
      <c r="D257" s="8"/>
      <c r="E257" s="8"/>
      <c r="F257" s="8"/>
      <c r="G257" s="11"/>
      <c r="H257" s="8"/>
      <c r="I257" s="8"/>
      <c r="J257" s="8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9" t="str">
        <f t="shared" si="3"/>
        <v/>
      </c>
      <c r="V257" s="8"/>
      <c r="W257" s="8"/>
      <c r="X257" s="8"/>
      <c r="Y257" s="10"/>
      <c r="Z257" s="8"/>
    </row>
    <row r="258" spans="1:26">
      <c r="A258" s="8"/>
      <c r="B258" s="10"/>
      <c r="C258" s="8"/>
      <c r="D258" s="8"/>
      <c r="E258" s="8"/>
      <c r="F258" s="8"/>
      <c r="G258" s="11"/>
      <c r="H258" s="8"/>
      <c r="I258" s="8"/>
      <c r="J258" s="8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9" t="str">
        <f t="shared" si="3"/>
        <v/>
      </c>
      <c r="V258" s="8"/>
      <c r="W258" s="8"/>
      <c r="X258" s="8"/>
      <c r="Y258" s="10"/>
      <c r="Z258" s="8"/>
    </row>
    <row r="259" spans="1:26">
      <c r="A259" s="8"/>
      <c r="B259" s="10"/>
      <c r="C259" s="8"/>
      <c r="D259" s="8"/>
      <c r="E259" s="8"/>
      <c r="F259" s="8"/>
      <c r="G259" s="11"/>
      <c r="H259" s="8"/>
      <c r="I259" s="8"/>
      <c r="J259" s="8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9" t="str">
        <f t="shared" si="3"/>
        <v/>
      </c>
      <c r="V259" s="8"/>
      <c r="W259" s="8"/>
      <c r="X259" s="8"/>
      <c r="Y259" s="10"/>
      <c r="Z259" s="8"/>
    </row>
    <row r="260" spans="1:26">
      <c r="A260" s="8"/>
      <c r="B260" s="10"/>
      <c r="C260" s="8"/>
      <c r="D260" s="8"/>
      <c r="E260" s="8"/>
      <c r="F260" s="8"/>
      <c r="G260" s="11"/>
      <c r="H260" s="8"/>
      <c r="I260" s="8"/>
      <c r="J260" s="8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9" t="str">
        <f t="shared" si="3"/>
        <v/>
      </c>
      <c r="V260" s="8"/>
      <c r="W260" s="8"/>
      <c r="X260" s="8"/>
      <c r="Y260" s="10"/>
      <c r="Z260" s="8"/>
    </row>
    <row r="261" spans="1:26">
      <c r="A261" s="8"/>
      <c r="B261" s="10"/>
      <c r="C261" s="8"/>
      <c r="D261" s="8"/>
      <c r="E261" s="8"/>
      <c r="F261" s="8"/>
      <c r="G261" s="11"/>
      <c r="H261" s="8"/>
      <c r="I261" s="8"/>
      <c r="J261" s="8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9" t="str">
        <f t="shared" ref="U261:U324" si="4">IF(A261="","",IF(OR(L261&gt;=R261,M261&gt;=S261,N261&gt;=T261),"Failed","Passed"))</f>
        <v/>
      </c>
      <c r="V261" s="8"/>
      <c r="W261" s="8"/>
      <c r="X261" s="8"/>
      <c r="Y261" s="10"/>
      <c r="Z261" s="8"/>
    </row>
    <row r="262" spans="1:26">
      <c r="A262" s="8"/>
      <c r="B262" s="10"/>
      <c r="C262" s="8"/>
      <c r="D262" s="8"/>
      <c r="E262" s="8"/>
      <c r="F262" s="8"/>
      <c r="G262" s="11"/>
      <c r="H262" s="8"/>
      <c r="I262" s="8"/>
      <c r="J262" s="8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9" t="str">
        <f t="shared" si="4"/>
        <v/>
      </c>
      <c r="V262" s="8"/>
      <c r="W262" s="8"/>
      <c r="X262" s="8"/>
      <c r="Y262" s="10"/>
      <c r="Z262" s="8"/>
    </row>
    <row r="263" spans="1:26">
      <c r="A263" s="8"/>
      <c r="B263" s="10"/>
      <c r="C263" s="8"/>
      <c r="D263" s="8"/>
      <c r="E263" s="8"/>
      <c r="F263" s="8"/>
      <c r="G263" s="11"/>
      <c r="H263" s="8"/>
      <c r="I263" s="8"/>
      <c r="J263" s="8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9" t="str">
        <f t="shared" si="4"/>
        <v/>
      </c>
      <c r="V263" s="8"/>
      <c r="W263" s="8"/>
      <c r="X263" s="8"/>
      <c r="Y263" s="10"/>
      <c r="Z263" s="8"/>
    </row>
    <row r="264" spans="1:26">
      <c r="A264" s="8"/>
      <c r="B264" s="10"/>
      <c r="C264" s="8"/>
      <c r="D264" s="8"/>
      <c r="E264" s="8"/>
      <c r="F264" s="8"/>
      <c r="G264" s="11"/>
      <c r="H264" s="8"/>
      <c r="I264" s="8"/>
      <c r="J264" s="8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9" t="str">
        <f t="shared" si="4"/>
        <v/>
      </c>
      <c r="V264" s="8"/>
      <c r="W264" s="8"/>
      <c r="X264" s="8"/>
      <c r="Y264" s="10"/>
      <c r="Z264" s="8"/>
    </row>
    <row r="265" spans="1:26">
      <c r="A265" s="8"/>
      <c r="B265" s="10"/>
      <c r="C265" s="8"/>
      <c r="D265" s="8"/>
      <c r="E265" s="8"/>
      <c r="F265" s="8"/>
      <c r="G265" s="11"/>
      <c r="H265" s="8"/>
      <c r="I265" s="8"/>
      <c r="J265" s="8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9" t="str">
        <f t="shared" si="4"/>
        <v/>
      </c>
      <c r="V265" s="8"/>
      <c r="W265" s="8"/>
      <c r="X265" s="8"/>
      <c r="Y265" s="10"/>
      <c r="Z265" s="8"/>
    </row>
    <row r="266" spans="1:26">
      <c r="A266" s="8"/>
      <c r="B266" s="10"/>
      <c r="C266" s="8"/>
      <c r="D266" s="8"/>
      <c r="E266" s="8"/>
      <c r="F266" s="8"/>
      <c r="G266" s="11"/>
      <c r="H266" s="8"/>
      <c r="I266" s="8"/>
      <c r="J266" s="8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9" t="str">
        <f t="shared" si="4"/>
        <v/>
      </c>
      <c r="V266" s="8"/>
      <c r="W266" s="8"/>
      <c r="X266" s="8"/>
      <c r="Y266" s="10"/>
      <c r="Z266" s="8"/>
    </row>
    <row r="267" spans="1:26">
      <c r="A267" s="8"/>
      <c r="B267" s="10"/>
      <c r="C267" s="8"/>
      <c r="D267" s="8"/>
      <c r="E267" s="8"/>
      <c r="F267" s="8"/>
      <c r="G267" s="11"/>
      <c r="H267" s="8"/>
      <c r="I267" s="8"/>
      <c r="J267" s="8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9" t="str">
        <f t="shared" si="4"/>
        <v/>
      </c>
      <c r="V267" s="8"/>
      <c r="W267" s="8"/>
      <c r="X267" s="8"/>
      <c r="Y267" s="10"/>
      <c r="Z267" s="8"/>
    </row>
    <row r="268" spans="1:26">
      <c r="A268" s="8"/>
      <c r="B268" s="10"/>
      <c r="C268" s="8"/>
      <c r="D268" s="8"/>
      <c r="E268" s="8"/>
      <c r="F268" s="8"/>
      <c r="G268" s="11"/>
      <c r="H268" s="8"/>
      <c r="I268" s="8"/>
      <c r="J268" s="8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9" t="str">
        <f t="shared" si="4"/>
        <v/>
      </c>
      <c r="V268" s="8"/>
      <c r="W268" s="8"/>
      <c r="X268" s="8"/>
      <c r="Y268" s="10"/>
      <c r="Z268" s="8"/>
    </row>
    <row r="269" spans="1:26">
      <c r="A269" s="8"/>
      <c r="B269" s="10"/>
      <c r="C269" s="8"/>
      <c r="D269" s="8"/>
      <c r="E269" s="8"/>
      <c r="F269" s="8"/>
      <c r="G269" s="11"/>
      <c r="H269" s="8"/>
      <c r="I269" s="8"/>
      <c r="J269" s="8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9" t="str">
        <f t="shared" si="4"/>
        <v/>
      </c>
      <c r="V269" s="8"/>
      <c r="W269" s="8"/>
      <c r="X269" s="8"/>
      <c r="Y269" s="10"/>
      <c r="Z269" s="8"/>
    </row>
    <row r="270" spans="1:26">
      <c r="A270" s="8"/>
      <c r="B270" s="10"/>
      <c r="C270" s="8"/>
      <c r="D270" s="8"/>
      <c r="E270" s="8"/>
      <c r="F270" s="8"/>
      <c r="G270" s="11"/>
      <c r="H270" s="8"/>
      <c r="I270" s="8"/>
      <c r="J270" s="8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9" t="str">
        <f t="shared" si="4"/>
        <v/>
      </c>
      <c r="V270" s="8"/>
      <c r="W270" s="8"/>
      <c r="X270" s="8"/>
      <c r="Y270" s="10"/>
      <c r="Z270" s="8"/>
    </row>
    <row r="271" spans="1:26">
      <c r="A271" s="8"/>
      <c r="B271" s="10"/>
      <c r="C271" s="8"/>
      <c r="D271" s="8"/>
      <c r="E271" s="8"/>
      <c r="F271" s="8"/>
      <c r="G271" s="11"/>
      <c r="H271" s="8"/>
      <c r="I271" s="8"/>
      <c r="J271" s="8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9" t="str">
        <f t="shared" si="4"/>
        <v/>
      </c>
      <c r="V271" s="8"/>
      <c r="W271" s="8"/>
      <c r="X271" s="8"/>
      <c r="Y271" s="10"/>
      <c r="Z271" s="8"/>
    </row>
    <row r="272" spans="1:26">
      <c r="A272" s="8"/>
      <c r="B272" s="10"/>
      <c r="C272" s="8"/>
      <c r="D272" s="8"/>
      <c r="E272" s="8"/>
      <c r="F272" s="8"/>
      <c r="G272" s="11"/>
      <c r="H272" s="8"/>
      <c r="I272" s="8"/>
      <c r="J272" s="8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9" t="str">
        <f t="shared" si="4"/>
        <v/>
      </c>
      <c r="V272" s="8"/>
      <c r="W272" s="8"/>
      <c r="X272" s="8"/>
      <c r="Y272" s="10"/>
      <c r="Z272" s="8"/>
    </row>
    <row r="273" spans="1:26">
      <c r="A273" s="8"/>
      <c r="B273" s="10"/>
      <c r="C273" s="8"/>
      <c r="D273" s="8"/>
      <c r="E273" s="8"/>
      <c r="F273" s="8"/>
      <c r="G273" s="11"/>
      <c r="H273" s="8"/>
      <c r="I273" s="8"/>
      <c r="J273" s="8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9" t="str">
        <f t="shared" si="4"/>
        <v/>
      </c>
      <c r="V273" s="8"/>
      <c r="W273" s="8"/>
      <c r="X273" s="8"/>
      <c r="Y273" s="10"/>
      <c r="Z273" s="8"/>
    </row>
    <row r="274" spans="1:26">
      <c r="A274" s="8"/>
      <c r="B274" s="10"/>
      <c r="C274" s="8"/>
      <c r="D274" s="8"/>
      <c r="E274" s="8"/>
      <c r="F274" s="8"/>
      <c r="G274" s="11"/>
      <c r="H274" s="8"/>
      <c r="I274" s="8"/>
      <c r="J274" s="8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9" t="str">
        <f t="shared" si="4"/>
        <v/>
      </c>
      <c r="V274" s="8"/>
      <c r="W274" s="8"/>
      <c r="X274" s="8"/>
      <c r="Y274" s="10"/>
      <c r="Z274" s="8"/>
    </row>
    <row r="275" spans="1:26">
      <c r="A275" s="8"/>
      <c r="B275" s="10"/>
      <c r="C275" s="8"/>
      <c r="D275" s="8"/>
      <c r="E275" s="8"/>
      <c r="F275" s="8"/>
      <c r="G275" s="11"/>
      <c r="H275" s="8"/>
      <c r="I275" s="8"/>
      <c r="J275" s="8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9" t="str">
        <f t="shared" si="4"/>
        <v/>
      </c>
      <c r="V275" s="8"/>
      <c r="W275" s="8"/>
      <c r="X275" s="8"/>
      <c r="Y275" s="10"/>
      <c r="Z275" s="8"/>
    </row>
    <row r="276" spans="1:26">
      <c r="A276" s="8"/>
      <c r="B276" s="10"/>
      <c r="C276" s="8"/>
      <c r="D276" s="8"/>
      <c r="E276" s="8"/>
      <c r="F276" s="8"/>
      <c r="G276" s="11"/>
      <c r="H276" s="8"/>
      <c r="I276" s="8"/>
      <c r="J276" s="8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9" t="str">
        <f t="shared" si="4"/>
        <v/>
      </c>
      <c r="V276" s="8"/>
      <c r="W276" s="8"/>
      <c r="X276" s="8"/>
      <c r="Y276" s="10"/>
      <c r="Z276" s="8"/>
    </row>
    <row r="277" spans="1:26">
      <c r="A277" s="8"/>
      <c r="B277" s="10"/>
      <c r="C277" s="8"/>
      <c r="D277" s="8"/>
      <c r="E277" s="8"/>
      <c r="F277" s="8"/>
      <c r="G277" s="11"/>
      <c r="H277" s="8"/>
      <c r="I277" s="8"/>
      <c r="J277" s="8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9" t="str">
        <f t="shared" si="4"/>
        <v/>
      </c>
      <c r="V277" s="8"/>
      <c r="W277" s="8"/>
      <c r="X277" s="8"/>
      <c r="Y277" s="10"/>
      <c r="Z277" s="8"/>
    </row>
    <row r="278" spans="1:26">
      <c r="A278" s="8"/>
      <c r="B278" s="10"/>
      <c r="C278" s="8"/>
      <c r="D278" s="8"/>
      <c r="E278" s="8"/>
      <c r="F278" s="8"/>
      <c r="G278" s="11"/>
      <c r="H278" s="8"/>
      <c r="I278" s="8"/>
      <c r="J278" s="8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9" t="str">
        <f t="shared" si="4"/>
        <v/>
      </c>
      <c r="V278" s="8"/>
      <c r="W278" s="8"/>
      <c r="X278" s="8"/>
      <c r="Y278" s="10"/>
      <c r="Z278" s="8"/>
    </row>
    <row r="279" spans="1:26">
      <c r="A279" s="8"/>
      <c r="B279" s="10"/>
      <c r="C279" s="8"/>
      <c r="D279" s="8"/>
      <c r="E279" s="8"/>
      <c r="F279" s="8"/>
      <c r="G279" s="11"/>
      <c r="H279" s="8"/>
      <c r="I279" s="8"/>
      <c r="J279" s="8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9" t="str">
        <f t="shared" si="4"/>
        <v/>
      </c>
      <c r="V279" s="8"/>
      <c r="W279" s="8"/>
      <c r="X279" s="8"/>
      <c r="Y279" s="10"/>
      <c r="Z279" s="8"/>
    </row>
    <row r="280" spans="1:26">
      <c r="A280" s="8"/>
      <c r="B280" s="10"/>
      <c r="C280" s="8"/>
      <c r="D280" s="8"/>
      <c r="E280" s="8"/>
      <c r="F280" s="8"/>
      <c r="G280" s="11"/>
      <c r="H280" s="8"/>
      <c r="I280" s="8"/>
      <c r="J280" s="8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9" t="str">
        <f t="shared" si="4"/>
        <v/>
      </c>
      <c r="V280" s="8"/>
      <c r="W280" s="8"/>
      <c r="X280" s="8"/>
      <c r="Y280" s="10"/>
      <c r="Z280" s="8"/>
    </row>
    <row r="281" spans="1:26">
      <c r="A281" s="8"/>
      <c r="B281" s="10"/>
      <c r="C281" s="8"/>
      <c r="D281" s="8"/>
      <c r="E281" s="8"/>
      <c r="F281" s="8"/>
      <c r="G281" s="11"/>
      <c r="H281" s="8"/>
      <c r="I281" s="8"/>
      <c r="J281" s="8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9" t="str">
        <f t="shared" si="4"/>
        <v/>
      </c>
      <c r="V281" s="8"/>
      <c r="W281" s="8"/>
      <c r="X281" s="8"/>
      <c r="Y281" s="10"/>
      <c r="Z281" s="8"/>
    </row>
    <row r="282" spans="1:26">
      <c r="A282" s="8"/>
      <c r="B282" s="10"/>
      <c r="C282" s="8"/>
      <c r="D282" s="8"/>
      <c r="E282" s="8"/>
      <c r="F282" s="8"/>
      <c r="G282" s="11"/>
      <c r="H282" s="8"/>
      <c r="I282" s="8"/>
      <c r="J282" s="8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9" t="str">
        <f t="shared" si="4"/>
        <v/>
      </c>
      <c r="V282" s="8"/>
      <c r="W282" s="8"/>
      <c r="X282" s="8"/>
      <c r="Y282" s="10"/>
      <c r="Z282" s="8"/>
    </row>
    <row r="283" spans="1:26">
      <c r="A283" s="8"/>
      <c r="B283" s="10"/>
      <c r="C283" s="8"/>
      <c r="D283" s="8"/>
      <c r="E283" s="8"/>
      <c r="F283" s="8"/>
      <c r="G283" s="11"/>
      <c r="H283" s="8"/>
      <c r="I283" s="8"/>
      <c r="J283" s="8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9" t="str">
        <f t="shared" si="4"/>
        <v/>
      </c>
      <c r="V283" s="8"/>
      <c r="W283" s="8"/>
      <c r="X283" s="8"/>
      <c r="Y283" s="10"/>
      <c r="Z283" s="8"/>
    </row>
    <row r="284" spans="1:26">
      <c r="A284" s="8"/>
      <c r="B284" s="10"/>
      <c r="C284" s="8"/>
      <c r="D284" s="8"/>
      <c r="E284" s="8"/>
      <c r="F284" s="8"/>
      <c r="G284" s="11"/>
      <c r="H284" s="8"/>
      <c r="I284" s="8"/>
      <c r="J284" s="8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9" t="str">
        <f t="shared" si="4"/>
        <v/>
      </c>
      <c r="V284" s="8"/>
      <c r="W284" s="8"/>
      <c r="X284" s="8"/>
      <c r="Y284" s="10"/>
      <c r="Z284" s="8"/>
    </row>
    <row r="285" spans="1:26">
      <c r="A285" s="8"/>
      <c r="B285" s="10"/>
      <c r="C285" s="8"/>
      <c r="D285" s="8"/>
      <c r="E285" s="8"/>
      <c r="F285" s="8"/>
      <c r="G285" s="11"/>
      <c r="H285" s="8"/>
      <c r="I285" s="8"/>
      <c r="J285" s="8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9" t="str">
        <f t="shared" si="4"/>
        <v/>
      </c>
      <c r="V285" s="8"/>
      <c r="W285" s="8"/>
      <c r="X285" s="8"/>
      <c r="Y285" s="10"/>
      <c r="Z285" s="8"/>
    </row>
    <row r="286" spans="1:26">
      <c r="A286" s="8"/>
      <c r="B286" s="10"/>
      <c r="C286" s="8"/>
      <c r="D286" s="8"/>
      <c r="E286" s="8"/>
      <c r="F286" s="8"/>
      <c r="G286" s="11"/>
      <c r="H286" s="8"/>
      <c r="I286" s="8"/>
      <c r="J286" s="8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9" t="str">
        <f t="shared" si="4"/>
        <v/>
      </c>
      <c r="V286" s="8"/>
      <c r="W286" s="8"/>
      <c r="X286" s="8"/>
      <c r="Y286" s="10"/>
      <c r="Z286" s="8"/>
    </row>
    <row r="287" spans="1:26">
      <c r="A287" s="8"/>
      <c r="B287" s="10"/>
      <c r="C287" s="8"/>
      <c r="D287" s="8"/>
      <c r="E287" s="8"/>
      <c r="F287" s="8"/>
      <c r="G287" s="11"/>
      <c r="H287" s="8"/>
      <c r="I287" s="8"/>
      <c r="J287" s="8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9" t="str">
        <f t="shared" si="4"/>
        <v/>
      </c>
      <c r="V287" s="8"/>
      <c r="W287" s="8"/>
      <c r="X287" s="8"/>
      <c r="Y287" s="10"/>
      <c r="Z287" s="8"/>
    </row>
    <row r="288" spans="1:26">
      <c r="A288" s="8"/>
      <c r="B288" s="10"/>
      <c r="C288" s="8"/>
      <c r="D288" s="8"/>
      <c r="E288" s="8"/>
      <c r="F288" s="8"/>
      <c r="G288" s="11"/>
      <c r="H288" s="8"/>
      <c r="I288" s="8"/>
      <c r="J288" s="8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9" t="str">
        <f t="shared" si="4"/>
        <v/>
      </c>
      <c r="V288" s="8"/>
      <c r="W288" s="8"/>
      <c r="X288" s="8"/>
      <c r="Y288" s="10"/>
      <c r="Z288" s="8"/>
    </row>
    <row r="289" spans="1:26">
      <c r="A289" s="8"/>
      <c r="B289" s="10"/>
      <c r="C289" s="8"/>
      <c r="D289" s="8"/>
      <c r="E289" s="8"/>
      <c r="F289" s="8"/>
      <c r="G289" s="11"/>
      <c r="H289" s="8"/>
      <c r="I289" s="8"/>
      <c r="J289" s="8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9" t="str">
        <f t="shared" si="4"/>
        <v/>
      </c>
      <c r="V289" s="8"/>
      <c r="W289" s="8"/>
      <c r="X289" s="8"/>
      <c r="Y289" s="10"/>
      <c r="Z289" s="8"/>
    </row>
    <row r="290" spans="1:26">
      <c r="A290" s="8"/>
      <c r="B290" s="10"/>
      <c r="C290" s="8"/>
      <c r="D290" s="8"/>
      <c r="E290" s="8"/>
      <c r="F290" s="8"/>
      <c r="G290" s="11"/>
      <c r="H290" s="8"/>
      <c r="I290" s="8"/>
      <c r="J290" s="8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9" t="str">
        <f t="shared" si="4"/>
        <v/>
      </c>
      <c r="V290" s="8"/>
      <c r="W290" s="8"/>
      <c r="X290" s="8"/>
      <c r="Y290" s="10"/>
      <c r="Z290" s="8"/>
    </row>
    <row r="291" spans="1:26">
      <c r="A291" s="8"/>
      <c r="B291" s="10"/>
      <c r="C291" s="8"/>
      <c r="D291" s="8"/>
      <c r="E291" s="8"/>
      <c r="F291" s="8"/>
      <c r="G291" s="11"/>
      <c r="H291" s="8"/>
      <c r="I291" s="8"/>
      <c r="J291" s="8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9" t="str">
        <f t="shared" si="4"/>
        <v/>
      </c>
      <c r="V291" s="8"/>
      <c r="W291" s="8"/>
      <c r="X291" s="8"/>
      <c r="Y291" s="10"/>
      <c r="Z291" s="8"/>
    </row>
    <row r="292" spans="1:26">
      <c r="A292" s="8"/>
      <c r="B292" s="10"/>
      <c r="C292" s="8"/>
      <c r="D292" s="8"/>
      <c r="E292" s="8"/>
      <c r="F292" s="8"/>
      <c r="G292" s="11"/>
      <c r="H292" s="8"/>
      <c r="I292" s="8"/>
      <c r="J292" s="8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9" t="str">
        <f t="shared" si="4"/>
        <v/>
      </c>
      <c r="V292" s="8"/>
      <c r="W292" s="8"/>
      <c r="X292" s="8"/>
      <c r="Y292" s="10"/>
      <c r="Z292" s="8"/>
    </row>
    <row r="293" spans="1:26">
      <c r="A293" s="8"/>
      <c r="B293" s="10"/>
      <c r="C293" s="8"/>
      <c r="D293" s="8"/>
      <c r="E293" s="8"/>
      <c r="F293" s="8"/>
      <c r="G293" s="11"/>
      <c r="H293" s="8"/>
      <c r="I293" s="8"/>
      <c r="J293" s="8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9" t="str">
        <f t="shared" si="4"/>
        <v/>
      </c>
      <c r="V293" s="8"/>
      <c r="W293" s="8"/>
      <c r="X293" s="8"/>
      <c r="Y293" s="10"/>
      <c r="Z293" s="8"/>
    </row>
    <row r="294" spans="1:26">
      <c r="A294" s="8"/>
      <c r="B294" s="10"/>
      <c r="C294" s="8"/>
      <c r="D294" s="8"/>
      <c r="E294" s="8"/>
      <c r="F294" s="8"/>
      <c r="G294" s="11"/>
      <c r="H294" s="8"/>
      <c r="I294" s="8"/>
      <c r="J294" s="8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9" t="str">
        <f t="shared" si="4"/>
        <v/>
      </c>
      <c r="V294" s="8"/>
      <c r="W294" s="8"/>
      <c r="X294" s="8"/>
      <c r="Y294" s="10"/>
      <c r="Z294" s="8"/>
    </row>
    <row r="295" spans="1:26">
      <c r="A295" s="8"/>
      <c r="B295" s="10"/>
      <c r="C295" s="8"/>
      <c r="D295" s="8"/>
      <c r="E295" s="8"/>
      <c r="F295" s="8"/>
      <c r="G295" s="11"/>
      <c r="H295" s="8"/>
      <c r="I295" s="8"/>
      <c r="J295" s="8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9" t="str">
        <f t="shared" si="4"/>
        <v/>
      </c>
      <c r="V295" s="8"/>
      <c r="W295" s="8"/>
      <c r="X295" s="8"/>
      <c r="Y295" s="10"/>
      <c r="Z295" s="8"/>
    </row>
    <row r="296" spans="1:26">
      <c r="A296" s="8"/>
      <c r="B296" s="10"/>
      <c r="C296" s="8"/>
      <c r="D296" s="8"/>
      <c r="E296" s="8"/>
      <c r="F296" s="8"/>
      <c r="G296" s="11"/>
      <c r="H296" s="8"/>
      <c r="I296" s="8"/>
      <c r="J296" s="8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9" t="str">
        <f t="shared" si="4"/>
        <v/>
      </c>
      <c r="V296" s="8"/>
      <c r="W296" s="8"/>
      <c r="X296" s="8"/>
      <c r="Y296" s="10"/>
      <c r="Z296" s="8"/>
    </row>
    <row r="297" spans="1:26">
      <c r="A297" s="8"/>
      <c r="B297" s="10"/>
      <c r="C297" s="8"/>
      <c r="D297" s="8"/>
      <c r="E297" s="8"/>
      <c r="F297" s="8"/>
      <c r="G297" s="11"/>
      <c r="H297" s="8"/>
      <c r="I297" s="8"/>
      <c r="J297" s="8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9" t="str">
        <f t="shared" si="4"/>
        <v/>
      </c>
      <c r="V297" s="8"/>
      <c r="W297" s="8"/>
      <c r="X297" s="8"/>
      <c r="Y297" s="10"/>
      <c r="Z297" s="8"/>
    </row>
    <row r="298" spans="1:26">
      <c r="A298" s="8"/>
      <c r="B298" s="10"/>
      <c r="C298" s="8"/>
      <c r="D298" s="8"/>
      <c r="E298" s="8"/>
      <c r="F298" s="8"/>
      <c r="G298" s="11"/>
      <c r="H298" s="8"/>
      <c r="I298" s="8"/>
      <c r="J298" s="8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9" t="str">
        <f t="shared" si="4"/>
        <v/>
      </c>
      <c r="V298" s="8"/>
      <c r="W298" s="8"/>
      <c r="X298" s="8"/>
      <c r="Y298" s="10"/>
      <c r="Z298" s="8"/>
    </row>
    <row r="299" spans="1:26">
      <c r="A299" s="8"/>
      <c r="B299" s="10"/>
      <c r="C299" s="8"/>
      <c r="D299" s="8"/>
      <c r="E299" s="8"/>
      <c r="F299" s="8"/>
      <c r="G299" s="11"/>
      <c r="H299" s="8"/>
      <c r="I299" s="8"/>
      <c r="J299" s="8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9" t="str">
        <f t="shared" si="4"/>
        <v/>
      </c>
      <c r="V299" s="8"/>
      <c r="W299" s="8"/>
      <c r="X299" s="8"/>
      <c r="Y299" s="10"/>
      <c r="Z299" s="8"/>
    </row>
    <row r="300" spans="1:26">
      <c r="A300" s="8"/>
      <c r="B300" s="10"/>
      <c r="C300" s="8"/>
      <c r="D300" s="8"/>
      <c r="E300" s="8"/>
      <c r="F300" s="8"/>
      <c r="G300" s="11"/>
      <c r="H300" s="8"/>
      <c r="I300" s="8"/>
      <c r="J300" s="8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9" t="str">
        <f t="shared" si="4"/>
        <v/>
      </c>
      <c r="V300" s="8"/>
      <c r="W300" s="8"/>
      <c r="X300" s="8"/>
      <c r="Y300" s="10"/>
      <c r="Z300" s="8"/>
    </row>
    <row r="301" spans="1:26">
      <c r="A301" s="8"/>
      <c r="B301" s="10"/>
      <c r="C301" s="8"/>
      <c r="D301" s="8"/>
      <c r="E301" s="8"/>
      <c r="F301" s="8"/>
      <c r="G301" s="11"/>
      <c r="H301" s="8"/>
      <c r="I301" s="8"/>
      <c r="J301" s="8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9" t="str">
        <f t="shared" si="4"/>
        <v/>
      </c>
      <c r="V301" s="8"/>
      <c r="W301" s="8"/>
      <c r="X301" s="8"/>
      <c r="Y301" s="10"/>
      <c r="Z301" s="8"/>
    </row>
    <row r="302" spans="1:26">
      <c r="A302" s="8"/>
      <c r="B302" s="10"/>
      <c r="C302" s="8"/>
      <c r="D302" s="8"/>
      <c r="E302" s="8"/>
      <c r="F302" s="8"/>
      <c r="G302" s="11"/>
      <c r="H302" s="8"/>
      <c r="I302" s="8"/>
      <c r="J302" s="8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9" t="str">
        <f t="shared" si="4"/>
        <v/>
      </c>
      <c r="V302" s="8"/>
      <c r="W302" s="8"/>
      <c r="X302" s="8"/>
      <c r="Y302" s="10"/>
      <c r="Z302" s="8"/>
    </row>
    <row r="303" spans="1:26">
      <c r="A303" s="8"/>
      <c r="B303" s="10"/>
      <c r="C303" s="8"/>
      <c r="D303" s="8"/>
      <c r="E303" s="8"/>
      <c r="F303" s="8"/>
      <c r="G303" s="11"/>
      <c r="H303" s="8"/>
      <c r="I303" s="8"/>
      <c r="J303" s="8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9" t="str">
        <f t="shared" si="4"/>
        <v/>
      </c>
      <c r="V303" s="8"/>
      <c r="W303" s="8"/>
      <c r="X303" s="8"/>
      <c r="Y303" s="10"/>
      <c r="Z303" s="8"/>
    </row>
    <row r="304" spans="1:26">
      <c r="A304" s="8"/>
      <c r="B304" s="10"/>
      <c r="C304" s="8"/>
      <c r="D304" s="8"/>
      <c r="E304" s="8"/>
      <c r="F304" s="8"/>
      <c r="G304" s="11"/>
      <c r="H304" s="8"/>
      <c r="I304" s="8"/>
      <c r="J304" s="8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9" t="str">
        <f t="shared" si="4"/>
        <v/>
      </c>
      <c r="V304" s="8"/>
      <c r="W304" s="8"/>
      <c r="X304" s="8"/>
      <c r="Y304" s="10"/>
      <c r="Z304" s="8"/>
    </row>
  </sheetData>
  <mergeCells count="2">
    <mergeCell ref="A1:Z1"/>
    <mergeCell ref="A2:Z2"/>
  </mergeCells>
  <conditionalFormatting sqref="A5:A304">
    <cfRule type="duplicateValues" dxfId="20" priority="9"/>
  </conditionalFormatting>
  <conditionalFormatting sqref="U5:U304">
    <cfRule type="containsText" dxfId="19" priority="1" operator="containsText" text="Approved"/>
    <cfRule type="containsText" dxfId="18" priority="4" operator="containsText" text="Failed"/>
    <cfRule type="containsText" dxfId="17" priority="7" operator="containsText" text="On Hold"/>
  </conditionalFormatting>
  <dataValidations count="3">
    <dataValidation type="list" sqref="H5:H304" xr:uid="{00000000-0002-0000-1C00-000000000000}">
      <formula1>"General I,General II,General III"</formula1>
    </dataValidation>
    <dataValidation type="list" sqref="I5:J304" xr:uid="{00000000-0002-0000-1C00-000001000000}">
      <formula1>"0.65,1.0,1.5,2.5,4.0"</formula1>
    </dataValidation>
    <dataValidation type="list" sqref="W5:W304" xr:uid="{00000000-0002-0000-1C00-000002000000}">
      <formula1>"Accept,Reject,Rework,Hold,Conditional Release"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04"/>
  <sheetViews>
    <sheetView showGridLines="0" workbookViewId="0">
      <selection sqref="A1:Z1"/>
    </sheetView>
  </sheetViews>
  <sheetFormatPr baseColWidth="10" defaultColWidth="8.83203125" defaultRowHeight="14"/>
  <cols>
    <col min="1" max="3" width="14" customWidth="1"/>
    <col min="4" max="5" width="13" customWidth="1"/>
    <col min="6" max="6" width="16" customWidth="1"/>
    <col min="7" max="7" width="12" customWidth="1"/>
    <col min="8" max="8" width="16" customWidth="1"/>
    <col min="9" max="11" width="12" customWidth="1"/>
    <col min="12" max="12" width="15" customWidth="1"/>
    <col min="13" max="14" width="14" customWidth="1"/>
    <col min="15" max="15" width="12" customWidth="1"/>
    <col min="16" max="17" width="11" customWidth="1"/>
    <col min="18" max="18" width="12" customWidth="1"/>
    <col min="19" max="20" width="11" customWidth="1"/>
    <col min="21" max="22" width="14" customWidth="1"/>
    <col min="23" max="23" width="18" customWidth="1"/>
    <col min="24" max="24" width="20" customWidth="1"/>
    <col min="25" max="25" width="15" customWidth="1"/>
    <col min="26" max="26" width="24" customWidth="1"/>
  </cols>
  <sheetData>
    <row r="1" spans="1:26" ht="30" customHeight="1">
      <c r="A1" s="52" t="s">
        <v>431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4" spans="1:26" ht="44" customHeight="1">
      <c r="A4" s="6" t="s">
        <v>201</v>
      </c>
      <c r="B4" s="6" t="s">
        <v>202</v>
      </c>
      <c r="C4" s="6" t="s">
        <v>44</v>
      </c>
      <c r="D4" s="6" t="s">
        <v>45</v>
      </c>
      <c r="E4" s="6" t="s">
        <v>46</v>
      </c>
      <c r="F4" s="6" t="s">
        <v>417</v>
      </c>
      <c r="G4" s="6" t="s">
        <v>418</v>
      </c>
      <c r="H4" s="6" t="s">
        <v>419</v>
      </c>
      <c r="I4" s="6" t="s">
        <v>420</v>
      </c>
      <c r="J4" s="6" t="s">
        <v>421</v>
      </c>
      <c r="K4" s="6" t="s">
        <v>422</v>
      </c>
      <c r="L4" s="6" t="s">
        <v>408</v>
      </c>
      <c r="M4" s="6" t="s">
        <v>409</v>
      </c>
      <c r="N4" s="6" t="s">
        <v>410</v>
      </c>
      <c r="O4" s="6" t="s">
        <v>423</v>
      </c>
      <c r="P4" s="6" t="s">
        <v>424</v>
      </c>
      <c r="Q4" s="6" t="s">
        <v>425</v>
      </c>
      <c r="R4" s="6" t="s">
        <v>426</v>
      </c>
      <c r="S4" s="6" t="s">
        <v>427</v>
      </c>
      <c r="T4" s="6" t="s">
        <v>428</v>
      </c>
      <c r="U4" s="6" t="s">
        <v>215</v>
      </c>
      <c r="V4" s="6" t="s">
        <v>216</v>
      </c>
      <c r="W4" s="6" t="s">
        <v>429</v>
      </c>
      <c r="X4" s="6" t="s">
        <v>160</v>
      </c>
      <c r="Y4" s="6" t="s">
        <v>63</v>
      </c>
      <c r="Z4" s="6" t="s">
        <v>161</v>
      </c>
    </row>
    <row r="5" spans="1:26">
      <c r="A5" s="8"/>
      <c r="B5" s="10"/>
      <c r="C5" s="8"/>
      <c r="D5" s="8"/>
      <c r="E5" s="8"/>
      <c r="F5" s="8"/>
      <c r="G5" s="11"/>
      <c r="H5" s="8"/>
      <c r="I5" s="8"/>
      <c r="J5" s="8"/>
      <c r="K5" s="11"/>
      <c r="L5" s="11"/>
      <c r="M5" s="11"/>
      <c r="N5" s="11"/>
      <c r="O5" s="11"/>
      <c r="P5" s="11"/>
      <c r="Q5" s="11"/>
      <c r="R5" s="11"/>
      <c r="S5" s="11"/>
      <c r="T5" s="11"/>
      <c r="U5" s="9" t="str">
        <f t="shared" ref="U5:U68" si="0">IF(A5="","",IF(OR(L5&gt;=R5,M5&gt;=S5,N5&gt;=T5),"Failed","Passed"))</f>
        <v/>
      </c>
      <c r="V5" s="8"/>
      <c r="W5" s="8"/>
      <c r="X5" s="8"/>
      <c r="Y5" s="10"/>
      <c r="Z5" s="8"/>
    </row>
    <row r="6" spans="1:26">
      <c r="A6" s="8"/>
      <c r="B6" s="10"/>
      <c r="C6" s="8"/>
      <c r="D6" s="8"/>
      <c r="E6" s="8"/>
      <c r="F6" s="8"/>
      <c r="G6" s="11"/>
      <c r="H6" s="8"/>
      <c r="I6" s="8"/>
      <c r="J6" s="8"/>
      <c r="K6" s="11"/>
      <c r="L6" s="11"/>
      <c r="M6" s="11"/>
      <c r="N6" s="11"/>
      <c r="O6" s="11"/>
      <c r="P6" s="11"/>
      <c r="Q6" s="11"/>
      <c r="R6" s="11"/>
      <c r="S6" s="11"/>
      <c r="T6" s="11"/>
      <c r="U6" s="9" t="str">
        <f t="shared" si="0"/>
        <v/>
      </c>
      <c r="V6" s="8"/>
      <c r="W6" s="8"/>
      <c r="X6" s="8"/>
      <c r="Y6" s="10"/>
      <c r="Z6" s="8"/>
    </row>
    <row r="7" spans="1:26">
      <c r="A7" s="8"/>
      <c r="B7" s="10"/>
      <c r="C7" s="8"/>
      <c r="D7" s="8"/>
      <c r="E7" s="8"/>
      <c r="F7" s="8"/>
      <c r="G7" s="11"/>
      <c r="H7" s="8"/>
      <c r="I7" s="8"/>
      <c r="J7" s="8"/>
      <c r="K7" s="11"/>
      <c r="L7" s="11"/>
      <c r="M7" s="11"/>
      <c r="N7" s="11"/>
      <c r="O7" s="11"/>
      <c r="P7" s="11"/>
      <c r="Q7" s="11"/>
      <c r="R7" s="11"/>
      <c r="S7" s="11"/>
      <c r="T7" s="11"/>
      <c r="U7" s="9" t="str">
        <f t="shared" si="0"/>
        <v/>
      </c>
      <c r="V7" s="8"/>
      <c r="W7" s="8"/>
      <c r="X7" s="8"/>
      <c r="Y7" s="10"/>
      <c r="Z7" s="8"/>
    </row>
    <row r="8" spans="1:26">
      <c r="A8" s="8"/>
      <c r="B8" s="10"/>
      <c r="C8" s="8"/>
      <c r="D8" s="8"/>
      <c r="E8" s="8"/>
      <c r="F8" s="8"/>
      <c r="G8" s="11"/>
      <c r="H8" s="8"/>
      <c r="I8" s="8"/>
      <c r="J8" s="8"/>
      <c r="K8" s="11"/>
      <c r="L8" s="11"/>
      <c r="M8" s="11"/>
      <c r="N8" s="11"/>
      <c r="O8" s="11"/>
      <c r="P8" s="11"/>
      <c r="Q8" s="11"/>
      <c r="R8" s="11"/>
      <c r="S8" s="11"/>
      <c r="T8" s="11"/>
      <c r="U8" s="9" t="str">
        <f t="shared" si="0"/>
        <v/>
      </c>
      <c r="V8" s="8"/>
      <c r="W8" s="8"/>
      <c r="X8" s="8"/>
      <c r="Y8" s="10"/>
      <c r="Z8" s="8"/>
    </row>
    <row r="9" spans="1:26">
      <c r="A9" s="8"/>
      <c r="B9" s="10"/>
      <c r="C9" s="8"/>
      <c r="D9" s="8"/>
      <c r="E9" s="8"/>
      <c r="F9" s="8"/>
      <c r="G9" s="11"/>
      <c r="H9" s="8"/>
      <c r="I9" s="8"/>
      <c r="J9" s="8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tr">
        <f t="shared" si="0"/>
        <v/>
      </c>
      <c r="V9" s="8"/>
      <c r="W9" s="8"/>
      <c r="X9" s="8"/>
      <c r="Y9" s="10"/>
      <c r="Z9" s="8"/>
    </row>
    <row r="10" spans="1:26">
      <c r="A10" s="8"/>
      <c r="B10" s="10"/>
      <c r="C10" s="8"/>
      <c r="D10" s="8"/>
      <c r="E10" s="8"/>
      <c r="F10" s="8"/>
      <c r="G10" s="11"/>
      <c r="H10" s="8"/>
      <c r="I10" s="8"/>
      <c r="J10" s="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tr">
        <f t="shared" si="0"/>
        <v/>
      </c>
      <c r="V10" s="8"/>
      <c r="W10" s="8"/>
      <c r="X10" s="8"/>
      <c r="Y10" s="10"/>
      <c r="Z10" s="8"/>
    </row>
    <row r="11" spans="1:26">
      <c r="A11" s="8"/>
      <c r="B11" s="10"/>
      <c r="C11" s="8"/>
      <c r="D11" s="8"/>
      <c r="E11" s="8"/>
      <c r="F11" s="8"/>
      <c r="G11" s="11"/>
      <c r="H11" s="8"/>
      <c r="I11" s="8"/>
      <c r="J11" s="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tr">
        <f t="shared" si="0"/>
        <v/>
      </c>
      <c r="V11" s="8"/>
      <c r="W11" s="8"/>
      <c r="X11" s="8"/>
      <c r="Y11" s="10"/>
      <c r="Z11" s="8"/>
    </row>
    <row r="12" spans="1:26">
      <c r="A12" s="8"/>
      <c r="B12" s="10"/>
      <c r="C12" s="8"/>
      <c r="D12" s="8"/>
      <c r="E12" s="8"/>
      <c r="F12" s="8"/>
      <c r="G12" s="11"/>
      <c r="H12" s="8"/>
      <c r="I12" s="8"/>
      <c r="J12" s="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tr">
        <f t="shared" si="0"/>
        <v/>
      </c>
      <c r="V12" s="8"/>
      <c r="W12" s="8"/>
      <c r="X12" s="8"/>
      <c r="Y12" s="10"/>
      <c r="Z12" s="8"/>
    </row>
    <row r="13" spans="1:26">
      <c r="A13" s="8"/>
      <c r="B13" s="10"/>
      <c r="C13" s="8"/>
      <c r="D13" s="8"/>
      <c r="E13" s="8"/>
      <c r="F13" s="8"/>
      <c r="G13" s="11"/>
      <c r="H13" s="8"/>
      <c r="I13" s="8"/>
      <c r="J13" s="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tr">
        <f t="shared" si="0"/>
        <v/>
      </c>
      <c r="V13" s="8"/>
      <c r="W13" s="8"/>
      <c r="X13" s="8"/>
      <c r="Y13" s="10"/>
      <c r="Z13" s="8"/>
    </row>
    <row r="14" spans="1:26">
      <c r="A14" s="8"/>
      <c r="B14" s="10"/>
      <c r="C14" s="8"/>
      <c r="D14" s="8"/>
      <c r="E14" s="8"/>
      <c r="F14" s="8"/>
      <c r="G14" s="11"/>
      <c r="H14" s="8"/>
      <c r="I14" s="8"/>
      <c r="J14" s="8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9" t="str">
        <f t="shared" si="0"/>
        <v/>
      </c>
      <c r="V14" s="8"/>
      <c r="W14" s="8"/>
      <c r="X14" s="8"/>
      <c r="Y14" s="10"/>
      <c r="Z14" s="8"/>
    </row>
    <row r="15" spans="1:26">
      <c r="A15" s="8"/>
      <c r="B15" s="10"/>
      <c r="C15" s="8"/>
      <c r="D15" s="8"/>
      <c r="E15" s="8"/>
      <c r="F15" s="8"/>
      <c r="G15" s="11"/>
      <c r="H15" s="8"/>
      <c r="I15" s="8"/>
      <c r="J15" s="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9" t="str">
        <f t="shared" si="0"/>
        <v/>
      </c>
      <c r="V15" s="8"/>
      <c r="W15" s="8"/>
      <c r="X15" s="8"/>
      <c r="Y15" s="10"/>
      <c r="Z15" s="8"/>
    </row>
    <row r="16" spans="1:26">
      <c r="A16" s="8"/>
      <c r="B16" s="10"/>
      <c r="C16" s="8"/>
      <c r="D16" s="8"/>
      <c r="E16" s="8"/>
      <c r="F16" s="8"/>
      <c r="G16" s="11"/>
      <c r="H16" s="8"/>
      <c r="I16" s="8"/>
      <c r="J16" s="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9" t="str">
        <f t="shared" si="0"/>
        <v/>
      </c>
      <c r="V16" s="8"/>
      <c r="W16" s="8"/>
      <c r="X16" s="8"/>
      <c r="Y16" s="10"/>
      <c r="Z16" s="8"/>
    </row>
    <row r="17" spans="1:26">
      <c r="A17" s="8"/>
      <c r="B17" s="10"/>
      <c r="C17" s="8"/>
      <c r="D17" s="8"/>
      <c r="E17" s="8"/>
      <c r="F17" s="8"/>
      <c r="G17" s="11"/>
      <c r="H17" s="8"/>
      <c r="I17" s="8"/>
      <c r="J17" s="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9" t="str">
        <f t="shared" si="0"/>
        <v/>
      </c>
      <c r="V17" s="8"/>
      <c r="W17" s="8"/>
      <c r="X17" s="8"/>
      <c r="Y17" s="10"/>
      <c r="Z17" s="8"/>
    </row>
    <row r="18" spans="1:26">
      <c r="A18" s="8"/>
      <c r="B18" s="10"/>
      <c r="C18" s="8"/>
      <c r="D18" s="8"/>
      <c r="E18" s="8"/>
      <c r="F18" s="8"/>
      <c r="G18" s="11"/>
      <c r="H18" s="8"/>
      <c r="I18" s="8"/>
      <c r="J18" s="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9" t="str">
        <f t="shared" si="0"/>
        <v/>
      </c>
      <c r="V18" s="8"/>
      <c r="W18" s="8"/>
      <c r="X18" s="8"/>
      <c r="Y18" s="10"/>
      <c r="Z18" s="8"/>
    </row>
    <row r="19" spans="1:26">
      <c r="A19" s="8"/>
      <c r="B19" s="10"/>
      <c r="C19" s="8"/>
      <c r="D19" s="8"/>
      <c r="E19" s="8"/>
      <c r="F19" s="8"/>
      <c r="G19" s="11"/>
      <c r="H19" s="8"/>
      <c r="I19" s="8"/>
      <c r="J19" s="8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9" t="str">
        <f t="shared" si="0"/>
        <v/>
      </c>
      <c r="V19" s="8"/>
      <c r="W19" s="8"/>
      <c r="X19" s="8"/>
      <c r="Y19" s="10"/>
      <c r="Z19" s="8"/>
    </row>
    <row r="20" spans="1:26">
      <c r="A20" s="8"/>
      <c r="B20" s="10"/>
      <c r="C20" s="8"/>
      <c r="D20" s="8"/>
      <c r="E20" s="8"/>
      <c r="F20" s="8"/>
      <c r="G20" s="11"/>
      <c r="H20" s="8"/>
      <c r="I20" s="8"/>
      <c r="J20" s="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9" t="str">
        <f t="shared" si="0"/>
        <v/>
      </c>
      <c r="V20" s="8"/>
      <c r="W20" s="8"/>
      <c r="X20" s="8"/>
      <c r="Y20" s="10"/>
      <c r="Z20" s="8"/>
    </row>
    <row r="21" spans="1:26">
      <c r="A21" s="8"/>
      <c r="B21" s="10"/>
      <c r="C21" s="8"/>
      <c r="D21" s="8"/>
      <c r="E21" s="8"/>
      <c r="F21" s="8"/>
      <c r="G21" s="11"/>
      <c r="H21" s="8"/>
      <c r="I21" s="8"/>
      <c r="J21" s="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9" t="str">
        <f t="shared" si="0"/>
        <v/>
      </c>
      <c r="V21" s="8"/>
      <c r="W21" s="8"/>
      <c r="X21" s="8"/>
      <c r="Y21" s="10"/>
      <c r="Z21" s="8"/>
    </row>
    <row r="22" spans="1:26">
      <c r="A22" s="8"/>
      <c r="B22" s="10"/>
      <c r="C22" s="8"/>
      <c r="D22" s="8"/>
      <c r="E22" s="8"/>
      <c r="F22" s="8"/>
      <c r="G22" s="11"/>
      <c r="H22" s="8"/>
      <c r="I22" s="8"/>
      <c r="J22" s="8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9" t="str">
        <f t="shared" si="0"/>
        <v/>
      </c>
      <c r="V22" s="8"/>
      <c r="W22" s="8"/>
      <c r="X22" s="8"/>
      <c r="Y22" s="10"/>
      <c r="Z22" s="8"/>
    </row>
    <row r="23" spans="1:26">
      <c r="A23" s="8"/>
      <c r="B23" s="10"/>
      <c r="C23" s="8"/>
      <c r="D23" s="8"/>
      <c r="E23" s="8"/>
      <c r="F23" s="8"/>
      <c r="G23" s="11"/>
      <c r="H23" s="8"/>
      <c r="I23" s="8"/>
      <c r="J23" s="8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9" t="str">
        <f t="shared" si="0"/>
        <v/>
      </c>
      <c r="V23" s="8"/>
      <c r="W23" s="8"/>
      <c r="X23" s="8"/>
      <c r="Y23" s="10"/>
      <c r="Z23" s="8"/>
    </row>
    <row r="24" spans="1:26">
      <c r="A24" s="8"/>
      <c r="B24" s="10"/>
      <c r="C24" s="8"/>
      <c r="D24" s="8"/>
      <c r="E24" s="8"/>
      <c r="F24" s="8"/>
      <c r="G24" s="11"/>
      <c r="H24" s="8"/>
      <c r="I24" s="8"/>
      <c r="J24" s="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" t="str">
        <f t="shared" si="0"/>
        <v/>
      </c>
      <c r="V24" s="8"/>
      <c r="W24" s="8"/>
      <c r="X24" s="8"/>
      <c r="Y24" s="10"/>
      <c r="Z24" s="8"/>
    </row>
    <row r="25" spans="1:26">
      <c r="A25" s="8"/>
      <c r="B25" s="10"/>
      <c r="C25" s="8"/>
      <c r="D25" s="8"/>
      <c r="E25" s="8"/>
      <c r="F25" s="8"/>
      <c r="G25" s="11"/>
      <c r="H25" s="8"/>
      <c r="I25" s="8"/>
      <c r="J25" s="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9" t="str">
        <f t="shared" si="0"/>
        <v/>
      </c>
      <c r="V25" s="8"/>
      <c r="W25" s="8"/>
      <c r="X25" s="8"/>
      <c r="Y25" s="10"/>
      <c r="Z25" s="8"/>
    </row>
    <row r="26" spans="1:26">
      <c r="A26" s="8"/>
      <c r="B26" s="10"/>
      <c r="C26" s="8"/>
      <c r="D26" s="8"/>
      <c r="E26" s="8"/>
      <c r="F26" s="8"/>
      <c r="G26" s="11"/>
      <c r="H26" s="8"/>
      <c r="I26" s="8"/>
      <c r="J26" s="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9" t="str">
        <f t="shared" si="0"/>
        <v/>
      </c>
      <c r="V26" s="8"/>
      <c r="W26" s="8"/>
      <c r="X26" s="8"/>
      <c r="Y26" s="10"/>
      <c r="Z26" s="8"/>
    </row>
    <row r="27" spans="1:26">
      <c r="A27" s="8"/>
      <c r="B27" s="10"/>
      <c r="C27" s="8"/>
      <c r="D27" s="8"/>
      <c r="E27" s="8"/>
      <c r="F27" s="8"/>
      <c r="G27" s="11"/>
      <c r="H27" s="8"/>
      <c r="I27" s="8"/>
      <c r="J27" s="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9" t="str">
        <f t="shared" si="0"/>
        <v/>
      </c>
      <c r="V27" s="8"/>
      <c r="W27" s="8"/>
      <c r="X27" s="8"/>
      <c r="Y27" s="10"/>
      <c r="Z27" s="8"/>
    </row>
    <row r="28" spans="1:26">
      <c r="A28" s="8"/>
      <c r="B28" s="10"/>
      <c r="C28" s="8"/>
      <c r="D28" s="8"/>
      <c r="E28" s="8"/>
      <c r="F28" s="8"/>
      <c r="G28" s="11"/>
      <c r="H28" s="8"/>
      <c r="I28" s="8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" t="str">
        <f t="shared" si="0"/>
        <v/>
      </c>
      <c r="V28" s="8"/>
      <c r="W28" s="8"/>
      <c r="X28" s="8"/>
      <c r="Y28" s="10"/>
      <c r="Z28" s="8"/>
    </row>
    <row r="29" spans="1:26">
      <c r="A29" s="8"/>
      <c r="B29" s="10"/>
      <c r="C29" s="8"/>
      <c r="D29" s="8"/>
      <c r="E29" s="8"/>
      <c r="F29" s="8"/>
      <c r="G29" s="11"/>
      <c r="H29" s="8"/>
      <c r="I29" s="8"/>
      <c r="J29" s="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tr">
        <f t="shared" si="0"/>
        <v/>
      </c>
      <c r="V29" s="8"/>
      <c r="W29" s="8"/>
      <c r="X29" s="8"/>
      <c r="Y29" s="10"/>
      <c r="Z29" s="8"/>
    </row>
    <row r="30" spans="1:26">
      <c r="A30" s="8"/>
      <c r="B30" s="10"/>
      <c r="C30" s="8"/>
      <c r="D30" s="8"/>
      <c r="E30" s="8"/>
      <c r="F30" s="8"/>
      <c r="G30" s="11"/>
      <c r="H30" s="8"/>
      <c r="I30" s="8"/>
      <c r="J30" s="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9" t="str">
        <f t="shared" si="0"/>
        <v/>
      </c>
      <c r="V30" s="8"/>
      <c r="W30" s="8"/>
      <c r="X30" s="8"/>
      <c r="Y30" s="10"/>
      <c r="Z30" s="8"/>
    </row>
    <row r="31" spans="1:26">
      <c r="A31" s="8"/>
      <c r="B31" s="10"/>
      <c r="C31" s="8"/>
      <c r="D31" s="8"/>
      <c r="E31" s="8"/>
      <c r="F31" s="8"/>
      <c r="G31" s="11"/>
      <c r="H31" s="8"/>
      <c r="I31" s="8"/>
      <c r="J31" s="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 t="str">
        <f t="shared" si="0"/>
        <v/>
      </c>
      <c r="V31" s="8"/>
      <c r="W31" s="8"/>
      <c r="X31" s="8"/>
      <c r="Y31" s="10"/>
      <c r="Z31" s="8"/>
    </row>
    <row r="32" spans="1:26">
      <c r="A32" s="8"/>
      <c r="B32" s="10"/>
      <c r="C32" s="8"/>
      <c r="D32" s="8"/>
      <c r="E32" s="8"/>
      <c r="F32" s="8"/>
      <c r="G32" s="11"/>
      <c r="H32" s="8"/>
      <c r="I32" s="8"/>
      <c r="J32" s="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9" t="str">
        <f t="shared" si="0"/>
        <v/>
      </c>
      <c r="V32" s="8"/>
      <c r="W32" s="8"/>
      <c r="X32" s="8"/>
      <c r="Y32" s="10"/>
      <c r="Z32" s="8"/>
    </row>
    <row r="33" spans="1:26">
      <c r="A33" s="8"/>
      <c r="B33" s="10"/>
      <c r="C33" s="8"/>
      <c r="D33" s="8"/>
      <c r="E33" s="8"/>
      <c r="F33" s="8"/>
      <c r="G33" s="11"/>
      <c r="H33" s="8"/>
      <c r="I33" s="8"/>
      <c r="J33" s="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9" t="str">
        <f t="shared" si="0"/>
        <v/>
      </c>
      <c r="V33" s="8"/>
      <c r="W33" s="8"/>
      <c r="X33" s="8"/>
      <c r="Y33" s="10"/>
      <c r="Z33" s="8"/>
    </row>
    <row r="34" spans="1:26">
      <c r="A34" s="8"/>
      <c r="B34" s="10"/>
      <c r="C34" s="8"/>
      <c r="D34" s="8"/>
      <c r="E34" s="8"/>
      <c r="F34" s="8"/>
      <c r="G34" s="11"/>
      <c r="H34" s="8"/>
      <c r="I34" s="8"/>
      <c r="J34" s="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9" t="str">
        <f t="shared" si="0"/>
        <v/>
      </c>
      <c r="V34" s="8"/>
      <c r="W34" s="8"/>
      <c r="X34" s="8"/>
      <c r="Y34" s="10"/>
      <c r="Z34" s="8"/>
    </row>
    <row r="35" spans="1:26">
      <c r="A35" s="8"/>
      <c r="B35" s="10"/>
      <c r="C35" s="8"/>
      <c r="D35" s="8"/>
      <c r="E35" s="8"/>
      <c r="F35" s="8"/>
      <c r="G35" s="11"/>
      <c r="H35" s="8"/>
      <c r="I35" s="8"/>
      <c r="J35" s="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9" t="str">
        <f t="shared" si="0"/>
        <v/>
      </c>
      <c r="V35" s="8"/>
      <c r="W35" s="8"/>
      <c r="X35" s="8"/>
      <c r="Y35" s="10"/>
      <c r="Z35" s="8"/>
    </row>
    <row r="36" spans="1:26">
      <c r="A36" s="8"/>
      <c r="B36" s="10"/>
      <c r="C36" s="8"/>
      <c r="D36" s="8"/>
      <c r="E36" s="8"/>
      <c r="F36" s="8"/>
      <c r="G36" s="11"/>
      <c r="H36" s="8"/>
      <c r="I36" s="8"/>
      <c r="J36" s="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9" t="str">
        <f t="shared" si="0"/>
        <v/>
      </c>
      <c r="V36" s="8"/>
      <c r="W36" s="8"/>
      <c r="X36" s="8"/>
      <c r="Y36" s="10"/>
      <c r="Z36" s="8"/>
    </row>
    <row r="37" spans="1:26">
      <c r="A37" s="8"/>
      <c r="B37" s="10"/>
      <c r="C37" s="8"/>
      <c r="D37" s="8"/>
      <c r="E37" s="8"/>
      <c r="F37" s="8"/>
      <c r="G37" s="11"/>
      <c r="H37" s="8"/>
      <c r="I37" s="8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9" t="str">
        <f t="shared" si="0"/>
        <v/>
      </c>
      <c r="V37" s="8"/>
      <c r="W37" s="8"/>
      <c r="X37" s="8"/>
      <c r="Y37" s="10"/>
      <c r="Z37" s="8"/>
    </row>
    <row r="38" spans="1:26">
      <c r="A38" s="8"/>
      <c r="B38" s="10"/>
      <c r="C38" s="8"/>
      <c r="D38" s="8"/>
      <c r="E38" s="8"/>
      <c r="F38" s="8"/>
      <c r="G38" s="11"/>
      <c r="H38" s="8"/>
      <c r="I38" s="8"/>
      <c r="J38" s="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9" t="str">
        <f t="shared" si="0"/>
        <v/>
      </c>
      <c r="V38" s="8"/>
      <c r="W38" s="8"/>
      <c r="X38" s="8"/>
      <c r="Y38" s="10"/>
      <c r="Z38" s="8"/>
    </row>
    <row r="39" spans="1:26">
      <c r="A39" s="8"/>
      <c r="B39" s="10"/>
      <c r="C39" s="8"/>
      <c r="D39" s="8"/>
      <c r="E39" s="8"/>
      <c r="F39" s="8"/>
      <c r="G39" s="11"/>
      <c r="H39" s="8"/>
      <c r="I39" s="8"/>
      <c r="J39" s="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9" t="str">
        <f t="shared" si="0"/>
        <v/>
      </c>
      <c r="V39" s="8"/>
      <c r="W39" s="8"/>
      <c r="X39" s="8"/>
      <c r="Y39" s="10"/>
      <c r="Z39" s="8"/>
    </row>
    <row r="40" spans="1:26">
      <c r="A40" s="8"/>
      <c r="B40" s="10"/>
      <c r="C40" s="8"/>
      <c r="D40" s="8"/>
      <c r="E40" s="8"/>
      <c r="F40" s="8"/>
      <c r="G40" s="11"/>
      <c r="H40" s="8"/>
      <c r="I40" s="8"/>
      <c r="J40" s="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9" t="str">
        <f t="shared" si="0"/>
        <v/>
      </c>
      <c r="V40" s="8"/>
      <c r="W40" s="8"/>
      <c r="X40" s="8"/>
      <c r="Y40" s="10"/>
      <c r="Z40" s="8"/>
    </row>
    <row r="41" spans="1:26">
      <c r="A41" s="8"/>
      <c r="B41" s="10"/>
      <c r="C41" s="8"/>
      <c r="D41" s="8"/>
      <c r="E41" s="8"/>
      <c r="F41" s="8"/>
      <c r="G41" s="11"/>
      <c r="H41" s="8"/>
      <c r="I41" s="8"/>
      <c r="J41" s="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9" t="str">
        <f t="shared" si="0"/>
        <v/>
      </c>
      <c r="V41" s="8"/>
      <c r="W41" s="8"/>
      <c r="X41" s="8"/>
      <c r="Y41" s="10"/>
      <c r="Z41" s="8"/>
    </row>
    <row r="42" spans="1:26">
      <c r="A42" s="8"/>
      <c r="B42" s="10"/>
      <c r="C42" s="8"/>
      <c r="D42" s="8"/>
      <c r="E42" s="8"/>
      <c r="F42" s="8"/>
      <c r="G42" s="11"/>
      <c r="H42" s="8"/>
      <c r="I42" s="8"/>
      <c r="J42" s="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9" t="str">
        <f t="shared" si="0"/>
        <v/>
      </c>
      <c r="V42" s="8"/>
      <c r="W42" s="8"/>
      <c r="X42" s="8"/>
      <c r="Y42" s="10"/>
      <c r="Z42" s="8"/>
    </row>
    <row r="43" spans="1:26">
      <c r="A43" s="8"/>
      <c r="B43" s="10"/>
      <c r="C43" s="8"/>
      <c r="D43" s="8"/>
      <c r="E43" s="8"/>
      <c r="F43" s="8"/>
      <c r="G43" s="11"/>
      <c r="H43" s="8"/>
      <c r="I43" s="8"/>
      <c r="J43" s="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9" t="str">
        <f t="shared" si="0"/>
        <v/>
      </c>
      <c r="V43" s="8"/>
      <c r="W43" s="8"/>
      <c r="X43" s="8"/>
      <c r="Y43" s="10"/>
      <c r="Z43" s="8"/>
    </row>
    <row r="44" spans="1:26">
      <c r="A44" s="8"/>
      <c r="B44" s="10"/>
      <c r="C44" s="8"/>
      <c r="D44" s="8"/>
      <c r="E44" s="8"/>
      <c r="F44" s="8"/>
      <c r="G44" s="11"/>
      <c r="H44" s="8"/>
      <c r="I44" s="8"/>
      <c r="J44" s="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9" t="str">
        <f t="shared" si="0"/>
        <v/>
      </c>
      <c r="V44" s="8"/>
      <c r="W44" s="8"/>
      <c r="X44" s="8"/>
      <c r="Y44" s="10"/>
      <c r="Z44" s="8"/>
    </row>
    <row r="45" spans="1:26">
      <c r="A45" s="8"/>
      <c r="B45" s="10"/>
      <c r="C45" s="8"/>
      <c r="D45" s="8"/>
      <c r="E45" s="8"/>
      <c r="F45" s="8"/>
      <c r="G45" s="11"/>
      <c r="H45" s="8"/>
      <c r="I45" s="8"/>
      <c r="J45" s="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9" t="str">
        <f t="shared" si="0"/>
        <v/>
      </c>
      <c r="V45" s="8"/>
      <c r="W45" s="8"/>
      <c r="X45" s="8"/>
      <c r="Y45" s="10"/>
      <c r="Z45" s="8"/>
    </row>
    <row r="46" spans="1:26">
      <c r="A46" s="8"/>
      <c r="B46" s="10"/>
      <c r="C46" s="8"/>
      <c r="D46" s="8"/>
      <c r="E46" s="8"/>
      <c r="F46" s="8"/>
      <c r="G46" s="11"/>
      <c r="H46" s="8"/>
      <c r="I46" s="8"/>
      <c r="J46" s="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9" t="str">
        <f t="shared" si="0"/>
        <v/>
      </c>
      <c r="V46" s="8"/>
      <c r="W46" s="8"/>
      <c r="X46" s="8"/>
      <c r="Y46" s="10"/>
      <c r="Z46" s="8"/>
    </row>
    <row r="47" spans="1:26">
      <c r="A47" s="8"/>
      <c r="B47" s="10"/>
      <c r="C47" s="8"/>
      <c r="D47" s="8"/>
      <c r="E47" s="8"/>
      <c r="F47" s="8"/>
      <c r="G47" s="11"/>
      <c r="H47" s="8"/>
      <c r="I47" s="8"/>
      <c r="J47" s="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9" t="str">
        <f t="shared" si="0"/>
        <v/>
      </c>
      <c r="V47" s="8"/>
      <c r="W47" s="8"/>
      <c r="X47" s="8"/>
      <c r="Y47" s="10"/>
      <c r="Z47" s="8"/>
    </row>
    <row r="48" spans="1:26">
      <c r="A48" s="8"/>
      <c r="B48" s="10"/>
      <c r="C48" s="8"/>
      <c r="D48" s="8"/>
      <c r="E48" s="8"/>
      <c r="F48" s="8"/>
      <c r="G48" s="11"/>
      <c r="H48" s="8"/>
      <c r="I48" s="8"/>
      <c r="J48" s="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9" t="str">
        <f t="shared" si="0"/>
        <v/>
      </c>
      <c r="V48" s="8"/>
      <c r="W48" s="8"/>
      <c r="X48" s="8"/>
      <c r="Y48" s="10"/>
      <c r="Z48" s="8"/>
    </row>
    <row r="49" spans="1:26">
      <c r="A49" s="8"/>
      <c r="B49" s="10"/>
      <c r="C49" s="8"/>
      <c r="D49" s="8"/>
      <c r="E49" s="8"/>
      <c r="F49" s="8"/>
      <c r="G49" s="11"/>
      <c r="H49" s="8"/>
      <c r="I49" s="8"/>
      <c r="J49" s="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9" t="str">
        <f t="shared" si="0"/>
        <v/>
      </c>
      <c r="V49" s="8"/>
      <c r="W49" s="8"/>
      <c r="X49" s="8"/>
      <c r="Y49" s="10"/>
      <c r="Z49" s="8"/>
    </row>
    <row r="50" spans="1:26">
      <c r="A50" s="8"/>
      <c r="B50" s="10"/>
      <c r="C50" s="8"/>
      <c r="D50" s="8"/>
      <c r="E50" s="8"/>
      <c r="F50" s="8"/>
      <c r="G50" s="11"/>
      <c r="H50" s="8"/>
      <c r="I50" s="8"/>
      <c r="J50" s="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9" t="str">
        <f t="shared" si="0"/>
        <v/>
      </c>
      <c r="V50" s="8"/>
      <c r="W50" s="8"/>
      <c r="X50" s="8"/>
      <c r="Y50" s="10"/>
      <c r="Z50" s="8"/>
    </row>
    <row r="51" spans="1:26">
      <c r="A51" s="8"/>
      <c r="B51" s="10"/>
      <c r="C51" s="8"/>
      <c r="D51" s="8"/>
      <c r="E51" s="8"/>
      <c r="F51" s="8"/>
      <c r="G51" s="11"/>
      <c r="H51" s="8"/>
      <c r="I51" s="8"/>
      <c r="J51" s="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9" t="str">
        <f t="shared" si="0"/>
        <v/>
      </c>
      <c r="V51" s="8"/>
      <c r="W51" s="8"/>
      <c r="X51" s="8"/>
      <c r="Y51" s="10"/>
      <c r="Z51" s="8"/>
    </row>
    <row r="52" spans="1:26">
      <c r="A52" s="8"/>
      <c r="B52" s="10"/>
      <c r="C52" s="8"/>
      <c r="D52" s="8"/>
      <c r="E52" s="8"/>
      <c r="F52" s="8"/>
      <c r="G52" s="11"/>
      <c r="H52" s="8"/>
      <c r="I52" s="8"/>
      <c r="J52" s="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" t="str">
        <f t="shared" si="0"/>
        <v/>
      </c>
      <c r="V52" s="8"/>
      <c r="W52" s="8"/>
      <c r="X52" s="8"/>
      <c r="Y52" s="10"/>
      <c r="Z52" s="8"/>
    </row>
    <row r="53" spans="1:26">
      <c r="A53" s="8"/>
      <c r="B53" s="10"/>
      <c r="C53" s="8"/>
      <c r="D53" s="8"/>
      <c r="E53" s="8"/>
      <c r="F53" s="8"/>
      <c r="G53" s="11"/>
      <c r="H53" s="8"/>
      <c r="I53" s="8"/>
      <c r="J53" s="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9" t="str">
        <f t="shared" si="0"/>
        <v/>
      </c>
      <c r="V53" s="8"/>
      <c r="W53" s="8"/>
      <c r="X53" s="8"/>
      <c r="Y53" s="10"/>
      <c r="Z53" s="8"/>
    </row>
    <row r="54" spans="1:26">
      <c r="A54" s="8"/>
      <c r="B54" s="10"/>
      <c r="C54" s="8"/>
      <c r="D54" s="8"/>
      <c r="E54" s="8"/>
      <c r="F54" s="8"/>
      <c r="G54" s="11"/>
      <c r="H54" s="8"/>
      <c r="I54" s="8"/>
      <c r="J54" s="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9" t="str">
        <f t="shared" si="0"/>
        <v/>
      </c>
      <c r="V54" s="8"/>
      <c r="W54" s="8"/>
      <c r="X54" s="8"/>
      <c r="Y54" s="10"/>
      <c r="Z54" s="8"/>
    </row>
    <row r="55" spans="1:26">
      <c r="A55" s="8"/>
      <c r="B55" s="10"/>
      <c r="C55" s="8"/>
      <c r="D55" s="8"/>
      <c r="E55" s="8"/>
      <c r="F55" s="8"/>
      <c r="G55" s="11"/>
      <c r="H55" s="8"/>
      <c r="I55" s="8"/>
      <c r="J55" s="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9" t="str">
        <f t="shared" si="0"/>
        <v/>
      </c>
      <c r="V55" s="8"/>
      <c r="W55" s="8"/>
      <c r="X55" s="8"/>
      <c r="Y55" s="10"/>
      <c r="Z55" s="8"/>
    </row>
    <row r="56" spans="1:26">
      <c r="A56" s="8"/>
      <c r="B56" s="10"/>
      <c r="C56" s="8"/>
      <c r="D56" s="8"/>
      <c r="E56" s="8"/>
      <c r="F56" s="8"/>
      <c r="G56" s="11"/>
      <c r="H56" s="8"/>
      <c r="I56" s="8"/>
      <c r="J56" s="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9" t="str">
        <f t="shared" si="0"/>
        <v/>
      </c>
      <c r="V56" s="8"/>
      <c r="W56" s="8"/>
      <c r="X56" s="8"/>
      <c r="Y56" s="10"/>
      <c r="Z56" s="8"/>
    </row>
    <row r="57" spans="1:26">
      <c r="A57" s="8"/>
      <c r="B57" s="10"/>
      <c r="C57" s="8"/>
      <c r="D57" s="8"/>
      <c r="E57" s="8"/>
      <c r="F57" s="8"/>
      <c r="G57" s="11"/>
      <c r="H57" s="8"/>
      <c r="I57" s="8"/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9" t="str">
        <f t="shared" si="0"/>
        <v/>
      </c>
      <c r="V57" s="8"/>
      <c r="W57" s="8"/>
      <c r="X57" s="8"/>
      <c r="Y57" s="10"/>
      <c r="Z57" s="8"/>
    </row>
    <row r="58" spans="1:26">
      <c r="A58" s="8"/>
      <c r="B58" s="10"/>
      <c r="C58" s="8"/>
      <c r="D58" s="8"/>
      <c r="E58" s="8"/>
      <c r="F58" s="8"/>
      <c r="G58" s="11"/>
      <c r="H58" s="8"/>
      <c r="I58" s="8"/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9" t="str">
        <f t="shared" si="0"/>
        <v/>
      </c>
      <c r="V58" s="8"/>
      <c r="W58" s="8"/>
      <c r="X58" s="8"/>
      <c r="Y58" s="10"/>
      <c r="Z58" s="8"/>
    </row>
    <row r="59" spans="1:26">
      <c r="A59" s="8"/>
      <c r="B59" s="10"/>
      <c r="C59" s="8"/>
      <c r="D59" s="8"/>
      <c r="E59" s="8"/>
      <c r="F59" s="8"/>
      <c r="G59" s="11"/>
      <c r="H59" s="8"/>
      <c r="I59" s="8"/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9" t="str">
        <f t="shared" si="0"/>
        <v/>
      </c>
      <c r="V59" s="8"/>
      <c r="W59" s="8"/>
      <c r="X59" s="8"/>
      <c r="Y59" s="10"/>
      <c r="Z59" s="8"/>
    </row>
    <row r="60" spans="1:26">
      <c r="A60" s="8"/>
      <c r="B60" s="10"/>
      <c r="C60" s="8"/>
      <c r="D60" s="8"/>
      <c r="E60" s="8"/>
      <c r="F60" s="8"/>
      <c r="G60" s="11"/>
      <c r="H60" s="8"/>
      <c r="I60" s="8"/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9" t="str">
        <f t="shared" si="0"/>
        <v/>
      </c>
      <c r="V60" s="8"/>
      <c r="W60" s="8"/>
      <c r="X60" s="8"/>
      <c r="Y60" s="10"/>
      <c r="Z60" s="8"/>
    </row>
    <row r="61" spans="1:26">
      <c r="A61" s="8"/>
      <c r="B61" s="10"/>
      <c r="C61" s="8"/>
      <c r="D61" s="8"/>
      <c r="E61" s="8"/>
      <c r="F61" s="8"/>
      <c r="G61" s="11"/>
      <c r="H61" s="8"/>
      <c r="I61" s="8"/>
      <c r="J61" s="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9" t="str">
        <f t="shared" si="0"/>
        <v/>
      </c>
      <c r="V61" s="8"/>
      <c r="W61" s="8"/>
      <c r="X61" s="8"/>
      <c r="Y61" s="10"/>
      <c r="Z61" s="8"/>
    </row>
    <row r="62" spans="1:26">
      <c r="A62" s="8"/>
      <c r="B62" s="10"/>
      <c r="C62" s="8"/>
      <c r="D62" s="8"/>
      <c r="E62" s="8"/>
      <c r="F62" s="8"/>
      <c r="G62" s="11"/>
      <c r="H62" s="8"/>
      <c r="I62" s="8"/>
      <c r="J62" s="8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9" t="str">
        <f t="shared" si="0"/>
        <v/>
      </c>
      <c r="V62" s="8"/>
      <c r="W62" s="8"/>
      <c r="X62" s="8"/>
      <c r="Y62" s="10"/>
      <c r="Z62" s="8"/>
    </row>
    <row r="63" spans="1:26">
      <c r="A63" s="8"/>
      <c r="B63" s="10"/>
      <c r="C63" s="8"/>
      <c r="D63" s="8"/>
      <c r="E63" s="8"/>
      <c r="F63" s="8"/>
      <c r="G63" s="11"/>
      <c r="H63" s="8"/>
      <c r="I63" s="8"/>
      <c r="J63" s="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9" t="str">
        <f t="shared" si="0"/>
        <v/>
      </c>
      <c r="V63" s="8"/>
      <c r="W63" s="8"/>
      <c r="X63" s="8"/>
      <c r="Y63" s="10"/>
      <c r="Z63" s="8"/>
    </row>
    <row r="64" spans="1:26">
      <c r="A64" s="8"/>
      <c r="B64" s="10"/>
      <c r="C64" s="8"/>
      <c r="D64" s="8"/>
      <c r="E64" s="8"/>
      <c r="F64" s="8"/>
      <c r="G64" s="11"/>
      <c r="H64" s="8"/>
      <c r="I64" s="8"/>
      <c r="J64" s="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9" t="str">
        <f t="shared" si="0"/>
        <v/>
      </c>
      <c r="V64" s="8"/>
      <c r="W64" s="8"/>
      <c r="X64" s="8"/>
      <c r="Y64" s="10"/>
      <c r="Z64" s="8"/>
    </row>
    <row r="65" spans="1:26">
      <c r="A65" s="8"/>
      <c r="B65" s="10"/>
      <c r="C65" s="8"/>
      <c r="D65" s="8"/>
      <c r="E65" s="8"/>
      <c r="F65" s="8"/>
      <c r="G65" s="11"/>
      <c r="H65" s="8"/>
      <c r="I65" s="8"/>
      <c r="J65" s="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9" t="str">
        <f t="shared" si="0"/>
        <v/>
      </c>
      <c r="V65" s="8"/>
      <c r="W65" s="8"/>
      <c r="X65" s="8"/>
      <c r="Y65" s="10"/>
      <c r="Z65" s="8"/>
    </row>
    <row r="66" spans="1:26">
      <c r="A66" s="8"/>
      <c r="B66" s="10"/>
      <c r="C66" s="8"/>
      <c r="D66" s="8"/>
      <c r="E66" s="8"/>
      <c r="F66" s="8"/>
      <c r="G66" s="11"/>
      <c r="H66" s="8"/>
      <c r="I66" s="8"/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9" t="str">
        <f t="shared" si="0"/>
        <v/>
      </c>
      <c r="V66" s="8"/>
      <c r="W66" s="8"/>
      <c r="X66" s="8"/>
      <c r="Y66" s="10"/>
      <c r="Z66" s="8"/>
    </row>
    <row r="67" spans="1:26">
      <c r="A67" s="8"/>
      <c r="B67" s="10"/>
      <c r="C67" s="8"/>
      <c r="D67" s="8"/>
      <c r="E67" s="8"/>
      <c r="F67" s="8"/>
      <c r="G67" s="11"/>
      <c r="H67" s="8"/>
      <c r="I67" s="8"/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9" t="str">
        <f t="shared" si="0"/>
        <v/>
      </c>
      <c r="V67" s="8"/>
      <c r="W67" s="8"/>
      <c r="X67" s="8"/>
      <c r="Y67" s="10"/>
      <c r="Z67" s="8"/>
    </row>
    <row r="68" spans="1:26">
      <c r="A68" s="8"/>
      <c r="B68" s="10"/>
      <c r="C68" s="8"/>
      <c r="D68" s="8"/>
      <c r="E68" s="8"/>
      <c r="F68" s="8"/>
      <c r="G68" s="11"/>
      <c r="H68" s="8"/>
      <c r="I68" s="8"/>
      <c r="J68" s="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9" t="str">
        <f t="shared" si="0"/>
        <v/>
      </c>
      <c r="V68" s="8"/>
      <c r="W68" s="8"/>
      <c r="X68" s="8"/>
      <c r="Y68" s="10"/>
      <c r="Z68" s="8"/>
    </row>
    <row r="69" spans="1:26">
      <c r="A69" s="8"/>
      <c r="B69" s="10"/>
      <c r="C69" s="8"/>
      <c r="D69" s="8"/>
      <c r="E69" s="8"/>
      <c r="F69" s="8"/>
      <c r="G69" s="11"/>
      <c r="H69" s="8"/>
      <c r="I69" s="8"/>
      <c r="J69" s="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9" t="str">
        <f t="shared" ref="U69:U132" si="1">IF(A69="","",IF(OR(L69&gt;=R69,M69&gt;=S69,N69&gt;=T69),"Failed","Passed"))</f>
        <v/>
      </c>
      <c r="V69" s="8"/>
      <c r="W69" s="8"/>
      <c r="X69" s="8"/>
      <c r="Y69" s="10"/>
      <c r="Z69" s="8"/>
    </row>
    <row r="70" spans="1:26">
      <c r="A70" s="8"/>
      <c r="B70" s="10"/>
      <c r="C70" s="8"/>
      <c r="D70" s="8"/>
      <c r="E70" s="8"/>
      <c r="F70" s="8"/>
      <c r="G70" s="11"/>
      <c r="H70" s="8"/>
      <c r="I70" s="8"/>
      <c r="J70" s="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9" t="str">
        <f t="shared" si="1"/>
        <v/>
      </c>
      <c r="V70" s="8"/>
      <c r="W70" s="8"/>
      <c r="X70" s="8"/>
      <c r="Y70" s="10"/>
      <c r="Z70" s="8"/>
    </row>
    <row r="71" spans="1:26">
      <c r="A71" s="8"/>
      <c r="B71" s="10"/>
      <c r="C71" s="8"/>
      <c r="D71" s="8"/>
      <c r="E71" s="8"/>
      <c r="F71" s="8"/>
      <c r="G71" s="11"/>
      <c r="H71" s="8"/>
      <c r="I71" s="8"/>
      <c r="J71" s="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9" t="str">
        <f t="shared" si="1"/>
        <v/>
      </c>
      <c r="V71" s="8"/>
      <c r="W71" s="8"/>
      <c r="X71" s="8"/>
      <c r="Y71" s="10"/>
      <c r="Z71" s="8"/>
    </row>
    <row r="72" spans="1:26">
      <c r="A72" s="8"/>
      <c r="B72" s="10"/>
      <c r="C72" s="8"/>
      <c r="D72" s="8"/>
      <c r="E72" s="8"/>
      <c r="F72" s="8"/>
      <c r="G72" s="11"/>
      <c r="H72" s="8"/>
      <c r="I72" s="8"/>
      <c r="J72" s="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9" t="str">
        <f t="shared" si="1"/>
        <v/>
      </c>
      <c r="V72" s="8"/>
      <c r="W72" s="8"/>
      <c r="X72" s="8"/>
      <c r="Y72" s="10"/>
      <c r="Z72" s="8"/>
    </row>
    <row r="73" spans="1:26">
      <c r="A73" s="8"/>
      <c r="B73" s="10"/>
      <c r="C73" s="8"/>
      <c r="D73" s="8"/>
      <c r="E73" s="8"/>
      <c r="F73" s="8"/>
      <c r="G73" s="11"/>
      <c r="H73" s="8"/>
      <c r="I73" s="8"/>
      <c r="J73" s="8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9" t="str">
        <f t="shared" si="1"/>
        <v/>
      </c>
      <c r="V73" s="8"/>
      <c r="W73" s="8"/>
      <c r="X73" s="8"/>
      <c r="Y73" s="10"/>
      <c r="Z73" s="8"/>
    </row>
    <row r="74" spans="1:26">
      <c r="A74" s="8"/>
      <c r="B74" s="10"/>
      <c r="C74" s="8"/>
      <c r="D74" s="8"/>
      <c r="E74" s="8"/>
      <c r="F74" s="8"/>
      <c r="G74" s="11"/>
      <c r="H74" s="8"/>
      <c r="I74" s="8"/>
      <c r="J74" s="8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9" t="str">
        <f t="shared" si="1"/>
        <v/>
      </c>
      <c r="V74" s="8"/>
      <c r="W74" s="8"/>
      <c r="X74" s="8"/>
      <c r="Y74" s="10"/>
      <c r="Z74" s="8"/>
    </row>
    <row r="75" spans="1:26">
      <c r="A75" s="8"/>
      <c r="B75" s="10"/>
      <c r="C75" s="8"/>
      <c r="D75" s="8"/>
      <c r="E75" s="8"/>
      <c r="F75" s="8"/>
      <c r="G75" s="11"/>
      <c r="H75" s="8"/>
      <c r="I75" s="8"/>
      <c r="J75" s="8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9" t="str">
        <f t="shared" si="1"/>
        <v/>
      </c>
      <c r="V75" s="8"/>
      <c r="W75" s="8"/>
      <c r="X75" s="8"/>
      <c r="Y75" s="10"/>
      <c r="Z75" s="8"/>
    </row>
    <row r="76" spans="1:26">
      <c r="A76" s="8"/>
      <c r="B76" s="10"/>
      <c r="C76" s="8"/>
      <c r="D76" s="8"/>
      <c r="E76" s="8"/>
      <c r="F76" s="8"/>
      <c r="G76" s="11"/>
      <c r="H76" s="8"/>
      <c r="I76" s="8"/>
      <c r="J76" s="8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9" t="str">
        <f t="shared" si="1"/>
        <v/>
      </c>
      <c r="V76" s="8"/>
      <c r="W76" s="8"/>
      <c r="X76" s="8"/>
      <c r="Y76" s="10"/>
      <c r="Z76" s="8"/>
    </row>
    <row r="77" spans="1:26">
      <c r="A77" s="8"/>
      <c r="B77" s="10"/>
      <c r="C77" s="8"/>
      <c r="D77" s="8"/>
      <c r="E77" s="8"/>
      <c r="F77" s="8"/>
      <c r="G77" s="11"/>
      <c r="H77" s="8"/>
      <c r="I77" s="8"/>
      <c r="J77" s="8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9" t="str">
        <f t="shared" si="1"/>
        <v/>
      </c>
      <c r="V77" s="8"/>
      <c r="W77" s="8"/>
      <c r="X77" s="8"/>
      <c r="Y77" s="10"/>
      <c r="Z77" s="8"/>
    </row>
    <row r="78" spans="1:26">
      <c r="A78" s="8"/>
      <c r="B78" s="10"/>
      <c r="C78" s="8"/>
      <c r="D78" s="8"/>
      <c r="E78" s="8"/>
      <c r="F78" s="8"/>
      <c r="G78" s="11"/>
      <c r="H78" s="8"/>
      <c r="I78" s="8"/>
      <c r="J78" s="8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9" t="str">
        <f t="shared" si="1"/>
        <v/>
      </c>
      <c r="V78" s="8"/>
      <c r="W78" s="8"/>
      <c r="X78" s="8"/>
      <c r="Y78" s="10"/>
      <c r="Z78" s="8"/>
    </row>
    <row r="79" spans="1:26">
      <c r="A79" s="8"/>
      <c r="B79" s="10"/>
      <c r="C79" s="8"/>
      <c r="D79" s="8"/>
      <c r="E79" s="8"/>
      <c r="F79" s="8"/>
      <c r="G79" s="11"/>
      <c r="H79" s="8"/>
      <c r="I79" s="8"/>
      <c r="J79" s="8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9" t="str">
        <f t="shared" si="1"/>
        <v/>
      </c>
      <c r="V79" s="8"/>
      <c r="W79" s="8"/>
      <c r="X79" s="8"/>
      <c r="Y79" s="10"/>
      <c r="Z79" s="8"/>
    </row>
    <row r="80" spans="1:26">
      <c r="A80" s="8"/>
      <c r="B80" s="10"/>
      <c r="C80" s="8"/>
      <c r="D80" s="8"/>
      <c r="E80" s="8"/>
      <c r="F80" s="8"/>
      <c r="G80" s="11"/>
      <c r="H80" s="8"/>
      <c r="I80" s="8"/>
      <c r="J80" s="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9" t="str">
        <f t="shared" si="1"/>
        <v/>
      </c>
      <c r="V80" s="8"/>
      <c r="W80" s="8"/>
      <c r="X80" s="8"/>
      <c r="Y80" s="10"/>
      <c r="Z80" s="8"/>
    </row>
    <row r="81" spans="1:26">
      <c r="A81" s="8"/>
      <c r="B81" s="10"/>
      <c r="C81" s="8"/>
      <c r="D81" s="8"/>
      <c r="E81" s="8"/>
      <c r="F81" s="8"/>
      <c r="G81" s="11"/>
      <c r="H81" s="8"/>
      <c r="I81" s="8"/>
      <c r="J81" s="8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9" t="str">
        <f t="shared" si="1"/>
        <v/>
      </c>
      <c r="V81" s="8"/>
      <c r="W81" s="8"/>
      <c r="X81" s="8"/>
      <c r="Y81" s="10"/>
      <c r="Z81" s="8"/>
    </row>
    <row r="82" spans="1:26">
      <c r="A82" s="8"/>
      <c r="B82" s="10"/>
      <c r="C82" s="8"/>
      <c r="D82" s="8"/>
      <c r="E82" s="8"/>
      <c r="F82" s="8"/>
      <c r="G82" s="11"/>
      <c r="H82" s="8"/>
      <c r="I82" s="8"/>
      <c r="J82" s="8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9" t="str">
        <f t="shared" si="1"/>
        <v/>
      </c>
      <c r="V82" s="8"/>
      <c r="W82" s="8"/>
      <c r="X82" s="8"/>
      <c r="Y82" s="10"/>
      <c r="Z82" s="8"/>
    </row>
    <row r="83" spans="1:26">
      <c r="A83" s="8"/>
      <c r="B83" s="10"/>
      <c r="C83" s="8"/>
      <c r="D83" s="8"/>
      <c r="E83" s="8"/>
      <c r="F83" s="8"/>
      <c r="G83" s="11"/>
      <c r="H83" s="8"/>
      <c r="I83" s="8"/>
      <c r="J83" s="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9" t="str">
        <f t="shared" si="1"/>
        <v/>
      </c>
      <c r="V83" s="8"/>
      <c r="W83" s="8"/>
      <c r="X83" s="8"/>
      <c r="Y83" s="10"/>
      <c r="Z83" s="8"/>
    </row>
    <row r="84" spans="1:26">
      <c r="A84" s="8"/>
      <c r="B84" s="10"/>
      <c r="C84" s="8"/>
      <c r="D84" s="8"/>
      <c r="E84" s="8"/>
      <c r="F84" s="8"/>
      <c r="G84" s="11"/>
      <c r="H84" s="8"/>
      <c r="I84" s="8"/>
      <c r="J84" s="8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9" t="str">
        <f t="shared" si="1"/>
        <v/>
      </c>
      <c r="V84" s="8"/>
      <c r="W84" s="8"/>
      <c r="X84" s="8"/>
      <c r="Y84" s="10"/>
      <c r="Z84" s="8"/>
    </row>
    <row r="85" spans="1:26">
      <c r="A85" s="8"/>
      <c r="B85" s="10"/>
      <c r="C85" s="8"/>
      <c r="D85" s="8"/>
      <c r="E85" s="8"/>
      <c r="F85" s="8"/>
      <c r="G85" s="11"/>
      <c r="H85" s="8"/>
      <c r="I85" s="8"/>
      <c r="J85" s="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9" t="str">
        <f t="shared" si="1"/>
        <v/>
      </c>
      <c r="V85" s="8"/>
      <c r="W85" s="8"/>
      <c r="X85" s="8"/>
      <c r="Y85" s="10"/>
      <c r="Z85" s="8"/>
    </row>
    <row r="86" spans="1:26">
      <c r="A86" s="8"/>
      <c r="B86" s="10"/>
      <c r="C86" s="8"/>
      <c r="D86" s="8"/>
      <c r="E86" s="8"/>
      <c r="F86" s="8"/>
      <c r="G86" s="11"/>
      <c r="H86" s="8"/>
      <c r="I86" s="8"/>
      <c r="J86" s="8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9" t="str">
        <f t="shared" si="1"/>
        <v/>
      </c>
      <c r="V86" s="8"/>
      <c r="W86" s="8"/>
      <c r="X86" s="8"/>
      <c r="Y86" s="10"/>
      <c r="Z86" s="8"/>
    </row>
    <row r="87" spans="1:26">
      <c r="A87" s="8"/>
      <c r="B87" s="10"/>
      <c r="C87" s="8"/>
      <c r="D87" s="8"/>
      <c r="E87" s="8"/>
      <c r="F87" s="8"/>
      <c r="G87" s="11"/>
      <c r="H87" s="8"/>
      <c r="I87" s="8"/>
      <c r="J87" s="8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9" t="str">
        <f t="shared" si="1"/>
        <v/>
      </c>
      <c r="V87" s="8"/>
      <c r="W87" s="8"/>
      <c r="X87" s="8"/>
      <c r="Y87" s="10"/>
      <c r="Z87" s="8"/>
    </row>
    <row r="88" spans="1:26">
      <c r="A88" s="8"/>
      <c r="B88" s="10"/>
      <c r="C88" s="8"/>
      <c r="D88" s="8"/>
      <c r="E88" s="8"/>
      <c r="F88" s="8"/>
      <c r="G88" s="11"/>
      <c r="H88" s="8"/>
      <c r="I88" s="8"/>
      <c r="J88" s="8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9" t="str">
        <f t="shared" si="1"/>
        <v/>
      </c>
      <c r="V88" s="8"/>
      <c r="W88" s="8"/>
      <c r="X88" s="8"/>
      <c r="Y88" s="10"/>
      <c r="Z88" s="8"/>
    </row>
    <row r="89" spans="1:26">
      <c r="A89" s="8"/>
      <c r="B89" s="10"/>
      <c r="C89" s="8"/>
      <c r="D89" s="8"/>
      <c r="E89" s="8"/>
      <c r="F89" s="8"/>
      <c r="G89" s="11"/>
      <c r="H89" s="8"/>
      <c r="I89" s="8"/>
      <c r="J89" s="8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9" t="str">
        <f t="shared" si="1"/>
        <v/>
      </c>
      <c r="V89" s="8"/>
      <c r="W89" s="8"/>
      <c r="X89" s="8"/>
      <c r="Y89" s="10"/>
      <c r="Z89" s="8"/>
    </row>
    <row r="90" spans="1:26">
      <c r="A90" s="8"/>
      <c r="B90" s="10"/>
      <c r="C90" s="8"/>
      <c r="D90" s="8"/>
      <c r="E90" s="8"/>
      <c r="F90" s="8"/>
      <c r="G90" s="11"/>
      <c r="H90" s="8"/>
      <c r="I90" s="8"/>
      <c r="J90" s="8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9" t="str">
        <f t="shared" si="1"/>
        <v/>
      </c>
      <c r="V90" s="8"/>
      <c r="W90" s="8"/>
      <c r="X90" s="8"/>
      <c r="Y90" s="10"/>
      <c r="Z90" s="8"/>
    </row>
    <row r="91" spans="1:26">
      <c r="A91" s="8"/>
      <c r="B91" s="10"/>
      <c r="C91" s="8"/>
      <c r="D91" s="8"/>
      <c r="E91" s="8"/>
      <c r="F91" s="8"/>
      <c r="G91" s="11"/>
      <c r="H91" s="8"/>
      <c r="I91" s="8"/>
      <c r="J91" s="8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9" t="str">
        <f t="shared" si="1"/>
        <v/>
      </c>
      <c r="V91" s="8"/>
      <c r="W91" s="8"/>
      <c r="X91" s="8"/>
      <c r="Y91" s="10"/>
      <c r="Z91" s="8"/>
    </row>
    <row r="92" spans="1:26">
      <c r="A92" s="8"/>
      <c r="B92" s="10"/>
      <c r="C92" s="8"/>
      <c r="D92" s="8"/>
      <c r="E92" s="8"/>
      <c r="F92" s="8"/>
      <c r="G92" s="11"/>
      <c r="H92" s="8"/>
      <c r="I92" s="8"/>
      <c r="J92" s="8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9" t="str">
        <f t="shared" si="1"/>
        <v/>
      </c>
      <c r="V92" s="8"/>
      <c r="W92" s="8"/>
      <c r="X92" s="8"/>
      <c r="Y92" s="10"/>
      <c r="Z92" s="8"/>
    </row>
    <row r="93" spans="1:26">
      <c r="A93" s="8"/>
      <c r="B93" s="10"/>
      <c r="C93" s="8"/>
      <c r="D93" s="8"/>
      <c r="E93" s="8"/>
      <c r="F93" s="8"/>
      <c r="G93" s="11"/>
      <c r="H93" s="8"/>
      <c r="I93" s="8"/>
      <c r="J93" s="8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9" t="str">
        <f t="shared" si="1"/>
        <v/>
      </c>
      <c r="V93" s="8"/>
      <c r="W93" s="8"/>
      <c r="X93" s="8"/>
      <c r="Y93" s="10"/>
      <c r="Z93" s="8"/>
    </row>
    <row r="94" spans="1:26">
      <c r="A94" s="8"/>
      <c r="B94" s="10"/>
      <c r="C94" s="8"/>
      <c r="D94" s="8"/>
      <c r="E94" s="8"/>
      <c r="F94" s="8"/>
      <c r="G94" s="11"/>
      <c r="H94" s="8"/>
      <c r="I94" s="8"/>
      <c r="J94" s="8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9" t="str">
        <f t="shared" si="1"/>
        <v/>
      </c>
      <c r="V94" s="8"/>
      <c r="W94" s="8"/>
      <c r="X94" s="8"/>
      <c r="Y94" s="10"/>
      <c r="Z94" s="8"/>
    </row>
    <row r="95" spans="1:26">
      <c r="A95" s="8"/>
      <c r="B95" s="10"/>
      <c r="C95" s="8"/>
      <c r="D95" s="8"/>
      <c r="E95" s="8"/>
      <c r="F95" s="8"/>
      <c r="G95" s="11"/>
      <c r="H95" s="8"/>
      <c r="I95" s="8"/>
      <c r="J95" s="8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9" t="str">
        <f t="shared" si="1"/>
        <v/>
      </c>
      <c r="V95" s="8"/>
      <c r="W95" s="8"/>
      <c r="X95" s="8"/>
      <c r="Y95" s="10"/>
      <c r="Z95" s="8"/>
    </row>
    <row r="96" spans="1:26">
      <c r="A96" s="8"/>
      <c r="B96" s="10"/>
      <c r="C96" s="8"/>
      <c r="D96" s="8"/>
      <c r="E96" s="8"/>
      <c r="F96" s="8"/>
      <c r="G96" s="11"/>
      <c r="H96" s="8"/>
      <c r="I96" s="8"/>
      <c r="J96" s="8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9" t="str">
        <f t="shared" si="1"/>
        <v/>
      </c>
      <c r="V96" s="8"/>
      <c r="W96" s="8"/>
      <c r="X96" s="8"/>
      <c r="Y96" s="10"/>
      <c r="Z96" s="8"/>
    </row>
    <row r="97" spans="1:26">
      <c r="A97" s="8"/>
      <c r="B97" s="10"/>
      <c r="C97" s="8"/>
      <c r="D97" s="8"/>
      <c r="E97" s="8"/>
      <c r="F97" s="8"/>
      <c r="G97" s="11"/>
      <c r="H97" s="8"/>
      <c r="I97" s="8"/>
      <c r="J97" s="8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9" t="str">
        <f t="shared" si="1"/>
        <v/>
      </c>
      <c r="V97" s="8"/>
      <c r="W97" s="8"/>
      <c r="X97" s="8"/>
      <c r="Y97" s="10"/>
      <c r="Z97" s="8"/>
    </row>
    <row r="98" spans="1:26">
      <c r="A98" s="8"/>
      <c r="B98" s="10"/>
      <c r="C98" s="8"/>
      <c r="D98" s="8"/>
      <c r="E98" s="8"/>
      <c r="F98" s="8"/>
      <c r="G98" s="11"/>
      <c r="H98" s="8"/>
      <c r="I98" s="8"/>
      <c r="J98" s="8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9" t="str">
        <f t="shared" si="1"/>
        <v/>
      </c>
      <c r="V98" s="8"/>
      <c r="W98" s="8"/>
      <c r="X98" s="8"/>
      <c r="Y98" s="10"/>
      <c r="Z98" s="8"/>
    </row>
    <row r="99" spans="1:26">
      <c r="A99" s="8"/>
      <c r="B99" s="10"/>
      <c r="C99" s="8"/>
      <c r="D99" s="8"/>
      <c r="E99" s="8"/>
      <c r="F99" s="8"/>
      <c r="G99" s="11"/>
      <c r="H99" s="8"/>
      <c r="I99" s="8"/>
      <c r="J99" s="8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9" t="str">
        <f t="shared" si="1"/>
        <v/>
      </c>
      <c r="V99" s="8"/>
      <c r="W99" s="8"/>
      <c r="X99" s="8"/>
      <c r="Y99" s="10"/>
      <c r="Z99" s="8"/>
    </row>
    <row r="100" spans="1:26">
      <c r="A100" s="8"/>
      <c r="B100" s="10"/>
      <c r="C100" s="8"/>
      <c r="D100" s="8"/>
      <c r="E100" s="8"/>
      <c r="F100" s="8"/>
      <c r="G100" s="11"/>
      <c r="H100" s="8"/>
      <c r="I100" s="8"/>
      <c r="J100" s="8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9" t="str">
        <f t="shared" si="1"/>
        <v/>
      </c>
      <c r="V100" s="8"/>
      <c r="W100" s="8"/>
      <c r="X100" s="8"/>
      <c r="Y100" s="10"/>
      <c r="Z100" s="8"/>
    </row>
    <row r="101" spans="1:26">
      <c r="A101" s="8"/>
      <c r="B101" s="10"/>
      <c r="C101" s="8"/>
      <c r="D101" s="8"/>
      <c r="E101" s="8"/>
      <c r="F101" s="8"/>
      <c r="G101" s="11"/>
      <c r="H101" s="8"/>
      <c r="I101" s="8"/>
      <c r="J101" s="8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9" t="str">
        <f t="shared" si="1"/>
        <v/>
      </c>
      <c r="V101" s="8"/>
      <c r="W101" s="8"/>
      <c r="X101" s="8"/>
      <c r="Y101" s="10"/>
      <c r="Z101" s="8"/>
    </row>
    <row r="102" spans="1:26">
      <c r="A102" s="8"/>
      <c r="B102" s="10"/>
      <c r="C102" s="8"/>
      <c r="D102" s="8"/>
      <c r="E102" s="8"/>
      <c r="F102" s="8"/>
      <c r="G102" s="11"/>
      <c r="H102" s="8"/>
      <c r="I102" s="8"/>
      <c r="J102" s="8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9" t="str">
        <f t="shared" si="1"/>
        <v/>
      </c>
      <c r="V102" s="8"/>
      <c r="W102" s="8"/>
      <c r="X102" s="8"/>
      <c r="Y102" s="10"/>
      <c r="Z102" s="8"/>
    </row>
    <row r="103" spans="1:26">
      <c r="A103" s="8"/>
      <c r="B103" s="10"/>
      <c r="C103" s="8"/>
      <c r="D103" s="8"/>
      <c r="E103" s="8"/>
      <c r="F103" s="8"/>
      <c r="G103" s="11"/>
      <c r="H103" s="8"/>
      <c r="I103" s="8"/>
      <c r="J103" s="8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9" t="str">
        <f t="shared" si="1"/>
        <v/>
      </c>
      <c r="V103" s="8"/>
      <c r="W103" s="8"/>
      <c r="X103" s="8"/>
      <c r="Y103" s="10"/>
      <c r="Z103" s="8"/>
    </row>
    <row r="104" spans="1:26">
      <c r="A104" s="8"/>
      <c r="B104" s="10"/>
      <c r="C104" s="8"/>
      <c r="D104" s="8"/>
      <c r="E104" s="8"/>
      <c r="F104" s="8"/>
      <c r="G104" s="11"/>
      <c r="H104" s="8"/>
      <c r="I104" s="8"/>
      <c r="J104" s="8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9" t="str">
        <f t="shared" si="1"/>
        <v/>
      </c>
      <c r="V104" s="8"/>
      <c r="W104" s="8"/>
      <c r="X104" s="8"/>
      <c r="Y104" s="10"/>
      <c r="Z104" s="8"/>
    </row>
    <row r="105" spans="1:26">
      <c r="A105" s="8"/>
      <c r="B105" s="10"/>
      <c r="C105" s="8"/>
      <c r="D105" s="8"/>
      <c r="E105" s="8"/>
      <c r="F105" s="8"/>
      <c r="G105" s="11"/>
      <c r="H105" s="8"/>
      <c r="I105" s="8"/>
      <c r="J105" s="8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9" t="str">
        <f t="shared" si="1"/>
        <v/>
      </c>
      <c r="V105" s="8"/>
      <c r="W105" s="8"/>
      <c r="X105" s="8"/>
      <c r="Y105" s="10"/>
      <c r="Z105" s="8"/>
    </row>
    <row r="106" spans="1:26">
      <c r="A106" s="8"/>
      <c r="B106" s="10"/>
      <c r="C106" s="8"/>
      <c r="D106" s="8"/>
      <c r="E106" s="8"/>
      <c r="F106" s="8"/>
      <c r="G106" s="11"/>
      <c r="H106" s="8"/>
      <c r="I106" s="8"/>
      <c r="J106" s="8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9" t="str">
        <f t="shared" si="1"/>
        <v/>
      </c>
      <c r="V106" s="8"/>
      <c r="W106" s="8"/>
      <c r="X106" s="8"/>
      <c r="Y106" s="10"/>
      <c r="Z106" s="8"/>
    </row>
    <row r="107" spans="1:26">
      <c r="A107" s="8"/>
      <c r="B107" s="10"/>
      <c r="C107" s="8"/>
      <c r="D107" s="8"/>
      <c r="E107" s="8"/>
      <c r="F107" s="8"/>
      <c r="G107" s="11"/>
      <c r="H107" s="8"/>
      <c r="I107" s="8"/>
      <c r="J107" s="8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9" t="str">
        <f t="shared" si="1"/>
        <v/>
      </c>
      <c r="V107" s="8"/>
      <c r="W107" s="8"/>
      <c r="X107" s="8"/>
      <c r="Y107" s="10"/>
      <c r="Z107" s="8"/>
    </row>
    <row r="108" spans="1:26">
      <c r="A108" s="8"/>
      <c r="B108" s="10"/>
      <c r="C108" s="8"/>
      <c r="D108" s="8"/>
      <c r="E108" s="8"/>
      <c r="F108" s="8"/>
      <c r="G108" s="11"/>
      <c r="H108" s="8"/>
      <c r="I108" s="8"/>
      <c r="J108" s="8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9" t="str">
        <f t="shared" si="1"/>
        <v/>
      </c>
      <c r="V108" s="8"/>
      <c r="W108" s="8"/>
      <c r="X108" s="8"/>
      <c r="Y108" s="10"/>
      <c r="Z108" s="8"/>
    </row>
    <row r="109" spans="1:26">
      <c r="A109" s="8"/>
      <c r="B109" s="10"/>
      <c r="C109" s="8"/>
      <c r="D109" s="8"/>
      <c r="E109" s="8"/>
      <c r="F109" s="8"/>
      <c r="G109" s="11"/>
      <c r="H109" s="8"/>
      <c r="I109" s="8"/>
      <c r="J109" s="8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9" t="str">
        <f t="shared" si="1"/>
        <v/>
      </c>
      <c r="V109" s="8"/>
      <c r="W109" s="8"/>
      <c r="X109" s="8"/>
      <c r="Y109" s="10"/>
      <c r="Z109" s="8"/>
    </row>
    <row r="110" spans="1:26">
      <c r="A110" s="8"/>
      <c r="B110" s="10"/>
      <c r="C110" s="8"/>
      <c r="D110" s="8"/>
      <c r="E110" s="8"/>
      <c r="F110" s="8"/>
      <c r="G110" s="11"/>
      <c r="H110" s="8"/>
      <c r="I110" s="8"/>
      <c r="J110" s="8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9" t="str">
        <f t="shared" si="1"/>
        <v/>
      </c>
      <c r="V110" s="8"/>
      <c r="W110" s="8"/>
      <c r="X110" s="8"/>
      <c r="Y110" s="10"/>
      <c r="Z110" s="8"/>
    </row>
    <row r="111" spans="1:26">
      <c r="A111" s="8"/>
      <c r="B111" s="10"/>
      <c r="C111" s="8"/>
      <c r="D111" s="8"/>
      <c r="E111" s="8"/>
      <c r="F111" s="8"/>
      <c r="G111" s="11"/>
      <c r="H111" s="8"/>
      <c r="I111" s="8"/>
      <c r="J111" s="8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9" t="str">
        <f t="shared" si="1"/>
        <v/>
      </c>
      <c r="V111" s="8"/>
      <c r="W111" s="8"/>
      <c r="X111" s="8"/>
      <c r="Y111" s="10"/>
      <c r="Z111" s="8"/>
    </row>
    <row r="112" spans="1:26">
      <c r="A112" s="8"/>
      <c r="B112" s="10"/>
      <c r="C112" s="8"/>
      <c r="D112" s="8"/>
      <c r="E112" s="8"/>
      <c r="F112" s="8"/>
      <c r="G112" s="11"/>
      <c r="H112" s="8"/>
      <c r="I112" s="8"/>
      <c r="J112" s="8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9" t="str">
        <f t="shared" si="1"/>
        <v/>
      </c>
      <c r="V112" s="8"/>
      <c r="W112" s="8"/>
      <c r="X112" s="8"/>
      <c r="Y112" s="10"/>
      <c r="Z112" s="8"/>
    </row>
    <row r="113" spans="1:26">
      <c r="A113" s="8"/>
      <c r="B113" s="10"/>
      <c r="C113" s="8"/>
      <c r="D113" s="8"/>
      <c r="E113" s="8"/>
      <c r="F113" s="8"/>
      <c r="G113" s="11"/>
      <c r="H113" s="8"/>
      <c r="I113" s="8"/>
      <c r="J113" s="8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9" t="str">
        <f t="shared" si="1"/>
        <v/>
      </c>
      <c r="V113" s="8"/>
      <c r="W113" s="8"/>
      <c r="X113" s="8"/>
      <c r="Y113" s="10"/>
      <c r="Z113" s="8"/>
    </row>
    <row r="114" spans="1:26">
      <c r="A114" s="8"/>
      <c r="B114" s="10"/>
      <c r="C114" s="8"/>
      <c r="D114" s="8"/>
      <c r="E114" s="8"/>
      <c r="F114" s="8"/>
      <c r="G114" s="11"/>
      <c r="H114" s="8"/>
      <c r="I114" s="8"/>
      <c r="J114" s="8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9" t="str">
        <f t="shared" si="1"/>
        <v/>
      </c>
      <c r="V114" s="8"/>
      <c r="W114" s="8"/>
      <c r="X114" s="8"/>
      <c r="Y114" s="10"/>
      <c r="Z114" s="8"/>
    </row>
    <row r="115" spans="1:26">
      <c r="A115" s="8"/>
      <c r="B115" s="10"/>
      <c r="C115" s="8"/>
      <c r="D115" s="8"/>
      <c r="E115" s="8"/>
      <c r="F115" s="8"/>
      <c r="G115" s="11"/>
      <c r="H115" s="8"/>
      <c r="I115" s="8"/>
      <c r="J115" s="8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9" t="str">
        <f t="shared" si="1"/>
        <v/>
      </c>
      <c r="V115" s="8"/>
      <c r="W115" s="8"/>
      <c r="X115" s="8"/>
      <c r="Y115" s="10"/>
      <c r="Z115" s="8"/>
    </row>
    <row r="116" spans="1:26">
      <c r="A116" s="8"/>
      <c r="B116" s="10"/>
      <c r="C116" s="8"/>
      <c r="D116" s="8"/>
      <c r="E116" s="8"/>
      <c r="F116" s="8"/>
      <c r="G116" s="11"/>
      <c r="H116" s="8"/>
      <c r="I116" s="8"/>
      <c r="J116" s="8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9" t="str">
        <f t="shared" si="1"/>
        <v/>
      </c>
      <c r="V116" s="8"/>
      <c r="W116" s="8"/>
      <c r="X116" s="8"/>
      <c r="Y116" s="10"/>
      <c r="Z116" s="8"/>
    </row>
    <row r="117" spans="1:26">
      <c r="A117" s="8"/>
      <c r="B117" s="10"/>
      <c r="C117" s="8"/>
      <c r="D117" s="8"/>
      <c r="E117" s="8"/>
      <c r="F117" s="8"/>
      <c r="G117" s="11"/>
      <c r="H117" s="8"/>
      <c r="I117" s="8"/>
      <c r="J117" s="8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9" t="str">
        <f t="shared" si="1"/>
        <v/>
      </c>
      <c r="V117" s="8"/>
      <c r="W117" s="8"/>
      <c r="X117" s="8"/>
      <c r="Y117" s="10"/>
      <c r="Z117" s="8"/>
    </row>
    <row r="118" spans="1:26">
      <c r="A118" s="8"/>
      <c r="B118" s="10"/>
      <c r="C118" s="8"/>
      <c r="D118" s="8"/>
      <c r="E118" s="8"/>
      <c r="F118" s="8"/>
      <c r="G118" s="11"/>
      <c r="H118" s="8"/>
      <c r="I118" s="8"/>
      <c r="J118" s="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9" t="str">
        <f t="shared" si="1"/>
        <v/>
      </c>
      <c r="V118" s="8"/>
      <c r="W118" s="8"/>
      <c r="X118" s="8"/>
      <c r="Y118" s="10"/>
      <c r="Z118" s="8"/>
    </row>
    <row r="119" spans="1:26">
      <c r="A119" s="8"/>
      <c r="B119" s="10"/>
      <c r="C119" s="8"/>
      <c r="D119" s="8"/>
      <c r="E119" s="8"/>
      <c r="F119" s="8"/>
      <c r="G119" s="11"/>
      <c r="H119" s="8"/>
      <c r="I119" s="8"/>
      <c r="J119" s="8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9" t="str">
        <f t="shared" si="1"/>
        <v/>
      </c>
      <c r="V119" s="8"/>
      <c r="W119" s="8"/>
      <c r="X119" s="8"/>
      <c r="Y119" s="10"/>
      <c r="Z119" s="8"/>
    </row>
    <row r="120" spans="1:26">
      <c r="A120" s="8"/>
      <c r="B120" s="10"/>
      <c r="C120" s="8"/>
      <c r="D120" s="8"/>
      <c r="E120" s="8"/>
      <c r="F120" s="8"/>
      <c r="G120" s="11"/>
      <c r="H120" s="8"/>
      <c r="I120" s="8"/>
      <c r="J120" s="8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9" t="str">
        <f t="shared" si="1"/>
        <v/>
      </c>
      <c r="V120" s="8"/>
      <c r="W120" s="8"/>
      <c r="X120" s="8"/>
      <c r="Y120" s="10"/>
      <c r="Z120" s="8"/>
    </row>
    <row r="121" spans="1:26">
      <c r="A121" s="8"/>
      <c r="B121" s="10"/>
      <c r="C121" s="8"/>
      <c r="D121" s="8"/>
      <c r="E121" s="8"/>
      <c r="F121" s="8"/>
      <c r="G121" s="11"/>
      <c r="H121" s="8"/>
      <c r="I121" s="8"/>
      <c r="J121" s="8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9" t="str">
        <f t="shared" si="1"/>
        <v/>
      </c>
      <c r="V121" s="8"/>
      <c r="W121" s="8"/>
      <c r="X121" s="8"/>
      <c r="Y121" s="10"/>
      <c r="Z121" s="8"/>
    </row>
    <row r="122" spans="1:26">
      <c r="A122" s="8"/>
      <c r="B122" s="10"/>
      <c r="C122" s="8"/>
      <c r="D122" s="8"/>
      <c r="E122" s="8"/>
      <c r="F122" s="8"/>
      <c r="G122" s="11"/>
      <c r="H122" s="8"/>
      <c r="I122" s="8"/>
      <c r="J122" s="8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9" t="str">
        <f t="shared" si="1"/>
        <v/>
      </c>
      <c r="V122" s="8"/>
      <c r="W122" s="8"/>
      <c r="X122" s="8"/>
      <c r="Y122" s="10"/>
      <c r="Z122" s="8"/>
    </row>
    <row r="123" spans="1:26">
      <c r="A123" s="8"/>
      <c r="B123" s="10"/>
      <c r="C123" s="8"/>
      <c r="D123" s="8"/>
      <c r="E123" s="8"/>
      <c r="F123" s="8"/>
      <c r="G123" s="11"/>
      <c r="H123" s="8"/>
      <c r="I123" s="8"/>
      <c r="J123" s="8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9" t="str">
        <f t="shared" si="1"/>
        <v/>
      </c>
      <c r="V123" s="8"/>
      <c r="W123" s="8"/>
      <c r="X123" s="8"/>
      <c r="Y123" s="10"/>
      <c r="Z123" s="8"/>
    </row>
    <row r="124" spans="1:26">
      <c r="A124" s="8"/>
      <c r="B124" s="10"/>
      <c r="C124" s="8"/>
      <c r="D124" s="8"/>
      <c r="E124" s="8"/>
      <c r="F124" s="8"/>
      <c r="G124" s="11"/>
      <c r="H124" s="8"/>
      <c r="I124" s="8"/>
      <c r="J124" s="8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9" t="str">
        <f t="shared" si="1"/>
        <v/>
      </c>
      <c r="V124" s="8"/>
      <c r="W124" s="8"/>
      <c r="X124" s="8"/>
      <c r="Y124" s="10"/>
      <c r="Z124" s="8"/>
    </row>
    <row r="125" spans="1:26">
      <c r="A125" s="8"/>
      <c r="B125" s="10"/>
      <c r="C125" s="8"/>
      <c r="D125" s="8"/>
      <c r="E125" s="8"/>
      <c r="F125" s="8"/>
      <c r="G125" s="11"/>
      <c r="H125" s="8"/>
      <c r="I125" s="8"/>
      <c r="J125" s="8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9" t="str">
        <f t="shared" si="1"/>
        <v/>
      </c>
      <c r="V125" s="8"/>
      <c r="W125" s="8"/>
      <c r="X125" s="8"/>
      <c r="Y125" s="10"/>
      <c r="Z125" s="8"/>
    </row>
    <row r="126" spans="1:26">
      <c r="A126" s="8"/>
      <c r="B126" s="10"/>
      <c r="C126" s="8"/>
      <c r="D126" s="8"/>
      <c r="E126" s="8"/>
      <c r="F126" s="8"/>
      <c r="G126" s="11"/>
      <c r="H126" s="8"/>
      <c r="I126" s="8"/>
      <c r="J126" s="8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9" t="str">
        <f t="shared" si="1"/>
        <v/>
      </c>
      <c r="V126" s="8"/>
      <c r="W126" s="8"/>
      <c r="X126" s="8"/>
      <c r="Y126" s="10"/>
      <c r="Z126" s="8"/>
    </row>
    <row r="127" spans="1:26">
      <c r="A127" s="8"/>
      <c r="B127" s="10"/>
      <c r="C127" s="8"/>
      <c r="D127" s="8"/>
      <c r="E127" s="8"/>
      <c r="F127" s="8"/>
      <c r="G127" s="11"/>
      <c r="H127" s="8"/>
      <c r="I127" s="8"/>
      <c r="J127" s="8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9" t="str">
        <f t="shared" si="1"/>
        <v/>
      </c>
      <c r="V127" s="8"/>
      <c r="W127" s="8"/>
      <c r="X127" s="8"/>
      <c r="Y127" s="10"/>
      <c r="Z127" s="8"/>
    </row>
    <row r="128" spans="1:26">
      <c r="A128" s="8"/>
      <c r="B128" s="10"/>
      <c r="C128" s="8"/>
      <c r="D128" s="8"/>
      <c r="E128" s="8"/>
      <c r="F128" s="8"/>
      <c r="G128" s="11"/>
      <c r="H128" s="8"/>
      <c r="I128" s="8"/>
      <c r="J128" s="8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9" t="str">
        <f t="shared" si="1"/>
        <v/>
      </c>
      <c r="V128" s="8"/>
      <c r="W128" s="8"/>
      <c r="X128" s="8"/>
      <c r="Y128" s="10"/>
      <c r="Z128" s="8"/>
    </row>
    <row r="129" spans="1:26">
      <c r="A129" s="8"/>
      <c r="B129" s="10"/>
      <c r="C129" s="8"/>
      <c r="D129" s="8"/>
      <c r="E129" s="8"/>
      <c r="F129" s="8"/>
      <c r="G129" s="11"/>
      <c r="H129" s="8"/>
      <c r="I129" s="8"/>
      <c r="J129" s="8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9" t="str">
        <f t="shared" si="1"/>
        <v/>
      </c>
      <c r="V129" s="8"/>
      <c r="W129" s="8"/>
      <c r="X129" s="8"/>
      <c r="Y129" s="10"/>
      <c r="Z129" s="8"/>
    </row>
    <row r="130" spans="1:26">
      <c r="A130" s="8"/>
      <c r="B130" s="10"/>
      <c r="C130" s="8"/>
      <c r="D130" s="8"/>
      <c r="E130" s="8"/>
      <c r="F130" s="8"/>
      <c r="G130" s="11"/>
      <c r="H130" s="8"/>
      <c r="I130" s="8"/>
      <c r="J130" s="8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9" t="str">
        <f t="shared" si="1"/>
        <v/>
      </c>
      <c r="V130" s="8"/>
      <c r="W130" s="8"/>
      <c r="X130" s="8"/>
      <c r="Y130" s="10"/>
      <c r="Z130" s="8"/>
    </row>
    <row r="131" spans="1:26">
      <c r="A131" s="8"/>
      <c r="B131" s="10"/>
      <c r="C131" s="8"/>
      <c r="D131" s="8"/>
      <c r="E131" s="8"/>
      <c r="F131" s="8"/>
      <c r="G131" s="11"/>
      <c r="H131" s="8"/>
      <c r="I131" s="8"/>
      <c r="J131" s="8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9" t="str">
        <f t="shared" si="1"/>
        <v/>
      </c>
      <c r="V131" s="8"/>
      <c r="W131" s="8"/>
      <c r="X131" s="8"/>
      <c r="Y131" s="10"/>
      <c r="Z131" s="8"/>
    </row>
    <row r="132" spans="1:26">
      <c r="A132" s="8"/>
      <c r="B132" s="10"/>
      <c r="C132" s="8"/>
      <c r="D132" s="8"/>
      <c r="E132" s="8"/>
      <c r="F132" s="8"/>
      <c r="G132" s="11"/>
      <c r="H132" s="8"/>
      <c r="I132" s="8"/>
      <c r="J132" s="8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9" t="str">
        <f t="shared" si="1"/>
        <v/>
      </c>
      <c r="V132" s="8"/>
      <c r="W132" s="8"/>
      <c r="X132" s="8"/>
      <c r="Y132" s="10"/>
      <c r="Z132" s="8"/>
    </row>
    <row r="133" spans="1:26">
      <c r="A133" s="8"/>
      <c r="B133" s="10"/>
      <c r="C133" s="8"/>
      <c r="D133" s="8"/>
      <c r="E133" s="8"/>
      <c r="F133" s="8"/>
      <c r="G133" s="11"/>
      <c r="H133" s="8"/>
      <c r="I133" s="8"/>
      <c r="J133" s="8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9" t="str">
        <f t="shared" ref="U133:U196" si="2">IF(A133="","",IF(OR(L133&gt;=R133,M133&gt;=S133,N133&gt;=T133),"Failed","Passed"))</f>
        <v/>
      </c>
      <c r="V133" s="8"/>
      <c r="W133" s="8"/>
      <c r="X133" s="8"/>
      <c r="Y133" s="10"/>
      <c r="Z133" s="8"/>
    </row>
    <row r="134" spans="1:26">
      <c r="A134" s="8"/>
      <c r="B134" s="10"/>
      <c r="C134" s="8"/>
      <c r="D134" s="8"/>
      <c r="E134" s="8"/>
      <c r="F134" s="8"/>
      <c r="G134" s="11"/>
      <c r="H134" s="8"/>
      <c r="I134" s="8"/>
      <c r="J134" s="8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9" t="str">
        <f t="shared" si="2"/>
        <v/>
      </c>
      <c r="V134" s="8"/>
      <c r="W134" s="8"/>
      <c r="X134" s="8"/>
      <c r="Y134" s="10"/>
      <c r="Z134" s="8"/>
    </row>
    <row r="135" spans="1:26">
      <c r="A135" s="8"/>
      <c r="B135" s="10"/>
      <c r="C135" s="8"/>
      <c r="D135" s="8"/>
      <c r="E135" s="8"/>
      <c r="F135" s="8"/>
      <c r="G135" s="11"/>
      <c r="H135" s="8"/>
      <c r="I135" s="8"/>
      <c r="J135" s="8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9" t="str">
        <f t="shared" si="2"/>
        <v/>
      </c>
      <c r="V135" s="8"/>
      <c r="W135" s="8"/>
      <c r="X135" s="8"/>
      <c r="Y135" s="10"/>
      <c r="Z135" s="8"/>
    </row>
    <row r="136" spans="1:26">
      <c r="A136" s="8"/>
      <c r="B136" s="10"/>
      <c r="C136" s="8"/>
      <c r="D136" s="8"/>
      <c r="E136" s="8"/>
      <c r="F136" s="8"/>
      <c r="G136" s="11"/>
      <c r="H136" s="8"/>
      <c r="I136" s="8"/>
      <c r="J136" s="8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9" t="str">
        <f t="shared" si="2"/>
        <v/>
      </c>
      <c r="V136" s="8"/>
      <c r="W136" s="8"/>
      <c r="X136" s="8"/>
      <c r="Y136" s="10"/>
      <c r="Z136" s="8"/>
    </row>
    <row r="137" spans="1:26">
      <c r="A137" s="8"/>
      <c r="B137" s="10"/>
      <c r="C137" s="8"/>
      <c r="D137" s="8"/>
      <c r="E137" s="8"/>
      <c r="F137" s="8"/>
      <c r="G137" s="11"/>
      <c r="H137" s="8"/>
      <c r="I137" s="8"/>
      <c r="J137" s="8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9" t="str">
        <f t="shared" si="2"/>
        <v/>
      </c>
      <c r="V137" s="8"/>
      <c r="W137" s="8"/>
      <c r="X137" s="8"/>
      <c r="Y137" s="10"/>
      <c r="Z137" s="8"/>
    </row>
    <row r="138" spans="1:26">
      <c r="A138" s="8"/>
      <c r="B138" s="10"/>
      <c r="C138" s="8"/>
      <c r="D138" s="8"/>
      <c r="E138" s="8"/>
      <c r="F138" s="8"/>
      <c r="G138" s="11"/>
      <c r="H138" s="8"/>
      <c r="I138" s="8"/>
      <c r="J138" s="8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9" t="str">
        <f t="shared" si="2"/>
        <v/>
      </c>
      <c r="V138" s="8"/>
      <c r="W138" s="8"/>
      <c r="X138" s="8"/>
      <c r="Y138" s="10"/>
      <c r="Z138" s="8"/>
    </row>
    <row r="139" spans="1:26">
      <c r="A139" s="8"/>
      <c r="B139" s="10"/>
      <c r="C139" s="8"/>
      <c r="D139" s="8"/>
      <c r="E139" s="8"/>
      <c r="F139" s="8"/>
      <c r="G139" s="11"/>
      <c r="H139" s="8"/>
      <c r="I139" s="8"/>
      <c r="J139" s="8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9" t="str">
        <f t="shared" si="2"/>
        <v/>
      </c>
      <c r="V139" s="8"/>
      <c r="W139" s="8"/>
      <c r="X139" s="8"/>
      <c r="Y139" s="10"/>
      <c r="Z139" s="8"/>
    </row>
    <row r="140" spans="1:26">
      <c r="A140" s="8"/>
      <c r="B140" s="10"/>
      <c r="C140" s="8"/>
      <c r="D140" s="8"/>
      <c r="E140" s="8"/>
      <c r="F140" s="8"/>
      <c r="G140" s="11"/>
      <c r="H140" s="8"/>
      <c r="I140" s="8"/>
      <c r="J140" s="8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9" t="str">
        <f t="shared" si="2"/>
        <v/>
      </c>
      <c r="V140" s="8"/>
      <c r="W140" s="8"/>
      <c r="X140" s="8"/>
      <c r="Y140" s="10"/>
      <c r="Z140" s="8"/>
    </row>
    <row r="141" spans="1:26">
      <c r="A141" s="8"/>
      <c r="B141" s="10"/>
      <c r="C141" s="8"/>
      <c r="D141" s="8"/>
      <c r="E141" s="8"/>
      <c r="F141" s="8"/>
      <c r="G141" s="11"/>
      <c r="H141" s="8"/>
      <c r="I141" s="8"/>
      <c r="J141" s="8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9" t="str">
        <f t="shared" si="2"/>
        <v/>
      </c>
      <c r="V141" s="8"/>
      <c r="W141" s="8"/>
      <c r="X141" s="8"/>
      <c r="Y141" s="10"/>
      <c r="Z141" s="8"/>
    </row>
    <row r="142" spans="1:26">
      <c r="A142" s="8"/>
      <c r="B142" s="10"/>
      <c r="C142" s="8"/>
      <c r="D142" s="8"/>
      <c r="E142" s="8"/>
      <c r="F142" s="8"/>
      <c r="G142" s="11"/>
      <c r="H142" s="8"/>
      <c r="I142" s="8"/>
      <c r="J142" s="8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9" t="str">
        <f t="shared" si="2"/>
        <v/>
      </c>
      <c r="V142" s="8"/>
      <c r="W142" s="8"/>
      <c r="X142" s="8"/>
      <c r="Y142" s="10"/>
      <c r="Z142" s="8"/>
    </row>
    <row r="143" spans="1:26">
      <c r="A143" s="8"/>
      <c r="B143" s="10"/>
      <c r="C143" s="8"/>
      <c r="D143" s="8"/>
      <c r="E143" s="8"/>
      <c r="F143" s="8"/>
      <c r="G143" s="11"/>
      <c r="H143" s="8"/>
      <c r="I143" s="8"/>
      <c r="J143" s="8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9" t="str">
        <f t="shared" si="2"/>
        <v/>
      </c>
      <c r="V143" s="8"/>
      <c r="W143" s="8"/>
      <c r="X143" s="8"/>
      <c r="Y143" s="10"/>
      <c r="Z143" s="8"/>
    </row>
    <row r="144" spans="1:26">
      <c r="A144" s="8"/>
      <c r="B144" s="10"/>
      <c r="C144" s="8"/>
      <c r="D144" s="8"/>
      <c r="E144" s="8"/>
      <c r="F144" s="8"/>
      <c r="G144" s="11"/>
      <c r="H144" s="8"/>
      <c r="I144" s="8"/>
      <c r="J144" s="8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9" t="str">
        <f t="shared" si="2"/>
        <v/>
      </c>
      <c r="V144" s="8"/>
      <c r="W144" s="8"/>
      <c r="X144" s="8"/>
      <c r="Y144" s="10"/>
      <c r="Z144" s="8"/>
    </row>
    <row r="145" spans="1:26">
      <c r="A145" s="8"/>
      <c r="B145" s="10"/>
      <c r="C145" s="8"/>
      <c r="D145" s="8"/>
      <c r="E145" s="8"/>
      <c r="F145" s="8"/>
      <c r="G145" s="11"/>
      <c r="H145" s="8"/>
      <c r="I145" s="8"/>
      <c r="J145" s="8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9" t="str">
        <f t="shared" si="2"/>
        <v/>
      </c>
      <c r="V145" s="8"/>
      <c r="W145" s="8"/>
      <c r="X145" s="8"/>
      <c r="Y145" s="10"/>
      <c r="Z145" s="8"/>
    </row>
    <row r="146" spans="1:26">
      <c r="A146" s="8"/>
      <c r="B146" s="10"/>
      <c r="C146" s="8"/>
      <c r="D146" s="8"/>
      <c r="E146" s="8"/>
      <c r="F146" s="8"/>
      <c r="G146" s="11"/>
      <c r="H146" s="8"/>
      <c r="I146" s="8"/>
      <c r="J146" s="8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9" t="str">
        <f t="shared" si="2"/>
        <v/>
      </c>
      <c r="V146" s="8"/>
      <c r="W146" s="8"/>
      <c r="X146" s="8"/>
      <c r="Y146" s="10"/>
      <c r="Z146" s="8"/>
    </row>
    <row r="147" spans="1:26">
      <c r="A147" s="8"/>
      <c r="B147" s="10"/>
      <c r="C147" s="8"/>
      <c r="D147" s="8"/>
      <c r="E147" s="8"/>
      <c r="F147" s="8"/>
      <c r="G147" s="11"/>
      <c r="H147" s="8"/>
      <c r="I147" s="8"/>
      <c r="J147" s="8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9" t="str">
        <f t="shared" si="2"/>
        <v/>
      </c>
      <c r="V147" s="8"/>
      <c r="W147" s="8"/>
      <c r="X147" s="8"/>
      <c r="Y147" s="10"/>
      <c r="Z147" s="8"/>
    </row>
    <row r="148" spans="1:26">
      <c r="A148" s="8"/>
      <c r="B148" s="10"/>
      <c r="C148" s="8"/>
      <c r="D148" s="8"/>
      <c r="E148" s="8"/>
      <c r="F148" s="8"/>
      <c r="G148" s="11"/>
      <c r="H148" s="8"/>
      <c r="I148" s="8"/>
      <c r="J148" s="8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9" t="str">
        <f t="shared" si="2"/>
        <v/>
      </c>
      <c r="V148" s="8"/>
      <c r="W148" s="8"/>
      <c r="X148" s="8"/>
      <c r="Y148" s="10"/>
      <c r="Z148" s="8"/>
    </row>
    <row r="149" spans="1:26">
      <c r="A149" s="8"/>
      <c r="B149" s="10"/>
      <c r="C149" s="8"/>
      <c r="D149" s="8"/>
      <c r="E149" s="8"/>
      <c r="F149" s="8"/>
      <c r="G149" s="11"/>
      <c r="H149" s="8"/>
      <c r="I149" s="8"/>
      <c r="J149" s="8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9" t="str">
        <f t="shared" si="2"/>
        <v/>
      </c>
      <c r="V149" s="8"/>
      <c r="W149" s="8"/>
      <c r="X149" s="8"/>
      <c r="Y149" s="10"/>
      <c r="Z149" s="8"/>
    </row>
    <row r="150" spans="1:26">
      <c r="A150" s="8"/>
      <c r="B150" s="10"/>
      <c r="C150" s="8"/>
      <c r="D150" s="8"/>
      <c r="E150" s="8"/>
      <c r="F150" s="8"/>
      <c r="G150" s="11"/>
      <c r="H150" s="8"/>
      <c r="I150" s="8"/>
      <c r="J150" s="8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9" t="str">
        <f t="shared" si="2"/>
        <v/>
      </c>
      <c r="V150" s="8"/>
      <c r="W150" s="8"/>
      <c r="X150" s="8"/>
      <c r="Y150" s="10"/>
      <c r="Z150" s="8"/>
    </row>
    <row r="151" spans="1:26">
      <c r="A151" s="8"/>
      <c r="B151" s="10"/>
      <c r="C151" s="8"/>
      <c r="D151" s="8"/>
      <c r="E151" s="8"/>
      <c r="F151" s="8"/>
      <c r="G151" s="11"/>
      <c r="H151" s="8"/>
      <c r="I151" s="8"/>
      <c r="J151" s="8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9" t="str">
        <f t="shared" si="2"/>
        <v/>
      </c>
      <c r="V151" s="8"/>
      <c r="W151" s="8"/>
      <c r="X151" s="8"/>
      <c r="Y151" s="10"/>
      <c r="Z151" s="8"/>
    </row>
    <row r="152" spans="1:26">
      <c r="A152" s="8"/>
      <c r="B152" s="10"/>
      <c r="C152" s="8"/>
      <c r="D152" s="8"/>
      <c r="E152" s="8"/>
      <c r="F152" s="8"/>
      <c r="G152" s="11"/>
      <c r="H152" s="8"/>
      <c r="I152" s="8"/>
      <c r="J152" s="8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9" t="str">
        <f t="shared" si="2"/>
        <v/>
      </c>
      <c r="V152" s="8"/>
      <c r="W152" s="8"/>
      <c r="X152" s="8"/>
      <c r="Y152" s="10"/>
      <c r="Z152" s="8"/>
    </row>
    <row r="153" spans="1:26">
      <c r="A153" s="8"/>
      <c r="B153" s="10"/>
      <c r="C153" s="8"/>
      <c r="D153" s="8"/>
      <c r="E153" s="8"/>
      <c r="F153" s="8"/>
      <c r="G153" s="11"/>
      <c r="H153" s="8"/>
      <c r="I153" s="8"/>
      <c r="J153" s="8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9" t="str">
        <f t="shared" si="2"/>
        <v/>
      </c>
      <c r="V153" s="8"/>
      <c r="W153" s="8"/>
      <c r="X153" s="8"/>
      <c r="Y153" s="10"/>
      <c r="Z153" s="8"/>
    </row>
    <row r="154" spans="1:26">
      <c r="A154" s="8"/>
      <c r="B154" s="10"/>
      <c r="C154" s="8"/>
      <c r="D154" s="8"/>
      <c r="E154" s="8"/>
      <c r="F154" s="8"/>
      <c r="G154" s="11"/>
      <c r="H154" s="8"/>
      <c r="I154" s="8"/>
      <c r="J154" s="8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9" t="str">
        <f t="shared" si="2"/>
        <v/>
      </c>
      <c r="V154" s="8"/>
      <c r="W154" s="8"/>
      <c r="X154" s="8"/>
      <c r="Y154" s="10"/>
      <c r="Z154" s="8"/>
    </row>
    <row r="155" spans="1:26">
      <c r="A155" s="8"/>
      <c r="B155" s="10"/>
      <c r="C155" s="8"/>
      <c r="D155" s="8"/>
      <c r="E155" s="8"/>
      <c r="F155" s="8"/>
      <c r="G155" s="11"/>
      <c r="H155" s="8"/>
      <c r="I155" s="8"/>
      <c r="J155" s="8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9" t="str">
        <f t="shared" si="2"/>
        <v/>
      </c>
      <c r="V155" s="8"/>
      <c r="W155" s="8"/>
      <c r="X155" s="8"/>
      <c r="Y155" s="10"/>
      <c r="Z155" s="8"/>
    </row>
    <row r="156" spans="1:26">
      <c r="A156" s="8"/>
      <c r="B156" s="10"/>
      <c r="C156" s="8"/>
      <c r="D156" s="8"/>
      <c r="E156" s="8"/>
      <c r="F156" s="8"/>
      <c r="G156" s="11"/>
      <c r="H156" s="8"/>
      <c r="I156" s="8"/>
      <c r="J156" s="8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9" t="str">
        <f t="shared" si="2"/>
        <v/>
      </c>
      <c r="V156" s="8"/>
      <c r="W156" s="8"/>
      <c r="X156" s="8"/>
      <c r="Y156" s="10"/>
      <c r="Z156" s="8"/>
    </row>
    <row r="157" spans="1:26">
      <c r="A157" s="8"/>
      <c r="B157" s="10"/>
      <c r="C157" s="8"/>
      <c r="D157" s="8"/>
      <c r="E157" s="8"/>
      <c r="F157" s="8"/>
      <c r="G157" s="11"/>
      <c r="H157" s="8"/>
      <c r="I157" s="8"/>
      <c r="J157" s="8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9" t="str">
        <f t="shared" si="2"/>
        <v/>
      </c>
      <c r="V157" s="8"/>
      <c r="W157" s="8"/>
      <c r="X157" s="8"/>
      <c r="Y157" s="10"/>
      <c r="Z157" s="8"/>
    </row>
    <row r="158" spans="1:26">
      <c r="A158" s="8"/>
      <c r="B158" s="10"/>
      <c r="C158" s="8"/>
      <c r="D158" s="8"/>
      <c r="E158" s="8"/>
      <c r="F158" s="8"/>
      <c r="G158" s="11"/>
      <c r="H158" s="8"/>
      <c r="I158" s="8"/>
      <c r="J158" s="8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9" t="str">
        <f t="shared" si="2"/>
        <v/>
      </c>
      <c r="V158" s="8"/>
      <c r="W158" s="8"/>
      <c r="X158" s="8"/>
      <c r="Y158" s="10"/>
      <c r="Z158" s="8"/>
    </row>
    <row r="159" spans="1:26">
      <c r="A159" s="8"/>
      <c r="B159" s="10"/>
      <c r="C159" s="8"/>
      <c r="D159" s="8"/>
      <c r="E159" s="8"/>
      <c r="F159" s="8"/>
      <c r="G159" s="11"/>
      <c r="H159" s="8"/>
      <c r="I159" s="8"/>
      <c r="J159" s="8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9" t="str">
        <f t="shared" si="2"/>
        <v/>
      </c>
      <c r="V159" s="8"/>
      <c r="W159" s="8"/>
      <c r="X159" s="8"/>
      <c r="Y159" s="10"/>
      <c r="Z159" s="8"/>
    </row>
    <row r="160" spans="1:26">
      <c r="A160" s="8"/>
      <c r="B160" s="10"/>
      <c r="C160" s="8"/>
      <c r="D160" s="8"/>
      <c r="E160" s="8"/>
      <c r="F160" s="8"/>
      <c r="G160" s="11"/>
      <c r="H160" s="8"/>
      <c r="I160" s="8"/>
      <c r="J160" s="8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9" t="str">
        <f t="shared" si="2"/>
        <v/>
      </c>
      <c r="V160" s="8"/>
      <c r="W160" s="8"/>
      <c r="X160" s="8"/>
      <c r="Y160" s="10"/>
      <c r="Z160" s="8"/>
    </row>
    <row r="161" spans="1:26">
      <c r="A161" s="8"/>
      <c r="B161" s="10"/>
      <c r="C161" s="8"/>
      <c r="D161" s="8"/>
      <c r="E161" s="8"/>
      <c r="F161" s="8"/>
      <c r="G161" s="11"/>
      <c r="H161" s="8"/>
      <c r="I161" s="8"/>
      <c r="J161" s="8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9" t="str">
        <f t="shared" si="2"/>
        <v/>
      </c>
      <c r="V161" s="8"/>
      <c r="W161" s="8"/>
      <c r="X161" s="8"/>
      <c r="Y161" s="10"/>
      <c r="Z161" s="8"/>
    </row>
    <row r="162" spans="1:26">
      <c r="A162" s="8"/>
      <c r="B162" s="10"/>
      <c r="C162" s="8"/>
      <c r="D162" s="8"/>
      <c r="E162" s="8"/>
      <c r="F162" s="8"/>
      <c r="G162" s="11"/>
      <c r="H162" s="8"/>
      <c r="I162" s="8"/>
      <c r="J162" s="8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9" t="str">
        <f t="shared" si="2"/>
        <v/>
      </c>
      <c r="V162" s="8"/>
      <c r="W162" s="8"/>
      <c r="X162" s="8"/>
      <c r="Y162" s="10"/>
      <c r="Z162" s="8"/>
    </row>
    <row r="163" spans="1:26">
      <c r="A163" s="8"/>
      <c r="B163" s="10"/>
      <c r="C163" s="8"/>
      <c r="D163" s="8"/>
      <c r="E163" s="8"/>
      <c r="F163" s="8"/>
      <c r="G163" s="11"/>
      <c r="H163" s="8"/>
      <c r="I163" s="8"/>
      <c r="J163" s="8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9" t="str">
        <f t="shared" si="2"/>
        <v/>
      </c>
      <c r="V163" s="8"/>
      <c r="W163" s="8"/>
      <c r="X163" s="8"/>
      <c r="Y163" s="10"/>
      <c r="Z163" s="8"/>
    </row>
    <row r="164" spans="1:26">
      <c r="A164" s="8"/>
      <c r="B164" s="10"/>
      <c r="C164" s="8"/>
      <c r="D164" s="8"/>
      <c r="E164" s="8"/>
      <c r="F164" s="8"/>
      <c r="G164" s="11"/>
      <c r="H164" s="8"/>
      <c r="I164" s="8"/>
      <c r="J164" s="8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9" t="str">
        <f t="shared" si="2"/>
        <v/>
      </c>
      <c r="V164" s="8"/>
      <c r="W164" s="8"/>
      <c r="X164" s="8"/>
      <c r="Y164" s="10"/>
      <c r="Z164" s="8"/>
    </row>
    <row r="165" spans="1:26">
      <c r="A165" s="8"/>
      <c r="B165" s="10"/>
      <c r="C165" s="8"/>
      <c r="D165" s="8"/>
      <c r="E165" s="8"/>
      <c r="F165" s="8"/>
      <c r="G165" s="11"/>
      <c r="H165" s="8"/>
      <c r="I165" s="8"/>
      <c r="J165" s="8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9" t="str">
        <f t="shared" si="2"/>
        <v/>
      </c>
      <c r="V165" s="8"/>
      <c r="W165" s="8"/>
      <c r="X165" s="8"/>
      <c r="Y165" s="10"/>
      <c r="Z165" s="8"/>
    </row>
    <row r="166" spans="1:26">
      <c r="A166" s="8"/>
      <c r="B166" s="10"/>
      <c r="C166" s="8"/>
      <c r="D166" s="8"/>
      <c r="E166" s="8"/>
      <c r="F166" s="8"/>
      <c r="G166" s="11"/>
      <c r="H166" s="8"/>
      <c r="I166" s="8"/>
      <c r="J166" s="8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9" t="str">
        <f t="shared" si="2"/>
        <v/>
      </c>
      <c r="V166" s="8"/>
      <c r="W166" s="8"/>
      <c r="X166" s="8"/>
      <c r="Y166" s="10"/>
      <c r="Z166" s="8"/>
    </row>
    <row r="167" spans="1:26">
      <c r="A167" s="8"/>
      <c r="B167" s="10"/>
      <c r="C167" s="8"/>
      <c r="D167" s="8"/>
      <c r="E167" s="8"/>
      <c r="F167" s="8"/>
      <c r="G167" s="11"/>
      <c r="H167" s="8"/>
      <c r="I167" s="8"/>
      <c r="J167" s="8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9" t="str">
        <f t="shared" si="2"/>
        <v/>
      </c>
      <c r="V167" s="8"/>
      <c r="W167" s="8"/>
      <c r="X167" s="8"/>
      <c r="Y167" s="10"/>
      <c r="Z167" s="8"/>
    </row>
    <row r="168" spans="1:26">
      <c r="A168" s="8"/>
      <c r="B168" s="10"/>
      <c r="C168" s="8"/>
      <c r="D168" s="8"/>
      <c r="E168" s="8"/>
      <c r="F168" s="8"/>
      <c r="G168" s="11"/>
      <c r="H168" s="8"/>
      <c r="I168" s="8"/>
      <c r="J168" s="8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9" t="str">
        <f t="shared" si="2"/>
        <v/>
      </c>
      <c r="V168" s="8"/>
      <c r="W168" s="8"/>
      <c r="X168" s="8"/>
      <c r="Y168" s="10"/>
      <c r="Z168" s="8"/>
    </row>
    <row r="169" spans="1:26">
      <c r="A169" s="8"/>
      <c r="B169" s="10"/>
      <c r="C169" s="8"/>
      <c r="D169" s="8"/>
      <c r="E169" s="8"/>
      <c r="F169" s="8"/>
      <c r="G169" s="11"/>
      <c r="H169" s="8"/>
      <c r="I169" s="8"/>
      <c r="J169" s="8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9" t="str">
        <f t="shared" si="2"/>
        <v/>
      </c>
      <c r="V169" s="8"/>
      <c r="W169" s="8"/>
      <c r="X169" s="8"/>
      <c r="Y169" s="10"/>
      <c r="Z169" s="8"/>
    </row>
    <row r="170" spans="1:26">
      <c r="A170" s="8"/>
      <c r="B170" s="10"/>
      <c r="C170" s="8"/>
      <c r="D170" s="8"/>
      <c r="E170" s="8"/>
      <c r="F170" s="8"/>
      <c r="G170" s="11"/>
      <c r="H170" s="8"/>
      <c r="I170" s="8"/>
      <c r="J170" s="8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9" t="str">
        <f t="shared" si="2"/>
        <v/>
      </c>
      <c r="V170" s="8"/>
      <c r="W170" s="8"/>
      <c r="X170" s="8"/>
      <c r="Y170" s="10"/>
      <c r="Z170" s="8"/>
    </row>
    <row r="171" spans="1:26">
      <c r="A171" s="8"/>
      <c r="B171" s="10"/>
      <c r="C171" s="8"/>
      <c r="D171" s="8"/>
      <c r="E171" s="8"/>
      <c r="F171" s="8"/>
      <c r="G171" s="11"/>
      <c r="H171" s="8"/>
      <c r="I171" s="8"/>
      <c r="J171" s="8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9" t="str">
        <f t="shared" si="2"/>
        <v/>
      </c>
      <c r="V171" s="8"/>
      <c r="W171" s="8"/>
      <c r="X171" s="8"/>
      <c r="Y171" s="10"/>
      <c r="Z171" s="8"/>
    </row>
    <row r="172" spans="1:26">
      <c r="A172" s="8"/>
      <c r="B172" s="10"/>
      <c r="C172" s="8"/>
      <c r="D172" s="8"/>
      <c r="E172" s="8"/>
      <c r="F172" s="8"/>
      <c r="G172" s="11"/>
      <c r="H172" s="8"/>
      <c r="I172" s="8"/>
      <c r="J172" s="8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9" t="str">
        <f t="shared" si="2"/>
        <v/>
      </c>
      <c r="V172" s="8"/>
      <c r="W172" s="8"/>
      <c r="X172" s="8"/>
      <c r="Y172" s="10"/>
      <c r="Z172" s="8"/>
    </row>
    <row r="173" spans="1:26">
      <c r="A173" s="8"/>
      <c r="B173" s="10"/>
      <c r="C173" s="8"/>
      <c r="D173" s="8"/>
      <c r="E173" s="8"/>
      <c r="F173" s="8"/>
      <c r="G173" s="11"/>
      <c r="H173" s="8"/>
      <c r="I173" s="8"/>
      <c r="J173" s="8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9" t="str">
        <f t="shared" si="2"/>
        <v/>
      </c>
      <c r="V173" s="8"/>
      <c r="W173" s="8"/>
      <c r="X173" s="8"/>
      <c r="Y173" s="10"/>
      <c r="Z173" s="8"/>
    </row>
    <row r="174" spans="1:26">
      <c r="A174" s="8"/>
      <c r="B174" s="10"/>
      <c r="C174" s="8"/>
      <c r="D174" s="8"/>
      <c r="E174" s="8"/>
      <c r="F174" s="8"/>
      <c r="G174" s="11"/>
      <c r="H174" s="8"/>
      <c r="I174" s="8"/>
      <c r="J174" s="8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9" t="str">
        <f t="shared" si="2"/>
        <v/>
      </c>
      <c r="V174" s="8"/>
      <c r="W174" s="8"/>
      <c r="X174" s="8"/>
      <c r="Y174" s="10"/>
      <c r="Z174" s="8"/>
    </row>
    <row r="175" spans="1:26">
      <c r="A175" s="8"/>
      <c r="B175" s="10"/>
      <c r="C175" s="8"/>
      <c r="D175" s="8"/>
      <c r="E175" s="8"/>
      <c r="F175" s="8"/>
      <c r="G175" s="11"/>
      <c r="H175" s="8"/>
      <c r="I175" s="8"/>
      <c r="J175" s="8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9" t="str">
        <f t="shared" si="2"/>
        <v/>
      </c>
      <c r="V175" s="8"/>
      <c r="W175" s="8"/>
      <c r="X175" s="8"/>
      <c r="Y175" s="10"/>
      <c r="Z175" s="8"/>
    </row>
    <row r="176" spans="1:26">
      <c r="A176" s="8"/>
      <c r="B176" s="10"/>
      <c r="C176" s="8"/>
      <c r="D176" s="8"/>
      <c r="E176" s="8"/>
      <c r="F176" s="8"/>
      <c r="G176" s="11"/>
      <c r="H176" s="8"/>
      <c r="I176" s="8"/>
      <c r="J176" s="8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9" t="str">
        <f t="shared" si="2"/>
        <v/>
      </c>
      <c r="V176" s="8"/>
      <c r="W176" s="8"/>
      <c r="X176" s="8"/>
      <c r="Y176" s="10"/>
      <c r="Z176" s="8"/>
    </row>
    <row r="177" spans="1:26">
      <c r="A177" s="8"/>
      <c r="B177" s="10"/>
      <c r="C177" s="8"/>
      <c r="D177" s="8"/>
      <c r="E177" s="8"/>
      <c r="F177" s="8"/>
      <c r="G177" s="11"/>
      <c r="H177" s="8"/>
      <c r="I177" s="8"/>
      <c r="J177" s="8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9" t="str">
        <f t="shared" si="2"/>
        <v/>
      </c>
      <c r="V177" s="8"/>
      <c r="W177" s="8"/>
      <c r="X177" s="8"/>
      <c r="Y177" s="10"/>
      <c r="Z177" s="8"/>
    </row>
    <row r="178" spans="1:26">
      <c r="A178" s="8"/>
      <c r="B178" s="10"/>
      <c r="C178" s="8"/>
      <c r="D178" s="8"/>
      <c r="E178" s="8"/>
      <c r="F178" s="8"/>
      <c r="G178" s="11"/>
      <c r="H178" s="8"/>
      <c r="I178" s="8"/>
      <c r="J178" s="8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9" t="str">
        <f t="shared" si="2"/>
        <v/>
      </c>
      <c r="V178" s="8"/>
      <c r="W178" s="8"/>
      <c r="X178" s="8"/>
      <c r="Y178" s="10"/>
      <c r="Z178" s="8"/>
    </row>
    <row r="179" spans="1:26">
      <c r="A179" s="8"/>
      <c r="B179" s="10"/>
      <c r="C179" s="8"/>
      <c r="D179" s="8"/>
      <c r="E179" s="8"/>
      <c r="F179" s="8"/>
      <c r="G179" s="11"/>
      <c r="H179" s="8"/>
      <c r="I179" s="8"/>
      <c r="J179" s="8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9" t="str">
        <f t="shared" si="2"/>
        <v/>
      </c>
      <c r="V179" s="8"/>
      <c r="W179" s="8"/>
      <c r="X179" s="8"/>
      <c r="Y179" s="10"/>
      <c r="Z179" s="8"/>
    </row>
    <row r="180" spans="1:26">
      <c r="A180" s="8"/>
      <c r="B180" s="10"/>
      <c r="C180" s="8"/>
      <c r="D180" s="8"/>
      <c r="E180" s="8"/>
      <c r="F180" s="8"/>
      <c r="G180" s="11"/>
      <c r="H180" s="8"/>
      <c r="I180" s="8"/>
      <c r="J180" s="8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9" t="str">
        <f t="shared" si="2"/>
        <v/>
      </c>
      <c r="V180" s="8"/>
      <c r="W180" s="8"/>
      <c r="X180" s="8"/>
      <c r="Y180" s="10"/>
      <c r="Z180" s="8"/>
    </row>
    <row r="181" spans="1:26">
      <c r="A181" s="8"/>
      <c r="B181" s="10"/>
      <c r="C181" s="8"/>
      <c r="D181" s="8"/>
      <c r="E181" s="8"/>
      <c r="F181" s="8"/>
      <c r="G181" s="11"/>
      <c r="H181" s="8"/>
      <c r="I181" s="8"/>
      <c r="J181" s="8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9" t="str">
        <f t="shared" si="2"/>
        <v/>
      </c>
      <c r="V181" s="8"/>
      <c r="W181" s="8"/>
      <c r="X181" s="8"/>
      <c r="Y181" s="10"/>
      <c r="Z181" s="8"/>
    </row>
    <row r="182" spans="1:26">
      <c r="A182" s="8"/>
      <c r="B182" s="10"/>
      <c r="C182" s="8"/>
      <c r="D182" s="8"/>
      <c r="E182" s="8"/>
      <c r="F182" s="8"/>
      <c r="G182" s="11"/>
      <c r="H182" s="8"/>
      <c r="I182" s="8"/>
      <c r="J182" s="8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9" t="str">
        <f t="shared" si="2"/>
        <v/>
      </c>
      <c r="V182" s="8"/>
      <c r="W182" s="8"/>
      <c r="X182" s="8"/>
      <c r="Y182" s="10"/>
      <c r="Z182" s="8"/>
    </row>
    <row r="183" spans="1:26">
      <c r="A183" s="8"/>
      <c r="B183" s="10"/>
      <c r="C183" s="8"/>
      <c r="D183" s="8"/>
      <c r="E183" s="8"/>
      <c r="F183" s="8"/>
      <c r="G183" s="11"/>
      <c r="H183" s="8"/>
      <c r="I183" s="8"/>
      <c r="J183" s="8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9" t="str">
        <f t="shared" si="2"/>
        <v/>
      </c>
      <c r="V183" s="8"/>
      <c r="W183" s="8"/>
      <c r="X183" s="8"/>
      <c r="Y183" s="10"/>
      <c r="Z183" s="8"/>
    </row>
    <row r="184" spans="1:26">
      <c r="A184" s="8"/>
      <c r="B184" s="10"/>
      <c r="C184" s="8"/>
      <c r="D184" s="8"/>
      <c r="E184" s="8"/>
      <c r="F184" s="8"/>
      <c r="G184" s="11"/>
      <c r="H184" s="8"/>
      <c r="I184" s="8"/>
      <c r="J184" s="8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9" t="str">
        <f t="shared" si="2"/>
        <v/>
      </c>
      <c r="V184" s="8"/>
      <c r="W184" s="8"/>
      <c r="X184" s="8"/>
      <c r="Y184" s="10"/>
      <c r="Z184" s="8"/>
    </row>
    <row r="185" spans="1:26">
      <c r="A185" s="8"/>
      <c r="B185" s="10"/>
      <c r="C185" s="8"/>
      <c r="D185" s="8"/>
      <c r="E185" s="8"/>
      <c r="F185" s="8"/>
      <c r="G185" s="11"/>
      <c r="H185" s="8"/>
      <c r="I185" s="8"/>
      <c r="J185" s="8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9" t="str">
        <f t="shared" si="2"/>
        <v/>
      </c>
      <c r="V185" s="8"/>
      <c r="W185" s="8"/>
      <c r="X185" s="8"/>
      <c r="Y185" s="10"/>
      <c r="Z185" s="8"/>
    </row>
    <row r="186" spans="1:26">
      <c r="A186" s="8"/>
      <c r="B186" s="10"/>
      <c r="C186" s="8"/>
      <c r="D186" s="8"/>
      <c r="E186" s="8"/>
      <c r="F186" s="8"/>
      <c r="G186" s="11"/>
      <c r="H186" s="8"/>
      <c r="I186" s="8"/>
      <c r="J186" s="8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9" t="str">
        <f t="shared" si="2"/>
        <v/>
      </c>
      <c r="V186" s="8"/>
      <c r="W186" s="8"/>
      <c r="X186" s="8"/>
      <c r="Y186" s="10"/>
      <c r="Z186" s="8"/>
    </row>
    <row r="187" spans="1:26">
      <c r="A187" s="8"/>
      <c r="B187" s="10"/>
      <c r="C187" s="8"/>
      <c r="D187" s="8"/>
      <c r="E187" s="8"/>
      <c r="F187" s="8"/>
      <c r="G187" s="11"/>
      <c r="H187" s="8"/>
      <c r="I187" s="8"/>
      <c r="J187" s="8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9" t="str">
        <f t="shared" si="2"/>
        <v/>
      </c>
      <c r="V187" s="8"/>
      <c r="W187" s="8"/>
      <c r="X187" s="8"/>
      <c r="Y187" s="10"/>
      <c r="Z187" s="8"/>
    </row>
    <row r="188" spans="1:26">
      <c r="A188" s="8"/>
      <c r="B188" s="10"/>
      <c r="C188" s="8"/>
      <c r="D188" s="8"/>
      <c r="E188" s="8"/>
      <c r="F188" s="8"/>
      <c r="G188" s="11"/>
      <c r="H188" s="8"/>
      <c r="I188" s="8"/>
      <c r="J188" s="8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9" t="str">
        <f t="shared" si="2"/>
        <v/>
      </c>
      <c r="V188" s="8"/>
      <c r="W188" s="8"/>
      <c r="X188" s="8"/>
      <c r="Y188" s="10"/>
      <c r="Z188" s="8"/>
    </row>
    <row r="189" spans="1:26">
      <c r="A189" s="8"/>
      <c r="B189" s="10"/>
      <c r="C189" s="8"/>
      <c r="D189" s="8"/>
      <c r="E189" s="8"/>
      <c r="F189" s="8"/>
      <c r="G189" s="11"/>
      <c r="H189" s="8"/>
      <c r="I189" s="8"/>
      <c r="J189" s="8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9" t="str">
        <f t="shared" si="2"/>
        <v/>
      </c>
      <c r="V189" s="8"/>
      <c r="W189" s="8"/>
      <c r="X189" s="8"/>
      <c r="Y189" s="10"/>
      <c r="Z189" s="8"/>
    </row>
    <row r="190" spans="1:26">
      <c r="A190" s="8"/>
      <c r="B190" s="10"/>
      <c r="C190" s="8"/>
      <c r="D190" s="8"/>
      <c r="E190" s="8"/>
      <c r="F190" s="8"/>
      <c r="G190" s="11"/>
      <c r="H190" s="8"/>
      <c r="I190" s="8"/>
      <c r="J190" s="8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9" t="str">
        <f t="shared" si="2"/>
        <v/>
      </c>
      <c r="V190" s="8"/>
      <c r="W190" s="8"/>
      <c r="X190" s="8"/>
      <c r="Y190" s="10"/>
      <c r="Z190" s="8"/>
    </row>
    <row r="191" spans="1:26">
      <c r="A191" s="8"/>
      <c r="B191" s="10"/>
      <c r="C191" s="8"/>
      <c r="D191" s="8"/>
      <c r="E191" s="8"/>
      <c r="F191" s="8"/>
      <c r="G191" s="11"/>
      <c r="H191" s="8"/>
      <c r="I191" s="8"/>
      <c r="J191" s="8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9" t="str">
        <f t="shared" si="2"/>
        <v/>
      </c>
      <c r="V191" s="8"/>
      <c r="W191" s="8"/>
      <c r="X191" s="8"/>
      <c r="Y191" s="10"/>
      <c r="Z191" s="8"/>
    </row>
    <row r="192" spans="1:26">
      <c r="A192" s="8"/>
      <c r="B192" s="10"/>
      <c r="C192" s="8"/>
      <c r="D192" s="8"/>
      <c r="E192" s="8"/>
      <c r="F192" s="8"/>
      <c r="G192" s="11"/>
      <c r="H192" s="8"/>
      <c r="I192" s="8"/>
      <c r="J192" s="8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9" t="str">
        <f t="shared" si="2"/>
        <v/>
      </c>
      <c r="V192" s="8"/>
      <c r="W192" s="8"/>
      <c r="X192" s="8"/>
      <c r="Y192" s="10"/>
      <c r="Z192" s="8"/>
    </row>
    <row r="193" spans="1:26">
      <c r="A193" s="8"/>
      <c r="B193" s="10"/>
      <c r="C193" s="8"/>
      <c r="D193" s="8"/>
      <c r="E193" s="8"/>
      <c r="F193" s="8"/>
      <c r="G193" s="11"/>
      <c r="H193" s="8"/>
      <c r="I193" s="8"/>
      <c r="J193" s="8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9" t="str">
        <f t="shared" si="2"/>
        <v/>
      </c>
      <c r="V193" s="8"/>
      <c r="W193" s="8"/>
      <c r="X193" s="8"/>
      <c r="Y193" s="10"/>
      <c r="Z193" s="8"/>
    </row>
    <row r="194" spans="1:26">
      <c r="A194" s="8"/>
      <c r="B194" s="10"/>
      <c r="C194" s="8"/>
      <c r="D194" s="8"/>
      <c r="E194" s="8"/>
      <c r="F194" s="8"/>
      <c r="G194" s="11"/>
      <c r="H194" s="8"/>
      <c r="I194" s="8"/>
      <c r="J194" s="8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9" t="str">
        <f t="shared" si="2"/>
        <v/>
      </c>
      <c r="V194" s="8"/>
      <c r="W194" s="8"/>
      <c r="X194" s="8"/>
      <c r="Y194" s="10"/>
      <c r="Z194" s="8"/>
    </row>
    <row r="195" spans="1:26">
      <c r="A195" s="8"/>
      <c r="B195" s="10"/>
      <c r="C195" s="8"/>
      <c r="D195" s="8"/>
      <c r="E195" s="8"/>
      <c r="F195" s="8"/>
      <c r="G195" s="11"/>
      <c r="H195" s="8"/>
      <c r="I195" s="8"/>
      <c r="J195" s="8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9" t="str">
        <f t="shared" si="2"/>
        <v/>
      </c>
      <c r="V195" s="8"/>
      <c r="W195" s="8"/>
      <c r="X195" s="8"/>
      <c r="Y195" s="10"/>
      <c r="Z195" s="8"/>
    </row>
    <row r="196" spans="1:26">
      <c r="A196" s="8"/>
      <c r="B196" s="10"/>
      <c r="C196" s="8"/>
      <c r="D196" s="8"/>
      <c r="E196" s="8"/>
      <c r="F196" s="8"/>
      <c r="G196" s="11"/>
      <c r="H196" s="8"/>
      <c r="I196" s="8"/>
      <c r="J196" s="8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9" t="str">
        <f t="shared" si="2"/>
        <v/>
      </c>
      <c r="V196" s="8"/>
      <c r="W196" s="8"/>
      <c r="X196" s="8"/>
      <c r="Y196" s="10"/>
      <c r="Z196" s="8"/>
    </row>
    <row r="197" spans="1:26">
      <c r="A197" s="8"/>
      <c r="B197" s="10"/>
      <c r="C197" s="8"/>
      <c r="D197" s="8"/>
      <c r="E197" s="8"/>
      <c r="F197" s="8"/>
      <c r="G197" s="11"/>
      <c r="H197" s="8"/>
      <c r="I197" s="8"/>
      <c r="J197" s="8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9" t="str">
        <f t="shared" ref="U197:U260" si="3">IF(A197="","",IF(OR(L197&gt;=R197,M197&gt;=S197,N197&gt;=T197),"Failed","Passed"))</f>
        <v/>
      </c>
      <c r="V197" s="8"/>
      <c r="W197" s="8"/>
      <c r="X197" s="8"/>
      <c r="Y197" s="10"/>
      <c r="Z197" s="8"/>
    </row>
    <row r="198" spans="1:26">
      <c r="A198" s="8"/>
      <c r="B198" s="10"/>
      <c r="C198" s="8"/>
      <c r="D198" s="8"/>
      <c r="E198" s="8"/>
      <c r="F198" s="8"/>
      <c r="G198" s="11"/>
      <c r="H198" s="8"/>
      <c r="I198" s="8"/>
      <c r="J198" s="8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9" t="str">
        <f t="shared" si="3"/>
        <v/>
      </c>
      <c r="V198" s="8"/>
      <c r="W198" s="8"/>
      <c r="X198" s="8"/>
      <c r="Y198" s="10"/>
      <c r="Z198" s="8"/>
    </row>
    <row r="199" spans="1:26">
      <c r="A199" s="8"/>
      <c r="B199" s="10"/>
      <c r="C199" s="8"/>
      <c r="D199" s="8"/>
      <c r="E199" s="8"/>
      <c r="F199" s="8"/>
      <c r="G199" s="11"/>
      <c r="H199" s="8"/>
      <c r="I199" s="8"/>
      <c r="J199" s="8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9" t="str">
        <f t="shared" si="3"/>
        <v/>
      </c>
      <c r="V199" s="8"/>
      <c r="W199" s="8"/>
      <c r="X199" s="8"/>
      <c r="Y199" s="10"/>
      <c r="Z199" s="8"/>
    </row>
    <row r="200" spans="1:26">
      <c r="A200" s="8"/>
      <c r="B200" s="10"/>
      <c r="C200" s="8"/>
      <c r="D200" s="8"/>
      <c r="E200" s="8"/>
      <c r="F200" s="8"/>
      <c r="G200" s="11"/>
      <c r="H200" s="8"/>
      <c r="I200" s="8"/>
      <c r="J200" s="8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9" t="str">
        <f t="shared" si="3"/>
        <v/>
      </c>
      <c r="V200" s="8"/>
      <c r="W200" s="8"/>
      <c r="X200" s="8"/>
      <c r="Y200" s="10"/>
      <c r="Z200" s="8"/>
    </row>
    <row r="201" spans="1:26">
      <c r="A201" s="8"/>
      <c r="B201" s="10"/>
      <c r="C201" s="8"/>
      <c r="D201" s="8"/>
      <c r="E201" s="8"/>
      <c r="F201" s="8"/>
      <c r="G201" s="11"/>
      <c r="H201" s="8"/>
      <c r="I201" s="8"/>
      <c r="J201" s="8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9" t="str">
        <f t="shared" si="3"/>
        <v/>
      </c>
      <c r="V201" s="8"/>
      <c r="W201" s="8"/>
      <c r="X201" s="8"/>
      <c r="Y201" s="10"/>
      <c r="Z201" s="8"/>
    </row>
    <row r="202" spans="1:26">
      <c r="A202" s="8"/>
      <c r="B202" s="10"/>
      <c r="C202" s="8"/>
      <c r="D202" s="8"/>
      <c r="E202" s="8"/>
      <c r="F202" s="8"/>
      <c r="G202" s="11"/>
      <c r="H202" s="8"/>
      <c r="I202" s="8"/>
      <c r="J202" s="8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9" t="str">
        <f t="shared" si="3"/>
        <v/>
      </c>
      <c r="V202" s="8"/>
      <c r="W202" s="8"/>
      <c r="X202" s="8"/>
      <c r="Y202" s="10"/>
      <c r="Z202" s="8"/>
    </row>
    <row r="203" spans="1:26">
      <c r="A203" s="8"/>
      <c r="B203" s="10"/>
      <c r="C203" s="8"/>
      <c r="D203" s="8"/>
      <c r="E203" s="8"/>
      <c r="F203" s="8"/>
      <c r="G203" s="11"/>
      <c r="H203" s="8"/>
      <c r="I203" s="8"/>
      <c r="J203" s="8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9" t="str">
        <f t="shared" si="3"/>
        <v/>
      </c>
      <c r="V203" s="8"/>
      <c r="W203" s="8"/>
      <c r="X203" s="8"/>
      <c r="Y203" s="10"/>
      <c r="Z203" s="8"/>
    </row>
    <row r="204" spans="1:26">
      <c r="A204" s="8"/>
      <c r="B204" s="10"/>
      <c r="C204" s="8"/>
      <c r="D204" s="8"/>
      <c r="E204" s="8"/>
      <c r="F204" s="8"/>
      <c r="G204" s="11"/>
      <c r="H204" s="8"/>
      <c r="I204" s="8"/>
      <c r="J204" s="8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9" t="str">
        <f t="shared" si="3"/>
        <v/>
      </c>
      <c r="V204" s="8"/>
      <c r="W204" s="8"/>
      <c r="X204" s="8"/>
      <c r="Y204" s="10"/>
      <c r="Z204" s="8"/>
    </row>
    <row r="205" spans="1:26">
      <c r="A205" s="8"/>
      <c r="B205" s="10"/>
      <c r="C205" s="8"/>
      <c r="D205" s="8"/>
      <c r="E205" s="8"/>
      <c r="F205" s="8"/>
      <c r="G205" s="11"/>
      <c r="H205" s="8"/>
      <c r="I205" s="8"/>
      <c r="J205" s="8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9" t="str">
        <f t="shared" si="3"/>
        <v/>
      </c>
      <c r="V205" s="8"/>
      <c r="W205" s="8"/>
      <c r="X205" s="8"/>
      <c r="Y205" s="10"/>
      <c r="Z205" s="8"/>
    </row>
    <row r="206" spans="1:26">
      <c r="A206" s="8"/>
      <c r="B206" s="10"/>
      <c r="C206" s="8"/>
      <c r="D206" s="8"/>
      <c r="E206" s="8"/>
      <c r="F206" s="8"/>
      <c r="G206" s="11"/>
      <c r="H206" s="8"/>
      <c r="I206" s="8"/>
      <c r="J206" s="8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9" t="str">
        <f t="shared" si="3"/>
        <v/>
      </c>
      <c r="V206" s="8"/>
      <c r="W206" s="8"/>
      <c r="X206" s="8"/>
      <c r="Y206" s="10"/>
      <c r="Z206" s="8"/>
    </row>
    <row r="207" spans="1:26">
      <c r="A207" s="8"/>
      <c r="B207" s="10"/>
      <c r="C207" s="8"/>
      <c r="D207" s="8"/>
      <c r="E207" s="8"/>
      <c r="F207" s="8"/>
      <c r="G207" s="11"/>
      <c r="H207" s="8"/>
      <c r="I207" s="8"/>
      <c r="J207" s="8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9" t="str">
        <f t="shared" si="3"/>
        <v/>
      </c>
      <c r="V207" s="8"/>
      <c r="W207" s="8"/>
      <c r="X207" s="8"/>
      <c r="Y207" s="10"/>
      <c r="Z207" s="8"/>
    </row>
    <row r="208" spans="1:26">
      <c r="A208" s="8"/>
      <c r="B208" s="10"/>
      <c r="C208" s="8"/>
      <c r="D208" s="8"/>
      <c r="E208" s="8"/>
      <c r="F208" s="8"/>
      <c r="G208" s="11"/>
      <c r="H208" s="8"/>
      <c r="I208" s="8"/>
      <c r="J208" s="8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9" t="str">
        <f t="shared" si="3"/>
        <v/>
      </c>
      <c r="V208" s="8"/>
      <c r="W208" s="8"/>
      <c r="X208" s="8"/>
      <c r="Y208" s="10"/>
      <c r="Z208" s="8"/>
    </row>
    <row r="209" spans="1:26">
      <c r="A209" s="8"/>
      <c r="B209" s="10"/>
      <c r="C209" s="8"/>
      <c r="D209" s="8"/>
      <c r="E209" s="8"/>
      <c r="F209" s="8"/>
      <c r="G209" s="11"/>
      <c r="H209" s="8"/>
      <c r="I209" s="8"/>
      <c r="J209" s="8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9" t="str">
        <f t="shared" si="3"/>
        <v/>
      </c>
      <c r="V209" s="8"/>
      <c r="W209" s="8"/>
      <c r="X209" s="8"/>
      <c r="Y209" s="10"/>
      <c r="Z209" s="8"/>
    </row>
    <row r="210" spans="1:26">
      <c r="A210" s="8"/>
      <c r="B210" s="10"/>
      <c r="C210" s="8"/>
      <c r="D210" s="8"/>
      <c r="E210" s="8"/>
      <c r="F210" s="8"/>
      <c r="G210" s="11"/>
      <c r="H210" s="8"/>
      <c r="I210" s="8"/>
      <c r="J210" s="8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9" t="str">
        <f t="shared" si="3"/>
        <v/>
      </c>
      <c r="V210" s="8"/>
      <c r="W210" s="8"/>
      <c r="X210" s="8"/>
      <c r="Y210" s="10"/>
      <c r="Z210" s="8"/>
    </row>
    <row r="211" spans="1:26">
      <c r="A211" s="8"/>
      <c r="B211" s="10"/>
      <c r="C211" s="8"/>
      <c r="D211" s="8"/>
      <c r="E211" s="8"/>
      <c r="F211" s="8"/>
      <c r="G211" s="11"/>
      <c r="H211" s="8"/>
      <c r="I211" s="8"/>
      <c r="J211" s="8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9" t="str">
        <f t="shared" si="3"/>
        <v/>
      </c>
      <c r="V211" s="8"/>
      <c r="W211" s="8"/>
      <c r="X211" s="8"/>
      <c r="Y211" s="10"/>
      <c r="Z211" s="8"/>
    </row>
    <row r="212" spans="1:26">
      <c r="A212" s="8"/>
      <c r="B212" s="10"/>
      <c r="C212" s="8"/>
      <c r="D212" s="8"/>
      <c r="E212" s="8"/>
      <c r="F212" s="8"/>
      <c r="G212" s="11"/>
      <c r="H212" s="8"/>
      <c r="I212" s="8"/>
      <c r="J212" s="8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9" t="str">
        <f t="shared" si="3"/>
        <v/>
      </c>
      <c r="V212" s="8"/>
      <c r="W212" s="8"/>
      <c r="X212" s="8"/>
      <c r="Y212" s="10"/>
      <c r="Z212" s="8"/>
    </row>
    <row r="213" spans="1:26">
      <c r="A213" s="8"/>
      <c r="B213" s="10"/>
      <c r="C213" s="8"/>
      <c r="D213" s="8"/>
      <c r="E213" s="8"/>
      <c r="F213" s="8"/>
      <c r="G213" s="11"/>
      <c r="H213" s="8"/>
      <c r="I213" s="8"/>
      <c r="J213" s="8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9" t="str">
        <f t="shared" si="3"/>
        <v/>
      </c>
      <c r="V213" s="8"/>
      <c r="W213" s="8"/>
      <c r="X213" s="8"/>
      <c r="Y213" s="10"/>
      <c r="Z213" s="8"/>
    </row>
    <row r="214" spans="1:26">
      <c r="A214" s="8"/>
      <c r="B214" s="10"/>
      <c r="C214" s="8"/>
      <c r="D214" s="8"/>
      <c r="E214" s="8"/>
      <c r="F214" s="8"/>
      <c r="G214" s="11"/>
      <c r="H214" s="8"/>
      <c r="I214" s="8"/>
      <c r="J214" s="8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9" t="str">
        <f t="shared" si="3"/>
        <v/>
      </c>
      <c r="V214" s="8"/>
      <c r="W214" s="8"/>
      <c r="X214" s="8"/>
      <c r="Y214" s="10"/>
      <c r="Z214" s="8"/>
    </row>
    <row r="215" spans="1:26">
      <c r="A215" s="8"/>
      <c r="B215" s="10"/>
      <c r="C215" s="8"/>
      <c r="D215" s="8"/>
      <c r="E215" s="8"/>
      <c r="F215" s="8"/>
      <c r="G215" s="11"/>
      <c r="H215" s="8"/>
      <c r="I215" s="8"/>
      <c r="J215" s="8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9" t="str">
        <f t="shared" si="3"/>
        <v/>
      </c>
      <c r="V215" s="8"/>
      <c r="W215" s="8"/>
      <c r="X215" s="8"/>
      <c r="Y215" s="10"/>
      <c r="Z215" s="8"/>
    </row>
    <row r="216" spans="1:26">
      <c r="A216" s="8"/>
      <c r="B216" s="10"/>
      <c r="C216" s="8"/>
      <c r="D216" s="8"/>
      <c r="E216" s="8"/>
      <c r="F216" s="8"/>
      <c r="G216" s="11"/>
      <c r="H216" s="8"/>
      <c r="I216" s="8"/>
      <c r="J216" s="8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9" t="str">
        <f t="shared" si="3"/>
        <v/>
      </c>
      <c r="V216" s="8"/>
      <c r="W216" s="8"/>
      <c r="X216" s="8"/>
      <c r="Y216" s="10"/>
      <c r="Z216" s="8"/>
    </row>
    <row r="217" spans="1:26">
      <c r="A217" s="8"/>
      <c r="B217" s="10"/>
      <c r="C217" s="8"/>
      <c r="D217" s="8"/>
      <c r="E217" s="8"/>
      <c r="F217" s="8"/>
      <c r="G217" s="11"/>
      <c r="H217" s="8"/>
      <c r="I217" s="8"/>
      <c r="J217" s="8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9" t="str">
        <f t="shared" si="3"/>
        <v/>
      </c>
      <c r="V217" s="8"/>
      <c r="W217" s="8"/>
      <c r="X217" s="8"/>
      <c r="Y217" s="10"/>
      <c r="Z217" s="8"/>
    </row>
    <row r="218" spans="1:26">
      <c r="A218" s="8"/>
      <c r="B218" s="10"/>
      <c r="C218" s="8"/>
      <c r="D218" s="8"/>
      <c r="E218" s="8"/>
      <c r="F218" s="8"/>
      <c r="G218" s="11"/>
      <c r="H218" s="8"/>
      <c r="I218" s="8"/>
      <c r="J218" s="8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9" t="str">
        <f t="shared" si="3"/>
        <v/>
      </c>
      <c r="V218" s="8"/>
      <c r="W218" s="8"/>
      <c r="X218" s="8"/>
      <c r="Y218" s="10"/>
      <c r="Z218" s="8"/>
    </row>
    <row r="219" spans="1:26">
      <c r="A219" s="8"/>
      <c r="B219" s="10"/>
      <c r="C219" s="8"/>
      <c r="D219" s="8"/>
      <c r="E219" s="8"/>
      <c r="F219" s="8"/>
      <c r="G219" s="11"/>
      <c r="H219" s="8"/>
      <c r="I219" s="8"/>
      <c r="J219" s="8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9" t="str">
        <f t="shared" si="3"/>
        <v/>
      </c>
      <c r="V219" s="8"/>
      <c r="W219" s="8"/>
      <c r="X219" s="8"/>
      <c r="Y219" s="10"/>
      <c r="Z219" s="8"/>
    </row>
    <row r="220" spans="1:26">
      <c r="A220" s="8"/>
      <c r="B220" s="10"/>
      <c r="C220" s="8"/>
      <c r="D220" s="8"/>
      <c r="E220" s="8"/>
      <c r="F220" s="8"/>
      <c r="G220" s="11"/>
      <c r="H220" s="8"/>
      <c r="I220" s="8"/>
      <c r="J220" s="8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9" t="str">
        <f t="shared" si="3"/>
        <v/>
      </c>
      <c r="V220" s="8"/>
      <c r="W220" s="8"/>
      <c r="X220" s="8"/>
      <c r="Y220" s="10"/>
      <c r="Z220" s="8"/>
    </row>
    <row r="221" spans="1:26">
      <c r="A221" s="8"/>
      <c r="B221" s="10"/>
      <c r="C221" s="8"/>
      <c r="D221" s="8"/>
      <c r="E221" s="8"/>
      <c r="F221" s="8"/>
      <c r="G221" s="11"/>
      <c r="H221" s="8"/>
      <c r="I221" s="8"/>
      <c r="J221" s="8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9" t="str">
        <f t="shared" si="3"/>
        <v/>
      </c>
      <c r="V221" s="8"/>
      <c r="W221" s="8"/>
      <c r="X221" s="8"/>
      <c r="Y221" s="10"/>
      <c r="Z221" s="8"/>
    </row>
    <row r="222" spans="1:26">
      <c r="A222" s="8"/>
      <c r="B222" s="10"/>
      <c r="C222" s="8"/>
      <c r="D222" s="8"/>
      <c r="E222" s="8"/>
      <c r="F222" s="8"/>
      <c r="G222" s="11"/>
      <c r="H222" s="8"/>
      <c r="I222" s="8"/>
      <c r="J222" s="8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9" t="str">
        <f t="shared" si="3"/>
        <v/>
      </c>
      <c r="V222" s="8"/>
      <c r="W222" s="8"/>
      <c r="X222" s="8"/>
      <c r="Y222" s="10"/>
      <c r="Z222" s="8"/>
    </row>
    <row r="223" spans="1:26">
      <c r="A223" s="8"/>
      <c r="B223" s="10"/>
      <c r="C223" s="8"/>
      <c r="D223" s="8"/>
      <c r="E223" s="8"/>
      <c r="F223" s="8"/>
      <c r="G223" s="11"/>
      <c r="H223" s="8"/>
      <c r="I223" s="8"/>
      <c r="J223" s="8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9" t="str">
        <f t="shared" si="3"/>
        <v/>
      </c>
      <c r="V223" s="8"/>
      <c r="W223" s="8"/>
      <c r="X223" s="8"/>
      <c r="Y223" s="10"/>
      <c r="Z223" s="8"/>
    </row>
    <row r="224" spans="1:26">
      <c r="A224" s="8"/>
      <c r="B224" s="10"/>
      <c r="C224" s="8"/>
      <c r="D224" s="8"/>
      <c r="E224" s="8"/>
      <c r="F224" s="8"/>
      <c r="G224" s="11"/>
      <c r="H224" s="8"/>
      <c r="I224" s="8"/>
      <c r="J224" s="8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9" t="str">
        <f t="shared" si="3"/>
        <v/>
      </c>
      <c r="V224" s="8"/>
      <c r="W224" s="8"/>
      <c r="X224" s="8"/>
      <c r="Y224" s="10"/>
      <c r="Z224" s="8"/>
    </row>
    <row r="225" spans="1:26">
      <c r="A225" s="8"/>
      <c r="B225" s="10"/>
      <c r="C225" s="8"/>
      <c r="D225" s="8"/>
      <c r="E225" s="8"/>
      <c r="F225" s="8"/>
      <c r="G225" s="11"/>
      <c r="H225" s="8"/>
      <c r="I225" s="8"/>
      <c r="J225" s="8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9" t="str">
        <f t="shared" si="3"/>
        <v/>
      </c>
      <c r="V225" s="8"/>
      <c r="W225" s="8"/>
      <c r="X225" s="8"/>
      <c r="Y225" s="10"/>
      <c r="Z225" s="8"/>
    </row>
    <row r="226" spans="1:26">
      <c r="A226" s="8"/>
      <c r="B226" s="10"/>
      <c r="C226" s="8"/>
      <c r="D226" s="8"/>
      <c r="E226" s="8"/>
      <c r="F226" s="8"/>
      <c r="G226" s="11"/>
      <c r="H226" s="8"/>
      <c r="I226" s="8"/>
      <c r="J226" s="8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9" t="str">
        <f t="shared" si="3"/>
        <v/>
      </c>
      <c r="V226" s="8"/>
      <c r="W226" s="8"/>
      <c r="X226" s="8"/>
      <c r="Y226" s="10"/>
      <c r="Z226" s="8"/>
    </row>
    <row r="227" spans="1:26">
      <c r="A227" s="8"/>
      <c r="B227" s="10"/>
      <c r="C227" s="8"/>
      <c r="D227" s="8"/>
      <c r="E227" s="8"/>
      <c r="F227" s="8"/>
      <c r="G227" s="11"/>
      <c r="H227" s="8"/>
      <c r="I227" s="8"/>
      <c r="J227" s="8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9" t="str">
        <f t="shared" si="3"/>
        <v/>
      </c>
      <c r="V227" s="8"/>
      <c r="W227" s="8"/>
      <c r="X227" s="8"/>
      <c r="Y227" s="10"/>
      <c r="Z227" s="8"/>
    </row>
    <row r="228" spans="1:26">
      <c r="A228" s="8"/>
      <c r="B228" s="10"/>
      <c r="C228" s="8"/>
      <c r="D228" s="8"/>
      <c r="E228" s="8"/>
      <c r="F228" s="8"/>
      <c r="G228" s="11"/>
      <c r="H228" s="8"/>
      <c r="I228" s="8"/>
      <c r="J228" s="8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9" t="str">
        <f t="shared" si="3"/>
        <v/>
      </c>
      <c r="V228" s="8"/>
      <c r="W228" s="8"/>
      <c r="X228" s="8"/>
      <c r="Y228" s="10"/>
      <c r="Z228" s="8"/>
    </row>
    <row r="229" spans="1:26">
      <c r="A229" s="8"/>
      <c r="B229" s="10"/>
      <c r="C229" s="8"/>
      <c r="D229" s="8"/>
      <c r="E229" s="8"/>
      <c r="F229" s="8"/>
      <c r="G229" s="11"/>
      <c r="H229" s="8"/>
      <c r="I229" s="8"/>
      <c r="J229" s="8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9" t="str">
        <f t="shared" si="3"/>
        <v/>
      </c>
      <c r="V229" s="8"/>
      <c r="W229" s="8"/>
      <c r="X229" s="8"/>
      <c r="Y229" s="10"/>
      <c r="Z229" s="8"/>
    </row>
    <row r="230" spans="1:26">
      <c r="A230" s="8"/>
      <c r="B230" s="10"/>
      <c r="C230" s="8"/>
      <c r="D230" s="8"/>
      <c r="E230" s="8"/>
      <c r="F230" s="8"/>
      <c r="G230" s="11"/>
      <c r="H230" s="8"/>
      <c r="I230" s="8"/>
      <c r="J230" s="8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9" t="str">
        <f t="shared" si="3"/>
        <v/>
      </c>
      <c r="V230" s="8"/>
      <c r="W230" s="8"/>
      <c r="X230" s="8"/>
      <c r="Y230" s="10"/>
      <c r="Z230" s="8"/>
    </row>
    <row r="231" spans="1:26">
      <c r="A231" s="8"/>
      <c r="B231" s="10"/>
      <c r="C231" s="8"/>
      <c r="D231" s="8"/>
      <c r="E231" s="8"/>
      <c r="F231" s="8"/>
      <c r="G231" s="11"/>
      <c r="H231" s="8"/>
      <c r="I231" s="8"/>
      <c r="J231" s="8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9" t="str">
        <f t="shared" si="3"/>
        <v/>
      </c>
      <c r="V231" s="8"/>
      <c r="W231" s="8"/>
      <c r="X231" s="8"/>
      <c r="Y231" s="10"/>
      <c r="Z231" s="8"/>
    </row>
    <row r="232" spans="1:26">
      <c r="A232" s="8"/>
      <c r="B232" s="10"/>
      <c r="C232" s="8"/>
      <c r="D232" s="8"/>
      <c r="E232" s="8"/>
      <c r="F232" s="8"/>
      <c r="G232" s="11"/>
      <c r="H232" s="8"/>
      <c r="I232" s="8"/>
      <c r="J232" s="8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9" t="str">
        <f t="shared" si="3"/>
        <v/>
      </c>
      <c r="V232" s="8"/>
      <c r="W232" s="8"/>
      <c r="X232" s="8"/>
      <c r="Y232" s="10"/>
      <c r="Z232" s="8"/>
    </row>
    <row r="233" spans="1:26">
      <c r="A233" s="8"/>
      <c r="B233" s="10"/>
      <c r="C233" s="8"/>
      <c r="D233" s="8"/>
      <c r="E233" s="8"/>
      <c r="F233" s="8"/>
      <c r="G233" s="11"/>
      <c r="H233" s="8"/>
      <c r="I233" s="8"/>
      <c r="J233" s="8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9" t="str">
        <f t="shared" si="3"/>
        <v/>
      </c>
      <c r="V233" s="8"/>
      <c r="W233" s="8"/>
      <c r="X233" s="8"/>
      <c r="Y233" s="10"/>
      <c r="Z233" s="8"/>
    </row>
    <row r="234" spans="1:26">
      <c r="A234" s="8"/>
      <c r="B234" s="10"/>
      <c r="C234" s="8"/>
      <c r="D234" s="8"/>
      <c r="E234" s="8"/>
      <c r="F234" s="8"/>
      <c r="G234" s="11"/>
      <c r="H234" s="8"/>
      <c r="I234" s="8"/>
      <c r="J234" s="8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9" t="str">
        <f t="shared" si="3"/>
        <v/>
      </c>
      <c r="V234" s="8"/>
      <c r="W234" s="8"/>
      <c r="X234" s="8"/>
      <c r="Y234" s="10"/>
      <c r="Z234" s="8"/>
    </row>
    <row r="235" spans="1:26">
      <c r="A235" s="8"/>
      <c r="B235" s="10"/>
      <c r="C235" s="8"/>
      <c r="D235" s="8"/>
      <c r="E235" s="8"/>
      <c r="F235" s="8"/>
      <c r="G235" s="11"/>
      <c r="H235" s="8"/>
      <c r="I235" s="8"/>
      <c r="J235" s="8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9" t="str">
        <f t="shared" si="3"/>
        <v/>
      </c>
      <c r="V235" s="8"/>
      <c r="W235" s="8"/>
      <c r="X235" s="8"/>
      <c r="Y235" s="10"/>
      <c r="Z235" s="8"/>
    </row>
    <row r="236" spans="1:26">
      <c r="A236" s="8"/>
      <c r="B236" s="10"/>
      <c r="C236" s="8"/>
      <c r="D236" s="8"/>
      <c r="E236" s="8"/>
      <c r="F236" s="8"/>
      <c r="G236" s="11"/>
      <c r="H236" s="8"/>
      <c r="I236" s="8"/>
      <c r="J236" s="8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9" t="str">
        <f t="shared" si="3"/>
        <v/>
      </c>
      <c r="V236" s="8"/>
      <c r="W236" s="8"/>
      <c r="X236" s="8"/>
      <c r="Y236" s="10"/>
      <c r="Z236" s="8"/>
    </row>
    <row r="237" spans="1:26">
      <c r="A237" s="8"/>
      <c r="B237" s="10"/>
      <c r="C237" s="8"/>
      <c r="D237" s="8"/>
      <c r="E237" s="8"/>
      <c r="F237" s="8"/>
      <c r="G237" s="11"/>
      <c r="H237" s="8"/>
      <c r="I237" s="8"/>
      <c r="J237" s="8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9" t="str">
        <f t="shared" si="3"/>
        <v/>
      </c>
      <c r="V237" s="8"/>
      <c r="W237" s="8"/>
      <c r="X237" s="8"/>
      <c r="Y237" s="10"/>
      <c r="Z237" s="8"/>
    </row>
    <row r="238" spans="1:26">
      <c r="A238" s="8"/>
      <c r="B238" s="10"/>
      <c r="C238" s="8"/>
      <c r="D238" s="8"/>
      <c r="E238" s="8"/>
      <c r="F238" s="8"/>
      <c r="G238" s="11"/>
      <c r="H238" s="8"/>
      <c r="I238" s="8"/>
      <c r="J238" s="8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9" t="str">
        <f t="shared" si="3"/>
        <v/>
      </c>
      <c r="V238" s="8"/>
      <c r="W238" s="8"/>
      <c r="X238" s="8"/>
      <c r="Y238" s="10"/>
      <c r="Z238" s="8"/>
    </row>
    <row r="239" spans="1:26">
      <c r="A239" s="8"/>
      <c r="B239" s="10"/>
      <c r="C239" s="8"/>
      <c r="D239" s="8"/>
      <c r="E239" s="8"/>
      <c r="F239" s="8"/>
      <c r="G239" s="11"/>
      <c r="H239" s="8"/>
      <c r="I239" s="8"/>
      <c r="J239" s="8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9" t="str">
        <f t="shared" si="3"/>
        <v/>
      </c>
      <c r="V239" s="8"/>
      <c r="W239" s="8"/>
      <c r="X239" s="8"/>
      <c r="Y239" s="10"/>
      <c r="Z239" s="8"/>
    </row>
    <row r="240" spans="1:26">
      <c r="A240" s="8"/>
      <c r="B240" s="10"/>
      <c r="C240" s="8"/>
      <c r="D240" s="8"/>
      <c r="E240" s="8"/>
      <c r="F240" s="8"/>
      <c r="G240" s="11"/>
      <c r="H240" s="8"/>
      <c r="I240" s="8"/>
      <c r="J240" s="8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9" t="str">
        <f t="shared" si="3"/>
        <v/>
      </c>
      <c r="V240" s="8"/>
      <c r="W240" s="8"/>
      <c r="X240" s="8"/>
      <c r="Y240" s="10"/>
      <c r="Z240" s="8"/>
    </row>
    <row r="241" spans="1:26">
      <c r="A241" s="8"/>
      <c r="B241" s="10"/>
      <c r="C241" s="8"/>
      <c r="D241" s="8"/>
      <c r="E241" s="8"/>
      <c r="F241" s="8"/>
      <c r="G241" s="11"/>
      <c r="H241" s="8"/>
      <c r="I241" s="8"/>
      <c r="J241" s="8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9" t="str">
        <f t="shared" si="3"/>
        <v/>
      </c>
      <c r="V241" s="8"/>
      <c r="W241" s="8"/>
      <c r="X241" s="8"/>
      <c r="Y241" s="10"/>
      <c r="Z241" s="8"/>
    </row>
    <row r="242" spans="1:26">
      <c r="A242" s="8"/>
      <c r="B242" s="10"/>
      <c r="C242" s="8"/>
      <c r="D242" s="8"/>
      <c r="E242" s="8"/>
      <c r="F242" s="8"/>
      <c r="G242" s="11"/>
      <c r="H242" s="8"/>
      <c r="I242" s="8"/>
      <c r="J242" s="8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9" t="str">
        <f t="shared" si="3"/>
        <v/>
      </c>
      <c r="V242" s="8"/>
      <c r="W242" s="8"/>
      <c r="X242" s="8"/>
      <c r="Y242" s="10"/>
      <c r="Z242" s="8"/>
    </row>
    <row r="243" spans="1:26">
      <c r="A243" s="8"/>
      <c r="B243" s="10"/>
      <c r="C243" s="8"/>
      <c r="D243" s="8"/>
      <c r="E243" s="8"/>
      <c r="F243" s="8"/>
      <c r="G243" s="11"/>
      <c r="H243" s="8"/>
      <c r="I243" s="8"/>
      <c r="J243" s="8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9" t="str">
        <f t="shared" si="3"/>
        <v/>
      </c>
      <c r="V243" s="8"/>
      <c r="W243" s="8"/>
      <c r="X243" s="8"/>
      <c r="Y243" s="10"/>
      <c r="Z243" s="8"/>
    </row>
    <row r="244" spans="1:26">
      <c r="A244" s="8"/>
      <c r="B244" s="10"/>
      <c r="C244" s="8"/>
      <c r="D244" s="8"/>
      <c r="E244" s="8"/>
      <c r="F244" s="8"/>
      <c r="G244" s="11"/>
      <c r="H244" s="8"/>
      <c r="I244" s="8"/>
      <c r="J244" s="8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9" t="str">
        <f t="shared" si="3"/>
        <v/>
      </c>
      <c r="V244" s="8"/>
      <c r="W244" s="8"/>
      <c r="X244" s="8"/>
      <c r="Y244" s="10"/>
      <c r="Z244" s="8"/>
    </row>
    <row r="245" spans="1:26">
      <c r="A245" s="8"/>
      <c r="B245" s="10"/>
      <c r="C245" s="8"/>
      <c r="D245" s="8"/>
      <c r="E245" s="8"/>
      <c r="F245" s="8"/>
      <c r="G245" s="11"/>
      <c r="H245" s="8"/>
      <c r="I245" s="8"/>
      <c r="J245" s="8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9" t="str">
        <f t="shared" si="3"/>
        <v/>
      </c>
      <c r="V245" s="8"/>
      <c r="W245" s="8"/>
      <c r="X245" s="8"/>
      <c r="Y245" s="10"/>
      <c r="Z245" s="8"/>
    </row>
    <row r="246" spans="1:26">
      <c r="A246" s="8"/>
      <c r="B246" s="10"/>
      <c r="C246" s="8"/>
      <c r="D246" s="8"/>
      <c r="E246" s="8"/>
      <c r="F246" s="8"/>
      <c r="G246" s="11"/>
      <c r="H246" s="8"/>
      <c r="I246" s="8"/>
      <c r="J246" s="8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9" t="str">
        <f t="shared" si="3"/>
        <v/>
      </c>
      <c r="V246" s="8"/>
      <c r="W246" s="8"/>
      <c r="X246" s="8"/>
      <c r="Y246" s="10"/>
      <c r="Z246" s="8"/>
    </row>
    <row r="247" spans="1:26">
      <c r="A247" s="8"/>
      <c r="B247" s="10"/>
      <c r="C247" s="8"/>
      <c r="D247" s="8"/>
      <c r="E247" s="8"/>
      <c r="F247" s="8"/>
      <c r="G247" s="11"/>
      <c r="H247" s="8"/>
      <c r="I247" s="8"/>
      <c r="J247" s="8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9" t="str">
        <f t="shared" si="3"/>
        <v/>
      </c>
      <c r="V247" s="8"/>
      <c r="W247" s="8"/>
      <c r="X247" s="8"/>
      <c r="Y247" s="10"/>
      <c r="Z247" s="8"/>
    </row>
    <row r="248" spans="1:26">
      <c r="A248" s="8"/>
      <c r="B248" s="10"/>
      <c r="C248" s="8"/>
      <c r="D248" s="8"/>
      <c r="E248" s="8"/>
      <c r="F248" s="8"/>
      <c r="G248" s="11"/>
      <c r="H248" s="8"/>
      <c r="I248" s="8"/>
      <c r="J248" s="8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9" t="str">
        <f t="shared" si="3"/>
        <v/>
      </c>
      <c r="V248" s="8"/>
      <c r="W248" s="8"/>
      <c r="X248" s="8"/>
      <c r="Y248" s="10"/>
      <c r="Z248" s="8"/>
    </row>
    <row r="249" spans="1:26">
      <c r="A249" s="8"/>
      <c r="B249" s="10"/>
      <c r="C249" s="8"/>
      <c r="D249" s="8"/>
      <c r="E249" s="8"/>
      <c r="F249" s="8"/>
      <c r="G249" s="11"/>
      <c r="H249" s="8"/>
      <c r="I249" s="8"/>
      <c r="J249" s="8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9" t="str">
        <f t="shared" si="3"/>
        <v/>
      </c>
      <c r="V249" s="8"/>
      <c r="W249" s="8"/>
      <c r="X249" s="8"/>
      <c r="Y249" s="10"/>
      <c r="Z249" s="8"/>
    </row>
    <row r="250" spans="1:26">
      <c r="A250" s="8"/>
      <c r="B250" s="10"/>
      <c r="C250" s="8"/>
      <c r="D250" s="8"/>
      <c r="E250" s="8"/>
      <c r="F250" s="8"/>
      <c r="G250" s="11"/>
      <c r="H250" s="8"/>
      <c r="I250" s="8"/>
      <c r="J250" s="8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9" t="str">
        <f t="shared" si="3"/>
        <v/>
      </c>
      <c r="V250" s="8"/>
      <c r="W250" s="8"/>
      <c r="X250" s="8"/>
      <c r="Y250" s="10"/>
      <c r="Z250" s="8"/>
    </row>
    <row r="251" spans="1:26">
      <c r="A251" s="8"/>
      <c r="B251" s="10"/>
      <c r="C251" s="8"/>
      <c r="D251" s="8"/>
      <c r="E251" s="8"/>
      <c r="F251" s="8"/>
      <c r="G251" s="11"/>
      <c r="H251" s="8"/>
      <c r="I251" s="8"/>
      <c r="J251" s="8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9" t="str">
        <f t="shared" si="3"/>
        <v/>
      </c>
      <c r="V251" s="8"/>
      <c r="W251" s="8"/>
      <c r="X251" s="8"/>
      <c r="Y251" s="10"/>
      <c r="Z251" s="8"/>
    </row>
    <row r="252" spans="1:26">
      <c r="A252" s="8"/>
      <c r="B252" s="10"/>
      <c r="C252" s="8"/>
      <c r="D252" s="8"/>
      <c r="E252" s="8"/>
      <c r="F252" s="8"/>
      <c r="G252" s="11"/>
      <c r="H252" s="8"/>
      <c r="I252" s="8"/>
      <c r="J252" s="8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9" t="str">
        <f t="shared" si="3"/>
        <v/>
      </c>
      <c r="V252" s="8"/>
      <c r="W252" s="8"/>
      <c r="X252" s="8"/>
      <c r="Y252" s="10"/>
      <c r="Z252" s="8"/>
    </row>
    <row r="253" spans="1:26">
      <c r="A253" s="8"/>
      <c r="B253" s="10"/>
      <c r="C253" s="8"/>
      <c r="D253" s="8"/>
      <c r="E253" s="8"/>
      <c r="F253" s="8"/>
      <c r="G253" s="11"/>
      <c r="H253" s="8"/>
      <c r="I253" s="8"/>
      <c r="J253" s="8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9" t="str">
        <f t="shared" si="3"/>
        <v/>
      </c>
      <c r="V253" s="8"/>
      <c r="W253" s="8"/>
      <c r="X253" s="8"/>
      <c r="Y253" s="10"/>
      <c r="Z253" s="8"/>
    </row>
    <row r="254" spans="1:26">
      <c r="A254" s="8"/>
      <c r="B254" s="10"/>
      <c r="C254" s="8"/>
      <c r="D254" s="8"/>
      <c r="E254" s="8"/>
      <c r="F254" s="8"/>
      <c r="G254" s="11"/>
      <c r="H254" s="8"/>
      <c r="I254" s="8"/>
      <c r="J254" s="8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9" t="str">
        <f t="shared" si="3"/>
        <v/>
      </c>
      <c r="V254" s="8"/>
      <c r="W254" s="8"/>
      <c r="X254" s="8"/>
      <c r="Y254" s="10"/>
      <c r="Z254" s="8"/>
    </row>
    <row r="255" spans="1:26">
      <c r="A255" s="8"/>
      <c r="B255" s="10"/>
      <c r="C255" s="8"/>
      <c r="D255" s="8"/>
      <c r="E255" s="8"/>
      <c r="F255" s="8"/>
      <c r="G255" s="11"/>
      <c r="H255" s="8"/>
      <c r="I255" s="8"/>
      <c r="J255" s="8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9" t="str">
        <f t="shared" si="3"/>
        <v/>
      </c>
      <c r="V255" s="8"/>
      <c r="W255" s="8"/>
      <c r="X255" s="8"/>
      <c r="Y255" s="10"/>
      <c r="Z255" s="8"/>
    </row>
    <row r="256" spans="1:26">
      <c r="A256" s="8"/>
      <c r="B256" s="10"/>
      <c r="C256" s="8"/>
      <c r="D256" s="8"/>
      <c r="E256" s="8"/>
      <c r="F256" s="8"/>
      <c r="G256" s="11"/>
      <c r="H256" s="8"/>
      <c r="I256" s="8"/>
      <c r="J256" s="8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9" t="str">
        <f t="shared" si="3"/>
        <v/>
      </c>
      <c r="V256" s="8"/>
      <c r="W256" s="8"/>
      <c r="X256" s="8"/>
      <c r="Y256" s="10"/>
      <c r="Z256" s="8"/>
    </row>
    <row r="257" spans="1:26">
      <c r="A257" s="8"/>
      <c r="B257" s="10"/>
      <c r="C257" s="8"/>
      <c r="D257" s="8"/>
      <c r="E257" s="8"/>
      <c r="F257" s="8"/>
      <c r="G257" s="11"/>
      <c r="H257" s="8"/>
      <c r="I257" s="8"/>
      <c r="J257" s="8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9" t="str">
        <f t="shared" si="3"/>
        <v/>
      </c>
      <c r="V257" s="8"/>
      <c r="W257" s="8"/>
      <c r="X257" s="8"/>
      <c r="Y257" s="10"/>
      <c r="Z257" s="8"/>
    </row>
    <row r="258" spans="1:26">
      <c r="A258" s="8"/>
      <c r="B258" s="10"/>
      <c r="C258" s="8"/>
      <c r="D258" s="8"/>
      <c r="E258" s="8"/>
      <c r="F258" s="8"/>
      <c r="G258" s="11"/>
      <c r="H258" s="8"/>
      <c r="I258" s="8"/>
      <c r="J258" s="8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9" t="str">
        <f t="shared" si="3"/>
        <v/>
      </c>
      <c r="V258" s="8"/>
      <c r="W258" s="8"/>
      <c r="X258" s="8"/>
      <c r="Y258" s="10"/>
      <c r="Z258" s="8"/>
    </row>
    <row r="259" spans="1:26">
      <c r="A259" s="8"/>
      <c r="B259" s="10"/>
      <c r="C259" s="8"/>
      <c r="D259" s="8"/>
      <c r="E259" s="8"/>
      <c r="F259" s="8"/>
      <c r="G259" s="11"/>
      <c r="H259" s="8"/>
      <c r="I259" s="8"/>
      <c r="J259" s="8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9" t="str">
        <f t="shared" si="3"/>
        <v/>
      </c>
      <c r="V259" s="8"/>
      <c r="W259" s="8"/>
      <c r="X259" s="8"/>
      <c r="Y259" s="10"/>
      <c r="Z259" s="8"/>
    </row>
    <row r="260" spans="1:26">
      <c r="A260" s="8"/>
      <c r="B260" s="10"/>
      <c r="C260" s="8"/>
      <c r="D260" s="8"/>
      <c r="E260" s="8"/>
      <c r="F260" s="8"/>
      <c r="G260" s="11"/>
      <c r="H260" s="8"/>
      <c r="I260" s="8"/>
      <c r="J260" s="8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9" t="str">
        <f t="shared" si="3"/>
        <v/>
      </c>
      <c r="V260" s="8"/>
      <c r="W260" s="8"/>
      <c r="X260" s="8"/>
      <c r="Y260" s="10"/>
      <c r="Z260" s="8"/>
    </row>
    <row r="261" spans="1:26">
      <c r="A261" s="8"/>
      <c r="B261" s="10"/>
      <c r="C261" s="8"/>
      <c r="D261" s="8"/>
      <c r="E261" s="8"/>
      <c r="F261" s="8"/>
      <c r="G261" s="11"/>
      <c r="H261" s="8"/>
      <c r="I261" s="8"/>
      <c r="J261" s="8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9" t="str">
        <f t="shared" ref="U261:U324" si="4">IF(A261="","",IF(OR(L261&gt;=R261,M261&gt;=S261,N261&gt;=T261),"Failed","Passed"))</f>
        <v/>
      </c>
      <c r="V261" s="8"/>
      <c r="W261" s="8"/>
      <c r="X261" s="8"/>
      <c r="Y261" s="10"/>
      <c r="Z261" s="8"/>
    </row>
    <row r="262" spans="1:26">
      <c r="A262" s="8"/>
      <c r="B262" s="10"/>
      <c r="C262" s="8"/>
      <c r="D262" s="8"/>
      <c r="E262" s="8"/>
      <c r="F262" s="8"/>
      <c r="G262" s="11"/>
      <c r="H262" s="8"/>
      <c r="I262" s="8"/>
      <c r="J262" s="8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9" t="str">
        <f t="shared" si="4"/>
        <v/>
      </c>
      <c r="V262" s="8"/>
      <c r="W262" s="8"/>
      <c r="X262" s="8"/>
      <c r="Y262" s="10"/>
      <c r="Z262" s="8"/>
    </row>
    <row r="263" spans="1:26">
      <c r="A263" s="8"/>
      <c r="B263" s="10"/>
      <c r="C263" s="8"/>
      <c r="D263" s="8"/>
      <c r="E263" s="8"/>
      <c r="F263" s="8"/>
      <c r="G263" s="11"/>
      <c r="H263" s="8"/>
      <c r="I263" s="8"/>
      <c r="J263" s="8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9" t="str">
        <f t="shared" si="4"/>
        <v/>
      </c>
      <c r="V263" s="8"/>
      <c r="W263" s="8"/>
      <c r="X263" s="8"/>
      <c r="Y263" s="10"/>
      <c r="Z263" s="8"/>
    </row>
    <row r="264" spans="1:26">
      <c r="A264" s="8"/>
      <c r="B264" s="10"/>
      <c r="C264" s="8"/>
      <c r="D264" s="8"/>
      <c r="E264" s="8"/>
      <c r="F264" s="8"/>
      <c r="G264" s="11"/>
      <c r="H264" s="8"/>
      <c r="I264" s="8"/>
      <c r="J264" s="8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9" t="str">
        <f t="shared" si="4"/>
        <v/>
      </c>
      <c r="V264" s="8"/>
      <c r="W264" s="8"/>
      <c r="X264" s="8"/>
      <c r="Y264" s="10"/>
      <c r="Z264" s="8"/>
    </row>
    <row r="265" spans="1:26">
      <c r="A265" s="8"/>
      <c r="B265" s="10"/>
      <c r="C265" s="8"/>
      <c r="D265" s="8"/>
      <c r="E265" s="8"/>
      <c r="F265" s="8"/>
      <c r="G265" s="11"/>
      <c r="H265" s="8"/>
      <c r="I265" s="8"/>
      <c r="J265" s="8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9" t="str">
        <f t="shared" si="4"/>
        <v/>
      </c>
      <c r="V265" s="8"/>
      <c r="W265" s="8"/>
      <c r="X265" s="8"/>
      <c r="Y265" s="10"/>
      <c r="Z265" s="8"/>
    </row>
    <row r="266" spans="1:26">
      <c r="A266" s="8"/>
      <c r="B266" s="10"/>
      <c r="C266" s="8"/>
      <c r="D266" s="8"/>
      <c r="E266" s="8"/>
      <c r="F266" s="8"/>
      <c r="G266" s="11"/>
      <c r="H266" s="8"/>
      <c r="I266" s="8"/>
      <c r="J266" s="8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9" t="str">
        <f t="shared" si="4"/>
        <v/>
      </c>
      <c r="V266" s="8"/>
      <c r="W266" s="8"/>
      <c r="X266" s="8"/>
      <c r="Y266" s="10"/>
      <c r="Z266" s="8"/>
    </row>
    <row r="267" spans="1:26">
      <c r="A267" s="8"/>
      <c r="B267" s="10"/>
      <c r="C267" s="8"/>
      <c r="D267" s="8"/>
      <c r="E267" s="8"/>
      <c r="F267" s="8"/>
      <c r="G267" s="11"/>
      <c r="H267" s="8"/>
      <c r="I267" s="8"/>
      <c r="J267" s="8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9" t="str">
        <f t="shared" si="4"/>
        <v/>
      </c>
      <c r="V267" s="8"/>
      <c r="W267" s="8"/>
      <c r="X267" s="8"/>
      <c r="Y267" s="10"/>
      <c r="Z267" s="8"/>
    </row>
    <row r="268" spans="1:26">
      <c r="A268" s="8"/>
      <c r="B268" s="10"/>
      <c r="C268" s="8"/>
      <c r="D268" s="8"/>
      <c r="E268" s="8"/>
      <c r="F268" s="8"/>
      <c r="G268" s="11"/>
      <c r="H268" s="8"/>
      <c r="I268" s="8"/>
      <c r="J268" s="8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9" t="str">
        <f t="shared" si="4"/>
        <v/>
      </c>
      <c r="V268" s="8"/>
      <c r="W268" s="8"/>
      <c r="X268" s="8"/>
      <c r="Y268" s="10"/>
      <c r="Z268" s="8"/>
    </row>
    <row r="269" spans="1:26">
      <c r="A269" s="8"/>
      <c r="B269" s="10"/>
      <c r="C269" s="8"/>
      <c r="D269" s="8"/>
      <c r="E269" s="8"/>
      <c r="F269" s="8"/>
      <c r="G269" s="11"/>
      <c r="H269" s="8"/>
      <c r="I269" s="8"/>
      <c r="J269" s="8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9" t="str">
        <f t="shared" si="4"/>
        <v/>
      </c>
      <c r="V269" s="8"/>
      <c r="W269" s="8"/>
      <c r="X269" s="8"/>
      <c r="Y269" s="10"/>
      <c r="Z269" s="8"/>
    </row>
    <row r="270" spans="1:26">
      <c r="A270" s="8"/>
      <c r="B270" s="10"/>
      <c r="C270" s="8"/>
      <c r="D270" s="8"/>
      <c r="E270" s="8"/>
      <c r="F270" s="8"/>
      <c r="G270" s="11"/>
      <c r="H270" s="8"/>
      <c r="I270" s="8"/>
      <c r="J270" s="8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9" t="str">
        <f t="shared" si="4"/>
        <v/>
      </c>
      <c r="V270" s="8"/>
      <c r="W270" s="8"/>
      <c r="X270" s="8"/>
      <c r="Y270" s="10"/>
      <c r="Z270" s="8"/>
    </row>
    <row r="271" spans="1:26">
      <c r="A271" s="8"/>
      <c r="B271" s="10"/>
      <c r="C271" s="8"/>
      <c r="D271" s="8"/>
      <c r="E271" s="8"/>
      <c r="F271" s="8"/>
      <c r="G271" s="11"/>
      <c r="H271" s="8"/>
      <c r="I271" s="8"/>
      <c r="J271" s="8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9" t="str">
        <f t="shared" si="4"/>
        <v/>
      </c>
      <c r="V271" s="8"/>
      <c r="W271" s="8"/>
      <c r="X271" s="8"/>
      <c r="Y271" s="10"/>
      <c r="Z271" s="8"/>
    </row>
    <row r="272" spans="1:26">
      <c r="A272" s="8"/>
      <c r="B272" s="10"/>
      <c r="C272" s="8"/>
      <c r="D272" s="8"/>
      <c r="E272" s="8"/>
      <c r="F272" s="8"/>
      <c r="G272" s="11"/>
      <c r="H272" s="8"/>
      <c r="I272" s="8"/>
      <c r="J272" s="8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9" t="str">
        <f t="shared" si="4"/>
        <v/>
      </c>
      <c r="V272" s="8"/>
      <c r="W272" s="8"/>
      <c r="X272" s="8"/>
      <c r="Y272" s="10"/>
      <c r="Z272" s="8"/>
    </row>
    <row r="273" spans="1:26">
      <c r="A273" s="8"/>
      <c r="B273" s="10"/>
      <c r="C273" s="8"/>
      <c r="D273" s="8"/>
      <c r="E273" s="8"/>
      <c r="F273" s="8"/>
      <c r="G273" s="11"/>
      <c r="H273" s="8"/>
      <c r="I273" s="8"/>
      <c r="J273" s="8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9" t="str">
        <f t="shared" si="4"/>
        <v/>
      </c>
      <c r="V273" s="8"/>
      <c r="W273" s="8"/>
      <c r="X273" s="8"/>
      <c r="Y273" s="10"/>
      <c r="Z273" s="8"/>
    </row>
    <row r="274" spans="1:26">
      <c r="A274" s="8"/>
      <c r="B274" s="10"/>
      <c r="C274" s="8"/>
      <c r="D274" s="8"/>
      <c r="E274" s="8"/>
      <c r="F274" s="8"/>
      <c r="G274" s="11"/>
      <c r="H274" s="8"/>
      <c r="I274" s="8"/>
      <c r="J274" s="8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9" t="str">
        <f t="shared" si="4"/>
        <v/>
      </c>
      <c r="V274" s="8"/>
      <c r="W274" s="8"/>
      <c r="X274" s="8"/>
      <c r="Y274" s="10"/>
      <c r="Z274" s="8"/>
    </row>
    <row r="275" spans="1:26">
      <c r="A275" s="8"/>
      <c r="B275" s="10"/>
      <c r="C275" s="8"/>
      <c r="D275" s="8"/>
      <c r="E275" s="8"/>
      <c r="F275" s="8"/>
      <c r="G275" s="11"/>
      <c r="H275" s="8"/>
      <c r="I275" s="8"/>
      <c r="J275" s="8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9" t="str">
        <f t="shared" si="4"/>
        <v/>
      </c>
      <c r="V275" s="8"/>
      <c r="W275" s="8"/>
      <c r="X275" s="8"/>
      <c r="Y275" s="10"/>
      <c r="Z275" s="8"/>
    </row>
    <row r="276" spans="1:26">
      <c r="A276" s="8"/>
      <c r="B276" s="10"/>
      <c r="C276" s="8"/>
      <c r="D276" s="8"/>
      <c r="E276" s="8"/>
      <c r="F276" s="8"/>
      <c r="G276" s="11"/>
      <c r="H276" s="8"/>
      <c r="I276" s="8"/>
      <c r="J276" s="8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9" t="str">
        <f t="shared" si="4"/>
        <v/>
      </c>
      <c r="V276" s="8"/>
      <c r="W276" s="8"/>
      <c r="X276" s="8"/>
      <c r="Y276" s="10"/>
      <c r="Z276" s="8"/>
    </row>
    <row r="277" spans="1:26">
      <c r="A277" s="8"/>
      <c r="B277" s="10"/>
      <c r="C277" s="8"/>
      <c r="D277" s="8"/>
      <c r="E277" s="8"/>
      <c r="F277" s="8"/>
      <c r="G277" s="11"/>
      <c r="H277" s="8"/>
      <c r="I277" s="8"/>
      <c r="J277" s="8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9" t="str">
        <f t="shared" si="4"/>
        <v/>
      </c>
      <c r="V277" s="8"/>
      <c r="W277" s="8"/>
      <c r="X277" s="8"/>
      <c r="Y277" s="10"/>
      <c r="Z277" s="8"/>
    </row>
    <row r="278" spans="1:26">
      <c r="A278" s="8"/>
      <c r="B278" s="10"/>
      <c r="C278" s="8"/>
      <c r="D278" s="8"/>
      <c r="E278" s="8"/>
      <c r="F278" s="8"/>
      <c r="G278" s="11"/>
      <c r="H278" s="8"/>
      <c r="I278" s="8"/>
      <c r="J278" s="8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9" t="str">
        <f t="shared" si="4"/>
        <v/>
      </c>
      <c r="V278" s="8"/>
      <c r="W278" s="8"/>
      <c r="X278" s="8"/>
      <c r="Y278" s="10"/>
      <c r="Z278" s="8"/>
    </row>
    <row r="279" spans="1:26">
      <c r="A279" s="8"/>
      <c r="B279" s="10"/>
      <c r="C279" s="8"/>
      <c r="D279" s="8"/>
      <c r="E279" s="8"/>
      <c r="F279" s="8"/>
      <c r="G279" s="11"/>
      <c r="H279" s="8"/>
      <c r="I279" s="8"/>
      <c r="J279" s="8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9" t="str">
        <f t="shared" si="4"/>
        <v/>
      </c>
      <c r="V279" s="8"/>
      <c r="W279" s="8"/>
      <c r="X279" s="8"/>
      <c r="Y279" s="10"/>
      <c r="Z279" s="8"/>
    </row>
    <row r="280" spans="1:26">
      <c r="A280" s="8"/>
      <c r="B280" s="10"/>
      <c r="C280" s="8"/>
      <c r="D280" s="8"/>
      <c r="E280" s="8"/>
      <c r="F280" s="8"/>
      <c r="G280" s="11"/>
      <c r="H280" s="8"/>
      <c r="I280" s="8"/>
      <c r="J280" s="8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9" t="str">
        <f t="shared" si="4"/>
        <v/>
      </c>
      <c r="V280" s="8"/>
      <c r="W280" s="8"/>
      <c r="X280" s="8"/>
      <c r="Y280" s="10"/>
      <c r="Z280" s="8"/>
    </row>
    <row r="281" spans="1:26">
      <c r="A281" s="8"/>
      <c r="B281" s="10"/>
      <c r="C281" s="8"/>
      <c r="D281" s="8"/>
      <c r="E281" s="8"/>
      <c r="F281" s="8"/>
      <c r="G281" s="11"/>
      <c r="H281" s="8"/>
      <c r="I281" s="8"/>
      <c r="J281" s="8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9" t="str">
        <f t="shared" si="4"/>
        <v/>
      </c>
      <c r="V281" s="8"/>
      <c r="W281" s="8"/>
      <c r="X281" s="8"/>
      <c r="Y281" s="10"/>
      <c r="Z281" s="8"/>
    </row>
    <row r="282" spans="1:26">
      <c r="A282" s="8"/>
      <c r="B282" s="10"/>
      <c r="C282" s="8"/>
      <c r="D282" s="8"/>
      <c r="E282" s="8"/>
      <c r="F282" s="8"/>
      <c r="G282" s="11"/>
      <c r="H282" s="8"/>
      <c r="I282" s="8"/>
      <c r="J282" s="8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9" t="str">
        <f t="shared" si="4"/>
        <v/>
      </c>
      <c r="V282" s="8"/>
      <c r="W282" s="8"/>
      <c r="X282" s="8"/>
      <c r="Y282" s="10"/>
      <c r="Z282" s="8"/>
    </row>
    <row r="283" spans="1:26">
      <c r="A283" s="8"/>
      <c r="B283" s="10"/>
      <c r="C283" s="8"/>
      <c r="D283" s="8"/>
      <c r="E283" s="8"/>
      <c r="F283" s="8"/>
      <c r="G283" s="11"/>
      <c r="H283" s="8"/>
      <c r="I283" s="8"/>
      <c r="J283" s="8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9" t="str">
        <f t="shared" si="4"/>
        <v/>
      </c>
      <c r="V283" s="8"/>
      <c r="W283" s="8"/>
      <c r="X283" s="8"/>
      <c r="Y283" s="10"/>
      <c r="Z283" s="8"/>
    </row>
    <row r="284" spans="1:26">
      <c r="A284" s="8"/>
      <c r="B284" s="10"/>
      <c r="C284" s="8"/>
      <c r="D284" s="8"/>
      <c r="E284" s="8"/>
      <c r="F284" s="8"/>
      <c r="G284" s="11"/>
      <c r="H284" s="8"/>
      <c r="I284" s="8"/>
      <c r="J284" s="8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9" t="str">
        <f t="shared" si="4"/>
        <v/>
      </c>
      <c r="V284" s="8"/>
      <c r="W284" s="8"/>
      <c r="X284" s="8"/>
      <c r="Y284" s="10"/>
      <c r="Z284" s="8"/>
    </row>
    <row r="285" spans="1:26">
      <c r="A285" s="8"/>
      <c r="B285" s="10"/>
      <c r="C285" s="8"/>
      <c r="D285" s="8"/>
      <c r="E285" s="8"/>
      <c r="F285" s="8"/>
      <c r="G285" s="11"/>
      <c r="H285" s="8"/>
      <c r="I285" s="8"/>
      <c r="J285" s="8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9" t="str">
        <f t="shared" si="4"/>
        <v/>
      </c>
      <c r="V285" s="8"/>
      <c r="W285" s="8"/>
      <c r="X285" s="8"/>
      <c r="Y285" s="10"/>
      <c r="Z285" s="8"/>
    </row>
    <row r="286" spans="1:26">
      <c r="A286" s="8"/>
      <c r="B286" s="10"/>
      <c r="C286" s="8"/>
      <c r="D286" s="8"/>
      <c r="E286" s="8"/>
      <c r="F286" s="8"/>
      <c r="G286" s="11"/>
      <c r="H286" s="8"/>
      <c r="I286" s="8"/>
      <c r="J286" s="8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9" t="str">
        <f t="shared" si="4"/>
        <v/>
      </c>
      <c r="V286" s="8"/>
      <c r="W286" s="8"/>
      <c r="X286" s="8"/>
      <c r="Y286" s="10"/>
      <c r="Z286" s="8"/>
    </row>
    <row r="287" spans="1:26">
      <c r="A287" s="8"/>
      <c r="B287" s="10"/>
      <c r="C287" s="8"/>
      <c r="D287" s="8"/>
      <c r="E287" s="8"/>
      <c r="F287" s="8"/>
      <c r="G287" s="11"/>
      <c r="H287" s="8"/>
      <c r="I287" s="8"/>
      <c r="J287" s="8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9" t="str">
        <f t="shared" si="4"/>
        <v/>
      </c>
      <c r="V287" s="8"/>
      <c r="W287" s="8"/>
      <c r="X287" s="8"/>
      <c r="Y287" s="10"/>
      <c r="Z287" s="8"/>
    </row>
    <row r="288" spans="1:26">
      <c r="A288" s="8"/>
      <c r="B288" s="10"/>
      <c r="C288" s="8"/>
      <c r="D288" s="8"/>
      <c r="E288" s="8"/>
      <c r="F288" s="8"/>
      <c r="G288" s="11"/>
      <c r="H288" s="8"/>
      <c r="I288" s="8"/>
      <c r="J288" s="8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9" t="str">
        <f t="shared" si="4"/>
        <v/>
      </c>
      <c r="V288" s="8"/>
      <c r="W288" s="8"/>
      <c r="X288" s="8"/>
      <c r="Y288" s="10"/>
      <c r="Z288" s="8"/>
    </row>
    <row r="289" spans="1:26">
      <c r="A289" s="8"/>
      <c r="B289" s="10"/>
      <c r="C289" s="8"/>
      <c r="D289" s="8"/>
      <c r="E289" s="8"/>
      <c r="F289" s="8"/>
      <c r="G289" s="11"/>
      <c r="H289" s="8"/>
      <c r="I289" s="8"/>
      <c r="J289" s="8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9" t="str">
        <f t="shared" si="4"/>
        <v/>
      </c>
      <c r="V289" s="8"/>
      <c r="W289" s="8"/>
      <c r="X289" s="8"/>
      <c r="Y289" s="10"/>
      <c r="Z289" s="8"/>
    </row>
    <row r="290" spans="1:26">
      <c r="A290" s="8"/>
      <c r="B290" s="10"/>
      <c r="C290" s="8"/>
      <c r="D290" s="8"/>
      <c r="E290" s="8"/>
      <c r="F290" s="8"/>
      <c r="G290" s="11"/>
      <c r="H290" s="8"/>
      <c r="I290" s="8"/>
      <c r="J290" s="8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9" t="str">
        <f t="shared" si="4"/>
        <v/>
      </c>
      <c r="V290" s="8"/>
      <c r="W290" s="8"/>
      <c r="X290" s="8"/>
      <c r="Y290" s="10"/>
      <c r="Z290" s="8"/>
    </row>
    <row r="291" spans="1:26">
      <c r="A291" s="8"/>
      <c r="B291" s="10"/>
      <c r="C291" s="8"/>
      <c r="D291" s="8"/>
      <c r="E291" s="8"/>
      <c r="F291" s="8"/>
      <c r="G291" s="11"/>
      <c r="H291" s="8"/>
      <c r="I291" s="8"/>
      <c r="J291" s="8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9" t="str">
        <f t="shared" si="4"/>
        <v/>
      </c>
      <c r="V291" s="8"/>
      <c r="W291" s="8"/>
      <c r="X291" s="8"/>
      <c r="Y291" s="10"/>
      <c r="Z291" s="8"/>
    </row>
    <row r="292" spans="1:26">
      <c r="A292" s="8"/>
      <c r="B292" s="10"/>
      <c r="C292" s="8"/>
      <c r="D292" s="8"/>
      <c r="E292" s="8"/>
      <c r="F292" s="8"/>
      <c r="G292" s="11"/>
      <c r="H292" s="8"/>
      <c r="I292" s="8"/>
      <c r="J292" s="8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9" t="str">
        <f t="shared" si="4"/>
        <v/>
      </c>
      <c r="V292" s="8"/>
      <c r="W292" s="8"/>
      <c r="X292" s="8"/>
      <c r="Y292" s="10"/>
      <c r="Z292" s="8"/>
    </row>
    <row r="293" spans="1:26">
      <c r="A293" s="8"/>
      <c r="B293" s="10"/>
      <c r="C293" s="8"/>
      <c r="D293" s="8"/>
      <c r="E293" s="8"/>
      <c r="F293" s="8"/>
      <c r="G293" s="11"/>
      <c r="H293" s="8"/>
      <c r="I293" s="8"/>
      <c r="J293" s="8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9" t="str">
        <f t="shared" si="4"/>
        <v/>
      </c>
      <c r="V293" s="8"/>
      <c r="W293" s="8"/>
      <c r="X293" s="8"/>
      <c r="Y293" s="10"/>
      <c r="Z293" s="8"/>
    </row>
    <row r="294" spans="1:26">
      <c r="A294" s="8"/>
      <c r="B294" s="10"/>
      <c r="C294" s="8"/>
      <c r="D294" s="8"/>
      <c r="E294" s="8"/>
      <c r="F294" s="8"/>
      <c r="G294" s="11"/>
      <c r="H294" s="8"/>
      <c r="I294" s="8"/>
      <c r="J294" s="8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9" t="str">
        <f t="shared" si="4"/>
        <v/>
      </c>
      <c r="V294" s="8"/>
      <c r="W294" s="8"/>
      <c r="X294" s="8"/>
      <c r="Y294" s="10"/>
      <c r="Z294" s="8"/>
    </row>
    <row r="295" spans="1:26">
      <c r="A295" s="8"/>
      <c r="B295" s="10"/>
      <c r="C295" s="8"/>
      <c r="D295" s="8"/>
      <c r="E295" s="8"/>
      <c r="F295" s="8"/>
      <c r="G295" s="11"/>
      <c r="H295" s="8"/>
      <c r="I295" s="8"/>
      <c r="J295" s="8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9" t="str">
        <f t="shared" si="4"/>
        <v/>
      </c>
      <c r="V295" s="8"/>
      <c r="W295" s="8"/>
      <c r="X295" s="8"/>
      <c r="Y295" s="10"/>
      <c r="Z295" s="8"/>
    </row>
    <row r="296" spans="1:26">
      <c r="A296" s="8"/>
      <c r="B296" s="10"/>
      <c r="C296" s="8"/>
      <c r="D296" s="8"/>
      <c r="E296" s="8"/>
      <c r="F296" s="8"/>
      <c r="G296" s="11"/>
      <c r="H296" s="8"/>
      <c r="I296" s="8"/>
      <c r="J296" s="8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9" t="str">
        <f t="shared" si="4"/>
        <v/>
      </c>
      <c r="V296" s="8"/>
      <c r="W296" s="8"/>
      <c r="X296" s="8"/>
      <c r="Y296" s="10"/>
      <c r="Z296" s="8"/>
    </row>
    <row r="297" spans="1:26">
      <c r="A297" s="8"/>
      <c r="B297" s="10"/>
      <c r="C297" s="8"/>
      <c r="D297" s="8"/>
      <c r="E297" s="8"/>
      <c r="F297" s="8"/>
      <c r="G297" s="11"/>
      <c r="H297" s="8"/>
      <c r="I297" s="8"/>
      <c r="J297" s="8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9" t="str">
        <f t="shared" si="4"/>
        <v/>
      </c>
      <c r="V297" s="8"/>
      <c r="W297" s="8"/>
      <c r="X297" s="8"/>
      <c r="Y297" s="10"/>
      <c r="Z297" s="8"/>
    </row>
    <row r="298" spans="1:26">
      <c r="A298" s="8"/>
      <c r="B298" s="10"/>
      <c r="C298" s="8"/>
      <c r="D298" s="8"/>
      <c r="E298" s="8"/>
      <c r="F298" s="8"/>
      <c r="G298" s="11"/>
      <c r="H298" s="8"/>
      <c r="I298" s="8"/>
      <c r="J298" s="8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9" t="str">
        <f t="shared" si="4"/>
        <v/>
      </c>
      <c r="V298" s="8"/>
      <c r="W298" s="8"/>
      <c r="X298" s="8"/>
      <c r="Y298" s="10"/>
      <c r="Z298" s="8"/>
    </row>
    <row r="299" spans="1:26">
      <c r="A299" s="8"/>
      <c r="B299" s="10"/>
      <c r="C299" s="8"/>
      <c r="D299" s="8"/>
      <c r="E299" s="8"/>
      <c r="F299" s="8"/>
      <c r="G299" s="11"/>
      <c r="H299" s="8"/>
      <c r="I299" s="8"/>
      <c r="J299" s="8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9" t="str">
        <f t="shared" si="4"/>
        <v/>
      </c>
      <c r="V299" s="8"/>
      <c r="W299" s="8"/>
      <c r="X299" s="8"/>
      <c r="Y299" s="10"/>
      <c r="Z299" s="8"/>
    </row>
    <row r="300" spans="1:26">
      <c r="A300" s="8"/>
      <c r="B300" s="10"/>
      <c r="C300" s="8"/>
      <c r="D300" s="8"/>
      <c r="E300" s="8"/>
      <c r="F300" s="8"/>
      <c r="G300" s="11"/>
      <c r="H300" s="8"/>
      <c r="I300" s="8"/>
      <c r="J300" s="8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9" t="str">
        <f t="shared" si="4"/>
        <v/>
      </c>
      <c r="V300" s="8"/>
      <c r="W300" s="8"/>
      <c r="X300" s="8"/>
      <c r="Y300" s="10"/>
      <c r="Z300" s="8"/>
    </row>
    <row r="301" spans="1:26">
      <c r="A301" s="8"/>
      <c r="B301" s="10"/>
      <c r="C301" s="8"/>
      <c r="D301" s="8"/>
      <c r="E301" s="8"/>
      <c r="F301" s="8"/>
      <c r="G301" s="11"/>
      <c r="H301" s="8"/>
      <c r="I301" s="8"/>
      <c r="J301" s="8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9" t="str">
        <f t="shared" si="4"/>
        <v/>
      </c>
      <c r="V301" s="8"/>
      <c r="W301" s="8"/>
      <c r="X301" s="8"/>
      <c r="Y301" s="10"/>
      <c r="Z301" s="8"/>
    </row>
    <row r="302" spans="1:26">
      <c r="A302" s="8"/>
      <c r="B302" s="10"/>
      <c r="C302" s="8"/>
      <c r="D302" s="8"/>
      <c r="E302" s="8"/>
      <c r="F302" s="8"/>
      <c r="G302" s="11"/>
      <c r="H302" s="8"/>
      <c r="I302" s="8"/>
      <c r="J302" s="8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9" t="str">
        <f t="shared" si="4"/>
        <v/>
      </c>
      <c r="V302" s="8"/>
      <c r="W302" s="8"/>
      <c r="X302" s="8"/>
      <c r="Y302" s="10"/>
      <c r="Z302" s="8"/>
    </row>
    <row r="303" spans="1:26">
      <c r="A303" s="8"/>
      <c r="B303" s="10"/>
      <c r="C303" s="8"/>
      <c r="D303" s="8"/>
      <c r="E303" s="8"/>
      <c r="F303" s="8"/>
      <c r="G303" s="11"/>
      <c r="H303" s="8"/>
      <c r="I303" s="8"/>
      <c r="J303" s="8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9" t="str">
        <f t="shared" si="4"/>
        <v/>
      </c>
      <c r="V303" s="8"/>
      <c r="W303" s="8"/>
      <c r="X303" s="8"/>
      <c r="Y303" s="10"/>
      <c r="Z303" s="8"/>
    </row>
    <row r="304" spans="1:26">
      <c r="A304" s="8"/>
      <c r="B304" s="10"/>
      <c r="C304" s="8"/>
      <c r="D304" s="8"/>
      <c r="E304" s="8"/>
      <c r="F304" s="8"/>
      <c r="G304" s="11"/>
      <c r="H304" s="8"/>
      <c r="I304" s="8"/>
      <c r="J304" s="8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9" t="str">
        <f t="shared" si="4"/>
        <v/>
      </c>
      <c r="V304" s="8"/>
      <c r="W304" s="8"/>
      <c r="X304" s="8"/>
      <c r="Y304" s="10"/>
      <c r="Z304" s="8"/>
    </row>
  </sheetData>
  <mergeCells count="2">
    <mergeCell ref="A1:Z1"/>
    <mergeCell ref="A2:Z2"/>
  </mergeCells>
  <conditionalFormatting sqref="A5:A304">
    <cfRule type="duplicateValues" dxfId="16" priority="9"/>
  </conditionalFormatting>
  <conditionalFormatting sqref="U5:U304">
    <cfRule type="containsText" dxfId="15" priority="1" operator="containsText" text="Approved"/>
    <cfRule type="containsText" dxfId="14" priority="4" operator="containsText" text="Failed"/>
    <cfRule type="containsText" dxfId="13" priority="7" operator="containsText" text="On Hold"/>
  </conditionalFormatting>
  <dataValidations count="3">
    <dataValidation type="list" sqref="H5:H304" xr:uid="{00000000-0002-0000-1D00-000000000000}">
      <formula1>"General I,General II,General III"</formula1>
    </dataValidation>
    <dataValidation type="list" sqref="I5:J304" xr:uid="{00000000-0002-0000-1D00-000001000000}">
      <formula1>"0.65,1.0,1.5,2.5,4.0"</formula1>
    </dataValidation>
    <dataValidation type="list" sqref="W5:W304" xr:uid="{00000000-0002-0000-1D00-000002000000}">
      <formula1>"Accept,Reject,Rework,Hold,Conditional Release"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304"/>
  <sheetViews>
    <sheetView showGridLines="0" workbookViewId="0">
      <selection sqref="A1:U1"/>
    </sheetView>
  </sheetViews>
  <sheetFormatPr baseColWidth="10" defaultColWidth="8.83203125" defaultRowHeight="14"/>
  <cols>
    <col min="1" max="1" width="16" customWidth="1"/>
    <col min="2" max="2" width="13" customWidth="1"/>
    <col min="3" max="3" width="14" customWidth="1"/>
    <col min="4" max="5" width="13" customWidth="1"/>
    <col min="6" max="6" width="10" customWidth="1"/>
    <col min="7" max="7" width="16" customWidth="1"/>
    <col min="8" max="8" width="19" customWidth="1"/>
    <col min="9" max="9" width="14" customWidth="1"/>
    <col min="10" max="10" width="17" customWidth="1"/>
    <col min="11" max="12" width="14" customWidth="1"/>
    <col min="13" max="13" width="15" customWidth="1"/>
    <col min="14" max="14" width="16" customWidth="1"/>
    <col min="15" max="16" width="17" customWidth="1"/>
    <col min="17" max="18" width="16" customWidth="1"/>
    <col min="19" max="19" width="18" customWidth="1"/>
    <col min="20" max="20" width="15" customWidth="1"/>
    <col min="21" max="21" width="24" customWidth="1"/>
  </cols>
  <sheetData>
    <row r="1" spans="1:21" ht="30" customHeight="1">
      <c r="A1" s="52" t="s">
        <v>432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4" spans="1:21" ht="44" customHeight="1">
      <c r="A4" s="6" t="s">
        <v>433</v>
      </c>
      <c r="B4" s="6" t="s">
        <v>353</v>
      </c>
      <c r="C4" s="6" t="s">
        <v>44</v>
      </c>
      <c r="D4" s="6" t="s">
        <v>45</v>
      </c>
      <c r="E4" s="6" t="s">
        <v>46</v>
      </c>
      <c r="F4" s="6" t="s">
        <v>306</v>
      </c>
      <c r="G4" s="6" t="s">
        <v>434</v>
      </c>
      <c r="H4" s="6" t="s">
        <v>435</v>
      </c>
      <c r="I4" s="6" t="s">
        <v>436</v>
      </c>
      <c r="J4" s="6" t="s">
        <v>437</v>
      </c>
      <c r="K4" s="6" t="s">
        <v>58</v>
      </c>
      <c r="L4" s="6" t="s">
        <v>438</v>
      </c>
      <c r="M4" s="6" t="s">
        <v>439</v>
      </c>
      <c r="N4" s="6" t="s">
        <v>440</v>
      </c>
      <c r="O4" s="6" t="s">
        <v>441</v>
      </c>
      <c r="P4" s="6" t="s">
        <v>442</v>
      </c>
      <c r="Q4" s="6" t="s">
        <v>443</v>
      </c>
      <c r="R4" s="6" t="s">
        <v>444</v>
      </c>
      <c r="S4" s="6" t="s">
        <v>363</v>
      </c>
      <c r="T4" s="6" t="s">
        <v>63</v>
      </c>
      <c r="U4" s="6" t="s">
        <v>101</v>
      </c>
    </row>
    <row r="5" spans="1:21">
      <c r="A5" s="8"/>
      <c r="B5" s="10"/>
      <c r="C5" s="8"/>
      <c r="D5" s="8"/>
      <c r="E5" s="8"/>
      <c r="F5" s="8"/>
      <c r="G5" s="11"/>
      <c r="H5" s="11"/>
      <c r="I5" s="11"/>
      <c r="J5" s="11"/>
      <c r="K5" s="11"/>
      <c r="L5" s="11"/>
      <c r="M5" s="11"/>
      <c r="N5" s="11"/>
      <c r="O5" s="11"/>
      <c r="P5" s="12" t="str">
        <f t="shared" ref="P5:P68" si="0">IF(A5="","",K5-G5)</f>
        <v/>
      </c>
      <c r="Q5" s="12" t="str">
        <f t="shared" ref="Q5:Q68" si="1">IF(A5="","",MAX(0,G5-K5))</f>
        <v/>
      </c>
      <c r="R5" s="12" t="str">
        <f t="shared" ref="R5:R68" si="2">IF(A5="","",MAX(0,K5-G5))</f>
        <v/>
      </c>
      <c r="S5" s="8"/>
      <c r="T5" s="10"/>
      <c r="U5" s="8"/>
    </row>
    <row r="6" spans="1:21">
      <c r="A6" s="8"/>
      <c r="B6" s="10"/>
      <c r="C6" s="8"/>
      <c r="D6" s="8"/>
      <c r="E6" s="8"/>
      <c r="F6" s="8"/>
      <c r="G6" s="11"/>
      <c r="H6" s="11"/>
      <c r="I6" s="11"/>
      <c r="J6" s="11"/>
      <c r="K6" s="11"/>
      <c r="L6" s="11"/>
      <c r="M6" s="11"/>
      <c r="N6" s="11"/>
      <c r="O6" s="11"/>
      <c r="P6" s="12" t="str">
        <f t="shared" si="0"/>
        <v/>
      </c>
      <c r="Q6" s="12" t="str">
        <f t="shared" si="1"/>
        <v/>
      </c>
      <c r="R6" s="12" t="str">
        <f t="shared" si="2"/>
        <v/>
      </c>
      <c r="S6" s="8"/>
      <c r="T6" s="10"/>
      <c r="U6" s="8"/>
    </row>
    <row r="7" spans="1:21">
      <c r="A7" s="8"/>
      <c r="B7" s="10"/>
      <c r="C7" s="8"/>
      <c r="D7" s="8"/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2" t="str">
        <f t="shared" si="0"/>
        <v/>
      </c>
      <c r="Q7" s="12" t="str">
        <f t="shared" si="1"/>
        <v/>
      </c>
      <c r="R7" s="12" t="str">
        <f t="shared" si="2"/>
        <v/>
      </c>
      <c r="S7" s="8"/>
      <c r="T7" s="10"/>
      <c r="U7" s="8"/>
    </row>
    <row r="8" spans="1:21">
      <c r="A8" s="8"/>
      <c r="B8" s="10"/>
      <c r="C8" s="8"/>
      <c r="D8" s="8"/>
      <c r="E8" s="8"/>
      <c r="F8" s="8"/>
      <c r="G8" s="11"/>
      <c r="H8" s="11"/>
      <c r="I8" s="11"/>
      <c r="J8" s="11"/>
      <c r="K8" s="11"/>
      <c r="L8" s="11"/>
      <c r="M8" s="11"/>
      <c r="N8" s="11"/>
      <c r="O8" s="11"/>
      <c r="P8" s="12" t="str">
        <f t="shared" si="0"/>
        <v/>
      </c>
      <c r="Q8" s="12" t="str">
        <f t="shared" si="1"/>
        <v/>
      </c>
      <c r="R8" s="12" t="str">
        <f t="shared" si="2"/>
        <v/>
      </c>
      <c r="S8" s="8"/>
      <c r="T8" s="10"/>
      <c r="U8" s="8"/>
    </row>
    <row r="9" spans="1:21">
      <c r="A9" s="8"/>
      <c r="B9" s="10"/>
      <c r="C9" s="8"/>
      <c r="D9" s="8"/>
      <c r="E9" s="8"/>
      <c r="F9" s="8"/>
      <c r="G9" s="11"/>
      <c r="H9" s="11"/>
      <c r="I9" s="11"/>
      <c r="J9" s="11"/>
      <c r="K9" s="11"/>
      <c r="L9" s="11"/>
      <c r="M9" s="11"/>
      <c r="N9" s="11"/>
      <c r="O9" s="11"/>
      <c r="P9" s="12" t="str">
        <f t="shared" si="0"/>
        <v/>
      </c>
      <c r="Q9" s="12" t="str">
        <f t="shared" si="1"/>
        <v/>
      </c>
      <c r="R9" s="12" t="str">
        <f t="shared" si="2"/>
        <v/>
      </c>
      <c r="S9" s="8"/>
      <c r="T9" s="10"/>
      <c r="U9" s="8"/>
    </row>
    <row r="10" spans="1:21">
      <c r="A10" s="8"/>
      <c r="B10" s="10"/>
      <c r="C10" s="8"/>
      <c r="D10" s="8"/>
      <c r="E10" s="8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2" t="str">
        <f t="shared" si="0"/>
        <v/>
      </c>
      <c r="Q10" s="12" t="str">
        <f t="shared" si="1"/>
        <v/>
      </c>
      <c r="R10" s="12" t="str">
        <f t="shared" si="2"/>
        <v/>
      </c>
      <c r="S10" s="8"/>
      <c r="T10" s="10"/>
      <c r="U10" s="8"/>
    </row>
    <row r="11" spans="1:21">
      <c r="A11" s="8"/>
      <c r="B11" s="10"/>
      <c r="C11" s="8"/>
      <c r="D11" s="8"/>
      <c r="E11" s="8"/>
      <c r="F11" s="8"/>
      <c r="G11" s="11"/>
      <c r="H11" s="11"/>
      <c r="I11" s="11"/>
      <c r="J11" s="11"/>
      <c r="K11" s="11"/>
      <c r="L11" s="11"/>
      <c r="M11" s="11"/>
      <c r="N11" s="11"/>
      <c r="O11" s="11"/>
      <c r="P11" s="12" t="str">
        <f t="shared" si="0"/>
        <v/>
      </c>
      <c r="Q11" s="12" t="str">
        <f t="shared" si="1"/>
        <v/>
      </c>
      <c r="R11" s="12" t="str">
        <f t="shared" si="2"/>
        <v/>
      </c>
      <c r="S11" s="8"/>
      <c r="T11" s="10"/>
      <c r="U11" s="8"/>
    </row>
    <row r="12" spans="1:21">
      <c r="A12" s="8"/>
      <c r="B12" s="10"/>
      <c r="C12" s="8"/>
      <c r="D12" s="8"/>
      <c r="E12" s="8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2" t="str">
        <f t="shared" si="0"/>
        <v/>
      </c>
      <c r="Q12" s="12" t="str">
        <f t="shared" si="1"/>
        <v/>
      </c>
      <c r="R12" s="12" t="str">
        <f t="shared" si="2"/>
        <v/>
      </c>
      <c r="S12" s="8"/>
      <c r="T12" s="10"/>
      <c r="U12" s="8"/>
    </row>
    <row r="13" spans="1:21">
      <c r="A13" s="8"/>
      <c r="B13" s="10"/>
      <c r="C13" s="8"/>
      <c r="D13" s="8"/>
      <c r="E13" s="8"/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2" t="str">
        <f t="shared" si="0"/>
        <v/>
      </c>
      <c r="Q13" s="12" t="str">
        <f t="shared" si="1"/>
        <v/>
      </c>
      <c r="R13" s="12" t="str">
        <f t="shared" si="2"/>
        <v/>
      </c>
      <c r="S13" s="8"/>
      <c r="T13" s="10"/>
      <c r="U13" s="8"/>
    </row>
    <row r="14" spans="1:21">
      <c r="A14" s="8"/>
      <c r="B14" s="10"/>
      <c r="C14" s="8"/>
      <c r="D14" s="8"/>
      <c r="E14" s="8"/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2" t="str">
        <f t="shared" si="0"/>
        <v/>
      </c>
      <c r="Q14" s="12" t="str">
        <f t="shared" si="1"/>
        <v/>
      </c>
      <c r="R14" s="12" t="str">
        <f t="shared" si="2"/>
        <v/>
      </c>
      <c r="S14" s="8"/>
      <c r="T14" s="10"/>
      <c r="U14" s="8"/>
    </row>
    <row r="15" spans="1:21">
      <c r="A15" s="8"/>
      <c r="B15" s="10"/>
      <c r="C15" s="8"/>
      <c r="D15" s="8"/>
      <c r="E15" s="8"/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2" t="str">
        <f t="shared" si="0"/>
        <v/>
      </c>
      <c r="Q15" s="12" t="str">
        <f t="shared" si="1"/>
        <v/>
      </c>
      <c r="R15" s="12" t="str">
        <f t="shared" si="2"/>
        <v/>
      </c>
      <c r="S15" s="8"/>
      <c r="T15" s="10"/>
      <c r="U15" s="8"/>
    </row>
    <row r="16" spans="1:21">
      <c r="A16" s="8"/>
      <c r="B16" s="10"/>
      <c r="C16" s="8"/>
      <c r="D16" s="8"/>
      <c r="E16" s="8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2" t="str">
        <f t="shared" si="0"/>
        <v/>
      </c>
      <c r="Q16" s="12" t="str">
        <f t="shared" si="1"/>
        <v/>
      </c>
      <c r="R16" s="12" t="str">
        <f t="shared" si="2"/>
        <v/>
      </c>
      <c r="S16" s="8"/>
      <c r="T16" s="10"/>
      <c r="U16" s="8"/>
    </row>
    <row r="17" spans="1:21">
      <c r="A17" s="8"/>
      <c r="B17" s="10"/>
      <c r="C17" s="8"/>
      <c r="D17" s="8"/>
      <c r="E17" s="8"/>
      <c r="F17" s="8"/>
      <c r="G17" s="11"/>
      <c r="H17" s="11"/>
      <c r="I17" s="11"/>
      <c r="J17" s="11"/>
      <c r="K17" s="11"/>
      <c r="L17" s="11"/>
      <c r="M17" s="11"/>
      <c r="N17" s="11"/>
      <c r="O17" s="11"/>
      <c r="P17" s="12" t="str">
        <f t="shared" si="0"/>
        <v/>
      </c>
      <c r="Q17" s="12" t="str">
        <f t="shared" si="1"/>
        <v/>
      </c>
      <c r="R17" s="12" t="str">
        <f t="shared" si="2"/>
        <v/>
      </c>
      <c r="S17" s="8"/>
      <c r="T17" s="10"/>
      <c r="U17" s="8"/>
    </row>
    <row r="18" spans="1:21">
      <c r="A18" s="8"/>
      <c r="B18" s="10"/>
      <c r="C18" s="8"/>
      <c r="D18" s="8"/>
      <c r="E18" s="8"/>
      <c r="F18" s="8"/>
      <c r="G18" s="11"/>
      <c r="H18" s="11"/>
      <c r="I18" s="11"/>
      <c r="J18" s="11"/>
      <c r="K18" s="11"/>
      <c r="L18" s="11"/>
      <c r="M18" s="11"/>
      <c r="N18" s="11"/>
      <c r="O18" s="11"/>
      <c r="P18" s="12" t="str">
        <f t="shared" si="0"/>
        <v/>
      </c>
      <c r="Q18" s="12" t="str">
        <f t="shared" si="1"/>
        <v/>
      </c>
      <c r="R18" s="12" t="str">
        <f t="shared" si="2"/>
        <v/>
      </c>
      <c r="S18" s="8"/>
      <c r="T18" s="10"/>
      <c r="U18" s="8"/>
    </row>
    <row r="19" spans="1:21">
      <c r="A19" s="8"/>
      <c r="B19" s="10"/>
      <c r="C19" s="8"/>
      <c r="D19" s="8"/>
      <c r="E19" s="8"/>
      <c r="F19" s="8"/>
      <c r="G19" s="11"/>
      <c r="H19" s="11"/>
      <c r="I19" s="11"/>
      <c r="J19" s="11"/>
      <c r="K19" s="11"/>
      <c r="L19" s="11"/>
      <c r="M19" s="11"/>
      <c r="N19" s="11"/>
      <c r="O19" s="11"/>
      <c r="P19" s="12" t="str">
        <f t="shared" si="0"/>
        <v/>
      </c>
      <c r="Q19" s="12" t="str">
        <f t="shared" si="1"/>
        <v/>
      </c>
      <c r="R19" s="12" t="str">
        <f t="shared" si="2"/>
        <v/>
      </c>
      <c r="S19" s="8"/>
      <c r="T19" s="10"/>
      <c r="U19" s="8"/>
    </row>
    <row r="20" spans="1:21">
      <c r="A20" s="8"/>
      <c r="B20" s="10"/>
      <c r="C20" s="8"/>
      <c r="D20" s="8"/>
      <c r="E20" s="8"/>
      <c r="F20" s="8"/>
      <c r="G20" s="11"/>
      <c r="H20" s="11"/>
      <c r="I20" s="11"/>
      <c r="J20" s="11"/>
      <c r="K20" s="11"/>
      <c r="L20" s="11"/>
      <c r="M20" s="11"/>
      <c r="N20" s="11"/>
      <c r="O20" s="11"/>
      <c r="P20" s="12" t="str">
        <f t="shared" si="0"/>
        <v/>
      </c>
      <c r="Q20" s="12" t="str">
        <f t="shared" si="1"/>
        <v/>
      </c>
      <c r="R20" s="12" t="str">
        <f t="shared" si="2"/>
        <v/>
      </c>
      <c r="S20" s="8"/>
      <c r="T20" s="10"/>
      <c r="U20" s="8"/>
    </row>
    <row r="21" spans="1:21">
      <c r="A21" s="8"/>
      <c r="B21" s="10"/>
      <c r="C21" s="8"/>
      <c r="D21" s="8"/>
      <c r="E21" s="8"/>
      <c r="F21" s="8"/>
      <c r="G21" s="11"/>
      <c r="H21" s="11"/>
      <c r="I21" s="11"/>
      <c r="J21" s="11"/>
      <c r="K21" s="11"/>
      <c r="L21" s="11"/>
      <c r="M21" s="11"/>
      <c r="N21" s="11"/>
      <c r="O21" s="11"/>
      <c r="P21" s="12" t="str">
        <f t="shared" si="0"/>
        <v/>
      </c>
      <c r="Q21" s="12" t="str">
        <f t="shared" si="1"/>
        <v/>
      </c>
      <c r="R21" s="12" t="str">
        <f t="shared" si="2"/>
        <v/>
      </c>
      <c r="S21" s="8"/>
      <c r="T21" s="10"/>
      <c r="U21" s="8"/>
    </row>
    <row r="22" spans="1:21">
      <c r="A22" s="8"/>
      <c r="B22" s="10"/>
      <c r="C22" s="8"/>
      <c r="D22" s="8"/>
      <c r="E22" s="8"/>
      <c r="F22" s="8"/>
      <c r="G22" s="11"/>
      <c r="H22" s="11"/>
      <c r="I22" s="11"/>
      <c r="J22" s="11"/>
      <c r="K22" s="11"/>
      <c r="L22" s="11"/>
      <c r="M22" s="11"/>
      <c r="N22" s="11"/>
      <c r="O22" s="11"/>
      <c r="P22" s="12" t="str">
        <f t="shared" si="0"/>
        <v/>
      </c>
      <c r="Q22" s="12" t="str">
        <f t="shared" si="1"/>
        <v/>
      </c>
      <c r="R22" s="12" t="str">
        <f t="shared" si="2"/>
        <v/>
      </c>
      <c r="S22" s="8"/>
      <c r="T22" s="10"/>
      <c r="U22" s="8"/>
    </row>
    <row r="23" spans="1:21">
      <c r="A23" s="8"/>
      <c r="B23" s="10"/>
      <c r="C23" s="8"/>
      <c r="D23" s="8"/>
      <c r="E23" s="8"/>
      <c r="F23" s="8"/>
      <c r="G23" s="11"/>
      <c r="H23" s="11"/>
      <c r="I23" s="11"/>
      <c r="J23" s="11"/>
      <c r="K23" s="11"/>
      <c r="L23" s="11"/>
      <c r="M23" s="11"/>
      <c r="N23" s="11"/>
      <c r="O23" s="11"/>
      <c r="P23" s="12" t="str">
        <f t="shared" si="0"/>
        <v/>
      </c>
      <c r="Q23" s="12" t="str">
        <f t="shared" si="1"/>
        <v/>
      </c>
      <c r="R23" s="12" t="str">
        <f t="shared" si="2"/>
        <v/>
      </c>
      <c r="S23" s="8"/>
      <c r="T23" s="10"/>
      <c r="U23" s="8"/>
    </row>
    <row r="24" spans="1:21">
      <c r="A24" s="8"/>
      <c r="B24" s="10"/>
      <c r="C24" s="8"/>
      <c r="D24" s="8"/>
      <c r="E24" s="8"/>
      <c r="F24" s="8"/>
      <c r="G24" s="11"/>
      <c r="H24" s="11"/>
      <c r="I24" s="11"/>
      <c r="J24" s="11"/>
      <c r="K24" s="11"/>
      <c r="L24" s="11"/>
      <c r="M24" s="11"/>
      <c r="N24" s="11"/>
      <c r="O24" s="11"/>
      <c r="P24" s="12" t="str">
        <f t="shared" si="0"/>
        <v/>
      </c>
      <c r="Q24" s="12" t="str">
        <f t="shared" si="1"/>
        <v/>
      </c>
      <c r="R24" s="12" t="str">
        <f t="shared" si="2"/>
        <v/>
      </c>
      <c r="S24" s="8"/>
      <c r="T24" s="10"/>
      <c r="U24" s="8"/>
    </row>
    <row r="25" spans="1:21">
      <c r="A25" s="8"/>
      <c r="B25" s="10"/>
      <c r="C25" s="8"/>
      <c r="D25" s="8"/>
      <c r="E25" s="8"/>
      <c r="F25" s="8"/>
      <c r="G25" s="11"/>
      <c r="H25" s="11"/>
      <c r="I25" s="11"/>
      <c r="J25" s="11"/>
      <c r="K25" s="11"/>
      <c r="L25" s="11"/>
      <c r="M25" s="11"/>
      <c r="N25" s="11"/>
      <c r="O25" s="11"/>
      <c r="P25" s="12" t="str">
        <f t="shared" si="0"/>
        <v/>
      </c>
      <c r="Q25" s="12" t="str">
        <f t="shared" si="1"/>
        <v/>
      </c>
      <c r="R25" s="12" t="str">
        <f t="shared" si="2"/>
        <v/>
      </c>
      <c r="S25" s="8"/>
      <c r="T25" s="10"/>
      <c r="U25" s="8"/>
    </row>
    <row r="26" spans="1:21">
      <c r="A26" s="8"/>
      <c r="B26" s="10"/>
      <c r="C26" s="8"/>
      <c r="D26" s="8"/>
      <c r="E26" s="8"/>
      <c r="F26" s="8"/>
      <c r="G26" s="11"/>
      <c r="H26" s="11"/>
      <c r="I26" s="11"/>
      <c r="J26" s="11"/>
      <c r="K26" s="11"/>
      <c r="L26" s="11"/>
      <c r="M26" s="11"/>
      <c r="N26" s="11"/>
      <c r="O26" s="11"/>
      <c r="P26" s="12" t="str">
        <f t="shared" si="0"/>
        <v/>
      </c>
      <c r="Q26" s="12" t="str">
        <f t="shared" si="1"/>
        <v/>
      </c>
      <c r="R26" s="12" t="str">
        <f t="shared" si="2"/>
        <v/>
      </c>
      <c r="S26" s="8"/>
      <c r="T26" s="10"/>
      <c r="U26" s="8"/>
    </row>
    <row r="27" spans="1:21">
      <c r="A27" s="8"/>
      <c r="B27" s="10"/>
      <c r="C27" s="8"/>
      <c r="D27" s="8"/>
      <c r="E27" s="8"/>
      <c r="F27" s="8"/>
      <c r="G27" s="11"/>
      <c r="H27" s="11"/>
      <c r="I27" s="11"/>
      <c r="J27" s="11"/>
      <c r="K27" s="11"/>
      <c r="L27" s="11"/>
      <c r="M27" s="11"/>
      <c r="N27" s="11"/>
      <c r="O27" s="11"/>
      <c r="P27" s="12" t="str">
        <f t="shared" si="0"/>
        <v/>
      </c>
      <c r="Q27" s="12" t="str">
        <f t="shared" si="1"/>
        <v/>
      </c>
      <c r="R27" s="12" t="str">
        <f t="shared" si="2"/>
        <v/>
      </c>
      <c r="S27" s="8"/>
      <c r="T27" s="10"/>
      <c r="U27" s="8"/>
    </row>
    <row r="28" spans="1:21">
      <c r="A28" s="8"/>
      <c r="B28" s="10"/>
      <c r="C28" s="8"/>
      <c r="D28" s="8"/>
      <c r="E28" s="8"/>
      <c r="F28" s="8"/>
      <c r="G28" s="11"/>
      <c r="H28" s="11"/>
      <c r="I28" s="11"/>
      <c r="J28" s="11"/>
      <c r="K28" s="11"/>
      <c r="L28" s="11"/>
      <c r="M28" s="11"/>
      <c r="N28" s="11"/>
      <c r="O28" s="11"/>
      <c r="P28" s="12" t="str">
        <f t="shared" si="0"/>
        <v/>
      </c>
      <c r="Q28" s="12" t="str">
        <f t="shared" si="1"/>
        <v/>
      </c>
      <c r="R28" s="12" t="str">
        <f t="shared" si="2"/>
        <v/>
      </c>
      <c r="S28" s="8"/>
      <c r="T28" s="10"/>
      <c r="U28" s="8"/>
    </row>
    <row r="29" spans="1:21">
      <c r="A29" s="8"/>
      <c r="B29" s="10"/>
      <c r="C29" s="8"/>
      <c r="D29" s="8"/>
      <c r="E29" s="8"/>
      <c r="F29" s="8"/>
      <c r="G29" s="11"/>
      <c r="H29" s="11"/>
      <c r="I29" s="11"/>
      <c r="J29" s="11"/>
      <c r="K29" s="11"/>
      <c r="L29" s="11"/>
      <c r="M29" s="11"/>
      <c r="N29" s="11"/>
      <c r="O29" s="11"/>
      <c r="P29" s="12" t="str">
        <f t="shared" si="0"/>
        <v/>
      </c>
      <c r="Q29" s="12" t="str">
        <f t="shared" si="1"/>
        <v/>
      </c>
      <c r="R29" s="12" t="str">
        <f t="shared" si="2"/>
        <v/>
      </c>
      <c r="S29" s="8"/>
      <c r="T29" s="10"/>
      <c r="U29" s="8"/>
    </row>
    <row r="30" spans="1:21">
      <c r="A30" s="8"/>
      <c r="B30" s="10"/>
      <c r="C30" s="8"/>
      <c r="D30" s="8"/>
      <c r="E30" s="8"/>
      <c r="F30" s="8"/>
      <c r="G30" s="11"/>
      <c r="H30" s="11"/>
      <c r="I30" s="11"/>
      <c r="J30" s="11"/>
      <c r="K30" s="11"/>
      <c r="L30" s="11"/>
      <c r="M30" s="11"/>
      <c r="N30" s="11"/>
      <c r="O30" s="11"/>
      <c r="P30" s="12" t="str">
        <f t="shared" si="0"/>
        <v/>
      </c>
      <c r="Q30" s="12" t="str">
        <f t="shared" si="1"/>
        <v/>
      </c>
      <c r="R30" s="12" t="str">
        <f t="shared" si="2"/>
        <v/>
      </c>
      <c r="S30" s="8"/>
      <c r="T30" s="10"/>
      <c r="U30" s="8"/>
    </row>
    <row r="31" spans="1:21">
      <c r="A31" s="8"/>
      <c r="B31" s="10"/>
      <c r="C31" s="8"/>
      <c r="D31" s="8"/>
      <c r="E31" s="8"/>
      <c r="F31" s="8"/>
      <c r="G31" s="11"/>
      <c r="H31" s="11"/>
      <c r="I31" s="11"/>
      <c r="J31" s="11"/>
      <c r="K31" s="11"/>
      <c r="L31" s="11"/>
      <c r="M31" s="11"/>
      <c r="N31" s="11"/>
      <c r="O31" s="11"/>
      <c r="P31" s="12" t="str">
        <f t="shared" si="0"/>
        <v/>
      </c>
      <c r="Q31" s="12" t="str">
        <f t="shared" si="1"/>
        <v/>
      </c>
      <c r="R31" s="12" t="str">
        <f t="shared" si="2"/>
        <v/>
      </c>
      <c r="S31" s="8"/>
      <c r="T31" s="10"/>
      <c r="U31" s="8"/>
    </row>
    <row r="32" spans="1:21">
      <c r="A32" s="8"/>
      <c r="B32" s="10"/>
      <c r="C32" s="8"/>
      <c r="D32" s="8"/>
      <c r="E32" s="8"/>
      <c r="F32" s="8"/>
      <c r="G32" s="11"/>
      <c r="H32" s="11"/>
      <c r="I32" s="11"/>
      <c r="J32" s="11"/>
      <c r="K32" s="11"/>
      <c r="L32" s="11"/>
      <c r="M32" s="11"/>
      <c r="N32" s="11"/>
      <c r="O32" s="11"/>
      <c r="P32" s="12" t="str">
        <f t="shared" si="0"/>
        <v/>
      </c>
      <c r="Q32" s="12" t="str">
        <f t="shared" si="1"/>
        <v/>
      </c>
      <c r="R32" s="12" t="str">
        <f t="shared" si="2"/>
        <v/>
      </c>
      <c r="S32" s="8"/>
      <c r="T32" s="10"/>
      <c r="U32" s="8"/>
    </row>
    <row r="33" spans="1:21">
      <c r="A33" s="8"/>
      <c r="B33" s="10"/>
      <c r="C33" s="8"/>
      <c r="D33" s="8"/>
      <c r="E33" s="8"/>
      <c r="F33" s="8"/>
      <c r="G33" s="11"/>
      <c r="H33" s="11"/>
      <c r="I33" s="11"/>
      <c r="J33" s="11"/>
      <c r="K33" s="11"/>
      <c r="L33" s="11"/>
      <c r="M33" s="11"/>
      <c r="N33" s="11"/>
      <c r="O33" s="11"/>
      <c r="P33" s="12" t="str">
        <f t="shared" si="0"/>
        <v/>
      </c>
      <c r="Q33" s="12" t="str">
        <f t="shared" si="1"/>
        <v/>
      </c>
      <c r="R33" s="12" t="str">
        <f t="shared" si="2"/>
        <v/>
      </c>
      <c r="S33" s="8"/>
      <c r="T33" s="10"/>
      <c r="U33" s="8"/>
    </row>
    <row r="34" spans="1:21">
      <c r="A34" s="8"/>
      <c r="B34" s="10"/>
      <c r="C34" s="8"/>
      <c r="D34" s="8"/>
      <c r="E34" s="8"/>
      <c r="F34" s="8"/>
      <c r="G34" s="11"/>
      <c r="H34" s="11"/>
      <c r="I34" s="11"/>
      <c r="J34" s="11"/>
      <c r="K34" s="11"/>
      <c r="L34" s="11"/>
      <c r="M34" s="11"/>
      <c r="N34" s="11"/>
      <c r="O34" s="11"/>
      <c r="P34" s="12" t="str">
        <f t="shared" si="0"/>
        <v/>
      </c>
      <c r="Q34" s="12" t="str">
        <f t="shared" si="1"/>
        <v/>
      </c>
      <c r="R34" s="12" t="str">
        <f t="shared" si="2"/>
        <v/>
      </c>
      <c r="S34" s="8"/>
      <c r="T34" s="10"/>
      <c r="U34" s="8"/>
    </row>
    <row r="35" spans="1:21">
      <c r="A35" s="8"/>
      <c r="B35" s="10"/>
      <c r="C35" s="8"/>
      <c r="D35" s="8"/>
      <c r="E35" s="8"/>
      <c r="F35" s="8"/>
      <c r="G35" s="11"/>
      <c r="H35" s="11"/>
      <c r="I35" s="11"/>
      <c r="J35" s="11"/>
      <c r="K35" s="11"/>
      <c r="L35" s="11"/>
      <c r="M35" s="11"/>
      <c r="N35" s="11"/>
      <c r="O35" s="11"/>
      <c r="P35" s="12" t="str">
        <f t="shared" si="0"/>
        <v/>
      </c>
      <c r="Q35" s="12" t="str">
        <f t="shared" si="1"/>
        <v/>
      </c>
      <c r="R35" s="12" t="str">
        <f t="shared" si="2"/>
        <v/>
      </c>
      <c r="S35" s="8"/>
      <c r="T35" s="10"/>
      <c r="U35" s="8"/>
    </row>
    <row r="36" spans="1:21">
      <c r="A36" s="8"/>
      <c r="B36" s="10"/>
      <c r="C36" s="8"/>
      <c r="D36" s="8"/>
      <c r="E36" s="8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2" t="str">
        <f t="shared" si="0"/>
        <v/>
      </c>
      <c r="Q36" s="12" t="str">
        <f t="shared" si="1"/>
        <v/>
      </c>
      <c r="R36" s="12" t="str">
        <f t="shared" si="2"/>
        <v/>
      </c>
      <c r="S36" s="8"/>
      <c r="T36" s="10"/>
      <c r="U36" s="8"/>
    </row>
    <row r="37" spans="1:21">
      <c r="A37" s="8"/>
      <c r="B37" s="10"/>
      <c r="C37" s="8"/>
      <c r="D37" s="8"/>
      <c r="E37" s="8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2" t="str">
        <f t="shared" si="0"/>
        <v/>
      </c>
      <c r="Q37" s="12" t="str">
        <f t="shared" si="1"/>
        <v/>
      </c>
      <c r="R37" s="12" t="str">
        <f t="shared" si="2"/>
        <v/>
      </c>
      <c r="S37" s="8"/>
      <c r="T37" s="10"/>
      <c r="U37" s="8"/>
    </row>
    <row r="38" spans="1:21">
      <c r="A38" s="8"/>
      <c r="B38" s="10"/>
      <c r="C38" s="8"/>
      <c r="D38" s="8"/>
      <c r="E38" s="8"/>
      <c r="F38" s="8"/>
      <c r="G38" s="11"/>
      <c r="H38" s="11"/>
      <c r="I38" s="11"/>
      <c r="J38" s="11"/>
      <c r="K38" s="11"/>
      <c r="L38" s="11"/>
      <c r="M38" s="11"/>
      <c r="N38" s="11"/>
      <c r="O38" s="11"/>
      <c r="P38" s="12" t="str">
        <f t="shared" si="0"/>
        <v/>
      </c>
      <c r="Q38" s="12" t="str">
        <f t="shared" si="1"/>
        <v/>
      </c>
      <c r="R38" s="12" t="str">
        <f t="shared" si="2"/>
        <v/>
      </c>
      <c r="S38" s="8"/>
      <c r="T38" s="10"/>
      <c r="U38" s="8"/>
    </row>
    <row r="39" spans="1:21">
      <c r="A39" s="8"/>
      <c r="B39" s="10"/>
      <c r="C39" s="8"/>
      <c r="D39" s="8"/>
      <c r="E39" s="8"/>
      <c r="F39" s="8"/>
      <c r="G39" s="11"/>
      <c r="H39" s="11"/>
      <c r="I39" s="11"/>
      <c r="J39" s="11"/>
      <c r="K39" s="11"/>
      <c r="L39" s="11"/>
      <c r="M39" s="11"/>
      <c r="N39" s="11"/>
      <c r="O39" s="11"/>
      <c r="P39" s="12" t="str">
        <f t="shared" si="0"/>
        <v/>
      </c>
      <c r="Q39" s="12" t="str">
        <f t="shared" si="1"/>
        <v/>
      </c>
      <c r="R39" s="12" t="str">
        <f t="shared" si="2"/>
        <v/>
      </c>
      <c r="S39" s="8"/>
      <c r="T39" s="10"/>
      <c r="U39" s="8"/>
    </row>
    <row r="40" spans="1:21">
      <c r="A40" s="8"/>
      <c r="B40" s="10"/>
      <c r="C40" s="8"/>
      <c r="D40" s="8"/>
      <c r="E40" s="8"/>
      <c r="F40" s="8"/>
      <c r="G40" s="11"/>
      <c r="H40" s="11"/>
      <c r="I40" s="11"/>
      <c r="J40" s="11"/>
      <c r="K40" s="11"/>
      <c r="L40" s="11"/>
      <c r="M40" s="11"/>
      <c r="N40" s="11"/>
      <c r="O40" s="11"/>
      <c r="P40" s="12" t="str">
        <f t="shared" si="0"/>
        <v/>
      </c>
      <c r="Q40" s="12" t="str">
        <f t="shared" si="1"/>
        <v/>
      </c>
      <c r="R40" s="12" t="str">
        <f t="shared" si="2"/>
        <v/>
      </c>
      <c r="S40" s="8"/>
      <c r="T40" s="10"/>
      <c r="U40" s="8"/>
    </row>
    <row r="41" spans="1:21">
      <c r="A41" s="8"/>
      <c r="B41" s="10"/>
      <c r="C41" s="8"/>
      <c r="D41" s="8"/>
      <c r="E41" s="8"/>
      <c r="F41" s="8"/>
      <c r="G41" s="11"/>
      <c r="H41" s="11"/>
      <c r="I41" s="11"/>
      <c r="J41" s="11"/>
      <c r="K41" s="11"/>
      <c r="L41" s="11"/>
      <c r="M41" s="11"/>
      <c r="N41" s="11"/>
      <c r="O41" s="11"/>
      <c r="P41" s="12" t="str">
        <f t="shared" si="0"/>
        <v/>
      </c>
      <c r="Q41" s="12" t="str">
        <f t="shared" si="1"/>
        <v/>
      </c>
      <c r="R41" s="12" t="str">
        <f t="shared" si="2"/>
        <v/>
      </c>
      <c r="S41" s="8"/>
      <c r="T41" s="10"/>
      <c r="U41" s="8"/>
    </row>
    <row r="42" spans="1:21">
      <c r="A42" s="8"/>
      <c r="B42" s="10"/>
      <c r="C42" s="8"/>
      <c r="D42" s="8"/>
      <c r="E42" s="8"/>
      <c r="F42" s="8"/>
      <c r="G42" s="11"/>
      <c r="H42" s="11"/>
      <c r="I42" s="11"/>
      <c r="J42" s="11"/>
      <c r="K42" s="11"/>
      <c r="L42" s="11"/>
      <c r="M42" s="11"/>
      <c r="N42" s="11"/>
      <c r="O42" s="11"/>
      <c r="P42" s="12" t="str">
        <f t="shared" si="0"/>
        <v/>
      </c>
      <c r="Q42" s="12" t="str">
        <f t="shared" si="1"/>
        <v/>
      </c>
      <c r="R42" s="12" t="str">
        <f t="shared" si="2"/>
        <v/>
      </c>
      <c r="S42" s="8"/>
      <c r="T42" s="10"/>
      <c r="U42" s="8"/>
    </row>
    <row r="43" spans="1:21">
      <c r="A43" s="8"/>
      <c r="B43" s="10"/>
      <c r="C43" s="8"/>
      <c r="D43" s="8"/>
      <c r="E43" s="8"/>
      <c r="F43" s="8"/>
      <c r="G43" s="11"/>
      <c r="H43" s="11"/>
      <c r="I43" s="11"/>
      <c r="J43" s="11"/>
      <c r="K43" s="11"/>
      <c r="L43" s="11"/>
      <c r="M43" s="11"/>
      <c r="N43" s="11"/>
      <c r="O43" s="11"/>
      <c r="P43" s="12" t="str">
        <f t="shared" si="0"/>
        <v/>
      </c>
      <c r="Q43" s="12" t="str">
        <f t="shared" si="1"/>
        <v/>
      </c>
      <c r="R43" s="12" t="str">
        <f t="shared" si="2"/>
        <v/>
      </c>
      <c r="S43" s="8"/>
      <c r="T43" s="10"/>
      <c r="U43" s="8"/>
    </row>
    <row r="44" spans="1:21">
      <c r="A44" s="8"/>
      <c r="B44" s="10"/>
      <c r="C44" s="8"/>
      <c r="D44" s="8"/>
      <c r="E44" s="8"/>
      <c r="F44" s="8"/>
      <c r="G44" s="11"/>
      <c r="H44" s="11"/>
      <c r="I44" s="11"/>
      <c r="J44" s="11"/>
      <c r="K44" s="11"/>
      <c r="L44" s="11"/>
      <c r="M44" s="11"/>
      <c r="N44" s="11"/>
      <c r="O44" s="11"/>
      <c r="P44" s="12" t="str">
        <f t="shared" si="0"/>
        <v/>
      </c>
      <c r="Q44" s="12" t="str">
        <f t="shared" si="1"/>
        <v/>
      </c>
      <c r="R44" s="12" t="str">
        <f t="shared" si="2"/>
        <v/>
      </c>
      <c r="S44" s="8"/>
      <c r="T44" s="10"/>
      <c r="U44" s="8"/>
    </row>
    <row r="45" spans="1:21">
      <c r="A45" s="8"/>
      <c r="B45" s="10"/>
      <c r="C45" s="8"/>
      <c r="D45" s="8"/>
      <c r="E45" s="8"/>
      <c r="F45" s="8"/>
      <c r="G45" s="11"/>
      <c r="H45" s="11"/>
      <c r="I45" s="11"/>
      <c r="J45" s="11"/>
      <c r="K45" s="11"/>
      <c r="L45" s="11"/>
      <c r="M45" s="11"/>
      <c r="N45" s="11"/>
      <c r="O45" s="11"/>
      <c r="P45" s="12" t="str">
        <f t="shared" si="0"/>
        <v/>
      </c>
      <c r="Q45" s="12" t="str">
        <f t="shared" si="1"/>
        <v/>
      </c>
      <c r="R45" s="12" t="str">
        <f t="shared" si="2"/>
        <v/>
      </c>
      <c r="S45" s="8"/>
      <c r="T45" s="10"/>
      <c r="U45" s="8"/>
    </row>
    <row r="46" spans="1:21">
      <c r="A46" s="8"/>
      <c r="B46" s="10"/>
      <c r="C46" s="8"/>
      <c r="D46" s="8"/>
      <c r="E46" s="8"/>
      <c r="F46" s="8"/>
      <c r="G46" s="11"/>
      <c r="H46" s="11"/>
      <c r="I46" s="11"/>
      <c r="J46" s="11"/>
      <c r="K46" s="11"/>
      <c r="L46" s="11"/>
      <c r="M46" s="11"/>
      <c r="N46" s="11"/>
      <c r="O46" s="11"/>
      <c r="P46" s="12" t="str">
        <f t="shared" si="0"/>
        <v/>
      </c>
      <c r="Q46" s="12" t="str">
        <f t="shared" si="1"/>
        <v/>
      </c>
      <c r="R46" s="12" t="str">
        <f t="shared" si="2"/>
        <v/>
      </c>
      <c r="S46" s="8"/>
      <c r="T46" s="10"/>
      <c r="U46" s="8"/>
    </row>
    <row r="47" spans="1:21">
      <c r="A47" s="8"/>
      <c r="B47" s="10"/>
      <c r="C47" s="8"/>
      <c r="D47" s="8"/>
      <c r="E47" s="8"/>
      <c r="F47" s="8"/>
      <c r="G47" s="11"/>
      <c r="H47" s="11"/>
      <c r="I47" s="11"/>
      <c r="J47" s="11"/>
      <c r="K47" s="11"/>
      <c r="L47" s="11"/>
      <c r="M47" s="11"/>
      <c r="N47" s="11"/>
      <c r="O47" s="11"/>
      <c r="P47" s="12" t="str">
        <f t="shared" si="0"/>
        <v/>
      </c>
      <c r="Q47" s="12" t="str">
        <f t="shared" si="1"/>
        <v/>
      </c>
      <c r="R47" s="12" t="str">
        <f t="shared" si="2"/>
        <v/>
      </c>
      <c r="S47" s="8"/>
      <c r="T47" s="10"/>
      <c r="U47" s="8"/>
    </row>
    <row r="48" spans="1:21">
      <c r="A48" s="8"/>
      <c r="B48" s="10"/>
      <c r="C48" s="8"/>
      <c r="D48" s="8"/>
      <c r="E48" s="8"/>
      <c r="F48" s="8"/>
      <c r="G48" s="11"/>
      <c r="H48" s="11"/>
      <c r="I48" s="11"/>
      <c r="J48" s="11"/>
      <c r="K48" s="11"/>
      <c r="L48" s="11"/>
      <c r="M48" s="11"/>
      <c r="N48" s="11"/>
      <c r="O48" s="11"/>
      <c r="P48" s="12" t="str">
        <f t="shared" si="0"/>
        <v/>
      </c>
      <c r="Q48" s="12" t="str">
        <f t="shared" si="1"/>
        <v/>
      </c>
      <c r="R48" s="12" t="str">
        <f t="shared" si="2"/>
        <v/>
      </c>
      <c r="S48" s="8"/>
      <c r="T48" s="10"/>
      <c r="U48" s="8"/>
    </row>
    <row r="49" spans="1:21">
      <c r="A49" s="8"/>
      <c r="B49" s="10"/>
      <c r="C49" s="8"/>
      <c r="D49" s="8"/>
      <c r="E49" s="8"/>
      <c r="F49" s="8"/>
      <c r="G49" s="11"/>
      <c r="H49" s="11"/>
      <c r="I49" s="11"/>
      <c r="J49" s="11"/>
      <c r="K49" s="11"/>
      <c r="L49" s="11"/>
      <c r="M49" s="11"/>
      <c r="N49" s="11"/>
      <c r="O49" s="11"/>
      <c r="P49" s="12" t="str">
        <f t="shared" si="0"/>
        <v/>
      </c>
      <c r="Q49" s="12" t="str">
        <f t="shared" si="1"/>
        <v/>
      </c>
      <c r="R49" s="12" t="str">
        <f t="shared" si="2"/>
        <v/>
      </c>
      <c r="S49" s="8"/>
      <c r="T49" s="10"/>
      <c r="U49" s="8"/>
    </row>
    <row r="50" spans="1:21">
      <c r="A50" s="8"/>
      <c r="B50" s="10"/>
      <c r="C50" s="8"/>
      <c r="D50" s="8"/>
      <c r="E50" s="8"/>
      <c r="F50" s="8"/>
      <c r="G50" s="11"/>
      <c r="H50" s="11"/>
      <c r="I50" s="11"/>
      <c r="J50" s="11"/>
      <c r="K50" s="11"/>
      <c r="L50" s="11"/>
      <c r="M50" s="11"/>
      <c r="N50" s="11"/>
      <c r="O50" s="11"/>
      <c r="P50" s="12" t="str">
        <f t="shared" si="0"/>
        <v/>
      </c>
      <c r="Q50" s="12" t="str">
        <f t="shared" si="1"/>
        <v/>
      </c>
      <c r="R50" s="12" t="str">
        <f t="shared" si="2"/>
        <v/>
      </c>
      <c r="S50" s="8"/>
      <c r="T50" s="10"/>
      <c r="U50" s="8"/>
    </row>
    <row r="51" spans="1:21">
      <c r="A51" s="8"/>
      <c r="B51" s="10"/>
      <c r="C51" s="8"/>
      <c r="D51" s="8"/>
      <c r="E51" s="8"/>
      <c r="F51" s="8"/>
      <c r="G51" s="11"/>
      <c r="H51" s="11"/>
      <c r="I51" s="11"/>
      <c r="J51" s="11"/>
      <c r="K51" s="11"/>
      <c r="L51" s="11"/>
      <c r="M51" s="11"/>
      <c r="N51" s="11"/>
      <c r="O51" s="11"/>
      <c r="P51" s="12" t="str">
        <f t="shared" si="0"/>
        <v/>
      </c>
      <c r="Q51" s="12" t="str">
        <f t="shared" si="1"/>
        <v/>
      </c>
      <c r="R51" s="12" t="str">
        <f t="shared" si="2"/>
        <v/>
      </c>
      <c r="S51" s="8"/>
      <c r="T51" s="10"/>
      <c r="U51" s="8"/>
    </row>
    <row r="52" spans="1:21">
      <c r="A52" s="8"/>
      <c r="B52" s="10"/>
      <c r="C52" s="8"/>
      <c r="D52" s="8"/>
      <c r="E52" s="8"/>
      <c r="F52" s="8"/>
      <c r="G52" s="11"/>
      <c r="H52" s="11"/>
      <c r="I52" s="11"/>
      <c r="J52" s="11"/>
      <c r="K52" s="11"/>
      <c r="L52" s="11"/>
      <c r="M52" s="11"/>
      <c r="N52" s="11"/>
      <c r="O52" s="11"/>
      <c r="P52" s="12" t="str">
        <f t="shared" si="0"/>
        <v/>
      </c>
      <c r="Q52" s="12" t="str">
        <f t="shared" si="1"/>
        <v/>
      </c>
      <c r="R52" s="12" t="str">
        <f t="shared" si="2"/>
        <v/>
      </c>
      <c r="S52" s="8"/>
      <c r="T52" s="10"/>
      <c r="U52" s="8"/>
    </row>
    <row r="53" spans="1:21">
      <c r="A53" s="8"/>
      <c r="B53" s="10"/>
      <c r="C53" s="8"/>
      <c r="D53" s="8"/>
      <c r="E53" s="8"/>
      <c r="F53" s="8"/>
      <c r="G53" s="11"/>
      <c r="H53" s="11"/>
      <c r="I53" s="11"/>
      <c r="J53" s="11"/>
      <c r="K53" s="11"/>
      <c r="L53" s="11"/>
      <c r="M53" s="11"/>
      <c r="N53" s="11"/>
      <c r="O53" s="11"/>
      <c r="P53" s="12" t="str">
        <f t="shared" si="0"/>
        <v/>
      </c>
      <c r="Q53" s="12" t="str">
        <f t="shared" si="1"/>
        <v/>
      </c>
      <c r="R53" s="12" t="str">
        <f t="shared" si="2"/>
        <v/>
      </c>
      <c r="S53" s="8"/>
      <c r="T53" s="10"/>
      <c r="U53" s="8"/>
    </row>
    <row r="54" spans="1:21">
      <c r="A54" s="8"/>
      <c r="B54" s="10"/>
      <c r="C54" s="8"/>
      <c r="D54" s="8"/>
      <c r="E54" s="8"/>
      <c r="F54" s="8"/>
      <c r="G54" s="11"/>
      <c r="H54" s="11"/>
      <c r="I54" s="11"/>
      <c r="J54" s="11"/>
      <c r="K54" s="11"/>
      <c r="L54" s="11"/>
      <c r="M54" s="11"/>
      <c r="N54" s="11"/>
      <c r="O54" s="11"/>
      <c r="P54" s="12" t="str">
        <f t="shared" si="0"/>
        <v/>
      </c>
      <c r="Q54" s="12" t="str">
        <f t="shared" si="1"/>
        <v/>
      </c>
      <c r="R54" s="12" t="str">
        <f t="shared" si="2"/>
        <v/>
      </c>
      <c r="S54" s="8"/>
      <c r="T54" s="10"/>
      <c r="U54" s="8"/>
    </row>
    <row r="55" spans="1:21">
      <c r="A55" s="8"/>
      <c r="B55" s="10"/>
      <c r="C55" s="8"/>
      <c r="D55" s="8"/>
      <c r="E55" s="8"/>
      <c r="F55" s="8"/>
      <c r="G55" s="11"/>
      <c r="H55" s="11"/>
      <c r="I55" s="11"/>
      <c r="J55" s="11"/>
      <c r="K55" s="11"/>
      <c r="L55" s="11"/>
      <c r="M55" s="11"/>
      <c r="N55" s="11"/>
      <c r="O55" s="11"/>
      <c r="P55" s="12" t="str">
        <f t="shared" si="0"/>
        <v/>
      </c>
      <c r="Q55" s="12" t="str">
        <f t="shared" si="1"/>
        <v/>
      </c>
      <c r="R55" s="12" t="str">
        <f t="shared" si="2"/>
        <v/>
      </c>
      <c r="S55" s="8"/>
      <c r="T55" s="10"/>
      <c r="U55" s="8"/>
    </row>
    <row r="56" spans="1:21">
      <c r="A56" s="8"/>
      <c r="B56" s="10"/>
      <c r="C56" s="8"/>
      <c r="D56" s="8"/>
      <c r="E56" s="8"/>
      <c r="F56" s="8"/>
      <c r="G56" s="11"/>
      <c r="H56" s="11"/>
      <c r="I56" s="11"/>
      <c r="J56" s="11"/>
      <c r="K56" s="11"/>
      <c r="L56" s="11"/>
      <c r="M56" s="11"/>
      <c r="N56" s="11"/>
      <c r="O56" s="11"/>
      <c r="P56" s="12" t="str">
        <f t="shared" si="0"/>
        <v/>
      </c>
      <c r="Q56" s="12" t="str">
        <f t="shared" si="1"/>
        <v/>
      </c>
      <c r="R56" s="12" t="str">
        <f t="shared" si="2"/>
        <v/>
      </c>
      <c r="S56" s="8"/>
      <c r="T56" s="10"/>
      <c r="U56" s="8"/>
    </row>
    <row r="57" spans="1:21">
      <c r="A57" s="8"/>
      <c r="B57" s="10"/>
      <c r="C57" s="8"/>
      <c r="D57" s="8"/>
      <c r="E57" s="8"/>
      <c r="F57" s="8"/>
      <c r="G57" s="11"/>
      <c r="H57" s="11"/>
      <c r="I57" s="11"/>
      <c r="J57" s="11"/>
      <c r="K57" s="11"/>
      <c r="L57" s="11"/>
      <c r="M57" s="11"/>
      <c r="N57" s="11"/>
      <c r="O57" s="11"/>
      <c r="P57" s="12" t="str">
        <f t="shared" si="0"/>
        <v/>
      </c>
      <c r="Q57" s="12" t="str">
        <f t="shared" si="1"/>
        <v/>
      </c>
      <c r="R57" s="12" t="str">
        <f t="shared" si="2"/>
        <v/>
      </c>
      <c r="S57" s="8"/>
      <c r="T57" s="10"/>
      <c r="U57" s="8"/>
    </row>
    <row r="58" spans="1:21">
      <c r="A58" s="8"/>
      <c r="B58" s="10"/>
      <c r="C58" s="8"/>
      <c r="D58" s="8"/>
      <c r="E58" s="8"/>
      <c r="F58" s="8"/>
      <c r="G58" s="11"/>
      <c r="H58" s="11"/>
      <c r="I58" s="11"/>
      <c r="J58" s="11"/>
      <c r="K58" s="11"/>
      <c r="L58" s="11"/>
      <c r="M58" s="11"/>
      <c r="N58" s="11"/>
      <c r="O58" s="11"/>
      <c r="P58" s="12" t="str">
        <f t="shared" si="0"/>
        <v/>
      </c>
      <c r="Q58" s="12" t="str">
        <f t="shared" si="1"/>
        <v/>
      </c>
      <c r="R58" s="12" t="str">
        <f t="shared" si="2"/>
        <v/>
      </c>
      <c r="S58" s="8"/>
      <c r="T58" s="10"/>
      <c r="U58" s="8"/>
    </row>
    <row r="59" spans="1:21">
      <c r="A59" s="8"/>
      <c r="B59" s="10"/>
      <c r="C59" s="8"/>
      <c r="D59" s="8"/>
      <c r="E59" s="8"/>
      <c r="F59" s="8"/>
      <c r="G59" s="11"/>
      <c r="H59" s="11"/>
      <c r="I59" s="11"/>
      <c r="J59" s="11"/>
      <c r="K59" s="11"/>
      <c r="L59" s="11"/>
      <c r="M59" s="11"/>
      <c r="N59" s="11"/>
      <c r="O59" s="11"/>
      <c r="P59" s="12" t="str">
        <f t="shared" si="0"/>
        <v/>
      </c>
      <c r="Q59" s="12" t="str">
        <f t="shared" si="1"/>
        <v/>
      </c>
      <c r="R59" s="12" t="str">
        <f t="shared" si="2"/>
        <v/>
      </c>
      <c r="S59" s="8"/>
      <c r="T59" s="10"/>
      <c r="U59" s="8"/>
    </row>
    <row r="60" spans="1:21">
      <c r="A60" s="8"/>
      <c r="B60" s="10"/>
      <c r="C60" s="8"/>
      <c r="D60" s="8"/>
      <c r="E60" s="8"/>
      <c r="F60" s="8"/>
      <c r="G60" s="11"/>
      <c r="H60" s="11"/>
      <c r="I60" s="11"/>
      <c r="J60" s="11"/>
      <c r="K60" s="11"/>
      <c r="L60" s="11"/>
      <c r="M60" s="11"/>
      <c r="N60" s="11"/>
      <c r="O60" s="11"/>
      <c r="P60" s="12" t="str">
        <f t="shared" si="0"/>
        <v/>
      </c>
      <c r="Q60" s="12" t="str">
        <f t="shared" si="1"/>
        <v/>
      </c>
      <c r="R60" s="12" t="str">
        <f t="shared" si="2"/>
        <v/>
      </c>
      <c r="S60" s="8"/>
      <c r="T60" s="10"/>
      <c r="U60" s="8"/>
    </row>
    <row r="61" spans="1:21">
      <c r="A61" s="8"/>
      <c r="B61" s="10"/>
      <c r="C61" s="8"/>
      <c r="D61" s="8"/>
      <c r="E61" s="8"/>
      <c r="F61" s="8"/>
      <c r="G61" s="11"/>
      <c r="H61" s="11"/>
      <c r="I61" s="11"/>
      <c r="J61" s="11"/>
      <c r="K61" s="11"/>
      <c r="L61" s="11"/>
      <c r="M61" s="11"/>
      <c r="N61" s="11"/>
      <c r="O61" s="11"/>
      <c r="P61" s="12" t="str">
        <f t="shared" si="0"/>
        <v/>
      </c>
      <c r="Q61" s="12" t="str">
        <f t="shared" si="1"/>
        <v/>
      </c>
      <c r="R61" s="12" t="str">
        <f t="shared" si="2"/>
        <v/>
      </c>
      <c r="S61" s="8"/>
      <c r="T61" s="10"/>
      <c r="U61" s="8"/>
    </row>
    <row r="62" spans="1:21">
      <c r="A62" s="8"/>
      <c r="B62" s="10"/>
      <c r="C62" s="8"/>
      <c r="D62" s="8"/>
      <c r="E62" s="8"/>
      <c r="F62" s="8"/>
      <c r="G62" s="11"/>
      <c r="H62" s="11"/>
      <c r="I62" s="11"/>
      <c r="J62" s="11"/>
      <c r="K62" s="11"/>
      <c r="L62" s="11"/>
      <c r="M62" s="11"/>
      <c r="N62" s="11"/>
      <c r="O62" s="11"/>
      <c r="P62" s="12" t="str">
        <f t="shared" si="0"/>
        <v/>
      </c>
      <c r="Q62" s="12" t="str">
        <f t="shared" si="1"/>
        <v/>
      </c>
      <c r="R62" s="12" t="str">
        <f t="shared" si="2"/>
        <v/>
      </c>
      <c r="S62" s="8"/>
      <c r="T62" s="10"/>
      <c r="U62" s="8"/>
    </row>
    <row r="63" spans="1:21">
      <c r="A63" s="8"/>
      <c r="B63" s="10"/>
      <c r="C63" s="8"/>
      <c r="D63" s="8"/>
      <c r="E63" s="8"/>
      <c r="F63" s="8"/>
      <c r="G63" s="11"/>
      <c r="H63" s="11"/>
      <c r="I63" s="11"/>
      <c r="J63" s="11"/>
      <c r="K63" s="11"/>
      <c r="L63" s="11"/>
      <c r="M63" s="11"/>
      <c r="N63" s="11"/>
      <c r="O63" s="11"/>
      <c r="P63" s="12" t="str">
        <f t="shared" si="0"/>
        <v/>
      </c>
      <c r="Q63" s="12" t="str">
        <f t="shared" si="1"/>
        <v/>
      </c>
      <c r="R63" s="12" t="str">
        <f t="shared" si="2"/>
        <v/>
      </c>
      <c r="S63" s="8"/>
      <c r="T63" s="10"/>
      <c r="U63" s="8"/>
    </row>
    <row r="64" spans="1:21">
      <c r="A64" s="8"/>
      <c r="B64" s="10"/>
      <c r="C64" s="8"/>
      <c r="D64" s="8"/>
      <c r="E64" s="8"/>
      <c r="F64" s="8"/>
      <c r="G64" s="11"/>
      <c r="H64" s="11"/>
      <c r="I64" s="11"/>
      <c r="J64" s="11"/>
      <c r="K64" s="11"/>
      <c r="L64" s="11"/>
      <c r="M64" s="11"/>
      <c r="N64" s="11"/>
      <c r="O64" s="11"/>
      <c r="P64" s="12" t="str">
        <f t="shared" si="0"/>
        <v/>
      </c>
      <c r="Q64" s="12" t="str">
        <f t="shared" si="1"/>
        <v/>
      </c>
      <c r="R64" s="12" t="str">
        <f t="shared" si="2"/>
        <v/>
      </c>
      <c r="S64" s="8"/>
      <c r="T64" s="10"/>
      <c r="U64" s="8"/>
    </row>
    <row r="65" spans="1:21">
      <c r="A65" s="8"/>
      <c r="B65" s="10"/>
      <c r="C65" s="8"/>
      <c r="D65" s="8"/>
      <c r="E65" s="8"/>
      <c r="F65" s="8"/>
      <c r="G65" s="11"/>
      <c r="H65" s="11"/>
      <c r="I65" s="11"/>
      <c r="J65" s="11"/>
      <c r="K65" s="11"/>
      <c r="L65" s="11"/>
      <c r="M65" s="11"/>
      <c r="N65" s="11"/>
      <c r="O65" s="11"/>
      <c r="P65" s="12" t="str">
        <f t="shared" si="0"/>
        <v/>
      </c>
      <c r="Q65" s="12" t="str">
        <f t="shared" si="1"/>
        <v/>
      </c>
      <c r="R65" s="12" t="str">
        <f t="shared" si="2"/>
        <v/>
      </c>
      <c r="S65" s="8"/>
      <c r="T65" s="10"/>
      <c r="U65" s="8"/>
    </row>
    <row r="66" spans="1:21">
      <c r="A66" s="8"/>
      <c r="B66" s="10"/>
      <c r="C66" s="8"/>
      <c r="D66" s="8"/>
      <c r="E66" s="8"/>
      <c r="F66" s="8"/>
      <c r="G66" s="11"/>
      <c r="H66" s="11"/>
      <c r="I66" s="11"/>
      <c r="J66" s="11"/>
      <c r="K66" s="11"/>
      <c r="L66" s="11"/>
      <c r="M66" s="11"/>
      <c r="N66" s="11"/>
      <c r="O66" s="11"/>
      <c r="P66" s="12" t="str">
        <f t="shared" si="0"/>
        <v/>
      </c>
      <c r="Q66" s="12" t="str">
        <f t="shared" si="1"/>
        <v/>
      </c>
      <c r="R66" s="12" t="str">
        <f t="shared" si="2"/>
        <v/>
      </c>
      <c r="S66" s="8"/>
      <c r="T66" s="10"/>
      <c r="U66" s="8"/>
    </row>
    <row r="67" spans="1:21">
      <c r="A67" s="8"/>
      <c r="B67" s="10"/>
      <c r="C67" s="8"/>
      <c r="D67" s="8"/>
      <c r="E67" s="8"/>
      <c r="F67" s="8"/>
      <c r="G67" s="11"/>
      <c r="H67" s="11"/>
      <c r="I67" s="11"/>
      <c r="J67" s="11"/>
      <c r="K67" s="11"/>
      <c r="L67" s="11"/>
      <c r="M67" s="11"/>
      <c r="N67" s="11"/>
      <c r="O67" s="11"/>
      <c r="P67" s="12" t="str">
        <f t="shared" si="0"/>
        <v/>
      </c>
      <c r="Q67" s="12" t="str">
        <f t="shared" si="1"/>
        <v/>
      </c>
      <c r="R67" s="12" t="str">
        <f t="shared" si="2"/>
        <v/>
      </c>
      <c r="S67" s="8"/>
      <c r="T67" s="10"/>
      <c r="U67" s="8"/>
    </row>
    <row r="68" spans="1:21">
      <c r="A68" s="8"/>
      <c r="B68" s="10"/>
      <c r="C68" s="8"/>
      <c r="D68" s="8"/>
      <c r="E68" s="8"/>
      <c r="F68" s="8"/>
      <c r="G68" s="11"/>
      <c r="H68" s="11"/>
      <c r="I68" s="11"/>
      <c r="J68" s="11"/>
      <c r="K68" s="11"/>
      <c r="L68" s="11"/>
      <c r="M68" s="11"/>
      <c r="N68" s="11"/>
      <c r="O68" s="11"/>
      <c r="P68" s="12" t="str">
        <f t="shared" si="0"/>
        <v/>
      </c>
      <c r="Q68" s="12" t="str">
        <f t="shared" si="1"/>
        <v/>
      </c>
      <c r="R68" s="12" t="str">
        <f t="shared" si="2"/>
        <v/>
      </c>
      <c r="S68" s="8"/>
      <c r="T68" s="10"/>
      <c r="U68" s="8"/>
    </row>
    <row r="69" spans="1:21">
      <c r="A69" s="8"/>
      <c r="B69" s="10"/>
      <c r="C69" s="8"/>
      <c r="D69" s="8"/>
      <c r="E69" s="8"/>
      <c r="F69" s="8"/>
      <c r="G69" s="11"/>
      <c r="H69" s="11"/>
      <c r="I69" s="11"/>
      <c r="J69" s="11"/>
      <c r="K69" s="11"/>
      <c r="L69" s="11"/>
      <c r="M69" s="11"/>
      <c r="N69" s="11"/>
      <c r="O69" s="11"/>
      <c r="P69" s="12" t="str">
        <f t="shared" ref="P69:P132" si="3">IF(A69="","",K69-G69)</f>
        <v/>
      </c>
      <c r="Q69" s="12" t="str">
        <f t="shared" ref="Q69:Q132" si="4">IF(A69="","",MAX(0,G69-K69))</f>
        <v/>
      </c>
      <c r="R69" s="12" t="str">
        <f t="shared" ref="R69:R132" si="5">IF(A69="","",MAX(0,K69-G69))</f>
        <v/>
      </c>
      <c r="S69" s="8"/>
      <c r="T69" s="10"/>
      <c r="U69" s="8"/>
    </row>
    <row r="70" spans="1:21">
      <c r="A70" s="8"/>
      <c r="B70" s="10"/>
      <c r="C70" s="8"/>
      <c r="D70" s="8"/>
      <c r="E70" s="8"/>
      <c r="F70" s="8"/>
      <c r="G70" s="11"/>
      <c r="H70" s="11"/>
      <c r="I70" s="11"/>
      <c r="J70" s="11"/>
      <c r="K70" s="11"/>
      <c r="L70" s="11"/>
      <c r="M70" s="11"/>
      <c r="N70" s="11"/>
      <c r="O70" s="11"/>
      <c r="P70" s="12" t="str">
        <f t="shared" si="3"/>
        <v/>
      </c>
      <c r="Q70" s="12" t="str">
        <f t="shared" si="4"/>
        <v/>
      </c>
      <c r="R70" s="12" t="str">
        <f t="shared" si="5"/>
        <v/>
      </c>
      <c r="S70" s="8"/>
      <c r="T70" s="10"/>
      <c r="U70" s="8"/>
    </row>
    <row r="71" spans="1:21">
      <c r="A71" s="8"/>
      <c r="B71" s="10"/>
      <c r="C71" s="8"/>
      <c r="D71" s="8"/>
      <c r="E71" s="8"/>
      <c r="F71" s="8"/>
      <c r="G71" s="11"/>
      <c r="H71" s="11"/>
      <c r="I71" s="11"/>
      <c r="J71" s="11"/>
      <c r="K71" s="11"/>
      <c r="L71" s="11"/>
      <c r="M71" s="11"/>
      <c r="N71" s="11"/>
      <c r="O71" s="11"/>
      <c r="P71" s="12" t="str">
        <f t="shared" si="3"/>
        <v/>
      </c>
      <c r="Q71" s="12" t="str">
        <f t="shared" si="4"/>
        <v/>
      </c>
      <c r="R71" s="12" t="str">
        <f t="shared" si="5"/>
        <v/>
      </c>
      <c r="S71" s="8"/>
      <c r="T71" s="10"/>
      <c r="U71" s="8"/>
    </row>
    <row r="72" spans="1:21">
      <c r="A72" s="8"/>
      <c r="B72" s="10"/>
      <c r="C72" s="8"/>
      <c r="D72" s="8"/>
      <c r="E72" s="8"/>
      <c r="F72" s="8"/>
      <c r="G72" s="11"/>
      <c r="H72" s="11"/>
      <c r="I72" s="11"/>
      <c r="J72" s="11"/>
      <c r="K72" s="11"/>
      <c r="L72" s="11"/>
      <c r="M72" s="11"/>
      <c r="N72" s="11"/>
      <c r="O72" s="11"/>
      <c r="P72" s="12" t="str">
        <f t="shared" si="3"/>
        <v/>
      </c>
      <c r="Q72" s="12" t="str">
        <f t="shared" si="4"/>
        <v/>
      </c>
      <c r="R72" s="12" t="str">
        <f t="shared" si="5"/>
        <v/>
      </c>
      <c r="S72" s="8"/>
      <c r="T72" s="10"/>
      <c r="U72" s="8"/>
    </row>
    <row r="73" spans="1:21">
      <c r="A73" s="8"/>
      <c r="B73" s="10"/>
      <c r="C73" s="8"/>
      <c r="D73" s="8"/>
      <c r="E73" s="8"/>
      <c r="F73" s="8"/>
      <c r="G73" s="11"/>
      <c r="H73" s="11"/>
      <c r="I73" s="11"/>
      <c r="J73" s="11"/>
      <c r="K73" s="11"/>
      <c r="L73" s="11"/>
      <c r="M73" s="11"/>
      <c r="N73" s="11"/>
      <c r="O73" s="11"/>
      <c r="P73" s="12" t="str">
        <f t="shared" si="3"/>
        <v/>
      </c>
      <c r="Q73" s="12" t="str">
        <f t="shared" si="4"/>
        <v/>
      </c>
      <c r="R73" s="12" t="str">
        <f t="shared" si="5"/>
        <v/>
      </c>
      <c r="S73" s="8"/>
      <c r="T73" s="10"/>
      <c r="U73" s="8"/>
    </row>
    <row r="74" spans="1:21">
      <c r="A74" s="8"/>
      <c r="B74" s="10"/>
      <c r="C74" s="8"/>
      <c r="D74" s="8"/>
      <c r="E74" s="8"/>
      <c r="F74" s="8"/>
      <c r="G74" s="11"/>
      <c r="H74" s="11"/>
      <c r="I74" s="11"/>
      <c r="J74" s="11"/>
      <c r="K74" s="11"/>
      <c r="L74" s="11"/>
      <c r="M74" s="11"/>
      <c r="N74" s="11"/>
      <c r="O74" s="11"/>
      <c r="P74" s="12" t="str">
        <f t="shared" si="3"/>
        <v/>
      </c>
      <c r="Q74" s="12" t="str">
        <f t="shared" si="4"/>
        <v/>
      </c>
      <c r="R74" s="12" t="str">
        <f t="shared" si="5"/>
        <v/>
      </c>
      <c r="S74" s="8"/>
      <c r="T74" s="10"/>
      <c r="U74" s="8"/>
    </row>
    <row r="75" spans="1:21">
      <c r="A75" s="8"/>
      <c r="B75" s="10"/>
      <c r="C75" s="8"/>
      <c r="D75" s="8"/>
      <c r="E75" s="8"/>
      <c r="F75" s="8"/>
      <c r="G75" s="11"/>
      <c r="H75" s="11"/>
      <c r="I75" s="11"/>
      <c r="J75" s="11"/>
      <c r="K75" s="11"/>
      <c r="L75" s="11"/>
      <c r="M75" s="11"/>
      <c r="N75" s="11"/>
      <c r="O75" s="11"/>
      <c r="P75" s="12" t="str">
        <f t="shared" si="3"/>
        <v/>
      </c>
      <c r="Q75" s="12" t="str">
        <f t="shared" si="4"/>
        <v/>
      </c>
      <c r="R75" s="12" t="str">
        <f t="shared" si="5"/>
        <v/>
      </c>
      <c r="S75" s="8"/>
      <c r="T75" s="10"/>
      <c r="U75" s="8"/>
    </row>
    <row r="76" spans="1:21">
      <c r="A76" s="8"/>
      <c r="B76" s="10"/>
      <c r="C76" s="8"/>
      <c r="D76" s="8"/>
      <c r="E76" s="8"/>
      <c r="F76" s="8"/>
      <c r="G76" s="11"/>
      <c r="H76" s="11"/>
      <c r="I76" s="11"/>
      <c r="J76" s="11"/>
      <c r="K76" s="11"/>
      <c r="L76" s="11"/>
      <c r="M76" s="11"/>
      <c r="N76" s="11"/>
      <c r="O76" s="11"/>
      <c r="P76" s="12" t="str">
        <f t="shared" si="3"/>
        <v/>
      </c>
      <c r="Q76" s="12" t="str">
        <f t="shared" si="4"/>
        <v/>
      </c>
      <c r="R76" s="12" t="str">
        <f t="shared" si="5"/>
        <v/>
      </c>
      <c r="S76" s="8"/>
      <c r="T76" s="10"/>
      <c r="U76" s="8"/>
    </row>
    <row r="77" spans="1:21">
      <c r="A77" s="8"/>
      <c r="B77" s="10"/>
      <c r="C77" s="8"/>
      <c r="D77" s="8"/>
      <c r="E77" s="8"/>
      <c r="F77" s="8"/>
      <c r="G77" s="11"/>
      <c r="H77" s="11"/>
      <c r="I77" s="11"/>
      <c r="J77" s="11"/>
      <c r="K77" s="11"/>
      <c r="L77" s="11"/>
      <c r="M77" s="11"/>
      <c r="N77" s="11"/>
      <c r="O77" s="11"/>
      <c r="P77" s="12" t="str">
        <f t="shared" si="3"/>
        <v/>
      </c>
      <c r="Q77" s="12" t="str">
        <f t="shared" si="4"/>
        <v/>
      </c>
      <c r="R77" s="12" t="str">
        <f t="shared" si="5"/>
        <v/>
      </c>
      <c r="S77" s="8"/>
      <c r="T77" s="10"/>
      <c r="U77" s="8"/>
    </row>
    <row r="78" spans="1:21">
      <c r="A78" s="8"/>
      <c r="B78" s="10"/>
      <c r="C78" s="8"/>
      <c r="D78" s="8"/>
      <c r="E78" s="8"/>
      <c r="F78" s="8"/>
      <c r="G78" s="11"/>
      <c r="H78" s="11"/>
      <c r="I78" s="11"/>
      <c r="J78" s="11"/>
      <c r="K78" s="11"/>
      <c r="L78" s="11"/>
      <c r="M78" s="11"/>
      <c r="N78" s="11"/>
      <c r="O78" s="11"/>
      <c r="P78" s="12" t="str">
        <f t="shared" si="3"/>
        <v/>
      </c>
      <c r="Q78" s="12" t="str">
        <f t="shared" si="4"/>
        <v/>
      </c>
      <c r="R78" s="12" t="str">
        <f t="shared" si="5"/>
        <v/>
      </c>
      <c r="S78" s="8"/>
      <c r="T78" s="10"/>
      <c r="U78" s="8"/>
    </row>
    <row r="79" spans="1:21">
      <c r="A79" s="8"/>
      <c r="B79" s="10"/>
      <c r="C79" s="8"/>
      <c r="D79" s="8"/>
      <c r="E79" s="8"/>
      <c r="F79" s="8"/>
      <c r="G79" s="11"/>
      <c r="H79" s="11"/>
      <c r="I79" s="11"/>
      <c r="J79" s="11"/>
      <c r="K79" s="11"/>
      <c r="L79" s="11"/>
      <c r="M79" s="11"/>
      <c r="N79" s="11"/>
      <c r="O79" s="11"/>
      <c r="P79" s="12" t="str">
        <f t="shared" si="3"/>
        <v/>
      </c>
      <c r="Q79" s="12" t="str">
        <f t="shared" si="4"/>
        <v/>
      </c>
      <c r="R79" s="12" t="str">
        <f t="shared" si="5"/>
        <v/>
      </c>
      <c r="S79" s="8"/>
      <c r="T79" s="10"/>
      <c r="U79" s="8"/>
    </row>
    <row r="80" spans="1:21">
      <c r="A80" s="8"/>
      <c r="B80" s="10"/>
      <c r="C80" s="8"/>
      <c r="D80" s="8"/>
      <c r="E80" s="8"/>
      <c r="F80" s="8"/>
      <c r="G80" s="11"/>
      <c r="H80" s="11"/>
      <c r="I80" s="11"/>
      <c r="J80" s="11"/>
      <c r="K80" s="11"/>
      <c r="L80" s="11"/>
      <c r="M80" s="11"/>
      <c r="N80" s="11"/>
      <c r="O80" s="11"/>
      <c r="P80" s="12" t="str">
        <f t="shared" si="3"/>
        <v/>
      </c>
      <c r="Q80" s="12" t="str">
        <f t="shared" si="4"/>
        <v/>
      </c>
      <c r="R80" s="12" t="str">
        <f t="shared" si="5"/>
        <v/>
      </c>
      <c r="S80" s="8"/>
      <c r="T80" s="10"/>
      <c r="U80" s="8"/>
    </row>
    <row r="81" spans="1:21">
      <c r="A81" s="8"/>
      <c r="B81" s="10"/>
      <c r="C81" s="8"/>
      <c r="D81" s="8"/>
      <c r="E81" s="8"/>
      <c r="F81" s="8"/>
      <c r="G81" s="11"/>
      <c r="H81" s="11"/>
      <c r="I81" s="11"/>
      <c r="J81" s="11"/>
      <c r="K81" s="11"/>
      <c r="L81" s="11"/>
      <c r="M81" s="11"/>
      <c r="N81" s="11"/>
      <c r="O81" s="11"/>
      <c r="P81" s="12" t="str">
        <f t="shared" si="3"/>
        <v/>
      </c>
      <c r="Q81" s="12" t="str">
        <f t="shared" si="4"/>
        <v/>
      </c>
      <c r="R81" s="12" t="str">
        <f t="shared" si="5"/>
        <v/>
      </c>
      <c r="S81" s="8"/>
      <c r="T81" s="10"/>
      <c r="U81" s="8"/>
    </row>
    <row r="82" spans="1:21">
      <c r="A82" s="8"/>
      <c r="B82" s="10"/>
      <c r="C82" s="8"/>
      <c r="D82" s="8"/>
      <c r="E82" s="8"/>
      <c r="F82" s="8"/>
      <c r="G82" s="11"/>
      <c r="H82" s="11"/>
      <c r="I82" s="11"/>
      <c r="J82" s="11"/>
      <c r="K82" s="11"/>
      <c r="L82" s="11"/>
      <c r="M82" s="11"/>
      <c r="N82" s="11"/>
      <c r="O82" s="11"/>
      <c r="P82" s="12" t="str">
        <f t="shared" si="3"/>
        <v/>
      </c>
      <c r="Q82" s="12" t="str">
        <f t="shared" si="4"/>
        <v/>
      </c>
      <c r="R82" s="12" t="str">
        <f t="shared" si="5"/>
        <v/>
      </c>
      <c r="S82" s="8"/>
      <c r="T82" s="10"/>
      <c r="U82" s="8"/>
    </row>
    <row r="83" spans="1:21">
      <c r="A83" s="8"/>
      <c r="B83" s="10"/>
      <c r="C83" s="8"/>
      <c r="D83" s="8"/>
      <c r="E83" s="8"/>
      <c r="F83" s="8"/>
      <c r="G83" s="11"/>
      <c r="H83" s="11"/>
      <c r="I83" s="11"/>
      <c r="J83" s="11"/>
      <c r="K83" s="11"/>
      <c r="L83" s="11"/>
      <c r="M83" s="11"/>
      <c r="N83" s="11"/>
      <c r="O83" s="11"/>
      <c r="P83" s="12" t="str">
        <f t="shared" si="3"/>
        <v/>
      </c>
      <c r="Q83" s="12" t="str">
        <f t="shared" si="4"/>
        <v/>
      </c>
      <c r="R83" s="12" t="str">
        <f t="shared" si="5"/>
        <v/>
      </c>
      <c r="S83" s="8"/>
      <c r="T83" s="10"/>
      <c r="U83" s="8"/>
    </row>
    <row r="84" spans="1:21">
      <c r="A84" s="8"/>
      <c r="B84" s="10"/>
      <c r="C84" s="8"/>
      <c r="D84" s="8"/>
      <c r="E84" s="8"/>
      <c r="F84" s="8"/>
      <c r="G84" s="11"/>
      <c r="H84" s="11"/>
      <c r="I84" s="11"/>
      <c r="J84" s="11"/>
      <c r="K84" s="11"/>
      <c r="L84" s="11"/>
      <c r="M84" s="11"/>
      <c r="N84" s="11"/>
      <c r="O84" s="11"/>
      <c r="P84" s="12" t="str">
        <f t="shared" si="3"/>
        <v/>
      </c>
      <c r="Q84" s="12" t="str">
        <f t="shared" si="4"/>
        <v/>
      </c>
      <c r="R84" s="12" t="str">
        <f t="shared" si="5"/>
        <v/>
      </c>
      <c r="S84" s="8"/>
      <c r="T84" s="10"/>
      <c r="U84" s="8"/>
    </row>
    <row r="85" spans="1:21">
      <c r="A85" s="8"/>
      <c r="B85" s="10"/>
      <c r="C85" s="8"/>
      <c r="D85" s="8"/>
      <c r="E85" s="8"/>
      <c r="F85" s="8"/>
      <c r="G85" s="11"/>
      <c r="H85" s="11"/>
      <c r="I85" s="11"/>
      <c r="J85" s="11"/>
      <c r="K85" s="11"/>
      <c r="L85" s="11"/>
      <c r="M85" s="11"/>
      <c r="N85" s="11"/>
      <c r="O85" s="11"/>
      <c r="P85" s="12" t="str">
        <f t="shared" si="3"/>
        <v/>
      </c>
      <c r="Q85" s="12" t="str">
        <f t="shared" si="4"/>
        <v/>
      </c>
      <c r="R85" s="12" t="str">
        <f t="shared" si="5"/>
        <v/>
      </c>
      <c r="S85" s="8"/>
      <c r="T85" s="10"/>
      <c r="U85" s="8"/>
    </row>
    <row r="86" spans="1:21">
      <c r="A86" s="8"/>
      <c r="B86" s="10"/>
      <c r="C86" s="8"/>
      <c r="D86" s="8"/>
      <c r="E86" s="8"/>
      <c r="F86" s="8"/>
      <c r="G86" s="11"/>
      <c r="H86" s="11"/>
      <c r="I86" s="11"/>
      <c r="J86" s="11"/>
      <c r="K86" s="11"/>
      <c r="L86" s="11"/>
      <c r="M86" s="11"/>
      <c r="N86" s="11"/>
      <c r="O86" s="11"/>
      <c r="P86" s="12" t="str">
        <f t="shared" si="3"/>
        <v/>
      </c>
      <c r="Q86" s="12" t="str">
        <f t="shared" si="4"/>
        <v/>
      </c>
      <c r="R86" s="12" t="str">
        <f t="shared" si="5"/>
        <v/>
      </c>
      <c r="S86" s="8"/>
      <c r="T86" s="10"/>
      <c r="U86" s="8"/>
    </row>
    <row r="87" spans="1:21">
      <c r="A87" s="8"/>
      <c r="B87" s="10"/>
      <c r="C87" s="8"/>
      <c r="D87" s="8"/>
      <c r="E87" s="8"/>
      <c r="F87" s="8"/>
      <c r="G87" s="11"/>
      <c r="H87" s="11"/>
      <c r="I87" s="11"/>
      <c r="J87" s="11"/>
      <c r="K87" s="11"/>
      <c r="L87" s="11"/>
      <c r="M87" s="11"/>
      <c r="N87" s="11"/>
      <c r="O87" s="11"/>
      <c r="P87" s="12" t="str">
        <f t="shared" si="3"/>
        <v/>
      </c>
      <c r="Q87" s="12" t="str">
        <f t="shared" si="4"/>
        <v/>
      </c>
      <c r="R87" s="12" t="str">
        <f t="shared" si="5"/>
        <v/>
      </c>
      <c r="S87" s="8"/>
      <c r="T87" s="10"/>
      <c r="U87" s="8"/>
    </row>
    <row r="88" spans="1:21">
      <c r="A88" s="8"/>
      <c r="B88" s="10"/>
      <c r="C88" s="8"/>
      <c r="D88" s="8"/>
      <c r="E88" s="8"/>
      <c r="F88" s="8"/>
      <c r="G88" s="11"/>
      <c r="H88" s="11"/>
      <c r="I88" s="11"/>
      <c r="J88" s="11"/>
      <c r="K88" s="11"/>
      <c r="L88" s="11"/>
      <c r="M88" s="11"/>
      <c r="N88" s="11"/>
      <c r="O88" s="11"/>
      <c r="P88" s="12" t="str">
        <f t="shared" si="3"/>
        <v/>
      </c>
      <c r="Q88" s="12" t="str">
        <f t="shared" si="4"/>
        <v/>
      </c>
      <c r="R88" s="12" t="str">
        <f t="shared" si="5"/>
        <v/>
      </c>
      <c r="S88" s="8"/>
      <c r="T88" s="10"/>
      <c r="U88" s="8"/>
    </row>
    <row r="89" spans="1:21">
      <c r="A89" s="8"/>
      <c r="B89" s="10"/>
      <c r="C89" s="8"/>
      <c r="D89" s="8"/>
      <c r="E89" s="8"/>
      <c r="F89" s="8"/>
      <c r="G89" s="11"/>
      <c r="H89" s="11"/>
      <c r="I89" s="11"/>
      <c r="J89" s="11"/>
      <c r="K89" s="11"/>
      <c r="L89" s="11"/>
      <c r="M89" s="11"/>
      <c r="N89" s="11"/>
      <c r="O89" s="11"/>
      <c r="P89" s="12" t="str">
        <f t="shared" si="3"/>
        <v/>
      </c>
      <c r="Q89" s="12" t="str">
        <f t="shared" si="4"/>
        <v/>
      </c>
      <c r="R89" s="12" t="str">
        <f t="shared" si="5"/>
        <v/>
      </c>
      <c r="S89" s="8"/>
      <c r="T89" s="10"/>
      <c r="U89" s="8"/>
    </row>
    <row r="90" spans="1:21">
      <c r="A90" s="8"/>
      <c r="B90" s="10"/>
      <c r="C90" s="8"/>
      <c r="D90" s="8"/>
      <c r="E90" s="8"/>
      <c r="F90" s="8"/>
      <c r="G90" s="11"/>
      <c r="H90" s="11"/>
      <c r="I90" s="11"/>
      <c r="J90" s="11"/>
      <c r="K90" s="11"/>
      <c r="L90" s="11"/>
      <c r="M90" s="11"/>
      <c r="N90" s="11"/>
      <c r="O90" s="11"/>
      <c r="P90" s="12" t="str">
        <f t="shared" si="3"/>
        <v/>
      </c>
      <c r="Q90" s="12" t="str">
        <f t="shared" si="4"/>
        <v/>
      </c>
      <c r="R90" s="12" t="str">
        <f t="shared" si="5"/>
        <v/>
      </c>
      <c r="S90" s="8"/>
      <c r="T90" s="10"/>
      <c r="U90" s="8"/>
    </row>
    <row r="91" spans="1:21">
      <c r="A91" s="8"/>
      <c r="B91" s="10"/>
      <c r="C91" s="8"/>
      <c r="D91" s="8"/>
      <c r="E91" s="8"/>
      <c r="F91" s="8"/>
      <c r="G91" s="11"/>
      <c r="H91" s="11"/>
      <c r="I91" s="11"/>
      <c r="J91" s="11"/>
      <c r="K91" s="11"/>
      <c r="L91" s="11"/>
      <c r="M91" s="11"/>
      <c r="N91" s="11"/>
      <c r="O91" s="11"/>
      <c r="P91" s="12" t="str">
        <f t="shared" si="3"/>
        <v/>
      </c>
      <c r="Q91" s="12" t="str">
        <f t="shared" si="4"/>
        <v/>
      </c>
      <c r="R91" s="12" t="str">
        <f t="shared" si="5"/>
        <v/>
      </c>
      <c r="S91" s="8"/>
      <c r="T91" s="10"/>
      <c r="U91" s="8"/>
    </row>
    <row r="92" spans="1:21">
      <c r="A92" s="8"/>
      <c r="B92" s="10"/>
      <c r="C92" s="8"/>
      <c r="D92" s="8"/>
      <c r="E92" s="8"/>
      <c r="F92" s="8"/>
      <c r="G92" s="11"/>
      <c r="H92" s="11"/>
      <c r="I92" s="11"/>
      <c r="J92" s="11"/>
      <c r="K92" s="11"/>
      <c r="L92" s="11"/>
      <c r="M92" s="11"/>
      <c r="N92" s="11"/>
      <c r="O92" s="11"/>
      <c r="P92" s="12" t="str">
        <f t="shared" si="3"/>
        <v/>
      </c>
      <c r="Q92" s="12" t="str">
        <f t="shared" si="4"/>
        <v/>
      </c>
      <c r="R92" s="12" t="str">
        <f t="shared" si="5"/>
        <v/>
      </c>
      <c r="S92" s="8"/>
      <c r="T92" s="10"/>
      <c r="U92" s="8"/>
    </row>
    <row r="93" spans="1:21">
      <c r="A93" s="8"/>
      <c r="B93" s="10"/>
      <c r="C93" s="8"/>
      <c r="D93" s="8"/>
      <c r="E93" s="8"/>
      <c r="F93" s="8"/>
      <c r="G93" s="11"/>
      <c r="H93" s="11"/>
      <c r="I93" s="11"/>
      <c r="J93" s="11"/>
      <c r="K93" s="11"/>
      <c r="L93" s="11"/>
      <c r="M93" s="11"/>
      <c r="N93" s="11"/>
      <c r="O93" s="11"/>
      <c r="P93" s="12" t="str">
        <f t="shared" si="3"/>
        <v/>
      </c>
      <c r="Q93" s="12" t="str">
        <f t="shared" si="4"/>
        <v/>
      </c>
      <c r="R93" s="12" t="str">
        <f t="shared" si="5"/>
        <v/>
      </c>
      <c r="S93" s="8"/>
      <c r="T93" s="10"/>
      <c r="U93" s="8"/>
    </row>
    <row r="94" spans="1:21">
      <c r="A94" s="8"/>
      <c r="B94" s="10"/>
      <c r="C94" s="8"/>
      <c r="D94" s="8"/>
      <c r="E94" s="8"/>
      <c r="F94" s="8"/>
      <c r="G94" s="11"/>
      <c r="H94" s="11"/>
      <c r="I94" s="11"/>
      <c r="J94" s="11"/>
      <c r="K94" s="11"/>
      <c r="L94" s="11"/>
      <c r="M94" s="11"/>
      <c r="N94" s="11"/>
      <c r="O94" s="11"/>
      <c r="P94" s="12" t="str">
        <f t="shared" si="3"/>
        <v/>
      </c>
      <c r="Q94" s="12" t="str">
        <f t="shared" si="4"/>
        <v/>
      </c>
      <c r="R94" s="12" t="str">
        <f t="shared" si="5"/>
        <v/>
      </c>
      <c r="S94" s="8"/>
      <c r="T94" s="10"/>
      <c r="U94" s="8"/>
    </row>
    <row r="95" spans="1:21">
      <c r="A95" s="8"/>
      <c r="B95" s="10"/>
      <c r="C95" s="8"/>
      <c r="D95" s="8"/>
      <c r="E95" s="8"/>
      <c r="F95" s="8"/>
      <c r="G95" s="11"/>
      <c r="H95" s="11"/>
      <c r="I95" s="11"/>
      <c r="J95" s="11"/>
      <c r="K95" s="11"/>
      <c r="L95" s="11"/>
      <c r="M95" s="11"/>
      <c r="N95" s="11"/>
      <c r="O95" s="11"/>
      <c r="P95" s="12" t="str">
        <f t="shared" si="3"/>
        <v/>
      </c>
      <c r="Q95" s="12" t="str">
        <f t="shared" si="4"/>
        <v/>
      </c>
      <c r="R95" s="12" t="str">
        <f t="shared" si="5"/>
        <v/>
      </c>
      <c r="S95" s="8"/>
      <c r="T95" s="10"/>
      <c r="U95" s="8"/>
    </row>
    <row r="96" spans="1:21">
      <c r="A96" s="8"/>
      <c r="B96" s="10"/>
      <c r="C96" s="8"/>
      <c r="D96" s="8"/>
      <c r="E96" s="8"/>
      <c r="F96" s="8"/>
      <c r="G96" s="11"/>
      <c r="H96" s="11"/>
      <c r="I96" s="11"/>
      <c r="J96" s="11"/>
      <c r="K96" s="11"/>
      <c r="L96" s="11"/>
      <c r="M96" s="11"/>
      <c r="N96" s="11"/>
      <c r="O96" s="11"/>
      <c r="P96" s="12" t="str">
        <f t="shared" si="3"/>
        <v/>
      </c>
      <c r="Q96" s="12" t="str">
        <f t="shared" si="4"/>
        <v/>
      </c>
      <c r="R96" s="12" t="str">
        <f t="shared" si="5"/>
        <v/>
      </c>
      <c r="S96" s="8"/>
      <c r="T96" s="10"/>
      <c r="U96" s="8"/>
    </row>
    <row r="97" spans="1:21">
      <c r="A97" s="8"/>
      <c r="B97" s="10"/>
      <c r="C97" s="8"/>
      <c r="D97" s="8"/>
      <c r="E97" s="8"/>
      <c r="F97" s="8"/>
      <c r="G97" s="11"/>
      <c r="H97" s="11"/>
      <c r="I97" s="11"/>
      <c r="J97" s="11"/>
      <c r="K97" s="11"/>
      <c r="L97" s="11"/>
      <c r="M97" s="11"/>
      <c r="N97" s="11"/>
      <c r="O97" s="11"/>
      <c r="P97" s="12" t="str">
        <f t="shared" si="3"/>
        <v/>
      </c>
      <c r="Q97" s="12" t="str">
        <f t="shared" si="4"/>
        <v/>
      </c>
      <c r="R97" s="12" t="str">
        <f t="shared" si="5"/>
        <v/>
      </c>
      <c r="S97" s="8"/>
      <c r="T97" s="10"/>
      <c r="U97" s="8"/>
    </row>
    <row r="98" spans="1:21">
      <c r="A98" s="8"/>
      <c r="B98" s="10"/>
      <c r="C98" s="8"/>
      <c r="D98" s="8"/>
      <c r="E98" s="8"/>
      <c r="F98" s="8"/>
      <c r="G98" s="11"/>
      <c r="H98" s="11"/>
      <c r="I98" s="11"/>
      <c r="J98" s="11"/>
      <c r="K98" s="11"/>
      <c r="L98" s="11"/>
      <c r="M98" s="11"/>
      <c r="N98" s="11"/>
      <c r="O98" s="11"/>
      <c r="P98" s="12" t="str">
        <f t="shared" si="3"/>
        <v/>
      </c>
      <c r="Q98" s="12" t="str">
        <f t="shared" si="4"/>
        <v/>
      </c>
      <c r="R98" s="12" t="str">
        <f t="shared" si="5"/>
        <v/>
      </c>
      <c r="S98" s="8"/>
      <c r="T98" s="10"/>
      <c r="U98" s="8"/>
    </row>
    <row r="99" spans="1:21">
      <c r="A99" s="8"/>
      <c r="B99" s="10"/>
      <c r="C99" s="8"/>
      <c r="D99" s="8"/>
      <c r="E99" s="8"/>
      <c r="F99" s="8"/>
      <c r="G99" s="11"/>
      <c r="H99" s="11"/>
      <c r="I99" s="11"/>
      <c r="J99" s="11"/>
      <c r="K99" s="11"/>
      <c r="L99" s="11"/>
      <c r="M99" s="11"/>
      <c r="N99" s="11"/>
      <c r="O99" s="11"/>
      <c r="P99" s="12" t="str">
        <f t="shared" si="3"/>
        <v/>
      </c>
      <c r="Q99" s="12" t="str">
        <f t="shared" si="4"/>
        <v/>
      </c>
      <c r="R99" s="12" t="str">
        <f t="shared" si="5"/>
        <v/>
      </c>
      <c r="S99" s="8"/>
      <c r="T99" s="10"/>
      <c r="U99" s="8"/>
    </row>
    <row r="100" spans="1:21">
      <c r="A100" s="8"/>
      <c r="B100" s="10"/>
      <c r="C100" s="8"/>
      <c r="D100" s="8"/>
      <c r="E100" s="8"/>
      <c r="F100" s="8"/>
      <c r="G100" s="11"/>
      <c r="H100" s="11"/>
      <c r="I100" s="11"/>
      <c r="J100" s="11"/>
      <c r="K100" s="11"/>
      <c r="L100" s="11"/>
      <c r="M100" s="11"/>
      <c r="N100" s="11"/>
      <c r="O100" s="11"/>
      <c r="P100" s="12" t="str">
        <f t="shared" si="3"/>
        <v/>
      </c>
      <c r="Q100" s="12" t="str">
        <f t="shared" si="4"/>
        <v/>
      </c>
      <c r="R100" s="12" t="str">
        <f t="shared" si="5"/>
        <v/>
      </c>
      <c r="S100" s="8"/>
      <c r="T100" s="10"/>
      <c r="U100" s="8"/>
    </row>
    <row r="101" spans="1:21">
      <c r="A101" s="8"/>
      <c r="B101" s="10"/>
      <c r="C101" s="8"/>
      <c r="D101" s="8"/>
      <c r="E101" s="8"/>
      <c r="F101" s="8"/>
      <c r="G101" s="11"/>
      <c r="H101" s="11"/>
      <c r="I101" s="11"/>
      <c r="J101" s="11"/>
      <c r="K101" s="11"/>
      <c r="L101" s="11"/>
      <c r="M101" s="11"/>
      <c r="N101" s="11"/>
      <c r="O101" s="11"/>
      <c r="P101" s="12" t="str">
        <f t="shared" si="3"/>
        <v/>
      </c>
      <c r="Q101" s="12" t="str">
        <f t="shared" si="4"/>
        <v/>
      </c>
      <c r="R101" s="12" t="str">
        <f t="shared" si="5"/>
        <v/>
      </c>
      <c r="S101" s="8"/>
      <c r="T101" s="10"/>
      <c r="U101" s="8"/>
    </row>
    <row r="102" spans="1:21">
      <c r="A102" s="8"/>
      <c r="B102" s="10"/>
      <c r="C102" s="8"/>
      <c r="D102" s="8"/>
      <c r="E102" s="8"/>
      <c r="F102" s="8"/>
      <c r="G102" s="11"/>
      <c r="H102" s="11"/>
      <c r="I102" s="11"/>
      <c r="J102" s="11"/>
      <c r="K102" s="11"/>
      <c r="L102" s="11"/>
      <c r="M102" s="11"/>
      <c r="N102" s="11"/>
      <c r="O102" s="11"/>
      <c r="P102" s="12" t="str">
        <f t="shared" si="3"/>
        <v/>
      </c>
      <c r="Q102" s="12" t="str">
        <f t="shared" si="4"/>
        <v/>
      </c>
      <c r="R102" s="12" t="str">
        <f t="shared" si="5"/>
        <v/>
      </c>
      <c r="S102" s="8"/>
      <c r="T102" s="10"/>
      <c r="U102" s="8"/>
    </row>
    <row r="103" spans="1:21">
      <c r="A103" s="8"/>
      <c r="B103" s="10"/>
      <c r="C103" s="8"/>
      <c r="D103" s="8"/>
      <c r="E103" s="8"/>
      <c r="F103" s="8"/>
      <c r="G103" s="11"/>
      <c r="H103" s="11"/>
      <c r="I103" s="11"/>
      <c r="J103" s="11"/>
      <c r="K103" s="11"/>
      <c r="L103" s="11"/>
      <c r="M103" s="11"/>
      <c r="N103" s="11"/>
      <c r="O103" s="11"/>
      <c r="P103" s="12" t="str">
        <f t="shared" si="3"/>
        <v/>
      </c>
      <c r="Q103" s="12" t="str">
        <f t="shared" si="4"/>
        <v/>
      </c>
      <c r="R103" s="12" t="str">
        <f t="shared" si="5"/>
        <v/>
      </c>
      <c r="S103" s="8"/>
      <c r="T103" s="10"/>
      <c r="U103" s="8"/>
    </row>
    <row r="104" spans="1:21">
      <c r="A104" s="8"/>
      <c r="B104" s="10"/>
      <c r="C104" s="8"/>
      <c r="D104" s="8"/>
      <c r="E104" s="8"/>
      <c r="F104" s="8"/>
      <c r="G104" s="11"/>
      <c r="H104" s="11"/>
      <c r="I104" s="11"/>
      <c r="J104" s="11"/>
      <c r="K104" s="11"/>
      <c r="L104" s="11"/>
      <c r="M104" s="11"/>
      <c r="N104" s="11"/>
      <c r="O104" s="11"/>
      <c r="P104" s="12" t="str">
        <f t="shared" si="3"/>
        <v/>
      </c>
      <c r="Q104" s="12" t="str">
        <f t="shared" si="4"/>
        <v/>
      </c>
      <c r="R104" s="12" t="str">
        <f t="shared" si="5"/>
        <v/>
      </c>
      <c r="S104" s="8"/>
      <c r="T104" s="10"/>
      <c r="U104" s="8"/>
    </row>
    <row r="105" spans="1:21">
      <c r="A105" s="8"/>
      <c r="B105" s="10"/>
      <c r="C105" s="8"/>
      <c r="D105" s="8"/>
      <c r="E105" s="8"/>
      <c r="F105" s="8"/>
      <c r="G105" s="11"/>
      <c r="H105" s="11"/>
      <c r="I105" s="11"/>
      <c r="J105" s="11"/>
      <c r="K105" s="11"/>
      <c r="L105" s="11"/>
      <c r="M105" s="11"/>
      <c r="N105" s="11"/>
      <c r="O105" s="11"/>
      <c r="P105" s="12" t="str">
        <f t="shared" si="3"/>
        <v/>
      </c>
      <c r="Q105" s="12" t="str">
        <f t="shared" si="4"/>
        <v/>
      </c>
      <c r="R105" s="12" t="str">
        <f t="shared" si="5"/>
        <v/>
      </c>
      <c r="S105" s="8"/>
      <c r="T105" s="10"/>
      <c r="U105" s="8"/>
    </row>
    <row r="106" spans="1:21">
      <c r="A106" s="8"/>
      <c r="B106" s="10"/>
      <c r="C106" s="8"/>
      <c r="D106" s="8"/>
      <c r="E106" s="8"/>
      <c r="F106" s="8"/>
      <c r="G106" s="11"/>
      <c r="H106" s="11"/>
      <c r="I106" s="11"/>
      <c r="J106" s="11"/>
      <c r="K106" s="11"/>
      <c r="L106" s="11"/>
      <c r="M106" s="11"/>
      <c r="N106" s="11"/>
      <c r="O106" s="11"/>
      <c r="P106" s="12" t="str">
        <f t="shared" si="3"/>
        <v/>
      </c>
      <c r="Q106" s="12" t="str">
        <f t="shared" si="4"/>
        <v/>
      </c>
      <c r="R106" s="12" t="str">
        <f t="shared" si="5"/>
        <v/>
      </c>
      <c r="S106" s="8"/>
      <c r="T106" s="10"/>
      <c r="U106" s="8"/>
    </row>
    <row r="107" spans="1:21">
      <c r="A107" s="8"/>
      <c r="B107" s="10"/>
      <c r="C107" s="8"/>
      <c r="D107" s="8"/>
      <c r="E107" s="8"/>
      <c r="F107" s="8"/>
      <c r="G107" s="11"/>
      <c r="H107" s="11"/>
      <c r="I107" s="11"/>
      <c r="J107" s="11"/>
      <c r="K107" s="11"/>
      <c r="L107" s="11"/>
      <c r="M107" s="11"/>
      <c r="N107" s="11"/>
      <c r="O107" s="11"/>
      <c r="P107" s="12" t="str">
        <f t="shared" si="3"/>
        <v/>
      </c>
      <c r="Q107" s="12" t="str">
        <f t="shared" si="4"/>
        <v/>
      </c>
      <c r="R107" s="12" t="str">
        <f t="shared" si="5"/>
        <v/>
      </c>
      <c r="S107" s="8"/>
      <c r="T107" s="10"/>
      <c r="U107" s="8"/>
    </row>
    <row r="108" spans="1:21">
      <c r="A108" s="8"/>
      <c r="B108" s="10"/>
      <c r="C108" s="8"/>
      <c r="D108" s="8"/>
      <c r="E108" s="8"/>
      <c r="F108" s="8"/>
      <c r="G108" s="11"/>
      <c r="H108" s="11"/>
      <c r="I108" s="11"/>
      <c r="J108" s="11"/>
      <c r="K108" s="11"/>
      <c r="L108" s="11"/>
      <c r="M108" s="11"/>
      <c r="N108" s="11"/>
      <c r="O108" s="11"/>
      <c r="P108" s="12" t="str">
        <f t="shared" si="3"/>
        <v/>
      </c>
      <c r="Q108" s="12" t="str">
        <f t="shared" si="4"/>
        <v/>
      </c>
      <c r="R108" s="12" t="str">
        <f t="shared" si="5"/>
        <v/>
      </c>
      <c r="S108" s="8"/>
      <c r="T108" s="10"/>
      <c r="U108" s="8"/>
    </row>
    <row r="109" spans="1:21">
      <c r="A109" s="8"/>
      <c r="B109" s="10"/>
      <c r="C109" s="8"/>
      <c r="D109" s="8"/>
      <c r="E109" s="8"/>
      <c r="F109" s="8"/>
      <c r="G109" s="11"/>
      <c r="H109" s="11"/>
      <c r="I109" s="11"/>
      <c r="J109" s="11"/>
      <c r="K109" s="11"/>
      <c r="L109" s="11"/>
      <c r="M109" s="11"/>
      <c r="N109" s="11"/>
      <c r="O109" s="11"/>
      <c r="P109" s="12" t="str">
        <f t="shared" si="3"/>
        <v/>
      </c>
      <c r="Q109" s="12" t="str">
        <f t="shared" si="4"/>
        <v/>
      </c>
      <c r="R109" s="12" t="str">
        <f t="shared" si="5"/>
        <v/>
      </c>
      <c r="S109" s="8"/>
      <c r="T109" s="10"/>
      <c r="U109" s="8"/>
    </row>
    <row r="110" spans="1:21">
      <c r="A110" s="8"/>
      <c r="B110" s="10"/>
      <c r="C110" s="8"/>
      <c r="D110" s="8"/>
      <c r="E110" s="8"/>
      <c r="F110" s="8"/>
      <c r="G110" s="11"/>
      <c r="H110" s="11"/>
      <c r="I110" s="11"/>
      <c r="J110" s="11"/>
      <c r="K110" s="11"/>
      <c r="L110" s="11"/>
      <c r="M110" s="11"/>
      <c r="N110" s="11"/>
      <c r="O110" s="11"/>
      <c r="P110" s="12" t="str">
        <f t="shared" si="3"/>
        <v/>
      </c>
      <c r="Q110" s="12" t="str">
        <f t="shared" si="4"/>
        <v/>
      </c>
      <c r="R110" s="12" t="str">
        <f t="shared" si="5"/>
        <v/>
      </c>
      <c r="S110" s="8"/>
      <c r="T110" s="10"/>
      <c r="U110" s="8"/>
    </row>
    <row r="111" spans="1:21">
      <c r="A111" s="8"/>
      <c r="B111" s="10"/>
      <c r="C111" s="8"/>
      <c r="D111" s="8"/>
      <c r="E111" s="8"/>
      <c r="F111" s="8"/>
      <c r="G111" s="11"/>
      <c r="H111" s="11"/>
      <c r="I111" s="11"/>
      <c r="J111" s="11"/>
      <c r="K111" s="11"/>
      <c r="L111" s="11"/>
      <c r="M111" s="11"/>
      <c r="N111" s="11"/>
      <c r="O111" s="11"/>
      <c r="P111" s="12" t="str">
        <f t="shared" si="3"/>
        <v/>
      </c>
      <c r="Q111" s="12" t="str">
        <f t="shared" si="4"/>
        <v/>
      </c>
      <c r="R111" s="12" t="str">
        <f t="shared" si="5"/>
        <v/>
      </c>
      <c r="S111" s="8"/>
      <c r="T111" s="10"/>
      <c r="U111" s="8"/>
    </row>
    <row r="112" spans="1:21">
      <c r="A112" s="8"/>
      <c r="B112" s="10"/>
      <c r="C112" s="8"/>
      <c r="D112" s="8"/>
      <c r="E112" s="8"/>
      <c r="F112" s="8"/>
      <c r="G112" s="11"/>
      <c r="H112" s="11"/>
      <c r="I112" s="11"/>
      <c r="J112" s="11"/>
      <c r="K112" s="11"/>
      <c r="L112" s="11"/>
      <c r="M112" s="11"/>
      <c r="N112" s="11"/>
      <c r="O112" s="11"/>
      <c r="P112" s="12" t="str">
        <f t="shared" si="3"/>
        <v/>
      </c>
      <c r="Q112" s="12" t="str">
        <f t="shared" si="4"/>
        <v/>
      </c>
      <c r="R112" s="12" t="str">
        <f t="shared" si="5"/>
        <v/>
      </c>
      <c r="S112" s="8"/>
      <c r="T112" s="10"/>
      <c r="U112" s="8"/>
    </row>
    <row r="113" spans="1:21">
      <c r="A113" s="8"/>
      <c r="B113" s="10"/>
      <c r="C113" s="8"/>
      <c r="D113" s="8"/>
      <c r="E113" s="8"/>
      <c r="F113" s="8"/>
      <c r="G113" s="11"/>
      <c r="H113" s="11"/>
      <c r="I113" s="11"/>
      <c r="J113" s="11"/>
      <c r="K113" s="11"/>
      <c r="L113" s="11"/>
      <c r="M113" s="11"/>
      <c r="N113" s="11"/>
      <c r="O113" s="11"/>
      <c r="P113" s="12" t="str">
        <f t="shared" si="3"/>
        <v/>
      </c>
      <c r="Q113" s="12" t="str">
        <f t="shared" si="4"/>
        <v/>
      </c>
      <c r="R113" s="12" t="str">
        <f t="shared" si="5"/>
        <v/>
      </c>
      <c r="S113" s="8"/>
      <c r="T113" s="10"/>
      <c r="U113" s="8"/>
    </row>
    <row r="114" spans="1:21">
      <c r="A114" s="8"/>
      <c r="B114" s="10"/>
      <c r="C114" s="8"/>
      <c r="D114" s="8"/>
      <c r="E114" s="8"/>
      <c r="F114" s="8"/>
      <c r="G114" s="11"/>
      <c r="H114" s="11"/>
      <c r="I114" s="11"/>
      <c r="J114" s="11"/>
      <c r="K114" s="11"/>
      <c r="L114" s="11"/>
      <c r="M114" s="11"/>
      <c r="N114" s="11"/>
      <c r="O114" s="11"/>
      <c r="P114" s="12" t="str">
        <f t="shared" si="3"/>
        <v/>
      </c>
      <c r="Q114" s="12" t="str">
        <f t="shared" si="4"/>
        <v/>
      </c>
      <c r="R114" s="12" t="str">
        <f t="shared" si="5"/>
        <v/>
      </c>
      <c r="S114" s="8"/>
      <c r="T114" s="10"/>
      <c r="U114" s="8"/>
    </row>
    <row r="115" spans="1:21">
      <c r="A115" s="8"/>
      <c r="B115" s="10"/>
      <c r="C115" s="8"/>
      <c r="D115" s="8"/>
      <c r="E115" s="8"/>
      <c r="F115" s="8"/>
      <c r="G115" s="11"/>
      <c r="H115" s="11"/>
      <c r="I115" s="11"/>
      <c r="J115" s="11"/>
      <c r="K115" s="11"/>
      <c r="L115" s="11"/>
      <c r="M115" s="11"/>
      <c r="N115" s="11"/>
      <c r="O115" s="11"/>
      <c r="P115" s="12" t="str">
        <f t="shared" si="3"/>
        <v/>
      </c>
      <c r="Q115" s="12" t="str">
        <f t="shared" si="4"/>
        <v/>
      </c>
      <c r="R115" s="12" t="str">
        <f t="shared" si="5"/>
        <v/>
      </c>
      <c r="S115" s="8"/>
      <c r="T115" s="10"/>
      <c r="U115" s="8"/>
    </row>
    <row r="116" spans="1:21">
      <c r="A116" s="8"/>
      <c r="B116" s="10"/>
      <c r="C116" s="8"/>
      <c r="D116" s="8"/>
      <c r="E116" s="8"/>
      <c r="F116" s="8"/>
      <c r="G116" s="11"/>
      <c r="H116" s="11"/>
      <c r="I116" s="11"/>
      <c r="J116" s="11"/>
      <c r="K116" s="11"/>
      <c r="L116" s="11"/>
      <c r="M116" s="11"/>
      <c r="N116" s="11"/>
      <c r="O116" s="11"/>
      <c r="P116" s="12" t="str">
        <f t="shared" si="3"/>
        <v/>
      </c>
      <c r="Q116" s="12" t="str">
        <f t="shared" si="4"/>
        <v/>
      </c>
      <c r="R116" s="12" t="str">
        <f t="shared" si="5"/>
        <v/>
      </c>
      <c r="S116" s="8"/>
      <c r="T116" s="10"/>
      <c r="U116" s="8"/>
    </row>
    <row r="117" spans="1:21">
      <c r="A117" s="8"/>
      <c r="B117" s="10"/>
      <c r="C117" s="8"/>
      <c r="D117" s="8"/>
      <c r="E117" s="8"/>
      <c r="F117" s="8"/>
      <c r="G117" s="11"/>
      <c r="H117" s="11"/>
      <c r="I117" s="11"/>
      <c r="J117" s="11"/>
      <c r="K117" s="11"/>
      <c r="L117" s="11"/>
      <c r="M117" s="11"/>
      <c r="N117" s="11"/>
      <c r="O117" s="11"/>
      <c r="P117" s="12" t="str">
        <f t="shared" si="3"/>
        <v/>
      </c>
      <c r="Q117" s="12" t="str">
        <f t="shared" si="4"/>
        <v/>
      </c>
      <c r="R117" s="12" t="str">
        <f t="shared" si="5"/>
        <v/>
      </c>
      <c r="S117" s="8"/>
      <c r="T117" s="10"/>
      <c r="U117" s="8"/>
    </row>
    <row r="118" spans="1:21">
      <c r="A118" s="8"/>
      <c r="B118" s="10"/>
      <c r="C118" s="8"/>
      <c r="D118" s="8"/>
      <c r="E118" s="8"/>
      <c r="F118" s="8"/>
      <c r="G118" s="11"/>
      <c r="H118" s="11"/>
      <c r="I118" s="11"/>
      <c r="J118" s="11"/>
      <c r="K118" s="11"/>
      <c r="L118" s="11"/>
      <c r="M118" s="11"/>
      <c r="N118" s="11"/>
      <c r="O118" s="11"/>
      <c r="P118" s="12" t="str">
        <f t="shared" si="3"/>
        <v/>
      </c>
      <c r="Q118" s="12" t="str">
        <f t="shared" si="4"/>
        <v/>
      </c>
      <c r="R118" s="12" t="str">
        <f t="shared" si="5"/>
        <v/>
      </c>
      <c r="S118" s="8"/>
      <c r="T118" s="10"/>
      <c r="U118" s="8"/>
    </row>
    <row r="119" spans="1:21">
      <c r="A119" s="8"/>
      <c r="B119" s="10"/>
      <c r="C119" s="8"/>
      <c r="D119" s="8"/>
      <c r="E119" s="8"/>
      <c r="F119" s="8"/>
      <c r="G119" s="11"/>
      <c r="H119" s="11"/>
      <c r="I119" s="11"/>
      <c r="J119" s="11"/>
      <c r="K119" s="11"/>
      <c r="L119" s="11"/>
      <c r="M119" s="11"/>
      <c r="N119" s="11"/>
      <c r="O119" s="11"/>
      <c r="P119" s="12" t="str">
        <f t="shared" si="3"/>
        <v/>
      </c>
      <c r="Q119" s="12" t="str">
        <f t="shared" si="4"/>
        <v/>
      </c>
      <c r="R119" s="12" t="str">
        <f t="shared" si="5"/>
        <v/>
      </c>
      <c r="S119" s="8"/>
      <c r="T119" s="10"/>
      <c r="U119" s="8"/>
    </row>
    <row r="120" spans="1:21">
      <c r="A120" s="8"/>
      <c r="B120" s="10"/>
      <c r="C120" s="8"/>
      <c r="D120" s="8"/>
      <c r="E120" s="8"/>
      <c r="F120" s="8"/>
      <c r="G120" s="11"/>
      <c r="H120" s="11"/>
      <c r="I120" s="11"/>
      <c r="J120" s="11"/>
      <c r="K120" s="11"/>
      <c r="L120" s="11"/>
      <c r="M120" s="11"/>
      <c r="N120" s="11"/>
      <c r="O120" s="11"/>
      <c r="P120" s="12" t="str">
        <f t="shared" si="3"/>
        <v/>
      </c>
      <c r="Q120" s="12" t="str">
        <f t="shared" si="4"/>
        <v/>
      </c>
      <c r="R120" s="12" t="str">
        <f t="shared" si="5"/>
        <v/>
      </c>
      <c r="S120" s="8"/>
      <c r="T120" s="10"/>
      <c r="U120" s="8"/>
    </row>
    <row r="121" spans="1:21">
      <c r="A121" s="8"/>
      <c r="B121" s="10"/>
      <c r="C121" s="8"/>
      <c r="D121" s="8"/>
      <c r="E121" s="8"/>
      <c r="F121" s="8"/>
      <c r="G121" s="11"/>
      <c r="H121" s="11"/>
      <c r="I121" s="11"/>
      <c r="J121" s="11"/>
      <c r="K121" s="11"/>
      <c r="L121" s="11"/>
      <c r="M121" s="11"/>
      <c r="N121" s="11"/>
      <c r="O121" s="11"/>
      <c r="P121" s="12" t="str">
        <f t="shared" si="3"/>
        <v/>
      </c>
      <c r="Q121" s="12" t="str">
        <f t="shared" si="4"/>
        <v/>
      </c>
      <c r="R121" s="12" t="str">
        <f t="shared" si="5"/>
        <v/>
      </c>
      <c r="S121" s="8"/>
      <c r="T121" s="10"/>
      <c r="U121" s="8"/>
    </row>
    <row r="122" spans="1:21">
      <c r="A122" s="8"/>
      <c r="B122" s="10"/>
      <c r="C122" s="8"/>
      <c r="D122" s="8"/>
      <c r="E122" s="8"/>
      <c r="F122" s="8"/>
      <c r="G122" s="11"/>
      <c r="H122" s="11"/>
      <c r="I122" s="11"/>
      <c r="J122" s="11"/>
      <c r="K122" s="11"/>
      <c r="L122" s="11"/>
      <c r="M122" s="11"/>
      <c r="N122" s="11"/>
      <c r="O122" s="11"/>
      <c r="P122" s="12" t="str">
        <f t="shared" si="3"/>
        <v/>
      </c>
      <c r="Q122" s="12" t="str">
        <f t="shared" si="4"/>
        <v/>
      </c>
      <c r="R122" s="12" t="str">
        <f t="shared" si="5"/>
        <v/>
      </c>
      <c r="S122" s="8"/>
      <c r="T122" s="10"/>
      <c r="U122" s="8"/>
    </row>
    <row r="123" spans="1:21">
      <c r="A123" s="8"/>
      <c r="B123" s="10"/>
      <c r="C123" s="8"/>
      <c r="D123" s="8"/>
      <c r="E123" s="8"/>
      <c r="F123" s="8"/>
      <c r="G123" s="11"/>
      <c r="H123" s="11"/>
      <c r="I123" s="11"/>
      <c r="J123" s="11"/>
      <c r="K123" s="11"/>
      <c r="L123" s="11"/>
      <c r="M123" s="11"/>
      <c r="N123" s="11"/>
      <c r="O123" s="11"/>
      <c r="P123" s="12" t="str">
        <f t="shared" si="3"/>
        <v/>
      </c>
      <c r="Q123" s="12" t="str">
        <f t="shared" si="4"/>
        <v/>
      </c>
      <c r="R123" s="12" t="str">
        <f t="shared" si="5"/>
        <v/>
      </c>
      <c r="S123" s="8"/>
      <c r="T123" s="10"/>
      <c r="U123" s="8"/>
    </row>
    <row r="124" spans="1:21">
      <c r="A124" s="8"/>
      <c r="B124" s="10"/>
      <c r="C124" s="8"/>
      <c r="D124" s="8"/>
      <c r="E124" s="8"/>
      <c r="F124" s="8"/>
      <c r="G124" s="11"/>
      <c r="H124" s="11"/>
      <c r="I124" s="11"/>
      <c r="J124" s="11"/>
      <c r="K124" s="11"/>
      <c r="L124" s="11"/>
      <c r="M124" s="11"/>
      <c r="N124" s="11"/>
      <c r="O124" s="11"/>
      <c r="P124" s="12" t="str">
        <f t="shared" si="3"/>
        <v/>
      </c>
      <c r="Q124" s="12" t="str">
        <f t="shared" si="4"/>
        <v/>
      </c>
      <c r="R124" s="12" t="str">
        <f t="shared" si="5"/>
        <v/>
      </c>
      <c r="S124" s="8"/>
      <c r="T124" s="10"/>
      <c r="U124" s="8"/>
    </row>
    <row r="125" spans="1:21">
      <c r="A125" s="8"/>
      <c r="B125" s="10"/>
      <c r="C125" s="8"/>
      <c r="D125" s="8"/>
      <c r="E125" s="8"/>
      <c r="F125" s="8"/>
      <c r="G125" s="11"/>
      <c r="H125" s="11"/>
      <c r="I125" s="11"/>
      <c r="J125" s="11"/>
      <c r="K125" s="11"/>
      <c r="L125" s="11"/>
      <c r="M125" s="11"/>
      <c r="N125" s="11"/>
      <c r="O125" s="11"/>
      <c r="P125" s="12" t="str">
        <f t="shared" si="3"/>
        <v/>
      </c>
      <c r="Q125" s="12" t="str">
        <f t="shared" si="4"/>
        <v/>
      </c>
      <c r="R125" s="12" t="str">
        <f t="shared" si="5"/>
        <v/>
      </c>
      <c r="S125" s="8"/>
      <c r="T125" s="10"/>
      <c r="U125" s="8"/>
    </row>
    <row r="126" spans="1:21">
      <c r="A126" s="8"/>
      <c r="B126" s="10"/>
      <c r="C126" s="8"/>
      <c r="D126" s="8"/>
      <c r="E126" s="8"/>
      <c r="F126" s="8"/>
      <c r="G126" s="11"/>
      <c r="H126" s="11"/>
      <c r="I126" s="11"/>
      <c r="J126" s="11"/>
      <c r="K126" s="11"/>
      <c r="L126" s="11"/>
      <c r="M126" s="11"/>
      <c r="N126" s="11"/>
      <c r="O126" s="11"/>
      <c r="P126" s="12" t="str">
        <f t="shared" si="3"/>
        <v/>
      </c>
      <c r="Q126" s="12" t="str">
        <f t="shared" si="4"/>
        <v/>
      </c>
      <c r="R126" s="12" t="str">
        <f t="shared" si="5"/>
        <v/>
      </c>
      <c r="S126" s="8"/>
      <c r="T126" s="10"/>
      <c r="U126" s="8"/>
    </row>
    <row r="127" spans="1:21">
      <c r="A127" s="8"/>
      <c r="B127" s="10"/>
      <c r="C127" s="8"/>
      <c r="D127" s="8"/>
      <c r="E127" s="8"/>
      <c r="F127" s="8"/>
      <c r="G127" s="11"/>
      <c r="H127" s="11"/>
      <c r="I127" s="11"/>
      <c r="J127" s="11"/>
      <c r="K127" s="11"/>
      <c r="L127" s="11"/>
      <c r="M127" s="11"/>
      <c r="N127" s="11"/>
      <c r="O127" s="11"/>
      <c r="P127" s="12" t="str">
        <f t="shared" si="3"/>
        <v/>
      </c>
      <c r="Q127" s="12" t="str">
        <f t="shared" si="4"/>
        <v/>
      </c>
      <c r="R127" s="12" t="str">
        <f t="shared" si="5"/>
        <v/>
      </c>
      <c r="S127" s="8"/>
      <c r="T127" s="10"/>
      <c r="U127" s="8"/>
    </row>
    <row r="128" spans="1:21">
      <c r="A128" s="8"/>
      <c r="B128" s="10"/>
      <c r="C128" s="8"/>
      <c r="D128" s="8"/>
      <c r="E128" s="8"/>
      <c r="F128" s="8"/>
      <c r="G128" s="11"/>
      <c r="H128" s="11"/>
      <c r="I128" s="11"/>
      <c r="J128" s="11"/>
      <c r="K128" s="11"/>
      <c r="L128" s="11"/>
      <c r="M128" s="11"/>
      <c r="N128" s="11"/>
      <c r="O128" s="11"/>
      <c r="P128" s="12" t="str">
        <f t="shared" si="3"/>
        <v/>
      </c>
      <c r="Q128" s="12" t="str">
        <f t="shared" si="4"/>
        <v/>
      </c>
      <c r="R128" s="12" t="str">
        <f t="shared" si="5"/>
        <v/>
      </c>
      <c r="S128" s="8"/>
      <c r="T128" s="10"/>
      <c r="U128" s="8"/>
    </row>
    <row r="129" spans="1:21">
      <c r="A129" s="8"/>
      <c r="B129" s="10"/>
      <c r="C129" s="8"/>
      <c r="D129" s="8"/>
      <c r="E129" s="8"/>
      <c r="F129" s="8"/>
      <c r="G129" s="11"/>
      <c r="H129" s="11"/>
      <c r="I129" s="11"/>
      <c r="J129" s="11"/>
      <c r="K129" s="11"/>
      <c r="L129" s="11"/>
      <c r="M129" s="11"/>
      <c r="N129" s="11"/>
      <c r="O129" s="11"/>
      <c r="P129" s="12" t="str">
        <f t="shared" si="3"/>
        <v/>
      </c>
      <c r="Q129" s="12" t="str">
        <f t="shared" si="4"/>
        <v/>
      </c>
      <c r="R129" s="12" t="str">
        <f t="shared" si="5"/>
        <v/>
      </c>
      <c r="S129" s="8"/>
      <c r="T129" s="10"/>
      <c r="U129" s="8"/>
    </row>
    <row r="130" spans="1:21">
      <c r="A130" s="8"/>
      <c r="B130" s="10"/>
      <c r="C130" s="8"/>
      <c r="D130" s="8"/>
      <c r="E130" s="8"/>
      <c r="F130" s="8"/>
      <c r="G130" s="11"/>
      <c r="H130" s="11"/>
      <c r="I130" s="11"/>
      <c r="J130" s="11"/>
      <c r="K130" s="11"/>
      <c r="L130" s="11"/>
      <c r="M130" s="11"/>
      <c r="N130" s="11"/>
      <c r="O130" s="11"/>
      <c r="P130" s="12" t="str">
        <f t="shared" si="3"/>
        <v/>
      </c>
      <c r="Q130" s="12" t="str">
        <f t="shared" si="4"/>
        <v/>
      </c>
      <c r="R130" s="12" t="str">
        <f t="shared" si="5"/>
        <v/>
      </c>
      <c r="S130" s="8"/>
      <c r="T130" s="10"/>
      <c r="U130" s="8"/>
    </row>
    <row r="131" spans="1:21">
      <c r="A131" s="8"/>
      <c r="B131" s="10"/>
      <c r="C131" s="8"/>
      <c r="D131" s="8"/>
      <c r="E131" s="8"/>
      <c r="F131" s="8"/>
      <c r="G131" s="11"/>
      <c r="H131" s="11"/>
      <c r="I131" s="11"/>
      <c r="J131" s="11"/>
      <c r="K131" s="11"/>
      <c r="L131" s="11"/>
      <c r="M131" s="11"/>
      <c r="N131" s="11"/>
      <c r="O131" s="11"/>
      <c r="P131" s="12" t="str">
        <f t="shared" si="3"/>
        <v/>
      </c>
      <c r="Q131" s="12" t="str">
        <f t="shared" si="4"/>
        <v/>
      </c>
      <c r="R131" s="12" t="str">
        <f t="shared" si="5"/>
        <v/>
      </c>
      <c r="S131" s="8"/>
      <c r="T131" s="10"/>
      <c r="U131" s="8"/>
    </row>
    <row r="132" spans="1:21">
      <c r="A132" s="8"/>
      <c r="B132" s="10"/>
      <c r="C132" s="8"/>
      <c r="D132" s="8"/>
      <c r="E132" s="8"/>
      <c r="F132" s="8"/>
      <c r="G132" s="11"/>
      <c r="H132" s="11"/>
      <c r="I132" s="11"/>
      <c r="J132" s="11"/>
      <c r="K132" s="11"/>
      <c r="L132" s="11"/>
      <c r="M132" s="11"/>
      <c r="N132" s="11"/>
      <c r="O132" s="11"/>
      <c r="P132" s="12" t="str">
        <f t="shared" si="3"/>
        <v/>
      </c>
      <c r="Q132" s="12" t="str">
        <f t="shared" si="4"/>
        <v/>
      </c>
      <c r="R132" s="12" t="str">
        <f t="shared" si="5"/>
        <v/>
      </c>
      <c r="S132" s="8"/>
      <c r="T132" s="10"/>
      <c r="U132" s="8"/>
    </row>
    <row r="133" spans="1:21">
      <c r="A133" s="8"/>
      <c r="B133" s="10"/>
      <c r="C133" s="8"/>
      <c r="D133" s="8"/>
      <c r="E133" s="8"/>
      <c r="F133" s="8"/>
      <c r="G133" s="11"/>
      <c r="H133" s="11"/>
      <c r="I133" s="11"/>
      <c r="J133" s="11"/>
      <c r="K133" s="11"/>
      <c r="L133" s="11"/>
      <c r="M133" s="11"/>
      <c r="N133" s="11"/>
      <c r="O133" s="11"/>
      <c r="P133" s="12" t="str">
        <f t="shared" ref="P133:P196" si="6">IF(A133="","",K133-G133)</f>
        <v/>
      </c>
      <c r="Q133" s="12" t="str">
        <f t="shared" ref="Q133:Q196" si="7">IF(A133="","",MAX(0,G133-K133))</f>
        <v/>
      </c>
      <c r="R133" s="12" t="str">
        <f t="shared" ref="R133:R196" si="8">IF(A133="","",MAX(0,K133-G133))</f>
        <v/>
      </c>
      <c r="S133" s="8"/>
      <c r="T133" s="10"/>
      <c r="U133" s="8"/>
    </row>
    <row r="134" spans="1:21">
      <c r="A134" s="8"/>
      <c r="B134" s="10"/>
      <c r="C134" s="8"/>
      <c r="D134" s="8"/>
      <c r="E134" s="8"/>
      <c r="F134" s="8"/>
      <c r="G134" s="11"/>
      <c r="H134" s="11"/>
      <c r="I134" s="11"/>
      <c r="J134" s="11"/>
      <c r="K134" s="11"/>
      <c r="L134" s="11"/>
      <c r="M134" s="11"/>
      <c r="N134" s="11"/>
      <c r="O134" s="11"/>
      <c r="P134" s="12" t="str">
        <f t="shared" si="6"/>
        <v/>
      </c>
      <c r="Q134" s="12" t="str">
        <f t="shared" si="7"/>
        <v/>
      </c>
      <c r="R134" s="12" t="str">
        <f t="shared" si="8"/>
        <v/>
      </c>
      <c r="S134" s="8"/>
      <c r="T134" s="10"/>
      <c r="U134" s="8"/>
    </row>
    <row r="135" spans="1:21">
      <c r="A135" s="8"/>
      <c r="B135" s="10"/>
      <c r="C135" s="8"/>
      <c r="D135" s="8"/>
      <c r="E135" s="8"/>
      <c r="F135" s="8"/>
      <c r="G135" s="11"/>
      <c r="H135" s="11"/>
      <c r="I135" s="11"/>
      <c r="J135" s="11"/>
      <c r="K135" s="11"/>
      <c r="L135" s="11"/>
      <c r="M135" s="11"/>
      <c r="N135" s="11"/>
      <c r="O135" s="11"/>
      <c r="P135" s="12" t="str">
        <f t="shared" si="6"/>
        <v/>
      </c>
      <c r="Q135" s="12" t="str">
        <f t="shared" si="7"/>
        <v/>
      </c>
      <c r="R135" s="12" t="str">
        <f t="shared" si="8"/>
        <v/>
      </c>
      <c r="S135" s="8"/>
      <c r="T135" s="10"/>
      <c r="U135" s="8"/>
    </row>
    <row r="136" spans="1:21">
      <c r="A136" s="8"/>
      <c r="B136" s="10"/>
      <c r="C136" s="8"/>
      <c r="D136" s="8"/>
      <c r="E136" s="8"/>
      <c r="F136" s="8"/>
      <c r="G136" s="11"/>
      <c r="H136" s="11"/>
      <c r="I136" s="11"/>
      <c r="J136" s="11"/>
      <c r="K136" s="11"/>
      <c r="L136" s="11"/>
      <c r="M136" s="11"/>
      <c r="N136" s="11"/>
      <c r="O136" s="11"/>
      <c r="P136" s="12" t="str">
        <f t="shared" si="6"/>
        <v/>
      </c>
      <c r="Q136" s="12" t="str">
        <f t="shared" si="7"/>
        <v/>
      </c>
      <c r="R136" s="12" t="str">
        <f t="shared" si="8"/>
        <v/>
      </c>
      <c r="S136" s="8"/>
      <c r="T136" s="10"/>
      <c r="U136" s="8"/>
    </row>
    <row r="137" spans="1:21">
      <c r="A137" s="8"/>
      <c r="B137" s="10"/>
      <c r="C137" s="8"/>
      <c r="D137" s="8"/>
      <c r="E137" s="8"/>
      <c r="F137" s="8"/>
      <c r="G137" s="11"/>
      <c r="H137" s="11"/>
      <c r="I137" s="11"/>
      <c r="J137" s="11"/>
      <c r="K137" s="11"/>
      <c r="L137" s="11"/>
      <c r="M137" s="11"/>
      <c r="N137" s="11"/>
      <c r="O137" s="11"/>
      <c r="P137" s="12" t="str">
        <f t="shared" si="6"/>
        <v/>
      </c>
      <c r="Q137" s="12" t="str">
        <f t="shared" si="7"/>
        <v/>
      </c>
      <c r="R137" s="12" t="str">
        <f t="shared" si="8"/>
        <v/>
      </c>
      <c r="S137" s="8"/>
      <c r="T137" s="10"/>
      <c r="U137" s="8"/>
    </row>
    <row r="138" spans="1:21">
      <c r="A138" s="8"/>
      <c r="B138" s="10"/>
      <c r="C138" s="8"/>
      <c r="D138" s="8"/>
      <c r="E138" s="8"/>
      <c r="F138" s="8"/>
      <c r="G138" s="11"/>
      <c r="H138" s="11"/>
      <c r="I138" s="11"/>
      <c r="J138" s="11"/>
      <c r="K138" s="11"/>
      <c r="L138" s="11"/>
      <c r="M138" s="11"/>
      <c r="N138" s="11"/>
      <c r="O138" s="11"/>
      <c r="P138" s="12" t="str">
        <f t="shared" si="6"/>
        <v/>
      </c>
      <c r="Q138" s="12" t="str">
        <f t="shared" si="7"/>
        <v/>
      </c>
      <c r="R138" s="12" t="str">
        <f t="shared" si="8"/>
        <v/>
      </c>
      <c r="S138" s="8"/>
      <c r="T138" s="10"/>
      <c r="U138" s="8"/>
    </row>
    <row r="139" spans="1:21">
      <c r="A139" s="8"/>
      <c r="B139" s="10"/>
      <c r="C139" s="8"/>
      <c r="D139" s="8"/>
      <c r="E139" s="8"/>
      <c r="F139" s="8"/>
      <c r="G139" s="11"/>
      <c r="H139" s="11"/>
      <c r="I139" s="11"/>
      <c r="J139" s="11"/>
      <c r="K139" s="11"/>
      <c r="L139" s="11"/>
      <c r="M139" s="11"/>
      <c r="N139" s="11"/>
      <c r="O139" s="11"/>
      <c r="P139" s="12" t="str">
        <f t="shared" si="6"/>
        <v/>
      </c>
      <c r="Q139" s="12" t="str">
        <f t="shared" si="7"/>
        <v/>
      </c>
      <c r="R139" s="12" t="str">
        <f t="shared" si="8"/>
        <v/>
      </c>
      <c r="S139" s="8"/>
      <c r="T139" s="10"/>
      <c r="U139" s="8"/>
    </row>
    <row r="140" spans="1:21">
      <c r="A140" s="8"/>
      <c r="B140" s="10"/>
      <c r="C140" s="8"/>
      <c r="D140" s="8"/>
      <c r="E140" s="8"/>
      <c r="F140" s="8"/>
      <c r="G140" s="11"/>
      <c r="H140" s="11"/>
      <c r="I140" s="11"/>
      <c r="J140" s="11"/>
      <c r="K140" s="11"/>
      <c r="L140" s="11"/>
      <c r="M140" s="11"/>
      <c r="N140" s="11"/>
      <c r="O140" s="11"/>
      <c r="P140" s="12" t="str">
        <f t="shared" si="6"/>
        <v/>
      </c>
      <c r="Q140" s="12" t="str">
        <f t="shared" si="7"/>
        <v/>
      </c>
      <c r="R140" s="12" t="str">
        <f t="shared" si="8"/>
        <v/>
      </c>
      <c r="S140" s="8"/>
      <c r="T140" s="10"/>
      <c r="U140" s="8"/>
    </row>
    <row r="141" spans="1:21">
      <c r="A141" s="8"/>
      <c r="B141" s="10"/>
      <c r="C141" s="8"/>
      <c r="D141" s="8"/>
      <c r="E141" s="8"/>
      <c r="F141" s="8"/>
      <c r="G141" s="11"/>
      <c r="H141" s="11"/>
      <c r="I141" s="11"/>
      <c r="J141" s="11"/>
      <c r="K141" s="11"/>
      <c r="L141" s="11"/>
      <c r="M141" s="11"/>
      <c r="N141" s="11"/>
      <c r="O141" s="11"/>
      <c r="P141" s="12" t="str">
        <f t="shared" si="6"/>
        <v/>
      </c>
      <c r="Q141" s="12" t="str">
        <f t="shared" si="7"/>
        <v/>
      </c>
      <c r="R141" s="12" t="str">
        <f t="shared" si="8"/>
        <v/>
      </c>
      <c r="S141" s="8"/>
      <c r="T141" s="10"/>
      <c r="U141" s="8"/>
    </row>
    <row r="142" spans="1:21">
      <c r="A142" s="8"/>
      <c r="B142" s="10"/>
      <c r="C142" s="8"/>
      <c r="D142" s="8"/>
      <c r="E142" s="8"/>
      <c r="F142" s="8"/>
      <c r="G142" s="11"/>
      <c r="H142" s="11"/>
      <c r="I142" s="11"/>
      <c r="J142" s="11"/>
      <c r="K142" s="11"/>
      <c r="L142" s="11"/>
      <c r="M142" s="11"/>
      <c r="N142" s="11"/>
      <c r="O142" s="11"/>
      <c r="P142" s="12" t="str">
        <f t="shared" si="6"/>
        <v/>
      </c>
      <c r="Q142" s="12" t="str">
        <f t="shared" si="7"/>
        <v/>
      </c>
      <c r="R142" s="12" t="str">
        <f t="shared" si="8"/>
        <v/>
      </c>
      <c r="S142" s="8"/>
      <c r="T142" s="10"/>
      <c r="U142" s="8"/>
    </row>
    <row r="143" spans="1:21">
      <c r="A143" s="8"/>
      <c r="B143" s="10"/>
      <c r="C143" s="8"/>
      <c r="D143" s="8"/>
      <c r="E143" s="8"/>
      <c r="F143" s="8"/>
      <c r="G143" s="11"/>
      <c r="H143" s="11"/>
      <c r="I143" s="11"/>
      <c r="J143" s="11"/>
      <c r="K143" s="11"/>
      <c r="L143" s="11"/>
      <c r="M143" s="11"/>
      <c r="N143" s="11"/>
      <c r="O143" s="11"/>
      <c r="P143" s="12" t="str">
        <f t="shared" si="6"/>
        <v/>
      </c>
      <c r="Q143" s="12" t="str">
        <f t="shared" si="7"/>
        <v/>
      </c>
      <c r="R143" s="12" t="str">
        <f t="shared" si="8"/>
        <v/>
      </c>
      <c r="S143" s="8"/>
      <c r="T143" s="10"/>
      <c r="U143" s="8"/>
    </row>
    <row r="144" spans="1:21">
      <c r="A144" s="8"/>
      <c r="B144" s="10"/>
      <c r="C144" s="8"/>
      <c r="D144" s="8"/>
      <c r="E144" s="8"/>
      <c r="F144" s="8"/>
      <c r="G144" s="11"/>
      <c r="H144" s="11"/>
      <c r="I144" s="11"/>
      <c r="J144" s="11"/>
      <c r="K144" s="11"/>
      <c r="L144" s="11"/>
      <c r="M144" s="11"/>
      <c r="N144" s="11"/>
      <c r="O144" s="11"/>
      <c r="P144" s="12" t="str">
        <f t="shared" si="6"/>
        <v/>
      </c>
      <c r="Q144" s="12" t="str">
        <f t="shared" si="7"/>
        <v/>
      </c>
      <c r="R144" s="12" t="str">
        <f t="shared" si="8"/>
        <v/>
      </c>
      <c r="S144" s="8"/>
      <c r="T144" s="10"/>
      <c r="U144" s="8"/>
    </row>
    <row r="145" spans="1:21">
      <c r="A145" s="8"/>
      <c r="B145" s="10"/>
      <c r="C145" s="8"/>
      <c r="D145" s="8"/>
      <c r="E145" s="8"/>
      <c r="F145" s="8"/>
      <c r="G145" s="11"/>
      <c r="H145" s="11"/>
      <c r="I145" s="11"/>
      <c r="J145" s="11"/>
      <c r="K145" s="11"/>
      <c r="L145" s="11"/>
      <c r="M145" s="11"/>
      <c r="N145" s="11"/>
      <c r="O145" s="11"/>
      <c r="P145" s="12" t="str">
        <f t="shared" si="6"/>
        <v/>
      </c>
      <c r="Q145" s="12" t="str">
        <f t="shared" si="7"/>
        <v/>
      </c>
      <c r="R145" s="12" t="str">
        <f t="shared" si="8"/>
        <v/>
      </c>
      <c r="S145" s="8"/>
      <c r="T145" s="10"/>
      <c r="U145" s="8"/>
    </row>
    <row r="146" spans="1:21">
      <c r="A146" s="8"/>
      <c r="B146" s="10"/>
      <c r="C146" s="8"/>
      <c r="D146" s="8"/>
      <c r="E146" s="8"/>
      <c r="F146" s="8"/>
      <c r="G146" s="11"/>
      <c r="H146" s="11"/>
      <c r="I146" s="11"/>
      <c r="J146" s="11"/>
      <c r="K146" s="11"/>
      <c r="L146" s="11"/>
      <c r="M146" s="11"/>
      <c r="N146" s="11"/>
      <c r="O146" s="11"/>
      <c r="P146" s="12" t="str">
        <f t="shared" si="6"/>
        <v/>
      </c>
      <c r="Q146" s="12" t="str">
        <f t="shared" si="7"/>
        <v/>
      </c>
      <c r="R146" s="12" t="str">
        <f t="shared" si="8"/>
        <v/>
      </c>
      <c r="S146" s="8"/>
      <c r="T146" s="10"/>
      <c r="U146" s="8"/>
    </row>
    <row r="147" spans="1:21">
      <c r="A147" s="8"/>
      <c r="B147" s="10"/>
      <c r="C147" s="8"/>
      <c r="D147" s="8"/>
      <c r="E147" s="8"/>
      <c r="F147" s="8"/>
      <c r="G147" s="11"/>
      <c r="H147" s="11"/>
      <c r="I147" s="11"/>
      <c r="J147" s="11"/>
      <c r="K147" s="11"/>
      <c r="L147" s="11"/>
      <c r="M147" s="11"/>
      <c r="N147" s="11"/>
      <c r="O147" s="11"/>
      <c r="P147" s="12" t="str">
        <f t="shared" si="6"/>
        <v/>
      </c>
      <c r="Q147" s="12" t="str">
        <f t="shared" si="7"/>
        <v/>
      </c>
      <c r="R147" s="12" t="str">
        <f t="shared" si="8"/>
        <v/>
      </c>
      <c r="S147" s="8"/>
      <c r="T147" s="10"/>
      <c r="U147" s="8"/>
    </row>
    <row r="148" spans="1:21">
      <c r="A148" s="8"/>
      <c r="B148" s="10"/>
      <c r="C148" s="8"/>
      <c r="D148" s="8"/>
      <c r="E148" s="8"/>
      <c r="F148" s="8"/>
      <c r="G148" s="11"/>
      <c r="H148" s="11"/>
      <c r="I148" s="11"/>
      <c r="J148" s="11"/>
      <c r="K148" s="11"/>
      <c r="L148" s="11"/>
      <c r="M148" s="11"/>
      <c r="N148" s="11"/>
      <c r="O148" s="11"/>
      <c r="P148" s="12" t="str">
        <f t="shared" si="6"/>
        <v/>
      </c>
      <c r="Q148" s="12" t="str">
        <f t="shared" si="7"/>
        <v/>
      </c>
      <c r="R148" s="12" t="str">
        <f t="shared" si="8"/>
        <v/>
      </c>
      <c r="S148" s="8"/>
      <c r="T148" s="10"/>
      <c r="U148" s="8"/>
    </row>
    <row r="149" spans="1:21">
      <c r="A149" s="8"/>
      <c r="B149" s="10"/>
      <c r="C149" s="8"/>
      <c r="D149" s="8"/>
      <c r="E149" s="8"/>
      <c r="F149" s="8"/>
      <c r="G149" s="11"/>
      <c r="H149" s="11"/>
      <c r="I149" s="11"/>
      <c r="J149" s="11"/>
      <c r="K149" s="11"/>
      <c r="L149" s="11"/>
      <c r="M149" s="11"/>
      <c r="N149" s="11"/>
      <c r="O149" s="11"/>
      <c r="P149" s="12" t="str">
        <f t="shared" si="6"/>
        <v/>
      </c>
      <c r="Q149" s="12" t="str">
        <f t="shared" si="7"/>
        <v/>
      </c>
      <c r="R149" s="12" t="str">
        <f t="shared" si="8"/>
        <v/>
      </c>
      <c r="S149" s="8"/>
      <c r="T149" s="10"/>
      <c r="U149" s="8"/>
    </row>
    <row r="150" spans="1:21">
      <c r="A150" s="8"/>
      <c r="B150" s="10"/>
      <c r="C150" s="8"/>
      <c r="D150" s="8"/>
      <c r="E150" s="8"/>
      <c r="F150" s="8"/>
      <c r="G150" s="11"/>
      <c r="H150" s="11"/>
      <c r="I150" s="11"/>
      <c r="J150" s="11"/>
      <c r="K150" s="11"/>
      <c r="L150" s="11"/>
      <c r="M150" s="11"/>
      <c r="N150" s="11"/>
      <c r="O150" s="11"/>
      <c r="P150" s="12" t="str">
        <f t="shared" si="6"/>
        <v/>
      </c>
      <c r="Q150" s="12" t="str">
        <f t="shared" si="7"/>
        <v/>
      </c>
      <c r="R150" s="12" t="str">
        <f t="shared" si="8"/>
        <v/>
      </c>
      <c r="S150" s="8"/>
      <c r="T150" s="10"/>
      <c r="U150" s="8"/>
    </row>
    <row r="151" spans="1:21">
      <c r="A151" s="8"/>
      <c r="B151" s="10"/>
      <c r="C151" s="8"/>
      <c r="D151" s="8"/>
      <c r="E151" s="8"/>
      <c r="F151" s="8"/>
      <c r="G151" s="11"/>
      <c r="H151" s="11"/>
      <c r="I151" s="11"/>
      <c r="J151" s="11"/>
      <c r="K151" s="11"/>
      <c r="L151" s="11"/>
      <c r="M151" s="11"/>
      <c r="N151" s="11"/>
      <c r="O151" s="11"/>
      <c r="P151" s="12" t="str">
        <f t="shared" si="6"/>
        <v/>
      </c>
      <c r="Q151" s="12" t="str">
        <f t="shared" si="7"/>
        <v/>
      </c>
      <c r="R151" s="12" t="str">
        <f t="shared" si="8"/>
        <v/>
      </c>
      <c r="S151" s="8"/>
      <c r="T151" s="10"/>
      <c r="U151" s="8"/>
    </row>
    <row r="152" spans="1:21">
      <c r="A152" s="8"/>
      <c r="B152" s="10"/>
      <c r="C152" s="8"/>
      <c r="D152" s="8"/>
      <c r="E152" s="8"/>
      <c r="F152" s="8"/>
      <c r="G152" s="11"/>
      <c r="H152" s="11"/>
      <c r="I152" s="11"/>
      <c r="J152" s="11"/>
      <c r="K152" s="11"/>
      <c r="L152" s="11"/>
      <c r="M152" s="11"/>
      <c r="N152" s="11"/>
      <c r="O152" s="11"/>
      <c r="P152" s="12" t="str">
        <f t="shared" si="6"/>
        <v/>
      </c>
      <c r="Q152" s="12" t="str">
        <f t="shared" si="7"/>
        <v/>
      </c>
      <c r="R152" s="12" t="str">
        <f t="shared" si="8"/>
        <v/>
      </c>
      <c r="S152" s="8"/>
      <c r="T152" s="10"/>
      <c r="U152" s="8"/>
    </row>
    <row r="153" spans="1:21">
      <c r="A153" s="8"/>
      <c r="B153" s="10"/>
      <c r="C153" s="8"/>
      <c r="D153" s="8"/>
      <c r="E153" s="8"/>
      <c r="F153" s="8"/>
      <c r="G153" s="11"/>
      <c r="H153" s="11"/>
      <c r="I153" s="11"/>
      <c r="J153" s="11"/>
      <c r="K153" s="11"/>
      <c r="L153" s="11"/>
      <c r="M153" s="11"/>
      <c r="N153" s="11"/>
      <c r="O153" s="11"/>
      <c r="P153" s="12" t="str">
        <f t="shared" si="6"/>
        <v/>
      </c>
      <c r="Q153" s="12" t="str">
        <f t="shared" si="7"/>
        <v/>
      </c>
      <c r="R153" s="12" t="str">
        <f t="shared" si="8"/>
        <v/>
      </c>
      <c r="S153" s="8"/>
      <c r="T153" s="10"/>
      <c r="U153" s="8"/>
    </row>
    <row r="154" spans="1:21">
      <c r="A154" s="8"/>
      <c r="B154" s="10"/>
      <c r="C154" s="8"/>
      <c r="D154" s="8"/>
      <c r="E154" s="8"/>
      <c r="F154" s="8"/>
      <c r="G154" s="11"/>
      <c r="H154" s="11"/>
      <c r="I154" s="11"/>
      <c r="J154" s="11"/>
      <c r="K154" s="11"/>
      <c r="L154" s="11"/>
      <c r="M154" s="11"/>
      <c r="N154" s="11"/>
      <c r="O154" s="11"/>
      <c r="P154" s="12" t="str">
        <f t="shared" si="6"/>
        <v/>
      </c>
      <c r="Q154" s="12" t="str">
        <f t="shared" si="7"/>
        <v/>
      </c>
      <c r="R154" s="12" t="str">
        <f t="shared" si="8"/>
        <v/>
      </c>
      <c r="S154" s="8"/>
      <c r="T154" s="10"/>
      <c r="U154" s="8"/>
    </row>
    <row r="155" spans="1:21">
      <c r="A155" s="8"/>
      <c r="B155" s="10"/>
      <c r="C155" s="8"/>
      <c r="D155" s="8"/>
      <c r="E155" s="8"/>
      <c r="F155" s="8"/>
      <c r="G155" s="11"/>
      <c r="H155" s="11"/>
      <c r="I155" s="11"/>
      <c r="J155" s="11"/>
      <c r="K155" s="11"/>
      <c r="L155" s="11"/>
      <c r="M155" s="11"/>
      <c r="N155" s="11"/>
      <c r="O155" s="11"/>
      <c r="P155" s="12" t="str">
        <f t="shared" si="6"/>
        <v/>
      </c>
      <c r="Q155" s="12" t="str">
        <f t="shared" si="7"/>
        <v/>
      </c>
      <c r="R155" s="12" t="str">
        <f t="shared" si="8"/>
        <v/>
      </c>
      <c r="S155" s="8"/>
      <c r="T155" s="10"/>
      <c r="U155" s="8"/>
    </row>
    <row r="156" spans="1:21">
      <c r="A156" s="8"/>
      <c r="B156" s="10"/>
      <c r="C156" s="8"/>
      <c r="D156" s="8"/>
      <c r="E156" s="8"/>
      <c r="F156" s="8"/>
      <c r="G156" s="11"/>
      <c r="H156" s="11"/>
      <c r="I156" s="11"/>
      <c r="J156" s="11"/>
      <c r="K156" s="11"/>
      <c r="L156" s="11"/>
      <c r="M156" s="11"/>
      <c r="N156" s="11"/>
      <c r="O156" s="11"/>
      <c r="P156" s="12" t="str">
        <f t="shared" si="6"/>
        <v/>
      </c>
      <c r="Q156" s="12" t="str">
        <f t="shared" si="7"/>
        <v/>
      </c>
      <c r="R156" s="12" t="str">
        <f t="shared" si="8"/>
        <v/>
      </c>
      <c r="S156" s="8"/>
      <c r="T156" s="10"/>
      <c r="U156" s="8"/>
    </row>
    <row r="157" spans="1:21">
      <c r="A157" s="8"/>
      <c r="B157" s="10"/>
      <c r="C157" s="8"/>
      <c r="D157" s="8"/>
      <c r="E157" s="8"/>
      <c r="F157" s="8"/>
      <c r="G157" s="11"/>
      <c r="H157" s="11"/>
      <c r="I157" s="11"/>
      <c r="J157" s="11"/>
      <c r="K157" s="11"/>
      <c r="L157" s="11"/>
      <c r="M157" s="11"/>
      <c r="N157" s="11"/>
      <c r="O157" s="11"/>
      <c r="P157" s="12" t="str">
        <f t="shared" si="6"/>
        <v/>
      </c>
      <c r="Q157" s="12" t="str">
        <f t="shared" si="7"/>
        <v/>
      </c>
      <c r="R157" s="12" t="str">
        <f t="shared" si="8"/>
        <v/>
      </c>
      <c r="S157" s="8"/>
      <c r="T157" s="10"/>
      <c r="U157" s="8"/>
    </row>
    <row r="158" spans="1:21">
      <c r="A158" s="8"/>
      <c r="B158" s="10"/>
      <c r="C158" s="8"/>
      <c r="D158" s="8"/>
      <c r="E158" s="8"/>
      <c r="F158" s="8"/>
      <c r="G158" s="11"/>
      <c r="H158" s="11"/>
      <c r="I158" s="11"/>
      <c r="J158" s="11"/>
      <c r="K158" s="11"/>
      <c r="L158" s="11"/>
      <c r="M158" s="11"/>
      <c r="N158" s="11"/>
      <c r="O158" s="11"/>
      <c r="P158" s="12" t="str">
        <f t="shared" si="6"/>
        <v/>
      </c>
      <c r="Q158" s="12" t="str">
        <f t="shared" si="7"/>
        <v/>
      </c>
      <c r="R158" s="12" t="str">
        <f t="shared" si="8"/>
        <v/>
      </c>
      <c r="S158" s="8"/>
      <c r="T158" s="10"/>
      <c r="U158" s="8"/>
    </row>
    <row r="159" spans="1:21">
      <c r="A159" s="8"/>
      <c r="B159" s="10"/>
      <c r="C159" s="8"/>
      <c r="D159" s="8"/>
      <c r="E159" s="8"/>
      <c r="F159" s="8"/>
      <c r="G159" s="11"/>
      <c r="H159" s="11"/>
      <c r="I159" s="11"/>
      <c r="J159" s="11"/>
      <c r="K159" s="11"/>
      <c r="L159" s="11"/>
      <c r="M159" s="11"/>
      <c r="N159" s="11"/>
      <c r="O159" s="11"/>
      <c r="P159" s="12" t="str">
        <f t="shared" si="6"/>
        <v/>
      </c>
      <c r="Q159" s="12" t="str">
        <f t="shared" si="7"/>
        <v/>
      </c>
      <c r="R159" s="12" t="str">
        <f t="shared" si="8"/>
        <v/>
      </c>
      <c r="S159" s="8"/>
      <c r="T159" s="10"/>
      <c r="U159" s="8"/>
    </row>
    <row r="160" spans="1:21">
      <c r="A160" s="8"/>
      <c r="B160" s="10"/>
      <c r="C160" s="8"/>
      <c r="D160" s="8"/>
      <c r="E160" s="8"/>
      <c r="F160" s="8"/>
      <c r="G160" s="11"/>
      <c r="H160" s="11"/>
      <c r="I160" s="11"/>
      <c r="J160" s="11"/>
      <c r="K160" s="11"/>
      <c r="L160" s="11"/>
      <c r="M160" s="11"/>
      <c r="N160" s="11"/>
      <c r="O160" s="11"/>
      <c r="P160" s="12" t="str">
        <f t="shared" si="6"/>
        <v/>
      </c>
      <c r="Q160" s="12" t="str">
        <f t="shared" si="7"/>
        <v/>
      </c>
      <c r="R160" s="12" t="str">
        <f t="shared" si="8"/>
        <v/>
      </c>
      <c r="S160" s="8"/>
      <c r="T160" s="10"/>
      <c r="U160" s="8"/>
    </row>
    <row r="161" spans="1:21">
      <c r="A161" s="8"/>
      <c r="B161" s="10"/>
      <c r="C161" s="8"/>
      <c r="D161" s="8"/>
      <c r="E161" s="8"/>
      <c r="F161" s="8"/>
      <c r="G161" s="11"/>
      <c r="H161" s="11"/>
      <c r="I161" s="11"/>
      <c r="J161" s="11"/>
      <c r="K161" s="11"/>
      <c r="L161" s="11"/>
      <c r="M161" s="11"/>
      <c r="N161" s="11"/>
      <c r="O161" s="11"/>
      <c r="P161" s="12" t="str">
        <f t="shared" si="6"/>
        <v/>
      </c>
      <c r="Q161" s="12" t="str">
        <f t="shared" si="7"/>
        <v/>
      </c>
      <c r="R161" s="12" t="str">
        <f t="shared" si="8"/>
        <v/>
      </c>
      <c r="S161" s="8"/>
      <c r="T161" s="10"/>
      <c r="U161" s="8"/>
    </row>
    <row r="162" spans="1:21">
      <c r="A162" s="8"/>
      <c r="B162" s="10"/>
      <c r="C162" s="8"/>
      <c r="D162" s="8"/>
      <c r="E162" s="8"/>
      <c r="F162" s="8"/>
      <c r="G162" s="11"/>
      <c r="H162" s="11"/>
      <c r="I162" s="11"/>
      <c r="J162" s="11"/>
      <c r="K162" s="11"/>
      <c r="L162" s="11"/>
      <c r="M162" s="11"/>
      <c r="N162" s="11"/>
      <c r="O162" s="11"/>
      <c r="P162" s="12" t="str">
        <f t="shared" si="6"/>
        <v/>
      </c>
      <c r="Q162" s="12" t="str">
        <f t="shared" si="7"/>
        <v/>
      </c>
      <c r="R162" s="12" t="str">
        <f t="shared" si="8"/>
        <v/>
      </c>
      <c r="S162" s="8"/>
      <c r="T162" s="10"/>
      <c r="U162" s="8"/>
    </row>
    <row r="163" spans="1:21">
      <c r="A163" s="8"/>
      <c r="B163" s="10"/>
      <c r="C163" s="8"/>
      <c r="D163" s="8"/>
      <c r="E163" s="8"/>
      <c r="F163" s="8"/>
      <c r="G163" s="11"/>
      <c r="H163" s="11"/>
      <c r="I163" s="11"/>
      <c r="J163" s="11"/>
      <c r="K163" s="11"/>
      <c r="L163" s="11"/>
      <c r="M163" s="11"/>
      <c r="N163" s="11"/>
      <c r="O163" s="11"/>
      <c r="P163" s="12" t="str">
        <f t="shared" si="6"/>
        <v/>
      </c>
      <c r="Q163" s="12" t="str">
        <f t="shared" si="7"/>
        <v/>
      </c>
      <c r="R163" s="12" t="str">
        <f t="shared" si="8"/>
        <v/>
      </c>
      <c r="S163" s="8"/>
      <c r="T163" s="10"/>
      <c r="U163" s="8"/>
    </row>
    <row r="164" spans="1:21">
      <c r="A164" s="8"/>
      <c r="B164" s="10"/>
      <c r="C164" s="8"/>
      <c r="D164" s="8"/>
      <c r="E164" s="8"/>
      <c r="F164" s="8"/>
      <c r="G164" s="11"/>
      <c r="H164" s="11"/>
      <c r="I164" s="11"/>
      <c r="J164" s="11"/>
      <c r="K164" s="11"/>
      <c r="L164" s="11"/>
      <c r="M164" s="11"/>
      <c r="N164" s="11"/>
      <c r="O164" s="11"/>
      <c r="P164" s="12" t="str">
        <f t="shared" si="6"/>
        <v/>
      </c>
      <c r="Q164" s="12" t="str">
        <f t="shared" si="7"/>
        <v/>
      </c>
      <c r="R164" s="12" t="str">
        <f t="shared" si="8"/>
        <v/>
      </c>
      <c r="S164" s="8"/>
      <c r="T164" s="10"/>
      <c r="U164" s="8"/>
    </row>
    <row r="165" spans="1:21">
      <c r="A165" s="8"/>
      <c r="B165" s="10"/>
      <c r="C165" s="8"/>
      <c r="D165" s="8"/>
      <c r="E165" s="8"/>
      <c r="F165" s="8"/>
      <c r="G165" s="11"/>
      <c r="H165" s="11"/>
      <c r="I165" s="11"/>
      <c r="J165" s="11"/>
      <c r="K165" s="11"/>
      <c r="L165" s="11"/>
      <c r="M165" s="11"/>
      <c r="N165" s="11"/>
      <c r="O165" s="11"/>
      <c r="P165" s="12" t="str">
        <f t="shared" si="6"/>
        <v/>
      </c>
      <c r="Q165" s="12" t="str">
        <f t="shared" si="7"/>
        <v/>
      </c>
      <c r="R165" s="12" t="str">
        <f t="shared" si="8"/>
        <v/>
      </c>
      <c r="S165" s="8"/>
      <c r="T165" s="10"/>
      <c r="U165" s="8"/>
    </row>
    <row r="166" spans="1:21">
      <c r="A166" s="8"/>
      <c r="B166" s="10"/>
      <c r="C166" s="8"/>
      <c r="D166" s="8"/>
      <c r="E166" s="8"/>
      <c r="F166" s="8"/>
      <c r="G166" s="11"/>
      <c r="H166" s="11"/>
      <c r="I166" s="11"/>
      <c r="J166" s="11"/>
      <c r="K166" s="11"/>
      <c r="L166" s="11"/>
      <c r="M166" s="11"/>
      <c r="N166" s="11"/>
      <c r="O166" s="11"/>
      <c r="P166" s="12" t="str">
        <f t="shared" si="6"/>
        <v/>
      </c>
      <c r="Q166" s="12" t="str">
        <f t="shared" si="7"/>
        <v/>
      </c>
      <c r="R166" s="12" t="str">
        <f t="shared" si="8"/>
        <v/>
      </c>
      <c r="S166" s="8"/>
      <c r="T166" s="10"/>
      <c r="U166" s="8"/>
    </row>
    <row r="167" spans="1:21">
      <c r="A167" s="8"/>
      <c r="B167" s="10"/>
      <c r="C167" s="8"/>
      <c r="D167" s="8"/>
      <c r="E167" s="8"/>
      <c r="F167" s="8"/>
      <c r="G167" s="11"/>
      <c r="H167" s="11"/>
      <c r="I167" s="11"/>
      <c r="J167" s="11"/>
      <c r="K167" s="11"/>
      <c r="L167" s="11"/>
      <c r="M167" s="11"/>
      <c r="N167" s="11"/>
      <c r="O167" s="11"/>
      <c r="P167" s="12" t="str">
        <f t="shared" si="6"/>
        <v/>
      </c>
      <c r="Q167" s="12" t="str">
        <f t="shared" si="7"/>
        <v/>
      </c>
      <c r="R167" s="12" t="str">
        <f t="shared" si="8"/>
        <v/>
      </c>
      <c r="S167" s="8"/>
      <c r="T167" s="10"/>
      <c r="U167" s="8"/>
    </row>
    <row r="168" spans="1:21">
      <c r="A168" s="8"/>
      <c r="B168" s="10"/>
      <c r="C168" s="8"/>
      <c r="D168" s="8"/>
      <c r="E168" s="8"/>
      <c r="F168" s="8"/>
      <c r="G168" s="11"/>
      <c r="H168" s="11"/>
      <c r="I168" s="11"/>
      <c r="J168" s="11"/>
      <c r="K168" s="11"/>
      <c r="L168" s="11"/>
      <c r="M168" s="11"/>
      <c r="N168" s="11"/>
      <c r="O168" s="11"/>
      <c r="P168" s="12" t="str">
        <f t="shared" si="6"/>
        <v/>
      </c>
      <c r="Q168" s="12" t="str">
        <f t="shared" si="7"/>
        <v/>
      </c>
      <c r="R168" s="12" t="str">
        <f t="shared" si="8"/>
        <v/>
      </c>
      <c r="S168" s="8"/>
      <c r="T168" s="10"/>
      <c r="U168" s="8"/>
    </row>
    <row r="169" spans="1:21">
      <c r="A169" s="8"/>
      <c r="B169" s="10"/>
      <c r="C169" s="8"/>
      <c r="D169" s="8"/>
      <c r="E169" s="8"/>
      <c r="F169" s="8"/>
      <c r="G169" s="11"/>
      <c r="H169" s="11"/>
      <c r="I169" s="11"/>
      <c r="J169" s="11"/>
      <c r="K169" s="11"/>
      <c r="L169" s="11"/>
      <c r="M169" s="11"/>
      <c r="N169" s="11"/>
      <c r="O169" s="11"/>
      <c r="P169" s="12" t="str">
        <f t="shared" si="6"/>
        <v/>
      </c>
      <c r="Q169" s="12" t="str">
        <f t="shared" si="7"/>
        <v/>
      </c>
      <c r="R169" s="12" t="str">
        <f t="shared" si="8"/>
        <v/>
      </c>
      <c r="S169" s="8"/>
      <c r="T169" s="10"/>
      <c r="U169" s="8"/>
    </row>
    <row r="170" spans="1:21">
      <c r="A170" s="8"/>
      <c r="B170" s="10"/>
      <c r="C170" s="8"/>
      <c r="D170" s="8"/>
      <c r="E170" s="8"/>
      <c r="F170" s="8"/>
      <c r="G170" s="11"/>
      <c r="H170" s="11"/>
      <c r="I170" s="11"/>
      <c r="J170" s="11"/>
      <c r="K170" s="11"/>
      <c r="L170" s="11"/>
      <c r="M170" s="11"/>
      <c r="N170" s="11"/>
      <c r="O170" s="11"/>
      <c r="P170" s="12" t="str">
        <f t="shared" si="6"/>
        <v/>
      </c>
      <c r="Q170" s="12" t="str">
        <f t="shared" si="7"/>
        <v/>
      </c>
      <c r="R170" s="12" t="str">
        <f t="shared" si="8"/>
        <v/>
      </c>
      <c r="S170" s="8"/>
      <c r="T170" s="10"/>
      <c r="U170" s="8"/>
    </row>
    <row r="171" spans="1:21">
      <c r="A171" s="8"/>
      <c r="B171" s="10"/>
      <c r="C171" s="8"/>
      <c r="D171" s="8"/>
      <c r="E171" s="8"/>
      <c r="F171" s="8"/>
      <c r="G171" s="11"/>
      <c r="H171" s="11"/>
      <c r="I171" s="11"/>
      <c r="J171" s="11"/>
      <c r="K171" s="11"/>
      <c r="L171" s="11"/>
      <c r="M171" s="11"/>
      <c r="N171" s="11"/>
      <c r="O171" s="11"/>
      <c r="P171" s="12" t="str">
        <f t="shared" si="6"/>
        <v/>
      </c>
      <c r="Q171" s="12" t="str">
        <f t="shared" si="7"/>
        <v/>
      </c>
      <c r="R171" s="12" t="str">
        <f t="shared" si="8"/>
        <v/>
      </c>
      <c r="S171" s="8"/>
      <c r="T171" s="10"/>
      <c r="U171" s="8"/>
    </row>
    <row r="172" spans="1:21">
      <c r="A172" s="8"/>
      <c r="B172" s="10"/>
      <c r="C172" s="8"/>
      <c r="D172" s="8"/>
      <c r="E172" s="8"/>
      <c r="F172" s="8"/>
      <c r="G172" s="11"/>
      <c r="H172" s="11"/>
      <c r="I172" s="11"/>
      <c r="J172" s="11"/>
      <c r="K172" s="11"/>
      <c r="L172" s="11"/>
      <c r="M172" s="11"/>
      <c r="N172" s="11"/>
      <c r="O172" s="11"/>
      <c r="P172" s="12" t="str">
        <f t="shared" si="6"/>
        <v/>
      </c>
      <c r="Q172" s="12" t="str">
        <f t="shared" si="7"/>
        <v/>
      </c>
      <c r="R172" s="12" t="str">
        <f t="shared" si="8"/>
        <v/>
      </c>
      <c r="S172" s="8"/>
      <c r="T172" s="10"/>
      <c r="U172" s="8"/>
    </row>
    <row r="173" spans="1:21">
      <c r="A173" s="8"/>
      <c r="B173" s="10"/>
      <c r="C173" s="8"/>
      <c r="D173" s="8"/>
      <c r="E173" s="8"/>
      <c r="F173" s="8"/>
      <c r="G173" s="11"/>
      <c r="H173" s="11"/>
      <c r="I173" s="11"/>
      <c r="J173" s="11"/>
      <c r="K173" s="11"/>
      <c r="L173" s="11"/>
      <c r="M173" s="11"/>
      <c r="N173" s="11"/>
      <c r="O173" s="11"/>
      <c r="P173" s="12" t="str">
        <f t="shared" si="6"/>
        <v/>
      </c>
      <c r="Q173" s="12" t="str">
        <f t="shared" si="7"/>
        <v/>
      </c>
      <c r="R173" s="12" t="str">
        <f t="shared" si="8"/>
        <v/>
      </c>
      <c r="S173" s="8"/>
      <c r="T173" s="10"/>
      <c r="U173" s="8"/>
    </row>
    <row r="174" spans="1:21">
      <c r="A174" s="8"/>
      <c r="B174" s="10"/>
      <c r="C174" s="8"/>
      <c r="D174" s="8"/>
      <c r="E174" s="8"/>
      <c r="F174" s="8"/>
      <c r="G174" s="11"/>
      <c r="H174" s="11"/>
      <c r="I174" s="11"/>
      <c r="J174" s="11"/>
      <c r="K174" s="11"/>
      <c r="L174" s="11"/>
      <c r="M174" s="11"/>
      <c r="N174" s="11"/>
      <c r="O174" s="11"/>
      <c r="P174" s="12" t="str">
        <f t="shared" si="6"/>
        <v/>
      </c>
      <c r="Q174" s="12" t="str">
        <f t="shared" si="7"/>
        <v/>
      </c>
      <c r="R174" s="12" t="str">
        <f t="shared" si="8"/>
        <v/>
      </c>
      <c r="S174" s="8"/>
      <c r="T174" s="10"/>
      <c r="U174" s="8"/>
    </row>
    <row r="175" spans="1:21">
      <c r="A175" s="8"/>
      <c r="B175" s="10"/>
      <c r="C175" s="8"/>
      <c r="D175" s="8"/>
      <c r="E175" s="8"/>
      <c r="F175" s="8"/>
      <c r="G175" s="11"/>
      <c r="H175" s="11"/>
      <c r="I175" s="11"/>
      <c r="J175" s="11"/>
      <c r="K175" s="11"/>
      <c r="L175" s="11"/>
      <c r="M175" s="11"/>
      <c r="N175" s="11"/>
      <c r="O175" s="11"/>
      <c r="P175" s="12" t="str">
        <f t="shared" si="6"/>
        <v/>
      </c>
      <c r="Q175" s="12" t="str">
        <f t="shared" si="7"/>
        <v/>
      </c>
      <c r="R175" s="12" t="str">
        <f t="shared" si="8"/>
        <v/>
      </c>
      <c r="S175" s="8"/>
      <c r="T175" s="10"/>
      <c r="U175" s="8"/>
    </row>
    <row r="176" spans="1:21">
      <c r="A176" s="8"/>
      <c r="B176" s="10"/>
      <c r="C176" s="8"/>
      <c r="D176" s="8"/>
      <c r="E176" s="8"/>
      <c r="F176" s="8"/>
      <c r="G176" s="11"/>
      <c r="H176" s="11"/>
      <c r="I176" s="11"/>
      <c r="J176" s="11"/>
      <c r="K176" s="11"/>
      <c r="L176" s="11"/>
      <c r="M176" s="11"/>
      <c r="N176" s="11"/>
      <c r="O176" s="11"/>
      <c r="P176" s="12" t="str">
        <f t="shared" si="6"/>
        <v/>
      </c>
      <c r="Q176" s="12" t="str">
        <f t="shared" si="7"/>
        <v/>
      </c>
      <c r="R176" s="12" t="str">
        <f t="shared" si="8"/>
        <v/>
      </c>
      <c r="S176" s="8"/>
      <c r="T176" s="10"/>
      <c r="U176" s="8"/>
    </row>
    <row r="177" spans="1:21">
      <c r="A177" s="8"/>
      <c r="B177" s="10"/>
      <c r="C177" s="8"/>
      <c r="D177" s="8"/>
      <c r="E177" s="8"/>
      <c r="F177" s="8"/>
      <c r="G177" s="11"/>
      <c r="H177" s="11"/>
      <c r="I177" s="11"/>
      <c r="J177" s="11"/>
      <c r="K177" s="11"/>
      <c r="L177" s="11"/>
      <c r="M177" s="11"/>
      <c r="N177" s="11"/>
      <c r="O177" s="11"/>
      <c r="P177" s="12" t="str">
        <f t="shared" si="6"/>
        <v/>
      </c>
      <c r="Q177" s="12" t="str">
        <f t="shared" si="7"/>
        <v/>
      </c>
      <c r="R177" s="12" t="str">
        <f t="shared" si="8"/>
        <v/>
      </c>
      <c r="S177" s="8"/>
      <c r="T177" s="10"/>
      <c r="U177" s="8"/>
    </row>
    <row r="178" spans="1:21">
      <c r="A178" s="8"/>
      <c r="B178" s="10"/>
      <c r="C178" s="8"/>
      <c r="D178" s="8"/>
      <c r="E178" s="8"/>
      <c r="F178" s="8"/>
      <c r="G178" s="11"/>
      <c r="H178" s="11"/>
      <c r="I178" s="11"/>
      <c r="J178" s="11"/>
      <c r="K178" s="11"/>
      <c r="L178" s="11"/>
      <c r="M178" s="11"/>
      <c r="N178" s="11"/>
      <c r="O178" s="11"/>
      <c r="P178" s="12" t="str">
        <f t="shared" si="6"/>
        <v/>
      </c>
      <c r="Q178" s="12" t="str">
        <f t="shared" si="7"/>
        <v/>
      </c>
      <c r="R178" s="12" t="str">
        <f t="shared" si="8"/>
        <v/>
      </c>
      <c r="S178" s="8"/>
      <c r="T178" s="10"/>
      <c r="U178" s="8"/>
    </row>
    <row r="179" spans="1:21">
      <c r="A179" s="8"/>
      <c r="B179" s="10"/>
      <c r="C179" s="8"/>
      <c r="D179" s="8"/>
      <c r="E179" s="8"/>
      <c r="F179" s="8"/>
      <c r="G179" s="11"/>
      <c r="H179" s="11"/>
      <c r="I179" s="11"/>
      <c r="J179" s="11"/>
      <c r="K179" s="11"/>
      <c r="L179" s="11"/>
      <c r="M179" s="11"/>
      <c r="N179" s="11"/>
      <c r="O179" s="11"/>
      <c r="P179" s="12" t="str">
        <f t="shared" si="6"/>
        <v/>
      </c>
      <c r="Q179" s="12" t="str">
        <f t="shared" si="7"/>
        <v/>
      </c>
      <c r="R179" s="12" t="str">
        <f t="shared" si="8"/>
        <v/>
      </c>
      <c r="S179" s="8"/>
      <c r="T179" s="10"/>
      <c r="U179" s="8"/>
    </row>
    <row r="180" spans="1:21">
      <c r="A180" s="8"/>
      <c r="B180" s="10"/>
      <c r="C180" s="8"/>
      <c r="D180" s="8"/>
      <c r="E180" s="8"/>
      <c r="F180" s="8"/>
      <c r="G180" s="11"/>
      <c r="H180" s="11"/>
      <c r="I180" s="11"/>
      <c r="J180" s="11"/>
      <c r="K180" s="11"/>
      <c r="L180" s="11"/>
      <c r="M180" s="11"/>
      <c r="N180" s="11"/>
      <c r="O180" s="11"/>
      <c r="P180" s="12" t="str">
        <f t="shared" si="6"/>
        <v/>
      </c>
      <c r="Q180" s="12" t="str">
        <f t="shared" si="7"/>
        <v/>
      </c>
      <c r="R180" s="12" t="str">
        <f t="shared" si="8"/>
        <v/>
      </c>
      <c r="S180" s="8"/>
      <c r="T180" s="10"/>
      <c r="U180" s="8"/>
    </row>
    <row r="181" spans="1:21">
      <c r="A181" s="8"/>
      <c r="B181" s="10"/>
      <c r="C181" s="8"/>
      <c r="D181" s="8"/>
      <c r="E181" s="8"/>
      <c r="F181" s="8"/>
      <c r="G181" s="11"/>
      <c r="H181" s="11"/>
      <c r="I181" s="11"/>
      <c r="J181" s="11"/>
      <c r="K181" s="11"/>
      <c r="L181" s="11"/>
      <c r="M181" s="11"/>
      <c r="N181" s="11"/>
      <c r="O181" s="11"/>
      <c r="P181" s="12" t="str">
        <f t="shared" si="6"/>
        <v/>
      </c>
      <c r="Q181" s="12" t="str">
        <f t="shared" si="7"/>
        <v/>
      </c>
      <c r="R181" s="12" t="str">
        <f t="shared" si="8"/>
        <v/>
      </c>
      <c r="S181" s="8"/>
      <c r="T181" s="10"/>
      <c r="U181" s="8"/>
    </row>
    <row r="182" spans="1:21">
      <c r="A182" s="8"/>
      <c r="B182" s="10"/>
      <c r="C182" s="8"/>
      <c r="D182" s="8"/>
      <c r="E182" s="8"/>
      <c r="F182" s="8"/>
      <c r="G182" s="11"/>
      <c r="H182" s="11"/>
      <c r="I182" s="11"/>
      <c r="J182" s="11"/>
      <c r="K182" s="11"/>
      <c r="L182" s="11"/>
      <c r="M182" s="11"/>
      <c r="N182" s="11"/>
      <c r="O182" s="11"/>
      <c r="P182" s="12" t="str">
        <f t="shared" si="6"/>
        <v/>
      </c>
      <c r="Q182" s="12" t="str">
        <f t="shared" si="7"/>
        <v/>
      </c>
      <c r="R182" s="12" t="str">
        <f t="shared" si="8"/>
        <v/>
      </c>
      <c r="S182" s="8"/>
      <c r="T182" s="10"/>
      <c r="U182" s="8"/>
    </row>
    <row r="183" spans="1:21">
      <c r="A183" s="8"/>
      <c r="B183" s="10"/>
      <c r="C183" s="8"/>
      <c r="D183" s="8"/>
      <c r="E183" s="8"/>
      <c r="F183" s="8"/>
      <c r="G183" s="11"/>
      <c r="H183" s="11"/>
      <c r="I183" s="11"/>
      <c r="J183" s="11"/>
      <c r="K183" s="11"/>
      <c r="L183" s="11"/>
      <c r="M183" s="11"/>
      <c r="N183" s="11"/>
      <c r="O183" s="11"/>
      <c r="P183" s="12" t="str">
        <f t="shared" si="6"/>
        <v/>
      </c>
      <c r="Q183" s="12" t="str">
        <f t="shared" si="7"/>
        <v/>
      </c>
      <c r="R183" s="12" t="str">
        <f t="shared" si="8"/>
        <v/>
      </c>
      <c r="S183" s="8"/>
      <c r="T183" s="10"/>
      <c r="U183" s="8"/>
    </row>
    <row r="184" spans="1:21">
      <c r="A184" s="8"/>
      <c r="B184" s="10"/>
      <c r="C184" s="8"/>
      <c r="D184" s="8"/>
      <c r="E184" s="8"/>
      <c r="F184" s="8"/>
      <c r="G184" s="11"/>
      <c r="H184" s="11"/>
      <c r="I184" s="11"/>
      <c r="J184" s="11"/>
      <c r="K184" s="11"/>
      <c r="L184" s="11"/>
      <c r="M184" s="11"/>
      <c r="N184" s="11"/>
      <c r="O184" s="11"/>
      <c r="P184" s="12" t="str">
        <f t="shared" si="6"/>
        <v/>
      </c>
      <c r="Q184" s="12" t="str">
        <f t="shared" si="7"/>
        <v/>
      </c>
      <c r="R184" s="12" t="str">
        <f t="shared" si="8"/>
        <v/>
      </c>
      <c r="S184" s="8"/>
      <c r="T184" s="10"/>
      <c r="U184" s="8"/>
    </row>
    <row r="185" spans="1:21">
      <c r="A185" s="8"/>
      <c r="B185" s="10"/>
      <c r="C185" s="8"/>
      <c r="D185" s="8"/>
      <c r="E185" s="8"/>
      <c r="F185" s="8"/>
      <c r="G185" s="11"/>
      <c r="H185" s="11"/>
      <c r="I185" s="11"/>
      <c r="J185" s="11"/>
      <c r="K185" s="11"/>
      <c r="L185" s="11"/>
      <c r="M185" s="11"/>
      <c r="N185" s="11"/>
      <c r="O185" s="11"/>
      <c r="P185" s="12" t="str">
        <f t="shared" si="6"/>
        <v/>
      </c>
      <c r="Q185" s="12" t="str">
        <f t="shared" si="7"/>
        <v/>
      </c>
      <c r="R185" s="12" t="str">
        <f t="shared" si="8"/>
        <v/>
      </c>
      <c r="S185" s="8"/>
      <c r="T185" s="10"/>
      <c r="U185" s="8"/>
    </row>
    <row r="186" spans="1:21">
      <c r="A186" s="8"/>
      <c r="B186" s="10"/>
      <c r="C186" s="8"/>
      <c r="D186" s="8"/>
      <c r="E186" s="8"/>
      <c r="F186" s="8"/>
      <c r="G186" s="11"/>
      <c r="H186" s="11"/>
      <c r="I186" s="11"/>
      <c r="J186" s="11"/>
      <c r="K186" s="11"/>
      <c r="L186" s="11"/>
      <c r="M186" s="11"/>
      <c r="N186" s="11"/>
      <c r="O186" s="11"/>
      <c r="P186" s="12" t="str">
        <f t="shared" si="6"/>
        <v/>
      </c>
      <c r="Q186" s="12" t="str">
        <f t="shared" si="7"/>
        <v/>
      </c>
      <c r="R186" s="12" t="str">
        <f t="shared" si="8"/>
        <v/>
      </c>
      <c r="S186" s="8"/>
      <c r="T186" s="10"/>
      <c r="U186" s="8"/>
    </row>
    <row r="187" spans="1:21">
      <c r="A187" s="8"/>
      <c r="B187" s="10"/>
      <c r="C187" s="8"/>
      <c r="D187" s="8"/>
      <c r="E187" s="8"/>
      <c r="F187" s="8"/>
      <c r="G187" s="11"/>
      <c r="H187" s="11"/>
      <c r="I187" s="11"/>
      <c r="J187" s="11"/>
      <c r="K187" s="11"/>
      <c r="L187" s="11"/>
      <c r="M187" s="11"/>
      <c r="N187" s="11"/>
      <c r="O187" s="11"/>
      <c r="P187" s="12" t="str">
        <f t="shared" si="6"/>
        <v/>
      </c>
      <c r="Q187" s="12" t="str">
        <f t="shared" si="7"/>
        <v/>
      </c>
      <c r="R187" s="12" t="str">
        <f t="shared" si="8"/>
        <v/>
      </c>
      <c r="S187" s="8"/>
      <c r="T187" s="10"/>
      <c r="U187" s="8"/>
    </row>
    <row r="188" spans="1:21">
      <c r="A188" s="8"/>
      <c r="B188" s="10"/>
      <c r="C188" s="8"/>
      <c r="D188" s="8"/>
      <c r="E188" s="8"/>
      <c r="F188" s="8"/>
      <c r="G188" s="11"/>
      <c r="H188" s="11"/>
      <c r="I188" s="11"/>
      <c r="J188" s="11"/>
      <c r="K188" s="11"/>
      <c r="L188" s="11"/>
      <c r="M188" s="11"/>
      <c r="N188" s="11"/>
      <c r="O188" s="11"/>
      <c r="P188" s="12" t="str">
        <f t="shared" si="6"/>
        <v/>
      </c>
      <c r="Q188" s="12" t="str">
        <f t="shared" si="7"/>
        <v/>
      </c>
      <c r="R188" s="12" t="str">
        <f t="shared" si="8"/>
        <v/>
      </c>
      <c r="S188" s="8"/>
      <c r="T188" s="10"/>
      <c r="U188" s="8"/>
    </row>
    <row r="189" spans="1:21">
      <c r="A189" s="8"/>
      <c r="B189" s="10"/>
      <c r="C189" s="8"/>
      <c r="D189" s="8"/>
      <c r="E189" s="8"/>
      <c r="F189" s="8"/>
      <c r="G189" s="11"/>
      <c r="H189" s="11"/>
      <c r="I189" s="11"/>
      <c r="J189" s="11"/>
      <c r="K189" s="11"/>
      <c r="L189" s="11"/>
      <c r="M189" s="11"/>
      <c r="N189" s="11"/>
      <c r="O189" s="11"/>
      <c r="P189" s="12" t="str">
        <f t="shared" si="6"/>
        <v/>
      </c>
      <c r="Q189" s="12" t="str">
        <f t="shared" si="7"/>
        <v/>
      </c>
      <c r="R189" s="12" t="str">
        <f t="shared" si="8"/>
        <v/>
      </c>
      <c r="S189" s="8"/>
      <c r="T189" s="10"/>
      <c r="U189" s="8"/>
    </row>
    <row r="190" spans="1:21">
      <c r="A190" s="8"/>
      <c r="B190" s="10"/>
      <c r="C190" s="8"/>
      <c r="D190" s="8"/>
      <c r="E190" s="8"/>
      <c r="F190" s="8"/>
      <c r="G190" s="11"/>
      <c r="H190" s="11"/>
      <c r="I190" s="11"/>
      <c r="J190" s="11"/>
      <c r="K190" s="11"/>
      <c r="L190" s="11"/>
      <c r="M190" s="11"/>
      <c r="N190" s="11"/>
      <c r="O190" s="11"/>
      <c r="P190" s="12" t="str">
        <f t="shared" si="6"/>
        <v/>
      </c>
      <c r="Q190" s="12" t="str">
        <f t="shared" si="7"/>
        <v/>
      </c>
      <c r="R190" s="12" t="str">
        <f t="shared" si="8"/>
        <v/>
      </c>
      <c r="S190" s="8"/>
      <c r="T190" s="10"/>
      <c r="U190" s="8"/>
    </row>
    <row r="191" spans="1:21">
      <c r="A191" s="8"/>
      <c r="B191" s="10"/>
      <c r="C191" s="8"/>
      <c r="D191" s="8"/>
      <c r="E191" s="8"/>
      <c r="F191" s="8"/>
      <c r="G191" s="11"/>
      <c r="H191" s="11"/>
      <c r="I191" s="11"/>
      <c r="J191" s="11"/>
      <c r="K191" s="11"/>
      <c r="L191" s="11"/>
      <c r="M191" s="11"/>
      <c r="N191" s="11"/>
      <c r="O191" s="11"/>
      <c r="P191" s="12" t="str">
        <f t="shared" si="6"/>
        <v/>
      </c>
      <c r="Q191" s="12" t="str">
        <f t="shared" si="7"/>
        <v/>
      </c>
      <c r="R191" s="12" t="str">
        <f t="shared" si="8"/>
        <v/>
      </c>
      <c r="S191" s="8"/>
      <c r="T191" s="10"/>
      <c r="U191" s="8"/>
    </row>
    <row r="192" spans="1:21">
      <c r="A192" s="8"/>
      <c r="B192" s="10"/>
      <c r="C192" s="8"/>
      <c r="D192" s="8"/>
      <c r="E192" s="8"/>
      <c r="F192" s="8"/>
      <c r="G192" s="11"/>
      <c r="H192" s="11"/>
      <c r="I192" s="11"/>
      <c r="J192" s="11"/>
      <c r="K192" s="11"/>
      <c r="L192" s="11"/>
      <c r="M192" s="11"/>
      <c r="N192" s="11"/>
      <c r="O192" s="11"/>
      <c r="P192" s="12" t="str">
        <f t="shared" si="6"/>
        <v/>
      </c>
      <c r="Q192" s="12" t="str">
        <f t="shared" si="7"/>
        <v/>
      </c>
      <c r="R192" s="12" t="str">
        <f t="shared" si="8"/>
        <v/>
      </c>
      <c r="S192" s="8"/>
      <c r="T192" s="10"/>
      <c r="U192" s="8"/>
    </row>
    <row r="193" spans="1:21">
      <c r="A193" s="8"/>
      <c r="B193" s="10"/>
      <c r="C193" s="8"/>
      <c r="D193" s="8"/>
      <c r="E193" s="8"/>
      <c r="F193" s="8"/>
      <c r="G193" s="11"/>
      <c r="H193" s="11"/>
      <c r="I193" s="11"/>
      <c r="J193" s="11"/>
      <c r="K193" s="11"/>
      <c r="L193" s="11"/>
      <c r="M193" s="11"/>
      <c r="N193" s="11"/>
      <c r="O193" s="11"/>
      <c r="P193" s="12" t="str">
        <f t="shared" si="6"/>
        <v/>
      </c>
      <c r="Q193" s="12" t="str">
        <f t="shared" si="7"/>
        <v/>
      </c>
      <c r="R193" s="12" t="str">
        <f t="shared" si="8"/>
        <v/>
      </c>
      <c r="S193" s="8"/>
      <c r="T193" s="10"/>
      <c r="U193" s="8"/>
    </row>
    <row r="194" spans="1:21">
      <c r="A194" s="8"/>
      <c r="B194" s="10"/>
      <c r="C194" s="8"/>
      <c r="D194" s="8"/>
      <c r="E194" s="8"/>
      <c r="F194" s="8"/>
      <c r="G194" s="11"/>
      <c r="H194" s="11"/>
      <c r="I194" s="11"/>
      <c r="J194" s="11"/>
      <c r="K194" s="11"/>
      <c r="L194" s="11"/>
      <c r="M194" s="11"/>
      <c r="N194" s="11"/>
      <c r="O194" s="11"/>
      <c r="P194" s="12" t="str">
        <f t="shared" si="6"/>
        <v/>
      </c>
      <c r="Q194" s="12" t="str">
        <f t="shared" si="7"/>
        <v/>
      </c>
      <c r="R194" s="12" t="str">
        <f t="shared" si="8"/>
        <v/>
      </c>
      <c r="S194" s="8"/>
      <c r="T194" s="10"/>
      <c r="U194" s="8"/>
    </row>
    <row r="195" spans="1:21">
      <c r="A195" s="8"/>
      <c r="B195" s="10"/>
      <c r="C195" s="8"/>
      <c r="D195" s="8"/>
      <c r="E195" s="8"/>
      <c r="F195" s="8"/>
      <c r="G195" s="11"/>
      <c r="H195" s="11"/>
      <c r="I195" s="11"/>
      <c r="J195" s="11"/>
      <c r="K195" s="11"/>
      <c r="L195" s="11"/>
      <c r="M195" s="11"/>
      <c r="N195" s="11"/>
      <c r="O195" s="11"/>
      <c r="P195" s="12" t="str">
        <f t="shared" si="6"/>
        <v/>
      </c>
      <c r="Q195" s="12" t="str">
        <f t="shared" si="7"/>
        <v/>
      </c>
      <c r="R195" s="12" t="str">
        <f t="shared" si="8"/>
        <v/>
      </c>
      <c r="S195" s="8"/>
      <c r="T195" s="10"/>
      <c r="U195" s="8"/>
    </row>
    <row r="196" spans="1:21">
      <c r="A196" s="8"/>
      <c r="B196" s="10"/>
      <c r="C196" s="8"/>
      <c r="D196" s="8"/>
      <c r="E196" s="8"/>
      <c r="F196" s="8"/>
      <c r="G196" s="11"/>
      <c r="H196" s="11"/>
      <c r="I196" s="11"/>
      <c r="J196" s="11"/>
      <c r="K196" s="11"/>
      <c r="L196" s="11"/>
      <c r="M196" s="11"/>
      <c r="N196" s="11"/>
      <c r="O196" s="11"/>
      <c r="P196" s="12" t="str">
        <f t="shared" si="6"/>
        <v/>
      </c>
      <c r="Q196" s="12" t="str">
        <f t="shared" si="7"/>
        <v/>
      </c>
      <c r="R196" s="12" t="str">
        <f t="shared" si="8"/>
        <v/>
      </c>
      <c r="S196" s="8"/>
      <c r="T196" s="10"/>
      <c r="U196" s="8"/>
    </row>
    <row r="197" spans="1:21">
      <c r="A197" s="8"/>
      <c r="B197" s="10"/>
      <c r="C197" s="8"/>
      <c r="D197" s="8"/>
      <c r="E197" s="8"/>
      <c r="F197" s="8"/>
      <c r="G197" s="11"/>
      <c r="H197" s="11"/>
      <c r="I197" s="11"/>
      <c r="J197" s="11"/>
      <c r="K197" s="11"/>
      <c r="L197" s="11"/>
      <c r="M197" s="11"/>
      <c r="N197" s="11"/>
      <c r="O197" s="11"/>
      <c r="P197" s="12" t="str">
        <f t="shared" ref="P197:P260" si="9">IF(A197="","",K197-G197)</f>
        <v/>
      </c>
      <c r="Q197" s="12" t="str">
        <f t="shared" ref="Q197:Q260" si="10">IF(A197="","",MAX(0,G197-K197))</f>
        <v/>
      </c>
      <c r="R197" s="12" t="str">
        <f t="shared" ref="R197:R260" si="11">IF(A197="","",MAX(0,K197-G197))</f>
        <v/>
      </c>
      <c r="S197" s="8"/>
      <c r="T197" s="10"/>
      <c r="U197" s="8"/>
    </row>
    <row r="198" spans="1:21">
      <c r="A198" s="8"/>
      <c r="B198" s="10"/>
      <c r="C198" s="8"/>
      <c r="D198" s="8"/>
      <c r="E198" s="8"/>
      <c r="F198" s="8"/>
      <c r="G198" s="11"/>
      <c r="H198" s="11"/>
      <c r="I198" s="11"/>
      <c r="J198" s="11"/>
      <c r="K198" s="11"/>
      <c r="L198" s="11"/>
      <c r="M198" s="11"/>
      <c r="N198" s="11"/>
      <c r="O198" s="11"/>
      <c r="P198" s="12" t="str">
        <f t="shared" si="9"/>
        <v/>
      </c>
      <c r="Q198" s="12" t="str">
        <f t="shared" si="10"/>
        <v/>
      </c>
      <c r="R198" s="12" t="str">
        <f t="shared" si="11"/>
        <v/>
      </c>
      <c r="S198" s="8"/>
      <c r="T198" s="10"/>
      <c r="U198" s="8"/>
    </row>
    <row r="199" spans="1:21">
      <c r="A199" s="8"/>
      <c r="B199" s="10"/>
      <c r="C199" s="8"/>
      <c r="D199" s="8"/>
      <c r="E199" s="8"/>
      <c r="F199" s="8"/>
      <c r="G199" s="11"/>
      <c r="H199" s="11"/>
      <c r="I199" s="11"/>
      <c r="J199" s="11"/>
      <c r="K199" s="11"/>
      <c r="L199" s="11"/>
      <c r="M199" s="11"/>
      <c r="N199" s="11"/>
      <c r="O199" s="11"/>
      <c r="P199" s="12" t="str">
        <f t="shared" si="9"/>
        <v/>
      </c>
      <c r="Q199" s="12" t="str">
        <f t="shared" si="10"/>
        <v/>
      </c>
      <c r="R199" s="12" t="str">
        <f t="shared" si="11"/>
        <v/>
      </c>
      <c r="S199" s="8"/>
      <c r="T199" s="10"/>
      <c r="U199" s="8"/>
    </row>
    <row r="200" spans="1:21">
      <c r="A200" s="8"/>
      <c r="B200" s="10"/>
      <c r="C200" s="8"/>
      <c r="D200" s="8"/>
      <c r="E200" s="8"/>
      <c r="F200" s="8"/>
      <c r="G200" s="11"/>
      <c r="H200" s="11"/>
      <c r="I200" s="11"/>
      <c r="J200" s="11"/>
      <c r="K200" s="11"/>
      <c r="L200" s="11"/>
      <c r="M200" s="11"/>
      <c r="N200" s="11"/>
      <c r="O200" s="11"/>
      <c r="P200" s="12" t="str">
        <f t="shared" si="9"/>
        <v/>
      </c>
      <c r="Q200" s="12" t="str">
        <f t="shared" si="10"/>
        <v/>
      </c>
      <c r="R200" s="12" t="str">
        <f t="shared" si="11"/>
        <v/>
      </c>
      <c r="S200" s="8"/>
      <c r="T200" s="10"/>
      <c r="U200" s="8"/>
    </row>
    <row r="201" spans="1:21">
      <c r="A201" s="8"/>
      <c r="B201" s="10"/>
      <c r="C201" s="8"/>
      <c r="D201" s="8"/>
      <c r="E201" s="8"/>
      <c r="F201" s="8"/>
      <c r="G201" s="11"/>
      <c r="H201" s="11"/>
      <c r="I201" s="11"/>
      <c r="J201" s="11"/>
      <c r="K201" s="11"/>
      <c r="L201" s="11"/>
      <c r="M201" s="11"/>
      <c r="N201" s="11"/>
      <c r="O201" s="11"/>
      <c r="P201" s="12" t="str">
        <f t="shared" si="9"/>
        <v/>
      </c>
      <c r="Q201" s="12" t="str">
        <f t="shared" si="10"/>
        <v/>
      </c>
      <c r="R201" s="12" t="str">
        <f t="shared" si="11"/>
        <v/>
      </c>
      <c r="S201" s="8"/>
      <c r="T201" s="10"/>
      <c r="U201" s="8"/>
    </row>
    <row r="202" spans="1:21">
      <c r="A202" s="8"/>
      <c r="B202" s="10"/>
      <c r="C202" s="8"/>
      <c r="D202" s="8"/>
      <c r="E202" s="8"/>
      <c r="F202" s="8"/>
      <c r="G202" s="11"/>
      <c r="H202" s="11"/>
      <c r="I202" s="11"/>
      <c r="J202" s="11"/>
      <c r="K202" s="11"/>
      <c r="L202" s="11"/>
      <c r="M202" s="11"/>
      <c r="N202" s="11"/>
      <c r="O202" s="11"/>
      <c r="P202" s="12" t="str">
        <f t="shared" si="9"/>
        <v/>
      </c>
      <c r="Q202" s="12" t="str">
        <f t="shared" si="10"/>
        <v/>
      </c>
      <c r="R202" s="12" t="str">
        <f t="shared" si="11"/>
        <v/>
      </c>
      <c r="S202" s="8"/>
      <c r="T202" s="10"/>
      <c r="U202" s="8"/>
    </row>
    <row r="203" spans="1:21">
      <c r="A203" s="8"/>
      <c r="B203" s="10"/>
      <c r="C203" s="8"/>
      <c r="D203" s="8"/>
      <c r="E203" s="8"/>
      <c r="F203" s="8"/>
      <c r="G203" s="11"/>
      <c r="H203" s="11"/>
      <c r="I203" s="11"/>
      <c r="J203" s="11"/>
      <c r="K203" s="11"/>
      <c r="L203" s="11"/>
      <c r="M203" s="11"/>
      <c r="N203" s="11"/>
      <c r="O203" s="11"/>
      <c r="P203" s="12" t="str">
        <f t="shared" si="9"/>
        <v/>
      </c>
      <c r="Q203" s="12" t="str">
        <f t="shared" si="10"/>
        <v/>
      </c>
      <c r="R203" s="12" t="str">
        <f t="shared" si="11"/>
        <v/>
      </c>
      <c r="S203" s="8"/>
      <c r="T203" s="10"/>
      <c r="U203" s="8"/>
    </row>
    <row r="204" spans="1:21">
      <c r="A204" s="8"/>
      <c r="B204" s="10"/>
      <c r="C204" s="8"/>
      <c r="D204" s="8"/>
      <c r="E204" s="8"/>
      <c r="F204" s="8"/>
      <c r="G204" s="11"/>
      <c r="H204" s="11"/>
      <c r="I204" s="11"/>
      <c r="J204" s="11"/>
      <c r="K204" s="11"/>
      <c r="L204" s="11"/>
      <c r="M204" s="11"/>
      <c r="N204" s="11"/>
      <c r="O204" s="11"/>
      <c r="P204" s="12" t="str">
        <f t="shared" si="9"/>
        <v/>
      </c>
      <c r="Q204" s="12" t="str">
        <f t="shared" si="10"/>
        <v/>
      </c>
      <c r="R204" s="12" t="str">
        <f t="shared" si="11"/>
        <v/>
      </c>
      <c r="S204" s="8"/>
      <c r="T204" s="10"/>
      <c r="U204" s="8"/>
    </row>
    <row r="205" spans="1:21">
      <c r="A205" s="8"/>
      <c r="B205" s="10"/>
      <c r="C205" s="8"/>
      <c r="D205" s="8"/>
      <c r="E205" s="8"/>
      <c r="F205" s="8"/>
      <c r="G205" s="11"/>
      <c r="H205" s="11"/>
      <c r="I205" s="11"/>
      <c r="J205" s="11"/>
      <c r="K205" s="11"/>
      <c r="L205" s="11"/>
      <c r="M205" s="11"/>
      <c r="N205" s="11"/>
      <c r="O205" s="11"/>
      <c r="P205" s="12" t="str">
        <f t="shared" si="9"/>
        <v/>
      </c>
      <c r="Q205" s="12" t="str">
        <f t="shared" si="10"/>
        <v/>
      </c>
      <c r="R205" s="12" t="str">
        <f t="shared" si="11"/>
        <v/>
      </c>
      <c r="S205" s="8"/>
      <c r="T205" s="10"/>
      <c r="U205" s="8"/>
    </row>
    <row r="206" spans="1:21">
      <c r="A206" s="8"/>
      <c r="B206" s="10"/>
      <c r="C206" s="8"/>
      <c r="D206" s="8"/>
      <c r="E206" s="8"/>
      <c r="F206" s="8"/>
      <c r="G206" s="11"/>
      <c r="H206" s="11"/>
      <c r="I206" s="11"/>
      <c r="J206" s="11"/>
      <c r="K206" s="11"/>
      <c r="L206" s="11"/>
      <c r="M206" s="11"/>
      <c r="N206" s="11"/>
      <c r="O206" s="11"/>
      <c r="P206" s="12" t="str">
        <f t="shared" si="9"/>
        <v/>
      </c>
      <c r="Q206" s="12" t="str">
        <f t="shared" si="10"/>
        <v/>
      </c>
      <c r="R206" s="12" t="str">
        <f t="shared" si="11"/>
        <v/>
      </c>
      <c r="S206" s="8"/>
      <c r="T206" s="10"/>
      <c r="U206" s="8"/>
    </row>
    <row r="207" spans="1:21">
      <c r="A207" s="8"/>
      <c r="B207" s="10"/>
      <c r="C207" s="8"/>
      <c r="D207" s="8"/>
      <c r="E207" s="8"/>
      <c r="F207" s="8"/>
      <c r="G207" s="11"/>
      <c r="H207" s="11"/>
      <c r="I207" s="11"/>
      <c r="J207" s="11"/>
      <c r="K207" s="11"/>
      <c r="L207" s="11"/>
      <c r="M207" s="11"/>
      <c r="N207" s="11"/>
      <c r="O207" s="11"/>
      <c r="P207" s="12" t="str">
        <f t="shared" si="9"/>
        <v/>
      </c>
      <c r="Q207" s="12" t="str">
        <f t="shared" si="10"/>
        <v/>
      </c>
      <c r="R207" s="12" t="str">
        <f t="shared" si="11"/>
        <v/>
      </c>
      <c r="S207" s="8"/>
      <c r="T207" s="10"/>
      <c r="U207" s="8"/>
    </row>
    <row r="208" spans="1:21">
      <c r="A208" s="8"/>
      <c r="B208" s="10"/>
      <c r="C208" s="8"/>
      <c r="D208" s="8"/>
      <c r="E208" s="8"/>
      <c r="F208" s="8"/>
      <c r="G208" s="11"/>
      <c r="H208" s="11"/>
      <c r="I208" s="11"/>
      <c r="J208" s="11"/>
      <c r="K208" s="11"/>
      <c r="L208" s="11"/>
      <c r="M208" s="11"/>
      <c r="N208" s="11"/>
      <c r="O208" s="11"/>
      <c r="P208" s="12" t="str">
        <f t="shared" si="9"/>
        <v/>
      </c>
      <c r="Q208" s="12" t="str">
        <f t="shared" si="10"/>
        <v/>
      </c>
      <c r="R208" s="12" t="str">
        <f t="shared" si="11"/>
        <v/>
      </c>
      <c r="S208" s="8"/>
      <c r="T208" s="10"/>
      <c r="U208" s="8"/>
    </row>
    <row r="209" spans="1:21">
      <c r="A209" s="8"/>
      <c r="B209" s="10"/>
      <c r="C209" s="8"/>
      <c r="D209" s="8"/>
      <c r="E209" s="8"/>
      <c r="F209" s="8"/>
      <c r="G209" s="11"/>
      <c r="H209" s="11"/>
      <c r="I209" s="11"/>
      <c r="J209" s="11"/>
      <c r="K209" s="11"/>
      <c r="L209" s="11"/>
      <c r="M209" s="11"/>
      <c r="N209" s="11"/>
      <c r="O209" s="11"/>
      <c r="P209" s="12" t="str">
        <f t="shared" si="9"/>
        <v/>
      </c>
      <c r="Q209" s="12" t="str">
        <f t="shared" si="10"/>
        <v/>
      </c>
      <c r="R209" s="12" t="str">
        <f t="shared" si="11"/>
        <v/>
      </c>
      <c r="S209" s="8"/>
      <c r="T209" s="10"/>
      <c r="U209" s="8"/>
    </row>
    <row r="210" spans="1:21">
      <c r="A210" s="8"/>
      <c r="B210" s="10"/>
      <c r="C210" s="8"/>
      <c r="D210" s="8"/>
      <c r="E210" s="8"/>
      <c r="F210" s="8"/>
      <c r="G210" s="11"/>
      <c r="H210" s="11"/>
      <c r="I210" s="11"/>
      <c r="J210" s="11"/>
      <c r="K210" s="11"/>
      <c r="L210" s="11"/>
      <c r="M210" s="11"/>
      <c r="N210" s="11"/>
      <c r="O210" s="11"/>
      <c r="P210" s="12" t="str">
        <f t="shared" si="9"/>
        <v/>
      </c>
      <c r="Q210" s="12" t="str">
        <f t="shared" si="10"/>
        <v/>
      </c>
      <c r="R210" s="12" t="str">
        <f t="shared" si="11"/>
        <v/>
      </c>
      <c r="S210" s="8"/>
      <c r="T210" s="10"/>
      <c r="U210" s="8"/>
    </row>
    <row r="211" spans="1:21">
      <c r="A211" s="8"/>
      <c r="B211" s="10"/>
      <c r="C211" s="8"/>
      <c r="D211" s="8"/>
      <c r="E211" s="8"/>
      <c r="F211" s="8"/>
      <c r="G211" s="11"/>
      <c r="H211" s="11"/>
      <c r="I211" s="11"/>
      <c r="J211" s="11"/>
      <c r="K211" s="11"/>
      <c r="L211" s="11"/>
      <c r="M211" s="11"/>
      <c r="N211" s="11"/>
      <c r="O211" s="11"/>
      <c r="P211" s="12" t="str">
        <f t="shared" si="9"/>
        <v/>
      </c>
      <c r="Q211" s="12" t="str">
        <f t="shared" si="10"/>
        <v/>
      </c>
      <c r="R211" s="12" t="str">
        <f t="shared" si="11"/>
        <v/>
      </c>
      <c r="S211" s="8"/>
      <c r="T211" s="10"/>
      <c r="U211" s="8"/>
    </row>
    <row r="212" spans="1:21">
      <c r="A212" s="8"/>
      <c r="B212" s="10"/>
      <c r="C212" s="8"/>
      <c r="D212" s="8"/>
      <c r="E212" s="8"/>
      <c r="F212" s="8"/>
      <c r="G212" s="11"/>
      <c r="H212" s="11"/>
      <c r="I212" s="11"/>
      <c r="J212" s="11"/>
      <c r="K212" s="11"/>
      <c r="L212" s="11"/>
      <c r="M212" s="11"/>
      <c r="N212" s="11"/>
      <c r="O212" s="11"/>
      <c r="P212" s="12" t="str">
        <f t="shared" si="9"/>
        <v/>
      </c>
      <c r="Q212" s="12" t="str">
        <f t="shared" si="10"/>
        <v/>
      </c>
      <c r="R212" s="12" t="str">
        <f t="shared" si="11"/>
        <v/>
      </c>
      <c r="S212" s="8"/>
      <c r="T212" s="10"/>
      <c r="U212" s="8"/>
    </row>
    <row r="213" spans="1:21">
      <c r="A213" s="8"/>
      <c r="B213" s="10"/>
      <c r="C213" s="8"/>
      <c r="D213" s="8"/>
      <c r="E213" s="8"/>
      <c r="F213" s="8"/>
      <c r="G213" s="11"/>
      <c r="H213" s="11"/>
      <c r="I213" s="11"/>
      <c r="J213" s="11"/>
      <c r="K213" s="11"/>
      <c r="L213" s="11"/>
      <c r="M213" s="11"/>
      <c r="N213" s="11"/>
      <c r="O213" s="11"/>
      <c r="P213" s="12" t="str">
        <f t="shared" si="9"/>
        <v/>
      </c>
      <c r="Q213" s="12" t="str">
        <f t="shared" si="10"/>
        <v/>
      </c>
      <c r="R213" s="12" t="str">
        <f t="shared" si="11"/>
        <v/>
      </c>
      <c r="S213" s="8"/>
      <c r="T213" s="10"/>
      <c r="U213" s="8"/>
    </row>
    <row r="214" spans="1:21">
      <c r="A214" s="8"/>
      <c r="B214" s="10"/>
      <c r="C214" s="8"/>
      <c r="D214" s="8"/>
      <c r="E214" s="8"/>
      <c r="F214" s="8"/>
      <c r="G214" s="11"/>
      <c r="H214" s="11"/>
      <c r="I214" s="11"/>
      <c r="J214" s="11"/>
      <c r="K214" s="11"/>
      <c r="L214" s="11"/>
      <c r="M214" s="11"/>
      <c r="N214" s="11"/>
      <c r="O214" s="11"/>
      <c r="P214" s="12" t="str">
        <f t="shared" si="9"/>
        <v/>
      </c>
      <c r="Q214" s="12" t="str">
        <f t="shared" si="10"/>
        <v/>
      </c>
      <c r="R214" s="12" t="str">
        <f t="shared" si="11"/>
        <v/>
      </c>
      <c r="S214" s="8"/>
      <c r="T214" s="10"/>
      <c r="U214" s="8"/>
    </row>
    <row r="215" spans="1:21">
      <c r="A215" s="8"/>
      <c r="B215" s="10"/>
      <c r="C215" s="8"/>
      <c r="D215" s="8"/>
      <c r="E215" s="8"/>
      <c r="F215" s="8"/>
      <c r="G215" s="11"/>
      <c r="H215" s="11"/>
      <c r="I215" s="11"/>
      <c r="J215" s="11"/>
      <c r="K215" s="11"/>
      <c r="L215" s="11"/>
      <c r="M215" s="11"/>
      <c r="N215" s="11"/>
      <c r="O215" s="11"/>
      <c r="P215" s="12" t="str">
        <f t="shared" si="9"/>
        <v/>
      </c>
      <c r="Q215" s="12" t="str">
        <f t="shared" si="10"/>
        <v/>
      </c>
      <c r="R215" s="12" t="str">
        <f t="shared" si="11"/>
        <v/>
      </c>
      <c r="S215" s="8"/>
      <c r="T215" s="10"/>
      <c r="U215" s="8"/>
    </row>
    <row r="216" spans="1:21">
      <c r="A216" s="8"/>
      <c r="B216" s="10"/>
      <c r="C216" s="8"/>
      <c r="D216" s="8"/>
      <c r="E216" s="8"/>
      <c r="F216" s="8"/>
      <c r="G216" s="11"/>
      <c r="H216" s="11"/>
      <c r="I216" s="11"/>
      <c r="J216" s="11"/>
      <c r="K216" s="11"/>
      <c r="L216" s="11"/>
      <c r="M216" s="11"/>
      <c r="N216" s="11"/>
      <c r="O216" s="11"/>
      <c r="P216" s="12" t="str">
        <f t="shared" si="9"/>
        <v/>
      </c>
      <c r="Q216" s="12" t="str">
        <f t="shared" si="10"/>
        <v/>
      </c>
      <c r="R216" s="12" t="str">
        <f t="shared" si="11"/>
        <v/>
      </c>
      <c r="S216" s="8"/>
      <c r="T216" s="10"/>
      <c r="U216" s="8"/>
    </row>
    <row r="217" spans="1:21">
      <c r="A217" s="8"/>
      <c r="B217" s="10"/>
      <c r="C217" s="8"/>
      <c r="D217" s="8"/>
      <c r="E217" s="8"/>
      <c r="F217" s="8"/>
      <c r="G217" s="11"/>
      <c r="H217" s="11"/>
      <c r="I217" s="11"/>
      <c r="J217" s="11"/>
      <c r="K217" s="11"/>
      <c r="L217" s="11"/>
      <c r="M217" s="11"/>
      <c r="N217" s="11"/>
      <c r="O217" s="11"/>
      <c r="P217" s="12" t="str">
        <f t="shared" si="9"/>
        <v/>
      </c>
      <c r="Q217" s="12" t="str">
        <f t="shared" si="10"/>
        <v/>
      </c>
      <c r="R217" s="12" t="str">
        <f t="shared" si="11"/>
        <v/>
      </c>
      <c r="S217" s="8"/>
      <c r="T217" s="10"/>
      <c r="U217" s="8"/>
    </row>
    <row r="218" spans="1:21">
      <c r="A218" s="8"/>
      <c r="B218" s="10"/>
      <c r="C218" s="8"/>
      <c r="D218" s="8"/>
      <c r="E218" s="8"/>
      <c r="F218" s="8"/>
      <c r="G218" s="11"/>
      <c r="H218" s="11"/>
      <c r="I218" s="11"/>
      <c r="J218" s="11"/>
      <c r="K218" s="11"/>
      <c r="L218" s="11"/>
      <c r="M218" s="11"/>
      <c r="N218" s="11"/>
      <c r="O218" s="11"/>
      <c r="P218" s="12" t="str">
        <f t="shared" si="9"/>
        <v/>
      </c>
      <c r="Q218" s="12" t="str">
        <f t="shared" si="10"/>
        <v/>
      </c>
      <c r="R218" s="12" t="str">
        <f t="shared" si="11"/>
        <v/>
      </c>
      <c r="S218" s="8"/>
      <c r="T218" s="10"/>
      <c r="U218" s="8"/>
    </row>
    <row r="219" spans="1:21">
      <c r="A219" s="8"/>
      <c r="B219" s="10"/>
      <c r="C219" s="8"/>
      <c r="D219" s="8"/>
      <c r="E219" s="8"/>
      <c r="F219" s="8"/>
      <c r="G219" s="11"/>
      <c r="H219" s="11"/>
      <c r="I219" s="11"/>
      <c r="J219" s="11"/>
      <c r="K219" s="11"/>
      <c r="L219" s="11"/>
      <c r="M219" s="11"/>
      <c r="N219" s="11"/>
      <c r="O219" s="11"/>
      <c r="P219" s="12" t="str">
        <f t="shared" si="9"/>
        <v/>
      </c>
      <c r="Q219" s="12" t="str">
        <f t="shared" si="10"/>
        <v/>
      </c>
      <c r="R219" s="12" t="str">
        <f t="shared" si="11"/>
        <v/>
      </c>
      <c r="S219" s="8"/>
      <c r="T219" s="10"/>
      <c r="U219" s="8"/>
    </row>
    <row r="220" spans="1:21">
      <c r="A220" s="8"/>
      <c r="B220" s="10"/>
      <c r="C220" s="8"/>
      <c r="D220" s="8"/>
      <c r="E220" s="8"/>
      <c r="F220" s="8"/>
      <c r="G220" s="11"/>
      <c r="H220" s="11"/>
      <c r="I220" s="11"/>
      <c r="J220" s="11"/>
      <c r="K220" s="11"/>
      <c r="L220" s="11"/>
      <c r="M220" s="11"/>
      <c r="N220" s="11"/>
      <c r="O220" s="11"/>
      <c r="P220" s="12" t="str">
        <f t="shared" si="9"/>
        <v/>
      </c>
      <c r="Q220" s="12" t="str">
        <f t="shared" si="10"/>
        <v/>
      </c>
      <c r="R220" s="12" t="str">
        <f t="shared" si="11"/>
        <v/>
      </c>
      <c r="S220" s="8"/>
      <c r="T220" s="10"/>
      <c r="U220" s="8"/>
    </row>
    <row r="221" spans="1:21">
      <c r="A221" s="8"/>
      <c r="B221" s="10"/>
      <c r="C221" s="8"/>
      <c r="D221" s="8"/>
      <c r="E221" s="8"/>
      <c r="F221" s="8"/>
      <c r="G221" s="11"/>
      <c r="H221" s="11"/>
      <c r="I221" s="11"/>
      <c r="J221" s="11"/>
      <c r="K221" s="11"/>
      <c r="L221" s="11"/>
      <c r="M221" s="11"/>
      <c r="N221" s="11"/>
      <c r="O221" s="11"/>
      <c r="P221" s="12" t="str">
        <f t="shared" si="9"/>
        <v/>
      </c>
      <c r="Q221" s="12" t="str">
        <f t="shared" si="10"/>
        <v/>
      </c>
      <c r="R221" s="12" t="str">
        <f t="shared" si="11"/>
        <v/>
      </c>
      <c r="S221" s="8"/>
      <c r="T221" s="10"/>
      <c r="U221" s="8"/>
    </row>
    <row r="222" spans="1:21">
      <c r="A222" s="8"/>
      <c r="B222" s="10"/>
      <c r="C222" s="8"/>
      <c r="D222" s="8"/>
      <c r="E222" s="8"/>
      <c r="F222" s="8"/>
      <c r="G222" s="11"/>
      <c r="H222" s="11"/>
      <c r="I222" s="11"/>
      <c r="J222" s="11"/>
      <c r="K222" s="11"/>
      <c r="L222" s="11"/>
      <c r="M222" s="11"/>
      <c r="N222" s="11"/>
      <c r="O222" s="11"/>
      <c r="P222" s="12" t="str">
        <f t="shared" si="9"/>
        <v/>
      </c>
      <c r="Q222" s="12" t="str">
        <f t="shared" si="10"/>
        <v/>
      </c>
      <c r="R222" s="12" t="str">
        <f t="shared" si="11"/>
        <v/>
      </c>
      <c r="S222" s="8"/>
      <c r="T222" s="10"/>
      <c r="U222" s="8"/>
    </row>
    <row r="223" spans="1:21">
      <c r="A223" s="8"/>
      <c r="B223" s="10"/>
      <c r="C223" s="8"/>
      <c r="D223" s="8"/>
      <c r="E223" s="8"/>
      <c r="F223" s="8"/>
      <c r="G223" s="11"/>
      <c r="H223" s="11"/>
      <c r="I223" s="11"/>
      <c r="J223" s="11"/>
      <c r="K223" s="11"/>
      <c r="L223" s="11"/>
      <c r="M223" s="11"/>
      <c r="N223" s="11"/>
      <c r="O223" s="11"/>
      <c r="P223" s="12" t="str">
        <f t="shared" si="9"/>
        <v/>
      </c>
      <c r="Q223" s="12" t="str">
        <f t="shared" si="10"/>
        <v/>
      </c>
      <c r="R223" s="12" t="str">
        <f t="shared" si="11"/>
        <v/>
      </c>
      <c r="S223" s="8"/>
      <c r="T223" s="10"/>
      <c r="U223" s="8"/>
    </row>
    <row r="224" spans="1:21">
      <c r="A224" s="8"/>
      <c r="B224" s="10"/>
      <c r="C224" s="8"/>
      <c r="D224" s="8"/>
      <c r="E224" s="8"/>
      <c r="F224" s="8"/>
      <c r="G224" s="11"/>
      <c r="H224" s="11"/>
      <c r="I224" s="11"/>
      <c r="J224" s="11"/>
      <c r="K224" s="11"/>
      <c r="L224" s="11"/>
      <c r="M224" s="11"/>
      <c r="N224" s="11"/>
      <c r="O224" s="11"/>
      <c r="P224" s="12" t="str">
        <f t="shared" si="9"/>
        <v/>
      </c>
      <c r="Q224" s="12" t="str">
        <f t="shared" si="10"/>
        <v/>
      </c>
      <c r="R224" s="12" t="str">
        <f t="shared" si="11"/>
        <v/>
      </c>
      <c r="S224" s="8"/>
      <c r="T224" s="10"/>
      <c r="U224" s="8"/>
    </row>
    <row r="225" spans="1:21">
      <c r="A225" s="8"/>
      <c r="B225" s="10"/>
      <c r="C225" s="8"/>
      <c r="D225" s="8"/>
      <c r="E225" s="8"/>
      <c r="F225" s="8"/>
      <c r="G225" s="11"/>
      <c r="H225" s="11"/>
      <c r="I225" s="11"/>
      <c r="J225" s="11"/>
      <c r="K225" s="11"/>
      <c r="L225" s="11"/>
      <c r="M225" s="11"/>
      <c r="N225" s="11"/>
      <c r="O225" s="11"/>
      <c r="P225" s="12" t="str">
        <f t="shared" si="9"/>
        <v/>
      </c>
      <c r="Q225" s="12" t="str">
        <f t="shared" si="10"/>
        <v/>
      </c>
      <c r="R225" s="12" t="str">
        <f t="shared" si="11"/>
        <v/>
      </c>
      <c r="S225" s="8"/>
      <c r="T225" s="10"/>
      <c r="U225" s="8"/>
    </row>
    <row r="226" spans="1:21">
      <c r="A226" s="8"/>
      <c r="B226" s="10"/>
      <c r="C226" s="8"/>
      <c r="D226" s="8"/>
      <c r="E226" s="8"/>
      <c r="F226" s="8"/>
      <c r="G226" s="11"/>
      <c r="H226" s="11"/>
      <c r="I226" s="11"/>
      <c r="J226" s="11"/>
      <c r="K226" s="11"/>
      <c r="L226" s="11"/>
      <c r="M226" s="11"/>
      <c r="N226" s="11"/>
      <c r="O226" s="11"/>
      <c r="P226" s="12" t="str">
        <f t="shared" si="9"/>
        <v/>
      </c>
      <c r="Q226" s="12" t="str">
        <f t="shared" si="10"/>
        <v/>
      </c>
      <c r="R226" s="12" t="str">
        <f t="shared" si="11"/>
        <v/>
      </c>
      <c r="S226" s="8"/>
      <c r="T226" s="10"/>
      <c r="U226" s="8"/>
    </row>
    <row r="227" spans="1:21">
      <c r="A227" s="8"/>
      <c r="B227" s="10"/>
      <c r="C227" s="8"/>
      <c r="D227" s="8"/>
      <c r="E227" s="8"/>
      <c r="F227" s="8"/>
      <c r="G227" s="11"/>
      <c r="H227" s="11"/>
      <c r="I227" s="11"/>
      <c r="J227" s="11"/>
      <c r="K227" s="11"/>
      <c r="L227" s="11"/>
      <c r="M227" s="11"/>
      <c r="N227" s="11"/>
      <c r="O227" s="11"/>
      <c r="P227" s="12" t="str">
        <f t="shared" si="9"/>
        <v/>
      </c>
      <c r="Q227" s="12" t="str">
        <f t="shared" si="10"/>
        <v/>
      </c>
      <c r="R227" s="12" t="str">
        <f t="shared" si="11"/>
        <v/>
      </c>
      <c r="S227" s="8"/>
      <c r="T227" s="10"/>
      <c r="U227" s="8"/>
    </row>
    <row r="228" spans="1:21">
      <c r="A228" s="8"/>
      <c r="B228" s="10"/>
      <c r="C228" s="8"/>
      <c r="D228" s="8"/>
      <c r="E228" s="8"/>
      <c r="F228" s="8"/>
      <c r="G228" s="11"/>
      <c r="H228" s="11"/>
      <c r="I228" s="11"/>
      <c r="J228" s="11"/>
      <c r="K228" s="11"/>
      <c r="L228" s="11"/>
      <c r="M228" s="11"/>
      <c r="N228" s="11"/>
      <c r="O228" s="11"/>
      <c r="P228" s="12" t="str">
        <f t="shared" si="9"/>
        <v/>
      </c>
      <c r="Q228" s="12" t="str">
        <f t="shared" si="10"/>
        <v/>
      </c>
      <c r="R228" s="12" t="str">
        <f t="shared" si="11"/>
        <v/>
      </c>
      <c r="S228" s="8"/>
      <c r="T228" s="10"/>
      <c r="U228" s="8"/>
    </row>
    <row r="229" spans="1:21">
      <c r="A229" s="8"/>
      <c r="B229" s="10"/>
      <c r="C229" s="8"/>
      <c r="D229" s="8"/>
      <c r="E229" s="8"/>
      <c r="F229" s="8"/>
      <c r="G229" s="11"/>
      <c r="H229" s="11"/>
      <c r="I229" s="11"/>
      <c r="J229" s="11"/>
      <c r="K229" s="11"/>
      <c r="L229" s="11"/>
      <c r="M229" s="11"/>
      <c r="N229" s="11"/>
      <c r="O229" s="11"/>
      <c r="P229" s="12" t="str">
        <f t="shared" si="9"/>
        <v/>
      </c>
      <c r="Q229" s="12" t="str">
        <f t="shared" si="10"/>
        <v/>
      </c>
      <c r="R229" s="12" t="str">
        <f t="shared" si="11"/>
        <v/>
      </c>
      <c r="S229" s="8"/>
      <c r="T229" s="10"/>
      <c r="U229" s="8"/>
    </row>
    <row r="230" spans="1:21">
      <c r="A230" s="8"/>
      <c r="B230" s="10"/>
      <c r="C230" s="8"/>
      <c r="D230" s="8"/>
      <c r="E230" s="8"/>
      <c r="F230" s="8"/>
      <c r="G230" s="11"/>
      <c r="H230" s="11"/>
      <c r="I230" s="11"/>
      <c r="J230" s="11"/>
      <c r="K230" s="11"/>
      <c r="L230" s="11"/>
      <c r="M230" s="11"/>
      <c r="N230" s="11"/>
      <c r="O230" s="11"/>
      <c r="P230" s="12" t="str">
        <f t="shared" si="9"/>
        <v/>
      </c>
      <c r="Q230" s="12" t="str">
        <f t="shared" si="10"/>
        <v/>
      </c>
      <c r="R230" s="12" t="str">
        <f t="shared" si="11"/>
        <v/>
      </c>
      <c r="S230" s="8"/>
      <c r="T230" s="10"/>
      <c r="U230" s="8"/>
    </row>
    <row r="231" spans="1:21">
      <c r="A231" s="8"/>
      <c r="B231" s="10"/>
      <c r="C231" s="8"/>
      <c r="D231" s="8"/>
      <c r="E231" s="8"/>
      <c r="F231" s="8"/>
      <c r="G231" s="11"/>
      <c r="H231" s="11"/>
      <c r="I231" s="11"/>
      <c r="J231" s="11"/>
      <c r="K231" s="11"/>
      <c r="L231" s="11"/>
      <c r="M231" s="11"/>
      <c r="N231" s="11"/>
      <c r="O231" s="11"/>
      <c r="P231" s="12" t="str">
        <f t="shared" si="9"/>
        <v/>
      </c>
      <c r="Q231" s="12" t="str">
        <f t="shared" si="10"/>
        <v/>
      </c>
      <c r="R231" s="12" t="str">
        <f t="shared" si="11"/>
        <v/>
      </c>
      <c r="S231" s="8"/>
      <c r="T231" s="10"/>
      <c r="U231" s="8"/>
    </row>
    <row r="232" spans="1:21">
      <c r="A232" s="8"/>
      <c r="B232" s="10"/>
      <c r="C232" s="8"/>
      <c r="D232" s="8"/>
      <c r="E232" s="8"/>
      <c r="F232" s="8"/>
      <c r="G232" s="11"/>
      <c r="H232" s="11"/>
      <c r="I232" s="11"/>
      <c r="J232" s="11"/>
      <c r="K232" s="11"/>
      <c r="L232" s="11"/>
      <c r="M232" s="11"/>
      <c r="N232" s="11"/>
      <c r="O232" s="11"/>
      <c r="P232" s="12" t="str">
        <f t="shared" si="9"/>
        <v/>
      </c>
      <c r="Q232" s="12" t="str">
        <f t="shared" si="10"/>
        <v/>
      </c>
      <c r="R232" s="12" t="str">
        <f t="shared" si="11"/>
        <v/>
      </c>
      <c r="S232" s="8"/>
      <c r="T232" s="10"/>
      <c r="U232" s="8"/>
    </row>
    <row r="233" spans="1:21">
      <c r="A233" s="8"/>
      <c r="B233" s="10"/>
      <c r="C233" s="8"/>
      <c r="D233" s="8"/>
      <c r="E233" s="8"/>
      <c r="F233" s="8"/>
      <c r="G233" s="11"/>
      <c r="H233" s="11"/>
      <c r="I233" s="11"/>
      <c r="J233" s="11"/>
      <c r="K233" s="11"/>
      <c r="L233" s="11"/>
      <c r="M233" s="11"/>
      <c r="N233" s="11"/>
      <c r="O233" s="11"/>
      <c r="P233" s="12" t="str">
        <f t="shared" si="9"/>
        <v/>
      </c>
      <c r="Q233" s="12" t="str">
        <f t="shared" si="10"/>
        <v/>
      </c>
      <c r="R233" s="12" t="str">
        <f t="shared" si="11"/>
        <v/>
      </c>
      <c r="S233" s="8"/>
      <c r="T233" s="10"/>
      <c r="U233" s="8"/>
    </row>
    <row r="234" spans="1:21">
      <c r="A234" s="8"/>
      <c r="B234" s="10"/>
      <c r="C234" s="8"/>
      <c r="D234" s="8"/>
      <c r="E234" s="8"/>
      <c r="F234" s="8"/>
      <c r="G234" s="11"/>
      <c r="H234" s="11"/>
      <c r="I234" s="11"/>
      <c r="J234" s="11"/>
      <c r="K234" s="11"/>
      <c r="L234" s="11"/>
      <c r="M234" s="11"/>
      <c r="N234" s="11"/>
      <c r="O234" s="11"/>
      <c r="P234" s="12" t="str">
        <f t="shared" si="9"/>
        <v/>
      </c>
      <c r="Q234" s="12" t="str">
        <f t="shared" si="10"/>
        <v/>
      </c>
      <c r="R234" s="12" t="str">
        <f t="shared" si="11"/>
        <v/>
      </c>
      <c r="S234" s="8"/>
      <c r="T234" s="10"/>
      <c r="U234" s="8"/>
    </row>
    <row r="235" spans="1:21">
      <c r="A235" s="8"/>
      <c r="B235" s="10"/>
      <c r="C235" s="8"/>
      <c r="D235" s="8"/>
      <c r="E235" s="8"/>
      <c r="F235" s="8"/>
      <c r="G235" s="11"/>
      <c r="H235" s="11"/>
      <c r="I235" s="11"/>
      <c r="J235" s="11"/>
      <c r="K235" s="11"/>
      <c r="L235" s="11"/>
      <c r="M235" s="11"/>
      <c r="N235" s="11"/>
      <c r="O235" s="11"/>
      <c r="P235" s="12" t="str">
        <f t="shared" si="9"/>
        <v/>
      </c>
      <c r="Q235" s="12" t="str">
        <f t="shared" si="10"/>
        <v/>
      </c>
      <c r="R235" s="12" t="str">
        <f t="shared" si="11"/>
        <v/>
      </c>
      <c r="S235" s="8"/>
      <c r="T235" s="10"/>
      <c r="U235" s="8"/>
    </row>
    <row r="236" spans="1:21">
      <c r="A236" s="8"/>
      <c r="B236" s="10"/>
      <c r="C236" s="8"/>
      <c r="D236" s="8"/>
      <c r="E236" s="8"/>
      <c r="F236" s="8"/>
      <c r="G236" s="11"/>
      <c r="H236" s="11"/>
      <c r="I236" s="11"/>
      <c r="J236" s="11"/>
      <c r="K236" s="11"/>
      <c r="L236" s="11"/>
      <c r="M236" s="11"/>
      <c r="N236" s="11"/>
      <c r="O236" s="11"/>
      <c r="P236" s="12" t="str">
        <f t="shared" si="9"/>
        <v/>
      </c>
      <c r="Q236" s="12" t="str">
        <f t="shared" si="10"/>
        <v/>
      </c>
      <c r="R236" s="12" t="str">
        <f t="shared" si="11"/>
        <v/>
      </c>
      <c r="S236" s="8"/>
      <c r="T236" s="10"/>
      <c r="U236" s="8"/>
    </row>
    <row r="237" spans="1:21">
      <c r="A237" s="8"/>
      <c r="B237" s="10"/>
      <c r="C237" s="8"/>
      <c r="D237" s="8"/>
      <c r="E237" s="8"/>
      <c r="F237" s="8"/>
      <c r="G237" s="11"/>
      <c r="H237" s="11"/>
      <c r="I237" s="11"/>
      <c r="J237" s="11"/>
      <c r="K237" s="11"/>
      <c r="L237" s="11"/>
      <c r="M237" s="11"/>
      <c r="N237" s="11"/>
      <c r="O237" s="11"/>
      <c r="P237" s="12" t="str">
        <f t="shared" si="9"/>
        <v/>
      </c>
      <c r="Q237" s="12" t="str">
        <f t="shared" si="10"/>
        <v/>
      </c>
      <c r="R237" s="12" t="str">
        <f t="shared" si="11"/>
        <v/>
      </c>
      <c r="S237" s="8"/>
      <c r="T237" s="10"/>
      <c r="U237" s="8"/>
    </row>
    <row r="238" spans="1:21">
      <c r="A238" s="8"/>
      <c r="B238" s="10"/>
      <c r="C238" s="8"/>
      <c r="D238" s="8"/>
      <c r="E238" s="8"/>
      <c r="F238" s="8"/>
      <c r="G238" s="11"/>
      <c r="H238" s="11"/>
      <c r="I238" s="11"/>
      <c r="J238" s="11"/>
      <c r="K238" s="11"/>
      <c r="L238" s="11"/>
      <c r="M238" s="11"/>
      <c r="N238" s="11"/>
      <c r="O238" s="11"/>
      <c r="P238" s="12" t="str">
        <f t="shared" si="9"/>
        <v/>
      </c>
      <c r="Q238" s="12" t="str">
        <f t="shared" si="10"/>
        <v/>
      </c>
      <c r="R238" s="12" t="str">
        <f t="shared" si="11"/>
        <v/>
      </c>
      <c r="S238" s="8"/>
      <c r="T238" s="10"/>
      <c r="U238" s="8"/>
    </row>
    <row r="239" spans="1:21">
      <c r="A239" s="8"/>
      <c r="B239" s="10"/>
      <c r="C239" s="8"/>
      <c r="D239" s="8"/>
      <c r="E239" s="8"/>
      <c r="F239" s="8"/>
      <c r="G239" s="11"/>
      <c r="H239" s="11"/>
      <c r="I239" s="11"/>
      <c r="J239" s="11"/>
      <c r="K239" s="11"/>
      <c r="L239" s="11"/>
      <c r="M239" s="11"/>
      <c r="N239" s="11"/>
      <c r="O239" s="11"/>
      <c r="P239" s="12" t="str">
        <f t="shared" si="9"/>
        <v/>
      </c>
      <c r="Q239" s="12" t="str">
        <f t="shared" si="10"/>
        <v/>
      </c>
      <c r="R239" s="12" t="str">
        <f t="shared" si="11"/>
        <v/>
      </c>
      <c r="S239" s="8"/>
      <c r="T239" s="10"/>
      <c r="U239" s="8"/>
    </row>
    <row r="240" spans="1:21">
      <c r="A240" s="8"/>
      <c r="B240" s="10"/>
      <c r="C240" s="8"/>
      <c r="D240" s="8"/>
      <c r="E240" s="8"/>
      <c r="F240" s="8"/>
      <c r="G240" s="11"/>
      <c r="H240" s="11"/>
      <c r="I240" s="11"/>
      <c r="J240" s="11"/>
      <c r="K240" s="11"/>
      <c r="L240" s="11"/>
      <c r="M240" s="11"/>
      <c r="N240" s="11"/>
      <c r="O240" s="11"/>
      <c r="P240" s="12" t="str">
        <f t="shared" si="9"/>
        <v/>
      </c>
      <c r="Q240" s="12" t="str">
        <f t="shared" si="10"/>
        <v/>
      </c>
      <c r="R240" s="12" t="str">
        <f t="shared" si="11"/>
        <v/>
      </c>
      <c r="S240" s="8"/>
      <c r="T240" s="10"/>
      <c r="U240" s="8"/>
    </row>
    <row r="241" spans="1:21">
      <c r="A241" s="8"/>
      <c r="B241" s="10"/>
      <c r="C241" s="8"/>
      <c r="D241" s="8"/>
      <c r="E241" s="8"/>
      <c r="F241" s="8"/>
      <c r="G241" s="11"/>
      <c r="H241" s="11"/>
      <c r="I241" s="11"/>
      <c r="J241" s="11"/>
      <c r="K241" s="11"/>
      <c r="L241" s="11"/>
      <c r="M241" s="11"/>
      <c r="N241" s="11"/>
      <c r="O241" s="11"/>
      <c r="P241" s="12" t="str">
        <f t="shared" si="9"/>
        <v/>
      </c>
      <c r="Q241" s="12" t="str">
        <f t="shared" si="10"/>
        <v/>
      </c>
      <c r="R241" s="12" t="str">
        <f t="shared" si="11"/>
        <v/>
      </c>
      <c r="S241" s="8"/>
      <c r="T241" s="10"/>
      <c r="U241" s="8"/>
    </row>
    <row r="242" spans="1:21">
      <c r="A242" s="8"/>
      <c r="B242" s="10"/>
      <c r="C242" s="8"/>
      <c r="D242" s="8"/>
      <c r="E242" s="8"/>
      <c r="F242" s="8"/>
      <c r="G242" s="11"/>
      <c r="H242" s="11"/>
      <c r="I242" s="11"/>
      <c r="J242" s="11"/>
      <c r="K242" s="11"/>
      <c r="L242" s="11"/>
      <c r="M242" s="11"/>
      <c r="N242" s="11"/>
      <c r="O242" s="11"/>
      <c r="P242" s="12" t="str">
        <f t="shared" si="9"/>
        <v/>
      </c>
      <c r="Q242" s="12" t="str">
        <f t="shared" si="10"/>
        <v/>
      </c>
      <c r="R242" s="12" t="str">
        <f t="shared" si="11"/>
        <v/>
      </c>
      <c r="S242" s="8"/>
      <c r="T242" s="10"/>
      <c r="U242" s="8"/>
    </row>
    <row r="243" spans="1:21">
      <c r="A243" s="8"/>
      <c r="B243" s="10"/>
      <c r="C243" s="8"/>
      <c r="D243" s="8"/>
      <c r="E243" s="8"/>
      <c r="F243" s="8"/>
      <c r="G243" s="11"/>
      <c r="H243" s="11"/>
      <c r="I243" s="11"/>
      <c r="J243" s="11"/>
      <c r="K243" s="11"/>
      <c r="L243" s="11"/>
      <c r="M243" s="11"/>
      <c r="N243" s="11"/>
      <c r="O243" s="11"/>
      <c r="P243" s="12" t="str">
        <f t="shared" si="9"/>
        <v/>
      </c>
      <c r="Q243" s="12" t="str">
        <f t="shared" si="10"/>
        <v/>
      </c>
      <c r="R243" s="12" t="str">
        <f t="shared" si="11"/>
        <v/>
      </c>
      <c r="S243" s="8"/>
      <c r="T243" s="10"/>
      <c r="U243" s="8"/>
    </row>
    <row r="244" spans="1:21">
      <c r="A244" s="8"/>
      <c r="B244" s="10"/>
      <c r="C244" s="8"/>
      <c r="D244" s="8"/>
      <c r="E244" s="8"/>
      <c r="F244" s="8"/>
      <c r="G244" s="11"/>
      <c r="H244" s="11"/>
      <c r="I244" s="11"/>
      <c r="J244" s="11"/>
      <c r="K244" s="11"/>
      <c r="L244" s="11"/>
      <c r="M244" s="11"/>
      <c r="N244" s="11"/>
      <c r="O244" s="11"/>
      <c r="P244" s="12" t="str">
        <f t="shared" si="9"/>
        <v/>
      </c>
      <c r="Q244" s="12" t="str">
        <f t="shared" si="10"/>
        <v/>
      </c>
      <c r="R244" s="12" t="str">
        <f t="shared" si="11"/>
        <v/>
      </c>
      <c r="S244" s="8"/>
      <c r="T244" s="10"/>
      <c r="U244" s="8"/>
    </row>
    <row r="245" spans="1:21">
      <c r="A245" s="8"/>
      <c r="B245" s="10"/>
      <c r="C245" s="8"/>
      <c r="D245" s="8"/>
      <c r="E245" s="8"/>
      <c r="F245" s="8"/>
      <c r="G245" s="11"/>
      <c r="H245" s="11"/>
      <c r="I245" s="11"/>
      <c r="J245" s="11"/>
      <c r="K245" s="11"/>
      <c r="L245" s="11"/>
      <c r="M245" s="11"/>
      <c r="N245" s="11"/>
      <c r="O245" s="11"/>
      <c r="P245" s="12" t="str">
        <f t="shared" si="9"/>
        <v/>
      </c>
      <c r="Q245" s="12" t="str">
        <f t="shared" si="10"/>
        <v/>
      </c>
      <c r="R245" s="12" t="str">
        <f t="shared" si="11"/>
        <v/>
      </c>
      <c r="S245" s="8"/>
      <c r="T245" s="10"/>
      <c r="U245" s="8"/>
    </row>
    <row r="246" spans="1:21">
      <c r="A246" s="8"/>
      <c r="B246" s="10"/>
      <c r="C246" s="8"/>
      <c r="D246" s="8"/>
      <c r="E246" s="8"/>
      <c r="F246" s="8"/>
      <c r="G246" s="11"/>
      <c r="H246" s="11"/>
      <c r="I246" s="11"/>
      <c r="J246" s="11"/>
      <c r="K246" s="11"/>
      <c r="L246" s="11"/>
      <c r="M246" s="11"/>
      <c r="N246" s="11"/>
      <c r="O246" s="11"/>
      <c r="P246" s="12" t="str">
        <f t="shared" si="9"/>
        <v/>
      </c>
      <c r="Q246" s="12" t="str">
        <f t="shared" si="10"/>
        <v/>
      </c>
      <c r="R246" s="12" t="str">
        <f t="shared" si="11"/>
        <v/>
      </c>
      <c r="S246" s="8"/>
      <c r="T246" s="10"/>
      <c r="U246" s="8"/>
    </row>
    <row r="247" spans="1:21">
      <c r="A247" s="8"/>
      <c r="B247" s="10"/>
      <c r="C247" s="8"/>
      <c r="D247" s="8"/>
      <c r="E247" s="8"/>
      <c r="F247" s="8"/>
      <c r="G247" s="11"/>
      <c r="H247" s="11"/>
      <c r="I247" s="11"/>
      <c r="J247" s="11"/>
      <c r="K247" s="11"/>
      <c r="L247" s="11"/>
      <c r="M247" s="11"/>
      <c r="N247" s="11"/>
      <c r="O247" s="11"/>
      <c r="P247" s="12" t="str">
        <f t="shared" si="9"/>
        <v/>
      </c>
      <c r="Q247" s="12" t="str">
        <f t="shared" si="10"/>
        <v/>
      </c>
      <c r="R247" s="12" t="str">
        <f t="shared" si="11"/>
        <v/>
      </c>
      <c r="S247" s="8"/>
      <c r="T247" s="10"/>
      <c r="U247" s="8"/>
    </row>
    <row r="248" spans="1:21">
      <c r="A248" s="8"/>
      <c r="B248" s="10"/>
      <c r="C248" s="8"/>
      <c r="D248" s="8"/>
      <c r="E248" s="8"/>
      <c r="F248" s="8"/>
      <c r="G248" s="11"/>
      <c r="H248" s="11"/>
      <c r="I248" s="11"/>
      <c r="J248" s="11"/>
      <c r="K248" s="11"/>
      <c r="L248" s="11"/>
      <c r="M248" s="11"/>
      <c r="N248" s="11"/>
      <c r="O248" s="11"/>
      <c r="P248" s="12" t="str">
        <f t="shared" si="9"/>
        <v/>
      </c>
      <c r="Q248" s="12" t="str">
        <f t="shared" si="10"/>
        <v/>
      </c>
      <c r="R248" s="12" t="str">
        <f t="shared" si="11"/>
        <v/>
      </c>
      <c r="S248" s="8"/>
      <c r="T248" s="10"/>
      <c r="U248" s="8"/>
    </row>
    <row r="249" spans="1:21">
      <c r="A249" s="8"/>
      <c r="B249" s="10"/>
      <c r="C249" s="8"/>
      <c r="D249" s="8"/>
      <c r="E249" s="8"/>
      <c r="F249" s="8"/>
      <c r="G249" s="11"/>
      <c r="H249" s="11"/>
      <c r="I249" s="11"/>
      <c r="J249" s="11"/>
      <c r="K249" s="11"/>
      <c r="L249" s="11"/>
      <c r="M249" s="11"/>
      <c r="N249" s="11"/>
      <c r="O249" s="11"/>
      <c r="P249" s="12" t="str">
        <f t="shared" si="9"/>
        <v/>
      </c>
      <c r="Q249" s="12" t="str">
        <f t="shared" si="10"/>
        <v/>
      </c>
      <c r="R249" s="12" t="str">
        <f t="shared" si="11"/>
        <v/>
      </c>
      <c r="S249" s="8"/>
      <c r="T249" s="10"/>
      <c r="U249" s="8"/>
    </row>
    <row r="250" spans="1:21">
      <c r="A250" s="8"/>
      <c r="B250" s="10"/>
      <c r="C250" s="8"/>
      <c r="D250" s="8"/>
      <c r="E250" s="8"/>
      <c r="F250" s="8"/>
      <c r="G250" s="11"/>
      <c r="H250" s="11"/>
      <c r="I250" s="11"/>
      <c r="J250" s="11"/>
      <c r="K250" s="11"/>
      <c r="L250" s="11"/>
      <c r="M250" s="11"/>
      <c r="N250" s="11"/>
      <c r="O250" s="11"/>
      <c r="P250" s="12" t="str">
        <f t="shared" si="9"/>
        <v/>
      </c>
      <c r="Q250" s="12" t="str">
        <f t="shared" si="10"/>
        <v/>
      </c>
      <c r="R250" s="12" t="str">
        <f t="shared" si="11"/>
        <v/>
      </c>
      <c r="S250" s="8"/>
      <c r="T250" s="10"/>
      <c r="U250" s="8"/>
    </row>
    <row r="251" spans="1:21">
      <c r="A251" s="8"/>
      <c r="B251" s="10"/>
      <c r="C251" s="8"/>
      <c r="D251" s="8"/>
      <c r="E251" s="8"/>
      <c r="F251" s="8"/>
      <c r="G251" s="11"/>
      <c r="H251" s="11"/>
      <c r="I251" s="11"/>
      <c r="J251" s="11"/>
      <c r="K251" s="11"/>
      <c r="L251" s="11"/>
      <c r="M251" s="11"/>
      <c r="N251" s="11"/>
      <c r="O251" s="11"/>
      <c r="P251" s="12" t="str">
        <f t="shared" si="9"/>
        <v/>
      </c>
      <c r="Q251" s="12" t="str">
        <f t="shared" si="10"/>
        <v/>
      </c>
      <c r="R251" s="12" t="str">
        <f t="shared" si="11"/>
        <v/>
      </c>
      <c r="S251" s="8"/>
      <c r="T251" s="10"/>
      <c r="U251" s="8"/>
    </row>
    <row r="252" spans="1:21">
      <c r="A252" s="8"/>
      <c r="B252" s="10"/>
      <c r="C252" s="8"/>
      <c r="D252" s="8"/>
      <c r="E252" s="8"/>
      <c r="F252" s="8"/>
      <c r="G252" s="11"/>
      <c r="H252" s="11"/>
      <c r="I252" s="11"/>
      <c r="J252" s="11"/>
      <c r="K252" s="11"/>
      <c r="L252" s="11"/>
      <c r="M252" s="11"/>
      <c r="N252" s="11"/>
      <c r="O252" s="11"/>
      <c r="P252" s="12" t="str">
        <f t="shared" si="9"/>
        <v/>
      </c>
      <c r="Q252" s="12" t="str">
        <f t="shared" si="10"/>
        <v/>
      </c>
      <c r="R252" s="12" t="str">
        <f t="shared" si="11"/>
        <v/>
      </c>
      <c r="S252" s="8"/>
      <c r="T252" s="10"/>
      <c r="U252" s="8"/>
    </row>
    <row r="253" spans="1:21">
      <c r="A253" s="8"/>
      <c r="B253" s="10"/>
      <c r="C253" s="8"/>
      <c r="D253" s="8"/>
      <c r="E253" s="8"/>
      <c r="F253" s="8"/>
      <c r="G253" s="11"/>
      <c r="H253" s="11"/>
      <c r="I253" s="11"/>
      <c r="J253" s="11"/>
      <c r="K253" s="11"/>
      <c r="L253" s="11"/>
      <c r="M253" s="11"/>
      <c r="N253" s="11"/>
      <c r="O253" s="11"/>
      <c r="P253" s="12" t="str">
        <f t="shared" si="9"/>
        <v/>
      </c>
      <c r="Q253" s="12" t="str">
        <f t="shared" si="10"/>
        <v/>
      </c>
      <c r="R253" s="12" t="str">
        <f t="shared" si="11"/>
        <v/>
      </c>
      <c r="S253" s="8"/>
      <c r="T253" s="10"/>
      <c r="U253" s="8"/>
    </row>
    <row r="254" spans="1:21">
      <c r="A254" s="8"/>
      <c r="B254" s="10"/>
      <c r="C254" s="8"/>
      <c r="D254" s="8"/>
      <c r="E254" s="8"/>
      <c r="F254" s="8"/>
      <c r="G254" s="11"/>
      <c r="H254" s="11"/>
      <c r="I254" s="11"/>
      <c r="J254" s="11"/>
      <c r="K254" s="11"/>
      <c r="L254" s="11"/>
      <c r="M254" s="11"/>
      <c r="N254" s="11"/>
      <c r="O254" s="11"/>
      <c r="P254" s="12" t="str">
        <f t="shared" si="9"/>
        <v/>
      </c>
      <c r="Q254" s="12" t="str">
        <f t="shared" si="10"/>
        <v/>
      </c>
      <c r="R254" s="12" t="str">
        <f t="shared" si="11"/>
        <v/>
      </c>
      <c r="S254" s="8"/>
      <c r="T254" s="10"/>
      <c r="U254" s="8"/>
    </row>
    <row r="255" spans="1:21">
      <c r="A255" s="8"/>
      <c r="B255" s="10"/>
      <c r="C255" s="8"/>
      <c r="D255" s="8"/>
      <c r="E255" s="8"/>
      <c r="F255" s="8"/>
      <c r="G255" s="11"/>
      <c r="H255" s="11"/>
      <c r="I255" s="11"/>
      <c r="J255" s="11"/>
      <c r="K255" s="11"/>
      <c r="L255" s="11"/>
      <c r="M255" s="11"/>
      <c r="N255" s="11"/>
      <c r="O255" s="11"/>
      <c r="P255" s="12" t="str">
        <f t="shared" si="9"/>
        <v/>
      </c>
      <c r="Q255" s="12" t="str">
        <f t="shared" si="10"/>
        <v/>
      </c>
      <c r="R255" s="12" t="str">
        <f t="shared" si="11"/>
        <v/>
      </c>
      <c r="S255" s="8"/>
      <c r="T255" s="10"/>
      <c r="U255" s="8"/>
    </row>
    <row r="256" spans="1:21">
      <c r="A256" s="8"/>
      <c r="B256" s="10"/>
      <c r="C256" s="8"/>
      <c r="D256" s="8"/>
      <c r="E256" s="8"/>
      <c r="F256" s="8"/>
      <c r="G256" s="11"/>
      <c r="H256" s="11"/>
      <c r="I256" s="11"/>
      <c r="J256" s="11"/>
      <c r="K256" s="11"/>
      <c r="L256" s="11"/>
      <c r="M256" s="11"/>
      <c r="N256" s="11"/>
      <c r="O256" s="11"/>
      <c r="P256" s="12" t="str">
        <f t="shared" si="9"/>
        <v/>
      </c>
      <c r="Q256" s="12" t="str">
        <f t="shared" si="10"/>
        <v/>
      </c>
      <c r="R256" s="12" t="str">
        <f t="shared" si="11"/>
        <v/>
      </c>
      <c r="S256" s="8"/>
      <c r="T256" s="10"/>
      <c r="U256" s="8"/>
    </row>
    <row r="257" spans="1:21">
      <c r="A257" s="8"/>
      <c r="B257" s="10"/>
      <c r="C257" s="8"/>
      <c r="D257" s="8"/>
      <c r="E257" s="8"/>
      <c r="F257" s="8"/>
      <c r="G257" s="11"/>
      <c r="H257" s="11"/>
      <c r="I257" s="11"/>
      <c r="J257" s="11"/>
      <c r="K257" s="11"/>
      <c r="L257" s="11"/>
      <c r="M257" s="11"/>
      <c r="N257" s="11"/>
      <c r="O257" s="11"/>
      <c r="P257" s="12" t="str">
        <f t="shared" si="9"/>
        <v/>
      </c>
      <c r="Q257" s="12" t="str">
        <f t="shared" si="10"/>
        <v/>
      </c>
      <c r="R257" s="12" t="str">
        <f t="shared" si="11"/>
        <v/>
      </c>
      <c r="S257" s="8"/>
      <c r="T257" s="10"/>
      <c r="U257" s="8"/>
    </row>
    <row r="258" spans="1:21">
      <c r="A258" s="8"/>
      <c r="B258" s="10"/>
      <c r="C258" s="8"/>
      <c r="D258" s="8"/>
      <c r="E258" s="8"/>
      <c r="F258" s="8"/>
      <c r="G258" s="11"/>
      <c r="H258" s="11"/>
      <c r="I258" s="11"/>
      <c r="J258" s="11"/>
      <c r="K258" s="11"/>
      <c r="L258" s="11"/>
      <c r="M258" s="11"/>
      <c r="N258" s="11"/>
      <c r="O258" s="11"/>
      <c r="P258" s="12" t="str">
        <f t="shared" si="9"/>
        <v/>
      </c>
      <c r="Q258" s="12" t="str">
        <f t="shared" si="10"/>
        <v/>
      </c>
      <c r="R258" s="12" t="str">
        <f t="shared" si="11"/>
        <v/>
      </c>
      <c r="S258" s="8"/>
      <c r="T258" s="10"/>
      <c r="U258" s="8"/>
    </row>
    <row r="259" spans="1:21">
      <c r="A259" s="8"/>
      <c r="B259" s="10"/>
      <c r="C259" s="8"/>
      <c r="D259" s="8"/>
      <c r="E259" s="8"/>
      <c r="F259" s="8"/>
      <c r="G259" s="11"/>
      <c r="H259" s="11"/>
      <c r="I259" s="11"/>
      <c r="J259" s="11"/>
      <c r="K259" s="11"/>
      <c r="L259" s="11"/>
      <c r="M259" s="11"/>
      <c r="N259" s="11"/>
      <c r="O259" s="11"/>
      <c r="P259" s="12" t="str">
        <f t="shared" si="9"/>
        <v/>
      </c>
      <c r="Q259" s="12" t="str">
        <f t="shared" si="10"/>
        <v/>
      </c>
      <c r="R259" s="12" t="str">
        <f t="shared" si="11"/>
        <v/>
      </c>
      <c r="S259" s="8"/>
      <c r="T259" s="10"/>
      <c r="U259" s="8"/>
    </row>
    <row r="260" spans="1:21">
      <c r="A260" s="8"/>
      <c r="B260" s="10"/>
      <c r="C260" s="8"/>
      <c r="D260" s="8"/>
      <c r="E260" s="8"/>
      <c r="F260" s="8"/>
      <c r="G260" s="11"/>
      <c r="H260" s="11"/>
      <c r="I260" s="11"/>
      <c r="J260" s="11"/>
      <c r="K260" s="11"/>
      <c r="L260" s="11"/>
      <c r="M260" s="11"/>
      <c r="N260" s="11"/>
      <c r="O260" s="11"/>
      <c r="P260" s="12" t="str">
        <f t="shared" si="9"/>
        <v/>
      </c>
      <c r="Q260" s="12" t="str">
        <f t="shared" si="10"/>
        <v/>
      </c>
      <c r="R260" s="12" t="str">
        <f t="shared" si="11"/>
        <v/>
      </c>
      <c r="S260" s="8"/>
      <c r="T260" s="10"/>
      <c r="U260" s="8"/>
    </row>
    <row r="261" spans="1:21">
      <c r="A261" s="8"/>
      <c r="B261" s="10"/>
      <c r="C261" s="8"/>
      <c r="D261" s="8"/>
      <c r="E261" s="8"/>
      <c r="F261" s="8"/>
      <c r="G261" s="11"/>
      <c r="H261" s="11"/>
      <c r="I261" s="11"/>
      <c r="J261" s="11"/>
      <c r="K261" s="11"/>
      <c r="L261" s="11"/>
      <c r="M261" s="11"/>
      <c r="N261" s="11"/>
      <c r="O261" s="11"/>
      <c r="P261" s="12" t="str">
        <f t="shared" ref="P261:P304" si="12">IF(A261="","",K261-G261)</f>
        <v/>
      </c>
      <c r="Q261" s="12" t="str">
        <f t="shared" ref="Q261:Q304" si="13">IF(A261="","",MAX(0,G261-K261))</f>
        <v/>
      </c>
      <c r="R261" s="12" t="str">
        <f t="shared" ref="R261:R304" si="14">IF(A261="","",MAX(0,K261-G261))</f>
        <v/>
      </c>
      <c r="S261" s="8"/>
      <c r="T261" s="10"/>
      <c r="U261" s="8"/>
    </row>
    <row r="262" spans="1:21">
      <c r="A262" s="8"/>
      <c r="B262" s="10"/>
      <c r="C262" s="8"/>
      <c r="D262" s="8"/>
      <c r="E262" s="8"/>
      <c r="F262" s="8"/>
      <c r="G262" s="11"/>
      <c r="H262" s="11"/>
      <c r="I262" s="11"/>
      <c r="J262" s="11"/>
      <c r="K262" s="11"/>
      <c r="L262" s="11"/>
      <c r="M262" s="11"/>
      <c r="N262" s="11"/>
      <c r="O262" s="11"/>
      <c r="P262" s="12" t="str">
        <f t="shared" si="12"/>
        <v/>
      </c>
      <c r="Q262" s="12" t="str">
        <f t="shared" si="13"/>
        <v/>
      </c>
      <c r="R262" s="12" t="str">
        <f t="shared" si="14"/>
        <v/>
      </c>
      <c r="S262" s="8"/>
      <c r="T262" s="10"/>
      <c r="U262" s="8"/>
    </row>
    <row r="263" spans="1:21">
      <c r="A263" s="8"/>
      <c r="B263" s="10"/>
      <c r="C263" s="8"/>
      <c r="D263" s="8"/>
      <c r="E263" s="8"/>
      <c r="F263" s="8"/>
      <c r="G263" s="11"/>
      <c r="H263" s="11"/>
      <c r="I263" s="11"/>
      <c r="J263" s="11"/>
      <c r="K263" s="11"/>
      <c r="L263" s="11"/>
      <c r="M263" s="11"/>
      <c r="N263" s="11"/>
      <c r="O263" s="11"/>
      <c r="P263" s="12" t="str">
        <f t="shared" si="12"/>
        <v/>
      </c>
      <c r="Q263" s="12" t="str">
        <f t="shared" si="13"/>
        <v/>
      </c>
      <c r="R263" s="12" t="str">
        <f t="shared" si="14"/>
        <v/>
      </c>
      <c r="S263" s="8"/>
      <c r="T263" s="10"/>
      <c r="U263" s="8"/>
    </row>
    <row r="264" spans="1:21">
      <c r="A264" s="8"/>
      <c r="B264" s="10"/>
      <c r="C264" s="8"/>
      <c r="D264" s="8"/>
      <c r="E264" s="8"/>
      <c r="F264" s="8"/>
      <c r="G264" s="11"/>
      <c r="H264" s="11"/>
      <c r="I264" s="11"/>
      <c r="J264" s="11"/>
      <c r="K264" s="11"/>
      <c r="L264" s="11"/>
      <c r="M264" s="11"/>
      <c r="N264" s="11"/>
      <c r="O264" s="11"/>
      <c r="P264" s="12" t="str">
        <f t="shared" si="12"/>
        <v/>
      </c>
      <c r="Q264" s="12" t="str">
        <f t="shared" si="13"/>
        <v/>
      </c>
      <c r="R264" s="12" t="str">
        <f t="shared" si="14"/>
        <v/>
      </c>
      <c r="S264" s="8"/>
      <c r="T264" s="10"/>
      <c r="U264" s="8"/>
    </row>
    <row r="265" spans="1:21">
      <c r="A265" s="8"/>
      <c r="B265" s="10"/>
      <c r="C265" s="8"/>
      <c r="D265" s="8"/>
      <c r="E265" s="8"/>
      <c r="F265" s="8"/>
      <c r="G265" s="11"/>
      <c r="H265" s="11"/>
      <c r="I265" s="11"/>
      <c r="J265" s="11"/>
      <c r="K265" s="11"/>
      <c r="L265" s="11"/>
      <c r="M265" s="11"/>
      <c r="N265" s="11"/>
      <c r="O265" s="11"/>
      <c r="P265" s="12" t="str">
        <f t="shared" si="12"/>
        <v/>
      </c>
      <c r="Q265" s="12" t="str">
        <f t="shared" si="13"/>
        <v/>
      </c>
      <c r="R265" s="12" t="str">
        <f t="shared" si="14"/>
        <v/>
      </c>
      <c r="S265" s="8"/>
      <c r="T265" s="10"/>
      <c r="U265" s="8"/>
    </row>
    <row r="266" spans="1:21">
      <c r="A266" s="8"/>
      <c r="B266" s="10"/>
      <c r="C266" s="8"/>
      <c r="D266" s="8"/>
      <c r="E266" s="8"/>
      <c r="F266" s="8"/>
      <c r="G266" s="11"/>
      <c r="H266" s="11"/>
      <c r="I266" s="11"/>
      <c r="J266" s="11"/>
      <c r="K266" s="11"/>
      <c r="L266" s="11"/>
      <c r="M266" s="11"/>
      <c r="N266" s="11"/>
      <c r="O266" s="11"/>
      <c r="P266" s="12" t="str">
        <f t="shared" si="12"/>
        <v/>
      </c>
      <c r="Q266" s="12" t="str">
        <f t="shared" si="13"/>
        <v/>
      </c>
      <c r="R266" s="12" t="str">
        <f t="shared" si="14"/>
        <v/>
      </c>
      <c r="S266" s="8"/>
      <c r="T266" s="10"/>
      <c r="U266" s="8"/>
    </row>
    <row r="267" spans="1:21">
      <c r="A267" s="8"/>
      <c r="B267" s="10"/>
      <c r="C267" s="8"/>
      <c r="D267" s="8"/>
      <c r="E267" s="8"/>
      <c r="F267" s="8"/>
      <c r="G267" s="11"/>
      <c r="H267" s="11"/>
      <c r="I267" s="11"/>
      <c r="J267" s="11"/>
      <c r="K267" s="11"/>
      <c r="L267" s="11"/>
      <c r="M267" s="11"/>
      <c r="N267" s="11"/>
      <c r="O267" s="11"/>
      <c r="P267" s="12" t="str">
        <f t="shared" si="12"/>
        <v/>
      </c>
      <c r="Q267" s="12" t="str">
        <f t="shared" si="13"/>
        <v/>
      </c>
      <c r="R267" s="12" t="str">
        <f t="shared" si="14"/>
        <v/>
      </c>
      <c r="S267" s="8"/>
      <c r="T267" s="10"/>
      <c r="U267" s="8"/>
    </row>
    <row r="268" spans="1:21">
      <c r="A268" s="8"/>
      <c r="B268" s="10"/>
      <c r="C268" s="8"/>
      <c r="D268" s="8"/>
      <c r="E268" s="8"/>
      <c r="F268" s="8"/>
      <c r="G268" s="11"/>
      <c r="H268" s="11"/>
      <c r="I268" s="11"/>
      <c r="J268" s="11"/>
      <c r="K268" s="11"/>
      <c r="L268" s="11"/>
      <c r="M268" s="11"/>
      <c r="N268" s="11"/>
      <c r="O268" s="11"/>
      <c r="P268" s="12" t="str">
        <f t="shared" si="12"/>
        <v/>
      </c>
      <c r="Q268" s="12" t="str">
        <f t="shared" si="13"/>
        <v/>
      </c>
      <c r="R268" s="12" t="str">
        <f t="shared" si="14"/>
        <v/>
      </c>
      <c r="S268" s="8"/>
      <c r="T268" s="10"/>
      <c r="U268" s="8"/>
    </row>
    <row r="269" spans="1:21">
      <c r="A269" s="8"/>
      <c r="B269" s="10"/>
      <c r="C269" s="8"/>
      <c r="D269" s="8"/>
      <c r="E269" s="8"/>
      <c r="F269" s="8"/>
      <c r="G269" s="11"/>
      <c r="H269" s="11"/>
      <c r="I269" s="11"/>
      <c r="J269" s="11"/>
      <c r="K269" s="11"/>
      <c r="L269" s="11"/>
      <c r="M269" s="11"/>
      <c r="N269" s="11"/>
      <c r="O269" s="11"/>
      <c r="P269" s="12" t="str">
        <f t="shared" si="12"/>
        <v/>
      </c>
      <c r="Q269" s="12" t="str">
        <f t="shared" si="13"/>
        <v/>
      </c>
      <c r="R269" s="12" t="str">
        <f t="shared" si="14"/>
        <v/>
      </c>
      <c r="S269" s="8"/>
      <c r="T269" s="10"/>
      <c r="U269" s="8"/>
    </row>
    <row r="270" spans="1:21">
      <c r="A270" s="8"/>
      <c r="B270" s="10"/>
      <c r="C270" s="8"/>
      <c r="D270" s="8"/>
      <c r="E270" s="8"/>
      <c r="F270" s="8"/>
      <c r="G270" s="11"/>
      <c r="H270" s="11"/>
      <c r="I270" s="11"/>
      <c r="J270" s="11"/>
      <c r="K270" s="11"/>
      <c r="L270" s="11"/>
      <c r="M270" s="11"/>
      <c r="N270" s="11"/>
      <c r="O270" s="11"/>
      <c r="P270" s="12" t="str">
        <f t="shared" si="12"/>
        <v/>
      </c>
      <c r="Q270" s="12" t="str">
        <f t="shared" si="13"/>
        <v/>
      </c>
      <c r="R270" s="12" t="str">
        <f t="shared" si="14"/>
        <v/>
      </c>
      <c r="S270" s="8"/>
      <c r="T270" s="10"/>
      <c r="U270" s="8"/>
    </row>
    <row r="271" spans="1:21">
      <c r="A271" s="8"/>
      <c r="B271" s="10"/>
      <c r="C271" s="8"/>
      <c r="D271" s="8"/>
      <c r="E271" s="8"/>
      <c r="F271" s="8"/>
      <c r="G271" s="11"/>
      <c r="H271" s="11"/>
      <c r="I271" s="11"/>
      <c r="J271" s="11"/>
      <c r="K271" s="11"/>
      <c r="L271" s="11"/>
      <c r="M271" s="11"/>
      <c r="N271" s="11"/>
      <c r="O271" s="11"/>
      <c r="P271" s="12" t="str">
        <f t="shared" si="12"/>
        <v/>
      </c>
      <c r="Q271" s="12" t="str">
        <f t="shared" si="13"/>
        <v/>
      </c>
      <c r="R271" s="12" t="str">
        <f t="shared" si="14"/>
        <v/>
      </c>
      <c r="S271" s="8"/>
      <c r="T271" s="10"/>
      <c r="U271" s="8"/>
    </row>
    <row r="272" spans="1:21">
      <c r="A272" s="8"/>
      <c r="B272" s="10"/>
      <c r="C272" s="8"/>
      <c r="D272" s="8"/>
      <c r="E272" s="8"/>
      <c r="F272" s="8"/>
      <c r="G272" s="11"/>
      <c r="H272" s="11"/>
      <c r="I272" s="11"/>
      <c r="J272" s="11"/>
      <c r="K272" s="11"/>
      <c r="L272" s="11"/>
      <c r="M272" s="11"/>
      <c r="N272" s="11"/>
      <c r="O272" s="11"/>
      <c r="P272" s="12" t="str">
        <f t="shared" si="12"/>
        <v/>
      </c>
      <c r="Q272" s="12" t="str">
        <f t="shared" si="13"/>
        <v/>
      </c>
      <c r="R272" s="12" t="str">
        <f t="shared" si="14"/>
        <v/>
      </c>
      <c r="S272" s="8"/>
      <c r="T272" s="10"/>
      <c r="U272" s="8"/>
    </row>
    <row r="273" spans="1:21">
      <c r="A273" s="8"/>
      <c r="B273" s="10"/>
      <c r="C273" s="8"/>
      <c r="D273" s="8"/>
      <c r="E273" s="8"/>
      <c r="F273" s="8"/>
      <c r="G273" s="11"/>
      <c r="H273" s="11"/>
      <c r="I273" s="11"/>
      <c r="J273" s="11"/>
      <c r="K273" s="11"/>
      <c r="L273" s="11"/>
      <c r="M273" s="11"/>
      <c r="N273" s="11"/>
      <c r="O273" s="11"/>
      <c r="P273" s="12" t="str">
        <f t="shared" si="12"/>
        <v/>
      </c>
      <c r="Q273" s="12" t="str">
        <f t="shared" si="13"/>
        <v/>
      </c>
      <c r="R273" s="12" t="str">
        <f t="shared" si="14"/>
        <v/>
      </c>
      <c r="S273" s="8"/>
      <c r="T273" s="10"/>
      <c r="U273" s="8"/>
    </row>
    <row r="274" spans="1:21">
      <c r="A274" s="8"/>
      <c r="B274" s="10"/>
      <c r="C274" s="8"/>
      <c r="D274" s="8"/>
      <c r="E274" s="8"/>
      <c r="F274" s="8"/>
      <c r="G274" s="11"/>
      <c r="H274" s="11"/>
      <c r="I274" s="11"/>
      <c r="J274" s="11"/>
      <c r="K274" s="11"/>
      <c r="L274" s="11"/>
      <c r="M274" s="11"/>
      <c r="N274" s="11"/>
      <c r="O274" s="11"/>
      <c r="P274" s="12" t="str">
        <f t="shared" si="12"/>
        <v/>
      </c>
      <c r="Q274" s="12" t="str">
        <f t="shared" si="13"/>
        <v/>
      </c>
      <c r="R274" s="12" t="str">
        <f t="shared" si="14"/>
        <v/>
      </c>
      <c r="S274" s="8"/>
      <c r="T274" s="10"/>
      <c r="U274" s="8"/>
    </row>
    <row r="275" spans="1:21">
      <c r="A275" s="8"/>
      <c r="B275" s="10"/>
      <c r="C275" s="8"/>
      <c r="D275" s="8"/>
      <c r="E275" s="8"/>
      <c r="F275" s="8"/>
      <c r="G275" s="11"/>
      <c r="H275" s="11"/>
      <c r="I275" s="11"/>
      <c r="J275" s="11"/>
      <c r="K275" s="11"/>
      <c r="L275" s="11"/>
      <c r="M275" s="11"/>
      <c r="N275" s="11"/>
      <c r="O275" s="11"/>
      <c r="P275" s="12" t="str">
        <f t="shared" si="12"/>
        <v/>
      </c>
      <c r="Q275" s="12" t="str">
        <f t="shared" si="13"/>
        <v/>
      </c>
      <c r="R275" s="12" t="str">
        <f t="shared" si="14"/>
        <v/>
      </c>
      <c r="S275" s="8"/>
      <c r="T275" s="10"/>
      <c r="U275" s="8"/>
    </row>
    <row r="276" spans="1:21">
      <c r="A276" s="8"/>
      <c r="B276" s="10"/>
      <c r="C276" s="8"/>
      <c r="D276" s="8"/>
      <c r="E276" s="8"/>
      <c r="F276" s="8"/>
      <c r="G276" s="11"/>
      <c r="H276" s="11"/>
      <c r="I276" s="11"/>
      <c r="J276" s="11"/>
      <c r="K276" s="11"/>
      <c r="L276" s="11"/>
      <c r="M276" s="11"/>
      <c r="N276" s="11"/>
      <c r="O276" s="11"/>
      <c r="P276" s="12" t="str">
        <f t="shared" si="12"/>
        <v/>
      </c>
      <c r="Q276" s="12" t="str">
        <f t="shared" si="13"/>
        <v/>
      </c>
      <c r="R276" s="12" t="str">
        <f t="shared" si="14"/>
        <v/>
      </c>
      <c r="S276" s="8"/>
      <c r="T276" s="10"/>
      <c r="U276" s="8"/>
    </row>
    <row r="277" spans="1:21">
      <c r="A277" s="8"/>
      <c r="B277" s="10"/>
      <c r="C277" s="8"/>
      <c r="D277" s="8"/>
      <c r="E277" s="8"/>
      <c r="F277" s="8"/>
      <c r="G277" s="11"/>
      <c r="H277" s="11"/>
      <c r="I277" s="11"/>
      <c r="J277" s="11"/>
      <c r="K277" s="11"/>
      <c r="L277" s="11"/>
      <c r="M277" s="11"/>
      <c r="N277" s="11"/>
      <c r="O277" s="11"/>
      <c r="P277" s="12" t="str">
        <f t="shared" si="12"/>
        <v/>
      </c>
      <c r="Q277" s="12" t="str">
        <f t="shared" si="13"/>
        <v/>
      </c>
      <c r="R277" s="12" t="str">
        <f t="shared" si="14"/>
        <v/>
      </c>
      <c r="S277" s="8"/>
      <c r="T277" s="10"/>
      <c r="U277" s="8"/>
    </row>
    <row r="278" spans="1:21">
      <c r="A278" s="8"/>
      <c r="B278" s="10"/>
      <c r="C278" s="8"/>
      <c r="D278" s="8"/>
      <c r="E278" s="8"/>
      <c r="F278" s="8"/>
      <c r="G278" s="11"/>
      <c r="H278" s="11"/>
      <c r="I278" s="11"/>
      <c r="J278" s="11"/>
      <c r="K278" s="11"/>
      <c r="L278" s="11"/>
      <c r="M278" s="11"/>
      <c r="N278" s="11"/>
      <c r="O278" s="11"/>
      <c r="P278" s="12" t="str">
        <f t="shared" si="12"/>
        <v/>
      </c>
      <c r="Q278" s="12" t="str">
        <f t="shared" si="13"/>
        <v/>
      </c>
      <c r="R278" s="12" t="str">
        <f t="shared" si="14"/>
        <v/>
      </c>
      <c r="S278" s="8"/>
      <c r="T278" s="10"/>
      <c r="U278" s="8"/>
    </row>
    <row r="279" spans="1:21">
      <c r="A279" s="8"/>
      <c r="B279" s="10"/>
      <c r="C279" s="8"/>
      <c r="D279" s="8"/>
      <c r="E279" s="8"/>
      <c r="F279" s="8"/>
      <c r="G279" s="11"/>
      <c r="H279" s="11"/>
      <c r="I279" s="11"/>
      <c r="J279" s="11"/>
      <c r="K279" s="11"/>
      <c r="L279" s="11"/>
      <c r="M279" s="11"/>
      <c r="N279" s="11"/>
      <c r="O279" s="11"/>
      <c r="P279" s="12" t="str">
        <f t="shared" si="12"/>
        <v/>
      </c>
      <c r="Q279" s="12" t="str">
        <f t="shared" si="13"/>
        <v/>
      </c>
      <c r="R279" s="12" t="str">
        <f t="shared" si="14"/>
        <v/>
      </c>
      <c r="S279" s="8"/>
      <c r="T279" s="10"/>
      <c r="U279" s="8"/>
    </row>
    <row r="280" spans="1:21">
      <c r="A280" s="8"/>
      <c r="B280" s="10"/>
      <c r="C280" s="8"/>
      <c r="D280" s="8"/>
      <c r="E280" s="8"/>
      <c r="F280" s="8"/>
      <c r="G280" s="11"/>
      <c r="H280" s="11"/>
      <c r="I280" s="11"/>
      <c r="J280" s="11"/>
      <c r="K280" s="11"/>
      <c r="L280" s="11"/>
      <c r="M280" s="11"/>
      <c r="N280" s="11"/>
      <c r="O280" s="11"/>
      <c r="P280" s="12" t="str">
        <f t="shared" si="12"/>
        <v/>
      </c>
      <c r="Q280" s="12" t="str">
        <f t="shared" si="13"/>
        <v/>
      </c>
      <c r="R280" s="12" t="str">
        <f t="shared" si="14"/>
        <v/>
      </c>
      <c r="S280" s="8"/>
      <c r="T280" s="10"/>
      <c r="U280" s="8"/>
    </row>
    <row r="281" spans="1:21">
      <c r="A281" s="8"/>
      <c r="B281" s="10"/>
      <c r="C281" s="8"/>
      <c r="D281" s="8"/>
      <c r="E281" s="8"/>
      <c r="F281" s="8"/>
      <c r="G281" s="11"/>
      <c r="H281" s="11"/>
      <c r="I281" s="11"/>
      <c r="J281" s="11"/>
      <c r="K281" s="11"/>
      <c r="L281" s="11"/>
      <c r="M281" s="11"/>
      <c r="N281" s="11"/>
      <c r="O281" s="11"/>
      <c r="P281" s="12" t="str">
        <f t="shared" si="12"/>
        <v/>
      </c>
      <c r="Q281" s="12" t="str">
        <f t="shared" si="13"/>
        <v/>
      </c>
      <c r="R281" s="12" t="str">
        <f t="shared" si="14"/>
        <v/>
      </c>
      <c r="S281" s="8"/>
      <c r="T281" s="10"/>
      <c r="U281" s="8"/>
    </row>
    <row r="282" spans="1:21">
      <c r="A282" s="8"/>
      <c r="B282" s="10"/>
      <c r="C282" s="8"/>
      <c r="D282" s="8"/>
      <c r="E282" s="8"/>
      <c r="F282" s="8"/>
      <c r="G282" s="11"/>
      <c r="H282" s="11"/>
      <c r="I282" s="11"/>
      <c r="J282" s="11"/>
      <c r="K282" s="11"/>
      <c r="L282" s="11"/>
      <c r="M282" s="11"/>
      <c r="N282" s="11"/>
      <c r="O282" s="11"/>
      <c r="P282" s="12" t="str">
        <f t="shared" si="12"/>
        <v/>
      </c>
      <c r="Q282" s="12" t="str">
        <f t="shared" si="13"/>
        <v/>
      </c>
      <c r="R282" s="12" t="str">
        <f t="shared" si="14"/>
        <v/>
      </c>
      <c r="S282" s="8"/>
      <c r="T282" s="10"/>
      <c r="U282" s="8"/>
    </row>
    <row r="283" spans="1:21">
      <c r="A283" s="8"/>
      <c r="B283" s="10"/>
      <c r="C283" s="8"/>
      <c r="D283" s="8"/>
      <c r="E283" s="8"/>
      <c r="F283" s="8"/>
      <c r="G283" s="11"/>
      <c r="H283" s="11"/>
      <c r="I283" s="11"/>
      <c r="J283" s="11"/>
      <c r="K283" s="11"/>
      <c r="L283" s="11"/>
      <c r="M283" s="11"/>
      <c r="N283" s="11"/>
      <c r="O283" s="11"/>
      <c r="P283" s="12" t="str">
        <f t="shared" si="12"/>
        <v/>
      </c>
      <c r="Q283" s="12" t="str">
        <f t="shared" si="13"/>
        <v/>
      </c>
      <c r="R283" s="12" t="str">
        <f t="shared" si="14"/>
        <v/>
      </c>
      <c r="S283" s="8"/>
      <c r="T283" s="10"/>
      <c r="U283" s="8"/>
    </row>
    <row r="284" spans="1:21">
      <c r="A284" s="8"/>
      <c r="B284" s="10"/>
      <c r="C284" s="8"/>
      <c r="D284" s="8"/>
      <c r="E284" s="8"/>
      <c r="F284" s="8"/>
      <c r="G284" s="11"/>
      <c r="H284" s="11"/>
      <c r="I284" s="11"/>
      <c r="J284" s="11"/>
      <c r="K284" s="11"/>
      <c r="L284" s="11"/>
      <c r="M284" s="11"/>
      <c r="N284" s="11"/>
      <c r="O284" s="11"/>
      <c r="P284" s="12" t="str">
        <f t="shared" si="12"/>
        <v/>
      </c>
      <c r="Q284" s="12" t="str">
        <f t="shared" si="13"/>
        <v/>
      </c>
      <c r="R284" s="12" t="str">
        <f t="shared" si="14"/>
        <v/>
      </c>
      <c r="S284" s="8"/>
      <c r="T284" s="10"/>
      <c r="U284" s="8"/>
    </row>
    <row r="285" spans="1:21">
      <c r="A285" s="8"/>
      <c r="B285" s="10"/>
      <c r="C285" s="8"/>
      <c r="D285" s="8"/>
      <c r="E285" s="8"/>
      <c r="F285" s="8"/>
      <c r="G285" s="11"/>
      <c r="H285" s="11"/>
      <c r="I285" s="11"/>
      <c r="J285" s="11"/>
      <c r="K285" s="11"/>
      <c r="L285" s="11"/>
      <c r="M285" s="11"/>
      <c r="N285" s="11"/>
      <c r="O285" s="11"/>
      <c r="P285" s="12" t="str">
        <f t="shared" si="12"/>
        <v/>
      </c>
      <c r="Q285" s="12" t="str">
        <f t="shared" si="13"/>
        <v/>
      </c>
      <c r="R285" s="12" t="str">
        <f t="shared" si="14"/>
        <v/>
      </c>
      <c r="S285" s="8"/>
      <c r="T285" s="10"/>
      <c r="U285" s="8"/>
    </row>
    <row r="286" spans="1:21">
      <c r="A286" s="8"/>
      <c r="B286" s="10"/>
      <c r="C286" s="8"/>
      <c r="D286" s="8"/>
      <c r="E286" s="8"/>
      <c r="F286" s="8"/>
      <c r="G286" s="11"/>
      <c r="H286" s="11"/>
      <c r="I286" s="11"/>
      <c r="J286" s="11"/>
      <c r="K286" s="11"/>
      <c r="L286" s="11"/>
      <c r="M286" s="11"/>
      <c r="N286" s="11"/>
      <c r="O286" s="11"/>
      <c r="P286" s="12" t="str">
        <f t="shared" si="12"/>
        <v/>
      </c>
      <c r="Q286" s="12" t="str">
        <f t="shared" si="13"/>
        <v/>
      </c>
      <c r="R286" s="12" t="str">
        <f t="shared" si="14"/>
        <v/>
      </c>
      <c r="S286" s="8"/>
      <c r="T286" s="10"/>
      <c r="U286" s="8"/>
    </row>
    <row r="287" spans="1:21">
      <c r="A287" s="8"/>
      <c r="B287" s="10"/>
      <c r="C287" s="8"/>
      <c r="D287" s="8"/>
      <c r="E287" s="8"/>
      <c r="F287" s="8"/>
      <c r="G287" s="11"/>
      <c r="H287" s="11"/>
      <c r="I287" s="11"/>
      <c r="J287" s="11"/>
      <c r="K287" s="11"/>
      <c r="L287" s="11"/>
      <c r="M287" s="11"/>
      <c r="N287" s="11"/>
      <c r="O287" s="11"/>
      <c r="P287" s="12" t="str">
        <f t="shared" si="12"/>
        <v/>
      </c>
      <c r="Q287" s="12" t="str">
        <f t="shared" si="13"/>
        <v/>
      </c>
      <c r="R287" s="12" t="str">
        <f t="shared" si="14"/>
        <v/>
      </c>
      <c r="S287" s="8"/>
      <c r="T287" s="10"/>
      <c r="U287" s="8"/>
    </row>
    <row r="288" spans="1:21">
      <c r="A288" s="8"/>
      <c r="B288" s="10"/>
      <c r="C288" s="8"/>
      <c r="D288" s="8"/>
      <c r="E288" s="8"/>
      <c r="F288" s="8"/>
      <c r="G288" s="11"/>
      <c r="H288" s="11"/>
      <c r="I288" s="11"/>
      <c r="J288" s="11"/>
      <c r="K288" s="11"/>
      <c r="L288" s="11"/>
      <c r="M288" s="11"/>
      <c r="N288" s="11"/>
      <c r="O288" s="11"/>
      <c r="P288" s="12" t="str">
        <f t="shared" si="12"/>
        <v/>
      </c>
      <c r="Q288" s="12" t="str">
        <f t="shared" si="13"/>
        <v/>
      </c>
      <c r="R288" s="12" t="str">
        <f t="shared" si="14"/>
        <v/>
      </c>
      <c r="S288" s="8"/>
      <c r="T288" s="10"/>
      <c r="U288" s="8"/>
    </row>
    <row r="289" spans="1:21">
      <c r="A289" s="8"/>
      <c r="B289" s="10"/>
      <c r="C289" s="8"/>
      <c r="D289" s="8"/>
      <c r="E289" s="8"/>
      <c r="F289" s="8"/>
      <c r="G289" s="11"/>
      <c r="H289" s="11"/>
      <c r="I289" s="11"/>
      <c r="J289" s="11"/>
      <c r="K289" s="11"/>
      <c r="L289" s="11"/>
      <c r="M289" s="11"/>
      <c r="N289" s="11"/>
      <c r="O289" s="11"/>
      <c r="P289" s="12" t="str">
        <f t="shared" si="12"/>
        <v/>
      </c>
      <c r="Q289" s="12" t="str">
        <f t="shared" si="13"/>
        <v/>
      </c>
      <c r="R289" s="12" t="str">
        <f t="shared" si="14"/>
        <v/>
      </c>
      <c r="S289" s="8"/>
      <c r="T289" s="10"/>
      <c r="U289" s="8"/>
    </row>
    <row r="290" spans="1:21">
      <c r="A290" s="8"/>
      <c r="B290" s="10"/>
      <c r="C290" s="8"/>
      <c r="D290" s="8"/>
      <c r="E290" s="8"/>
      <c r="F290" s="8"/>
      <c r="G290" s="11"/>
      <c r="H290" s="11"/>
      <c r="I290" s="11"/>
      <c r="J290" s="11"/>
      <c r="K290" s="11"/>
      <c r="L290" s="11"/>
      <c r="M290" s="11"/>
      <c r="N290" s="11"/>
      <c r="O290" s="11"/>
      <c r="P290" s="12" t="str">
        <f t="shared" si="12"/>
        <v/>
      </c>
      <c r="Q290" s="12" t="str">
        <f t="shared" si="13"/>
        <v/>
      </c>
      <c r="R290" s="12" t="str">
        <f t="shared" si="14"/>
        <v/>
      </c>
      <c r="S290" s="8"/>
      <c r="T290" s="10"/>
      <c r="U290" s="8"/>
    </row>
    <row r="291" spans="1:21">
      <c r="A291" s="8"/>
      <c r="B291" s="10"/>
      <c r="C291" s="8"/>
      <c r="D291" s="8"/>
      <c r="E291" s="8"/>
      <c r="F291" s="8"/>
      <c r="G291" s="11"/>
      <c r="H291" s="11"/>
      <c r="I291" s="11"/>
      <c r="J291" s="11"/>
      <c r="K291" s="11"/>
      <c r="L291" s="11"/>
      <c r="M291" s="11"/>
      <c r="N291" s="11"/>
      <c r="O291" s="11"/>
      <c r="P291" s="12" t="str">
        <f t="shared" si="12"/>
        <v/>
      </c>
      <c r="Q291" s="12" t="str">
        <f t="shared" si="13"/>
        <v/>
      </c>
      <c r="R291" s="12" t="str">
        <f t="shared" si="14"/>
        <v/>
      </c>
      <c r="S291" s="8"/>
      <c r="T291" s="10"/>
      <c r="U291" s="8"/>
    </row>
    <row r="292" spans="1:21">
      <c r="A292" s="8"/>
      <c r="B292" s="10"/>
      <c r="C292" s="8"/>
      <c r="D292" s="8"/>
      <c r="E292" s="8"/>
      <c r="F292" s="8"/>
      <c r="G292" s="11"/>
      <c r="H292" s="11"/>
      <c r="I292" s="11"/>
      <c r="J292" s="11"/>
      <c r="K292" s="11"/>
      <c r="L292" s="11"/>
      <c r="M292" s="11"/>
      <c r="N292" s="11"/>
      <c r="O292" s="11"/>
      <c r="P292" s="12" t="str">
        <f t="shared" si="12"/>
        <v/>
      </c>
      <c r="Q292" s="12" t="str">
        <f t="shared" si="13"/>
        <v/>
      </c>
      <c r="R292" s="12" t="str">
        <f t="shared" si="14"/>
        <v/>
      </c>
      <c r="S292" s="8"/>
      <c r="T292" s="10"/>
      <c r="U292" s="8"/>
    </row>
    <row r="293" spans="1:21">
      <c r="A293" s="8"/>
      <c r="B293" s="10"/>
      <c r="C293" s="8"/>
      <c r="D293" s="8"/>
      <c r="E293" s="8"/>
      <c r="F293" s="8"/>
      <c r="G293" s="11"/>
      <c r="H293" s="11"/>
      <c r="I293" s="11"/>
      <c r="J293" s="11"/>
      <c r="K293" s="11"/>
      <c r="L293" s="11"/>
      <c r="M293" s="11"/>
      <c r="N293" s="11"/>
      <c r="O293" s="11"/>
      <c r="P293" s="12" t="str">
        <f t="shared" si="12"/>
        <v/>
      </c>
      <c r="Q293" s="12" t="str">
        <f t="shared" si="13"/>
        <v/>
      </c>
      <c r="R293" s="12" t="str">
        <f t="shared" si="14"/>
        <v/>
      </c>
      <c r="S293" s="8"/>
      <c r="T293" s="10"/>
      <c r="U293" s="8"/>
    </row>
    <row r="294" spans="1:21">
      <c r="A294" s="8"/>
      <c r="B294" s="10"/>
      <c r="C294" s="8"/>
      <c r="D294" s="8"/>
      <c r="E294" s="8"/>
      <c r="F294" s="8"/>
      <c r="G294" s="11"/>
      <c r="H294" s="11"/>
      <c r="I294" s="11"/>
      <c r="J294" s="11"/>
      <c r="K294" s="11"/>
      <c r="L294" s="11"/>
      <c r="M294" s="11"/>
      <c r="N294" s="11"/>
      <c r="O294" s="11"/>
      <c r="P294" s="12" t="str">
        <f t="shared" si="12"/>
        <v/>
      </c>
      <c r="Q294" s="12" t="str">
        <f t="shared" si="13"/>
        <v/>
      </c>
      <c r="R294" s="12" t="str">
        <f t="shared" si="14"/>
        <v/>
      </c>
      <c r="S294" s="8"/>
      <c r="T294" s="10"/>
      <c r="U294" s="8"/>
    </row>
    <row r="295" spans="1:21">
      <c r="A295" s="8"/>
      <c r="B295" s="10"/>
      <c r="C295" s="8"/>
      <c r="D295" s="8"/>
      <c r="E295" s="8"/>
      <c r="F295" s="8"/>
      <c r="G295" s="11"/>
      <c r="H295" s="11"/>
      <c r="I295" s="11"/>
      <c r="J295" s="11"/>
      <c r="K295" s="11"/>
      <c r="L295" s="11"/>
      <c r="M295" s="11"/>
      <c r="N295" s="11"/>
      <c r="O295" s="11"/>
      <c r="P295" s="12" t="str">
        <f t="shared" si="12"/>
        <v/>
      </c>
      <c r="Q295" s="12" t="str">
        <f t="shared" si="13"/>
        <v/>
      </c>
      <c r="R295" s="12" t="str">
        <f t="shared" si="14"/>
        <v/>
      </c>
      <c r="S295" s="8"/>
      <c r="T295" s="10"/>
      <c r="U295" s="8"/>
    </row>
    <row r="296" spans="1:21">
      <c r="A296" s="8"/>
      <c r="B296" s="10"/>
      <c r="C296" s="8"/>
      <c r="D296" s="8"/>
      <c r="E296" s="8"/>
      <c r="F296" s="8"/>
      <c r="G296" s="11"/>
      <c r="H296" s="11"/>
      <c r="I296" s="11"/>
      <c r="J296" s="11"/>
      <c r="K296" s="11"/>
      <c r="L296" s="11"/>
      <c r="M296" s="11"/>
      <c r="N296" s="11"/>
      <c r="O296" s="11"/>
      <c r="P296" s="12" t="str">
        <f t="shared" si="12"/>
        <v/>
      </c>
      <c r="Q296" s="12" t="str">
        <f t="shared" si="13"/>
        <v/>
      </c>
      <c r="R296" s="12" t="str">
        <f t="shared" si="14"/>
        <v/>
      </c>
      <c r="S296" s="8"/>
      <c r="T296" s="10"/>
      <c r="U296" s="8"/>
    </row>
    <row r="297" spans="1:21">
      <c r="A297" s="8"/>
      <c r="B297" s="10"/>
      <c r="C297" s="8"/>
      <c r="D297" s="8"/>
      <c r="E297" s="8"/>
      <c r="F297" s="8"/>
      <c r="G297" s="11"/>
      <c r="H297" s="11"/>
      <c r="I297" s="11"/>
      <c r="J297" s="11"/>
      <c r="K297" s="11"/>
      <c r="L297" s="11"/>
      <c r="M297" s="11"/>
      <c r="N297" s="11"/>
      <c r="O297" s="11"/>
      <c r="P297" s="12" t="str">
        <f t="shared" si="12"/>
        <v/>
      </c>
      <c r="Q297" s="12" t="str">
        <f t="shared" si="13"/>
        <v/>
      </c>
      <c r="R297" s="12" t="str">
        <f t="shared" si="14"/>
        <v/>
      </c>
      <c r="S297" s="8"/>
      <c r="T297" s="10"/>
      <c r="U297" s="8"/>
    </row>
    <row r="298" spans="1:21">
      <c r="A298" s="8"/>
      <c r="B298" s="10"/>
      <c r="C298" s="8"/>
      <c r="D298" s="8"/>
      <c r="E298" s="8"/>
      <c r="F298" s="8"/>
      <c r="G298" s="11"/>
      <c r="H298" s="11"/>
      <c r="I298" s="11"/>
      <c r="J298" s="11"/>
      <c r="K298" s="11"/>
      <c r="L298" s="11"/>
      <c r="M298" s="11"/>
      <c r="N298" s="11"/>
      <c r="O298" s="11"/>
      <c r="P298" s="12" t="str">
        <f t="shared" si="12"/>
        <v/>
      </c>
      <c r="Q298" s="12" t="str">
        <f t="shared" si="13"/>
        <v/>
      </c>
      <c r="R298" s="12" t="str">
        <f t="shared" si="14"/>
        <v/>
      </c>
      <c r="S298" s="8"/>
      <c r="T298" s="10"/>
      <c r="U298" s="8"/>
    </row>
    <row r="299" spans="1:21">
      <c r="A299" s="8"/>
      <c r="B299" s="10"/>
      <c r="C299" s="8"/>
      <c r="D299" s="8"/>
      <c r="E299" s="8"/>
      <c r="F299" s="8"/>
      <c r="G299" s="11"/>
      <c r="H299" s="11"/>
      <c r="I299" s="11"/>
      <c r="J299" s="11"/>
      <c r="K299" s="11"/>
      <c r="L299" s="11"/>
      <c r="M299" s="11"/>
      <c r="N299" s="11"/>
      <c r="O299" s="11"/>
      <c r="P299" s="12" t="str">
        <f t="shared" si="12"/>
        <v/>
      </c>
      <c r="Q299" s="12" t="str">
        <f t="shared" si="13"/>
        <v/>
      </c>
      <c r="R299" s="12" t="str">
        <f t="shared" si="14"/>
        <v/>
      </c>
      <c r="S299" s="8"/>
      <c r="T299" s="10"/>
      <c r="U299" s="8"/>
    </row>
    <row r="300" spans="1:21">
      <c r="A300" s="8"/>
      <c r="B300" s="10"/>
      <c r="C300" s="8"/>
      <c r="D300" s="8"/>
      <c r="E300" s="8"/>
      <c r="F300" s="8"/>
      <c r="G300" s="11"/>
      <c r="H300" s="11"/>
      <c r="I300" s="11"/>
      <c r="J300" s="11"/>
      <c r="K300" s="11"/>
      <c r="L300" s="11"/>
      <c r="M300" s="11"/>
      <c r="N300" s="11"/>
      <c r="O300" s="11"/>
      <c r="P300" s="12" t="str">
        <f t="shared" si="12"/>
        <v/>
      </c>
      <c r="Q300" s="12" t="str">
        <f t="shared" si="13"/>
        <v/>
      </c>
      <c r="R300" s="12" t="str">
        <f t="shared" si="14"/>
        <v/>
      </c>
      <c r="S300" s="8"/>
      <c r="T300" s="10"/>
      <c r="U300" s="8"/>
    </row>
    <row r="301" spans="1:21">
      <c r="A301" s="8"/>
      <c r="B301" s="10"/>
      <c r="C301" s="8"/>
      <c r="D301" s="8"/>
      <c r="E301" s="8"/>
      <c r="F301" s="8"/>
      <c r="G301" s="11"/>
      <c r="H301" s="11"/>
      <c r="I301" s="11"/>
      <c r="J301" s="11"/>
      <c r="K301" s="11"/>
      <c r="L301" s="11"/>
      <c r="M301" s="11"/>
      <c r="N301" s="11"/>
      <c r="O301" s="11"/>
      <c r="P301" s="12" t="str">
        <f t="shared" si="12"/>
        <v/>
      </c>
      <c r="Q301" s="12" t="str">
        <f t="shared" si="13"/>
        <v/>
      </c>
      <c r="R301" s="12" t="str">
        <f t="shared" si="14"/>
        <v/>
      </c>
      <c r="S301" s="8"/>
      <c r="T301" s="10"/>
      <c r="U301" s="8"/>
    </row>
    <row r="302" spans="1:21">
      <c r="A302" s="8"/>
      <c r="B302" s="10"/>
      <c r="C302" s="8"/>
      <c r="D302" s="8"/>
      <c r="E302" s="8"/>
      <c r="F302" s="8"/>
      <c r="G302" s="11"/>
      <c r="H302" s="11"/>
      <c r="I302" s="11"/>
      <c r="J302" s="11"/>
      <c r="K302" s="11"/>
      <c r="L302" s="11"/>
      <c r="M302" s="11"/>
      <c r="N302" s="11"/>
      <c r="O302" s="11"/>
      <c r="P302" s="12" t="str">
        <f t="shared" si="12"/>
        <v/>
      </c>
      <c r="Q302" s="12" t="str">
        <f t="shared" si="13"/>
        <v/>
      </c>
      <c r="R302" s="12" t="str">
        <f t="shared" si="14"/>
        <v/>
      </c>
      <c r="S302" s="8"/>
      <c r="T302" s="10"/>
      <c r="U302" s="8"/>
    </row>
    <row r="303" spans="1:21">
      <c r="A303" s="8"/>
      <c r="B303" s="10"/>
      <c r="C303" s="8"/>
      <c r="D303" s="8"/>
      <c r="E303" s="8"/>
      <c r="F303" s="8"/>
      <c r="G303" s="11"/>
      <c r="H303" s="11"/>
      <c r="I303" s="11"/>
      <c r="J303" s="11"/>
      <c r="K303" s="11"/>
      <c r="L303" s="11"/>
      <c r="M303" s="11"/>
      <c r="N303" s="11"/>
      <c r="O303" s="11"/>
      <c r="P303" s="12" t="str">
        <f t="shared" si="12"/>
        <v/>
      </c>
      <c r="Q303" s="12" t="str">
        <f t="shared" si="13"/>
        <v/>
      </c>
      <c r="R303" s="12" t="str">
        <f t="shared" si="14"/>
        <v/>
      </c>
      <c r="S303" s="8"/>
      <c r="T303" s="10"/>
      <c r="U303" s="8"/>
    </row>
    <row r="304" spans="1:21">
      <c r="A304" s="8"/>
      <c r="B304" s="10"/>
      <c r="C304" s="8"/>
      <c r="D304" s="8"/>
      <c r="E304" s="8"/>
      <c r="F304" s="8"/>
      <c r="G304" s="11"/>
      <c r="H304" s="11"/>
      <c r="I304" s="11"/>
      <c r="J304" s="11"/>
      <c r="K304" s="11"/>
      <c r="L304" s="11"/>
      <c r="M304" s="11"/>
      <c r="N304" s="11"/>
      <c r="O304" s="11"/>
      <c r="P304" s="12" t="str">
        <f t="shared" si="12"/>
        <v/>
      </c>
      <c r="Q304" s="12" t="str">
        <f t="shared" si="13"/>
        <v/>
      </c>
      <c r="R304" s="12" t="str">
        <f t="shared" si="14"/>
        <v/>
      </c>
      <c r="S304" s="8"/>
      <c r="T304" s="10"/>
      <c r="U304" s="8"/>
    </row>
  </sheetData>
  <mergeCells count="2">
    <mergeCell ref="A1:U1"/>
    <mergeCell ref="A2:U2"/>
  </mergeCells>
  <conditionalFormatting sqref="A5:A304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04"/>
  <sheetViews>
    <sheetView showGridLines="0" workbookViewId="0">
      <selection sqref="A1:R1"/>
    </sheetView>
  </sheetViews>
  <sheetFormatPr baseColWidth="10" defaultColWidth="8.83203125" defaultRowHeight="14"/>
  <cols>
    <col min="1" max="1" width="15" customWidth="1"/>
    <col min="2" max="3" width="14" customWidth="1"/>
    <col min="4" max="5" width="13" customWidth="1"/>
    <col min="6" max="6" width="10" customWidth="1"/>
    <col min="7" max="7" width="13" customWidth="1"/>
    <col min="8" max="8" width="19" customWidth="1"/>
    <col min="9" max="9" width="20" customWidth="1"/>
    <col min="10" max="10" width="15" customWidth="1"/>
    <col min="11" max="12" width="13" customWidth="1"/>
    <col min="13" max="14" width="18" customWidth="1"/>
    <col min="15" max="15" width="16" customWidth="1"/>
    <col min="16" max="17" width="15" customWidth="1"/>
    <col min="18" max="18" width="24" customWidth="1"/>
  </cols>
  <sheetData>
    <row r="1" spans="1:18" ht="30" customHeight="1">
      <c r="A1" s="52" t="s">
        <v>445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4" spans="1:18" ht="44" customHeight="1">
      <c r="A4" s="6" t="s">
        <v>446</v>
      </c>
      <c r="B4" s="6" t="s">
        <v>447</v>
      </c>
      <c r="C4" s="6" t="s">
        <v>44</v>
      </c>
      <c r="D4" s="6" t="s">
        <v>45</v>
      </c>
      <c r="E4" s="6" t="s">
        <v>46</v>
      </c>
      <c r="F4" s="6" t="s">
        <v>306</v>
      </c>
      <c r="G4" s="6" t="s">
        <v>58</v>
      </c>
      <c r="H4" s="6" t="s">
        <v>448</v>
      </c>
      <c r="I4" s="6" t="s">
        <v>449</v>
      </c>
      <c r="J4" s="6" t="s">
        <v>59</v>
      </c>
      <c r="K4" s="6" t="s">
        <v>450</v>
      </c>
      <c r="L4" s="6" t="s">
        <v>451</v>
      </c>
      <c r="M4" s="6" t="s">
        <v>452</v>
      </c>
      <c r="N4" s="6" t="s">
        <v>187</v>
      </c>
      <c r="O4" s="6" t="s">
        <v>73</v>
      </c>
      <c r="P4" s="6" t="s">
        <v>100</v>
      </c>
      <c r="Q4" s="6" t="s">
        <v>63</v>
      </c>
      <c r="R4" s="6" t="s">
        <v>101</v>
      </c>
    </row>
    <row r="5" spans="1:18">
      <c r="A5" s="8"/>
      <c r="B5" s="10"/>
      <c r="C5" s="8"/>
      <c r="D5" s="8"/>
      <c r="E5" s="8"/>
      <c r="F5" s="8"/>
      <c r="G5" s="11"/>
      <c r="H5" s="11"/>
      <c r="I5" s="11"/>
      <c r="J5" s="11"/>
      <c r="K5" s="11"/>
      <c r="L5" s="11"/>
      <c r="M5" s="12" t="str">
        <f t="shared" ref="M5:M68" si="0">IF(A5="","",MAX(0,H5-K5-L5))</f>
        <v/>
      </c>
      <c r="N5" s="8"/>
      <c r="O5" s="8"/>
      <c r="P5" s="8"/>
      <c r="Q5" s="10"/>
      <c r="R5" s="8"/>
    </row>
    <row r="6" spans="1:18">
      <c r="A6" s="8"/>
      <c r="B6" s="10"/>
      <c r="C6" s="8"/>
      <c r="D6" s="8"/>
      <c r="E6" s="8"/>
      <c r="F6" s="8"/>
      <c r="G6" s="11"/>
      <c r="H6" s="11"/>
      <c r="I6" s="11"/>
      <c r="J6" s="11"/>
      <c r="K6" s="11"/>
      <c r="L6" s="11"/>
      <c r="M6" s="12" t="str">
        <f t="shared" si="0"/>
        <v/>
      </c>
      <c r="N6" s="8"/>
      <c r="O6" s="8"/>
      <c r="P6" s="8"/>
      <c r="Q6" s="10"/>
      <c r="R6" s="8"/>
    </row>
    <row r="7" spans="1:18">
      <c r="A7" s="8"/>
      <c r="B7" s="10"/>
      <c r="C7" s="8"/>
      <c r="D7" s="8"/>
      <c r="E7" s="8"/>
      <c r="F7" s="8"/>
      <c r="G7" s="11"/>
      <c r="H7" s="11"/>
      <c r="I7" s="11"/>
      <c r="J7" s="11"/>
      <c r="K7" s="11"/>
      <c r="L7" s="11"/>
      <c r="M7" s="12" t="str">
        <f t="shared" si="0"/>
        <v/>
      </c>
      <c r="N7" s="8"/>
      <c r="O7" s="8"/>
      <c r="P7" s="8"/>
      <c r="Q7" s="10"/>
      <c r="R7" s="8"/>
    </row>
    <row r="8" spans="1:18">
      <c r="A8" s="8"/>
      <c r="B8" s="10"/>
      <c r="C8" s="8"/>
      <c r="D8" s="8"/>
      <c r="E8" s="8"/>
      <c r="F8" s="8"/>
      <c r="G8" s="11"/>
      <c r="H8" s="11"/>
      <c r="I8" s="11"/>
      <c r="J8" s="11"/>
      <c r="K8" s="11"/>
      <c r="L8" s="11"/>
      <c r="M8" s="12" t="str">
        <f t="shared" si="0"/>
        <v/>
      </c>
      <c r="N8" s="8"/>
      <c r="O8" s="8"/>
      <c r="P8" s="8"/>
      <c r="Q8" s="10"/>
      <c r="R8" s="8"/>
    </row>
    <row r="9" spans="1:18">
      <c r="A9" s="8"/>
      <c r="B9" s="10"/>
      <c r="C9" s="8"/>
      <c r="D9" s="8"/>
      <c r="E9" s="8"/>
      <c r="F9" s="8"/>
      <c r="G9" s="11"/>
      <c r="H9" s="11"/>
      <c r="I9" s="11"/>
      <c r="J9" s="11"/>
      <c r="K9" s="11"/>
      <c r="L9" s="11"/>
      <c r="M9" s="12" t="str">
        <f t="shared" si="0"/>
        <v/>
      </c>
      <c r="N9" s="8"/>
      <c r="O9" s="8"/>
      <c r="P9" s="8"/>
      <c r="Q9" s="10"/>
      <c r="R9" s="8"/>
    </row>
    <row r="10" spans="1:18">
      <c r="A10" s="8"/>
      <c r="B10" s="10"/>
      <c r="C10" s="8"/>
      <c r="D10" s="8"/>
      <c r="E10" s="8"/>
      <c r="F10" s="8"/>
      <c r="G10" s="11"/>
      <c r="H10" s="11"/>
      <c r="I10" s="11"/>
      <c r="J10" s="11"/>
      <c r="K10" s="11"/>
      <c r="L10" s="11"/>
      <c r="M10" s="12" t="str">
        <f t="shared" si="0"/>
        <v/>
      </c>
      <c r="N10" s="8"/>
      <c r="O10" s="8"/>
      <c r="P10" s="8"/>
      <c r="Q10" s="10"/>
      <c r="R10" s="8"/>
    </row>
    <row r="11" spans="1:18">
      <c r="A11" s="8"/>
      <c r="B11" s="10"/>
      <c r="C11" s="8"/>
      <c r="D11" s="8"/>
      <c r="E11" s="8"/>
      <c r="F11" s="8"/>
      <c r="G11" s="11"/>
      <c r="H11" s="11"/>
      <c r="I11" s="11"/>
      <c r="J11" s="11"/>
      <c r="K11" s="11"/>
      <c r="L11" s="11"/>
      <c r="M11" s="12" t="str">
        <f t="shared" si="0"/>
        <v/>
      </c>
      <c r="N11" s="8"/>
      <c r="O11" s="8"/>
      <c r="P11" s="8"/>
      <c r="Q11" s="10"/>
      <c r="R11" s="8"/>
    </row>
    <row r="12" spans="1:18">
      <c r="A12" s="8"/>
      <c r="B12" s="10"/>
      <c r="C12" s="8"/>
      <c r="D12" s="8"/>
      <c r="E12" s="8"/>
      <c r="F12" s="8"/>
      <c r="G12" s="11"/>
      <c r="H12" s="11"/>
      <c r="I12" s="11"/>
      <c r="J12" s="11"/>
      <c r="K12" s="11"/>
      <c r="L12" s="11"/>
      <c r="M12" s="12" t="str">
        <f t="shared" si="0"/>
        <v/>
      </c>
      <c r="N12" s="8"/>
      <c r="O12" s="8"/>
      <c r="P12" s="8"/>
      <c r="Q12" s="10"/>
      <c r="R12" s="8"/>
    </row>
    <row r="13" spans="1:18">
      <c r="A13" s="8"/>
      <c r="B13" s="10"/>
      <c r="C13" s="8"/>
      <c r="D13" s="8"/>
      <c r="E13" s="8"/>
      <c r="F13" s="8"/>
      <c r="G13" s="11"/>
      <c r="H13" s="11"/>
      <c r="I13" s="11"/>
      <c r="J13" s="11"/>
      <c r="K13" s="11"/>
      <c r="L13" s="11"/>
      <c r="M13" s="12" t="str">
        <f t="shared" si="0"/>
        <v/>
      </c>
      <c r="N13" s="8"/>
      <c r="O13" s="8"/>
      <c r="P13" s="8"/>
      <c r="Q13" s="10"/>
      <c r="R13" s="8"/>
    </row>
    <row r="14" spans="1:18">
      <c r="A14" s="8"/>
      <c r="B14" s="10"/>
      <c r="C14" s="8"/>
      <c r="D14" s="8"/>
      <c r="E14" s="8"/>
      <c r="F14" s="8"/>
      <c r="G14" s="11"/>
      <c r="H14" s="11"/>
      <c r="I14" s="11"/>
      <c r="J14" s="11"/>
      <c r="K14" s="11"/>
      <c r="L14" s="11"/>
      <c r="M14" s="12" t="str">
        <f t="shared" si="0"/>
        <v/>
      </c>
      <c r="N14" s="8"/>
      <c r="O14" s="8"/>
      <c r="P14" s="8"/>
      <c r="Q14" s="10"/>
      <c r="R14" s="8"/>
    </row>
    <row r="15" spans="1:18">
      <c r="A15" s="8"/>
      <c r="B15" s="10"/>
      <c r="C15" s="8"/>
      <c r="D15" s="8"/>
      <c r="E15" s="8"/>
      <c r="F15" s="8"/>
      <c r="G15" s="11"/>
      <c r="H15" s="11"/>
      <c r="I15" s="11"/>
      <c r="J15" s="11"/>
      <c r="K15" s="11"/>
      <c r="L15" s="11"/>
      <c r="M15" s="12" t="str">
        <f t="shared" si="0"/>
        <v/>
      </c>
      <c r="N15" s="8"/>
      <c r="O15" s="8"/>
      <c r="P15" s="8"/>
      <c r="Q15" s="10"/>
      <c r="R15" s="8"/>
    </row>
    <row r="16" spans="1:18">
      <c r="A16" s="8"/>
      <c r="B16" s="10"/>
      <c r="C16" s="8"/>
      <c r="D16" s="8"/>
      <c r="E16" s="8"/>
      <c r="F16" s="8"/>
      <c r="G16" s="11"/>
      <c r="H16" s="11"/>
      <c r="I16" s="11"/>
      <c r="J16" s="11"/>
      <c r="K16" s="11"/>
      <c r="L16" s="11"/>
      <c r="M16" s="12" t="str">
        <f t="shared" si="0"/>
        <v/>
      </c>
      <c r="N16" s="8"/>
      <c r="O16" s="8"/>
      <c r="P16" s="8"/>
      <c r="Q16" s="10"/>
      <c r="R16" s="8"/>
    </row>
    <row r="17" spans="1:18">
      <c r="A17" s="8"/>
      <c r="B17" s="10"/>
      <c r="C17" s="8"/>
      <c r="D17" s="8"/>
      <c r="E17" s="8"/>
      <c r="F17" s="8"/>
      <c r="G17" s="11"/>
      <c r="H17" s="11"/>
      <c r="I17" s="11"/>
      <c r="J17" s="11"/>
      <c r="K17" s="11"/>
      <c r="L17" s="11"/>
      <c r="M17" s="12" t="str">
        <f t="shared" si="0"/>
        <v/>
      </c>
      <c r="N17" s="8"/>
      <c r="O17" s="8"/>
      <c r="P17" s="8"/>
      <c r="Q17" s="10"/>
      <c r="R17" s="8"/>
    </row>
    <row r="18" spans="1:18">
      <c r="A18" s="8"/>
      <c r="B18" s="10"/>
      <c r="C18" s="8"/>
      <c r="D18" s="8"/>
      <c r="E18" s="8"/>
      <c r="F18" s="8"/>
      <c r="G18" s="11"/>
      <c r="H18" s="11"/>
      <c r="I18" s="11"/>
      <c r="J18" s="11"/>
      <c r="K18" s="11"/>
      <c r="L18" s="11"/>
      <c r="M18" s="12" t="str">
        <f t="shared" si="0"/>
        <v/>
      </c>
      <c r="N18" s="8"/>
      <c r="O18" s="8"/>
      <c r="P18" s="8"/>
      <c r="Q18" s="10"/>
      <c r="R18" s="8"/>
    </row>
    <row r="19" spans="1:18">
      <c r="A19" s="8"/>
      <c r="B19" s="10"/>
      <c r="C19" s="8"/>
      <c r="D19" s="8"/>
      <c r="E19" s="8"/>
      <c r="F19" s="8"/>
      <c r="G19" s="11"/>
      <c r="H19" s="11"/>
      <c r="I19" s="11"/>
      <c r="J19" s="11"/>
      <c r="K19" s="11"/>
      <c r="L19" s="11"/>
      <c r="M19" s="12" t="str">
        <f t="shared" si="0"/>
        <v/>
      </c>
      <c r="N19" s="8"/>
      <c r="O19" s="8"/>
      <c r="P19" s="8"/>
      <c r="Q19" s="10"/>
      <c r="R19" s="8"/>
    </row>
    <row r="20" spans="1:18">
      <c r="A20" s="8"/>
      <c r="B20" s="10"/>
      <c r="C20" s="8"/>
      <c r="D20" s="8"/>
      <c r="E20" s="8"/>
      <c r="F20" s="8"/>
      <c r="G20" s="11"/>
      <c r="H20" s="11"/>
      <c r="I20" s="11"/>
      <c r="J20" s="11"/>
      <c r="K20" s="11"/>
      <c r="L20" s="11"/>
      <c r="M20" s="12" t="str">
        <f t="shared" si="0"/>
        <v/>
      </c>
      <c r="N20" s="8"/>
      <c r="O20" s="8"/>
      <c r="P20" s="8"/>
      <c r="Q20" s="10"/>
      <c r="R20" s="8"/>
    </row>
    <row r="21" spans="1:18">
      <c r="A21" s="8"/>
      <c r="B21" s="10"/>
      <c r="C21" s="8"/>
      <c r="D21" s="8"/>
      <c r="E21" s="8"/>
      <c r="F21" s="8"/>
      <c r="G21" s="11"/>
      <c r="H21" s="11"/>
      <c r="I21" s="11"/>
      <c r="J21" s="11"/>
      <c r="K21" s="11"/>
      <c r="L21" s="11"/>
      <c r="M21" s="12" t="str">
        <f t="shared" si="0"/>
        <v/>
      </c>
      <c r="N21" s="8"/>
      <c r="O21" s="8"/>
      <c r="P21" s="8"/>
      <c r="Q21" s="10"/>
      <c r="R21" s="8"/>
    </row>
    <row r="22" spans="1:18">
      <c r="A22" s="8"/>
      <c r="B22" s="10"/>
      <c r="C22" s="8"/>
      <c r="D22" s="8"/>
      <c r="E22" s="8"/>
      <c r="F22" s="8"/>
      <c r="G22" s="11"/>
      <c r="H22" s="11"/>
      <c r="I22" s="11"/>
      <c r="J22" s="11"/>
      <c r="K22" s="11"/>
      <c r="L22" s="11"/>
      <c r="M22" s="12" t="str">
        <f t="shared" si="0"/>
        <v/>
      </c>
      <c r="N22" s="8"/>
      <c r="O22" s="8"/>
      <c r="P22" s="8"/>
      <c r="Q22" s="10"/>
      <c r="R22" s="8"/>
    </row>
    <row r="23" spans="1:18">
      <c r="A23" s="8"/>
      <c r="B23" s="10"/>
      <c r="C23" s="8"/>
      <c r="D23" s="8"/>
      <c r="E23" s="8"/>
      <c r="F23" s="8"/>
      <c r="G23" s="11"/>
      <c r="H23" s="11"/>
      <c r="I23" s="11"/>
      <c r="J23" s="11"/>
      <c r="K23" s="11"/>
      <c r="L23" s="11"/>
      <c r="M23" s="12" t="str">
        <f t="shared" si="0"/>
        <v/>
      </c>
      <c r="N23" s="8"/>
      <c r="O23" s="8"/>
      <c r="P23" s="8"/>
      <c r="Q23" s="10"/>
      <c r="R23" s="8"/>
    </row>
    <row r="24" spans="1:18">
      <c r="A24" s="8"/>
      <c r="B24" s="10"/>
      <c r="C24" s="8"/>
      <c r="D24" s="8"/>
      <c r="E24" s="8"/>
      <c r="F24" s="8"/>
      <c r="G24" s="11"/>
      <c r="H24" s="11"/>
      <c r="I24" s="11"/>
      <c r="J24" s="11"/>
      <c r="K24" s="11"/>
      <c r="L24" s="11"/>
      <c r="M24" s="12" t="str">
        <f t="shared" si="0"/>
        <v/>
      </c>
      <c r="N24" s="8"/>
      <c r="O24" s="8"/>
      <c r="P24" s="8"/>
      <c r="Q24" s="10"/>
      <c r="R24" s="8"/>
    </row>
    <row r="25" spans="1:18">
      <c r="A25" s="8"/>
      <c r="B25" s="10"/>
      <c r="C25" s="8"/>
      <c r="D25" s="8"/>
      <c r="E25" s="8"/>
      <c r="F25" s="8"/>
      <c r="G25" s="11"/>
      <c r="H25" s="11"/>
      <c r="I25" s="11"/>
      <c r="J25" s="11"/>
      <c r="K25" s="11"/>
      <c r="L25" s="11"/>
      <c r="M25" s="12" t="str">
        <f t="shared" si="0"/>
        <v/>
      </c>
      <c r="N25" s="8"/>
      <c r="O25" s="8"/>
      <c r="P25" s="8"/>
      <c r="Q25" s="10"/>
      <c r="R25" s="8"/>
    </row>
    <row r="26" spans="1:18">
      <c r="A26" s="8"/>
      <c r="B26" s="10"/>
      <c r="C26" s="8"/>
      <c r="D26" s="8"/>
      <c r="E26" s="8"/>
      <c r="F26" s="8"/>
      <c r="G26" s="11"/>
      <c r="H26" s="11"/>
      <c r="I26" s="11"/>
      <c r="J26" s="11"/>
      <c r="K26" s="11"/>
      <c r="L26" s="11"/>
      <c r="M26" s="12" t="str">
        <f t="shared" si="0"/>
        <v/>
      </c>
      <c r="N26" s="8"/>
      <c r="O26" s="8"/>
      <c r="P26" s="8"/>
      <c r="Q26" s="10"/>
      <c r="R26" s="8"/>
    </row>
    <row r="27" spans="1:18">
      <c r="A27" s="8"/>
      <c r="B27" s="10"/>
      <c r="C27" s="8"/>
      <c r="D27" s="8"/>
      <c r="E27" s="8"/>
      <c r="F27" s="8"/>
      <c r="G27" s="11"/>
      <c r="H27" s="11"/>
      <c r="I27" s="11"/>
      <c r="J27" s="11"/>
      <c r="K27" s="11"/>
      <c r="L27" s="11"/>
      <c r="M27" s="12" t="str">
        <f t="shared" si="0"/>
        <v/>
      </c>
      <c r="N27" s="8"/>
      <c r="O27" s="8"/>
      <c r="P27" s="8"/>
      <c r="Q27" s="10"/>
      <c r="R27" s="8"/>
    </row>
    <row r="28" spans="1:18">
      <c r="A28" s="8"/>
      <c r="B28" s="10"/>
      <c r="C28" s="8"/>
      <c r="D28" s="8"/>
      <c r="E28" s="8"/>
      <c r="F28" s="8"/>
      <c r="G28" s="11"/>
      <c r="H28" s="11"/>
      <c r="I28" s="11"/>
      <c r="J28" s="11"/>
      <c r="K28" s="11"/>
      <c r="L28" s="11"/>
      <c r="M28" s="12" t="str">
        <f t="shared" si="0"/>
        <v/>
      </c>
      <c r="N28" s="8"/>
      <c r="O28" s="8"/>
      <c r="P28" s="8"/>
      <c r="Q28" s="10"/>
      <c r="R28" s="8"/>
    </row>
    <row r="29" spans="1:18">
      <c r="A29" s="8"/>
      <c r="B29" s="10"/>
      <c r="C29" s="8"/>
      <c r="D29" s="8"/>
      <c r="E29" s="8"/>
      <c r="F29" s="8"/>
      <c r="G29" s="11"/>
      <c r="H29" s="11"/>
      <c r="I29" s="11"/>
      <c r="J29" s="11"/>
      <c r="K29" s="11"/>
      <c r="L29" s="11"/>
      <c r="M29" s="12" t="str">
        <f t="shared" si="0"/>
        <v/>
      </c>
      <c r="N29" s="8"/>
      <c r="O29" s="8"/>
      <c r="P29" s="8"/>
      <c r="Q29" s="10"/>
      <c r="R29" s="8"/>
    </row>
    <row r="30" spans="1:18">
      <c r="A30" s="8"/>
      <c r="B30" s="10"/>
      <c r="C30" s="8"/>
      <c r="D30" s="8"/>
      <c r="E30" s="8"/>
      <c r="F30" s="8"/>
      <c r="G30" s="11"/>
      <c r="H30" s="11"/>
      <c r="I30" s="11"/>
      <c r="J30" s="11"/>
      <c r="K30" s="11"/>
      <c r="L30" s="11"/>
      <c r="M30" s="12" t="str">
        <f t="shared" si="0"/>
        <v/>
      </c>
      <c r="N30" s="8"/>
      <c r="O30" s="8"/>
      <c r="P30" s="8"/>
      <c r="Q30" s="10"/>
      <c r="R30" s="8"/>
    </row>
    <row r="31" spans="1:18">
      <c r="A31" s="8"/>
      <c r="B31" s="10"/>
      <c r="C31" s="8"/>
      <c r="D31" s="8"/>
      <c r="E31" s="8"/>
      <c r="F31" s="8"/>
      <c r="G31" s="11"/>
      <c r="H31" s="11"/>
      <c r="I31" s="11"/>
      <c r="J31" s="11"/>
      <c r="K31" s="11"/>
      <c r="L31" s="11"/>
      <c r="M31" s="12" t="str">
        <f t="shared" si="0"/>
        <v/>
      </c>
      <c r="N31" s="8"/>
      <c r="O31" s="8"/>
      <c r="P31" s="8"/>
      <c r="Q31" s="10"/>
      <c r="R31" s="8"/>
    </row>
    <row r="32" spans="1:18">
      <c r="A32" s="8"/>
      <c r="B32" s="10"/>
      <c r="C32" s="8"/>
      <c r="D32" s="8"/>
      <c r="E32" s="8"/>
      <c r="F32" s="8"/>
      <c r="G32" s="11"/>
      <c r="H32" s="11"/>
      <c r="I32" s="11"/>
      <c r="J32" s="11"/>
      <c r="K32" s="11"/>
      <c r="L32" s="11"/>
      <c r="M32" s="12" t="str">
        <f t="shared" si="0"/>
        <v/>
      </c>
      <c r="N32" s="8"/>
      <c r="O32" s="8"/>
      <c r="P32" s="8"/>
      <c r="Q32" s="10"/>
      <c r="R32" s="8"/>
    </row>
    <row r="33" spans="1:18">
      <c r="A33" s="8"/>
      <c r="B33" s="10"/>
      <c r="C33" s="8"/>
      <c r="D33" s="8"/>
      <c r="E33" s="8"/>
      <c r="F33" s="8"/>
      <c r="G33" s="11"/>
      <c r="H33" s="11"/>
      <c r="I33" s="11"/>
      <c r="J33" s="11"/>
      <c r="K33" s="11"/>
      <c r="L33" s="11"/>
      <c r="M33" s="12" t="str">
        <f t="shared" si="0"/>
        <v/>
      </c>
      <c r="N33" s="8"/>
      <c r="O33" s="8"/>
      <c r="P33" s="8"/>
      <c r="Q33" s="10"/>
      <c r="R33" s="8"/>
    </row>
    <row r="34" spans="1:18">
      <c r="A34" s="8"/>
      <c r="B34" s="10"/>
      <c r="C34" s="8"/>
      <c r="D34" s="8"/>
      <c r="E34" s="8"/>
      <c r="F34" s="8"/>
      <c r="G34" s="11"/>
      <c r="H34" s="11"/>
      <c r="I34" s="11"/>
      <c r="J34" s="11"/>
      <c r="K34" s="11"/>
      <c r="L34" s="11"/>
      <c r="M34" s="12" t="str">
        <f t="shared" si="0"/>
        <v/>
      </c>
      <c r="N34" s="8"/>
      <c r="O34" s="8"/>
      <c r="P34" s="8"/>
      <c r="Q34" s="10"/>
      <c r="R34" s="8"/>
    </row>
    <row r="35" spans="1:18">
      <c r="A35" s="8"/>
      <c r="B35" s="10"/>
      <c r="C35" s="8"/>
      <c r="D35" s="8"/>
      <c r="E35" s="8"/>
      <c r="F35" s="8"/>
      <c r="G35" s="11"/>
      <c r="H35" s="11"/>
      <c r="I35" s="11"/>
      <c r="J35" s="11"/>
      <c r="K35" s="11"/>
      <c r="L35" s="11"/>
      <c r="M35" s="12" t="str">
        <f t="shared" si="0"/>
        <v/>
      </c>
      <c r="N35" s="8"/>
      <c r="O35" s="8"/>
      <c r="P35" s="8"/>
      <c r="Q35" s="10"/>
      <c r="R35" s="8"/>
    </row>
    <row r="36" spans="1:18">
      <c r="A36" s="8"/>
      <c r="B36" s="10"/>
      <c r="C36" s="8"/>
      <c r="D36" s="8"/>
      <c r="E36" s="8"/>
      <c r="F36" s="8"/>
      <c r="G36" s="11"/>
      <c r="H36" s="11"/>
      <c r="I36" s="11"/>
      <c r="J36" s="11"/>
      <c r="K36" s="11"/>
      <c r="L36" s="11"/>
      <c r="M36" s="12" t="str">
        <f t="shared" si="0"/>
        <v/>
      </c>
      <c r="N36" s="8"/>
      <c r="O36" s="8"/>
      <c r="P36" s="8"/>
      <c r="Q36" s="10"/>
      <c r="R36" s="8"/>
    </row>
    <row r="37" spans="1:18">
      <c r="A37" s="8"/>
      <c r="B37" s="10"/>
      <c r="C37" s="8"/>
      <c r="D37" s="8"/>
      <c r="E37" s="8"/>
      <c r="F37" s="8"/>
      <c r="G37" s="11"/>
      <c r="H37" s="11"/>
      <c r="I37" s="11"/>
      <c r="J37" s="11"/>
      <c r="K37" s="11"/>
      <c r="L37" s="11"/>
      <c r="M37" s="12" t="str">
        <f t="shared" si="0"/>
        <v/>
      </c>
      <c r="N37" s="8"/>
      <c r="O37" s="8"/>
      <c r="P37" s="8"/>
      <c r="Q37" s="10"/>
      <c r="R37" s="8"/>
    </row>
    <row r="38" spans="1:18">
      <c r="A38" s="8"/>
      <c r="B38" s="10"/>
      <c r="C38" s="8"/>
      <c r="D38" s="8"/>
      <c r="E38" s="8"/>
      <c r="F38" s="8"/>
      <c r="G38" s="11"/>
      <c r="H38" s="11"/>
      <c r="I38" s="11"/>
      <c r="J38" s="11"/>
      <c r="K38" s="11"/>
      <c r="L38" s="11"/>
      <c r="M38" s="12" t="str">
        <f t="shared" si="0"/>
        <v/>
      </c>
      <c r="N38" s="8"/>
      <c r="O38" s="8"/>
      <c r="P38" s="8"/>
      <c r="Q38" s="10"/>
      <c r="R38" s="8"/>
    </row>
    <row r="39" spans="1:18">
      <c r="A39" s="8"/>
      <c r="B39" s="10"/>
      <c r="C39" s="8"/>
      <c r="D39" s="8"/>
      <c r="E39" s="8"/>
      <c r="F39" s="8"/>
      <c r="G39" s="11"/>
      <c r="H39" s="11"/>
      <c r="I39" s="11"/>
      <c r="J39" s="11"/>
      <c r="K39" s="11"/>
      <c r="L39" s="11"/>
      <c r="M39" s="12" t="str">
        <f t="shared" si="0"/>
        <v/>
      </c>
      <c r="N39" s="8"/>
      <c r="O39" s="8"/>
      <c r="P39" s="8"/>
      <c r="Q39" s="10"/>
      <c r="R39" s="8"/>
    </row>
    <row r="40" spans="1:18">
      <c r="A40" s="8"/>
      <c r="B40" s="10"/>
      <c r="C40" s="8"/>
      <c r="D40" s="8"/>
      <c r="E40" s="8"/>
      <c r="F40" s="8"/>
      <c r="G40" s="11"/>
      <c r="H40" s="11"/>
      <c r="I40" s="11"/>
      <c r="J40" s="11"/>
      <c r="K40" s="11"/>
      <c r="L40" s="11"/>
      <c r="M40" s="12" t="str">
        <f t="shared" si="0"/>
        <v/>
      </c>
      <c r="N40" s="8"/>
      <c r="O40" s="8"/>
      <c r="P40" s="8"/>
      <c r="Q40" s="10"/>
      <c r="R40" s="8"/>
    </row>
    <row r="41" spans="1:18">
      <c r="A41" s="8"/>
      <c r="B41" s="10"/>
      <c r="C41" s="8"/>
      <c r="D41" s="8"/>
      <c r="E41" s="8"/>
      <c r="F41" s="8"/>
      <c r="G41" s="11"/>
      <c r="H41" s="11"/>
      <c r="I41" s="11"/>
      <c r="J41" s="11"/>
      <c r="K41" s="11"/>
      <c r="L41" s="11"/>
      <c r="M41" s="12" t="str">
        <f t="shared" si="0"/>
        <v/>
      </c>
      <c r="N41" s="8"/>
      <c r="O41" s="8"/>
      <c r="P41" s="8"/>
      <c r="Q41" s="10"/>
      <c r="R41" s="8"/>
    </row>
    <row r="42" spans="1:18">
      <c r="A42" s="8"/>
      <c r="B42" s="10"/>
      <c r="C42" s="8"/>
      <c r="D42" s="8"/>
      <c r="E42" s="8"/>
      <c r="F42" s="8"/>
      <c r="G42" s="11"/>
      <c r="H42" s="11"/>
      <c r="I42" s="11"/>
      <c r="J42" s="11"/>
      <c r="K42" s="11"/>
      <c r="L42" s="11"/>
      <c r="M42" s="12" t="str">
        <f t="shared" si="0"/>
        <v/>
      </c>
      <c r="N42" s="8"/>
      <c r="O42" s="8"/>
      <c r="P42" s="8"/>
      <c r="Q42" s="10"/>
      <c r="R42" s="8"/>
    </row>
    <row r="43" spans="1:18">
      <c r="A43" s="8"/>
      <c r="B43" s="10"/>
      <c r="C43" s="8"/>
      <c r="D43" s="8"/>
      <c r="E43" s="8"/>
      <c r="F43" s="8"/>
      <c r="G43" s="11"/>
      <c r="H43" s="11"/>
      <c r="I43" s="11"/>
      <c r="J43" s="11"/>
      <c r="K43" s="11"/>
      <c r="L43" s="11"/>
      <c r="M43" s="12" t="str">
        <f t="shared" si="0"/>
        <v/>
      </c>
      <c r="N43" s="8"/>
      <c r="O43" s="8"/>
      <c r="P43" s="8"/>
      <c r="Q43" s="10"/>
      <c r="R43" s="8"/>
    </row>
    <row r="44" spans="1:18">
      <c r="A44" s="8"/>
      <c r="B44" s="10"/>
      <c r="C44" s="8"/>
      <c r="D44" s="8"/>
      <c r="E44" s="8"/>
      <c r="F44" s="8"/>
      <c r="G44" s="11"/>
      <c r="H44" s="11"/>
      <c r="I44" s="11"/>
      <c r="J44" s="11"/>
      <c r="K44" s="11"/>
      <c r="L44" s="11"/>
      <c r="M44" s="12" t="str">
        <f t="shared" si="0"/>
        <v/>
      </c>
      <c r="N44" s="8"/>
      <c r="O44" s="8"/>
      <c r="P44" s="8"/>
      <c r="Q44" s="10"/>
      <c r="R44" s="8"/>
    </row>
    <row r="45" spans="1:18">
      <c r="A45" s="8"/>
      <c r="B45" s="10"/>
      <c r="C45" s="8"/>
      <c r="D45" s="8"/>
      <c r="E45" s="8"/>
      <c r="F45" s="8"/>
      <c r="G45" s="11"/>
      <c r="H45" s="11"/>
      <c r="I45" s="11"/>
      <c r="J45" s="11"/>
      <c r="K45" s="11"/>
      <c r="L45" s="11"/>
      <c r="M45" s="12" t="str">
        <f t="shared" si="0"/>
        <v/>
      </c>
      <c r="N45" s="8"/>
      <c r="O45" s="8"/>
      <c r="P45" s="8"/>
      <c r="Q45" s="10"/>
      <c r="R45" s="8"/>
    </row>
    <row r="46" spans="1:18">
      <c r="A46" s="8"/>
      <c r="B46" s="10"/>
      <c r="C46" s="8"/>
      <c r="D46" s="8"/>
      <c r="E46" s="8"/>
      <c r="F46" s="8"/>
      <c r="G46" s="11"/>
      <c r="H46" s="11"/>
      <c r="I46" s="11"/>
      <c r="J46" s="11"/>
      <c r="K46" s="11"/>
      <c r="L46" s="11"/>
      <c r="M46" s="12" t="str">
        <f t="shared" si="0"/>
        <v/>
      </c>
      <c r="N46" s="8"/>
      <c r="O46" s="8"/>
      <c r="P46" s="8"/>
      <c r="Q46" s="10"/>
      <c r="R46" s="8"/>
    </row>
    <row r="47" spans="1:18">
      <c r="A47" s="8"/>
      <c r="B47" s="10"/>
      <c r="C47" s="8"/>
      <c r="D47" s="8"/>
      <c r="E47" s="8"/>
      <c r="F47" s="8"/>
      <c r="G47" s="11"/>
      <c r="H47" s="11"/>
      <c r="I47" s="11"/>
      <c r="J47" s="11"/>
      <c r="K47" s="11"/>
      <c r="L47" s="11"/>
      <c r="M47" s="12" t="str">
        <f t="shared" si="0"/>
        <v/>
      </c>
      <c r="N47" s="8"/>
      <c r="O47" s="8"/>
      <c r="P47" s="8"/>
      <c r="Q47" s="10"/>
      <c r="R47" s="8"/>
    </row>
    <row r="48" spans="1:18">
      <c r="A48" s="8"/>
      <c r="B48" s="10"/>
      <c r="C48" s="8"/>
      <c r="D48" s="8"/>
      <c r="E48" s="8"/>
      <c r="F48" s="8"/>
      <c r="G48" s="11"/>
      <c r="H48" s="11"/>
      <c r="I48" s="11"/>
      <c r="J48" s="11"/>
      <c r="K48" s="11"/>
      <c r="L48" s="11"/>
      <c r="M48" s="12" t="str">
        <f t="shared" si="0"/>
        <v/>
      </c>
      <c r="N48" s="8"/>
      <c r="O48" s="8"/>
      <c r="P48" s="8"/>
      <c r="Q48" s="10"/>
      <c r="R48" s="8"/>
    </row>
    <row r="49" spans="1:18">
      <c r="A49" s="8"/>
      <c r="B49" s="10"/>
      <c r="C49" s="8"/>
      <c r="D49" s="8"/>
      <c r="E49" s="8"/>
      <c r="F49" s="8"/>
      <c r="G49" s="11"/>
      <c r="H49" s="11"/>
      <c r="I49" s="11"/>
      <c r="J49" s="11"/>
      <c r="K49" s="11"/>
      <c r="L49" s="11"/>
      <c r="M49" s="12" t="str">
        <f t="shared" si="0"/>
        <v/>
      </c>
      <c r="N49" s="8"/>
      <c r="O49" s="8"/>
      <c r="P49" s="8"/>
      <c r="Q49" s="10"/>
      <c r="R49" s="8"/>
    </row>
    <row r="50" spans="1:18">
      <c r="A50" s="8"/>
      <c r="B50" s="10"/>
      <c r="C50" s="8"/>
      <c r="D50" s="8"/>
      <c r="E50" s="8"/>
      <c r="F50" s="8"/>
      <c r="G50" s="11"/>
      <c r="H50" s="11"/>
      <c r="I50" s="11"/>
      <c r="J50" s="11"/>
      <c r="K50" s="11"/>
      <c r="L50" s="11"/>
      <c r="M50" s="12" t="str">
        <f t="shared" si="0"/>
        <v/>
      </c>
      <c r="N50" s="8"/>
      <c r="O50" s="8"/>
      <c r="P50" s="8"/>
      <c r="Q50" s="10"/>
      <c r="R50" s="8"/>
    </row>
    <row r="51" spans="1:18">
      <c r="A51" s="8"/>
      <c r="B51" s="10"/>
      <c r="C51" s="8"/>
      <c r="D51" s="8"/>
      <c r="E51" s="8"/>
      <c r="F51" s="8"/>
      <c r="G51" s="11"/>
      <c r="H51" s="11"/>
      <c r="I51" s="11"/>
      <c r="J51" s="11"/>
      <c r="K51" s="11"/>
      <c r="L51" s="11"/>
      <c r="M51" s="12" t="str">
        <f t="shared" si="0"/>
        <v/>
      </c>
      <c r="N51" s="8"/>
      <c r="O51" s="8"/>
      <c r="P51" s="8"/>
      <c r="Q51" s="10"/>
      <c r="R51" s="8"/>
    </row>
    <row r="52" spans="1:18">
      <c r="A52" s="8"/>
      <c r="B52" s="10"/>
      <c r="C52" s="8"/>
      <c r="D52" s="8"/>
      <c r="E52" s="8"/>
      <c r="F52" s="8"/>
      <c r="G52" s="11"/>
      <c r="H52" s="11"/>
      <c r="I52" s="11"/>
      <c r="J52" s="11"/>
      <c r="K52" s="11"/>
      <c r="L52" s="11"/>
      <c r="M52" s="12" t="str">
        <f t="shared" si="0"/>
        <v/>
      </c>
      <c r="N52" s="8"/>
      <c r="O52" s="8"/>
      <c r="P52" s="8"/>
      <c r="Q52" s="10"/>
      <c r="R52" s="8"/>
    </row>
    <row r="53" spans="1:18">
      <c r="A53" s="8"/>
      <c r="B53" s="10"/>
      <c r="C53" s="8"/>
      <c r="D53" s="8"/>
      <c r="E53" s="8"/>
      <c r="F53" s="8"/>
      <c r="G53" s="11"/>
      <c r="H53" s="11"/>
      <c r="I53" s="11"/>
      <c r="J53" s="11"/>
      <c r="K53" s="11"/>
      <c r="L53" s="11"/>
      <c r="M53" s="12" t="str">
        <f t="shared" si="0"/>
        <v/>
      </c>
      <c r="N53" s="8"/>
      <c r="O53" s="8"/>
      <c r="P53" s="8"/>
      <c r="Q53" s="10"/>
      <c r="R53" s="8"/>
    </row>
    <row r="54" spans="1:18">
      <c r="A54" s="8"/>
      <c r="B54" s="10"/>
      <c r="C54" s="8"/>
      <c r="D54" s="8"/>
      <c r="E54" s="8"/>
      <c r="F54" s="8"/>
      <c r="G54" s="11"/>
      <c r="H54" s="11"/>
      <c r="I54" s="11"/>
      <c r="J54" s="11"/>
      <c r="K54" s="11"/>
      <c r="L54" s="11"/>
      <c r="M54" s="12" t="str">
        <f t="shared" si="0"/>
        <v/>
      </c>
      <c r="N54" s="8"/>
      <c r="O54" s="8"/>
      <c r="P54" s="8"/>
      <c r="Q54" s="10"/>
      <c r="R54" s="8"/>
    </row>
    <row r="55" spans="1:18">
      <c r="A55" s="8"/>
      <c r="B55" s="10"/>
      <c r="C55" s="8"/>
      <c r="D55" s="8"/>
      <c r="E55" s="8"/>
      <c r="F55" s="8"/>
      <c r="G55" s="11"/>
      <c r="H55" s="11"/>
      <c r="I55" s="11"/>
      <c r="J55" s="11"/>
      <c r="K55" s="11"/>
      <c r="L55" s="11"/>
      <c r="M55" s="12" t="str">
        <f t="shared" si="0"/>
        <v/>
      </c>
      <c r="N55" s="8"/>
      <c r="O55" s="8"/>
      <c r="P55" s="8"/>
      <c r="Q55" s="10"/>
      <c r="R55" s="8"/>
    </row>
    <row r="56" spans="1:18">
      <c r="A56" s="8"/>
      <c r="B56" s="10"/>
      <c r="C56" s="8"/>
      <c r="D56" s="8"/>
      <c r="E56" s="8"/>
      <c r="F56" s="8"/>
      <c r="G56" s="11"/>
      <c r="H56" s="11"/>
      <c r="I56" s="11"/>
      <c r="J56" s="11"/>
      <c r="K56" s="11"/>
      <c r="L56" s="11"/>
      <c r="M56" s="12" t="str">
        <f t="shared" si="0"/>
        <v/>
      </c>
      <c r="N56" s="8"/>
      <c r="O56" s="8"/>
      <c r="P56" s="8"/>
      <c r="Q56" s="10"/>
      <c r="R56" s="8"/>
    </row>
    <row r="57" spans="1:18">
      <c r="A57" s="8"/>
      <c r="B57" s="10"/>
      <c r="C57" s="8"/>
      <c r="D57" s="8"/>
      <c r="E57" s="8"/>
      <c r="F57" s="8"/>
      <c r="G57" s="11"/>
      <c r="H57" s="11"/>
      <c r="I57" s="11"/>
      <c r="J57" s="11"/>
      <c r="K57" s="11"/>
      <c r="L57" s="11"/>
      <c r="M57" s="12" t="str">
        <f t="shared" si="0"/>
        <v/>
      </c>
      <c r="N57" s="8"/>
      <c r="O57" s="8"/>
      <c r="P57" s="8"/>
      <c r="Q57" s="10"/>
      <c r="R57" s="8"/>
    </row>
    <row r="58" spans="1:18">
      <c r="A58" s="8"/>
      <c r="B58" s="10"/>
      <c r="C58" s="8"/>
      <c r="D58" s="8"/>
      <c r="E58" s="8"/>
      <c r="F58" s="8"/>
      <c r="G58" s="11"/>
      <c r="H58" s="11"/>
      <c r="I58" s="11"/>
      <c r="J58" s="11"/>
      <c r="K58" s="11"/>
      <c r="L58" s="11"/>
      <c r="M58" s="12" t="str">
        <f t="shared" si="0"/>
        <v/>
      </c>
      <c r="N58" s="8"/>
      <c r="O58" s="8"/>
      <c r="P58" s="8"/>
      <c r="Q58" s="10"/>
      <c r="R58" s="8"/>
    </row>
    <row r="59" spans="1:18">
      <c r="A59" s="8"/>
      <c r="B59" s="10"/>
      <c r="C59" s="8"/>
      <c r="D59" s="8"/>
      <c r="E59" s="8"/>
      <c r="F59" s="8"/>
      <c r="G59" s="11"/>
      <c r="H59" s="11"/>
      <c r="I59" s="11"/>
      <c r="J59" s="11"/>
      <c r="K59" s="11"/>
      <c r="L59" s="11"/>
      <c r="M59" s="12" t="str">
        <f t="shared" si="0"/>
        <v/>
      </c>
      <c r="N59" s="8"/>
      <c r="O59" s="8"/>
      <c r="P59" s="8"/>
      <c r="Q59" s="10"/>
      <c r="R59" s="8"/>
    </row>
    <row r="60" spans="1:18">
      <c r="A60" s="8"/>
      <c r="B60" s="10"/>
      <c r="C60" s="8"/>
      <c r="D60" s="8"/>
      <c r="E60" s="8"/>
      <c r="F60" s="8"/>
      <c r="G60" s="11"/>
      <c r="H60" s="11"/>
      <c r="I60" s="11"/>
      <c r="J60" s="11"/>
      <c r="K60" s="11"/>
      <c r="L60" s="11"/>
      <c r="M60" s="12" t="str">
        <f t="shared" si="0"/>
        <v/>
      </c>
      <c r="N60" s="8"/>
      <c r="O60" s="8"/>
      <c r="P60" s="8"/>
      <c r="Q60" s="10"/>
      <c r="R60" s="8"/>
    </row>
    <row r="61" spans="1:18">
      <c r="A61" s="8"/>
      <c r="B61" s="10"/>
      <c r="C61" s="8"/>
      <c r="D61" s="8"/>
      <c r="E61" s="8"/>
      <c r="F61" s="8"/>
      <c r="G61" s="11"/>
      <c r="H61" s="11"/>
      <c r="I61" s="11"/>
      <c r="J61" s="11"/>
      <c r="K61" s="11"/>
      <c r="L61" s="11"/>
      <c r="M61" s="12" t="str">
        <f t="shared" si="0"/>
        <v/>
      </c>
      <c r="N61" s="8"/>
      <c r="O61" s="8"/>
      <c r="P61" s="8"/>
      <c r="Q61" s="10"/>
      <c r="R61" s="8"/>
    </row>
    <row r="62" spans="1:18">
      <c r="A62" s="8"/>
      <c r="B62" s="10"/>
      <c r="C62" s="8"/>
      <c r="D62" s="8"/>
      <c r="E62" s="8"/>
      <c r="F62" s="8"/>
      <c r="G62" s="11"/>
      <c r="H62" s="11"/>
      <c r="I62" s="11"/>
      <c r="J62" s="11"/>
      <c r="K62" s="11"/>
      <c r="L62" s="11"/>
      <c r="M62" s="12" t="str">
        <f t="shared" si="0"/>
        <v/>
      </c>
      <c r="N62" s="8"/>
      <c r="O62" s="8"/>
      <c r="P62" s="8"/>
      <c r="Q62" s="10"/>
      <c r="R62" s="8"/>
    </row>
    <row r="63" spans="1:18">
      <c r="A63" s="8"/>
      <c r="B63" s="10"/>
      <c r="C63" s="8"/>
      <c r="D63" s="8"/>
      <c r="E63" s="8"/>
      <c r="F63" s="8"/>
      <c r="G63" s="11"/>
      <c r="H63" s="11"/>
      <c r="I63" s="11"/>
      <c r="J63" s="11"/>
      <c r="K63" s="11"/>
      <c r="L63" s="11"/>
      <c r="M63" s="12" t="str">
        <f t="shared" si="0"/>
        <v/>
      </c>
      <c r="N63" s="8"/>
      <c r="O63" s="8"/>
      <c r="P63" s="8"/>
      <c r="Q63" s="10"/>
      <c r="R63" s="8"/>
    </row>
    <row r="64" spans="1:18">
      <c r="A64" s="8"/>
      <c r="B64" s="10"/>
      <c r="C64" s="8"/>
      <c r="D64" s="8"/>
      <c r="E64" s="8"/>
      <c r="F64" s="8"/>
      <c r="G64" s="11"/>
      <c r="H64" s="11"/>
      <c r="I64" s="11"/>
      <c r="J64" s="11"/>
      <c r="K64" s="11"/>
      <c r="L64" s="11"/>
      <c r="M64" s="12" t="str">
        <f t="shared" si="0"/>
        <v/>
      </c>
      <c r="N64" s="8"/>
      <c r="O64" s="8"/>
      <c r="P64" s="8"/>
      <c r="Q64" s="10"/>
      <c r="R64" s="8"/>
    </row>
    <row r="65" spans="1:18">
      <c r="A65" s="8"/>
      <c r="B65" s="10"/>
      <c r="C65" s="8"/>
      <c r="D65" s="8"/>
      <c r="E65" s="8"/>
      <c r="F65" s="8"/>
      <c r="G65" s="11"/>
      <c r="H65" s="11"/>
      <c r="I65" s="11"/>
      <c r="J65" s="11"/>
      <c r="K65" s="11"/>
      <c r="L65" s="11"/>
      <c r="M65" s="12" t="str">
        <f t="shared" si="0"/>
        <v/>
      </c>
      <c r="N65" s="8"/>
      <c r="O65" s="8"/>
      <c r="P65" s="8"/>
      <c r="Q65" s="10"/>
      <c r="R65" s="8"/>
    </row>
    <row r="66" spans="1:18">
      <c r="A66" s="8"/>
      <c r="B66" s="10"/>
      <c r="C66" s="8"/>
      <c r="D66" s="8"/>
      <c r="E66" s="8"/>
      <c r="F66" s="8"/>
      <c r="G66" s="11"/>
      <c r="H66" s="11"/>
      <c r="I66" s="11"/>
      <c r="J66" s="11"/>
      <c r="K66" s="11"/>
      <c r="L66" s="11"/>
      <c r="M66" s="12" t="str">
        <f t="shared" si="0"/>
        <v/>
      </c>
      <c r="N66" s="8"/>
      <c r="O66" s="8"/>
      <c r="P66" s="8"/>
      <c r="Q66" s="10"/>
      <c r="R66" s="8"/>
    </row>
    <row r="67" spans="1:18">
      <c r="A67" s="8"/>
      <c r="B67" s="10"/>
      <c r="C67" s="8"/>
      <c r="D67" s="8"/>
      <c r="E67" s="8"/>
      <c r="F67" s="8"/>
      <c r="G67" s="11"/>
      <c r="H67" s="11"/>
      <c r="I67" s="11"/>
      <c r="J67" s="11"/>
      <c r="K67" s="11"/>
      <c r="L67" s="11"/>
      <c r="M67" s="12" t="str">
        <f t="shared" si="0"/>
        <v/>
      </c>
      <c r="N67" s="8"/>
      <c r="O67" s="8"/>
      <c r="P67" s="8"/>
      <c r="Q67" s="10"/>
      <c r="R67" s="8"/>
    </row>
    <row r="68" spans="1:18">
      <c r="A68" s="8"/>
      <c r="B68" s="10"/>
      <c r="C68" s="8"/>
      <c r="D68" s="8"/>
      <c r="E68" s="8"/>
      <c r="F68" s="8"/>
      <c r="G68" s="11"/>
      <c r="H68" s="11"/>
      <c r="I68" s="11"/>
      <c r="J68" s="11"/>
      <c r="K68" s="11"/>
      <c r="L68" s="11"/>
      <c r="M68" s="12" t="str">
        <f t="shared" si="0"/>
        <v/>
      </c>
      <c r="N68" s="8"/>
      <c r="O68" s="8"/>
      <c r="P68" s="8"/>
      <c r="Q68" s="10"/>
      <c r="R68" s="8"/>
    </row>
    <row r="69" spans="1:18">
      <c r="A69" s="8"/>
      <c r="B69" s="10"/>
      <c r="C69" s="8"/>
      <c r="D69" s="8"/>
      <c r="E69" s="8"/>
      <c r="F69" s="8"/>
      <c r="G69" s="11"/>
      <c r="H69" s="11"/>
      <c r="I69" s="11"/>
      <c r="J69" s="11"/>
      <c r="K69" s="11"/>
      <c r="L69" s="11"/>
      <c r="M69" s="12" t="str">
        <f t="shared" ref="M69:M132" si="1">IF(A69="","",MAX(0,H69-K69-L69))</f>
        <v/>
      </c>
      <c r="N69" s="8"/>
      <c r="O69" s="8"/>
      <c r="P69" s="8"/>
      <c r="Q69" s="10"/>
      <c r="R69" s="8"/>
    </row>
    <row r="70" spans="1:18">
      <c r="A70" s="8"/>
      <c r="B70" s="10"/>
      <c r="C70" s="8"/>
      <c r="D70" s="8"/>
      <c r="E70" s="8"/>
      <c r="F70" s="8"/>
      <c r="G70" s="11"/>
      <c r="H70" s="11"/>
      <c r="I70" s="11"/>
      <c r="J70" s="11"/>
      <c r="K70" s="11"/>
      <c r="L70" s="11"/>
      <c r="M70" s="12" t="str">
        <f t="shared" si="1"/>
        <v/>
      </c>
      <c r="N70" s="8"/>
      <c r="O70" s="8"/>
      <c r="P70" s="8"/>
      <c r="Q70" s="10"/>
      <c r="R70" s="8"/>
    </row>
    <row r="71" spans="1:18">
      <c r="A71" s="8"/>
      <c r="B71" s="10"/>
      <c r="C71" s="8"/>
      <c r="D71" s="8"/>
      <c r="E71" s="8"/>
      <c r="F71" s="8"/>
      <c r="G71" s="11"/>
      <c r="H71" s="11"/>
      <c r="I71" s="11"/>
      <c r="J71" s="11"/>
      <c r="K71" s="11"/>
      <c r="L71" s="11"/>
      <c r="M71" s="12" t="str">
        <f t="shared" si="1"/>
        <v/>
      </c>
      <c r="N71" s="8"/>
      <c r="O71" s="8"/>
      <c r="P71" s="8"/>
      <c r="Q71" s="10"/>
      <c r="R71" s="8"/>
    </row>
    <row r="72" spans="1:18">
      <c r="A72" s="8"/>
      <c r="B72" s="10"/>
      <c r="C72" s="8"/>
      <c r="D72" s="8"/>
      <c r="E72" s="8"/>
      <c r="F72" s="8"/>
      <c r="G72" s="11"/>
      <c r="H72" s="11"/>
      <c r="I72" s="11"/>
      <c r="J72" s="11"/>
      <c r="K72" s="11"/>
      <c r="L72" s="11"/>
      <c r="M72" s="12" t="str">
        <f t="shared" si="1"/>
        <v/>
      </c>
      <c r="N72" s="8"/>
      <c r="O72" s="8"/>
      <c r="P72" s="8"/>
      <c r="Q72" s="10"/>
      <c r="R72" s="8"/>
    </row>
    <row r="73" spans="1:18">
      <c r="A73" s="8"/>
      <c r="B73" s="10"/>
      <c r="C73" s="8"/>
      <c r="D73" s="8"/>
      <c r="E73" s="8"/>
      <c r="F73" s="8"/>
      <c r="G73" s="11"/>
      <c r="H73" s="11"/>
      <c r="I73" s="11"/>
      <c r="J73" s="11"/>
      <c r="K73" s="11"/>
      <c r="L73" s="11"/>
      <c r="M73" s="12" t="str">
        <f t="shared" si="1"/>
        <v/>
      </c>
      <c r="N73" s="8"/>
      <c r="O73" s="8"/>
      <c r="P73" s="8"/>
      <c r="Q73" s="10"/>
      <c r="R73" s="8"/>
    </row>
    <row r="74" spans="1:18">
      <c r="A74" s="8"/>
      <c r="B74" s="10"/>
      <c r="C74" s="8"/>
      <c r="D74" s="8"/>
      <c r="E74" s="8"/>
      <c r="F74" s="8"/>
      <c r="G74" s="11"/>
      <c r="H74" s="11"/>
      <c r="I74" s="11"/>
      <c r="J74" s="11"/>
      <c r="K74" s="11"/>
      <c r="L74" s="11"/>
      <c r="M74" s="12" t="str">
        <f t="shared" si="1"/>
        <v/>
      </c>
      <c r="N74" s="8"/>
      <c r="O74" s="8"/>
      <c r="P74" s="8"/>
      <c r="Q74" s="10"/>
      <c r="R74" s="8"/>
    </row>
    <row r="75" spans="1:18">
      <c r="A75" s="8"/>
      <c r="B75" s="10"/>
      <c r="C75" s="8"/>
      <c r="D75" s="8"/>
      <c r="E75" s="8"/>
      <c r="F75" s="8"/>
      <c r="G75" s="11"/>
      <c r="H75" s="11"/>
      <c r="I75" s="11"/>
      <c r="J75" s="11"/>
      <c r="K75" s="11"/>
      <c r="L75" s="11"/>
      <c r="M75" s="12" t="str">
        <f t="shared" si="1"/>
        <v/>
      </c>
      <c r="N75" s="8"/>
      <c r="O75" s="8"/>
      <c r="P75" s="8"/>
      <c r="Q75" s="10"/>
      <c r="R75" s="8"/>
    </row>
    <row r="76" spans="1:18">
      <c r="A76" s="8"/>
      <c r="B76" s="10"/>
      <c r="C76" s="8"/>
      <c r="D76" s="8"/>
      <c r="E76" s="8"/>
      <c r="F76" s="8"/>
      <c r="G76" s="11"/>
      <c r="H76" s="11"/>
      <c r="I76" s="11"/>
      <c r="J76" s="11"/>
      <c r="K76" s="11"/>
      <c r="L76" s="11"/>
      <c r="M76" s="12" t="str">
        <f t="shared" si="1"/>
        <v/>
      </c>
      <c r="N76" s="8"/>
      <c r="O76" s="8"/>
      <c r="P76" s="8"/>
      <c r="Q76" s="10"/>
      <c r="R76" s="8"/>
    </row>
    <row r="77" spans="1:18">
      <c r="A77" s="8"/>
      <c r="B77" s="10"/>
      <c r="C77" s="8"/>
      <c r="D77" s="8"/>
      <c r="E77" s="8"/>
      <c r="F77" s="8"/>
      <c r="G77" s="11"/>
      <c r="H77" s="11"/>
      <c r="I77" s="11"/>
      <c r="J77" s="11"/>
      <c r="K77" s="11"/>
      <c r="L77" s="11"/>
      <c r="M77" s="12" t="str">
        <f t="shared" si="1"/>
        <v/>
      </c>
      <c r="N77" s="8"/>
      <c r="O77" s="8"/>
      <c r="P77" s="8"/>
      <c r="Q77" s="10"/>
      <c r="R77" s="8"/>
    </row>
    <row r="78" spans="1:18">
      <c r="A78" s="8"/>
      <c r="B78" s="10"/>
      <c r="C78" s="8"/>
      <c r="D78" s="8"/>
      <c r="E78" s="8"/>
      <c r="F78" s="8"/>
      <c r="G78" s="11"/>
      <c r="H78" s="11"/>
      <c r="I78" s="11"/>
      <c r="J78" s="11"/>
      <c r="K78" s="11"/>
      <c r="L78" s="11"/>
      <c r="M78" s="12" t="str">
        <f t="shared" si="1"/>
        <v/>
      </c>
      <c r="N78" s="8"/>
      <c r="O78" s="8"/>
      <c r="P78" s="8"/>
      <c r="Q78" s="10"/>
      <c r="R78" s="8"/>
    </row>
    <row r="79" spans="1:18">
      <c r="A79" s="8"/>
      <c r="B79" s="10"/>
      <c r="C79" s="8"/>
      <c r="D79" s="8"/>
      <c r="E79" s="8"/>
      <c r="F79" s="8"/>
      <c r="G79" s="11"/>
      <c r="H79" s="11"/>
      <c r="I79" s="11"/>
      <c r="J79" s="11"/>
      <c r="K79" s="11"/>
      <c r="L79" s="11"/>
      <c r="M79" s="12" t="str">
        <f t="shared" si="1"/>
        <v/>
      </c>
      <c r="N79" s="8"/>
      <c r="O79" s="8"/>
      <c r="P79" s="8"/>
      <c r="Q79" s="10"/>
      <c r="R79" s="8"/>
    </row>
    <row r="80" spans="1:18">
      <c r="A80" s="8"/>
      <c r="B80" s="10"/>
      <c r="C80" s="8"/>
      <c r="D80" s="8"/>
      <c r="E80" s="8"/>
      <c r="F80" s="8"/>
      <c r="G80" s="11"/>
      <c r="H80" s="11"/>
      <c r="I80" s="11"/>
      <c r="J80" s="11"/>
      <c r="K80" s="11"/>
      <c r="L80" s="11"/>
      <c r="M80" s="12" t="str">
        <f t="shared" si="1"/>
        <v/>
      </c>
      <c r="N80" s="8"/>
      <c r="O80" s="8"/>
      <c r="P80" s="8"/>
      <c r="Q80" s="10"/>
      <c r="R80" s="8"/>
    </row>
    <row r="81" spans="1:18">
      <c r="A81" s="8"/>
      <c r="B81" s="10"/>
      <c r="C81" s="8"/>
      <c r="D81" s="8"/>
      <c r="E81" s="8"/>
      <c r="F81" s="8"/>
      <c r="G81" s="11"/>
      <c r="H81" s="11"/>
      <c r="I81" s="11"/>
      <c r="J81" s="11"/>
      <c r="K81" s="11"/>
      <c r="L81" s="11"/>
      <c r="M81" s="12" t="str">
        <f t="shared" si="1"/>
        <v/>
      </c>
      <c r="N81" s="8"/>
      <c r="O81" s="8"/>
      <c r="P81" s="8"/>
      <c r="Q81" s="10"/>
      <c r="R81" s="8"/>
    </row>
    <row r="82" spans="1:18">
      <c r="A82" s="8"/>
      <c r="B82" s="10"/>
      <c r="C82" s="8"/>
      <c r="D82" s="8"/>
      <c r="E82" s="8"/>
      <c r="F82" s="8"/>
      <c r="G82" s="11"/>
      <c r="H82" s="11"/>
      <c r="I82" s="11"/>
      <c r="J82" s="11"/>
      <c r="K82" s="11"/>
      <c r="L82" s="11"/>
      <c r="M82" s="12" t="str">
        <f t="shared" si="1"/>
        <v/>
      </c>
      <c r="N82" s="8"/>
      <c r="O82" s="8"/>
      <c r="P82" s="8"/>
      <c r="Q82" s="10"/>
      <c r="R82" s="8"/>
    </row>
    <row r="83" spans="1:18">
      <c r="A83" s="8"/>
      <c r="B83" s="10"/>
      <c r="C83" s="8"/>
      <c r="D83" s="8"/>
      <c r="E83" s="8"/>
      <c r="F83" s="8"/>
      <c r="G83" s="11"/>
      <c r="H83" s="11"/>
      <c r="I83" s="11"/>
      <c r="J83" s="11"/>
      <c r="K83" s="11"/>
      <c r="L83" s="11"/>
      <c r="M83" s="12" t="str">
        <f t="shared" si="1"/>
        <v/>
      </c>
      <c r="N83" s="8"/>
      <c r="O83" s="8"/>
      <c r="P83" s="8"/>
      <c r="Q83" s="10"/>
      <c r="R83" s="8"/>
    </row>
    <row r="84" spans="1:18">
      <c r="A84" s="8"/>
      <c r="B84" s="10"/>
      <c r="C84" s="8"/>
      <c r="D84" s="8"/>
      <c r="E84" s="8"/>
      <c r="F84" s="8"/>
      <c r="G84" s="11"/>
      <c r="H84" s="11"/>
      <c r="I84" s="11"/>
      <c r="J84" s="11"/>
      <c r="K84" s="11"/>
      <c r="L84" s="11"/>
      <c r="M84" s="12" t="str">
        <f t="shared" si="1"/>
        <v/>
      </c>
      <c r="N84" s="8"/>
      <c r="O84" s="8"/>
      <c r="P84" s="8"/>
      <c r="Q84" s="10"/>
      <c r="R84" s="8"/>
    </row>
    <row r="85" spans="1:18">
      <c r="A85" s="8"/>
      <c r="B85" s="10"/>
      <c r="C85" s="8"/>
      <c r="D85" s="8"/>
      <c r="E85" s="8"/>
      <c r="F85" s="8"/>
      <c r="G85" s="11"/>
      <c r="H85" s="11"/>
      <c r="I85" s="11"/>
      <c r="J85" s="11"/>
      <c r="K85" s="11"/>
      <c r="L85" s="11"/>
      <c r="M85" s="12" t="str">
        <f t="shared" si="1"/>
        <v/>
      </c>
      <c r="N85" s="8"/>
      <c r="O85" s="8"/>
      <c r="P85" s="8"/>
      <c r="Q85" s="10"/>
      <c r="R85" s="8"/>
    </row>
    <row r="86" spans="1:18">
      <c r="A86" s="8"/>
      <c r="B86" s="10"/>
      <c r="C86" s="8"/>
      <c r="D86" s="8"/>
      <c r="E86" s="8"/>
      <c r="F86" s="8"/>
      <c r="G86" s="11"/>
      <c r="H86" s="11"/>
      <c r="I86" s="11"/>
      <c r="J86" s="11"/>
      <c r="K86" s="11"/>
      <c r="L86" s="11"/>
      <c r="M86" s="12" t="str">
        <f t="shared" si="1"/>
        <v/>
      </c>
      <c r="N86" s="8"/>
      <c r="O86" s="8"/>
      <c r="P86" s="8"/>
      <c r="Q86" s="10"/>
      <c r="R86" s="8"/>
    </row>
    <row r="87" spans="1:18">
      <c r="A87" s="8"/>
      <c r="B87" s="10"/>
      <c r="C87" s="8"/>
      <c r="D87" s="8"/>
      <c r="E87" s="8"/>
      <c r="F87" s="8"/>
      <c r="G87" s="11"/>
      <c r="H87" s="11"/>
      <c r="I87" s="11"/>
      <c r="J87" s="11"/>
      <c r="K87" s="11"/>
      <c r="L87" s="11"/>
      <c r="M87" s="12" t="str">
        <f t="shared" si="1"/>
        <v/>
      </c>
      <c r="N87" s="8"/>
      <c r="O87" s="8"/>
      <c r="P87" s="8"/>
      <c r="Q87" s="10"/>
      <c r="R87" s="8"/>
    </row>
    <row r="88" spans="1:18">
      <c r="A88" s="8"/>
      <c r="B88" s="10"/>
      <c r="C88" s="8"/>
      <c r="D88" s="8"/>
      <c r="E88" s="8"/>
      <c r="F88" s="8"/>
      <c r="G88" s="11"/>
      <c r="H88" s="11"/>
      <c r="I88" s="11"/>
      <c r="J88" s="11"/>
      <c r="K88" s="11"/>
      <c r="L88" s="11"/>
      <c r="M88" s="12" t="str">
        <f t="shared" si="1"/>
        <v/>
      </c>
      <c r="N88" s="8"/>
      <c r="O88" s="8"/>
      <c r="P88" s="8"/>
      <c r="Q88" s="10"/>
      <c r="R88" s="8"/>
    </row>
    <row r="89" spans="1:18">
      <c r="A89" s="8"/>
      <c r="B89" s="10"/>
      <c r="C89" s="8"/>
      <c r="D89" s="8"/>
      <c r="E89" s="8"/>
      <c r="F89" s="8"/>
      <c r="G89" s="11"/>
      <c r="H89" s="11"/>
      <c r="I89" s="11"/>
      <c r="J89" s="11"/>
      <c r="K89" s="11"/>
      <c r="L89" s="11"/>
      <c r="M89" s="12" t="str">
        <f t="shared" si="1"/>
        <v/>
      </c>
      <c r="N89" s="8"/>
      <c r="O89" s="8"/>
      <c r="P89" s="8"/>
      <c r="Q89" s="10"/>
      <c r="R89" s="8"/>
    </row>
    <row r="90" spans="1:18">
      <c r="A90" s="8"/>
      <c r="B90" s="10"/>
      <c r="C90" s="8"/>
      <c r="D90" s="8"/>
      <c r="E90" s="8"/>
      <c r="F90" s="8"/>
      <c r="G90" s="11"/>
      <c r="H90" s="11"/>
      <c r="I90" s="11"/>
      <c r="J90" s="11"/>
      <c r="K90" s="11"/>
      <c r="L90" s="11"/>
      <c r="M90" s="12" t="str">
        <f t="shared" si="1"/>
        <v/>
      </c>
      <c r="N90" s="8"/>
      <c r="O90" s="8"/>
      <c r="P90" s="8"/>
      <c r="Q90" s="10"/>
      <c r="R90" s="8"/>
    </row>
    <row r="91" spans="1:18">
      <c r="A91" s="8"/>
      <c r="B91" s="10"/>
      <c r="C91" s="8"/>
      <c r="D91" s="8"/>
      <c r="E91" s="8"/>
      <c r="F91" s="8"/>
      <c r="G91" s="11"/>
      <c r="H91" s="11"/>
      <c r="I91" s="11"/>
      <c r="J91" s="11"/>
      <c r="K91" s="11"/>
      <c r="L91" s="11"/>
      <c r="M91" s="12" t="str">
        <f t="shared" si="1"/>
        <v/>
      </c>
      <c r="N91" s="8"/>
      <c r="O91" s="8"/>
      <c r="P91" s="8"/>
      <c r="Q91" s="10"/>
      <c r="R91" s="8"/>
    </row>
    <row r="92" spans="1:18">
      <c r="A92" s="8"/>
      <c r="B92" s="10"/>
      <c r="C92" s="8"/>
      <c r="D92" s="8"/>
      <c r="E92" s="8"/>
      <c r="F92" s="8"/>
      <c r="G92" s="11"/>
      <c r="H92" s="11"/>
      <c r="I92" s="11"/>
      <c r="J92" s="11"/>
      <c r="K92" s="11"/>
      <c r="L92" s="11"/>
      <c r="M92" s="12" t="str">
        <f t="shared" si="1"/>
        <v/>
      </c>
      <c r="N92" s="8"/>
      <c r="O92" s="8"/>
      <c r="P92" s="8"/>
      <c r="Q92" s="10"/>
      <c r="R92" s="8"/>
    </row>
    <row r="93" spans="1:18">
      <c r="A93" s="8"/>
      <c r="B93" s="10"/>
      <c r="C93" s="8"/>
      <c r="D93" s="8"/>
      <c r="E93" s="8"/>
      <c r="F93" s="8"/>
      <c r="G93" s="11"/>
      <c r="H93" s="11"/>
      <c r="I93" s="11"/>
      <c r="J93" s="11"/>
      <c r="K93" s="11"/>
      <c r="L93" s="11"/>
      <c r="M93" s="12" t="str">
        <f t="shared" si="1"/>
        <v/>
      </c>
      <c r="N93" s="8"/>
      <c r="O93" s="8"/>
      <c r="P93" s="8"/>
      <c r="Q93" s="10"/>
      <c r="R93" s="8"/>
    </row>
    <row r="94" spans="1:18">
      <c r="A94" s="8"/>
      <c r="B94" s="10"/>
      <c r="C94" s="8"/>
      <c r="D94" s="8"/>
      <c r="E94" s="8"/>
      <c r="F94" s="8"/>
      <c r="G94" s="11"/>
      <c r="H94" s="11"/>
      <c r="I94" s="11"/>
      <c r="J94" s="11"/>
      <c r="K94" s="11"/>
      <c r="L94" s="11"/>
      <c r="M94" s="12" t="str">
        <f t="shared" si="1"/>
        <v/>
      </c>
      <c r="N94" s="8"/>
      <c r="O94" s="8"/>
      <c r="P94" s="8"/>
      <c r="Q94" s="10"/>
      <c r="R94" s="8"/>
    </row>
    <row r="95" spans="1:18">
      <c r="A95" s="8"/>
      <c r="B95" s="10"/>
      <c r="C95" s="8"/>
      <c r="D95" s="8"/>
      <c r="E95" s="8"/>
      <c r="F95" s="8"/>
      <c r="G95" s="11"/>
      <c r="H95" s="11"/>
      <c r="I95" s="11"/>
      <c r="J95" s="11"/>
      <c r="K95" s="11"/>
      <c r="L95" s="11"/>
      <c r="M95" s="12" t="str">
        <f t="shared" si="1"/>
        <v/>
      </c>
      <c r="N95" s="8"/>
      <c r="O95" s="8"/>
      <c r="P95" s="8"/>
      <c r="Q95" s="10"/>
      <c r="R95" s="8"/>
    </row>
    <row r="96" spans="1:18">
      <c r="A96" s="8"/>
      <c r="B96" s="10"/>
      <c r="C96" s="8"/>
      <c r="D96" s="8"/>
      <c r="E96" s="8"/>
      <c r="F96" s="8"/>
      <c r="G96" s="11"/>
      <c r="H96" s="11"/>
      <c r="I96" s="11"/>
      <c r="J96" s="11"/>
      <c r="K96" s="11"/>
      <c r="L96" s="11"/>
      <c r="M96" s="12" t="str">
        <f t="shared" si="1"/>
        <v/>
      </c>
      <c r="N96" s="8"/>
      <c r="O96" s="8"/>
      <c r="P96" s="8"/>
      <c r="Q96" s="10"/>
      <c r="R96" s="8"/>
    </row>
    <row r="97" spans="1:18">
      <c r="A97" s="8"/>
      <c r="B97" s="10"/>
      <c r="C97" s="8"/>
      <c r="D97" s="8"/>
      <c r="E97" s="8"/>
      <c r="F97" s="8"/>
      <c r="G97" s="11"/>
      <c r="H97" s="11"/>
      <c r="I97" s="11"/>
      <c r="J97" s="11"/>
      <c r="K97" s="11"/>
      <c r="L97" s="11"/>
      <c r="M97" s="12" t="str">
        <f t="shared" si="1"/>
        <v/>
      </c>
      <c r="N97" s="8"/>
      <c r="O97" s="8"/>
      <c r="P97" s="8"/>
      <c r="Q97" s="10"/>
      <c r="R97" s="8"/>
    </row>
    <row r="98" spans="1:18">
      <c r="A98" s="8"/>
      <c r="B98" s="10"/>
      <c r="C98" s="8"/>
      <c r="D98" s="8"/>
      <c r="E98" s="8"/>
      <c r="F98" s="8"/>
      <c r="G98" s="11"/>
      <c r="H98" s="11"/>
      <c r="I98" s="11"/>
      <c r="J98" s="11"/>
      <c r="K98" s="11"/>
      <c r="L98" s="11"/>
      <c r="M98" s="12" t="str">
        <f t="shared" si="1"/>
        <v/>
      </c>
      <c r="N98" s="8"/>
      <c r="O98" s="8"/>
      <c r="P98" s="8"/>
      <c r="Q98" s="10"/>
      <c r="R98" s="8"/>
    </row>
    <row r="99" spans="1:18">
      <c r="A99" s="8"/>
      <c r="B99" s="10"/>
      <c r="C99" s="8"/>
      <c r="D99" s="8"/>
      <c r="E99" s="8"/>
      <c r="F99" s="8"/>
      <c r="G99" s="11"/>
      <c r="H99" s="11"/>
      <c r="I99" s="11"/>
      <c r="J99" s="11"/>
      <c r="K99" s="11"/>
      <c r="L99" s="11"/>
      <c r="M99" s="12" t="str">
        <f t="shared" si="1"/>
        <v/>
      </c>
      <c r="N99" s="8"/>
      <c r="O99" s="8"/>
      <c r="P99" s="8"/>
      <c r="Q99" s="10"/>
      <c r="R99" s="8"/>
    </row>
    <row r="100" spans="1:18">
      <c r="A100" s="8"/>
      <c r="B100" s="10"/>
      <c r="C100" s="8"/>
      <c r="D100" s="8"/>
      <c r="E100" s="8"/>
      <c r="F100" s="8"/>
      <c r="G100" s="11"/>
      <c r="H100" s="11"/>
      <c r="I100" s="11"/>
      <c r="J100" s="11"/>
      <c r="K100" s="11"/>
      <c r="L100" s="11"/>
      <c r="M100" s="12" t="str">
        <f t="shared" si="1"/>
        <v/>
      </c>
      <c r="N100" s="8"/>
      <c r="O100" s="8"/>
      <c r="P100" s="8"/>
      <c r="Q100" s="10"/>
      <c r="R100" s="8"/>
    </row>
    <row r="101" spans="1:18">
      <c r="A101" s="8"/>
      <c r="B101" s="10"/>
      <c r="C101" s="8"/>
      <c r="D101" s="8"/>
      <c r="E101" s="8"/>
      <c r="F101" s="8"/>
      <c r="G101" s="11"/>
      <c r="H101" s="11"/>
      <c r="I101" s="11"/>
      <c r="J101" s="11"/>
      <c r="K101" s="11"/>
      <c r="L101" s="11"/>
      <c r="M101" s="12" t="str">
        <f t="shared" si="1"/>
        <v/>
      </c>
      <c r="N101" s="8"/>
      <c r="O101" s="8"/>
      <c r="P101" s="8"/>
      <c r="Q101" s="10"/>
      <c r="R101" s="8"/>
    </row>
    <row r="102" spans="1:18">
      <c r="A102" s="8"/>
      <c r="B102" s="10"/>
      <c r="C102" s="8"/>
      <c r="D102" s="8"/>
      <c r="E102" s="8"/>
      <c r="F102" s="8"/>
      <c r="G102" s="11"/>
      <c r="H102" s="11"/>
      <c r="I102" s="11"/>
      <c r="J102" s="11"/>
      <c r="K102" s="11"/>
      <c r="L102" s="11"/>
      <c r="M102" s="12" t="str">
        <f t="shared" si="1"/>
        <v/>
      </c>
      <c r="N102" s="8"/>
      <c r="O102" s="8"/>
      <c r="P102" s="8"/>
      <c r="Q102" s="10"/>
      <c r="R102" s="8"/>
    </row>
    <row r="103" spans="1:18">
      <c r="A103" s="8"/>
      <c r="B103" s="10"/>
      <c r="C103" s="8"/>
      <c r="D103" s="8"/>
      <c r="E103" s="8"/>
      <c r="F103" s="8"/>
      <c r="G103" s="11"/>
      <c r="H103" s="11"/>
      <c r="I103" s="11"/>
      <c r="J103" s="11"/>
      <c r="K103" s="11"/>
      <c r="L103" s="11"/>
      <c r="M103" s="12" t="str">
        <f t="shared" si="1"/>
        <v/>
      </c>
      <c r="N103" s="8"/>
      <c r="O103" s="8"/>
      <c r="P103" s="8"/>
      <c r="Q103" s="10"/>
      <c r="R103" s="8"/>
    </row>
    <row r="104" spans="1:18">
      <c r="A104" s="8"/>
      <c r="B104" s="10"/>
      <c r="C104" s="8"/>
      <c r="D104" s="8"/>
      <c r="E104" s="8"/>
      <c r="F104" s="8"/>
      <c r="G104" s="11"/>
      <c r="H104" s="11"/>
      <c r="I104" s="11"/>
      <c r="J104" s="11"/>
      <c r="K104" s="11"/>
      <c r="L104" s="11"/>
      <c r="M104" s="12" t="str">
        <f t="shared" si="1"/>
        <v/>
      </c>
      <c r="N104" s="8"/>
      <c r="O104" s="8"/>
      <c r="P104" s="8"/>
      <c r="Q104" s="10"/>
      <c r="R104" s="8"/>
    </row>
    <row r="105" spans="1:18">
      <c r="A105" s="8"/>
      <c r="B105" s="10"/>
      <c r="C105" s="8"/>
      <c r="D105" s="8"/>
      <c r="E105" s="8"/>
      <c r="F105" s="8"/>
      <c r="G105" s="11"/>
      <c r="H105" s="11"/>
      <c r="I105" s="11"/>
      <c r="J105" s="11"/>
      <c r="K105" s="11"/>
      <c r="L105" s="11"/>
      <c r="M105" s="12" t="str">
        <f t="shared" si="1"/>
        <v/>
      </c>
      <c r="N105" s="8"/>
      <c r="O105" s="8"/>
      <c r="P105" s="8"/>
      <c r="Q105" s="10"/>
      <c r="R105" s="8"/>
    </row>
    <row r="106" spans="1:18">
      <c r="A106" s="8"/>
      <c r="B106" s="10"/>
      <c r="C106" s="8"/>
      <c r="D106" s="8"/>
      <c r="E106" s="8"/>
      <c r="F106" s="8"/>
      <c r="G106" s="11"/>
      <c r="H106" s="11"/>
      <c r="I106" s="11"/>
      <c r="J106" s="11"/>
      <c r="K106" s="11"/>
      <c r="L106" s="11"/>
      <c r="M106" s="12" t="str">
        <f t="shared" si="1"/>
        <v/>
      </c>
      <c r="N106" s="8"/>
      <c r="O106" s="8"/>
      <c r="P106" s="8"/>
      <c r="Q106" s="10"/>
      <c r="R106" s="8"/>
    </row>
    <row r="107" spans="1:18">
      <c r="A107" s="8"/>
      <c r="B107" s="10"/>
      <c r="C107" s="8"/>
      <c r="D107" s="8"/>
      <c r="E107" s="8"/>
      <c r="F107" s="8"/>
      <c r="G107" s="11"/>
      <c r="H107" s="11"/>
      <c r="I107" s="11"/>
      <c r="J107" s="11"/>
      <c r="K107" s="11"/>
      <c r="L107" s="11"/>
      <c r="M107" s="12" t="str">
        <f t="shared" si="1"/>
        <v/>
      </c>
      <c r="N107" s="8"/>
      <c r="O107" s="8"/>
      <c r="P107" s="8"/>
      <c r="Q107" s="10"/>
      <c r="R107" s="8"/>
    </row>
    <row r="108" spans="1:18">
      <c r="A108" s="8"/>
      <c r="B108" s="10"/>
      <c r="C108" s="8"/>
      <c r="D108" s="8"/>
      <c r="E108" s="8"/>
      <c r="F108" s="8"/>
      <c r="G108" s="11"/>
      <c r="H108" s="11"/>
      <c r="I108" s="11"/>
      <c r="J108" s="11"/>
      <c r="K108" s="11"/>
      <c r="L108" s="11"/>
      <c r="M108" s="12" t="str">
        <f t="shared" si="1"/>
        <v/>
      </c>
      <c r="N108" s="8"/>
      <c r="O108" s="8"/>
      <c r="P108" s="8"/>
      <c r="Q108" s="10"/>
      <c r="R108" s="8"/>
    </row>
    <row r="109" spans="1:18">
      <c r="A109" s="8"/>
      <c r="B109" s="10"/>
      <c r="C109" s="8"/>
      <c r="D109" s="8"/>
      <c r="E109" s="8"/>
      <c r="F109" s="8"/>
      <c r="G109" s="11"/>
      <c r="H109" s="11"/>
      <c r="I109" s="11"/>
      <c r="J109" s="11"/>
      <c r="K109" s="11"/>
      <c r="L109" s="11"/>
      <c r="M109" s="12" t="str">
        <f t="shared" si="1"/>
        <v/>
      </c>
      <c r="N109" s="8"/>
      <c r="O109" s="8"/>
      <c r="P109" s="8"/>
      <c r="Q109" s="10"/>
      <c r="R109" s="8"/>
    </row>
    <row r="110" spans="1:18">
      <c r="A110" s="8"/>
      <c r="B110" s="10"/>
      <c r="C110" s="8"/>
      <c r="D110" s="8"/>
      <c r="E110" s="8"/>
      <c r="F110" s="8"/>
      <c r="G110" s="11"/>
      <c r="H110" s="11"/>
      <c r="I110" s="11"/>
      <c r="J110" s="11"/>
      <c r="K110" s="11"/>
      <c r="L110" s="11"/>
      <c r="M110" s="12" t="str">
        <f t="shared" si="1"/>
        <v/>
      </c>
      <c r="N110" s="8"/>
      <c r="O110" s="8"/>
      <c r="P110" s="8"/>
      <c r="Q110" s="10"/>
      <c r="R110" s="8"/>
    </row>
    <row r="111" spans="1:18">
      <c r="A111" s="8"/>
      <c r="B111" s="10"/>
      <c r="C111" s="8"/>
      <c r="D111" s="8"/>
      <c r="E111" s="8"/>
      <c r="F111" s="8"/>
      <c r="G111" s="11"/>
      <c r="H111" s="11"/>
      <c r="I111" s="11"/>
      <c r="J111" s="11"/>
      <c r="K111" s="11"/>
      <c r="L111" s="11"/>
      <c r="M111" s="12" t="str">
        <f t="shared" si="1"/>
        <v/>
      </c>
      <c r="N111" s="8"/>
      <c r="O111" s="8"/>
      <c r="P111" s="8"/>
      <c r="Q111" s="10"/>
      <c r="R111" s="8"/>
    </row>
    <row r="112" spans="1:18">
      <c r="A112" s="8"/>
      <c r="B112" s="10"/>
      <c r="C112" s="8"/>
      <c r="D112" s="8"/>
      <c r="E112" s="8"/>
      <c r="F112" s="8"/>
      <c r="G112" s="11"/>
      <c r="H112" s="11"/>
      <c r="I112" s="11"/>
      <c r="J112" s="11"/>
      <c r="K112" s="11"/>
      <c r="L112" s="11"/>
      <c r="M112" s="12" t="str">
        <f t="shared" si="1"/>
        <v/>
      </c>
      <c r="N112" s="8"/>
      <c r="O112" s="8"/>
      <c r="P112" s="8"/>
      <c r="Q112" s="10"/>
      <c r="R112" s="8"/>
    </row>
    <row r="113" spans="1:18">
      <c r="A113" s="8"/>
      <c r="B113" s="10"/>
      <c r="C113" s="8"/>
      <c r="D113" s="8"/>
      <c r="E113" s="8"/>
      <c r="F113" s="8"/>
      <c r="G113" s="11"/>
      <c r="H113" s="11"/>
      <c r="I113" s="11"/>
      <c r="J113" s="11"/>
      <c r="K113" s="11"/>
      <c r="L113" s="11"/>
      <c r="M113" s="12" t="str">
        <f t="shared" si="1"/>
        <v/>
      </c>
      <c r="N113" s="8"/>
      <c r="O113" s="8"/>
      <c r="P113" s="8"/>
      <c r="Q113" s="10"/>
      <c r="R113" s="8"/>
    </row>
    <row r="114" spans="1:18">
      <c r="A114" s="8"/>
      <c r="B114" s="10"/>
      <c r="C114" s="8"/>
      <c r="D114" s="8"/>
      <c r="E114" s="8"/>
      <c r="F114" s="8"/>
      <c r="G114" s="11"/>
      <c r="H114" s="11"/>
      <c r="I114" s="11"/>
      <c r="J114" s="11"/>
      <c r="K114" s="11"/>
      <c r="L114" s="11"/>
      <c r="M114" s="12" t="str">
        <f t="shared" si="1"/>
        <v/>
      </c>
      <c r="N114" s="8"/>
      <c r="O114" s="8"/>
      <c r="P114" s="8"/>
      <c r="Q114" s="10"/>
      <c r="R114" s="8"/>
    </row>
    <row r="115" spans="1:18">
      <c r="A115" s="8"/>
      <c r="B115" s="10"/>
      <c r="C115" s="8"/>
      <c r="D115" s="8"/>
      <c r="E115" s="8"/>
      <c r="F115" s="8"/>
      <c r="G115" s="11"/>
      <c r="H115" s="11"/>
      <c r="I115" s="11"/>
      <c r="J115" s="11"/>
      <c r="K115" s="11"/>
      <c r="L115" s="11"/>
      <c r="M115" s="12" t="str">
        <f t="shared" si="1"/>
        <v/>
      </c>
      <c r="N115" s="8"/>
      <c r="O115" s="8"/>
      <c r="P115" s="8"/>
      <c r="Q115" s="10"/>
      <c r="R115" s="8"/>
    </row>
    <row r="116" spans="1:18">
      <c r="A116" s="8"/>
      <c r="B116" s="10"/>
      <c r="C116" s="8"/>
      <c r="D116" s="8"/>
      <c r="E116" s="8"/>
      <c r="F116" s="8"/>
      <c r="G116" s="11"/>
      <c r="H116" s="11"/>
      <c r="I116" s="11"/>
      <c r="J116" s="11"/>
      <c r="K116" s="11"/>
      <c r="L116" s="11"/>
      <c r="M116" s="12" t="str">
        <f t="shared" si="1"/>
        <v/>
      </c>
      <c r="N116" s="8"/>
      <c r="O116" s="8"/>
      <c r="P116" s="8"/>
      <c r="Q116" s="10"/>
      <c r="R116" s="8"/>
    </row>
    <row r="117" spans="1:18">
      <c r="A117" s="8"/>
      <c r="B117" s="10"/>
      <c r="C117" s="8"/>
      <c r="D117" s="8"/>
      <c r="E117" s="8"/>
      <c r="F117" s="8"/>
      <c r="G117" s="11"/>
      <c r="H117" s="11"/>
      <c r="I117" s="11"/>
      <c r="J117" s="11"/>
      <c r="K117" s="11"/>
      <c r="L117" s="11"/>
      <c r="M117" s="12" t="str">
        <f t="shared" si="1"/>
        <v/>
      </c>
      <c r="N117" s="8"/>
      <c r="O117" s="8"/>
      <c r="P117" s="8"/>
      <c r="Q117" s="10"/>
      <c r="R117" s="8"/>
    </row>
    <row r="118" spans="1:18">
      <c r="A118" s="8"/>
      <c r="B118" s="10"/>
      <c r="C118" s="8"/>
      <c r="D118" s="8"/>
      <c r="E118" s="8"/>
      <c r="F118" s="8"/>
      <c r="G118" s="11"/>
      <c r="H118" s="11"/>
      <c r="I118" s="11"/>
      <c r="J118" s="11"/>
      <c r="K118" s="11"/>
      <c r="L118" s="11"/>
      <c r="M118" s="12" t="str">
        <f t="shared" si="1"/>
        <v/>
      </c>
      <c r="N118" s="8"/>
      <c r="O118" s="8"/>
      <c r="P118" s="8"/>
      <c r="Q118" s="10"/>
      <c r="R118" s="8"/>
    </row>
    <row r="119" spans="1:18">
      <c r="A119" s="8"/>
      <c r="B119" s="10"/>
      <c r="C119" s="8"/>
      <c r="D119" s="8"/>
      <c r="E119" s="8"/>
      <c r="F119" s="8"/>
      <c r="G119" s="11"/>
      <c r="H119" s="11"/>
      <c r="I119" s="11"/>
      <c r="J119" s="11"/>
      <c r="K119" s="11"/>
      <c r="L119" s="11"/>
      <c r="M119" s="12" t="str">
        <f t="shared" si="1"/>
        <v/>
      </c>
      <c r="N119" s="8"/>
      <c r="O119" s="8"/>
      <c r="P119" s="8"/>
      <c r="Q119" s="10"/>
      <c r="R119" s="8"/>
    </row>
    <row r="120" spans="1:18">
      <c r="A120" s="8"/>
      <c r="B120" s="10"/>
      <c r="C120" s="8"/>
      <c r="D120" s="8"/>
      <c r="E120" s="8"/>
      <c r="F120" s="8"/>
      <c r="G120" s="11"/>
      <c r="H120" s="11"/>
      <c r="I120" s="11"/>
      <c r="J120" s="11"/>
      <c r="K120" s="11"/>
      <c r="L120" s="11"/>
      <c r="M120" s="12" t="str">
        <f t="shared" si="1"/>
        <v/>
      </c>
      <c r="N120" s="8"/>
      <c r="O120" s="8"/>
      <c r="P120" s="8"/>
      <c r="Q120" s="10"/>
      <c r="R120" s="8"/>
    </row>
    <row r="121" spans="1:18">
      <c r="A121" s="8"/>
      <c r="B121" s="10"/>
      <c r="C121" s="8"/>
      <c r="D121" s="8"/>
      <c r="E121" s="8"/>
      <c r="F121" s="8"/>
      <c r="G121" s="11"/>
      <c r="H121" s="11"/>
      <c r="I121" s="11"/>
      <c r="J121" s="11"/>
      <c r="K121" s="11"/>
      <c r="L121" s="11"/>
      <c r="M121" s="12" t="str">
        <f t="shared" si="1"/>
        <v/>
      </c>
      <c r="N121" s="8"/>
      <c r="O121" s="8"/>
      <c r="P121" s="8"/>
      <c r="Q121" s="10"/>
      <c r="R121" s="8"/>
    </row>
    <row r="122" spans="1:18">
      <c r="A122" s="8"/>
      <c r="B122" s="10"/>
      <c r="C122" s="8"/>
      <c r="D122" s="8"/>
      <c r="E122" s="8"/>
      <c r="F122" s="8"/>
      <c r="G122" s="11"/>
      <c r="H122" s="11"/>
      <c r="I122" s="11"/>
      <c r="J122" s="11"/>
      <c r="K122" s="11"/>
      <c r="L122" s="11"/>
      <c r="M122" s="12" t="str">
        <f t="shared" si="1"/>
        <v/>
      </c>
      <c r="N122" s="8"/>
      <c r="O122" s="8"/>
      <c r="P122" s="8"/>
      <c r="Q122" s="10"/>
      <c r="R122" s="8"/>
    </row>
    <row r="123" spans="1:18">
      <c r="A123" s="8"/>
      <c r="B123" s="10"/>
      <c r="C123" s="8"/>
      <c r="D123" s="8"/>
      <c r="E123" s="8"/>
      <c r="F123" s="8"/>
      <c r="G123" s="11"/>
      <c r="H123" s="11"/>
      <c r="I123" s="11"/>
      <c r="J123" s="11"/>
      <c r="K123" s="11"/>
      <c r="L123" s="11"/>
      <c r="M123" s="12" t="str">
        <f t="shared" si="1"/>
        <v/>
      </c>
      <c r="N123" s="8"/>
      <c r="O123" s="8"/>
      <c r="P123" s="8"/>
      <c r="Q123" s="10"/>
      <c r="R123" s="8"/>
    </row>
    <row r="124" spans="1:18">
      <c r="A124" s="8"/>
      <c r="B124" s="10"/>
      <c r="C124" s="8"/>
      <c r="D124" s="8"/>
      <c r="E124" s="8"/>
      <c r="F124" s="8"/>
      <c r="G124" s="11"/>
      <c r="H124" s="11"/>
      <c r="I124" s="11"/>
      <c r="J124" s="11"/>
      <c r="K124" s="11"/>
      <c r="L124" s="11"/>
      <c r="M124" s="12" t="str">
        <f t="shared" si="1"/>
        <v/>
      </c>
      <c r="N124" s="8"/>
      <c r="O124" s="8"/>
      <c r="P124" s="8"/>
      <c r="Q124" s="10"/>
      <c r="R124" s="8"/>
    </row>
    <row r="125" spans="1:18">
      <c r="A125" s="8"/>
      <c r="B125" s="10"/>
      <c r="C125" s="8"/>
      <c r="D125" s="8"/>
      <c r="E125" s="8"/>
      <c r="F125" s="8"/>
      <c r="G125" s="11"/>
      <c r="H125" s="11"/>
      <c r="I125" s="11"/>
      <c r="J125" s="11"/>
      <c r="K125" s="11"/>
      <c r="L125" s="11"/>
      <c r="M125" s="12" t="str">
        <f t="shared" si="1"/>
        <v/>
      </c>
      <c r="N125" s="8"/>
      <c r="O125" s="8"/>
      <c r="P125" s="8"/>
      <c r="Q125" s="10"/>
      <c r="R125" s="8"/>
    </row>
    <row r="126" spans="1:18">
      <c r="A126" s="8"/>
      <c r="B126" s="10"/>
      <c r="C126" s="8"/>
      <c r="D126" s="8"/>
      <c r="E126" s="8"/>
      <c r="F126" s="8"/>
      <c r="G126" s="11"/>
      <c r="H126" s="11"/>
      <c r="I126" s="11"/>
      <c r="J126" s="11"/>
      <c r="K126" s="11"/>
      <c r="L126" s="11"/>
      <c r="M126" s="12" t="str">
        <f t="shared" si="1"/>
        <v/>
      </c>
      <c r="N126" s="8"/>
      <c r="O126" s="8"/>
      <c r="P126" s="8"/>
      <c r="Q126" s="10"/>
      <c r="R126" s="8"/>
    </row>
    <row r="127" spans="1:18">
      <c r="A127" s="8"/>
      <c r="B127" s="10"/>
      <c r="C127" s="8"/>
      <c r="D127" s="8"/>
      <c r="E127" s="8"/>
      <c r="F127" s="8"/>
      <c r="G127" s="11"/>
      <c r="H127" s="11"/>
      <c r="I127" s="11"/>
      <c r="J127" s="11"/>
      <c r="K127" s="11"/>
      <c r="L127" s="11"/>
      <c r="M127" s="12" t="str">
        <f t="shared" si="1"/>
        <v/>
      </c>
      <c r="N127" s="8"/>
      <c r="O127" s="8"/>
      <c r="P127" s="8"/>
      <c r="Q127" s="10"/>
      <c r="R127" s="8"/>
    </row>
    <row r="128" spans="1:18">
      <c r="A128" s="8"/>
      <c r="B128" s="10"/>
      <c r="C128" s="8"/>
      <c r="D128" s="8"/>
      <c r="E128" s="8"/>
      <c r="F128" s="8"/>
      <c r="G128" s="11"/>
      <c r="H128" s="11"/>
      <c r="I128" s="11"/>
      <c r="J128" s="11"/>
      <c r="K128" s="11"/>
      <c r="L128" s="11"/>
      <c r="M128" s="12" t="str">
        <f t="shared" si="1"/>
        <v/>
      </c>
      <c r="N128" s="8"/>
      <c r="O128" s="8"/>
      <c r="P128" s="8"/>
      <c r="Q128" s="10"/>
      <c r="R128" s="8"/>
    </row>
    <row r="129" spans="1:18">
      <c r="A129" s="8"/>
      <c r="B129" s="10"/>
      <c r="C129" s="8"/>
      <c r="D129" s="8"/>
      <c r="E129" s="8"/>
      <c r="F129" s="8"/>
      <c r="G129" s="11"/>
      <c r="H129" s="11"/>
      <c r="I129" s="11"/>
      <c r="J129" s="11"/>
      <c r="K129" s="11"/>
      <c r="L129" s="11"/>
      <c r="M129" s="12" t="str">
        <f t="shared" si="1"/>
        <v/>
      </c>
      <c r="N129" s="8"/>
      <c r="O129" s="8"/>
      <c r="P129" s="8"/>
      <c r="Q129" s="10"/>
      <c r="R129" s="8"/>
    </row>
    <row r="130" spans="1:18">
      <c r="A130" s="8"/>
      <c r="B130" s="10"/>
      <c r="C130" s="8"/>
      <c r="D130" s="8"/>
      <c r="E130" s="8"/>
      <c r="F130" s="8"/>
      <c r="G130" s="11"/>
      <c r="H130" s="11"/>
      <c r="I130" s="11"/>
      <c r="J130" s="11"/>
      <c r="K130" s="11"/>
      <c r="L130" s="11"/>
      <c r="M130" s="12" t="str">
        <f t="shared" si="1"/>
        <v/>
      </c>
      <c r="N130" s="8"/>
      <c r="O130" s="8"/>
      <c r="P130" s="8"/>
      <c r="Q130" s="10"/>
      <c r="R130" s="8"/>
    </row>
    <row r="131" spans="1:18">
      <c r="A131" s="8"/>
      <c r="B131" s="10"/>
      <c r="C131" s="8"/>
      <c r="D131" s="8"/>
      <c r="E131" s="8"/>
      <c r="F131" s="8"/>
      <c r="G131" s="11"/>
      <c r="H131" s="11"/>
      <c r="I131" s="11"/>
      <c r="J131" s="11"/>
      <c r="K131" s="11"/>
      <c r="L131" s="11"/>
      <c r="M131" s="12" t="str">
        <f t="shared" si="1"/>
        <v/>
      </c>
      <c r="N131" s="8"/>
      <c r="O131" s="8"/>
      <c r="P131" s="8"/>
      <c r="Q131" s="10"/>
      <c r="R131" s="8"/>
    </row>
    <row r="132" spans="1:18">
      <c r="A132" s="8"/>
      <c r="B132" s="10"/>
      <c r="C132" s="8"/>
      <c r="D132" s="8"/>
      <c r="E132" s="8"/>
      <c r="F132" s="8"/>
      <c r="G132" s="11"/>
      <c r="H132" s="11"/>
      <c r="I132" s="11"/>
      <c r="J132" s="11"/>
      <c r="K132" s="11"/>
      <c r="L132" s="11"/>
      <c r="M132" s="12" t="str">
        <f t="shared" si="1"/>
        <v/>
      </c>
      <c r="N132" s="8"/>
      <c r="O132" s="8"/>
      <c r="P132" s="8"/>
      <c r="Q132" s="10"/>
      <c r="R132" s="8"/>
    </row>
    <row r="133" spans="1:18">
      <c r="A133" s="8"/>
      <c r="B133" s="10"/>
      <c r="C133" s="8"/>
      <c r="D133" s="8"/>
      <c r="E133" s="8"/>
      <c r="F133" s="8"/>
      <c r="G133" s="11"/>
      <c r="H133" s="11"/>
      <c r="I133" s="11"/>
      <c r="J133" s="11"/>
      <c r="K133" s="11"/>
      <c r="L133" s="11"/>
      <c r="M133" s="12" t="str">
        <f t="shared" ref="M133:M196" si="2">IF(A133="","",MAX(0,H133-K133-L133))</f>
        <v/>
      </c>
      <c r="N133" s="8"/>
      <c r="O133" s="8"/>
      <c r="P133" s="8"/>
      <c r="Q133" s="10"/>
      <c r="R133" s="8"/>
    </row>
    <row r="134" spans="1:18">
      <c r="A134" s="8"/>
      <c r="B134" s="10"/>
      <c r="C134" s="8"/>
      <c r="D134" s="8"/>
      <c r="E134" s="8"/>
      <c r="F134" s="8"/>
      <c r="G134" s="11"/>
      <c r="H134" s="11"/>
      <c r="I134" s="11"/>
      <c r="J134" s="11"/>
      <c r="K134" s="11"/>
      <c r="L134" s="11"/>
      <c r="M134" s="12" t="str">
        <f t="shared" si="2"/>
        <v/>
      </c>
      <c r="N134" s="8"/>
      <c r="O134" s="8"/>
      <c r="P134" s="8"/>
      <c r="Q134" s="10"/>
      <c r="R134" s="8"/>
    </row>
    <row r="135" spans="1:18">
      <c r="A135" s="8"/>
      <c r="B135" s="10"/>
      <c r="C135" s="8"/>
      <c r="D135" s="8"/>
      <c r="E135" s="8"/>
      <c r="F135" s="8"/>
      <c r="G135" s="11"/>
      <c r="H135" s="11"/>
      <c r="I135" s="11"/>
      <c r="J135" s="11"/>
      <c r="K135" s="11"/>
      <c r="L135" s="11"/>
      <c r="M135" s="12" t="str">
        <f t="shared" si="2"/>
        <v/>
      </c>
      <c r="N135" s="8"/>
      <c r="O135" s="8"/>
      <c r="P135" s="8"/>
      <c r="Q135" s="10"/>
      <c r="R135" s="8"/>
    </row>
    <row r="136" spans="1:18">
      <c r="A136" s="8"/>
      <c r="B136" s="10"/>
      <c r="C136" s="8"/>
      <c r="D136" s="8"/>
      <c r="E136" s="8"/>
      <c r="F136" s="8"/>
      <c r="G136" s="11"/>
      <c r="H136" s="11"/>
      <c r="I136" s="11"/>
      <c r="J136" s="11"/>
      <c r="K136" s="11"/>
      <c r="L136" s="11"/>
      <c r="M136" s="12" t="str">
        <f t="shared" si="2"/>
        <v/>
      </c>
      <c r="N136" s="8"/>
      <c r="O136" s="8"/>
      <c r="P136" s="8"/>
      <c r="Q136" s="10"/>
      <c r="R136" s="8"/>
    </row>
    <row r="137" spans="1:18">
      <c r="A137" s="8"/>
      <c r="B137" s="10"/>
      <c r="C137" s="8"/>
      <c r="D137" s="8"/>
      <c r="E137" s="8"/>
      <c r="F137" s="8"/>
      <c r="G137" s="11"/>
      <c r="H137" s="11"/>
      <c r="I137" s="11"/>
      <c r="J137" s="11"/>
      <c r="K137" s="11"/>
      <c r="L137" s="11"/>
      <c r="M137" s="12" t="str">
        <f t="shared" si="2"/>
        <v/>
      </c>
      <c r="N137" s="8"/>
      <c r="O137" s="8"/>
      <c r="P137" s="8"/>
      <c r="Q137" s="10"/>
      <c r="R137" s="8"/>
    </row>
    <row r="138" spans="1:18">
      <c r="A138" s="8"/>
      <c r="B138" s="10"/>
      <c r="C138" s="8"/>
      <c r="D138" s="8"/>
      <c r="E138" s="8"/>
      <c r="F138" s="8"/>
      <c r="G138" s="11"/>
      <c r="H138" s="11"/>
      <c r="I138" s="11"/>
      <c r="J138" s="11"/>
      <c r="K138" s="11"/>
      <c r="L138" s="11"/>
      <c r="M138" s="12" t="str">
        <f t="shared" si="2"/>
        <v/>
      </c>
      <c r="N138" s="8"/>
      <c r="O138" s="8"/>
      <c r="P138" s="8"/>
      <c r="Q138" s="10"/>
      <c r="R138" s="8"/>
    </row>
    <row r="139" spans="1:18">
      <c r="A139" s="8"/>
      <c r="B139" s="10"/>
      <c r="C139" s="8"/>
      <c r="D139" s="8"/>
      <c r="E139" s="8"/>
      <c r="F139" s="8"/>
      <c r="G139" s="11"/>
      <c r="H139" s="11"/>
      <c r="I139" s="11"/>
      <c r="J139" s="11"/>
      <c r="K139" s="11"/>
      <c r="L139" s="11"/>
      <c r="M139" s="12" t="str">
        <f t="shared" si="2"/>
        <v/>
      </c>
      <c r="N139" s="8"/>
      <c r="O139" s="8"/>
      <c r="P139" s="8"/>
      <c r="Q139" s="10"/>
      <c r="R139" s="8"/>
    </row>
    <row r="140" spans="1:18">
      <c r="A140" s="8"/>
      <c r="B140" s="10"/>
      <c r="C140" s="8"/>
      <c r="D140" s="8"/>
      <c r="E140" s="8"/>
      <c r="F140" s="8"/>
      <c r="G140" s="11"/>
      <c r="H140" s="11"/>
      <c r="I140" s="11"/>
      <c r="J140" s="11"/>
      <c r="K140" s="11"/>
      <c r="L140" s="11"/>
      <c r="M140" s="12" t="str">
        <f t="shared" si="2"/>
        <v/>
      </c>
      <c r="N140" s="8"/>
      <c r="O140" s="8"/>
      <c r="P140" s="8"/>
      <c r="Q140" s="10"/>
      <c r="R140" s="8"/>
    </row>
    <row r="141" spans="1:18">
      <c r="A141" s="8"/>
      <c r="B141" s="10"/>
      <c r="C141" s="8"/>
      <c r="D141" s="8"/>
      <c r="E141" s="8"/>
      <c r="F141" s="8"/>
      <c r="G141" s="11"/>
      <c r="H141" s="11"/>
      <c r="I141" s="11"/>
      <c r="J141" s="11"/>
      <c r="K141" s="11"/>
      <c r="L141" s="11"/>
      <c r="M141" s="12" t="str">
        <f t="shared" si="2"/>
        <v/>
      </c>
      <c r="N141" s="8"/>
      <c r="O141" s="8"/>
      <c r="P141" s="8"/>
      <c r="Q141" s="10"/>
      <c r="R141" s="8"/>
    </row>
    <row r="142" spans="1:18">
      <c r="A142" s="8"/>
      <c r="B142" s="10"/>
      <c r="C142" s="8"/>
      <c r="D142" s="8"/>
      <c r="E142" s="8"/>
      <c r="F142" s="8"/>
      <c r="G142" s="11"/>
      <c r="H142" s="11"/>
      <c r="I142" s="11"/>
      <c r="J142" s="11"/>
      <c r="K142" s="11"/>
      <c r="L142" s="11"/>
      <c r="M142" s="12" t="str">
        <f t="shared" si="2"/>
        <v/>
      </c>
      <c r="N142" s="8"/>
      <c r="O142" s="8"/>
      <c r="P142" s="8"/>
      <c r="Q142" s="10"/>
      <c r="R142" s="8"/>
    </row>
    <row r="143" spans="1:18">
      <c r="A143" s="8"/>
      <c r="B143" s="10"/>
      <c r="C143" s="8"/>
      <c r="D143" s="8"/>
      <c r="E143" s="8"/>
      <c r="F143" s="8"/>
      <c r="G143" s="11"/>
      <c r="H143" s="11"/>
      <c r="I143" s="11"/>
      <c r="J143" s="11"/>
      <c r="K143" s="11"/>
      <c r="L143" s="11"/>
      <c r="M143" s="12" t="str">
        <f t="shared" si="2"/>
        <v/>
      </c>
      <c r="N143" s="8"/>
      <c r="O143" s="8"/>
      <c r="P143" s="8"/>
      <c r="Q143" s="10"/>
      <c r="R143" s="8"/>
    </row>
    <row r="144" spans="1:18">
      <c r="A144" s="8"/>
      <c r="B144" s="10"/>
      <c r="C144" s="8"/>
      <c r="D144" s="8"/>
      <c r="E144" s="8"/>
      <c r="F144" s="8"/>
      <c r="G144" s="11"/>
      <c r="H144" s="11"/>
      <c r="I144" s="11"/>
      <c r="J144" s="11"/>
      <c r="K144" s="11"/>
      <c r="L144" s="11"/>
      <c r="M144" s="12" t="str">
        <f t="shared" si="2"/>
        <v/>
      </c>
      <c r="N144" s="8"/>
      <c r="O144" s="8"/>
      <c r="P144" s="8"/>
      <c r="Q144" s="10"/>
      <c r="R144" s="8"/>
    </row>
    <row r="145" spans="1:18">
      <c r="A145" s="8"/>
      <c r="B145" s="10"/>
      <c r="C145" s="8"/>
      <c r="D145" s="8"/>
      <c r="E145" s="8"/>
      <c r="F145" s="8"/>
      <c r="G145" s="11"/>
      <c r="H145" s="11"/>
      <c r="I145" s="11"/>
      <c r="J145" s="11"/>
      <c r="K145" s="11"/>
      <c r="L145" s="11"/>
      <c r="M145" s="12" t="str">
        <f t="shared" si="2"/>
        <v/>
      </c>
      <c r="N145" s="8"/>
      <c r="O145" s="8"/>
      <c r="P145" s="8"/>
      <c r="Q145" s="10"/>
      <c r="R145" s="8"/>
    </row>
    <row r="146" spans="1:18">
      <c r="A146" s="8"/>
      <c r="B146" s="10"/>
      <c r="C146" s="8"/>
      <c r="D146" s="8"/>
      <c r="E146" s="8"/>
      <c r="F146" s="8"/>
      <c r="G146" s="11"/>
      <c r="H146" s="11"/>
      <c r="I146" s="11"/>
      <c r="J146" s="11"/>
      <c r="K146" s="11"/>
      <c r="L146" s="11"/>
      <c r="M146" s="12" t="str">
        <f t="shared" si="2"/>
        <v/>
      </c>
      <c r="N146" s="8"/>
      <c r="O146" s="8"/>
      <c r="P146" s="8"/>
      <c r="Q146" s="10"/>
      <c r="R146" s="8"/>
    </row>
    <row r="147" spans="1:18">
      <c r="A147" s="8"/>
      <c r="B147" s="10"/>
      <c r="C147" s="8"/>
      <c r="D147" s="8"/>
      <c r="E147" s="8"/>
      <c r="F147" s="8"/>
      <c r="G147" s="11"/>
      <c r="H147" s="11"/>
      <c r="I147" s="11"/>
      <c r="J147" s="11"/>
      <c r="K147" s="11"/>
      <c r="L147" s="11"/>
      <c r="M147" s="12" t="str">
        <f t="shared" si="2"/>
        <v/>
      </c>
      <c r="N147" s="8"/>
      <c r="O147" s="8"/>
      <c r="P147" s="8"/>
      <c r="Q147" s="10"/>
      <c r="R147" s="8"/>
    </row>
    <row r="148" spans="1:18">
      <c r="A148" s="8"/>
      <c r="B148" s="10"/>
      <c r="C148" s="8"/>
      <c r="D148" s="8"/>
      <c r="E148" s="8"/>
      <c r="F148" s="8"/>
      <c r="G148" s="11"/>
      <c r="H148" s="11"/>
      <c r="I148" s="11"/>
      <c r="J148" s="11"/>
      <c r="K148" s="11"/>
      <c r="L148" s="11"/>
      <c r="M148" s="12" t="str">
        <f t="shared" si="2"/>
        <v/>
      </c>
      <c r="N148" s="8"/>
      <c r="O148" s="8"/>
      <c r="P148" s="8"/>
      <c r="Q148" s="10"/>
      <c r="R148" s="8"/>
    </row>
    <row r="149" spans="1:18">
      <c r="A149" s="8"/>
      <c r="B149" s="10"/>
      <c r="C149" s="8"/>
      <c r="D149" s="8"/>
      <c r="E149" s="8"/>
      <c r="F149" s="8"/>
      <c r="G149" s="11"/>
      <c r="H149" s="11"/>
      <c r="I149" s="11"/>
      <c r="J149" s="11"/>
      <c r="K149" s="11"/>
      <c r="L149" s="11"/>
      <c r="M149" s="12" t="str">
        <f t="shared" si="2"/>
        <v/>
      </c>
      <c r="N149" s="8"/>
      <c r="O149" s="8"/>
      <c r="P149" s="8"/>
      <c r="Q149" s="10"/>
      <c r="R149" s="8"/>
    </row>
    <row r="150" spans="1:18">
      <c r="A150" s="8"/>
      <c r="B150" s="10"/>
      <c r="C150" s="8"/>
      <c r="D150" s="8"/>
      <c r="E150" s="8"/>
      <c r="F150" s="8"/>
      <c r="G150" s="11"/>
      <c r="H150" s="11"/>
      <c r="I150" s="11"/>
      <c r="J150" s="11"/>
      <c r="K150" s="11"/>
      <c r="L150" s="11"/>
      <c r="M150" s="12" t="str">
        <f t="shared" si="2"/>
        <v/>
      </c>
      <c r="N150" s="8"/>
      <c r="O150" s="8"/>
      <c r="P150" s="8"/>
      <c r="Q150" s="10"/>
      <c r="R150" s="8"/>
    </row>
    <row r="151" spans="1:18">
      <c r="A151" s="8"/>
      <c r="B151" s="10"/>
      <c r="C151" s="8"/>
      <c r="D151" s="8"/>
      <c r="E151" s="8"/>
      <c r="F151" s="8"/>
      <c r="G151" s="11"/>
      <c r="H151" s="11"/>
      <c r="I151" s="11"/>
      <c r="J151" s="11"/>
      <c r="K151" s="11"/>
      <c r="L151" s="11"/>
      <c r="M151" s="12" t="str">
        <f t="shared" si="2"/>
        <v/>
      </c>
      <c r="N151" s="8"/>
      <c r="O151" s="8"/>
      <c r="P151" s="8"/>
      <c r="Q151" s="10"/>
      <c r="R151" s="8"/>
    </row>
    <row r="152" spans="1:18">
      <c r="A152" s="8"/>
      <c r="B152" s="10"/>
      <c r="C152" s="8"/>
      <c r="D152" s="8"/>
      <c r="E152" s="8"/>
      <c r="F152" s="8"/>
      <c r="G152" s="11"/>
      <c r="H152" s="11"/>
      <c r="I152" s="11"/>
      <c r="J152" s="11"/>
      <c r="K152" s="11"/>
      <c r="L152" s="11"/>
      <c r="M152" s="12" t="str">
        <f t="shared" si="2"/>
        <v/>
      </c>
      <c r="N152" s="8"/>
      <c r="O152" s="8"/>
      <c r="P152" s="8"/>
      <c r="Q152" s="10"/>
      <c r="R152" s="8"/>
    </row>
    <row r="153" spans="1:18">
      <c r="A153" s="8"/>
      <c r="B153" s="10"/>
      <c r="C153" s="8"/>
      <c r="D153" s="8"/>
      <c r="E153" s="8"/>
      <c r="F153" s="8"/>
      <c r="G153" s="11"/>
      <c r="H153" s="11"/>
      <c r="I153" s="11"/>
      <c r="J153" s="11"/>
      <c r="K153" s="11"/>
      <c r="L153" s="11"/>
      <c r="M153" s="12" t="str">
        <f t="shared" si="2"/>
        <v/>
      </c>
      <c r="N153" s="8"/>
      <c r="O153" s="8"/>
      <c r="P153" s="8"/>
      <c r="Q153" s="10"/>
      <c r="R153" s="8"/>
    </row>
    <row r="154" spans="1:18">
      <c r="A154" s="8"/>
      <c r="B154" s="10"/>
      <c r="C154" s="8"/>
      <c r="D154" s="8"/>
      <c r="E154" s="8"/>
      <c r="F154" s="8"/>
      <c r="G154" s="11"/>
      <c r="H154" s="11"/>
      <c r="I154" s="11"/>
      <c r="J154" s="11"/>
      <c r="K154" s="11"/>
      <c r="L154" s="11"/>
      <c r="M154" s="12" t="str">
        <f t="shared" si="2"/>
        <v/>
      </c>
      <c r="N154" s="8"/>
      <c r="O154" s="8"/>
      <c r="P154" s="8"/>
      <c r="Q154" s="10"/>
      <c r="R154" s="8"/>
    </row>
    <row r="155" spans="1:18">
      <c r="A155" s="8"/>
      <c r="B155" s="10"/>
      <c r="C155" s="8"/>
      <c r="D155" s="8"/>
      <c r="E155" s="8"/>
      <c r="F155" s="8"/>
      <c r="G155" s="11"/>
      <c r="H155" s="11"/>
      <c r="I155" s="11"/>
      <c r="J155" s="11"/>
      <c r="K155" s="11"/>
      <c r="L155" s="11"/>
      <c r="M155" s="12" t="str">
        <f t="shared" si="2"/>
        <v/>
      </c>
      <c r="N155" s="8"/>
      <c r="O155" s="8"/>
      <c r="P155" s="8"/>
      <c r="Q155" s="10"/>
      <c r="R155" s="8"/>
    </row>
    <row r="156" spans="1:18">
      <c r="A156" s="8"/>
      <c r="B156" s="10"/>
      <c r="C156" s="8"/>
      <c r="D156" s="8"/>
      <c r="E156" s="8"/>
      <c r="F156" s="8"/>
      <c r="G156" s="11"/>
      <c r="H156" s="11"/>
      <c r="I156" s="11"/>
      <c r="J156" s="11"/>
      <c r="K156" s="11"/>
      <c r="L156" s="11"/>
      <c r="M156" s="12" t="str">
        <f t="shared" si="2"/>
        <v/>
      </c>
      <c r="N156" s="8"/>
      <c r="O156" s="8"/>
      <c r="P156" s="8"/>
      <c r="Q156" s="10"/>
      <c r="R156" s="8"/>
    </row>
    <row r="157" spans="1:18">
      <c r="A157" s="8"/>
      <c r="B157" s="10"/>
      <c r="C157" s="8"/>
      <c r="D157" s="8"/>
      <c r="E157" s="8"/>
      <c r="F157" s="8"/>
      <c r="G157" s="11"/>
      <c r="H157" s="11"/>
      <c r="I157" s="11"/>
      <c r="J157" s="11"/>
      <c r="K157" s="11"/>
      <c r="L157" s="11"/>
      <c r="M157" s="12" t="str">
        <f t="shared" si="2"/>
        <v/>
      </c>
      <c r="N157" s="8"/>
      <c r="O157" s="8"/>
      <c r="P157" s="8"/>
      <c r="Q157" s="10"/>
      <c r="R157" s="8"/>
    </row>
    <row r="158" spans="1:18">
      <c r="A158" s="8"/>
      <c r="B158" s="10"/>
      <c r="C158" s="8"/>
      <c r="D158" s="8"/>
      <c r="E158" s="8"/>
      <c r="F158" s="8"/>
      <c r="G158" s="11"/>
      <c r="H158" s="11"/>
      <c r="I158" s="11"/>
      <c r="J158" s="11"/>
      <c r="K158" s="11"/>
      <c r="L158" s="11"/>
      <c r="M158" s="12" t="str">
        <f t="shared" si="2"/>
        <v/>
      </c>
      <c r="N158" s="8"/>
      <c r="O158" s="8"/>
      <c r="P158" s="8"/>
      <c r="Q158" s="10"/>
      <c r="R158" s="8"/>
    </row>
    <row r="159" spans="1:18">
      <c r="A159" s="8"/>
      <c r="B159" s="10"/>
      <c r="C159" s="8"/>
      <c r="D159" s="8"/>
      <c r="E159" s="8"/>
      <c r="F159" s="8"/>
      <c r="G159" s="11"/>
      <c r="H159" s="11"/>
      <c r="I159" s="11"/>
      <c r="J159" s="11"/>
      <c r="K159" s="11"/>
      <c r="L159" s="11"/>
      <c r="M159" s="12" t="str">
        <f t="shared" si="2"/>
        <v/>
      </c>
      <c r="N159" s="8"/>
      <c r="O159" s="8"/>
      <c r="P159" s="8"/>
      <c r="Q159" s="10"/>
      <c r="R159" s="8"/>
    </row>
    <row r="160" spans="1:18">
      <c r="A160" s="8"/>
      <c r="B160" s="10"/>
      <c r="C160" s="8"/>
      <c r="D160" s="8"/>
      <c r="E160" s="8"/>
      <c r="F160" s="8"/>
      <c r="G160" s="11"/>
      <c r="H160" s="11"/>
      <c r="I160" s="11"/>
      <c r="J160" s="11"/>
      <c r="K160" s="11"/>
      <c r="L160" s="11"/>
      <c r="M160" s="12" t="str">
        <f t="shared" si="2"/>
        <v/>
      </c>
      <c r="N160" s="8"/>
      <c r="O160" s="8"/>
      <c r="P160" s="8"/>
      <c r="Q160" s="10"/>
      <c r="R160" s="8"/>
    </row>
    <row r="161" spans="1:18">
      <c r="A161" s="8"/>
      <c r="B161" s="10"/>
      <c r="C161" s="8"/>
      <c r="D161" s="8"/>
      <c r="E161" s="8"/>
      <c r="F161" s="8"/>
      <c r="G161" s="11"/>
      <c r="H161" s="11"/>
      <c r="I161" s="11"/>
      <c r="J161" s="11"/>
      <c r="K161" s="11"/>
      <c r="L161" s="11"/>
      <c r="M161" s="12" t="str">
        <f t="shared" si="2"/>
        <v/>
      </c>
      <c r="N161" s="8"/>
      <c r="O161" s="8"/>
      <c r="P161" s="8"/>
      <c r="Q161" s="10"/>
      <c r="R161" s="8"/>
    </row>
    <row r="162" spans="1:18">
      <c r="A162" s="8"/>
      <c r="B162" s="10"/>
      <c r="C162" s="8"/>
      <c r="D162" s="8"/>
      <c r="E162" s="8"/>
      <c r="F162" s="8"/>
      <c r="G162" s="11"/>
      <c r="H162" s="11"/>
      <c r="I162" s="11"/>
      <c r="J162" s="11"/>
      <c r="K162" s="11"/>
      <c r="L162" s="11"/>
      <c r="M162" s="12" t="str">
        <f t="shared" si="2"/>
        <v/>
      </c>
      <c r="N162" s="8"/>
      <c r="O162" s="8"/>
      <c r="P162" s="8"/>
      <c r="Q162" s="10"/>
      <c r="R162" s="8"/>
    </row>
    <row r="163" spans="1:18">
      <c r="A163" s="8"/>
      <c r="B163" s="10"/>
      <c r="C163" s="8"/>
      <c r="D163" s="8"/>
      <c r="E163" s="8"/>
      <c r="F163" s="8"/>
      <c r="G163" s="11"/>
      <c r="H163" s="11"/>
      <c r="I163" s="11"/>
      <c r="J163" s="11"/>
      <c r="K163" s="11"/>
      <c r="L163" s="11"/>
      <c r="M163" s="12" t="str">
        <f t="shared" si="2"/>
        <v/>
      </c>
      <c r="N163" s="8"/>
      <c r="O163" s="8"/>
      <c r="P163" s="8"/>
      <c r="Q163" s="10"/>
      <c r="R163" s="8"/>
    </row>
    <row r="164" spans="1:18">
      <c r="A164" s="8"/>
      <c r="B164" s="10"/>
      <c r="C164" s="8"/>
      <c r="D164" s="8"/>
      <c r="E164" s="8"/>
      <c r="F164" s="8"/>
      <c r="G164" s="11"/>
      <c r="H164" s="11"/>
      <c r="I164" s="11"/>
      <c r="J164" s="11"/>
      <c r="K164" s="11"/>
      <c r="L164" s="11"/>
      <c r="M164" s="12" t="str">
        <f t="shared" si="2"/>
        <v/>
      </c>
      <c r="N164" s="8"/>
      <c r="O164" s="8"/>
      <c r="P164" s="8"/>
      <c r="Q164" s="10"/>
      <c r="R164" s="8"/>
    </row>
    <row r="165" spans="1:18">
      <c r="A165" s="8"/>
      <c r="B165" s="10"/>
      <c r="C165" s="8"/>
      <c r="D165" s="8"/>
      <c r="E165" s="8"/>
      <c r="F165" s="8"/>
      <c r="G165" s="11"/>
      <c r="H165" s="11"/>
      <c r="I165" s="11"/>
      <c r="J165" s="11"/>
      <c r="K165" s="11"/>
      <c r="L165" s="11"/>
      <c r="M165" s="12" t="str">
        <f t="shared" si="2"/>
        <v/>
      </c>
      <c r="N165" s="8"/>
      <c r="O165" s="8"/>
      <c r="P165" s="8"/>
      <c r="Q165" s="10"/>
      <c r="R165" s="8"/>
    </row>
    <row r="166" spans="1:18">
      <c r="A166" s="8"/>
      <c r="B166" s="10"/>
      <c r="C166" s="8"/>
      <c r="D166" s="8"/>
      <c r="E166" s="8"/>
      <c r="F166" s="8"/>
      <c r="G166" s="11"/>
      <c r="H166" s="11"/>
      <c r="I166" s="11"/>
      <c r="J166" s="11"/>
      <c r="K166" s="11"/>
      <c r="L166" s="11"/>
      <c r="M166" s="12" t="str">
        <f t="shared" si="2"/>
        <v/>
      </c>
      <c r="N166" s="8"/>
      <c r="O166" s="8"/>
      <c r="P166" s="8"/>
      <c r="Q166" s="10"/>
      <c r="R166" s="8"/>
    </row>
    <row r="167" spans="1:18">
      <c r="A167" s="8"/>
      <c r="B167" s="10"/>
      <c r="C167" s="8"/>
      <c r="D167" s="8"/>
      <c r="E167" s="8"/>
      <c r="F167" s="8"/>
      <c r="G167" s="11"/>
      <c r="H167" s="11"/>
      <c r="I167" s="11"/>
      <c r="J167" s="11"/>
      <c r="K167" s="11"/>
      <c r="L167" s="11"/>
      <c r="M167" s="12" t="str">
        <f t="shared" si="2"/>
        <v/>
      </c>
      <c r="N167" s="8"/>
      <c r="O167" s="8"/>
      <c r="P167" s="8"/>
      <c r="Q167" s="10"/>
      <c r="R167" s="8"/>
    </row>
    <row r="168" spans="1:18">
      <c r="A168" s="8"/>
      <c r="B168" s="10"/>
      <c r="C168" s="8"/>
      <c r="D168" s="8"/>
      <c r="E168" s="8"/>
      <c r="F168" s="8"/>
      <c r="G168" s="11"/>
      <c r="H168" s="11"/>
      <c r="I168" s="11"/>
      <c r="J168" s="11"/>
      <c r="K168" s="11"/>
      <c r="L168" s="11"/>
      <c r="M168" s="12" t="str">
        <f t="shared" si="2"/>
        <v/>
      </c>
      <c r="N168" s="8"/>
      <c r="O168" s="8"/>
      <c r="P168" s="8"/>
      <c r="Q168" s="10"/>
      <c r="R168" s="8"/>
    </row>
    <row r="169" spans="1:18">
      <c r="A169" s="8"/>
      <c r="B169" s="10"/>
      <c r="C169" s="8"/>
      <c r="D169" s="8"/>
      <c r="E169" s="8"/>
      <c r="F169" s="8"/>
      <c r="G169" s="11"/>
      <c r="H169" s="11"/>
      <c r="I169" s="11"/>
      <c r="J169" s="11"/>
      <c r="K169" s="11"/>
      <c r="L169" s="11"/>
      <c r="M169" s="12" t="str">
        <f t="shared" si="2"/>
        <v/>
      </c>
      <c r="N169" s="8"/>
      <c r="O169" s="8"/>
      <c r="P169" s="8"/>
      <c r="Q169" s="10"/>
      <c r="R169" s="8"/>
    </row>
    <row r="170" spans="1:18">
      <c r="A170" s="8"/>
      <c r="B170" s="10"/>
      <c r="C170" s="8"/>
      <c r="D170" s="8"/>
      <c r="E170" s="8"/>
      <c r="F170" s="8"/>
      <c r="G170" s="11"/>
      <c r="H170" s="11"/>
      <c r="I170" s="11"/>
      <c r="J170" s="11"/>
      <c r="K170" s="11"/>
      <c r="L170" s="11"/>
      <c r="M170" s="12" t="str">
        <f t="shared" si="2"/>
        <v/>
      </c>
      <c r="N170" s="8"/>
      <c r="O170" s="8"/>
      <c r="P170" s="8"/>
      <c r="Q170" s="10"/>
      <c r="R170" s="8"/>
    </row>
    <row r="171" spans="1:18">
      <c r="A171" s="8"/>
      <c r="B171" s="10"/>
      <c r="C171" s="8"/>
      <c r="D171" s="8"/>
      <c r="E171" s="8"/>
      <c r="F171" s="8"/>
      <c r="G171" s="11"/>
      <c r="H171" s="11"/>
      <c r="I171" s="11"/>
      <c r="J171" s="11"/>
      <c r="K171" s="11"/>
      <c r="L171" s="11"/>
      <c r="M171" s="12" t="str">
        <f t="shared" si="2"/>
        <v/>
      </c>
      <c r="N171" s="8"/>
      <c r="O171" s="8"/>
      <c r="P171" s="8"/>
      <c r="Q171" s="10"/>
      <c r="R171" s="8"/>
    </row>
    <row r="172" spans="1:18">
      <c r="A172" s="8"/>
      <c r="B172" s="10"/>
      <c r="C172" s="8"/>
      <c r="D172" s="8"/>
      <c r="E172" s="8"/>
      <c r="F172" s="8"/>
      <c r="G172" s="11"/>
      <c r="H172" s="11"/>
      <c r="I172" s="11"/>
      <c r="J172" s="11"/>
      <c r="K172" s="11"/>
      <c r="L172" s="11"/>
      <c r="M172" s="12" t="str">
        <f t="shared" si="2"/>
        <v/>
      </c>
      <c r="N172" s="8"/>
      <c r="O172" s="8"/>
      <c r="P172" s="8"/>
      <c r="Q172" s="10"/>
      <c r="R172" s="8"/>
    </row>
    <row r="173" spans="1:18">
      <c r="A173" s="8"/>
      <c r="B173" s="10"/>
      <c r="C173" s="8"/>
      <c r="D173" s="8"/>
      <c r="E173" s="8"/>
      <c r="F173" s="8"/>
      <c r="G173" s="11"/>
      <c r="H173" s="11"/>
      <c r="I173" s="11"/>
      <c r="J173" s="11"/>
      <c r="K173" s="11"/>
      <c r="L173" s="11"/>
      <c r="M173" s="12" t="str">
        <f t="shared" si="2"/>
        <v/>
      </c>
      <c r="N173" s="8"/>
      <c r="O173" s="8"/>
      <c r="P173" s="8"/>
      <c r="Q173" s="10"/>
      <c r="R173" s="8"/>
    </row>
    <row r="174" spans="1:18">
      <c r="A174" s="8"/>
      <c r="B174" s="10"/>
      <c r="C174" s="8"/>
      <c r="D174" s="8"/>
      <c r="E174" s="8"/>
      <c r="F174" s="8"/>
      <c r="G174" s="11"/>
      <c r="H174" s="11"/>
      <c r="I174" s="11"/>
      <c r="J174" s="11"/>
      <c r="K174" s="11"/>
      <c r="L174" s="11"/>
      <c r="M174" s="12" t="str">
        <f t="shared" si="2"/>
        <v/>
      </c>
      <c r="N174" s="8"/>
      <c r="O174" s="8"/>
      <c r="P174" s="8"/>
      <c r="Q174" s="10"/>
      <c r="R174" s="8"/>
    </row>
    <row r="175" spans="1:18">
      <c r="A175" s="8"/>
      <c r="B175" s="10"/>
      <c r="C175" s="8"/>
      <c r="D175" s="8"/>
      <c r="E175" s="8"/>
      <c r="F175" s="8"/>
      <c r="G175" s="11"/>
      <c r="H175" s="11"/>
      <c r="I175" s="11"/>
      <c r="J175" s="11"/>
      <c r="K175" s="11"/>
      <c r="L175" s="11"/>
      <c r="M175" s="12" t="str">
        <f t="shared" si="2"/>
        <v/>
      </c>
      <c r="N175" s="8"/>
      <c r="O175" s="8"/>
      <c r="P175" s="8"/>
      <c r="Q175" s="10"/>
      <c r="R175" s="8"/>
    </row>
    <row r="176" spans="1:18">
      <c r="A176" s="8"/>
      <c r="B176" s="10"/>
      <c r="C176" s="8"/>
      <c r="D176" s="8"/>
      <c r="E176" s="8"/>
      <c r="F176" s="8"/>
      <c r="G176" s="11"/>
      <c r="H176" s="11"/>
      <c r="I176" s="11"/>
      <c r="J176" s="11"/>
      <c r="K176" s="11"/>
      <c r="L176" s="11"/>
      <c r="M176" s="12" t="str">
        <f t="shared" si="2"/>
        <v/>
      </c>
      <c r="N176" s="8"/>
      <c r="O176" s="8"/>
      <c r="P176" s="8"/>
      <c r="Q176" s="10"/>
      <c r="R176" s="8"/>
    </row>
    <row r="177" spans="1:18">
      <c r="A177" s="8"/>
      <c r="B177" s="10"/>
      <c r="C177" s="8"/>
      <c r="D177" s="8"/>
      <c r="E177" s="8"/>
      <c r="F177" s="8"/>
      <c r="G177" s="11"/>
      <c r="H177" s="11"/>
      <c r="I177" s="11"/>
      <c r="J177" s="11"/>
      <c r="K177" s="11"/>
      <c r="L177" s="11"/>
      <c r="M177" s="12" t="str">
        <f t="shared" si="2"/>
        <v/>
      </c>
      <c r="N177" s="8"/>
      <c r="O177" s="8"/>
      <c r="P177" s="8"/>
      <c r="Q177" s="10"/>
      <c r="R177" s="8"/>
    </row>
    <row r="178" spans="1:18">
      <c r="A178" s="8"/>
      <c r="B178" s="10"/>
      <c r="C178" s="8"/>
      <c r="D178" s="8"/>
      <c r="E178" s="8"/>
      <c r="F178" s="8"/>
      <c r="G178" s="11"/>
      <c r="H178" s="11"/>
      <c r="I178" s="11"/>
      <c r="J178" s="11"/>
      <c r="K178" s="11"/>
      <c r="L178" s="11"/>
      <c r="M178" s="12" t="str">
        <f t="shared" si="2"/>
        <v/>
      </c>
      <c r="N178" s="8"/>
      <c r="O178" s="8"/>
      <c r="P178" s="8"/>
      <c r="Q178" s="10"/>
      <c r="R178" s="8"/>
    </row>
    <row r="179" spans="1:18">
      <c r="A179" s="8"/>
      <c r="B179" s="10"/>
      <c r="C179" s="8"/>
      <c r="D179" s="8"/>
      <c r="E179" s="8"/>
      <c r="F179" s="8"/>
      <c r="G179" s="11"/>
      <c r="H179" s="11"/>
      <c r="I179" s="11"/>
      <c r="J179" s="11"/>
      <c r="K179" s="11"/>
      <c r="L179" s="11"/>
      <c r="M179" s="12" t="str">
        <f t="shared" si="2"/>
        <v/>
      </c>
      <c r="N179" s="8"/>
      <c r="O179" s="8"/>
      <c r="P179" s="8"/>
      <c r="Q179" s="10"/>
      <c r="R179" s="8"/>
    </row>
    <row r="180" spans="1:18">
      <c r="A180" s="8"/>
      <c r="B180" s="10"/>
      <c r="C180" s="8"/>
      <c r="D180" s="8"/>
      <c r="E180" s="8"/>
      <c r="F180" s="8"/>
      <c r="G180" s="11"/>
      <c r="H180" s="11"/>
      <c r="I180" s="11"/>
      <c r="J180" s="11"/>
      <c r="K180" s="11"/>
      <c r="L180" s="11"/>
      <c r="M180" s="12" t="str">
        <f t="shared" si="2"/>
        <v/>
      </c>
      <c r="N180" s="8"/>
      <c r="O180" s="8"/>
      <c r="P180" s="8"/>
      <c r="Q180" s="10"/>
      <c r="R180" s="8"/>
    </row>
    <row r="181" spans="1:18">
      <c r="A181" s="8"/>
      <c r="B181" s="10"/>
      <c r="C181" s="8"/>
      <c r="D181" s="8"/>
      <c r="E181" s="8"/>
      <c r="F181" s="8"/>
      <c r="G181" s="11"/>
      <c r="H181" s="11"/>
      <c r="I181" s="11"/>
      <c r="J181" s="11"/>
      <c r="K181" s="11"/>
      <c r="L181" s="11"/>
      <c r="M181" s="12" t="str">
        <f t="shared" si="2"/>
        <v/>
      </c>
      <c r="N181" s="8"/>
      <c r="O181" s="8"/>
      <c r="P181" s="8"/>
      <c r="Q181" s="10"/>
      <c r="R181" s="8"/>
    </row>
    <row r="182" spans="1:18">
      <c r="A182" s="8"/>
      <c r="B182" s="10"/>
      <c r="C182" s="8"/>
      <c r="D182" s="8"/>
      <c r="E182" s="8"/>
      <c r="F182" s="8"/>
      <c r="G182" s="11"/>
      <c r="H182" s="11"/>
      <c r="I182" s="11"/>
      <c r="J182" s="11"/>
      <c r="K182" s="11"/>
      <c r="L182" s="11"/>
      <c r="M182" s="12" t="str">
        <f t="shared" si="2"/>
        <v/>
      </c>
      <c r="N182" s="8"/>
      <c r="O182" s="8"/>
      <c r="P182" s="8"/>
      <c r="Q182" s="10"/>
      <c r="R182" s="8"/>
    </row>
    <row r="183" spans="1:18">
      <c r="A183" s="8"/>
      <c r="B183" s="10"/>
      <c r="C183" s="8"/>
      <c r="D183" s="8"/>
      <c r="E183" s="8"/>
      <c r="F183" s="8"/>
      <c r="G183" s="11"/>
      <c r="H183" s="11"/>
      <c r="I183" s="11"/>
      <c r="J183" s="11"/>
      <c r="K183" s="11"/>
      <c r="L183" s="11"/>
      <c r="M183" s="12" t="str">
        <f t="shared" si="2"/>
        <v/>
      </c>
      <c r="N183" s="8"/>
      <c r="O183" s="8"/>
      <c r="P183" s="8"/>
      <c r="Q183" s="10"/>
      <c r="R183" s="8"/>
    </row>
    <row r="184" spans="1:18">
      <c r="A184" s="8"/>
      <c r="B184" s="10"/>
      <c r="C184" s="8"/>
      <c r="D184" s="8"/>
      <c r="E184" s="8"/>
      <c r="F184" s="8"/>
      <c r="G184" s="11"/>
      <c r="H184" s="11"/>
      <c r="I184" s="11"/>
      <c r="J184" s="11"/>
      <c r="K184" s="11"/>
      <c r="L184" s="11"/>
      <c r="M184" s="12" t="str">
        <f t="shared" si="2"/>
        <v/>
      </c>
      <c r="N184" s="8"/>
      <c r="O184" s="8"/>
      <c r="P184" s="8"/>
      <c r="Q184" s="10"/>
      <c r="R184" s="8"/>
    </row>
    <row r="185" spans="1:18">
      <c r="A185" s="8"/>
      <c r="B185" s="10"/>
      <c r="C185" s="8"/>
      <c r="D185" s="8"/>
      <c r="E185" s="8"/>
      <c r="F185" s="8"/>
      <c r="G185" s="11"/>
      <c r="H185" s="11"/>
      <c r="I185" s="11"/>
      <c r="J185" s="11"/>
      <c r="K185" s="11"/>
      <c r="L185" s="11"/>
      <c r="M185" s="12" t="str">
        <f t="shared" si="2"/>
        <v/>
      </c>
      <c r="N185" s="8"/>
      <c r="O185" s="8"/>
      <c r="P185" s="8"/>
      <c r="Q185" s="10"/>
      <c r="R185" s="8"/>
    </row>
    <row r="186" spans="1:18">
      <c r="A186" s="8"/>
      <c r="B186" s="10"/>
      <c r="C186" s="8"/>
      <c r="D186" s="8"/>
      <c r="E186" s="8"/>
      <c r="F186" s="8"/>
      <c r="G186" s="11"/>
      <c r="H186" s="11"/>
      <c r="I186" s="11"/>
      <c r="J186" s="11"/>
      <c r="K186" s="11"/>
      <c r="L186" s="11"/>
      <c r="M186" s="12" t="str">
        <f t="shared" si="2"/>
        <v/>
      </c>
      <c r="N186" s="8"/>
      <c r="O186" s="8"/>
      <c r="P186" s="8"/>
      <c r="Q186" s="10"/>
      <c r="R186" s="8"/>
    </row>
    <row r="187" spans="1:18">
      <c r="A187" s="8"/>
      <c r="B187" s="10"/>
      <c r="C187" s="8"/>
      <c r="D187" s="8"/>
      <c r="E187" s="8"/>
      <c r="F187" s="8"/>
      <c r="G187" s="11"/>
      <c r="H187" s="11"/>
      <c r="I187" s="11"/>
      <c r="J187" s="11"/>
      <c r="K187" s="11"/>
      <c r="L187" s="11"/>
      <c r="M187" s="12" t="str">
        <f t="shared" si="2"/>
        <v/>
      </c>
      <c r="N187" s="8"/>
      <c r="O187" s="8"/>
      <c r="P187" s="8"/>
      <c r="Q187" s="10"/>
      <c r="R187" s="8"/>
    </row>
    <row r="188" spans="1:18">
      <c r="A188" s="8"/>
      <c r="B188" s="10"/>
      <c r="C188" s="8"/>
      <c r="D188" s="8"/>
      <c r="E188" s="8"/>
      <c r="F188" s="8"/>
      <c r="G188" s="11"/>
      <c r="H188" s="11"/>
      <c r="I188" s="11"/>
      <c r="J188" s="11"/>
      <c r="K188" s="11"/>
      <c r="L188" s="11"/>
      <c r="M188" s="12" t="str">
        <f t="shared" si="2"/>
        <v/>
      </c>
      <c r="N188" s="8"/>
      <c r="O188" s="8"/>
      <c r="P188" s="8"/>
      <c r="Q188" s="10"/>
      <c r="R188" s="8"/>
    </row>
    <row r="189" spans="1:18">
      <c r="A189" s="8"/>
      <c r="B189" s="10"/>
      <c r="C189" s="8"/>
      <c r="D189" s="8"/>
      <c r="E189" s="8"/>
      <c r="F189" s="8"/>
      <c r="G189" s="11"/>
      <c r="H189" s="11"/>
      <c r="I189" s="11"/>
      <c r="J189" s="11"/>
      <c r="K189" s="11"/>
      <c r="L189" s="11"/>
      <c r="M189" s="12" t="str">
        <f t="shared" si="2"/>
        <v/>
      </c>
      <c r="N189" s="8"/>
      <c r="O189" s="8"/>
      <c r="P189" s="8"/>
      <c r="Q189" s="10"/>
      <c r="R189" s="8"/>
    </row>
    <row r="190" spans="1:18">
      <c r="A190" s="8"/>
      <c r="B190" s="10"/>
      <c r="C190" s="8"/>
      <c r="D190" s="8"/>
      <c r="E190" s="8"/>
      <c r="F190" s="8"/>
      <c r="G190" s="11"/>
      <c r="H190" s="11"/>
      <c r="I190" s="11"/>
      <c r="J190" s="11"/>
      <c r="K190" s="11"/>
      <c r="L190" s="11"/>
      <c r="M190" s="12" t="str">
        <f t="shared" si="2"/>
        <v/>
      </c>
      <c r="N190" s="8"/>
      <c r="O190" s="8"/>
      <c r="P190" s="8"/>
      <c r="Q190" s="10"/>
      <c r="R190" s="8"/>
    </row>
    <row r="191" spans="1:18">
      <c r="A191" s="8"/>
      <c r="B191" s="10"/>
      <c r="C191" s="8"/>
      <c r="D191" s="8"/>
      <c r="E191" s="8"/>
      <c r="F191" s="8"/>
      <c r="G191" s="11"/>
      <c r="H191" s="11"/>
      <c r="I191" s="11"/>
      <c r="J191" s="11"/>
      <c r="K191" s="11"/>
      <c r="L191" s="11"/>
      <c r="M191" s="12" t="str">
        <f t="shared" si="2"/>
        <v/>
      </c>
      <c r="N191" s="8"/>
      <c r="O191" s="8"/>
      <c r="P191" s="8"/>
      <c r="Q191" s="10"/>
      <c r="R191" s="8"/>
    </row>
    <row r="192" spans="1:18">
      <c r="A192" s="8"/>
      <c r="B192" s="10"/>
      <c r="C192" s="8"/>
      <c r="D192" s="8"/>
      <c r="E192" s="8"/>
      <c r="F192" s="8"/>
      <c r="G192" s="11"/>
      <c r="H192" s="11"/>
      <c r="I192" s="11"/>
      <c r="J192" s="11"/>
      <c r="K192" s="11"/>
      <c r="L192" s="11"/>
      <c r="M192" s="12" t="str">
        <f t="shared" si="2"/>
        <v/>
      </c>
      <c r="N192" s="8"/>
      <c r="O192" s="8"/>
      <c r="P192" s="8"/>
      <c r="Q192" s="10"/>
      <c r="R192" s="8"/>
    </row>
    <row r="193" spans="1:18">
      <c r="A193" s="8"/>
      <c r="B193" s="10"/>
      <c r="C193" s="8"/>
      <c r="D193" s="8"/>
      <c r="E193" s="8"/>
      <c r="F193" s="8"/>
      <c r="G193" s="11"/>
      <c r="H193" s="11"/>
      <c r="I193" s="11"/>
      <c r="J193" s="11"/>
      <c r="K193" s="11"/>
      <c r="L193" s="11"/>
      <c r="M193" s="12" t="str">
        <f t="shared" si="2"/>
        <v/>
      </c>
      <c r="N193" s="8"/>
      <c r="O193" s="8"/>
      <c r="P193" s="8"/>
      <c r="Q193" s="10"/>
      <c r="R193" s="8"/>
    </row>
    <row r="194" spans="1:18">
      <c r="A194" s="8"/>
      <c r="B194" s="10"/>
      <c r="C194" s="8"/>
      <c r="D194" s="8"/>
      <c r="E194" s="8"/>
      <c r="F194" s="8"/>
      <c r="G194" s="11"/>
      <c r="H194" s="11"/>
      <c r="I194" s="11"/>
      <c r="J194" s="11"/>
      <c r="K194" s="11"/>
      <c r="L194" s="11"/>
      <c r="M194" s="12" t="str">
        <f t="shared" si="2"/>
        <v/>
      </c>
      <c r="N194" s="8"/>
      <c r="O194" s="8"/>
      <c r="P194" s="8"/>
      <c r="Q194" s="10"/>
      <c r="R194" s="8"/>
    </row>
    <row r="195" spans="1:18">
      <c r="A195" s="8"/>
      <c r="B195" s="10"/>
      <c r="C195" s="8"/>
      <c r="D195" s="8"/>
      <c r="E195" s="8"/>
      <c r="F195" s="8"/>
      <c r="G195" s="11"/>
      <c r="H195" s="11"/>
      <c r="I195" s="11"/>
      <c r="J195" s="11"/>
      <c r="K195" s="11"/>
      <c r="L195" s="11"/>
      <c r="M195" s="12" t="str">
        <f t="shared" si="2"/>
        <v/>
      </c>
      <c r="N195" s="8"/>
      <c r="O195" s="8"/>
      <c r="P195" s="8"/>
      <c r="Q195" s="10"/>
      <c r="R195" s="8"/>
    </row>
    <row r="196" spans="1:18">
      <c r="A196" s="8"/>
      <c r="B196" s="10"/>
      <c r="C196" s="8"/>
      <c r="D196" s="8"/>
      <c r="E196" s="8"/>
      <c r="F196" s="8"/>
      <c r="G196" s="11"/>
      <c r="H196" s="11"/>
      <c r="I196" s="11"/>
      <c r="J196" s="11"/>
      <c r="K196" s="11"/>
      <c r="L196" s="11"/>
      <c r="M196" s="12" t="str">
        <f t="shared" si="2"/>
        <v/>
      </c>
      <c r="N196" s="8"/>
      <c r="O196" s="8"/>
      <c r="P196" s="8"/>
      <c r="Q196" s="10"/>
      <c r="R196" s="8"/>
    </row>
    <row r="197" spans="1:18">
      <c r="A197" s="8"/>
      <c r="B197" s="10"/>
      <c r="C197" s="8"/>
      <c r="D197" s="8"/>
      <c r="E197" s="8"/>
      <c r="F197" s="8"/>
      <c r="G197" s="11"/>
      <c r="H197" s="11"/>
      <c r="I197" s="11"/>
      <c r="J197" s="11"/>
      <c r="K197" s="11"/>
      <c r="L197" s="11"/>
      <c r="M197" s="12" t="str">
        <f t="shared" ref="M197:M260" si="3">IF(A197="","",MAX(0,H197-K197-L197))</f>
        <v/>
      </c>
      <c r="N197" s="8"/>
      <c r="O197" s="8"/>
      <c r="P197" s="8"/>
      <c r="Q197" s="10"/>
      <c r="R197" s="8"/>
    </row>
    <row r="198" spans="1:18">
      <c r="A198" s="8"/>
      <c r="B198" s="10"/>
      <c r="C198" s="8"/>
      <c r="D198" s="8"/>
      <c r="E198" s="8"/>
      <c r="F198" s="8"/>
      <c r="G198" s="11"/>
      <c r="H198" s="11"/>
      <c r="I198" s="11"/>
      <c r="J198" s="11"/>
      <c r="K198" s="11"/>
      <c r="L198" s="11"/>
      <c r="M198" s="12" t="str">
        <f t="shared" si="3"/>
        <v/>
      </c>
      <c r="N198" s="8"/>
      <c r="O198" s="8"/>
      <c r="P198" s="8"/>
      <c r="Q198" s="10"/>
      <c r="R198" s="8"/>
    </row>
    <row r="199" spans="1:18">
      <c r="A199" s="8"/>
      <c r="B199" s="10"/>
      <c r="C199" s="8"/>
      <c r="D199" s="8"/>
      <c r="E199" s="8"/>
      <c r="F199" s="8"/>
      <c r="G199" s="11"/>
      <c r="H199" s="11"/>
      <c r="I199" s="11"/>
      <c r="J199" s="11"/>
      <c r="K199" s="11"/>
      <c r="L199" s="11"/>
      <c r="M199" s="12" t="str">
        <f t="shared" si="3"/>
        <v/>
      </c>
      <c r="N199" s="8"/>
      <c r="O199" s="8"/>
      <c r="P199" s="8"/>
      <c r="Q199" s="10"/>
      <c r="R199" s="8"/>
    </row>
    <row r="200" spans="1:18">
      <c r="A200" s="8"/>
      <c r="B200" s="10"/>
      <c r="C200" s="8"/>
      <c r="D200" s="8"/>
      <c r="E200" s="8"/>
      <c r="F200" s="8"/>
      <c r="G200" s="11"/>
      <c r="H200" s="11"/>
      <c r="I200" s="11"/>
      <c r="J200" s="11"/>
      <c r="K200" s="11"/>
      <c r="L200" s="11"/>
      <c r="M200" s="12" t="str">
        <f t="shared" si="3"/>
        <v/>
      </c>
      <c r="N200" s="8"/>
      <c r="O200" s="8"/>
      <c r="P200" s="8"/>
      <c r="Q200" s="10"/>
      <c r="R200" s="8"/>
    </row>
    <row r="201" spans="1:18">
      <c r="A201" s="8"/>
      <c r="B201" s="10"/>
      <c r="C201" s="8"/>
      <c r="D201" s="8"/>
      <c r="E201" s="8"/>
      <c r="F201" s="8"/>
      <c r="G201" s="11"/>
      <c r="H201" s="11"/>
      <c r="I201" s="11"/>
      <c r="J201" s="11"/>
      <c r="K201" s="11"/>
      <c r="L201" s="11"/>
      <c r="M201" s="12" t="str">
        <f t="shared" si="3"/>
        <v/>
      </c>
      <c r="N201" s="8"/>
      <c r="O201" s="8"/>
      <c r="P201" s="8"/>
      <c r="Q201" s="10"/>
      <c r="R201" s="8"/>
    </row>
    <row r="202" spans="1:18">
      <c r="A202" s="8"/>
      <c r="B202" s="10"/>
      <c r="C202" s="8"/>
      <c r="D202" s="8"/>
      <c r="E202" s="8"/>
      <c r="F202" s="8"/>
      <c r="G202" s="11"/>
      <c r="H202" s="11"/>
      <c r="I202" s="11"/>
      <c r="J202" s="11"/>
      <c r="K202" s="11"/>
      <c r="L202" s="11"/>
      <c r="M202" s="12" t="str">
        <f t="shared" si="3"/>
        <v/>
      </c>
      <c r="N202" s="8"/>
      <c r="O202" s="8"/>
      <c r="P202" s="8"/>
      <c r="Q202" s="10"/>
      <c r="R202" s="8"/>
    </row>
    <row r="203" spans="1:18">
      <c r="A203" s="8"/>
      <c r="B203" s="10"/>
      <c r="C203" s="8"/>
      <c r="D203" s="8"/>
      <c r="E203" s="8"/>
      <c r="F203" s="8"/>
      <c r="G203" s="11"/>
      <c r="H203" s="11"/>
      <c r="I203" s="11"/>
      <c r="J203" s="11"/>
      <c r="K203" s="11"/>
      <c r="L203" s="11"/>
      <c r="M203" s="12" t="str">
        <f t="shared" si="3"/>
        <v/>
      </c>
      <c r="N203" s="8"/>
      <c r="O203" s="8"/>
      <c r="P203" s="8"/>
      <c r="Q203" s="10"/>
      <c r="R203" s="8"/>
    </row>
    <row r="204" spans="1:18">
      <c r="A204" s="8"/>
      <c r="B204" s="10"/>
      <c r="C204" s="8"/>
      <c r="D204" s="8"/>
      <c r="E204" s="8"/>
      <c r="F204" s="8"/>
      <c r="G204" s="11"/>
      <c r="H204" s="11"/>
      <c r="I204" s="11"/>
      <c r="J204" s="11"/>
      <c r="K204" s="11"/>
      <c r="L204" s="11"/>
      <c r="M204" s="12" t="str">
        <f t="shared" si="3"/>
        <v/>
      </c>
      <c r="N204" s="8"/>
      <c r="O204" s="8"/>
      <c r="P204" s="8"/>
      <c r="Q204" s="10"/>
      <c r="R204" s="8"/>
    </row>
    <row r="205" spans="1:18">
      <c r="A205" s="8"/>
      <c r="B205" s="10"/>
      <c r="C205" s="8"/>
      <c r="D205" s="8"/>
      <c r="E205" s="8"/>
      <c r="F205" s="8"/>
      <c r="G205" s="11"/>
      <c r="H205" s="11"/>
      <c r="I205" s="11"/>
      <c r="J205" s="11"/>
      <c r="K205" s="11"/>
      <c r="L205" s="11"/>
      <c r="M205" s="12" t="str">
        <f t="shared" si="3"/>
        <v/>
      </c>
      <c r="N205" s="8"/>
      <c r="O205" s="8"/>
      <c r="P205" s="8"/>
      <c r="Q205" s="10"/>
      <c r="R205" s="8"/>
    </row>
    <row r="206" spans="1:18">
      <c r="A206" s="8"/>
      <c r="B206" s="10"/>
      <c r="C206" s="8"/>
      <c r="D206" s="8"/>
      <c r="E206" s="8"/>
      <c r="F206" s="8"/>
      <c r="G206" s="11"/>
      <c r="H206" s="11"/>
      <c r="I206" s="11"/>
      <c r="J206" s="11"/>
      <c r="K206" s="11"/>
      <c r="L206" s="11"/>
      <c r="M206" s="12" t="str">
        <f t="shared" si="3"/>
        <v/>
      </c>
      <c r="N206" s="8"/>
      <c r="O206" s="8"/>
      <c r="P206" s="8"/>
      <c r="Q206" s="10"/>
      <c r="R206" s="8"/>
    </row>
    <row r="207" spans="1:18">
      <c r="A207" s="8"/>
      <c r="B207" s="10"/>
      <c r="C207" s="8"/>
      <c r="D207" s="8"/>
      <c r="E207" s="8"/>
      <c r="F207" s="8"/>
      <c r="G207" s="11"/>
      <c r="H207" s="11"/>
      <c r="I207" s="11"/>
      <c r="J207" s="11"/>
      <c r="K207" s="11"/>
      <c r="L207" s="11"/>
      <c r="M207" s="12" t="str">
        <f t="shared" si="3"/>
        <v/>
      </c>
      <c r="N207" s="8"/>
      <c r="O207" s="8"/>
      <c r="P207" s="8"/>
      <c r="Q207" s="10"/>
      <c r="R207" s="8"/>
    </row>
    <row r="208" spans="1:18">
      <c r="A208" s="8"/>
      <c r="B208" s="10"/>
      <c r="C208" s="8"/>
      <c r="D208" s="8"/>
      <c r="E208" s="8"/>
      <c r="F208" s="8"/>
      <c r="G208" s="11"/>
      <c r="H208" s="11"/>
      <c r="I208" s="11"/>
      <c r="J208" s="11"/>
      <c r="K208" s="11"/>
      <c r="L208" s="11"/>
      <c r="M208" s="12" t="str">
        <f t="shared" si="3"/>
        <v/>
      </c>
      <c r="N208" s="8"/>
      <c r="O208" s="8"/>
      <c r="P208" s="8"/>
      <c r="Q208" s="10"/>
      <c r="R208" s="8"/>
    </row>
    <row r="209" spans="1:18">
      <c r="A209" s="8"/>
      <c r="B209" s="10"/>
      <c r="C209" s="8"/>
      <c r="D209" s="8"/>
      <c r="E209" s="8"/>
      <c r="F209" s="8"/>
      <c r="G209" s="11"/>
      <c r="H209" s="11"/>
      <c r="I209" s="11"/>
      <c r="J209" s="11"/>
      <c r="K209" s="11"/>
      <c r="L209" s="11"/>
      <c r="M209" s="12" t="str">
        <f t="shared" si="3"/>
        <v/>
      </c>
      <c r="N209" s="8"/>
      <c r="O209" s="8"/>
      <c r="P209" s="8"/>
      <c r="Q209" s="10"/>
      <c r="R209" s="8"/>
    </row>
    <row r="210" spans="1:18">
      <c r="A210" s="8"/>
      <c r="B210" s="10"/>
      <c r="C210" s="8"/>
      <c r="D210" s="8"/>
      <c r="E210" s="8"/>
      <c r="F210" s="8"/>
      <c r="G210" s="11"/>
      <c r="H210" s="11"/>
      <c r="I210" s="11"/>
      <c r="J210" s="11"/>
      <c r="K210" s="11"/>
      <c r="L210" s="11"/>
      <c r="M210" s="12" t="str">
        <f t="shared" si="3"/>
        <v/>
      </c>
      <c r="N210" s="8"/>
      <c r="O210" s="8"/>
      <c r="P210" s="8"/>
      <c r="Q210" s="10"/>
      <c r="R210" s="8"/>
    </row>
    <row r="211" spans="1:18">
      <c r="A211" s="8"/>
      <c r="B211" s="10"/>
      <c r="C211" s="8"/>
      <c r="D211" s="8"/>
      <c r="E211" s="8"/>
      <c r="F211" s="8"/>
      <c r="G211" s="11"/>
      <c r="H211" s="11"/>
      <c r="I211" s="11"/>
      <c r="J211" s="11"/>
      <c r="K211" s="11"/>
      <c r="L211" s="11"/>
      <c r="M211" s="12" t="str">
        <f t="shared" si="3"/>
        <v/>
      </c>
      <c r="N211" s="8"/>
      <c r="O211" s="8"/>
      <c r="P211" s="8"/>
      <c r="Q211" s="10"/>
      <c r="R211" s="8"/>
    </row>
    <row r="212" spans="1:18">
      <c r="A212" s="8"/>
      <c r="B212" s="10"/>
      <c r="C212" s="8"/>
      <c r="D212" s="8"/>
      <c r="E212" s="8"/>
      <c r="F212" s="8"/>
      <c r="G212" s="11"/>
      <c r="H212" s="11"/>
      <c r="I212" s="11"/>
      <c r="J212" s="11"/>
      <c r="K212" s="11"/>
      <c r="L212" s="11"/>
      <c r="M212" s="12" t="str">
        <f t="shared" si="3"/>
        <v/>
      </c>
      <c r="N212" s="8"/>
      <c r="O212" s="8"/>
      <c r="P212" s="8"/>
      <c r="Q212" s="10"/>
      <c r="R212" s="8"/>
    </row>
    <row r="213" spans="1:18">
      <c r="A213" s="8"/>
      <c r="B213" s="10"/>
      <c r="C213" s="8"/>
      <c r="D213" s="8"/>
      <c r="E213" s="8"/>
      <c r="F213" s="8"/>
      <c r="G213" s="11"/>
      <c r="H213" s="11"/>
      <c r="I213" s="11"/>
      <c r="J213" s="11"/>
      <c r="K213" s="11"/>
      <c r="L213" s="11"/>
      <c r="M213" s="12" t="str">
        <f t="shared" si="3"/>
        <v/>
      </c>
      <c r="N213" s="8"/>
      <c r="O213" s="8"/>
      <c r="P213" s="8"/>
      <c r="Q213" s="10"/>
      <c r="R213" s="8"/>
    </row>
    <row r="214" spans="1:18">
      <c r="A214" s="8"/>
      <c r="B214" s="10"/>
      <c r="C214" s="8"/>
      <c r="D214" s="8"/>
      <c r="E214" s="8"/>
      <c r="F214" s="8"/>
      <c r="G214" s="11"/>
      <c r="H214" s="11"/>
      <c r="I214" s="11"/>
      <c r="J214" s="11"/>
      <c r="K214" s="11"/>
      <c r="L214" s="11"/>
      <c r="M214" s="12" t="str">
        <f t="shared" si="3"/>
        <v/>
      </c>
      <c r="N214" s="8"/>
      <c r="O214" s="8"/>
      <c r="P214" s="8"/>
      <c r="Q214" s="10"/>
      <c r="R214" s="8"/>
    </row>
    <row r="215" spans="1:18">
      <c r="A215" s="8"/>
      <c r="B215" s="10"/>
      <c r="C215" s="8"/>
      <c r="D215" s="8"/>
      <c r="E215" s="8"/>
      <c r="F215" s="8"/>
      <c r="G215" s="11"/>
      <c r="H215" s="11"/>
      <c r="I215" s="11"/>
      <c r="J215" s="11"/>
      <c r="K215" s="11"/>
      <c r="L215" s="11"/>
      <c r="M215" s="12" t="str">
        <f t="shared" si="3"/>
        <v/>
      </c>
      <c r="N215" s="8"/>
      <c r="O215" s="8"/>
      <c r="P215" s="8"/>
      <c r="Q215" s="10"/>
      <c r="R215" s="8"/>
    </row>
    <row r="216" spans="1:18">
      <c r="A216" s="8"/>
      <c r="B216" s="10"/>
      <c r="C216" s="8"/>
      <c r="D216" s="8"/>
      <c r="E216" s="8"/>
      <c r="F216" s="8"/>
      <c r="G216" s="11"/>
      <c r="H216" s="11"/>
      <c r="I216" s="11"/>
      <c r="J216" s="11"/>
      <c r="K216" s="11"/>
      <c r="L216" s="11"/>
      <c r="M216" s="12" t="str">
        <f t="shared" si="3"/>
        <v/>
      </c>
      <c r="N216" s="8"/>
      <c r="O216" s="8"/>
      <c r="P216" s="8"/>
      <c r="Q216" s="10"/>
      <c r="R216" s="8"/>
    </row>
    <row r="217" spans="1:18">
      <c r="A217" s="8"/>
      <c r="B217" s="10"/>
      <c r="C217" s="8"/>
      <c r="D217" s="8"/>
      <c r="E217" s="8"/>
      <c r="F217" s="8"/>
      <c r="G217" s="11"/>
      <c r="H217" s="11"/>
      <c r="I217" s="11"/>
      <c r="J217" s="11"/>
      <c r="K217" s="11"/>
      <c r="L217" s="11"/>
      <c r="M217" s="12" t="str">
        <f t="shared" si="3"/>
        <v/>
      </c>
      <c r="N217" s="8"/>
      <c r="O217" s="8"/>
      <c r="P217" s="8"/>
      <c r="Q217" s="10"/>
      <c r="R217" s="8"/>
    </row>
    <row r="218" spans="1:18">
      <c r="A218" s="8"/>
      <c r="B218" s="10"/>
      <c r="C218" s="8"/>
      <c r="D218" s="8"/>
      <c r="E218" s="8"/>
      <c r="F218" s="8"/>
      <c r="G218" s="11"/>
      <c r="H218" s="11"/>
      <c r="I218" s="11"/>
      <c r="J218" s="11"/>
      <c r="K218" s="11"/>
      <c r="L218" s="11"/>
      <c r="M218" s="12" t="str">
        <f t="shared" si="3"/>
        <v/>
      </c>
      <c r="N218" s="8"/>
      <c r="O218" s="8"/>
      <c r="P218" s="8"/>
      <c r="Q218" s="10"/>
      <c r="R218" s="8"/>
    </row>
    <row r="219" spans="1:18">
      <c r="A219" s="8"/>
      <c r="B219" s="10"/>
      <c r="C219" s="8"/>
      <c r="D219" s="8"/>
      <c r="E219" s="8"/>
      <c r="F219" s="8"/>
      <c r="G219" s="11"/>
      <c r="H219" s="11"/>
      <c r="I219" s="11"/>
      <c r="J219" s="11"/>
      <c r="K219" s="11"/>
      <c r="L219" s="11"/>
      <c r="M219" s="12" t="str">
        <f t="shared" si="3"/>
        <v/>
      </c>
      <c r="N219" s="8"/>
      <c r="O219" s="8"/>
      <c r="P219" s="8"/>
      <c r="Q219" s="10"/>
      <c r="R219" s="8"/>
    </row>
    <row r="220" spans="1:18">
      <c r="A220" s="8"/>
      <c r="B220" s="10"/>
      <c r="C220" s="8"/>
      <c r="D220" s="8"/>
      <c r="E220" s="8"/>
      <c r="F220" s="8"/>
      <c r="G220" s="11"/>
      <c r="H220" s="11"/>
      <c r="I220" s="11"/>
      <c r="J220" s="11"/>
      <c r="K220" s="11"/>
      <c r="L220" s="11"/>
      <c r="M220" s="12" t="str">
        <f t="shared" si="3"/>
        <v/>
      </c>
      <c r="N220" s="8"/>
      <c r="O220" s="8"/>
      <c r="P220" s="8"/>
      <c r="Q220" s="10"/>
      <c r="R220" s="8"/>
    </row>
    <row r="221" spans="1:18">
      <c r="A221" s="8"/>
      <c r="B221" s="10"/>
      <c r="C221" s="8"/>
      <c r="D221" s="8"/>
      <c r="E221" s="8"/>
      <c r="F221" s="8"/>
      <c r="G221" s="11"/>
      <c r="H221" s="11"/>
      <c r="I221" s="11"/>
      <c r="J221" s="11"/>
      <c r="K221" s="11"/>
      <c r="L221" s="11"/>
      <c r="M221" s="12" t="str">
        <f t="shared" si="3"/>
        <v/>
      </c>
      <c r="N221" s="8"/>
      <c r="O221" s="8"/>
      <c r="P221" s="8"/>
      <c r="Q221" s="10"/>
      <c r="R221" s="8"/>
    </row>
    <row r="222" spans="1:18">
      <c r="A222" s="8"/>
      <c r="B222" s="10"/>
      <c r="C222" s="8"/>
      <c r="D222" s="8"/>
      <c r="E222" s="8"/>
      <c r="F222" s="8"/>
      <c r="G222" s="11"/>
      <c r="H222" s="11"/>
      <c r="I222" s="11"/>
      <c r="J222" s="11"/>
      <c r="K222" s="11"/>
      <c r="L222" s="11"/>
      <c r="M222" s="12" t="str">
        <f t="shared" si="3"/>
        <v/>
      </c>
      <c r="N222" s="8"/>
      <c r="O222" s="8"/>
      <c r="P222" s="8"/>
      <c r="Q222" s="10"/>
      <c r="R222" s="8"/>
    </row>
    <row r="223" spans="1:18">
      <c r="A223" s="8"/>
      <c r="B223" s="10"/>
      <c r="C223" s="8"/>
      <c r="D223" s="8"/>
      <c r="E223" s="8"/>
      <c r="F223" s="8"/>
      <c r="G223" s="11"/>
      <c r="H223" s="11"/>
      <c r="I223" s="11"/>
      <c r="J223" s="11"/>
      <c r="K223" s="11"/>
      <c r="L223" s="11"/>
      <c r="M223" s="12" t="str">
        <f t="shared" si="3"/>
        <v/>
      </c>
      <c r="N223" s="8"/>
      <c r="O223" s="8"/>
      <c r="P223" s="8"/>
      <c r="Q223" s="10"/>
      <c r="R223" s="8"/>
    </row>
    <row r="224" spans="1:18">
      <c r="A224" s="8"/>
      <c r="B224" s="10"/>
      <c r="C224" s="8"/>
      <c r="D224" s="8"/>
      <c r="E224" s="8"/>
      <c r="F224" s="8"/>
      <c r="G224" s="11"/>
      <c r="H224" s="11"/>
      <c r="I224" s="11"/>
      <c r="J224" s="11"/>
      <c r="K224" s="11"/>
      <c r="L224" s="11"/>
      <c r="M224" s="12" t="str">
        <f t="shared" si="3"/>
        <v/>
      </c>
      <c r="N224" s="8"/>
      <c r="O224" s="8"/>
      <c r="P224" s="8"/>
      <c r="Q224" s="10"/>
      <c r="R224" s="8"/>
    </row>
    <row r="225" spans="1:18">
      <c r="A225" s="8"/>
      <c r="B225" s="10"/>
      <c r="C225" s="8"/>
      <c r="D225" s="8"/>
      <c r="E225" s="8"/>
      <c r="F225" s="8"/>
      <c r="G225" s="11"/>
      <c r="H225" s="11"/>
      <c r="I225" s="11"/>
      <c r="J225" s="11"/>
      <c r="K225" s="11"/>
      <c r="L225" s="11"/>
      <c r="M225" s="12" t="str">
        <f t="shared" si="3"/>
        <v/>
      </c>
      <c r="N225" s="8"/>
      <c r="O225" s="8"/>
      <c r="P225" s="8"/>
      <c r="Q225" s="10"/>
      <c r="R225" s="8"/>
    </row>
    <row r="226" spans="1:18">
      <c r="A226" s="8"/>
      <c r="B226" s="10"/>
      <c r="C226" s="8"/>
      <c r="D226" s="8"/>
      <c r="E226" s="8"/>
      <c r="F226" s="8"/>
      <c r="G226" s="11"/>
      <c r="H226" s="11"/>
      <c r="I226" s="11"/>
      <c r="J226" s="11"/>
      <c r="K226" s="11"/>
      <c r="L226" s="11"/>
      <c r="M226" s="12" t="str">
        <f t="shared" si="3"/>
        <v/>
      </c>
      <c r="N226" s="8"/>
      <c r="O226" s="8"/>
      <c r="P226" s="8"/>
      <c r="Q226" s="10"/>
      <c r="R226" s="8"/>
    </row>
    <row r="227" spans="1:18">
      <c r="A227" s="8"/>
      <c r="B227" s="10"/>
      <c r="C227" s="8"/>
      <c r="D227" s="8"/>
      <c r="E227" s="8"/>
      <c r="F227" s="8"/>
      <c r="G227" s="11"/>
      <c r="H227" s="11"/>
      <c r="I227" s="11"/>
      <c r="J227" s="11"/>
      <c r="K227" s="11"/>
      <c r="L227" s="11"/>
      <c r="M227" s="12" t="str">
        <f t="shared" si="3"/>
        <v/>
      </c>
      <c r="N227" s="8"/>
      <c r="O227" s="8"/>
      <c r="P227" s="8"/>
      <c r="Q227" s="10"/>
      <c r="R227" s="8"/>
    </row>
    <row r="228" spans="1:18">
      <c r="A228" s="8"/>
      <c r="B228" s="10"/>
      <c r="C228" s="8"/>
      <c r="D228" s="8"/>
      <c r="E228" s="8"/>
      <c r="F228" s="8"/>
      <c r="G228" s="11"/>
      <c r="H228" s="11"/>
      <c r="I228" s="11"/>
      <c r="J228" s="11"/>
      <c r="K228" s="11"/>
      <c r="L228" s="11"/>
      <c r="M228" s="12" t="str">
        <f t="shared" si="3"/>
        <v/>
      </c>
      <c r="N228" s="8"/>
      <c r="O228" s="8"/>
      <c r="P228" s="8"/>
      <c r="Q228" s="10"/>
      <c r="R228" s="8"/>
    </row>
    <row r="229" spans="1:18">
      <c r="A229" s="8"/>
      <c r="B229" s="10"/>
      <c r="C229" s="8"/>
      <c r="D229" s="8"/>
      <c r="E229" s="8"/>
      <c r="F229" s="8"/>
      <c r="G229" s="11"/>
      <c r="H229" s="11"/>
      <c r="I229" s="11"/>
      <c r="J229" s="11"/>
      <c r="K229" s="11"/>
      <c r="L229" s="11"/>
      <c r="M229" s="12" t="str">
        <f t="shared" si="3"/>
        <v/>
      </c>
      <c r="N229" s="8"/>
      <c r="O229" s="8"/>
      <c r="P229" s="8"/>
      <c r="Q229" s="10"/>
      <c r="R229" s="8"/>
    </row>
    <row r="230" spans="1:18">
      <c r="A230" s="8"/>
      <c r="B230" s="10"/>
      <c r="C230" s="8"/>
      <c r="D230" s="8"/>
      <c r="E230" s="8"/>
      <c r="F230" s="8"/>
      <c r="G230" s="11"/>
      <c r="H230" s="11"/>
      <c r="I230" s="11"/>
      <c r="J230" s="11"/>
      <c r="K230" s="11"/>
      <c r="L230" s="11"/>
      <c r="M230" s="12" t="str">
        <f t="shared" si="3"/>
        <v/>
      </c>
      <c r="N230" s="8"/>
      <c r="O230" s="8"/>
      <c r="P230" s="8"/>
      <c r="Q230" s="10"/>
      <c r="R230" s="8"/>
    </row>
    <row r="231" spans="1:18">
      <c r="A231" s="8"/>
      <c r="B231" s="10"/>
      <c r="C231" s="8"/>
      <c r="D231" s="8"/>
      <c r="E231" s="8"/>
      <c r="F231" s="8"/>
      <c r="G231" s="11"/>
      <c r="H231" s="11"/>
      <c r="I231" s="11"/>
      <c r="J231" s="11"/>
      <c r="K231" s="11"/>
      <c r="L231" s="11"/>
      <c r="M231" s="12" t="str">
        <f t="shared" si="3"/>
        <v/>
      </c>
      <c r="N231" s="8"/>
      <c r="O231" s="8"/>
      <c r="P231" s="8"/>
      <c r="Q231" s="10"/>
      <c r="R231" s="8"/>
    </row>
    <row r="232" spans="1:18">
      <c r="A232" s="8"/>
      <c r="B232" s="10"/>
      <c r="C232" s="8"/>
      <c r="D232" s="8"/>
      <c r="E232" s="8"/>
      <c r="F232" s="8"/>
      <c r="G232" s="11"/>
      <c r="H232" s="11"/>
      <c r="I232" s="11"/>
      <c r="J232" s="11"/>
      <c r="K232" s="11"/>
      <c r="L232" s="11"/>
      <c r="M232" s="12" t="str">
        <f t="shared" si="3"/>
        <v/>
      </c>
      <c r="N232" s="8"/>
      <c r="O232" s="8"/>
      <c r="P232" s="8"/>
      <c r="Q232" s="10"/>
      <c r="R232" s="8"/>
    </row>
    <row r="233" spans="1:18">
      <c r="A233" s="8"/>
      <c r="B233" s="10"/>
      <c r="C233" s="8"/>
      <c r="D233" s="8"/>
      <c r="E233" s="8"/>
      <c r="F233" s="8"/>
      <c r="G233" s="11"/>
      <c r="H233" s="11"/>
      <c r="I233" s="11"/>
      <c r="J233" s="11"/>
      <c r="K233" s="11"/>
      <c r="L233" s="11"/>
      <c r="M233" s="12" t="str">
        <f t="shared" si="3"/>
        <v/>
      </c>
      <c r="N233" s="8"/>
      <c r="O233" s="8"/>
      <c r="P233" s="8"/>
      <c r="Q233" s="10"/>
      <c r="R233" s="8"/>
    </row>
    <row r="234" spans="1:18">
      <c r="A234" s="8"/>
      <c r="B234" s="10"/>
      <c r="C234" s="8"/>
      <c r="D234" s="8"/>
      <c r="E234" s="8"/>
      <c r="F234" s="8"/>
      <c r="G234" s="11"/>
      <c r="H234" s="11"/>
      <c r="I234" s="11"/>
      <c r="J234" s="11"/>
      <c r="K234" s="11"/>
      <c r="L234" s="11"/>
      <c r="M234" s="12" t="str">
        <f t="shared" si="3"/>
        <v/>
      </c>
      <c r="N234" s="8"/>
      <c r="O234" s="8"/>
      <c r="P234" s="8"/>
      <c r="Q234" s="10"/>
      <c r="R234" s="8"/>
    </row>
    <row r="235" spans="1:18">
      <c r="A235" s="8"/>
      <c r="B235" s="10"/>
      <c r="C235" s="8"/>
      <c r="D235" s="8"/>
      <c r="E235" s="8"/>
      <c r="F235" s="8"/>
      <c r="G235" s="11"/>
      <c r="H235" s="11"/>
      <c r="I235" s="11"/>
      <c r="J235" s="11"/>
      <c r="K235" s="11"/>
      <c r="L235" s="11"/>
      <c r="M235" s="12" t="str">
        <f t="shared" si="3"/>
        <v/>
      </c>
      <c r="N235" s="8"/>
      <c r="O235" s="8"/>
      <c r="P235" s="8"/>
      <c r="Q235" s="10"/>
      <c r="R235" s="8"/>
    </row>
    <row r="236" spans="1:18">
      <c r="A236" s="8"/>
      <c r="B236" s="10"/>
      <c r="C236" s="8"/>
      <c r="D236" s="8"/>
      <c r="E236" s="8"/>
      <c r="F236" s="8"/>
      <c r="G236" s="11"/>
      <c r="H236" s="11"/>
      <c r="I236" s="11"/>
      <c r="J236" s="11"/>
      <c r="K236" s="11"/>
      <c r="L236" s="11"/>
      <c r="M236" s="12" t="str">
        <f t="shared" si="3"/>
        <v/>
      </c>
      <c r="N236" s="8"/>
      <c r="O236" s="8"/>
      <c r="P236" s="8"/>
      <c r="Q236" s="10"/>
      <c r="R236" s="8"/>
    </row>
    <row r="237" spans="1:18">
      <c r="A237" s="8"/>
      <c r="B237" s="10"/>
      <c r="C237" s="8"/>
      <c r="D237" s="8"/>
      <c r="E237" s="8"/>
      <c r="F237" s="8"/>
      <c r="G237" s="11"/>
      <c r="H237" s="11"/>
      <c r="I237" s="11"/>
      <c r="J237" s="11"/>
      <c r="K237" s="11"/>
      <c r="L237" s="11"/>
      <c r="M237" s="12" t="str">
        <f t="shared" si="3"/>
        <v/>
      </c>
      <c r="N237" s="8"/>
      <c r="O237" s="8"/>
      <c r="P237" s="8"/>
      <c r="Q237" s="10"/>
      <c r="R237" s="8"/>
    </row>
    <row r="238" spans="1:18">
      <c r="A238" s="8"/>
      <c r="B238" s="10"/>
      <c r="C238" s="8"/>
      <c r="D238" s="8"/>
      <c r="E238" s="8"/>
      <c r="F238" s="8"/>
      <c r="G238" s="11"/>
      <c r="H238" s="11"/>
      <c r="I238" s="11"/>
      <c r="J238" s="11"/>
      <c r="K238" s="11"/>
      <c r="L238" s="11"/>
      <c r="M238" s="12" t="str">
        <f t="shared" si="3"/>
        <v/>
      </c>
      <c r="N238" s="8"/>
      <c r="O238" s="8"/>
      <c r="P238" s="8"/>
      <c r="Q238" s="10"/>
      <c r="R238" s="8"/>
    </row>
    <row r="239" spans="1:18">
      <c r="A239" s="8"/>
      <c r="B239" s="10"/>
      <c r="C239" s="8"/>
      <c r="D239" s="8"/>
      <c r="E239" s="8"/>
      <c r="F239" s="8"/>
      <c r="G239" s="11"/>
      <c r="H239" s="11"/>
      <c r="I239" s="11"/>
      <c r="J239" s="11"/>
      <c r="K239" s="11"/>
      <c r="L239" s="11"/>
      <c r="M239" s="12" t="str">
        <f t="shared" si="3"/>
        <v/>
      </c>
      <c r="N239" s="8"/>
      <c r="O239" s="8"/>
      <c r="P239" s="8"/>
      <c r="Q239" s="10"/>
      <c r="R239" s="8"/>
    </row>
    <row r="240" spans="1:18">
      <c r="A240" s="8"/>
      <c r="B240" s="10"/>
      <c r="C240" s="8"/>
      <c r="D240" s="8"/>
      <c r="E240" s="8"/>
      <c r="F240" s="8"/>
      <c r="G240" s="11"/>
      <c r="H240" s="11"/>
      <c r="I240" s="11"/>
      <c r="J240" s="11"/>
      <c r="K240" s="11"/>
      <c r="L240" s="11"/>
      <c r="M240" s="12" t="str">
        <f t="shared" si="3"/>
        <v/>
      </c>
      <c r="N240" s="8"/>
      <c r="O240" s="8"/>
      <c r="P240" s="8"/>
      <c r="Q240" s="10"/>
      <c r="R240" s="8"/>
    </row>
    <row r="241" spans="1:18">
      <c r="A241" s="8"/>
      <c r="B241" s="10"/>
      <c r="C241" s="8"/>
      <c r="D241" s="8"/>
      <c r="E241" s="8"/>
      <c r="F241" s="8"/>
      <c r="G241" s="11"/>
      <c r="H241" s="11"/>
      <c r="I241" s="11"/>
      <c r="J241" s="11"/>
      <c r="K241" s="11"/>
      <c r="L241" s="11"/>
      <c r="M241" s="12" t="str">
        <f t="shared" si="3"/>
        <v/>
      </c>
      <c r="N241" s="8"/>
      <c r="O241" s="8"/>
      <c r="P241" s="8"/>
      <c r="Q241" s="10"/>
      <c r="R241" s="8"/>
    </row>
    <row r="242" spans="1:18">
      <c r="A242" s="8"/>
      <c r="B242" s="10"/>
      <c r="C242" s="8"/>
      <c r="D242" s="8"/>
      <c r="E242" s="8"/>
      <c r="F242" s="8"/>
      <c r="G242" s="11"/>
      <c r="H242" s="11"/>
      <c r="I242" s="11"/>
      <c r="J242" s="11"/>
      <c r="K242" s="11"/>
      <c r="L242" s="11"/>
      <c r="M242" s="12" t="str">
        <f t="shared" si="3"/>
        <v/>
      </c>
      <c r="N242" s="8"/>
      <c r="O242" s="8"/>
      <c r="P242" s="8"/>
      <c r="Q242" s="10"/>
      <c r="R242" s="8"/>
    </row>
    <row r="243" spans="1:18">
      <c r="A243" s="8"/>
      <c r="B243" s="10"/>
      <c r="C243" s="8"/>
      <c r="D243" s="8"/>
      <c r="E243" s="8"/>
      <c r="F243" s="8"/>
      <c r="G243" s="11"/>
      <c r="H243" s="11"/>
      <c r="I243" s="11"/>
      <c r="J243" s="11"/>
      <c r="K243" s="11"/>
      <c r="L243" s="11"/>
      <c r="M243" s="12" t="str">
        <f t="shared" si="3"/>
        <v/>
      </c>
      <c r="N243" s="8"/>
      <c r="O243" s="8"/>
      <c r="P243" s="8"/>
      <c r="Q243" s="10"/>
      <c r="R243" s="8"/>
    </row>
    <row r="244" spans="1:18">
      <c r="A244" s="8"/>
      <c r="B244" s="10"/>
      <c r="C244" s="8"/>
      <c r="D244" s="8"/>
      <c r="E244" s="8"/>
      <c r="F244" s="8"/>
      <c r="G244" s="11"/>
      <c r="H244" s="11"/>
      <c r="I244" s="11"/>
      <c r="J244" s="11"/>
      <c r="K244" s="11"/>
      <c r="L244" s="11"/>
      <c r="M244" s="12" t="str">
        <f t="shared" si="3"/>
        <v/>
      </c>
      <c r="N244" s="8"/>
      <c r="O244" s="8"/>
      <c r="P244" s="8"/>
      <c r="Q244" s="10"/>
      <c r="R244" s="8"/>
    </row>
    <row r="245" spans="1:18">
      <c r="A245" s="8"/>
      <c r="B245" s="10"/>
      <c r="C245" s="8"/>
      <c r="D245" s="8"/>
      <c r="E245" s="8"/>
      <c r="F245" s="8"/>
      <c r="G245" s="11"/>
      <c r="H245" s="11"/>
      <c r="I245" s="11"/>
      <c r="J245" s="11"/>
      <c r="K245" s="11"/>
      <c r="L245" s="11"/>
      <c r="M245" s="12" t="str">
        <f t="shared" si="3"/>
        <v/>
      </c>
      <c r="N245" s="8"/>
      <c r="O245" s="8"/>
      <c r="P245" s="8"/>
      <c r="Q245" s="10"/>
      <c r="R245" s="8"/>
    </row>
    <row r="246" spans="1:18">
      <c r="A246" s="8"/>
      <c r="B246" s="10"/>
      <c r="C246" s="8"/>
      <c r="D246" s="8"/>
      <c r="E246" s="8"/>
      <c r="F246" s="8"/>
      <c r="G246" s="11"/>
      <c r="H246" s="11"/>
      <c r="I246" s="11"/>
      <c r="J246" s="11"/>
      <c r="K246" s="11"/>
      <c r="L246" s="11"/>
      <c r="M246" s="12" t="str">
        <f t="shared" si="3"/>
        <v/>
      </c>
      <c r="N246" s="8"/>
      <c r="O246" s="8"/>
      <c r="P246" s="8"/>
      <c r="Q246" s="10"/>
      <c r="R246" s="8"/>
    </row>
    <row r="247" spans="1:18">
      <c r="A247" s="8"/>
      <c r="B247" s="10"/>
      <c r="C247" s="8"/>
      <c r="D247" s="8"/>
      <c r="E247" s="8"/>
      <c r="F247" s="8"/>
      <c r="G247" s="11"/>
      <c r="H247" s="11"/>
      <c r="I247" s="11"/>
      <c r="J247" s="11"/>
      <c r="K247" s="11"/>
      <c r="L247" s="11"/>
      <c r="M247" s="12" t="str">
        <f t="shared" si="3"/>
        <v/>
      </c>
      <c r="N247" s="8"/>
      <c r="O247" s="8"/>
      <c r="P247" s="8"/>
      <c r="Q247" s="10"/>
      <c r="R247" s="8"/>
    </row>
    <row r="248" spans="1:18">
      <c r="A248" s="8"/>
      <c r="B248" s="10"/>
      <c r="C248" s="8"/>
      <c r="D248" s="8"/>
      <c r="E248" s="8"/>
      <c r="F248" s="8"/>
      <c r="G248" s="11"/>
      <c r="H248" s="11"/>
      <c r="I248" s="11"/>
      <c r="J248" s="11"/>
      <c r="K248" s="11"/>
      <c r="L248" s="11"/>
      <c r="M248" s="12" t="str">
        <f t="shared" si="3"/>
        <v/>
      </c>
      <c r="N248" s="8"/>
      <c r="O248" s="8"/>
      <c r="P248" s="8"/>
      <c r="Q248" s="10"/>
      <c r="R248" s="8"/>
    </row>
    <row r="249" spans="1:18">
      <c r="A249" s="8"/>
      <c r="B249" s="10"/>
      <c r="C249" s="8"/>
      <c r="D249" s="8"/>
      <c r="E249" s="8"/>
      <c r="F249" s="8"/>
      <c r="G249" s="11"/>
      <c r="H249" s="11"/>
      <c r="I249" s="11"/>
      <c r="J249" s="11"/>
      <c r="K249" s="11"/>
      <c r="L249" s="11"/>
      <c r="M249" s="12" t="str">
        <f t="shared" si="3"/>
        <v/>
      </c>
      <c r="N249" s="8"/>
      <c r="O249" s="8"/>
      <c r="P249" s="8"/>
      <c r="Q249" s="10"/>
      <c r="R249" s="8"/>
    </row>
    <row r="250" spans="1:18">
      <c r="A250" s="8"/>
      <c r="B250" s="10"/>
      <c r="C250" s="8"/>
      <c r="D250" s="8"/>
      <c r="E250" s="8"/>
      <c r="F250" s="8"/>
      <c r="G250" s="11"/>
      <c r="H250" s="11"/>
      <c r="I250" s="11"/>
      <c r="J250" s="11"/>
      <c r="K250" s="11"/>
      <c r="L250" s="11"/>
      <c r="M250" s="12" t="str">
        <f t="shared" si="3"/>
        <v/>
      </c>
      <c r="N250" s="8"/>
      <c r="O250" s="8"/>
      <c r="P250" s="8"/>
      <c r="Q250" s="10"/>
      <c r="R250" s="8"/>
    </row>
    <row r="251" spans="1:18">
      <c r="A251" s="8"/>
      <c r="B251" s="10"/>
      <c r="C251" s="8"/>
      <c r="D251" s="8"/>
      <c r="E251" s="8"/>
      <c r="F251" s="8"/>
      <c r="G251" s="11"/>
      <c r="H251" s="11"/>
      <c r="I251" s="11"/>
      <c r="J251" s="11"/>
      <c r="K251" s="11"/>
      <c r="L251" s="11"/>
      <c r="M251" s="12" t="str">
        <f t="shared" si="3"/>
        <v/>
      </c>
      <c r="N251" s="8"/>
      <c r="O251" s="8"/>
      <c r="P251" s="8"/>
      <c r="Q251" s="10"/>
      <c r="R251" s="8"/>
    </row>
    <row r="252" spans="1:18">
      <c r="A252" s="8"/>
      <c r="B252" s="10"/>
      <c r="C252" s="8"/>
      <c r="D252" s="8"/>
      <c r="E252" s="8"/>
      <c r="F252" s="8"/>
      <c r="G252" s="11"/>
      <c r="H252" s="11"/>
      <c r="I252" s="11"/>
      <c r="J252" s="11"/>
      <c r="K252" s="11"/>
      <c r="L252" s="11"/>
      <c r="M252" s="12" t="str">
        <f t="shared" si="3"/>
        <v/>
      </c>
      <c r="N252" s="8"/>
      <c r="O252" s="8"/>
      <c r="P252" s="8"/>
      <c r="Q252" s="10"/>
      <c r="R252" s="8"/>
    </row>
    <row r="253" spans="1:18">
      <c r="A253" s="8"/>
      <c r="B253" s="10"/>
      <c r="C253" s="8"/>
      <c r="D253" s="8"/>
      <c r="E253" s="8"/>
      <c r="F253" s="8"/>
      <c r="G253" s="11"/>
      <c r="H253" s="11"/>
      <c r="I253" s="11"/>
      <c r="J253" s="11"/>
      <c r="K253" s="11"/>
      <c r="L253" s="11"/>
      <c r="M253" s="12" t="str">
        <f t="shared" si="3"/>
        <v/>
      </c>
      <c r="N253" s="8"/>
      <c r="O253" s="8"/>
      <c r="P253" s="8"/>
      <c r="Q253" s="10"/>
      <c r="R253" s="8"/>
    </row>
    <row r="254" spans="1:18">
      <c r="A254" s="8"/>
      <c r="B254" s="10"/>
      <c r="C254" s="8"/>
      <c r="D254" s="8"/>
      <c r="E254" s="8"/>
      <c r="F254" s="8"/>
      <c r="G254" s="11"/>
      <c r="H254" s="11"/>
      <c r="I254" s="11"/>
      <c r="J254" s="11"/>
      <c r="K254" s="11"/>
      <c r="L254" s="11"/>
      <c r="M254" s="12" t="str">
        <f t="shared" si="3"/>
        <v/>
      </c>
      <c r="N254" s="8"/>
      <c r="O254" s="8"/>
      <c r="P254" s="8"/>
      <c r="Q254" s="10"/>
      <c r="R254" s="8"/>
    </row>
    <row r="255" spans="1:18">
      <c r="A255" s="8"/>
      <c r="B255" s="10"/>
      <c r="C255" s="8"/>
      <c r="D255" s="8"/>
      <c r="E255" s="8"/>
      <c r="F255" s="8"/>
      <c r="G255" s="11"/>
      <c r="H255" s="11"/>
      <c r="I255" s="11"/>
      <c r="J255" s="11"/>
      <c r="K255" s="11"/>
      <c r="L255" s="11"/>
      <c r="M255" s="12" t="str">
        <f t="shared" si="3"/>
        <v/>
      </c>
      <c r="N255" s="8"/>
      <c r="O255" s="8"/>
      <c r="P255" s="8"/>
      <c r="Q255" s="10"/>
      <c r="R255" s="8"/>
    </row>
    <row r="256" spans="1:18">
      <c r="A256" s="8"/>
      <c r="B256" s="10"/>
      <c r="C256" s="8"/>
      <c r="D256" s="8"/>
      <c r="E256" s="8"/>
      <c r="F256" s="8"/>
      <c r="G256" s="11"/>
      <c r="H256" s="11"/>
      <c r="I256" s="11"/>
      <c r="J256" s="11"/>
      <c r="K256" s="11"/>
      <c r="L256" s="11"/>
      <c r="M256" s="12" t="str">
        <f t="shared" si="3"/>
        <v/>
      </c>
      <c r="N256" s="8"/>
      <c r="O256" s="8"/>
      <c r="P256" s="8"/>
      <c r="Q256" s="10"/>
      <c r="R256" s="8"/>
    </row>
    <row r="257" spans="1:18">
      <c r="A257" s="8"/>
      <c r="B257" s="10"/>
      <c r="C257" s="8"/>
      <c r="D257" s="8"/>
      <c r="E257" s="8"/>
      <c r="F257" s="8"/>
      <c r="G257" s="11"/>
      <c r="H257" s="11"/>
      <c r="I257" s="11"/>
      <c r="J257" s="11"/>
      <c r="K257" s="11"/>
      <c r="L257" s="11"/>
      <c r="M257" s="12" t="str">
        <f t="shared" si="3"/>
        <v/>
      </c>
      <c r="N257" s="8"/>
      <c r="O257" s="8"/>
      <c r="P257" s="8"/>
      <c r="Q257" s="10"/>
      <c r="R257" s="8"/>
    </row>
    <row r="258" spans="1:18">
      <c r="A258" s="8"/>
      <c r="B258" s="10"/>
      <c r="C258" s="8"/>
      <c r="D258" s="8"/>
      <c r="E258" s="8"/>
      <c r="F258" s="8"/>
      <c r="G258" s="11"/>
      <c r="H258" s="11"/>
      <c r="I258" s="11"/>
      <c r="J258" s="11"/>
      <c r="K258" s="11"/>
      <c r="L258" s="11"/>
      <c r="M258" s="12" t="str">
        <f t="shared" si="3"/>
        <v/>
      </c>
      <c r="N258" s="8"/>
      <c r="O258" s="8"/>
      <c r="P258" s="8"/>
      <c r="Q258" s="10"/>
      <c r="R258" s="8"/>
    </row>
    <row r="259" spans="1:18">
      <c r="A259" s="8"/>
      <c r="B259" s="10"/>
      <c r="C259" s="8"/>
      <c r="D259" s="8"/>
      <c r="E259" s="8"/>
      <c r="F259" s="8"/>
      <c r="G259" s="11"/>
      <c r="H259" s="11"/>
      <c r="I259" s="11"/>
      <c r="J259" s="11"/>
      <c r="K259" s="11"/>
      <c r="L259" s="11"/>
      <c r="M259" s="12" t="str">
        <f t="shared" si="3"/>
        <v/>
      </c>
      <c r="N259" s="8"/>
      <c r="O259" s="8"/>
      <c r="P259" s="8"/>
      <c r="Q259" s="10"/>
      <c r="R259" s="8"/>
    </row>
    <row r="260" spans="1:18">
      <c r="A260" s="8"/>
      <c r="B260" s="10"/>
      <c r="C260" s="8"/>
      <c r="D260" s="8"/>
      <c r="E260" s="8"/>
      <c r="F260" s="8"/>
      <c r="G260" s="11"/>
      <c r="H260" s="11"/>
      <c r="I260" s="11"/>
      <c r="J260" s="11"/>
      <c r="K260" s="11"/>
      <c r="L260" s="11"/>
      <c r="M260" s="12" t="str">
        <f t="shared" si="3"/>
        <v/>
      </c>
      <c r="N260" s="8"/>
      <c r="O260" s="8"/>
      <c r="P260" s="8"/>
      <c r="Q260" s="10"/>
      <c r="R260" s="8"/>
    </row>
    <row r="261" spans="1:18">
      <c r="A261" s="8"/>
      <c r="B261" s="10"/>
      <c r="C261" s="8"/>
      <c r="D261" s="8"/>
      <c r="E261" s="8"/>
      <c r="F261" s="8"/>
      <c r="G261" s="11"/>
      <c r="H261" s="11"/>
      <c r="I261" s="11"/>
      <c r="J261" s="11"/>
      <c r="K261" s="11"/>
      <c r="L261" s="11"/>
      <c r="M261" s="12" t="str">
        <f t="shared" ref="M261:M324" si="4">IF(A261="","",MAX(0,H261-K261-L261))</f>
        <v/>
      </c>
      <c r="N261" s="8"/>
      <c r="O261" s="8"/>
      <c r="P261" s="8"/>
      <c r="Q261" s="10"/>
      <c r="R261" s="8"/>
    </row>
    <row r="262" spans="1:18">
      <c r="A262" s="8"/>
      <c r="B262" s="10"/>
      <c r="C262" s="8"/>
      <c r="D262" s="8"/>
      <c r="E262" s="8"/>
      <c r="F262" s="8"/>
      <c r="G262" s="11"/>
      <c r="H262" s="11"/>
      <c r="I262" s="11"/>
      <c r="J262" s="11"/>
      <c r="K262" s="11"/>
      <c r="L262" s="11"/>
      <c r="M262" s="12" t="str">
        <f t="shared" si="4"/>
        <v/>
      </c>
      <c r="N262" s="8"/>
      <c r="O262" s="8"/>
      <c r="P262" s="8"/>
      <c r="Q262" s="10"/>
      <c r="R262" s="8"/>
    </row>
    <row r="263" spans="1:18">
      <c r="A263" s="8"/>
      <c r="B263" s="10"/>
      <c r="C263" s="8"/>
      <c r="D263" s="8"/>
      <c r="E263" s="8"/>
      <c r="F263" s="8"/>
      <c r="G263" s="11"/>
      <c r="H263" s="11"/>
      <c r="I263" s="11"/>
      <c r="J263" s="11"/>
      <c r="K263" s="11"/>
      <c r="L263" s="11"/>
      <c r="M263" s="12" t="str">
        <f t="shared" si="4"/>
        <v/>
      </c>
      <c r="N263" s="8"/>
      <c r="O263" s="8"/>
      <c r="P263" s="8"/>
      <c r="Q263" s="10"/>
      <c r="R263" s="8"/>
    </row>
    <row r="264" spans="1:18">
      <c r="A264" s="8"/>
      <c r="B264" s="10"/>
      <c r="C264" s="8"/>
      <c r="D264" s="8"/>
      <c r="E264" s="8"/>
      <c r="F264" s="8"/>
      <c r="G264" s="11"/>
      <c r="H264" s="11"/>
      <c r="I264" s="11"/>
      <c r="J264" s="11"/>
      <c r="K264" s="11"/>
      <c r="L264" s="11"/>
      <c r="M264" s="12" t="str">
        <f t="shared" si="4"/>
        <v/>
      </c>
      <c r="N264" s="8"/>
      <c r="O264" s="8"/>
      <c r="P264" s="8"/>
      <c r="Q264" s="10"/>
      <c r="R264" s="8"/>
    </row>
    <row r="265" spans="1:18">
      <c r="A265" s="8"/>
      <c r="B265" s="10"/>
      <c r="C265" s="8"/>
      <c r="D265" s="8"/>
      <c r="E265" s="8"/>
      <c r="F265" s="8"/>
      <c r="G265" s="11"/>
      <c r="H265" s="11"/>
      <c r="I265" s="11"/>
      <c r="J265" s="11"/>
      <c r="K265" s="11"/>
      <c r="L265" s="11"/>
      <c r="M265" s="12" t="str">
        <f t="shared" si="4"/>
        <v/>
      </c>
      <c r="N265" s="8"/>
      <c r="O265" s="8"/>
      <c r="P265" s="8"/>
      <c r="Q265" s="10"/>
      <c r="R265" s="8"/>
    </row>
    <row r="266" spans="1:18">
      <c r="A266" s="8"/>
      <c r="B266" s="10"/>
      <c r="C266" s="8"/>
      <c r="D266" s="8"/>
      <c r="E266" s="8"/>
      <c r="F266" s="8"/>
      <c r="G266" s="11"/>
      <c r="H266" s="11"/>
      <c r="I266" s="11"/>
      <c r="J266" s="11"/>
      <c r="K266" s="11"/>
      <c r="L266" s="11"/>
      <c r="M266" s="12" t="str">
        <f t="shared" si="4"/>
        <v/>
      </c>
      <c r="N266" s="8"/>
      <c r="O266" s="8"/>
      <c r="P266" s="8"/>
      <c r="Q266" s="10"/>
      <c r="R266" s="8"/>
    </row>
    <row r="267" spans="1:18">
      <c r="A267" s="8"/>
      <c r="B267" s="10"/>
      <c r="C267" s="8"/>
      <c r="D267" s="8"/>
      <c r="E267" s="8"/>
      <c r="F267" s="8"/>
      <c r="G267" s="11"/>
      <c r="H267" s="11"/>
      <c r="I267" s="11"/>
      <c r="J267" s="11"/>
      <c r="K267" s="11"/>
      <c r="L267" s="11"/>
      <c r="M267" s="12" t="str">
        <f t="shared" si="4"/>
        <v/>
      </c>
      <c r="N267" s="8"/>
      <c r="O267" s="8"/>
      <c r="P267" s="8"/>
      <c r="Q267" s="10"/>
      <c r="R267" s="8"/>
    </row>
    <row r="268" spans="1:18">
      <c r="A268" s="8"/>
      <c r="B268" s="10"/>
      <c r="C268" s="8"/>
      <c r="D268" s="8"/>
      <c r="E268" s="8"/>
      <c r="F268" s="8"/>
      <c r="G268" s="11"/>
      <c r="H268" s="11"/>
      <c r="I268" s="11"/>
      <c r="J268" s="11"/>
      <c r="K268" s="11"/>
      <c r="L268" s="11"/>
      <c r="M268" s="12" t="str">
        <f t="shared" si="4"/>
        <v/>
      </c>
      <c r="N268" s="8"/>
      <c r="O268" s="8"/>
      <c r="P268" s="8"/>
      <c r="Q268" s="10"/>
      <c r="R268" s="8"/>
    </row>
    <row r="269" spans="1:18">
      <c r="A269" s="8"/>
      <c r="B269" s="10"/>
      <c r="C269" s="8"/>
      <c r="D269" s="8"/>
      <c r="E269" s="8"/>
      <c r="F269" s="8"/>
      <c r="G269" s="11"/>
      <c r="H269" s="11"/>
      <c r="I269" s="11"/>
      <c r="J269" s="11"/>
      <c r="K269" s="11"/>
      <c r="L269" s="11"/>
      <c r="M269" s="12" t="str">
        <f t="shared" si="4"/>
        <v/>
      </c>
      <c r="N269" s="8"/>
      <c r="O269" s="8"/>
      <c r="P269" s="8"/>
      <c r="Q269" s="10"/>
      <c r="R269" s="8"/>
    </row>
    <row r="270" spans="1:18">
      <c r="A270" s="8"/>
      <c r="B270" s="10"/>
      <c r="C270" s="8"/>
      <c r="D270" s="8"/>
      <c r="E270" s="8"/>
      <c r="F270" s="8"/>
      <c r="G270" s="11"/>
      <c r="H270" s="11"/>
      <c r="I270" s="11"/>
      <c r="J270" s="11"/>
      <c r="K270" s="11"/>
      <c r="L270" s="11"/>
      <c r="M270" s="12" t="str">
        <f t="shared" si="4"/>
        <v/>
      </c>
      <c r="N270" s="8"/>
      <c r="O270" s="8"/>
      <c r="P270" s="8"/>
      <c r="Q270" s="10"/>
      <c r="R270" s="8"/>
    </row>
    <row r="271" spans="1:18">
      <c r="A271" s="8"/>
      <c r="B271" s="10"/>
      <c r="C271" s="8"/>
      <c r="D271" s="8"/>
      <c r="E271" s="8"/>
      <c r="F271" s="8"/>
      <c r="G271" s="11"/>
      <c r="H271" s="11"/>
      <c r="I271" s="11"/>
      <c r="J271" s="11"/>
      <c r="K271" s="11"/>
      <c r="L271" s="11"/>
      <c r="M271" s="12" t="str">
        <f t="shared" si="4"/>
        <v/>
      </c>
      <c r="N271" s="8"/>
      <c r="O271" s="8"/>
      <c r="P271" s="8"/>
      <c r="Q271" s="10"/>
      <c r="R271" s="8"/>
    </row>
    <row r="272" spans="1:18">
      <c r="A272" s="8"/>
      <c r="B272" s="10"/>
      <c r="C272" s="8"/>
      <c r="D272" s="8"/>
      <c r="E272" s="8"/>
      <c r="F272" s="8"/>
      <c r="G272" s="11"/>
      <c r="H272" s="11"/>
      <c r="I272" s="11"/>
      <c r="J272" s="11"/>
      <c r="K272" s="11"/>
      <c r="L272" s="11"/>
      <c r="M272" s="12" t="str">
        <f t="shared" si="4"/>
        <v/>
      </c>
      <c r="N272" s="8"/>
      <c r="O272" s="8"/>
      <c r="P272" s="8"/>
      <c r="Q272" s="10"/>
      <c r="R272" s="8"/>
    </row>
    <row r="273" spans="1:18">
      <c r="A273" s="8"/>
      <c r="B273" s="10"/>
      <c r="C273" s="8"/>
      <c r="D273" s="8"/>
      <c r="E273" s="8"/>
      <c r="F273" s="8"/>
      <c r="G273" s="11"/>
      <c r="H273" s="11"/>
      <c r="I273" s="11"/>
      <c r="J273" s="11"/>
      <c r="K273" s="11"/>
      <c r="L273" s="11"/>
      <c r="M273" s="12" t="str">
        <f t="shared" si="4"/>
        <v/>
      </c>
      <c r="N273" s="8"/>
      <c r="O273" s="8"/>
      <c r="P273" s="8"/>
      <c r="Q273" s="10"/>
      <c r="R273" s="8"/>
    </row>
    <row r="274" spans="1:18">
      <c r="A274" s="8"/>
      <c r="B274" s="10"/>
      <c r="C274" s="8"/>
      <c r="D274" s="8"/>
      <c r="E274" s="8"/>
      <c r="F274" s="8"/>
      <c r="G274" s="11"/>
      <c r="H274" s="11"/>
      <c r="I274" s="11"/>
      <c r="J274" s="11"/>
      <c r="K274" s="11"/>
      <c r="L274" s="11"/>
      <c r="M274" s="12" t="str">
        <f t="shared" si="4"/>
        <v/>
      </c>
      <c r="N274" s="8"/>
      <c r="O274" s="8"/>
      <c r="P274" s="8"/>
      <c r="Q274" s="10"/>
      <c r="R274" s="8"/>
    </row>
    <row r="275" spans="1:18">
      <c r="A275" s="8"/>
      <c r="B275" s="10"/>
      <c r="C275" s="8"/>
      <c r="D275" s="8"/>
      <c r="E275" s="8"/>
      <c r="F275" s="8"/>
      <c r="G275" s="11"/>
      <c r="H275" s="11"/>
      <c r="I275" s="11"/>
      <c r="J275" s="11"/>
      <c r="K275" s="11"/>
      <c r="L275" s="11"/>
      <c r="M275" s="12" t="str">
        <f t="shared" si="4"/>
        <v/>
      </c>
      <c r="N275" s="8"/>
      <c r="O275" s="8"/>
      <c r="P275" s="8"/>
      <c r="Q275" s="10"/>
      <c r="R275" s="8"/>
    </row>
    <row r="276" spans="1:18">
      <c r="A276" s="8"/>
      <c r="B276" s="10"/>
      <c r="C276" s="8"/>
      <c r="D276" s="8"/>
      <c r="E276" s="8"/>
      <c r="F276" s="8"/>
      <c r="G276" s="11"/>
      <c r="H276" s="11"/>
      <c r="I276" s="11"/>
      <c r="J276" s="11"/>
      <c r="K276" s="11"/>
      <c r="L276" s="11"/>
      <c r="M276" s="12" t="str">
        <f t="shared" si="4"/>
        <v/>
      </c>
      <c r="N276" s="8"/>
      <c r="O276" s="8"/>
      <c r="P276" s="8"/>
      <c r="Q276" s="10"/>
      <c r="R276" s="8"/>
    </row>
    <row r="277" spans="1:18">
      <c r="A277" s="8"/>
      <c r="B277" s="10"/>
      <c r="C277" s="8"/>
      <c r="D277" s="8"/>
      <c r="E277" s="8"/>
      <c r="F277" s="8"/>
      <c r="G277" s="11"/>
      <c r="H277" s="11"/>
      <c r="I277" s="11"/>
      <c r="J277" s="11"/>
      <c r="K277" s="11"/>
      <c r="L277" s="11"/>
      <c r="M277" s="12" t="str">
        <f t="shared" si="4"/>
        <v/>
      </c>
      <c r="N277" s="8"/>
      <c r="O277" s="8"/>
      <c r="P277" s="8"/>
      <c r="Q277" s="10"/>
      <c r="R277" s="8"/>
    </row>
    <row r="278" spans="1:18">
      <c r="A278" s="8"/>
      <c r="B278" s="10"/>
      <c r="C278" s="8"/>
      <c r="D278" s="8"/>
      <c r="E278" s="8"/>
      <c r="F278" s="8"/>
      <c r="G278" s="11"/>
      <c r="H278" s="11"/>
      <c r="I278" s="11"/>
      <c r="J278" s="11"/>
      <c r="K278" s="11"/>
      <c r="L278" s="11"/>
      <c r="M278" s="12" t="str">
        <f t="shared" si="4"/>
        <v/>
      </c>
      <c r="N278" s="8"/>
      <c r="O278" s="8"/>
      <c r="P278" s="8"/>
      <c r="Q278" s="10"/>
      <c r="R278" s="8"/>
    </row>
    <row r="279" spans="1:18">
      <c r="A279" s="8"/>
      <c r="B279" s="10"/>
      <c r="C279" s="8"/>
      <c r="D279" s="8"/>
      <c r="E279" s="8"/>
      <c r="F279" s="8"/>
      <c r="G279" s="11"/>
      <c r="H279" s="11"/>
      <c r="I279" s="11"/>
      <c r="J279" s="11"/>
      <c r="K279" s="11"/>
      <c r="L279" s="11"/>
      <c r="M279" s="12" t="str">
        <f t="shared" si="4"/>
        <v/>
      </c>
      <c r="N279" s="8"/>
      <c r="O279" s="8"/>
      <c r="P279" s="8"/>
      <c r="Q279" s="10"/>
      <c r="R279" s="8"/>
    </row>
    <row r="280" spans="1:18">
      <c r="A280" s="8"/>
      <c r="B280" s="10"/>
      <c r="C280" s="8"/>
      <c r="D280" s="8"/>
      <c r="E280" s="8"/>
      <c r="F280" s="8"/>
      <c r="G280" s="11"/>
      <c r="H280" s="11"/>
      <c r="I280" s="11"/>
      <c r="J280" s="11"/>
      <c r="K280" s="11"/>
      <c r="L280" s="11"/>
      <c r="M280" s="12" t="str">
        <f t="shared" si="4"/>
        <v/>
      </c>
      <c r="N280" s="8"/>
      <c r="O280" s="8"/>
      <c r="P280" s="8"/>
      <c r="Q280" s="10"/>
      <c r="R280" s="8"/>
    </row>
    <row r="281" spans="1:18">
      <c r="A281" s="8"/>
      <c r="B281" s="10"/>
      <c r="C281" s="8"/>
      <c r="D281" s="8"/>
      <c r="E281" s="8"/>
      <c r="F281" s="8"/>
      <c r="G281" s="11"/>
      <c r="H281" s="11"/>
      <c r="I281" s="11"/>
      <c r="J281" s="11"/>
      <c r="K281" s="11"/>
      <c r="L281" s="11"/>
      <c r="M281" s="12" t="str">
        <f t="shared" si="4"/>
        <v/>
      </c>
      <c r="N281" s="8"/>
      <c r="O281" s="8"/>
      <c r="P281" s="8"/>
      <c r="Q281" s="10"/>
      <c r="R281" s="8"/>
    </row>
    <row r="282" spans="1:18">
      <c r="A282" s="8"/>
      <c r="B282" s="10"/>
      <c r="C282" s="8"/>
      <c r="D282" s="8"/>
      <c r="E282" s="8"/>
      <c r="F282" s="8"/>
      <c r="G282" s="11"/>
      <c r="H282" s="11"/>
      <c r="I282" s="11"/>
      <c r="J282" s="11"/>
      <c r="K282" s="11"/>
      <c r="L282" s="11"/>
      <c r="M282" s="12" t="str">
        <f t="shared" si="4"/>
        <v/>
      </c>
      <c r="N282" s="8"/>
      <c r="O282" s="8"/>
      <c r="P282" s="8"/>
      <c r="Q282" s="10"/>
      <c r="R282" s="8"/>
    </row>
    <row r="283" spans="1:18">
      <c r="A283" s="8"/>
      <c r="B283" s="10"/>
      <c r="C283" s="8"/>
      <c r="D283" s="8"/>
      <c r="E283" s="8"/>
      <c r="F283" s="8"/>
      <c r="G283" s="11"/>
      <c r="H283" s="11"/>
      <c r="I283" s="11"/>
      <c r="J283" s="11"/>
      <c r="K283" s="11"/>
      <c r="L283" s="11"/>
      <c r="M283" s="12" t="str">
        <f t="shared" si="4"/>
        <v/>
      </c>
      <c r="N283" s="8"/>
      <c r="O283" s="8"/>
      <c r="P283" s="8"/>
      <c r="Q283" s="10"/>
      <c r="R283" s="8"/>
    </row>
    <row r="284" spans="1:18">
      <c r="A284" s="8"/>
      <c r="B284" s="10"/>
      <c r="C284" s="8"/>
      <c r="D284" s="8"/>
      <c r="E284" s="8"/>
      <c r="F284" s="8"/>
      <c r="G284" s="11"/>
      <c r="H284" s="11"/>
      <c r="I284" s="11"/>
      <c r="J284" s="11"/>
      <c r="K284" s="11"/>
      <c r="L284" s="11"/>
      <c r="M284" s="12" t="str">
        <f t="shared" si="4"/>
        <v/>
      </c>
      <c r="N284" s="8"/>
      <c r="O284" s="8"/>
      <c r="P284" s="8"/>
      <c r="Q284" s="10"/>
      <c r="R284" s="8"/>
    </row>
    <row r="285" spans="1:18">
      <c r="A285" s="8"/>
      <c r="B285" s="10"/>
      <c r="C285" s="8"/>
      <c r="D285" s="8"/>
      <c r="E285" s="8"/>
      <c r="F285" s="8"/>
      <c r="G285" s="11"/>
      <c r="H285" s="11"/>
      <c r="I285" s="11"/>
      <c r="J285" s="11"/>
      <c r="K285" s="11"/>
      <c r="L285" s="11"/>
      <c r="M285" s="12" t="str">
        <f t="shared" si="4"/>
        <v/>
      </c>
      <c r="N285" s="8"/>
      <c r="O285" s="8"/>
      <c r="P285" s="8"/>
      <c r="Q285" s="10"/>
      <c r="R285" s="8"/>
    </row>
    <row r="286" spans="1:18">
      <c r="A286" s="8"/>
      <c r="B286" s="10"/>
      <c r="C286" s="8"/>
      <c r="D286" s="8"/>
      <c r="E286" s="8"/>
      <c r="F286" s="8"/>
      <c r="G286" s="11"/>
      <c r="H286" s="11"/>
      <c r="I286" s="11"/>
      <c r="J286" s="11"/>
      <c r="K286" s="11"/>
      <c r="L286" s="11"/>
      <c r="M286" s="12" t="str">
        <f t="shared" si="4"/>
        <v/>
      </c>
      <c r="N286" s="8"/>
      <c r="O286" s="8"/>
      <c r="P286" s="8"/>
      <c r="Q286" s="10"/>
      <c r="R286" s="8"/>
    </row>
    <row r="287" spans="1:18">
      <c r="A287" s="8"/>
      <c r="B287" s="10"/>
      <c r="C287" s="8"/>
      <c r="D287" s="8"/>
      <c r="E287" s="8"/>
      <c r="F287" s="8"/>
      <c r="G287" s="11"/>
      <c r="H287" s="11"/>
      <c r="I287" s="11"/>
      <c r="J287" s="11"/>
      <c r="K287" s="11"/>
      <c r="L287" s="11"/>
      <c r="M287" s="12" t="str">
        <f t="shared" si="4"/>
        <v/>
      </c>
      <c r="N287" s="8"/>
      <c r="O287" s="8"/>
      <c r="P287" s="8"/>
      <c r="Q287" s="10"/>
      <c r="R287" s="8"/>
    </row>
    <row r="288" spans="1:18">
      <c r="A288" s="8"/>
      <c r="B288" s="10"/>
      <c r="C288" s="8"/>
      <c r="D288" s="8"/>
      <c r="E288" s="8"/>
      <c r="F288" s="8"/>
      <c r="G288" s="11"/>
      <c r="H288" s="11"/>
      <c r="I288" s="11"/>
      <c r="J288" s="11"/>
      <c r="K288" s="11"/>
      <c r="L288" s="11"/>
      <c r="M288" s="12" t="str">
        <f t="shared" si="4"/>
        <v/>
      </c>
      <c r="N288" s="8"/>
      <c r="O288" s="8"/>
      <c r="P288" s="8"/>
      <c r="Q288" s="10"/>
      <c r="R288" s="8"/>
    </row>
    <row r="289" spans="1:18">
      <c r="A289" s="8"/>
      <c r="B289" s="10"/>
      <c r="C289" s="8"/>
      <c r="D289" s="8"/>
      <c r="E289" s="8"/>
      <c r="F289" s="8"/>
      <c r="G289" s="11"/>
      <c r="H289" s="11"/>
      <c r="I289" s="11"/>
      <c r="J289" s="11"/>
      <c r="K289" s="11"/>
      <c r="L289" s="11"/>
      <c r="M289" s="12" t="str">
        <f t="shared" si="4"/>
        <v/>
      </c>
      <c r="N289" s="8"/>
      <c r="O289" s="8"/>
      <c r="P289" s="8"/>
      <c r="Q289" s="10"/>
      <c r="R289" s="8"/>
    </row>
    <row r="290" spans="1:18">
      <c r="A290" s="8"/>
      <c r="B290" s="10"/>
      <c r="C290" s="8"/>
      <c r="D290" s="8"/>
      <c r="E290" s="8"/>
      <c r="F290" s="8"/>
      <c r="G290" s="11"/>
      <c r="H290" s="11"/>
      <c r="I290" s="11"/>
      <c r="J290" s="11"/>
      <c r="K290" s="11"/>
      <c r="L290" s="11"/>
      <c r="M290" s="12" t="str">
        <f t="shared" si="4"/>
        <v/>
      </c>
      <c r="N290" s="8"/>
      <c r="O290" s="8"/>
      <c r="P290" s="8"/>
      <c r="Q290" s="10"/>
      <c r="R290" s="8"/>
    </row>
    <row r="291" spans="1:18">
      <c r="A291" s="8"/>
      <c r="B291" s="10"/>
      <c r="C291" s="8"/>
      <c r="D291" s="8"/>
      <c r="E291" s="8"/>
      <c r="F291" s="8"/>
      <c r="G291" s="11"/>
      <c r="H291" s="11"/>
      <c r="I291" s="11"/>
      <c r="J291" s="11"/>
      <c r="K291" s="11"/>
      <c r="L291" s="11"/>
      <c r="M291" s="12" t="str">
        <f t="shared" si="4"/>
        <v/>
      </c>
      <c r="N291" s="8"/>
      <c r="O291" s="8"/>
      <c r="P291" s="8"/>
      <c r="Q291" s="10"/>
      <c r="R291" s="8"/>
    </row>
    <row r="292" spans="1:18">
      <c r="A292" s="8"/>
      <c r="B292" s="10"/>
      <c r="C292" s="8"/>
      <c r="D292" s="8"/>
      <c r="E292" s="8"/>
      <c r="F292" s="8"/>
      <c r="G292" s="11"/>
      <c r="H292" s="11"/>
      <c r="I292" s="11"/>
      <c r="J292" s="11"/>
      <c r="K292" s="11"/>
      <c r="L292" s="11"/>
      <c r="M292" s="12" t="str">
        <f t="shared" si="4"/>
        <v/>
      </c>
      <c r="N292" s="8"/>
      <c r="O292" s="8"/>
      <c r="P292" s="8"/>
      <c r="Q292" s="10"/>
      <c r="R292" s="8"/>
    </row>
    <row r="293" spans="1:18">
      <c r="A293" s="8"/>
      <c r="B293" s="10"/>
      <c r="C293" s="8"/>
      <c r="D293" s="8"/>
      <c r="E293" s="8"/>
      <c r="F293" s="8"/>
      <c r="G293" s="11"/>
      <c r="H293" s="11"/>
      <c r="I293" s="11"/>
      <c r="J293" s="11"/>
      <c r="K293" s="11"/>
      <c r="L293" s="11"/>
      <c r="M293" s="12" t="str">
        <f t="shared" si="4"/>
        <v/>
      </c>
      <c r="N293" s="8"/>
      <c r="O293" s="8"/>
      <c r="P293" s="8"/>
      <c r="Q293" s="10"/>
      <c r="R293" s="8"/>
    </row>
    <row r="294" spans="1:18">
      <c r="A294" s="8"/>
      <c r="B294" s="10"/>
      <c r="C294" s="8"/>
      <c r="D294" s="8"/>
      <c r="E294" s="8"/>
      <c r="F294" s="8"/>
      <c r="G294" s="11"/>
      <c r="H294" s="11"/>
      <c r="I294" s="11"/>
      <c r="J294" s="11"/>
      <c r="K294" s="11"/>
      <c r="L294" s="11"/>
      <c r="M294" s="12" t="str">
        <f t="shared" si="4"/>
        <v/>
      </c>
      <c r="N294" s="8"/>
      <c r="O294" s="8"/>
      <c r="P294" s="8"/>
      <c r="Q294" s="10"/>
      <c r="R294" s="8"/>
    </row>
    <row r="295" spans="1:18">
      <c r="A295" s="8"/>
      <c r="B295" s="10"/>
      <c r="C295" s="8"/>
      <c r="D295" s="8"/>
      <c r="E295" s="8"/>
      <c r="F295" s="8"/>
      <c r="G295" s="11"/>
      <c r="H295" s="11"/>
      <c r="I295" s="11"/>
      <c r="J295" s="11"/>
      <c r="K295" s="11"/>
      <c r="L295" s="11"/>
      <c r="M295" s="12" t="str">
        <f t="shared" si="4"/>
        <v/>
      </c>
      <c r="N295" s="8"/>
      <c r="O295" s="8"/>
      <c r="P295" s="8"/>
      <c r="Q295" s="10"/>
      <c r="R295" s="8"/>
    </row>
    <row r="296" spans="1:18">
      <c r="A296" s="8"/>
      <c r="B296" s="10"/>
      <c r="C296" s="8"/>
      <c r="D296" s="8"/>
      <c r="E296" s="8"/>
      <c r="F296" s="8"/>
      <c r="G296" s="11"/>
      <c r="H296" s="11"/>
      <c r="I296" s="11"/>
      <c r="J296" s="11"/>
      <c r="K296" s="11"/>
      <c r="L296" s="11"/>
      <c r="M296" s="12" t="str">
        <f t="shared" si="4"/>
        <v/>
      </c>
      <c r="N296" s="8"/>
      <c r="O296" s="8"/>
      <c r="P296" s="8"/>
      <c r="Q296" s="10"/>
      <c r="R296" s="8"/>
    </row>
    <row r="297" spans="1:18">
      <c r="A297" s="8"/>
      <c r="B297" s="10"/>
      <c r="C297" s="8"/>
      <c r="D297" s="8"/>
      <c r="E297" s="8"/>
      <c r="F297" s="8"/>
      <c r="G297" s="11"/>
      <c r="H297" s="11"/>
      <c r="I297" s="11"/>
      <c r="J297" s="11"/>
      <c r="K297" s="11"/>
      <c r="L297" s="11"/>
      <c r="M297" s="12" t="str">
        <f t="shared" si="4"/>
        <v/>
      </c>
      <c r="N297" s="8"/>
      <c r="O297" s="8"/>
      <c r="P297" s="8"/>
      <c r="Q297" s="10"/>
      <c r="R297" s="8"/>
    </row>
    <row r="298" spans="1:18">
      <c r="A298" s="8"/>
      <c r="B298" s="10"/>
      <c r="C298" s="8"/>
      <c r="D298" s="8"/>
      <c r="E298" s="8"/>
      <c r="F298" s="8"/>
      <c r="G298" s="11"/>
      <c r="H298" s="11"/>
      <c r="I298" s="11"/>
      <c r="J298" s="11"/>
      <c r="K298" s="11"/>
      <c r="L298" s="11"/>
      <c r="M298" s="12" t="str">
        <f t="shared" si="4"/>
        <v/>
      </c>
      <c r="N298" s="8"/>
      <c r="O298" s="8"/>
      <c r="P298" s="8"/>
      <c r="Q298" s="10"/>
      <c r="R298" s="8"/>
    </row>
    <row r="299" spans="1:18">
      <c r="A299" s="8"/>
      <c r="B299" s="10"/>
      <c r="C299" s="8"/>
      <c r="D299" s="8"/>
      <c r="E299" s="8"/>
      <c r="F299" s="8"/>
      <c r="G299" s="11"/>
      <c r="H299" s="11"/>
      <c r="I299" s="11"/>
      <c r="J299" s="11"/>
      <c r="K299" s="11"/>
      <c r="L299" s="11"/>
      <c r="M299" s="12" t="str">
        <f t="shared" si="4"/>
        <v/>
      </c>
      <c r="N299" s="8"/>
      <c r="O299" s="8"/>
      <c r="P299" s="8"/>
      <c r="Q299" s="10"/>
      <c r="R299" s="8"/>
    </row>
    <row r="300" spans="1:18">
      <c r="A300" s="8"/>
      <c r="B300" s="10"/>
      <c r="C300" s="8"/>
      <c r="D300" s="8"/>
      <c r="E300" s="8"/>
      <c r="F300" s="8"/>
      <c r="G300" s="11"/>
      <c r="H300" s="11"/>
      <c r="I300" s="11"/>
      <c r="J300" s="11"/>
      <c r="K300" s="11"/>
      <c r="L300" s="11"/>
      <c r="M300" s="12" t="str">
        <f t="shared" si="4"/>
        <v/>
      </c>
      <c r="N300" s="8"/>
      <c r="O300" s="8"/>
      <c r="P300" s="8"/>
      <c r="Q300" s="10"/>
      <c r="R300" s="8"/>
    </row>
    <row r="301" spans="1:18">
      <c r="A301" s="8"/>
      <c r="B301" s="10"/>
      <c r="C301" s="8"/>
      <c r="D301" s="8"/>
      <c r="E301" s="8"/>
      <c r="F301" s="8"/>
      <c r="G301" s="11"/>
      <c r="H301" s="11"/>
      <c r="I301" s="11"/>
      <c r="J301" s="11"/>
      <c r="K301" s="11"/>
      <c r="L301" s="11"/>
      <c r="M301" s="12" t="str">
        <f t="shared" si="4"/>
        <v/>
      </c>
      <c r="N301" s="8"/>
      <c r="O301" s="8"/>
      <c r="P301" s="8"/>
      <c r="Q301" s="10"/>
      <c r="R301" s="8"/>
    </row>
    <row r="302" spans="1:18">
      <c r="A302" s="8"/>
      <c r="B302" s="10"/>
      <c r="C302" s="8"/>
      <c r="D302" s="8"/>
      <c r="E302" s="8"/>
      <c r="F302" s="8"/>
      <c r="G302" s="11"/>
      <c r="H302" s="11"/>
      <c r="I302" s="11"/>
      <c r="J302" s="11"/>
      <c r="K302" s="11"/>
      <c r="L302" s="11"/>
      <c r="M302" s="12" t="str">
        <f t="shared" si="4"/>
        <v/>
      </c>
      <c r="N302" s="8"/>
      <c r="O302" s="8"/>
      <c r="P302" s="8"/>
      <c r="Q302" s="10"/>
      <c r="R302" s="8"/>
    </row>
    <row r="303" spans="1:18">
      <c r="A303" s="8"/>
      <c r="B303" s="10"/>
      <c r="C303" s="8"/>
      <c r="D303" s="8"/>
      <c r="E303" s="8"/>
      <c r="F303" s="8"/>
      <c r="G303" s="11"/>
      <c r="H303" s="11"/>
      <c r="I303" s="11"/>
      <c r="J303" s="11"/>
      <c r="K303" s="11"/>
      <c r="L303" s="11"/>
      <c r="M303" s="12" t="str">
        <f t="shared" si="4"/>
        <v/>
      </c>
      <c r="N303" s="8"/>
      <c r="O303" s="8"/>
      <c r="P303" s="8"/>
      <c r="Q303" s="10"/>
      <c r="R303" s="8"/>
    </row>
    <row r="304" spans="1:18">
      <c r="A304" s="8"/>
      <c r="B304" s="10"/>
      <c r="C304" s="8"/>
      <c r="D304" s="8"/>
      <c r="E304" s="8"/>
      <c r="F304" s="8"/>
      <c r="G304" s="11"/>
      <c r="H304" s="11"/>
      <c r="I304" s="11"/>
      <c r="J304" s="11"/>
      <c r="K304" s="11"/>
      <c r="L304" s="11"/>
      <c r="M304" s="12" t="str">
        <f t="shared" si="4"/>
        <v/>
      </c>
      <c r="N304" s="8"/>
      <c r="O304" s="8"/>
      <c r="P304" s="8"/>
      <c r="Q304" s="10"/>
      <c r="R304" s="8"/>
    </row>
  </sheetData>
  <mergeCells count="2">
    <mergeCell ref="A1:R1"/>
    <mergeCell ref="A2:R2"/>
  </mergeCells>
  <conditionalFormatting sqref="A5:A304">
    <cfRule type="duplicateValues" dxfId="11" priority="9"/>
  </conditionalFormatting>
  <conditionalFormatting sqref="O5:O304">
    <cfRule type="containsText" dxfId="10" priority="1" operator="containsText" text="Approved"/>
    <cfRule type="containsText" dxfId="9" priority="4" operator="containsText" text="Failed"/>
    <cfRule type="containsText" dxfId="8" priority="7" operator="containsText" text="On Hold"/>
  </conditionalFormatting>
  <dataValidations count="1">
    <dataValidation type="list" sqref="O5:O304" xr:uid="{00000000-0002-0000-1F00-000000000000}">
      <formula1>"Packed,Received,Reserved,Ready to Ship,Partially Loaded,Loaded,Partially Shipped,Shipped,On Hold"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04"/>
  <sheetViews>
    <sheetView showGridLines="0" workbookViewId="0">
      <selection sqref="A1:AC1"/>
    </sheetView>
  </sheetViews>
  <sheetFormatPr baseColWidth="10" defaultColWidth="8.83203125" defaultRowHeight="14"/>
  <cols>
    <col min="1" max="1" width="17" customWidth="1"/>
    <col min="2" max="2" width="16" customWidth="1"/>
    <col min="3" max="3" width="14" customWidth="1"/>
    <col min="4" max="5" width="13" customWidth="1"/>
    <col min="6" max="6" width="10" customWidth="1"/>
    <col min="7" max="7" width="14" customWidth="1"/>
    <col min="8" max="8" width="18" customWidth="1"/>
    <col min="9" max="9" width="15" customWidth="1"/>
    <col min="10" max="10" width="20" customWidth="1"/>
    <col min="11" max="12" width="17" customWidth="1"/>
    <col min="13" max="13" width="16" customWidth="1"/>
    <col min="14" max="14" width="18" customWidth="1"/>
    <col min="15" max="15" width="15" customWidth="1"/>
    <col min="16" max="16" width="17" customWidth="1"/>
    <col min="17" max="17" width="16" customWidth="1"/>
    <col min="18" max="18" width="19" customWidth="1"/>
    <col min="19" max="19" width="18" customWidth="1"/>
    <col min="20" max="21" width="13" customWidth="1"/>
    <col min="22" max="22" width="17" customWidth="1"/>
    <col min="23" max="24" width="18" customWidth="1"/>
    <col min="25" max="26" width="16" customWidth="1"/>
    <col min="27" max="28" width="15" customWidth="1"/>
    <col min="29" max="29" width="24" customWidth="1"/>
  </cols>
  <sheetData>
    <row r="1" spans="1:29" ht="30" customHeight="1">
      <c r="A1" s="52" t="s">
        <v>453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29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4" spans="1:29" ht="44" customHeight="1">
      <c r="A4" s="6" t="s">
        <v>163</v>
      </c>
      <c r="B4" s="6" t="s">
        <v>72</v>
      </c>
      <c r="C4" s="6" t="s">
        <v>44</v>
      </c>
      <c r="D4" s="6" t="s">
        <v>45</v>
      </c>
      <c r="E4" s="6" t="s">
        <v>46</v>
      </c>
      <c r="F4" s="6" t="s">
        <v>306</v>
      </c>
      <c r="G4" s="6" t="s">
        <v>454</v>
      </c>
      <c r="H4" s="6" t="s">
        <v>455</v>
      </c>
      <c r="I4" s="6" t="s">
        <v>92</v>
      </c>
      <c r="J4" s="6" t="s">
        <v>456</v>
      </c>
      <c r="K4" s="6" t="s">
        <v>93</v>
      </c>
      <c r="L4" s="6" t="s">
        <v>23</v>
      </c>
      <c r="M4" s="6" t="s">
        <v>94</v>
      </c>
      <c r="N4" s="6" t="s">
        <v>95</v>
      </c>
      <c r="O4" s="6" t="s">
        <v>457</v>
      </c>
      <c r="P4" s="6" t="s">
        <v>458</v>
      </c>
      <c r="Q4" s="6" t="s">
        <v>459</v>
      </c>
      <c r="R4" s="6" t="s">
        <v>460</v>
      </c>
      <c r="S4" s="6" t="s">
        <v>461</v>
      </c>
      <c r="T4" s="6" t="s">
        <v>170</v>
      </c>
      <c r="U4" s="6" t="s">
        <v>171</v>
      </c>
      <c r="V4" s="6" t="s">
        <v>462</v>
      </c>
      <c r="W4" s="6" t="s">
        <v>172</v>
      </c>
      <c r="X4" s="6" t="s">
        <v>166</v>
      </c>
      <c r="Y4" s="6" t="s">
        <v>167</v>
      </c>
      <c r="Z4" s="6" t="s">
        <v>463</v>
      </c>
      <c r="AA4" s="6" t="s">
        <v>100</v>
      </c>
      <c r="AB4" s="6" t="s">
        <v>63</v>
      </c>
      <c r="AC4" s="6" t="s">
        <v>101</v>
      </c>
    </row>
    <row r="5" spans="1:29">
      <c r="A5" s="8"/>
      <c r="B5" s="8"/>
      <c r="C5" s="8"/>
      <c r="D5" s="8"/>
      <c r="E5" s="8"/>
      <c r="F5" s="8"/>
      <c r="G5" s="11"/>
      <c r="H5" s="11"/>
      <c r="I5" s="11"/>
      <c r="J5" s="11"/>
      <c r="K5" s="12" t="str">
        <f t="shared" ref="K5:K68" si="0">IF(A5="","",I5+J5)</f>
        <v/>
      </c>
      <c r="L5" s="12" t="str">
        <f t="shared" ref="L5:L68" si="1">IF(A5="","",K5-G5)</f>
        <v/>
      </c>
      <c r="M5" s="12" t="str">
        <f t="shared" ref="M5:M68" si="2">IF(A5="","",MAX(0,G5-K5))</f>
        <v/>
      </c>
      <c r="N5" s="12" t="str">
        <f t="shared" ref="N5:N68" si="3">IF(A5="","",MAX(0,K5-G5))</f>
        <v/>
      </c>
      <c r="O5" s="8"/>
      <c r="P5" s="8"/>
      <c r="Q5" s="8"/>
      <c r="R5" s="10"/>
      <c r="S5" s="10"/>
      <c r="T5" s="10"/>
      <c r="U5" s="10"/>
      <c r="V5" s="8"/>
      <c r="W5" s="8"/>
      <c r="X5" s="8"/>
      <c r="Y5" s="8"/>
      <c r="Z5" s="8"/>
      <c r="AA5" s="8"/>
      <c r="AB5" s="10"/>
      <c r="AC5" s="8"/>
    </row>
    <row r="6" spans="1:29">
      <c r="A6" s="8"/>
      <c r="B6" s="8"/>
      <c r="C6" s="8"/>
      <c r="D6" s="8"/>
      <c r="E6" s="8"/>
      <c r="F6" s="8"/>
      <c r="G6" s="11"/>
      <c r="H6" s="11"/>
      <c r="I6" s="11"/>
      <c r="J6" s="11"/>
      <c r="K6" s="12" t="str">
        <f t="shared" si="0"/>
        <v/>
      </c>
      <c r="L6" s="12" t="str">
        <f t="shared" si="1"/>
        <v/>
      </c>
      <c r="M6" s="12" t="str">
        <f t="shared" si="2"/>
        <v/>
      </c>
      <c r="N6" s="12" t="str">
        <f t="shared" si="3"/>
        <v/>
      </c>
      <c r="O6" s="8"/>
      <c r="P6" s="8"/>
      <c r="Q6" s="8"/>
      <c r="R6" s="10"/>
      <c r="S6" s="10"/>
      <c r="T6" s="10"/>
      <c r="U6" s="10"/>
      <c r="V6" s="8"/>
      <c r="W6" s="8"/>
      <c r="X6" s="8"/>
      <c r="Y6" s="8"/>
      <c r="Z6" s="8"/>
      <c r="AA6" s="8"/>
      <c r="AB6" s="10"/>
      <c r="AC6" s="8"/>
    </row>
    <row r="7" spans="1:29">
      <c r="A7" s="8"/>
      <c r="B7" s="8"/>
      <c r="C7" s="8"/>
      <c r="D7" s="8"/>
      <c r="E7" s="8"/>
      <c r="F7" s="8"/>
      <c r="G7" s="11"/>
      <c r="H7" s="11"/>
      <c r="I7" s="11"/>
      <c r="J7" s="11"/>
      <c r="K7" s="12" t="str">
        <f t="shared" si="0"/>
        <v/>
      </c>
      <c r="L7" s="12" t="str">
        <f t="shared" si="1"/>
        <v/>
      </c>
      <c r="M7" s="12" t="str">
        <f t="shared" si="2"/>
        <v/>
      </c>
      <c r="N7" s="12" t="str">
        <f t="shared" si="3"/>
        <v/>
      </c>
      <c r="O7" s="8"/>
      <c r="P7" s="8"/>
      <c r="Q7" s="8"/>
      <c r="R7" s="10"/>
      <c r="S7" s="10"/>
      <c r="T7" s="10"/>
      <c r="U7" s="10"/>
      <c r="V7" s="8"/>
      <c r="W7" s="8"/>
      <c r="X7" s="8"/>
      <c r="Y7" s="8"/>
      <c r="Z7" s="8"/>
      <c r="AA7" s="8"/>
      <c r="AB7" s="10"/>
      <c r="AC7" s="8"/>
    </row>
    <row r="8" spans="1:29">
      <c r="A8" s="8"/>
      <c r="B8" s="8"/>
      <c r="C8" s="8"/>
      <c r="D8" s="8"/>
      <c r="E8" s="8"/>
      <c r="F8" s="8"/>
      <c r="G8" s="11"/>
      <c r="H8" s="11"/>
      <c r="I8" s="11"/>
      <c r="J8" s="11"/>
      <c r="K8" s="12" t="str">
        <f t="shared" si="0"/>
        <v/>
      </c>
      <c r="L8" s="12" t="str">
        <f t="shared" si="1"/>
        <v/>
      </c>
      <c r="M8" s="12" t="str">
        <f t="shared" si="2"/>
        <v/>
      </c>
      <c r="N8" s="12" t="str">
        <f t="shared" si="3"/>
        <v/>
      </c>
      <c r="O8" s="8"/>
      <c r="P8" s="8"/>
      <c r="Q8" s="8"/>
      <c r="R8" s="10"/>
      <c r="S8" s="10"/>
      <c r="T8" s="10"/>
      <c r="U8" s="10"/>
      <c r="V8" s="8"/>
      <c r="W8" s="8"/>
      <c r="X8" s="8"/>
      <c r="Y8" s="8"/>
      <c r="Z8" s="8"/>
      <c r="AA8" s="8"/>
      <c r="AB8" s="10"/>
      <c r="AC8" s="8"/>
    </row>
    <row r="9" spans="1:29">
      <c r="A9" s="8"/>
      <c r="B9" s="8"/>
      <c r="C9" s="8"/>
      <c r="D9" s="8"/>
      <c r="E9" s="8"/>
      <c r="F9" s="8"/>
      <c r="G9" s="11"/>
      <c r="H9" s="11"/>
      <c r="I9" s="11"/>
      <c r="J9" s="11"/>
      <c r="K9" s="12" t="str">
        <f t="shared" si="0"/>
        <v/>
      </c>
      <c r="L9" s="12" t="str">
        <f t="shared" si="1"/>
        <v/>
      </c>
      <c r="M9" s="12" t="str">
        <f t="shared" si="2"/>
        <v/>
      </c>
      <c r="N9" s="12" t="str">
        <f t="shared" si="3"/>
        <v/>
      </c>
      <c r="O9" s="8"/>
      <c r="P9" s="8"/>
      <c r="Q9" s="8"/>
      <c r="R9" s="10"/>
      <c r="S9" s="10"/>
      <c r="T9" s="10"/>
      <c r="U9" s="10"/>
      <c r="V9" s="8"/>
      <c r="W9" s="8"/>
      <c r="X9" s="8"/>
      <c r="Y9" s="8"/>
      <c r="Z9" s="8"/>
      <c r="AA9" s="8"/>
      <c r="AB9" s="10"/>
      <c r="AC9" s="8"/>
    </row>
    <row r="10" spans="1:29">
      <c r="A10" s="8"/>
      <c r="B10" s="8"/>
      <c r="C10" s="8"/>
      <c r="D10" s="8"/>
      <c r="E10" s="8"/>
      <c r="F10" s="8"/>
      <c r="G10" s="11"/>
      <c r="H10" s="11"/>
      <c r="I10" s="11"/>
      <c r="J10" s="11"/>
      <c r="K10" s="12" t="str">
        <f t="shared" si="0"/>
        <v/>
      </c>
      <c r="L10" s="12" t="str">
        <f t="shared" si="1"/>
        <v/>
      </c>
      <c r="M10" s="12" t="str">
        <f t="shared" si="2"/>
        <v/>
      </c>
      <c r="N10" s="12" t="str">
        <f t="shared" si="3"/>
        <v/>
      </c>
      <c r="O10" s="8"/>
      <c r="P10" s="8"/>
      <c r="Q10" s="8"/>
      <c r="R10" s="10"/>
      <c r="S10" s="10"/>
      <c r="T10" s="10"/>
      <c r="U10" s="10"/>
      <c r="V10" s="8"/>
      <c r="W10" s="8"/>
      <c r="X10" s="8"/>
      <c r="Y10" s="8"/>
      <c r="Z10" s="8"/>
      <c r="AA10" s="8"/>
      <c r="AB10" s="10"/>
      <c r="AC10" s="8"/>
    </row>
    <row r="11" spans="1:29">
      <c r="A11" s="8"/>
      <c r="B11" s="8"/>
      <c r="C11" s="8"/>
      <c r="D11" s="8"/>
      <c r="E11" s="8"/>
      <c r="F11" s="8"/>
      <c r="G11" s="11"/>
      <c r="H11" s="11"/>
      <c r="I11" s="11"/>
      <c r="J11" s="11"/>
      <c r="K11" s="12" t="str">
        <f t="shared" si="0"/>
        <v/>
      </c>
      <c r="L11" s="12" t="str">
        <f t="shared" si="1"/>
        <v/>
      </c>
      <c r="M11" s="12" t="str">
        <f t="shared" si="2"/>
        <v/>
      </c>
      <c r="N11" s="12" t="str">
        <f t="shared" si="3"/>
        <v/>
      </c>
      <c r="O11" s="8"/>
      <c r="P11" s="8"/>
      <c r="Q11" s="8"/>
      <c r="R11" s="10"/>
      <c r="S11" s="10"/>
      <c r="T11" s="10"/>
      <c r="U11" s="10"/>
      <c r="V11" s="8"/>
      <c r="W11" s="8"/>
      <c r="X11" s="8"/>
      <c r="Y11" s="8"/>
      <c r="Z11" s="8"/>
      <c r="AA11" s="8"/>
      <c r="AB11" s="10"/>
      <c r="AC11" s="8"/>
    </row>
    <row r="12" spans="1:29">
      <c r="A12" s="8"/>
      <c r="B12" s="8"/>
      <c r="C12" s="8"/>
      <c r="D12" s="8"/>
      <c r="E12" s="8"/>
      <c r="F12" s="8"/>
      <c r="G12" s="11"/>
      <c r="H12" s="11"/>
      <c r="I12" s="11"/>
      <c r="J12" s="11"/>
      <c r="K12" s="12" t="str">
        <f t="shared" si="0"/>
        <v/>
      </c>
      <c r="L12" s="12" t="str">
        <f t="shared" si="1"/>
        <v/>
      </c>
      <c r="M12" s="12" t="str">
        <f t="shared" si="2"/>
        <v/>
      </c>
      <c r="N12" s="12" t="str">
        <f t="shared" si="3"/>
        <v/>
      </c>
      <c r="O12" s="8"/>
      <c r="P12" s="8"/>
      <c r="Q12" s="8"/>
      <c r="R12" s="10"/>
      <c r="S12" s="10"/>
      <c r="T12" s="10"/>
      <c r="U12" s="10"/>
      <c r="V12" s="8"/>
      <c r="W12" s="8"/>
      <c r="X12" s="8"/>
      <c r="Y12" s="8"/>
      <c r="Z12" s="8"/>
      <c r="AA12" s="8"/>
      <c r="AB12" s="10"/>
      <c r="AC12" s="8"/>
    </row>
    <row r="13" spans="1:29">
      <c r="A13" s="8"/>
      <c r="B13" s="8"/>
      <c r="C13" s="8"/>
      <c r="D13" s="8"/>
      <c r="E13" s="8"/>
      <c r="F13" s="8"/>
      <c r="G13" s="11"/>
      <c r="H13" s="11"/>
      <c r="I13" s="11"/>
      <c r="J13" s="11"/>
      <c r="K13" s="12" t="str">
        <f t="shared" si="0"/>
        <v/>
      </c>
      <c r="L13" s="12" t="str">
        <f t="shared" si="1"/>
        <v/>
      </c>
      <c r="M13" s="12" t="str">
        <f t="shared" si="2"/>
        <v/>
      </c>
      <c r="N13" s="12" t="str">
        <f t="shared" si="3"/>
        <v/>
      </c>
      <c r="O13" s="8"/>
      <c r="P13" s="8"/>
      <c r="Q13" s="8"/>
      <c r="R13" s="10"/>
      <c r="S13" s="10"/>
      <c r="T13" s="10"/>
      <c r="U13" s="10"/>
      <c r="V13" s="8"/>
      <c r="W13" s="8"/>
      <c r="X13" s="8"/>
      <c r="Y13" s="8"/>
      <c r="Z13" s="8"/>
      <c r="AA13" s="8"/>
      <c r="AB13" s="10"/>
      <c r="AC13" s="8"/>
    </row>
    <row r="14" spans="1:29">
      <c r="A14" s="8"/>
      <c r="B14" s="8"/>
      <c r="C14" s="8"/>
      <c r="D14" s="8"/>
      <c r="E14" s="8"/>
      <c r="F14" s="8"/>
      <c r="G14" s="11"/>
      <c r="H14" s="11"/>
      <c r="I14" s="11"/>
      <c r="J14" s="11"/>
      <c r="K14" s="12" t="str">
        <f t="shared" si="0"/>
        <v/>
      </c>
      <c r="L14" s="12" t="str">
        <f t="shared" si="1"/>
        <v/>
      </c>
      <c r="M14" s="12" t="str">
        <f t="shared" si="2"/>
        <v/>
      </c>
      <c r="N14" s="12" t="str">
        <f t="shared" si="3"/>
        <v/>
      </c>
      <c r="O14" s="8"/>
      <c r="P14" s="8"/>
      <c r="Q14" s="8"/>
      <c r="R14" s="10"/>
      <c r="S14" s="10"/>
      <c r="T14" s="10"/>
      <c r="U14" s="10"/>
      <c r="V14" s="8"/>
      <c r="W14" s="8"/>
      <c r="X14" s="8"/>
      <c r="Y14" s="8"/>
      <c r="Z14" s="8"/>
      <c r="AA14" s="8"/>
      <c r="AB14" s="10"/>
      <c r="AC14" s="8"/>
    </row>
    <row r="15" spans="1:29">
      <c r="A15" s="8"/>
      <c r="B15" s="8"/>
      <c r="C15" s="8"/>
      <c r="D15" s="8"/>
      <c r="E15" s="8"/>
      <c r="F15" s="8"/>
      <c r="G15" s="11"/>
      <c r="H15" s="11"/>
      <c r="I15" s="11"/>
      <c r="J15" s="11"/>
      <c r="K15" s="12" t="str">
        <f t="shared" si="0"/>
        <v/>
      </c>
      <c r="L15" s="12" t="str">
        <f t="shared" si="1"/>
        <v/>
      </c>
      <c r="M15" s="12" t="str">
        <f t="shared" si="2"/>
        <v/>
      </c>
      <c r="N15" s="12" t="str">
        <f t="shared" si="3"/>
        <v/>
      </c>
      <c r="O15" s="8"/>
      <c r="P15" s="8"/>
      <c r="Q15" s="8"/>
      <c r="R15" s="10"/>
      <c r="S15" s="10"/>
      <c r="T15" s="10"/>
      <c r="U15" s="10"/>
      <c r="V15" s="8"/>
      <c r="W15" s="8"/>
      <c r="X15" s="8"/>
      <c r="Y15" s="8"/>
      <c r="Z15" s="8"/>
      <c r="AA15" s="8"/>
      <c r="AB15" s="10"/>
      <c r="AC15" s="8"/>
    </row>
    <row r="16" spans="1:29">
      <c r="A16" s="8"/>
      <c r="B16" s="8"/>
      <c r="C16" s="8"/>
      <c r="D16" s="8"/>
      <c r="E16" s="8"/>
      <c r="F16" s="8"/>
      <c r="G16" s="11"/>
      <c r="H16" s="11"/>
      <c r="I16" s="11"/>
      <c r="J16" s="11"/>
      <c r="K16" s="12" t="str">
        <f t="shared" si="0"/>
        <v/>
      </c>
      <c r="L16" s="12" t="str">
        <f t="shared" si="1"/>
        <v/>
      </c>
      <c r="M16" s="12" t="str">
        <f t="shared" si="2"/>
        <v/>
      </c>
      <c r="N16" s="12" t="str">
        <f t="shared" si="3"/>
        <v/>
      </c>
      <c r="O16" s="8"/>
      <c r="P16" s="8"/>
      <c r="Q16" s="8"/>
      <c r="R16" s="10"/>
      <c r="S16" s="10"/>
      <c r="T16" s="10"/>
      <c r="U16" s="10"/>
      <c r="V16" s="8"/>
      <c r="W16" s="8"/>
      <c r="X16" s="8"/>
      <c r="Y16" s="8"/>
      <c r="Z16" s="8"/>
      <c r="AA16" s="8"/>
      <c r="AB16" s="10"/>
      <c r="AC16" s="8"/>
    </row>
    <row r="17" spans="1:29">
      <c r="A17" s="8"/>
      <c r="B17" s="8"/>
      <c r="C17" s="8"/>
      <c r="D17" s="8"/>
      <c r="E17" s="8"/>
      <c r="F17" s="8"/>
      <c r="G17" s="11"/>
      <c r="H17" s="11"/>
      <c r="I17" s="11"/>
      <c r="J17" s="11"/>
      <c r="K17" s="12" t="str">
        <f t="shared" si="0"/>
        <v/>
      </c>
      <c r="L17" s="12" t="str">
        <f t="shared" si="1"/>
        <v/>
      </c>
      <c r="M17" s="12" t="str">
        <f t="shared" si="2"/>
        <v/>
      </c>
      <c r="N17" s="12" t="str">
        <f t="shared" si="3"/>
        <v/>
      </c>
      <c r="O17" s="8"/>
      <c r="P17" s="8"/>
      <c r="Q17" s="8"/>
      <c r="R17" s="10"/>
      <c r="S17" s="10"/>
      <c r="T17" s="10"/>
      <c r="U17" s="10"/>
      <c r="V17" s="8"/>
      <c r="W17" s="8"/>
      <c r="X17" s="8"/>
      <c r="Y17" s="8"/>
      <c r="Z17" s="8"/>
      <c r="AA17" s="8"/>
      <c r="AB17" s="10"/>
      <c r="AC17" s="8"/>
    </row>
    <row r="18" spans="1:29">
      <c r="A18" s="8"/>
      <c r="B18" s="8"/>
      <c r="C18" s="8"/>
      <c r="D18" s="8"/>
      <c r="E18" s="8"/>
      <c r="F18" s="8"/>
      <c r="G18" s="11"/>
      <c r="H18" s="11"/>
      <c r="I18" s="11"/>
      <c r="J18" s="11"/>
      <c r="K18" s="12" t="str">
        <f t="shared" si="0"/>
        <v/>
      </c>
      <c r="L18" s="12" t="str">
        <f t="shared" si="1"/>
        <v/>
      </c>
      <c r="M18" s="12" t="str">
        <f t="shared" si="2"/>
        <v/>
      </c>
      <c r="N18" s="12" t="str">
        <f t="shared" si="3"/>
        <v/>
      </c>
      <c r="O18" s="8"/>
      <c r="P18" s="8"/>
      <c r="Q18" s="8"/>
      <c r="R18" s="10"/>
      <c r="S18" s="10"/>
      <c r="T18" s="10"/>
      <c r="U18" s="10"/>
      <c r="V18" s="8"/>
      <c r="W18" s="8"/>
      <c r="X18" s="8"/>
      <c r="Y18" s="8"/>
      <c r="Z18" s="8"/>
      <c r="AA18" s="8"/>
      <c r="AB18" s="10"/>
      <c r="AC18" s="8"/>
    </row>
    <row r="19" spans="1:29">
      <c r="A19" s="8"/>
      <c r="B19" s="8"/>
      <c r="C19" s="8"/>
      <c r="D19" s="8"/>
      <c r="E19" s="8"/>
      <c r="F19" s="8"/>
      <c r="G19" s="11"/>
      <c r="H19" s="11"/>
      <c r="I19" s="11"/>
      <c r="J19" s="11"/>
      <c r="K19" s="12" t="str">
        <f t="shared" si="0"/>
        <v/>
      </c>
      <c r="L19" s="12" t="str">
        <f t="shared" si="1"/>
        <v/>
      </c>
      <c r="M19" s="12" t="str">
        <f t="shared" si="2"/>
        <v/>
      </c>
      <c r="N19" s="12" t="str">
        <f t="shared" si="3"/>
        <v/>
      </c>
      <c r="O19" s="8"/>
      <c r="P19" s="8"/>
      <c r="Q19" s="8"/>
      <c r="R19" s="10"/>
      <c r="S19" s="10"/>
      <c r="T19" s="10"/>
      <c r="U19" s="10"/>
      <c r="V19" s="8"/>
      <c r="W19" s="8"/>
      <c r="X19" s="8"/>
      <c r="Y19" s="8"/>
      <c r="Z19" s="8"/>
      <c r="AA19" s="8"/>
      <c r="AB19" s="10"/>
      <c r="AC19" s="8"/>
    </row>
    <row r="20" spans="1:29">
      <c r="A20" s="8"/>
      <c r="B20" s="8"/>
      <c r="C20" s="8"/>
      <c r="D20" s="8"/>
      <c r="E20" s="8"/>
      <c r="F20" s="8"/>
      <c r="G20" s="11"/>
      <c r="H20" s="11"/>
      <c r="I20" s="11"/>
      <c r="J20" s="11"/>
      <c r="K20" s="12" t="str">
        <f t="shared" si="0"/>
        <v/>
      </c>
      <c r="L20" s="12" t="str">
        <f t="shared" si="1"/>
        <v/>
      </c>
      <c r="M20" s="12" t="str">
        <f t="shared" si="2"/>
        <v/>
      </c>
      <c r="N20" s="12" t="str">
        <f t="shared" si="3"/>
        <v/>
      </c>
      <c r="O20" s="8"/>
      <c r="P20" s="8"/>
      <c r="Q20" s="8"/>
      <c r="R20" s="10"/>
      <c r="S20" s="10"/>
      <c r="T20" s="10"/>
      <c r="U20" s="10"/>
      <c r="V20" s="8"/>
      <c r="W20" s="8"/>
      <c r="X20" s="8"/>
      <c r="Y20" s="8"/>
      <c r="Z20" s="8"/>
      <c r="AA20" s="8"/>
      <c r="AB20" s="10"/>
      <c r="AC20" s="8"/>
    </row>
    <row r="21" spans="1:29">
      <c r="A21" s="8"/>
      <c r="B21" s="8"/>
      <c r="C21" s="8"/>
      <c r="D21" s="8"/>
      <c r="E21" s="8"/>
      <c r="F21" s="8"/>
      <c r="G21" s="11"/>
      <c r="H21" s="11"/>
      <c r="I21" s="11"/>
      <c r="J21" s="11"/>
      <c r="K21" s="12" t="str">
        <f t="shared" si="0"/>
        <v/>
      </c>
      <c r="L21" s="12" t="str">
        <f t="shared" si="1"/>
        <v/>
      </c>
      <c r="M21" s="12" t="str">
        <f t="shared" si="2"/>
        <v/>
      </c>
      <c r="N21" s="12" t="str">
        <f t="shared" si="3"/>
        <v/>
      </c>
      <c r="O21" s="8"/>
      <c r="P21" s="8"/>
      <c r="Q21" s="8"/>
      <c r="R21" s="10"/>
      <c r="S21" s="10"/>
      <c r="T21" s="10"/>
      <c r="U21" s="10"/>
      <c r="V21" s="8"/>
      <c r="W21" s="8"/>
      <c r="X21" s="8"/>
      <c r="Y21" s="8"/>
      <c r="Z21" s="8"/>
      <c r="AA21" s="8"/>
      <c r="AB21" s="10"/>
      <c r="AC21" s="8"/>
    </row>
    <row r="22" spans="1:29">
      <c r="A22" s="8"/>
      <c r="B22" s="8"/>
      <c r="C22" s="8"/>
      <c r="D22" s="8"/>
      <c r="E22" s="8"/>
      <c r="F22" s="8"/>
      <c r="G22" s="11"/>
      <c r="H22" s="11"/>
      <c r="I22" s="11"/>
      <c r="J22" s="11"/>
      <c r="K22" s="12" t="str">
        <f t="shared" si="0"/>
        <v/>
      </c>
      <c r="L22" s="12" t="str">
        <f t="shared" si="1"/>
        <v/>
      </c>
      <c r="M22" s="12" t="str">
        <f t="shared" si="2"/>
        <v/>
      </c>
      <c r="N22" s="12" t="str">
        <f t="shared" si="3"/>
        <v/>
      </c>
      <c r="O22" s="8"/>
      <c r="P22" s="8"/>
      <c r="Q22" s="8"/>
      <c r="R22" s="10"/>
      <c r="S22" s="10"/>
      <c r="T22" s="10"/>
      <c r="U22" s="10"/>
      <c r="V22" s="8"/>
      <c r="W22" s="8"/>
      <c r="X22" s="8"/>
      <c r="Y22" s="8"/>
      <c r="Z22" s="8"/>
      <c r="AA22" s="8"/>
      <c r="AB22" s="10"/>
      <c r="AC22" s="8"/>
    </row>
    <row r="23" spans="1:29">
      <c r="A23" s="8"/>
      <c r="B23" s="8"/>
      <c r="C23" s="8"/>
      <c r="D23" s="8"/>
      <c r="E23" s="8"/>
      <c r="F23" s="8"/>
      <c r="G23" s="11"/>
      <c r="H23" s="11"/>
      <c r="I23" s="11"/>
      <c r="J23" s="11"/>
      <c r="K23" s="12" t="str">
        <f t="shared" si="0"/>
        <v/>
      </c>
      <c r="L23" s="12" t="str">
        <f t="shared" si="1"/>
        <v/>
      </c>
      <c r="M23" s="12" t="str">
        <f t="shared" si="2"/>
        <v/>
      </c>
      <c r="N23" s="12" t="str">
        <f t="shared" si="3"/>
        <v/>
      </c>
      <c r="O23" s="8"/>
      <c r="P23" s="8"/>
      <c r="Q23" s="8"/>
      <c r="R23" s="10"/>
      <c r="S23" s="10"/>
      <c r="T23" s="10"/>
      <c r="U23" s="10"/>
      <c r="V23" s="8"/>
      <c r="W23" s="8"/>
      <c r="X23" s="8"/>
      <c r="Y23" s="8"/>
      <c r="Z23" s="8"/>
      <c r="AA23" s="8"/>
      <c r="AB23" s="10"/>
      <c r="AC23" s="8"/>
    </row>
    <row r="24" spans="1:29">
      <c r="A24" s="8"/>
      <c r="B24" s="8"/>
      <c r="C24" s="8"/>
      <c r="D24" s="8"/>
      <c r="E24" s="8"/>
      <c r="F24" s="8"/>
      <c r="G24" s="11"/>
      <c r="H24" s="11"/>
      <c r="I24" s="11"/>
      <c r="J24" s="11"/>
      <c r="K24" s="12" t="str">
        <f t="shared" si="0"/>
        <v/>
      </c>
      <c r="L24" s="12" t="str">
        <f t="shared" si="1"/>
        <v/>
      </c>
      <c r="M24" s="12" t="str">
        <f t="shared" si="2"/>
        <v/>
      </c>
      <c r="N24" s="12" t="str">
        <f t="shared" si="3"/>
        <v/>
      </c>
      <c r="O24" s="8"/>
      <c r="P24" s="8"/>
      <c r="Q24" s="8"/>
      <c r="R24" s="10"/>
      <c r="S24" s="10"/>
      <c r="T24" s="10"/>
      <c r="U24" s="10"/>
      <c r="V24" s="8"/>
      <c r="W24" s="8"/>
      <c r="X24" s="8"/>
      <c r="Y24" s="8"/>
      <c r="Z24" s="8"/>
      <c r="AA24" s="8"/>
      <c r="AB24" s="10"/>
      <c r="AC24" s="8"/>
    </row>
    <row r="25" spans="1:29">
      <c r="A25" s="8"/>
      <c r="B25" s="8"/>
      <c r="C25" s="8"/>
      <c r="D25" s="8"/>
      <c r="E25" s="8"/>
      <c r="F25" s="8"/>
      <c r="G25" s="11"/>
      <c r="H25" s="11"/>
      <c r="I25" s="11"/>
      <c r="J25" s="11"/>
      <c r="K25" s="12" t="str">
        <f t="shared" si="0"/>
        <v/>
      </c>
      <c r="L25" s="12" t="str">
        <f t="shared" si="1"/>
        <v/>
      </c>
      <c r="M25" s="12" t="str">
        <f t="shared" si="2"/>
        <v/>
      </c>
      <c r="N25" s="12" t="str">
        <f t="shared" si="3"/>
        <v/>
      </c>
      <c r="O25" s="8"/>
      <c r="P25" s="8"/>
      <c r="Q25" s="8"/>
      <c r="R25" s="10"/>
      <c r="S25" s="10"/>
      <c r="T25" s="10"/>
      <c r="U25" s="10"/>
      <c r="V25" s="8"/>
      <c r="W25" s="8"/>
      <c r="X25" s="8"/>
      <c r="Y25" s="8"/>
      <c r="Z25" s="8"/>
      <c r="AA25" s="8"/>
      <c r="AB25" s="10"/>
      <c r="AC25" s="8"/>
    </row>
    <row r="26" spans="1:29">
      <c r="A26" s="8"/>
      <c r="B26" s="8"/>
      <c r="C26" s="8"/>
      <c r="D26" s="8"/>
      <c r="E26" s="8"/>
      <c r="F26" s="8"/>
      <c r="G26" s="11"/>
      <c r="H26" s="11"/>
      <c r="I26" s="11"/>
      <c r="J26" s="11"/>
      <c r="K26" s="12" t="str">
        <f t="shared" si="0"/>
        <v/>
      </c>
      <c r="L26" s="12" t="str">
        <f t="shared" si="1"/>
        <v/>
      </c>
      <c r="M26" s="12" t="str">
        <f t="shared" si="2"/>
        <v/>
      </c>
      <c r="N26" s="12" t="str">
        <f t="shared" si="3"/>
        <v/>
      </c>
      <c r="O26" s="8"/>
      <c r="P26" s="8"/>
      <c r="Q26" s="8"/>
      <c r="R26" s="10"/>
      <c r="S26" s="10"/>
      <c r="T26" s="10"/>
      <c r="U26" s="10"/>
      <c r="V26" s="8"/>
      <c r="W26" s="8"/>
      <c r="X26" s="8"/>
      <c r="Y26" s="8"/>
      <c r="Z26" s="8"/>
      <c r="AA26" s="8"/>
      <c r="AB26" s="10"/>
      <c r="AC26" s="8"/>
    </row>
    <row r="27" spans="1:29">
      <c r="A27" s="8"/>
      <c r="B27" s="8"/>
      <c r="C27" s="8"/>
      <c r="D27" s="8"/>
      <c r="E27" s="8"/>
      <c r="F27" s="8"/>
      <c r="G27" s="11"/>
      <c r="H27" s="11"/>
      <c r="I27" s="11"/>
      <c r="J27" s="11"/>
      <c r="K27" s="12" t="str">
        <f t="shared" si="0"/>
        <v/>
      </c>
      <c r="L27" s="12" t="str">
        <f t="shared" si="1"/>
        <v/>
      </c>
      <c r="M27" s="12" t="str">
        <f t="shared" si="2"/>
        <v/>
      </c>
      <c r="N27" s="12" t="str">
        <f t="shared" si="3"/>
        <v/>
      </c>
      <c r="O27" s="8"/>
      <c r="P27" s="8"/>
      <c r="Q27" s="8"/>
      <c r="R27" s="10"/>
      <c r="S27" s="10"/>
      <c r="T27" s="10"/>
      <c r="U27" s="10"/>
      <c r="V27" s="8"/>
      <c r="W27" s="8"/>
      <c r="X27" s="8"/>
      <c r="Y27" s="8"/>
      <c r="Z27" s="8"/>
      <c r="AA27" s="8"/>
      <c r="AB27" s="10"/>
      <c r="AC27" s="8"/>
    </row>
    <row r="28" spans="1:29">
      <c r="A28" s="8"/>
      <c r="B28" s="8"/>
      <c r="C28" s="8"/>
      <c r="D28" s="8"/>
      <c r="E28" s="8"/>
      <c r="F28" s="8"/>
      <c r="G28" s="11"/>
      <c r="H28" s="11"/>
      <c r="I28" s="11"/>
      <c r="J28" s="11"/>
      <c r="K28" s="12" t="str">
        <f t="shared" si="0"/>
        <v/>
      </c>
      <c r="L28" s="12" t="str">
        <f t="shared" si="1"/>
        <v/>
      </c>
      <c r="M28" s="12" t="str">
        <f t="shared" si="2"/>
        <v/>
      </c>
      <c r="N28" s="12" t="str">
        <f t="shared" si="3"/>
        <v/>
      </c>
      <c r="O28" s="8"/>
      <c r="P28" s="8"/>
      <c r="Q28" s="8"/>
      <c r="R28" s="10"/>
      <c r="S28" s="10"/>
      <c r="T28" s="10"/>
      <c r="U28" s="10"/>
      <c r="V28" s="8"/>
      <c r="W28" s="8"/>
      <c r="X28" s="8"/>
      <c r="Y28" s="8"/>
      <c r="Z28" s="8"/>
      <c r="AA28" s="8"/>
      <c r="AB28" s="10"/>
      <c r="AC28" s="8"/>
    </row>
    <row r="29" spans="1:29">
      <c r="A29" s="8"/>
      <c r="B29" s="8"/>
      <c r="C29" s="8"/>
      <c r="D29" s="8"/>
      <c r="E29" s="8"/>
      <c r="F29" s="8"/>
      <c r="G29" s="11"/>
      <c r="H29" s="11"/>
      <c r="I29" s="11"/>
      <c r="J29" s="11"/>
      <c r="K29" s="12" t="str">
        <f t="shared" si="0"/>
        <v/>
      </c>
      <c r="L29" s="12" t="str">
        <f t="shared" si="1"/>
        <v/>
      </c>
      <c r="M29" s="12" t="str">
        <f t="shared" si="2"/>
        <v/>
      </c>
      <c r="N29" s="12" t="str">
        <f t="shared" si="3"/>
        <v/>
      </c>
      <c r="O29" s="8"/>
      <c r="P29" s="8"/>
      <c r="Q29" s="8"/>
      <c r="R29" s="10"/>
      <c r="S29" s="10"/>
      <c r="T29" s="10"/>
      <c r="U29" s="10"/>
      <c r="V29" s="8"/>
      <c r="W29" s="8"/>
      <c r="X29" s="8"/>
      <c r="Y29" s="8"/>
      <c r="Z29" s="8"/>
      <c r="AA29" s="8"/>
      <c r="AB29" s="10"/>
      <c r="AC29" s="8"/>
    </row>
    <row r="30" spans="1:29">
      <c r="A30" s="8"/>
      <c r="B30" s="8"/>
      <c r="C30" s="8"/>
      <c r="D30" s="8"/>
      <c r="E30" s="8"/>
      <c r="F30" s="8"/>
      <c r="G30" s="11"/>
      <c r="H30" s="11"/>
      <c r="I30" s="11"/>
      <c r="J30" s="11"/>
      <c r="K30" s="12" t="str">
        <f t="shared" si="0"/>
        <v/>
      </c>
      <c r="L30" s="12" t="str">
        <f t="shared" si="1"/>
        <v/>
      </c>
      <c r="M30" s="12" t="str">
        <f t="shared" si="2"/>
        <v/>
      </c>
      <c r="N30" s="12" t="str">
        <f t="shared" si="3"/>
        <v/>
      </c>
      <c r="O30" s="8"/>
      <c r="P30" s="8"/>
      <c r="Q30" s="8"/>
      <c r="R30" s="10"/>
      <c r="S30" s="10"/>
      <c r="T30" s="10"/>
      <c r="U30" s="10"/>
      <c r="V30" s="8"/>
      <c r="W30" s="8"/>
      <c r="X30" s="8"/>
      <c r="Y30" s="8"/>
      <c r="Z30" s="8"/>
      <c r="AA30" s="8"/>
      <c r="AB30" s="10"/>
      <c r="AC30" s="8"/>
    </row>
    <row r="31" spans="1:29">
      <c r="A31" s="8"/>
      <c r="B31" s="8"/>
      <c r="C31" s="8"/>
      <c r="D31" s="8"/>
      <c r="E31" s="8"/>
      <c r="F31" s="8"/>
      <c r="G31" s="11"/>
      <c r="H31" s="11"/>
      <c r="I31" s="11"/>
      <c r="J31" s="11"/>
      <c r="K31" s="12" t="str">
        <f t="shared" si="0"/>
        <v/>
      </c>
      <c r="L31" s="12" t="str">
        <f t="shared" si="1"/>
        <v/>
      </c>
      <c r="M31" s="12" t="str">
        <f t="shared" si="2"/>
        <v/>
      </c>
      <c r="N31" s="12" t="str">
        <f t="shared" si="3"/>
        <v/>
      </c>
      <c r="O31" s="8"/>
      <c r="P31" s="8"/>
      <c r="Q31" s="8"/>
      <c r="R31" s="10"/>
      <c r="S31" s="10"/>
      <c r="T31" s="10"/>
      <c r="U31" s="10"/>
      <c r="V31" s="8"/>
      <c r="W31" s="8"/>
      <c r="X31" s="8"/>
      <c r="Y31" s="8"/>
      <c r="Z31" s="8"/>
      <c r="AA31" s="8"/>
      <c r="AB31" s="10"/>
      <c r="AC31" s="8"/>
    </row>
    <row r="32" spans="1:29">
      <c r="A32" s="8"/>
      <c r="B32" s="8"/>
      <c r="C32" s="8"/>
      <c r="D32" s="8"/>
      <c r="E32" s="8"/>
      <c r="F32" s="8"/>
      <c r="G32" s="11"/>
      <c r="H32" s="11"/>
      <c r="I32" s="11"/>
      <c r="J32" s="11"/>
      <c r="K32" s="12" t="str">
        <f t="shared" si="0"/>
        <v/>
      </c>
      <c r="L32" s="12" t="str">
        <f t="shared" si="1"/>
        <v/>
      </c>
      <c r="M32" s="12" t="str">
        <f t="shared" si="2"/>
        <v/>
      </c>
      <c r="N32" s="12" t="str">
        <f t="shared" si="3"/>
        <v/>
      </c>
      <c r="O32" s="8"/>
      <c r="P32" s="8"/>
      <c r="Q32" s="8"/>
      <c r="R32" s="10"/>
      <c r="S32" s="10"/>
      <c r="T32" s="10"/>
      <c r="U32" s="10"/>
      <c r="V32" s="8"/>
      <c r="W32" s="8"/>
      <c r="X32" s="8"/>
      <c r="Y32" s="8"/>
      <c r="Z32" s="8"/>
      <c r="AA32" s="8"/>
      <c r="AB32" s="10"/>
      <c r="AC32" s="8"/>
    </row>
    <row r="33" spans="1:29">
      <c r="A33" s="8"/>
      <c r="B33" s="8"/>
      <c r="C33" s="8"/>
      <c r="D33" s="8"/>
      <c r="E33" s="8"/>
      <c r="F33" s="8"/>
      <c r="G33" s="11"/>
      <c r="H33" s="11"/>
      <c r="I33" s="11"/>
      <c r="J33" s="11"/>
      <c r="K33" s="12" t="str">
        <f t="shared" si="0"/>
        <v/>
      </c>
      <c r="L33" s="12" t="str">
        <f t="shared" si="1"/>
        <v/>
      </c>
      <c r="M33" s="12" t="str">
        <f t="shared" si="2"/>
        <v/>
      </c>
      <c r="N33" s="12" t="str">
        <f t="shared" si="3"/>
        <v/>
      </c>
      <c r="O33" s="8"/>
      <c r="P33" s="8"/>
      <c r="Q33" s="8"/>
      <c r="R33" s="10"/>
      <c r="S33" s="10"/>
      <c r="T33" s="10"/>
      <c r="U33" s="10"/>
      <c r="V33" s="8"/>
      <c r="W33" s="8"/>
      <c r="X33" s="8"/>
      <c r="Y33" s="8"/>
      <c r="Z33" s="8"/>
      <c r="AA33" s="8"/>
      <c r="AB33" s="10"/>
      <c r="AC33" s="8"/>
    </row>
    <row r="34" spans="1:29">
      <c r="A34" s="8"/>
      <c r="B34" s="8"/>
      <c r="C34" s="8"/>
      <c r="D34" s="8"/>
      <c r="E34" s="8"/>
      <c r="F34" s="8"/>
      <c r="G34" s="11"/>
      <c r="H34" s="11"/>
      <c r="I34" s="11"/>
      <c r="J34" s="11"/>
      <c r="K34" s="12" t="str">
        <f t="shared" si="0"/>
        <v/>
      </c>
      <c r="L34" s="12" t="str">
        <f t="shared" si="1"/>
        <v/>
      </c>
      <c r="M34" s="12" t="str">
        <f t="shared" si="2"/>
        <v/>
      </c>
      <c r="N34" s="12" t="str">
        <f t="shared" si="3"/>
        <v/>
      </c>
      <c r="O34" s="8"/>
      <c r="P34" s="8"/>
      <c r="Q34" s="8"/>
      <c r="R34" s="10"/>
      <c r="S34" s="10"/>
      <c r="T34" s="10"/>
      <c r="U34" s="10"/>
      <c r="V34" s="8"/>
      <c r="W34" s="8"/>
      <c r="X34" s="8"/>
      <c r="Y34" s="8"/>
      <c r="Z34" s="8"/>
      <c r="AA34" s="8"/>
      <c r="AB34" s="10"/>
      <c r="AC34" s="8"/>
    </row>
    <row r="35" spans="1:29">
      <c r="A35" s="8"/>
      <c r="B35" s="8"/>
      <c r="C35" s="8"/>
      <c r="D35" s="8"/>
      <c r="E35" s="8"/>
      <c r="F35" s="8"/>
      <c r="G35" s="11"/>
      <c r="H35" s="11"/>
      <c r="I35" s="11"/>
      <c r="J35" s="11"/>
      <c r="K35" s="12" t="str">
        <f t="shared" si="0"/>
        <v/>
      </c>
      <c r="L35" s="12" t="str">
        <f t="shared" si="1"/>
        <v/>
      </c>
      <c r="M35" s="12" t="str">
        <f t="shared" si="2"/>
        <v/>
      </c>
      <c r="N35" s="12" t="str">
        <f t="shared" si="3"/>
        <v/>
      </c>
      <c r="O35" s="8"/>
      <c r="P35" s="8"/>
      <c r="Q35" s="8"/>
      <c r="R35" s="10"/>
      <c r="S35" s="10"/>
      <c r="T35" s="10"/>
      <c r="U35" s="10"/>
      <c r="V35" s="8"/>
      <c r="W35" s="8"/>
      <c r="X35" s="8"/>
      <c r="Y35" s="8"/>
      <c r="Z35" s="8"/>
      <c r="AA35" s="8"/>
      <c r="AB35" s="10"/>
      <c r="AC35" s="8"/>
    </row>
    <row r="36" spans="1:29">
      <c r="A36" s="8"/>
      <c r="B36" s="8"/>
      <c r="C36" s="8"/>
      <c r="D36" s="8"/>
      <c r="E36" s="8"/>
      <c r="F36" s="8"/>
      <c r="G36" s="11"/>
      <c r="H36" s="11"/>
      <c r="I36" s="11"/>
      <c r="J36" s="11"/>
      <c r="K36" s="12" t="str">
        <f t="shared" si="0"/>
        <v/>
      </c>
      <c r="L36" s="12" t="str">
        <f t="shared" si="1"/>
        <v/>
      </c>
      <c r="M36" s="12" t="str">
        <f t="shared" si="2"/>
        <v/>
      </c>
      <c r="N36" s="12" t="str">
        <f t="shared" si="3"/>
        <v/>
      </c>
      <c r="O36" s="8"/>
      <c r="P36" s="8"/>
      <c r="Q36" s="8"/>
      <c r="R36" s="10"/>
      <c r="S36" s="10"/>
      <c r="T36" s="10"/>
      <c r="U36" s="10"/>
      <c r="V36" s="8"/>
      <c r="W36" s="8"/>
      <c r="X36" s="8"/>
      <c r="Y36" s="8"/>
      <c r="Z36" s="8"/>
      <c r="AA36" s="8"/>
      <c r="AB36" s="10"/>
      <c r="AC36" s="8"/>
    </row>
    <row r="37" spans="1:29">
      <c r="A37" s="8"/>
      <c r="B37" s="8"/>
      <c r="C37" s="8"/>
      <c r="D37" s="8"/>
      <c r="E37" s="8"/>
      <c r="F37" s="8"/>
      <c r="G37" s="11"/>
      <c r="H37" s="11"/>
      <c r="I37" s="11"/>
      <c r="J37" s="11"/>
      <c r="K37" s="12" t="str">
        <f t="shared" si="0"/>
        <v/>
      </c>
      <c r="L37" s="12" t="str">
        <f t="shared" si="1"/>
        <v/>
      </c>
      <c r="M37" s="12" t="str">
        <f t="shared" si="2"/>
        <v/>
      </c>
      <c r="N37" s="12" t="str">
        <f t="shared" si="3"/>
        <v/>
      </c>
      <c r="O37" s="8"/>
      <c r="P37" s="8"/>
      <c r="Q37" s="8"/>
      <c r="R37" s="10"/>
      <c r="S37" s="10"/>
      <c r="T37" s="10"/>
      <c r="U37" s="10"/>
      <c r="V37" s="8"/>
      <c r="W37" s="8"/>
      <c r="X37" s="8"/>
      <c r="Y37" s="8"/>
      <c r="Z37" s="8"/>
      <c r="AA37" s="8"/>
      <c r="AB37" s="10"/>
      <c r="AC37" s="8"/>
    </row>
    <row r="38" spans="1:29">
      <c r="A38" s="8"/>
      <c r="B38" s="8"/>
      <c r="C38" s="8"/>
      <c r="D38" s="8"/>
      <c r="E38" s="8"/>
      <c r="F38" s="8"/>
      <c r="G38" s="11"/>
      <c r="H38" s="11"/>
      <c r="I38" s="11"/>
      <c r="J38" s="11"/>
      <c r="K38" s="12" t="str">
        <f t="shared" si="0"/>
        <v/>
      </c>
      <c r="L38" s="12" t="str">
        <f t="shared" si="1"/>
        <v/>
      </c>
      <c r="M38" s="12" t="str">
        <f t="shared" si="2"/>
        <v/>
      </c>
      <c r="N38" s="12" t="str">
        <f t="shared" si="3"/>
        <v/>
      </c>
      <c r="O38" s="8"/>
      <c r="P38" s="8"/>
      <c r="Q38" s="8"/>
      <c r="R38" s="10"/>
      <c r="S38" s="10"/>
      <c r="T38" s="10"/>
      <c r="U38" s="10"/>
      <c r="V38" s="8"/>
      <c r="W38" s="8"/>
      <c r="X38" s="8"/>
      <c r="Y38" s="8"/>
      <c r="Z38" s="8"/>
      <c r="AA38" s="8"/>
      <c r="AB38" s="10"/>
      <c r="AC38" s="8"/>
    </row>
    <row r="39" spans="1:29">
      <c r="A39" s="8"/>
      <c r="B39" s="8"/>
      <c r="C39" s="8"/>
      <c r="D39" s="8"/>
      <c r="E39" s="8"/>
      <c r="F39" s="8"/>
      <c r="G39" s="11"/>
      <c r="H39" s="11"/>
      <c r="I39" s="11"/>
      <c r="J39" s="11"/>
      <c r="K39" s="12" t="str">
        <f t="shared" si="0"/>
        <v/>
      </c>
      <c r="L39" s="12" t="str">
        <f t="shared" si="1"/>
        <v/>
      </c>
      <c r="M39" s="12" t="str">
        <f t="shared" si="2"/>
        <v/>
      </c>
      <c r="N39" s="12" t="str">
        <f t="shared" si="3"/>
        <v/>
      </c>
      <c r="O39" s="8"/>
      <c r="P39" s="8"/>
      <c r="Q39" s="8"/>
      <c r="R39" s="10"/>
      <c r="S39" s="10"/>
      <c r="T39" s="10"/>
      <c r="U39" s="10"/>
      <c r="V39" s="8"/>
      <c r="W39" s="8"/>
      <c r="X39" s="8"/>
      <c r="Y39" s="8"/>
      <c r="Z39" s="8"/>
      <c r="AA39" s="8"/>
      <c r="AB39" s="10"/>
      <c r="AC39" s="8"/>
    </row>
    <row r="40" spans="1:29">
      <c r="A40" s="8"/>
      <c r="B40" s="8"/>
      <c r="C40" s="8"/>
      <c r="D40" s="8"/>
      <c r="E40" s="8"/>
      <c r="F40" s="8"/>
      <c r="G40" s="11"/>
      <c r="H40" s="11"/>
      <c r="I40" s="11"/>
      <c r="J40" s="11"/>
      <c r="K40" s="12" t="str">
        <f t="shared" si="0"/>
        <v/>
      </c>
      <c r="L40" s="12" t="str">
        <f t="shared" si="1"/>
        <v/>
      </c>
      <c r="M40" s="12" t="str">
        <f t="shared" si="2"/>
        <v/>
      </c>
      <c r="N40" s="12" t="str">
        <f t="shared" si="3"/>
        <v/>
      </c>
      <c r="O40" s="8"/>
      <c r="P40" s="8"/>
      <c r="Q40" s="8"/>
      <c r="R40" s="10"/>
      <c r="S40" s="10"/>
      <c r="T40" s="10"/>
      <c r="U40" s="10"/>
      <c r="V40" s="8"/>
      <c r="W40" s="8"/>
      <c r="X40" s="8"/>
      <c r="Y40" s="8"/>
      <c r="Z40" s="8"/>
      <c r="AA40" s="8"/>
      <c r="AB40" s="10"/>
      <c r="AC40" s="8"/>
    </row>
    <row r="41" spans="1:29">
      <c r="A41" s="8"/>
      <c r="B41" s="8"/>
      <c r="C41" s="8"/>
      <c r="D41" s="8"/>
      <c r="E41" s="8"/>
      <c r="F41" s="8"/>
      <c r="G41" s="11"/>
      <c r="H41" s="11"/>
      <c r="I41" s="11"/>
      <c r="J41" s="11"/>
      <c r="K41" s="12" t="str">
        <f t="shared" si="0"/>
        <v/>
      </c>
      <c r="L41" s="12" t="str">
        <f t="shared" si="1"/>
        <v/>
      </c>
      <c r="M41" s="12" t="str">
        <f t="shared" si="2"/>
        <v/>
      </c>
      <c r="N41" s="12" t="str">
        <f t="shared" si="3"/>
        <v/>
      </c>
      <c r="O41" s="8"/>
      <c r="P41" s="8"/>
      <c r="Q41" s="8"/>
      <c r="R41" s="10"/>
      <c r="S41" s="10"/>
      <c r="T41" s="10"/>
      <c r="U41" s="10"/>
      <c r="V41" s="8"/>
      <c r="W41" s="8"/>
      <c r="X41" s="8"/>
      <c r="Y41" s="8"/>
      <c r="Z41" s="8"/>
      <c r="AA41" s="8"/>
      <c r="AB41" s="10"/>
      <c r="AC41" s="8"/>
    </row>
    <row r="42" spans="1:29">
      <c r="A42" s="8"/>
      <c r="B42" s="8"/>
      <c r="C42" s="8"/>
      <c r="D42" s="8"/>
      <c r="E42" s="8"/>
      <c r="F42" s="8"/>
      <c r="G42" s="11"/>
      <c r="H42" s="11"/>
      <c r="I42" s="11"/>
      <c r="J42" s="11"/>
      <c r="K42" s="12" t="str">
        <f t="shared" si="0"/>
        <v/>
      </c>
      <c r="L42" s="12" t="str">
        <f t="shared" si="1"/>
        <v/>
      </c>
      <c r="M42" s="12" t="str">
        <f t="shared" si="2"/>
        <v/>
      </c>
      <c r="N42" s="12" t="str">
        <f t="shared" si="3"/>
        <v/>
      </c>
      <c r="O42" s="8"/>
      <c r="P42" s="8"/>
      <c r="Q42" s="8"/>
      <c r="R42" s="10"/>
      <c r="S42" s="10"/>
      <c r="T42" s="10"/>
      <c r="U42" s="10"/>
      <c r="V42" s="8"/>
      <c r="W42" s="8"/>
      <c r="X42" s="8"/>
      <c r="Y42" s="8"/>
      <c r="Z42" s="8"/>
      <c r="AA42" s="8"/>
      <c r="AB42" s="10"/>
      <c r="AC42" s="8"/>
    </row>
    <row r="43" spans="1:29">
      <c r="A43" s="8"/>
      <c r="B43" s="8"/>
      <c r="C43" s="8"/>
      <c r="D43" s="8"/>
      <c r="E43" s="8"/>
      <c r="F43" s="8"/>
      <c r="G43" s="11"/>
      <c r="H43" s="11"/>
      <c r="I43" s="11"/>
      <c r="J43" s="11"/>
      <c r="K43" s="12" t="str">
        <f t="shared" si="0"/>
        <v/>
      </c>
      <c r="L43" s="12" t="str">
        <f t="shared" si="1"/>
        <v/>
      </c>
      <c r="M43" s="12" t="str">
        <f t="shared" si="2"/>
        <v/>
      </c>
      <c r="N43" s="12" t="str">
        <f t="shared" si="3"/>
        <v/>
      </c>
      <c r="O43" s="8"/>
      <c r="P43" s="8"/>
      <c r="Q43" s="8"/>
      <c r="R43" s="10"/>
      <c r="S43" s="10"/>
      <c r="T43" s="10"/>
      <c r="U43" s="10"/>
      <c r="V43" s="8"/>
      <c r="W43" s="8"/>
      <c r="X43" s="8"/>
      <c r="Y43" s="8"/>
      <c r="Z43" s="8"/>
      <c r="AA43" s="8"/>
      <c r="AB43" s="10"/>
      <c r="AC43" s="8"/>
    </row>
    <row r="44" spans="1:29">
      <c r="A44" s="8"/>
      <c r="B44" s="8"/>
      <c r="C44" s="8"/>
      <c r="D44" s="8"/>
      <c r="E44" s="8"/>
      <c r="F44" s="8"/>
      <c r="G44" s="11"/>
      <c r="H44" s="11"/>
      <c r="I44" s="11"/>
      <c r="J44" s="11"/>
      <c r="K44" s="12" t="str">
        <f t="shared" si="0"/>
        <v/>
      </c>
      <c r="L44" s="12" t="str">
        <f t="shared" si="1"/>
        <v/>
      </c>
      <c r="M44" s="12" t="str">
        <f t="shared" si="2"/>
        <v/>
      </c>
      <c r="N44" s="12" t="str">
        <f t="shared" si="3"/>
        <v/>
      </c>
      <c r="O44" s="8"/>
      <c r="P44" s="8"/>
      <c r="Q44" s="8"/>
      <c r="R44" s="10"/>
      <c r="S44" s="10"/>
      <c r="T44" s="10"/>
      <c r="U44" s="10"/>
      <c r="V44" s="8"/>
      <c r="W44" s="8"/>
      <c r="X44" s="8"/>
      <c r="Y44" s="8"/>
      <c r="Z44" s="8"/>
      <c r="AA44" s="8"/>
      <c r="AB44" s="10"/>
      <c r="AC44" s="8"/>
    </row>
    <row r="45" spans="1:29">
      <c r="A45" s="8"/>
      <c r="B45" s="8"/>
      <c r="C45" s="8"/>
      <c r="D45" s="8"/>
      <c r="E45" s="8"/>
      <c r="F45" s="8"/>
      <c r="G45" s="11"/>
      <c r="H45" s="11"/>
      <c r="I45" s="11"/>
      <c r="J45" s="11"/>
      <c r="K45" s="12" t="str">
        <f t="shared" si="0"/>
        <v/>
      </c>
      <c r="L45" s="12" t="str">
        <f t="shared" si="1"/>
        <v/>
      </c>
      <c r="M45" s="12" t="str">
        <f t="shared" si="2"/>
        <v/>
      </c>
      <c r="N45" s="12" t="str">
        <f t="shared" si="3"/>
        <v/>
      </c>
      <c r="O45" s="8"/>
      <c r="P45" s="8"/>
      <c r="Q45" s="8"/>
      <c r="R45" s="10"/>
      <c r="S45" s="10"/>
      <c r="T45" s="10"/>
      <c r="U45" s="10"/>
      <c r="V45" s="8"/>
      <c r="W45" s="8"/>
      <c r="X45" s="8"/>
      <c r="Y45" s="8"/>
      <c r="Z45" s="8"/>
      <c r="AA45" s="8"/>
      <c r="AB45" s="10"/>
      <c r="AC45" s="8"/>
    </row>
    <row r="46" spans="1:29">
      <c r="A46" s="8"/>
      <c r="B46" s="8"/>
      <c r="C46" s="8"/>
      <c r="D46" s="8"/>
      <c r="E46" s="8"/>
      <c r="F46" s="8"/>
      <c r="G46" s="11"/>
      <c r="H46" s="11"/>
      <c r="I46" s="11"/>
      <c r="J46" s="11"/>
      <c r="K46" s="12" t="str">
        <f t="shared" si="0"/>
        <v/>
      </c>
      <c r="L46" s="12" t="str">
        <f t="shared" si="1"/>
        <v/>
      </c>
      <c r="M46" s="12" t="str">
        <f t="shared" si="2"/>
        <v/>
      </c>
      <c r="N46" s="12" t="str">
        <f t="shared" si="3"/>
        <v/>
      </c>
      <c r="O46" s="8"/>
      <c r="P46" s="8"/>
      <c r="Q46" s="8"/>
      <c r="R46" s="10"/>
      <c r="S46" s="10"/>
      <c r="T46" s="10"/>
      <c r="U46" s="10"/>
      <c r="V46" s="8"/>
      <c r="W46" s="8"/>
      <c r="X46" s="8"/>
      <c r="Y46" s="8"/>
      <c r="Z46" s="8"/>
      <c r="AA46" s="8"/>
      <c r="AB46" s="10"/>
      <c r="AC46" s="8"/>
    </row>
    <row r="47" spans="1:29">
      <c r="A47" s="8"/>
      <c r="B47" s="8"/>
      <c r="C47" s="8"/>
      <c r="D47" s="8"/>
      <c r="E47" s="8"/>
      <c r="F47" s="8"/>
      <c r="G47" s="11"/>
      <c r="H47" s="11"/>
      <c r="I47" s="11"/>
      <c r="J47" s="11"/>
      <c r="K47" s="12" t="str">
        <f t="shared" si="0"/>
        <v/>
      </c>
      <c r="L47" s="12" t="str">
        <f t="shared" si="1"/>
        <v/>
      </c>
      <c r="M47" s="12" t="str">
        <f t="shared" si="2"/>
        <v/>
      </c>
      <c r="N47" s="12" t="str">
        <f t="shared" si="3"/>
        <v/>
      </c>
      <c r="O47" s="8"/>
      <c r="P47" s="8"/>
      <c r="Q47" s="8"/>
      <c r="R47" s="10"/>
      <c r="S47" s="10"/>
      <c r="T47" s="10"/>
      <c r="U47" s="10"/>
      <c r="V47" s="8"/>
      <c r="W47" s="8"/>
      <c r="X47" s="8"/>
      <c r="Y47" s="8"/>
      <c r="Z47" s="8"/>
      <c r="AA47" s="8"/>
      <c r="AB47" s="10"/>
      <c r="AC47" s="8"/>
    </row>
    <row r="48" spans="1:29">
      <c r="A48" s="8"/>
      <c r="B48" s="8"/>
      <c r="C48" s="8"/>
      <c r="D48" s="8"/>
      <c r="E48" s="8"/>
      <c r="F48" s="8"/>
      <c r="G48" s="11"/>
      <c r="H48" s="11"/>
      <c r="I48" s="11"/>
      <c r="J48" s="11"/>
      <c r="K48" s="12" t="str">
        <f t="shared" si="0"/>
        <v/>
      </c>
      <c r="L48" s="12" t="str">
        <f t="shared" si="1"/>
        <v/>
      </c>
      <c r="M48" s="12" t="str">
        <f t="shared" si="2"/>
        <v/>
      </c>
      <c r="N48" s="12" t="str">
        <f t="shared" si="3"/>
        <v/>
      </c>
      <c r="O48" s="8"/>
      <c r="P48" s="8"/>
      <c r="Q48" s="8"/>
      <c r="R48" s="10"/>
      <c r="S48" s="10"/>
      <c r="T48" s="10"/>
      <c r="U48" s="10"/>
      <c r="V48" s="8"/>
      <c r="W48" s="8"/>
      <c r="X48" s="8"/>
      <c r="Y48" s="8"/>
      <c r="Z48" s="8"/>
      <c r="AA48" s="8"/>
      <c r="AB48" s="10"/>
      <c r="AC48" s="8"/>
    </row>
    <row r="49" spans="1:29">
      <c r="A49" s="8"/>
      <c r="B49" s="8"/>
      <c r="C49" s="8"/>
      <c r="D49" s="8"/>
      <c r="E49" s="8"/>
      <c r="F49" s="8"/>
      <c r="G49" s="11"/>
      <c r="H49" s="11"/>
      <c r="I49" s="11"/>
      <c r="J49" s="11"/>
      <c r="K49" s="12" t="str">
        <f t="shared" si="0"/>
        <v/>
      </c>
      <c r="L49" s="12" t="str">
        <f t="shared" si="1"/>
        <v/>
      </c>
      <c r="M49" s="12" t="str">
        <f t="shared" si="2"/>
        <v/>
      </c>
      <c r="N49" s="12" t="str">
        <f t="shared" si="3"/>
        <v/>
      </c>
      <c r="O49" s="8"/>
      <c r="P49" s="8"/>
      <c r="Q49" s="8"/>
      <c r="R49" s="10"/>
      <c r="S49" s="10"/>
      <c r="T49" s="10"/>
      <c r="U49" s="10"/>
      <c r="V49" s="8"/>
      <c r="W49" s="8"/>
      <c r="X49" s="8"/>
      <c r="Y49" s="8"/>
      <c r="Z49" s="8"/>
      <c r="AA49" s="8"/>
      <c r="AB49" s="10"/>
      <c r="AC49" s="8"/>
    </row>
    <row r="50" spans="1:29">
      <c r="A50" s="8"/>
      <c r="B50" s="8"/>
      <c r="C50" s="8"/>
      <c r="D50" s="8"/>
      <c r="E50" s="8"/>
      <c r="F50" s="8"/>
      <c r="G50" s="11"/>
      <c r="H50" s="11"/>
      <c r="I50" s="11"/>
      <c r="J50" s="11"/>
      <c r="K50" s="12" t="str">
        <f t="shared" si="0"/>
        <v/>
      </c>
      <c r="L50" s="12" t="str">
        <f t="shared" si="1"/>
        <v/>
      </c>
      <c r="M50" s="12" t="str">
        <f t="shared" si="2"/>
        <v/>
      </c>
      <c r="N50" s="12" t="str">
        <f t="shared" si="3"/>
        <v/>
      </c>
      <c r="O50" s="8"/>
      <c r="P50" s="8"/>
      <c r="Q50" s="8"/>
      <c r="R50" s="10"/>
      <c r="S50" s="10"/>
      <c r="T50" s="10"/>
      <c r="U50" s="10"/>
      <c r="V50" s="8"/>
      <c r="W50" s="8"/>
      <c r="X50" s="8"/>
      <c r="Y50" s="8"/>
      <c r="Z50" s="8"/>
      <c r="AA50" s="8"/>
      <c r="AB50" s="10"/>
      <c r="AC50" s="8"/>
    </row>
    <row r="51" spans="1:29">
      <c r="A51" s="8"/>
      <c r="B51" s="8"/>
      <c r="C51" s="8"/>
      <c r="D51" s="8"/>
      <c r="E51" s="8"/>
      <c r="F51" s="8"/>
      <c r="G51" s="11"/>
      <c r="H51" s="11"/>
      <c r="I51" s="11"/>
      <c r="J51" s="11"/>
      <c r="K51" s="12" t="str">
        <f t="shared" si="0"/>
        <v/>
      </c>
      <c r="L51" s="12" t="str">
        <f t="shared" si="1"/>
        <v/>
      </c>
      <c r="M51" s="12" t="str">
        <f t="shared" si="2"/>
        <v/>
      </c>
      <c r="N51" s="12" t="str">
        <f t="shared" si="3"/>
        <v/>
      </c>
      <c r="O51" s="8"/>
      <c r="P51" s="8"/>
      <c r="Q51" s="8"/>
      <c r="R51" s="10"/>
      <c r="S51" s="10"/>
      <c r="T51" s="10"/>
      <c r="U51" s="10"/>
      <c r="V51" s="8"/>
      <c r="W51" s="8"/>
      <c r="X51" s="8"/>
      <c r="Y51" s="8"/>
      <c r="Z51" s="8"/>
      <c r="AA51" s="8"/>
      <c r="AB51" s="10"/>
      <c r="AC51" s="8"/>
    </row>
    <row r="52" spans="1:29">
      <c r="A52" s="8"/>
      <c r="B52" s="8"/>
      <c r="C52" s="8"/>
      <c r="D52" s="8"/>
      <c r="E52" s="8"/>
      <c r="F52" s="8"/>
      <c r="G52" s="11"/>
      <c r="H52" s="11"/>
      <c r="I52" s="11"/>
      <c r="J52" s="11"/>
      <c r="K52" s="12" t="str">
        <f t="shared" si="0"/>
        <v/>
      </c>
      <c r="L52" s="12" t="str">
        <f t="shared" si="1"/>
        <v/>
      </c>
      <c r="M52" s="12" t="str">
        <f t="shared" si="2"/>
        <v/>
      </c>
      <c r="N52" s="12" t="str">
        <f t="shared" si="3"/>
        <v/>
      </c>
      <c r="O52" s="8"/>
      <c r="P52" s="8"/>
      <c r="Q52" s="8"/>
      <c r="R52" s="10"/>
      <c r="S52" s="10"/>
      <c r="T52" s="10"/>
      <c r="U52" s="10"/>
      <c r="V52" s="8"/>
      <c r="W52" s="8"/>
      <c r="X52" s="8"/>
      <c r="Y52" s="8"/>
      <c r="Z52" s="8"/>
      <c r="AA52" s="8"/>
      <c r="AB52" s="10"/>
      <c r="AC52" s="8"/>
    </row>
    <row r="53" spans="1:29">
      <c r="A53" s="8"/>
      <c r="B53" s="8"/>
      <c r="C53" s="8"/>
      <c r="D53" s="8"/>
      <c r="E53" s="8"/>
      <c r="F53" s="8"/>
      <c r="G53" s="11"/>
      <c r="H53" s="11"/>
      <c r="I53" s="11"/>
      <c r="J53" s="11"/>
      <c r="K53" s="12" t="str">
        <f t="shared" si="0"/>
        <v/>
      </c>
      <c r="L53" s="12" t="str">
        <f t="shared" si="1"/>
        <v/>
      </c>
      <c r="M53" s="12" t="str">
        <f t="shared" si="2"/>
        <v/>
      </c>
      <c r="N53" s="12" t="str">
        <f t="shared" si="3"/>
        <v/>
      </c>
      <c r="O53" s="8"/>
      <c r="P53" s="8"/>
      <c r="Q53" s="8"/>
      <c r="R53" s="10"/>
      <c r="S53" s="10"/>
      <c r="T53" s="10"/>
      <c r="U53" s="10"/>
      <c r="V53" s="8"/>
      <c r="W53" s="8"/>
      <c r="X53" s="8"/>
      <c r="Y53" s="8"/>
      <c r="Z53" s="8"/>
      <c r="AA53" s="8"/>
      <c r="AB53" s="10"/>
      <c r="AC53" s="8"/>
    </row>
    <row r="54" spans="1:29">
      <c r="A54" s="8"/>
      <c r="B54" s="8"/>
      <c r="C54" s="8"/>
      <c r="D54" s="8"/>
      <c r="E54" s="8"/>
      <c r="F54" s="8"/>
      <c r="G54" s="11"/>
      <c r="H54" s="11"/>
      <c r="I54" s="11"/>
      <c r="J54" s="11"/>
      <c r="K54" s="12" t="str">
        <f t="shared" si="0"/>
        <v/>
      </c>
      <c r="L54" s="12" t="str">
        <f t="shared" si="1"/>
        <v/>
      </c>
      <c r="M54" s="12" t="str">
        <f t="shared" si="2"/>
        <v/>
      </c>
      <c r="N54" s="12" t="str">
        <f t="shared" si="3"/>
        <v/>
      </c>
      <c r="O54" s="8"/>
      <c r="P54" s="8"/>
      <c r="Q54" s="8"/>
      <c r="R54" s="10"/>
      <c r="S54" s="10"/>
      <c r="T54" s="10"/>
      <c r="U54" s="10"/>
      <c r="V54" s="8"/>
      <c r="W54" s="8"/>
      <c r="X54" s="8"/>
      <c r="Y54" s="8"/>
      <c r="Z54" s="8"/>
      <c r="AA54" s="8"/>
      <c r="AB54" s="10"/>
      <c r="AC54" s="8"/>
    </row>
    <row r="55" spans="1:29">
      <c r="A55" s="8"/>
      <c r="B55" s="8"/>
      <c r="C55" s="8"/>
      <c r="D55" s="8"/>
      <c r="E55" s="8"/>
      <c r="F55" s="8"/>
      <c r="G55" s="11"/>
      <c r="H55" s="11"/>
      <c r="I55" s="11"/>
      <c r="J55" s="11"/>
      <c r="K55" s="12" t="str">
        <f t="shared" si="0"/>
        <v/>
      </c>
      <c r="L55" s="12" t="str">
        <f t="shared" si="1"/>
        <v/>
      </c>
      <c r="M55" s="12" t="str">
        <f t="shared" si="2"/>
        <v/>
      </c>
      <c r="N55" s="12" t="str">
        <f t="shared" si="3"/>
        <v/>
      </c>
      <c r="O55" s="8"/>
      <c r="P55" s="8"/>
      <c r="Q55" s="8"/>
      <c r="R55" s="10"/>
      <c r="S55" s="10"/>
      <c r="T55" s="10"/>
      <c r="U55" s="10"/>
      <c r="V55" s="8"/>
      <c r="W55" s="8"/>
      <c r="X55" s="8"/>
      <c r="Y55" s="8"/>
      <c r="Z55" s="8"/>
      <c r="AA55" s="8"/>
      <c r="AB55" s="10"/>
      <c r="AC55" s="8"/>
    </row>
    <row r="56" spans="1:29">
      <c r="A56" s="8"/>
      <c r="B56" s="8"/>
      <c r="C56" s="8"/>
      <c r="D56" s="8"/>
      <c r="E56" s="8"/>
      <c r="F56" s="8"/>
      <c r="G56" s="11"/>
      <c r="H56" s="11"/>
      <c r="I56" s="11"/>
      <c r="J56" s="11"/>
      <c r="K56" s="12" t="str">
        <f t="shared" si="0"/>
        <v/>
      </c>
      <c r="L56" s="12" t="str">
        <f t="shared" si="1"/>
        <v/>
      </c>
      <c r="M56" s="12" t="str">
        <f t="shared" si="2"/>
        <v/>
      </c>
      <c r="N56" s="12" t="str">
        <f t="shared" si="3"/>
        <v/>
      </c>
      <c r="O56" s="8"/>
      <c r="P56" s="8"/>
      <c r="Q56" s="8"/>
      <c r="R56" s="10"/>
      <c r="S56" s="10"/>
      <c r="T56" s="10"/>
      <c r="U56" s="10"/>
      <c r="V56" s="8"/>
      <c r="W56" s="8"/>
      <c r="X56" s="8"/>
      <c r="Y56" s="8"/>
      <c r="Z56" s="8"/>
      <c r="AA56" s="8"/>
      <c r="AB56" s="10"/>
      <c r="AC56" s="8"/>
    </row>
    <row r="57" spans="1:29">
      <c r="A57" s="8"/>
      <c r="B57" s="8"/>
      <c r="C57" s="8"/>
      <c r="D57" s="8"/>
      <c r="E57" s="8"/>
      <c r="F57" s="8"/>
      <c r="G57" s="11"/>
      <c r="H57" s="11"/>
      <c r="I57" s="11"/>
      <c r="J57" s="11"/>
      <c r="K57" s="12" t="str">
        <f t="shared" si="0"/>
        <v/>
      </c>
      <c r="L57" s="12" t="str">
        <f t="shared" si="1"/>
        <v/>
      </c>
      <c r="M57" s="12" t="str">
        <f t="shared" si="2"/>
        <v/>
      </c>
      <c r="N57" s="12" t="str">
        <f t="shared" si="3"/>
        <v/>
      </c>
      <c r="O57" s="8"/>
      <c r="P57" s="8"/>
      <c r="Q57" s="8"/>
      <c r="R57" s="10"/>
      <c r="S57" s="10"/>
      <c r="T57" s="10"/>
      <c r="U57" s="10"/>
      <c r="V57" s="8"/>
      <c r="W57" s="8"/>
      <c r="X57" s="8"/>
      <c r="Y57" s="8"/>
      <c r="Z57" s="8"/>
      <c r="AA57" s="8"/>
      <c r="AB57" s="10"/>
      <c r="AC57" s="8"/>
    </row>
    <row r="58" spans="1:29">
      <c r="A58" s="8"/>
      <c r="B58" s="8"/>
      <c r="C58" s="8"/>
      <c r="D58" s="8"/>
      <c r="E58" s="8"/>
      <c r="F58" s="8"/>
      <c r="G58" s="11"/>
      <c r="H58" s="11"/>
      <c r="I58" s="11"/>
      <c r="J58" s="11"/>
      <c r="K58" s="12" t="str">
        <f t="shared" si="0"/>
        <v/>
      </c>
      <c r="L58" s="12" t="str">
        <f t="shared" si="1"/>
        <v/>
      </c>
      <c r="M58" s="12" t="str">
        <f t="shared" si="2"/>
        <v/>
      </c>
      <c r="N58" s="12" t="str">
        <f t="shared" si="3"/>
        <v/>
      </c>
      <c r="O58" s="8"/>
      <c r="P58" s="8"/>
      <c r="Q58" s="8"/>
      <c r="R58" s="10"/>
      <c r="S58" s="10"/>
      <c r="T58" s="10"/>
      <c r="U58" s="10"/>
      <c r="V58" s="8"/>
      <c r="W58" s="8"/>
      <c r="X58" s="8"/>
      <c r="Y58" s="8"/>
      <c r="Z58" s="8"/>
      <c r="AA58" s="8"/>
      <c r="AB58" s="10"/>
      <c r="AC58" s="8"/>
    </row>
    <row r="59" spans="1:29">
      <c r="A59" s="8"/>
      <c r="B59" s="8"/>
      <c r="C59" s="8"/>
      <c r="D59" s="8"/>
      <c r="E59" s="8"/>
      <c r="F59" s="8"/>
      <c r="G59" s="11"/>
      <c r="H59" s="11"/>
      <c r="I59" s="11"/>
      <c r="J59" s="11"/>
      <c r="K59" s="12" t="str">
        <f t="shared" si="0"/>
        <v/>
      </c>
      <c r="L59" s="12" t="str">
        <f t="shared" si="1"/>
        <v/>
      </c>
      <c r="M59" s="12" t="str">
        <f t="shared" si="2"/>
        <v/>
      </c>
      <c r="N59" s="12" t="str">
        <f t="shared" si="3"/>
        <v/>
      </c>
      <c r="O59" s="8"/>
      <c r="P59" s="8"/>
      <c r="Q59" s="8"/>
      <c r="R59" s="10"/>
      <c r="S59" s="10"/>
      <c r="T59" s="10"/>
      <c r="U59" s="10"/>
      <c r="V59" s="8"/>
      <c r="W59" s="8"/>
      <c r="X59" s="8"/>
      <c r="Y59" s="8"/>
      <c r="Z59" s="8"/>
      <c r="AA59" s="8"/>
      <c r="AB59" s="10"/>
      <c r="AC59" s="8"/>
    </row>
    <row r="60" spans="1:29">
      <c r="A60" s="8"/>
      <c r="B60" s="8"/>
      <c r="C60" s="8"/>
      <c r="D60" s="8"/>
      <c r="E60" s="8"/>
      <c r="F60" s="8"/>
      <c r="G60" s="11"/>
      <c r="H60" s="11"/>
      <c r="I60" s="11"/>
      <c r="J60" s="11"/>
      <c r="K60" s="12" t="str">
        <f t="shared" si="0"/>
        <v/>
      </c>
      <c r="L60" s="12" t="str">
        <f t="shared" si="1"/>
        <v/>
      </c>
      <c r="M60" s="12" t="str">
        <f t="shared" si="2"/>
        <v/>
      </c>
      <c r="N60" s="12" t="str">
        <f t="shared" si="3"/>
        <v/>
      </c>
      <c r="O60" s="8"/>
      <c r="P60" s="8"/>
      <c r="Q60" s="8"/>
      <c r="R60" s="10"/>
      <c r="S60" s="10"/>
      <c r="T60" s="10"/>
      <c r="U60" s="10"/>
      <c r="V60" s="8"/>
      <c r="W60" s="8"/>
      <c r="X60" s="8"/>
      <c r="Y60" s="8"/>
      <c r="Z60" s="8"/>
      <c r="AA60" s="8"/>
      <c r="AB60" s="10"/>
      <c r="AC60" s="8"/>
    </row>
    <row r="61" spans="1:29">
      <c r="A61" s="8"/>
      <c r="B61" s="8"/>
      <c r="C61" s="8"/>
      <c r="D61" s="8"/>
      <c r="E61" s="8"/>
      <c r="F61" s="8"/>
      <c r="G61" s="11"/>
      <c r="H61" s="11"/>
      <c r="I61" s="11"/>
      <c r="J61" s="11"/>
      <c r="K61" s="12" t="str">
        <f t="shared" si="0"/>
        <v/>
      </c>
      <c r="L61" s="12" t="str">
        <f t="shared" si="1"/>
        <v/>
      </c>
      <c r="M61" s="12" t="str">
        <f t="shared" si="2"/>
        <v/>
      </c>
      <c r="N61" s="12" t="str">
        <f t="shared" si="3"/>
        <v/>
      </c>
      <c r="O61" s="8"/>
      <c r="P61" s="8"/>
      <c r="Q61" s="8"/>
      <c r="R61" s="10"/>
      <c r="S61" s="10"/>
      <c r="T61" s="10"/>
      <c r="U61" s="10"/>
      <c r="V61" s="8"/>
      <c r="W61" s="8"/>
      <c r="X61" s="8"/>
      <c r="Y61" s="8"/>
      <c r="Z61" s="8"/>
      <c r="AA61" s="8"/>
      <c r="AB61" s="10"/>
      <c r="AC61" s="8"/>
    </row>
    <row r="62" spans="1:29">
      <c r="A62" s="8"/>
      <c r="B62" s="8"/>
      <c r="C62" s="8"/>
      <c r="D62" s="8"/>
      <c r="E62" s="8"/>
      <c r="F62" s="8"/>
      <c r="G62" s="11"/>
      <c r="H62" s="11"/>
      <c r="I62" s="11"/>
      <c r="J62" s="11"/>
      <c r="K62" s="12" t="str">
        <f t="shared" si="0"/>
        <v/>
      </c>
      <c r="L62" s="12" t="str">
        <f t="shared" si="1"/>
        <v/>
      </c>
      <c r="M62" s="12" t="str">
        <f t="shared" si="2"/>
        <v/>
      </c>
      <c r="N62" s="12" t="str">
        <f t="shared" si="3"/>
        <v/>
      </c>
      <c r="O62" s="8"/>
      <c r="P62" s="8"/>
      <c r="Q62" s="8"/>
      <c r="R62" s="10"/>
      <c r="S62" s="10"/>
      <c r="T62" s="10"/>
      <c r="U62" s="10"/>
      <c r="V62" s="8"/>
      <c r="W62" s="8"/>
      <c r="X62" s="8"/>
      <c r="Y62" s="8"/>
      <c r="Z62" s="8"/>
      <c r="AA62" s="8"/>
      <c r="AB62" s="10"/>
      <c r="AC62" s="8"/>
    </row>
    <row r="63" spans="1:29">
      <c r="A63" s="8"/>
      <c r="B63" s="8"/>
      <c r="C63" s="8"/>
      <c r="D63" s="8"/>
      <c r="E63" s="8"/>
      <c r="F63" s="8"/>
      <c r="G63" s="11"/>
      <c r="H63" s="11"/>
      <c r="I63" s="11"/>
      <c r="J63" s="11"/>
      <c r="K63" s="12" t="str">
        <f t="shared" si="0"/>
        <v/>
      </c>
      <c r="L63" s="12" t="str">
        <f t="shared" si="1"/>
        <v/>
      </c>
      <c r="M63" s="12" t="str">
        <f t="shared" si="2"/>
        <v/>
      </c>
      <c r="N63" s="12" t="str">
        <f t="shared" si="3"/>
        <v/>
      </c>
      <c r="O63" s="8"/>
      <c r="P63" s="8"/>
      <c r="Q63" s="8"/>
      <c r="R63" s="10"/>
      <c r="S63" s="10"/>
      <c r="T63" s="10"/>
      <c r="U63" s="10"/>
      <c r="V63" s="8"/>
      <c r="W63" s="8"/>
      <c r="X63" s="8"/>
      <c r="Y63" s="8"/>
      <c r="Z63" s="8"/>
      <c r="AA63" s="8"/>
      <c r="AB63" s="10"/>
      <c r="AC63" s="8"/>
    </row>
    <row r="64" spans="1:29">
      <c r="A64" s="8"/>
      <c r="B64" s="8"/>
      <c r="C64" s="8"/>
      <c r="D64" s="8"/>
      <c r="E64" s="8"/>
      <c r="F64" s="8"/>
      <c r="G64" s="11"/>
      <c r="H64" s="11"/>
      <c r="I64" s="11"/>
      <c r="J64" s="11"/>
      <c r="K64" s="12" t="str">
        <f t="shared" si="0"/>
        <v/>
      </c>
      <c r="L64" s="12" t="str">
        <f t="shared" si="1"/>
        <v/>
      </c>
      <c r="M64" s="12" t="str">
        <f t="shared" si="2"/>
        <v/>
      </c>
      <c r="N64" s="12" t="str">
        <f t="shared" si="3"/>
        <v/>
      </c>
      <c r="O64" s="8"/>
      <c r="P64" s="8"/>
      <c r="Q64" s="8"/>
      <c r="R64" s="10"/>
      <c r="S64" s="10"/>
      <c r="T64" s="10"/>
      <c r="U64" s="10"/>
      <c r="V64" s="8"/>
      <c r="W64" s="8"/>
      <c r="X64" s="8"/>
      <c r="Y64" s="8"/>
      <c r="Z64" s="8"/>
      <c r="AA64" s="8"/>
      <c r="AB64" s="10"/>
      <c r="AC64" s="8"/>
    </row>
    <row r="65" spans="1:29">
      <c r="A65" s="8"/>
      <c r="B65" s="8"/>
      <c r="C65" s="8"/>
      <c r="D65" s="8"/>
      <c r="E65" s="8"/>
      <c r="F65" s="8"/>
      <c r="G65" s="11"/>
      <c r="H65" s="11"/>
      <c r="I65" s="11"/>
      <c r="J65" s="11"/>
      <c r="K65" s="12" t="str">
        <f t="shared" si="0"/>
        <v/>
      </c>
      <c r="L65" s="12" t="str">
        <f t="shared" si="1"/>
        <v/>
      </c>
      <c r="M65" s="12" t="str">
        <f t="shared" si="2"/>
        <v/>
      </c>
      <c r="N65" s="12" t="str">
        <f t="shared" si="3"/>
        <v/>
      </c>
      <c r="O65" s="8"/>
      <c r="P65" s="8"/>
      <c r="Q65" s="8"/>
      <c r="R65" s="10"/>
      <c r="S65" s="10"/>
      <c r="T65" s="10"/>
      <c r="U65" s="10"/>
      <c r="V65" s="8"/>
      <c r="W65" s="8"/>
      <c r="X65" s="8"/>
      <c r="Y65" s="8"/>
      <c r="Z65" s="8"/>
      <c r="AA65" s="8"/>
      <c r="AB65" s="10"/>
      <c r="AC65" s="8"/>
    </row>
    <row r="66" spans="1:29">
      <c r="A66" s="8"/>
      <c r="B66" s="8"/>
      <c r="C66" s="8"/>
      <c r="D66" s="8"/>
      <c r="E66" s="8"/>
      <c r="F66" s="8"/>
      <c r="G66" s="11"/>
      <c r="H66" s="11"/>
      <c r="I66" s="11"/>
      <c r="J66" s="11"/>
      <c r="K66" s="12" t="str">
        <f t="shared" si="0"/>
        <v/>
      </c>
      <c r="L66" s="12" t="str">
        <f t="shared" si="1"/>
        <v/>
      </c>
      <c r="M66" s="12" t="str">
        <f t="shared" si="2"/>
        <v/>
      </c>
      <c r="N66" s="12" t="str">
        <f t="shared" si="3"/>
        <v/>
      </c>
      <c r="O66" s="8"/>
      <c r="P66" s="8"/>
      <c r="Q66" s="8"/>
      <c r="R66" s="10"/>
      <c r="S66" s="10"/>
      <c r="T66" s="10"/>
      <c r="U66" s="10"/>
      <c r="V66" s="8"/>
      <c r="W66" s="8"/>
      <c r="X66" s="8"/>
      <c r="Y66" s="8"/>
      <c r="Z66" s="8"/>
      <c r="AA66" s="8"/>
      <c r="AB66" s="10"/>
      <c r="AC66" s="8"/>
    </row>
    <row r="67" spans="1:29">
      <c r="A67" s="8"/>
      <c r="B67" s="8"/>
      <c r="C67" s="8"/>
      <c r="D67" s="8"/>
      <c r="E67" s="8"/>
      <c r="F67" s="8"/>
      <c r="G67" s="11"/>
      <c r="H67" s="11"/>
      <c r="I67" s="11"/>
      <c r="J67" s="11"/>
      <c r="K67" s="12" t="str">
        <f t="shared" si="0"/>
        <v/>
      </c>
      <c r="L67" s="12" t="str">
        <f t="shared" si="1"/>
        <v/>
      </c>
      <c r="M67" s="12" t="str">
        <f t="shared" si="2"/>
        <v/>
      </c>
      <c r="N67" s="12" t="str">
        <f t="shared" si="3"/>
        <v/>
      </c>
      <c r="O67" s="8"/>
      <c r="P67" s="8"/>
      <c r="Q67" s="8"/>
      <c r="R67" s="10"/>
      <c r="S67" s="10"/>
      <c r="T67" s="10"/>
      <c r="U67" s="10"/>
      <c r="V67" s="8"/>
      <c r="W67" s="8"/>
      <c r="X67" s="8"/>
      <c r="Y67" s="8"/>
      <c r="Z67" s="8"/>
      <c r="AA67" s="8"/>
      <c r="AB67" s="10"/>
      <c r="AC67" s="8"/>
    </row>
    <row r="68" spans="1:29">
      <c r="A68" s="8"/>
      <c r="B68" s="8"/>
      <c r="C68" s="8"/>
      <c r="D68" s="8"/>
      <c r="E68" s="8"/>
      <c r="F68" s="8"/>
      <c r="G68" s="11"/>
      <c r="H68" s="11"/>
      <c r="I68" s="11"/>
      <c r="J68" s="11"/>
      <c r="K68" s="12" t="str">
        <f t="shared" si="0"/>
        <v/>
      </c>
      <c r="L68" s="12" t="str">
        <f t="shared" si="1"/>
        <v/>
      </c>
      <c r="M68" s="12" t="str">
        <f t="shared" si="2"/>
        <v/>
      </c>
      <c r="N68" s="12" t="str">
        <f t="shared" si="3"/>
        <v/>
      </c>
      <c r="O68" s="8"/>
      <c r="P68" s="8"/>
      <c r="Q68" s="8"/>
      <c r="R68" s="10"/>
      <c r="S68" s="10"/>
      <c r="T68" s="10"/>
      <c r="U68" s="10"/>
      <c r="V68" s="8"/>
      <c r="W68" s="8"/>
      <c r="X68" s="8"/>
      <c r="Y68" s="8"/>
      <c r="Z68" s="8"/>
      <c r="AA68" s="8"/>
      <c r="AB68" s="10"/>
      <c r="AC68" s="8"/>
    </row>
    <row r="69" spans="1:29">
      <c r="A69" s="8"/>
      <c r="B69" s="8"/>
      <c r="C69" s="8"/>
      <c r="D69" s="8"/>
      <c r="E69" s="8"/>
      <c r="F69" s="8"/>
      <c r="G69" s="11"/>
      <c r="H69" s="11"/>
      <c r="I69" s="11"/>
      <c r="J69" s="11"/>
      <c r="K69" s="12" t="str">
        <f t="shared" ref="K69:K132" si="4">IF(A69="","",I69+J69)</f>
        <v/>
      </c>
      <c r="L69" s="12" t="str">
        <f t="shared" ref="L69:L132" si="5">IF(A69="","",K69-G69)</f>
        <v/>
      </c>
      <c r="M69" s="12" t="str">
        <f t="shared" ref="M69:M132" si="6">IF(A69="","",MAX(0,G69-K69))</f>
        <v/>
      </c>
      <c r="N69" s="12" t="str">
        <f t="shared" ref="N69:N132" si="7">IF(A69="","",MAX(0,K69-G69))</f>
        <v/>
      </c>
      <c r="O69" s="8"/>
      <c r="P69" s="8"/>
      <c r="Q69" s="8"/>
      <c r="R69" s="10"/>
      <c r="S69" s="10"/>
      <c r="T69" s="10"/>
      <c r="U69" s="10"/>
      <c r="V69" s="8"/>
      <c r="W69" s="8"/>
      <c r="X69" s="8"/>
      <c r="Y69" s="8"/>
      <c r="Z69" s="8"/>
      <c r="AA69" s="8"/>
      <c r="AB69" s="10"/>
      <c r="AC69" s="8"/>
    </row>
    <row r="70" spans="1:29">
      <c r="A70" s="8"/>
      <c r="B70" s="8"/>
      <c r="C70" s="8"/>
      <c r="D70" s="8"/>
      <c r="E70" s="8"/>
      <c r="F70" s="8"/>
      <c r="G70" s="11"/>
      <c r="H70" s="11"/>
      <c r="I70" s="11"/>
      <c r="J70" s="11"/>
      <c r="K70" s="12" t="str">
        <f t="shared" si="4"/>
        <v/>
      </c>
      <c r="L70" s="12" t="str">
        <f t="shared" si="5"/>
        <v/>
      </c>
      <c r="M70" s="12" t="str">
        <f t="shared" si="6"/>
        <v/>
      </c>
      <c r="N70" s="12" t="str">
        <f t="shared" si="7"/>
        <v/>
      </c>
      <c r="O70" s="8"/>
      <c r="P70" s="8"/>
      <c r="Q70" s="8"/>
      <c r="R70" s="10"/>
      <c r="S70" s="10"/>
      <c r="T70" s="10"/>
      <c r="U70" s="10"/>
      <c r="V70" s="8"/>
      <c r="W70" s="8"/>
      <c r="X70" s="8"/>
      <c r="Y70" s="8"/>
      <c r="Z70" s="8"/>
      <c r="AA70" s="8"/>
      <c r="AB70" s="10"/>
      <c r="AC70" s="8"/>
    </row>
    <row r="71" spans="1:29">
      <c r="A71" s="8"/>
      <c r="B71" s="8"/>
      <c r="C71" s="8"/>
      <c r="D71" s="8"/>
      <c r="E71" s="8"/>
      <c r="F71" s="8"/>
      <c r="G71" s="11"/>
      <c r="H71" s="11"/>
      <c r="I71" s="11"/>
      <c r="J71" s="11"/>
      <c r="K71" s="12" t="str">
        <f t="shared" si="4"/>
        <v/>
      </c>
      <c r="L71" s="12" t="str">
        <f t="shared" si="5"/>
        <v/>
      </c>
      <c r="M71" s="12" t="str">
        <f t="shared" si="6"/>
        <v/>
      </c>
      <c r="N71" s="12" t="str">
        <f t="shared" si="7"/>
        <v/>
      </c>
      <c r="O71" s="8"/>
      <c r="P71" s="8"/>
      <c r="Q71" s="8"/>
      <c r="R71" s="10"/>
      <c r="S71" s="10"/>
      <c r="T71" s="10"/>
      <c r="U71" s="10"/>
      <c r="V71" s="8"/>
      <c r="W71" s="8"/>
      <c r="X71" s="8"/>
      <c r="Y71" s="8"/>
      <c r="Z71" s="8"/>
      <c r="AA71" s="8"/>
      <c r="AB71" s="10"/>
      <c r="AC71" s="8"/>
    </row>
    <row r="72" spans="1:29">
      <c r="A72" s="8"/>
      <c r="B72" s="8"/>
      <c r="C72" s="8"/>
      <c r="D72" s="8"/>
      <c r="E72" s="8"/>
      <c r="F72" s="8"/>
      <c r="G72" s="11"/>
      <c r="H72" s="11"/>
      <c r="I72" s="11"/>
      <c r="J72" s="11"/>
      <c r="K72" s="12" t="str">
        <f t="shared" si="4"/>
        <v/>
      </c>
      <c r="L72" s="12" t="str">
        <f t="shared" si="5"/>
        <v/>
      </c>
      <c r="M72" s="12" t="str">
        <f t="shared" si="6"/>
        <v/>
      </c>
      <c r="N72" s="12" t="str">
        <f t="shared" si="7"/>
        <v/>
      </c>
      <c r="O72" s="8"/>
      <c r="P72" s="8"/>
      <c r="Q72" s="8"/>
      <c r="R72" s="10"/>
      <c r="S72" s="10"/>
      <c r="T72" s="10"/>
      <c r="U72" s="10"/>
      <c r="V72" s="8"/>
      <c r="W72" s="8"/>
      <c r="X72" s="8"/>
      <c r="Y72" s="8"/>
      <c r="Z72" s="8"/>
      <c r="AA72" s="8"/>
      <c r="AB72" s="10"/>
      <c r="AC72" s="8"/>
    </row>
    <row r="73" spans="1:29">
      <c r="A73" s="8"/>
      <c r="B73" s="8"/>
      <c r="C73" s="8"/>
      <c r="D73" s="8"/>
      <c r="E73" s="8"/>
      <c r="F73" s="8"/>
      <c r="G73" s="11"/>
      <c r="H73" s="11"/>
      <c r="I73" s="11"/>
      <c r="J73" s="11"/>
      <c r="K73" s="12" t="str">
        <f t="shared" si="4"/>
        <v/>
      </c>
      <c r="L73" s="12" t="str">
        <f t="shared" si="5"/>
        <v/>
      </c>
      <c r="M73" s="12" t="str">
        <f t="shared" si="6"/>
        <v/>
      </c>
      <c r="N73" s="12" t="str">
        <f t="shared" si="7"/>
        <v/>
      </c>
      <c r="O73" s="8"/>
      <c r="P73" s="8"/>
      <c r="Q73" s="8"/>
      <c r="R73" s="10"/>
      <c r="S73" s="10"/>
      <c r="T73" s="10"/>
      <c r="U73" s="10"/>
      <c r="V73" s="8"/>
      <c r="W73" s="8"/>
      <c r="X73" s="8"/>
      <c r="Y73" s="8"/>
      <c r="Z73" s="8"/>
      <c r="AA73" s="8"/>
      <c r="AB73" s="10"/>
      <c r="AC73" s="8"/>
    </row>
    <row r="74" spans="1:29">
      <c r="A74" s="8"/>
      <c r="B74" s="8"/>
      <c r="C74" s="8"/>
      <c r="D74" s="8"/>
      <c r="E74" s="8"/>
      <c r="F74" s="8"/>
      <c r="G74" s="11"/>
      <c r="H74" s="11"/>
      <c r="I74" s="11"/>
      <c r="J74" s="11"/>
      <c r="K74" s="12" t="str">
        <f t="shared" si="4"/>
        <v/>
      </c>
      <c r="L74" s="12" t="str">
        <f t="shared" si="5"/>
        <v/>
      </c>
      <c r="M74" s="12" t="str">
        <f t="shared" si="6"/>
        <v/>
      </c>
      <c r="N74" s="12" t="str">
        <f t="shared" si="7"/>
        <v/>
      </c>
      <c r="O74" s="8"/>
      <c r="P74" s="8"/>
      <c r="Q74" s="8"/>
      <c r="R74" s="10"/>
      <c r="S74" s="10"/>
      <c r="T74" s="10"/>
      <c r="U74" s="10"/>
      <c r="V74" s="8"/>
      <c r="W74" s="8"/>
      <c r="X74" s="8"/>
      <c r="Y74" s="8"/>
      <c r="Z74" s="8"/>
      <c r="AA74" s="8"/>
      <c r="AB74" s="10"/>
      <c r="AC74" s="8"/>
    </row>
    <row r="75" spans="1:29">
      <c r="A75" s="8"/>
      <c r="B75" s="8"/>
      <c r="C75" s="8"/>
      <c r="D75" s="8"/>
      <c r="E75" s="8"/>
      <c r="F75" s="8"/>
      <c r="G75" s="11"/>
      <c r="H75" s="11"/>
      <c r="I75" s="11"/>
      <c r="J75" s="11"/>
      <c r="K75" s="12" t="str">
        <f t="shared" si="4"/>
        <v/>
      </c>
      <c r="L75" s="12" t="str">
        <f t="shared" si="5"/>
        <v/>
      </c>
      <c r="M75" s="12" t="str">
        <f t="shared" si="6"/>
        <v/>
      </c>
      <c r="N75" s="12" t="str">
        <f t="shared" si="7"/>
        <v/>
      </c>
      <c r="O75" s="8"/>
      <c r="P75" s="8"/>
      <c r="Q75" s="8"/>
      <c r="R75" s="10"/>
      <c r="S75" s="10"/>
      <c r="T75" s="10"/>
      <c r="U75" s="10"/>
      <c r="V75" s="8"/>
      <c r="W75" s="8"/>
      <c r="X75" s="8"/>
      <c r="Y75" s="8"/>
      <c r="Z75" s="8"/>
      <c r="AA75" s="8"/>
      <c r="AB75" s="10"/>
      <c r="AC75" s="8"/>
    </row>
    <row r="76" spans="1:29">
      <c r="A76" s="8"/>
      <c r="B76" s="8"/>
      <c r="C76" s="8"/>
      <c r="D76" s="8"/>
      <c r="E76" s="8"/>
      <c r="F76" s="8"/>
      <c r="G76" s="11"/>
      <c r="H76" s="11"/>
      <c r="I76" s="11"/>
      <c r="J76" s="11"/>
      <c r="K76" s="12" t="str">
        <f t="shared" si="4"/>
        <v/>
      </c>
      <c r="L76" s="12" t="str">
        <f t="shared" si="5"/>
        <v/>
      </c>
      <c r="M76" s="12" t="str">
        <f t="shared" si="6"/>
        <v/>
      </c>
      <c r="N76" s="12" t="str">
        <f t="shared" si="7"/>
        <v/>
      </c>
      <c r="O76" s="8"/>
      <c r="P76" s="8"/>
      <c r="Q76" s="8"/>
      <c r="R76" s="10"/>
      <c r="S76" s="10"/>
      <c r="T76" s="10"/>
      <c r="U76" s="10"/>
      <c r="V76" s="8"/>
      <c r="W76" s="8"/>
      <c r="X76" s="8"/>
      <c r="Y76" s="8"/>
      <c r="Z76" s="8"/>
      <c r="AA76" s="8"/>
      <c r="AB76" s="10"/>
      <c r="AC76" s="8"/>
    </row>
    <row r="77" spans="1:29">
      <c r="A77" s="8"/>
      <c r="B77" s="8"/>
      <c r="C77" s="8"/>
      <c r="D77" s="8"/>
      <c r="E77" s="8"/>
      <c r="F77" s="8"/>
      <c r="G77" s="11"/>
      <c r="H77" s="11"/>
      <c r="I77" s="11"/>
      <c r="J77" s="11"/>
      <c r="K77" s="12" t="str">
        <f t="shared" si="4"/>
        <v/>
      </c>
      <c r="L77" s="12" t="str">
        <f t="shared" si="5"/>
        <v/>
      </c>
      <c r="M77" s="12" t="str">
        <f t="shared" si="6"/>
        <v/>
      </c>
      <c r="N77" s="12" t="str">
        <f t="shared" si="7"/>
        <v/>
      </c>
      <c r="O77" s="8"/>
      <c r="P77" s="8"/>
      <c r="Q77" s="8"/>
      <c r="R77" s="10"/>
      <c r="S77" s="10"/>
      <c r="T77" s="10"/>
      <c r="U77" s="10"/>
      <c r="V77" s="8"/>
      <c r="W77" s="8"/>
      <c r="X77" s="8"/>
      <c r="Y77" s="8"/>
      <c r="Z77" s="8"/>
      <c r="AA77" s="8"/>
      <c r="AB77" s="10"/>
      <c r="AC77" s="8"/>
    </row>
    <row r="78" spans="1:29">
      <c r="A78" s="8"/>
      <c r="B78" s="8"/>
      <c r="C78" s="8"/>
      <c r="D78" s="8"/>
      <c r="E78" s="8"/>
      <c r="F78" s="8"/>
      <c r="G78" s="11"/>
      <c r="H78" s="11"/>
      <c r="I78" s="11"/>
      <c r="J78" s="11"/>
      <c r="K78" s="12" t="str">
        <f t="shared" si="4"/>
        <v/>
      </c>
      <c r="L78" s="12" t="str">
        <f t="shared" si="5"/>
        <v/>
      </c>
      <c r="M78" s="12" t="str">
        <f t="shared" si="6"/>
        <v/>
      </c>
      <c r="N78" s="12" t="str">
        <f t="shared" si="7"/>
        <v/>
      </c>
      <c r="O78" s="8"/>
      <c r="P78" s="8"/>
      <c r="Q78" s="8"/>
      <c r="R78" s="10"/>
      <c r="S78" s="10"/>
      <c r="T78" s="10"/>
      <c r="U78" s="10"/>
      <c r="V78" s="8"/>
      <c r="W78" s="8"/>
      <c r="X78" s="8"/>
      <c r="Y78" s="8"/>
      <c r="Z78" s="8"/>
      <c r="AA78" s="8"/>
      <c r="AB78" s="10"/>
      <c r="AC78" s="8"/>
    </row>
    <row r="79" spans="1:29">
      <c r="A79" s="8"/>
      <c r="B79" s="8"/>
      <c r="C79" s="8"/>
      <c r="D79" s="8"/>
      <c r="E79" s="8"/>
      <c r="F79" s="8"/>
      <c r="G79" s="11"/>
      <c r="H79" s="11"/>
      <c r="I79" s="11"/>
      <c r="J79" s="11"/>
      <c r="K79" s="12" t="str">
        <f t="shared" si="4"/>
        <v/>
      </c>
      <c r="L79" s="12" t="str">
        <f t="shared" si="5"/>
        <v/>
      </c>
      <c r="M79" s="12" t="str">
        <f t="shared" si="6"/>
        <v/>
      </c>
      <c r="N79" s="12" t="str">
        <f t="shared" si="7"/>
        <v/>
      </c>
      <c r="O79" s="8"/>
      <c r="P79" s="8"/>
      <c r="Q79" s="8"/>
      <c r="R79" s="10"/>
      <c r="S79" s="10"/>
      <c r="T79" s="10"/>
      <c r="U79" s="10"/>
      <c r="V79" s="8"/>
      <c r="W79" s="8"/>
      <c r="X79" s="8"/>
      <c r="Y79" s="8"/>
      <c r="Z79" s="8"/>
      <c r="AA79" s="8"/>
      <c r="AB79" s="10"/>
      <c r="AC79" s="8"/>
    </row>
    <row r="80" spans="1:29">
      <c r="A80" s="8"/>
      <c r="B80" s="8"/>
      <c r="C80" s="8"/>
      <c r="D80" s="8"/>
      <c r="E80" s="8"/>
      <c r="F80" s="8"/>
      <c r="G80" s="11"/>
      <c r="H80" s="11"/>
      <c r="I80" s="11"/>
      <c r="J80" s="11"/>
      <c r="K80" s="12" t="str">
        <f t="shared" si="4"/>
        <v/>
      </c>
      <c r="L80" s="12" t="str">
        <f t="shared" si="5"/>
        <v/>
      </c>
      <c r="M80" s="12" t="str">
        <f t="shared" si="6"/>
        <v/>
      </c>
      <c r="N80" s="12" t="str">
        <f t="shared" si="7"/>
        <v/>
      </c>
      <c r="O80" s="8"/>
      <c r="P80" s="8"/>
      <c r="Q80" s="8"/>
      <c r="R80" s="10"/>
      <c r="S80" s="10"/>
      <c r="T80" s="10"/>
      <c r="U80" s="10"/>
      <c r="V80" s="8"/>
      <c r="W80" s="8"/>
      <c r="X80" s="8"/>
      <c r="Y80" s="8"/>
      <c r="Z80" s="8"/>
      <c r="AA80" s="8"/>
      <c r="AB80" s="10"/>
      <c r="AC80" s="8"/>
    </row>
    <row r="81" spans="1:29">
      <c r="A81" s="8"/>
      <c r="B81" s="8"/>
      <c r="C81" s="8"/>
      <c r="D81" s="8"/>
      <c r="E81" s="8"/>
      <c r="F81" s="8"/>
      <c r="G81" s="11"/>
      <c r="H81" s="11"/>
      <c r="I81" s="11"/>
      <c r="J81" s="11"/>
      <c r="K81" s="12" t="str">
        <f t="shared" si="4"/>
        <v/>
      </c>
      <c r="L81" s="12" t="str">
        <f t="shared" si="5"/>
        <v/>
      </c>
      <c r="M81" s="12" t="str">
        <f t="shared" si="6"/>
        <v/>
      </c>
      <c r="N81" s="12" t="str">
        <f t="shared" si="7"/>
        <v/>
      </c>
      <c r="O81" s="8"/>
      <c r="P81" s="8"/>
      <c r="Q81" s="8"/>
      <c r="R81" s="10"/>
      <c r="S81" s="10"/>
      <c r="T81" s="10"/>
      <c r="U81" s="10"/>
      <c r="V81" s="8"/>
      <c r="W81" s="8"/>
      <c r="X81" s="8"/>
      <c r="Y81" s="8"/>
      <c r="Z81" s="8"/>
      <c r="AA81" s="8"/>
      <c r="AB81" s="10"/>
      <c r="AC81" s="8"/>
    </row>
    <row r="82" spans="1:29">
      <c r="A82" s="8"/>
      <c r="B82" s="8"/>
      <c r="C82" s="8"/>
      <c r="D82" s="8"/>
      <c r="E82" s="8"/>
      <c r="F82" s="8"/>
      <c r="G82" s="11"/>
      <c r="H82" s="11"/>
      <c r="I82" s="11"/>
      <c r="J82" s="11"/>
      <c r="K82" s="12" t="str">
        <f t="shared" si="4"/>
        <v/>
      </c>
      <c r="L82" s="12" t="str">
        <f t="shared" si="5"/>
        <v/>
      </c>
      <c r="M82" s="12" t="str">
        <f t="shared" si="6"/>
        <v/>
      </c>
      <c r="N82" s="12" t="str">
        <f t="shared" si="7"/>
        <v/>
      </c>
      <c r="O82" s="8"/>
      <c r="P82" s="8"/>
      <c r="Q82" s="8"/>
      <c r="R82" s="10"/>
      <c r="S82" s="10"/>
      <c r="T82" s="10"/>
      <c r="U82" s="10"/>
      <c r="V82" s="8"/>
      <c r="W82" s="8"/>
      <c r="X82" s="8"/>
      <c r="Y82" s="8"/>
      <c r="Z82" s="8"/>
      <c r="AA82" s="8"/>
      <c r="AB82" s="10"/>
      <c r="AC82" s="8"/>
    </row>
    <row r="83" spans="1:29">
      <c r="A83" s="8"/>
      <c r="B83" s="8"/>
      <c r="C83" s="8"/>
      <c r="D83" s="8"/>
      <c r="E83" s="8"/>
      <c r="F83" s="8"/>
      <c r="G83" s="11"/>
      <c r="H83" s="11"/>
      <c r="I83" s="11"/>
      <c r="J83" s="11"/>
      <c r="K83" s="12" t="str">
        <f t="shared" si="4"/>
        <v/>
      </c>
      <c r="L83" s="12" t="str">
        <f t="shared" si="5"/>
        <v/>
      </c>
      <c r="M83" s="12" t="str">
        <f t="shared" si="6"/>
        <v/>
      </c>
      <c r="N83" s="12" t="str">
        <f t="shared" si="7"/>
        <v/>
      </c>
      <c r="O83" s="8"/>
      <c r="P83" s="8"/>
      <c r="Q83" s="8"/>
      <c r="R83" s="10"/>
      <c r="S83" s="10"/>
      <c r="T83" s="10"/>
      <c r="U83" s="10"/>
      <c r="V83" s="8"/>
      <c r="W83" s="8"/>
      <c r="X83" s="8"/>
      <c r="Y83" s="8"/>
      <c r="Z83" s="8"/>
      <c r="AA83" s="8"/>
      <c r="AB83" s="10"/>
      <c r="AC83" s="8"/>
    </row>
    <row r="84" spans="1:29">
      <c r="A84" s="8"/>
      <c r="B84" s="8"/>
      <c r="C84" s="8"/>
      <c r="D84" s="8"/>
      <c r="E84" s="8"/>
      <c r="F84" s="8"/>
      <c r="G84" s="11"/>
      <c r="H84" s="11"/>
      <c r="I84" s="11"/>
      <c r="J84" s="11"/>
      <c r="K84" s="12" t="str">
        <f t="shared" si="4"/>
        <v/>
      </c>
      <c r="L84" s="12" t="str">
        <f t="shared" si="5"/>
        <v/>
      </c>
      <c r="M84" s="12" t="str">
        <f t="shared" si="6"/>
        <v/>
      </c>
      <c r="N84" s="12" t="str">
        <f t="shared" si="7"/>
        <v/>
      </c>
      <c r="O84" s="8"/>
      <c r="P84" s="8"/>
      <c r="Q84" s="8"/>
      <c r="R84" s="10"/>
      <c r="S84" s="10"/>
      <c r="T84" s="10"/>
      <c r="U84" s="10"/>
      <c r="V84" s="8"/>
      <c r="W84" s="8"/>
      <c r="X84" s="8"/>
      <c r="Y84" s="8"/>
      <c r="Z84" s="8"/>
      <c r="AA84" s="8"/>
      <c r="AB84" s="10"/>
      <c r="AC84" s="8"/>
    </row>
    <row r="85" spans="1:29">
      <c r="A85" s="8"/>
      <c r="B85" s="8"/>
      <c r="C85" s="8"/>
      <c r="D85" s="8"/>
      <c r="E85" s="8"/>
      <c r="F85" s="8"/>
      <c r="G85" s="11"/>
      <c r="H85" s="11"/>
      <c r="I85" s="11"/>
      <c r="J85" s="11"/>
      <c r="K85" s="12" t="str">
        <f t="shared" si="4"/>
        <v/>
      </c>
      <c r="L85" s="12" t="str">
        <f t="shared" si="5"/>
        <v/>
      </c>
      <c r="M85" s="12" t="str">
        <f t="shared" si="6"/>
        <v/>
      </c>
      <c r="N85" s="12" t="str">
        <f t="shared" si="7"/>
        <v/>
      </c>
      <c r="O85" s="8"/>
      <c r="P85" s="8"/>
      <c r="Q85" s="8"/>
      <c r="R85" s="10"/>
      <c r="S85" s="10"/>
      <c r="T85" s="10"/>
      <c r="U85" s="10"/>
      <c r="V85" s="8"/>
      <c r="W85" s="8"/>
      <c r="X85" s="8"/>
      <c r="Y85" s="8"/>
      <c r="Z85" s="8"/>
      <c r="AA85" s="8"/>
      <c r="AB85" s="10"/>
      <c r="AC85" s="8"/>
    </row>
    <row r="86" spans="1:29">
      <c r="A86" s="8"/>
      <c r="B86" s="8"/>
      <c r="C86" s="8"/>
      <c r="D86" s="8"/>
      <c r="E86" s="8"/>
      <c r="F86" s="8"/>
      <c r="G86" s="11"/>
      <c r="H86" s="11"/>
      <c r="I86" s="11"/>
      <c r="J86" s="11"/>
      <c r="K86" s="12" t="str">
        <f t="shared" si="4"/>
        <v/>
      </c>
      <c r="L86" s="12" t="str">
        <f t="shared" si="5"/>
        <v/>
      </c>
      <c r="M86" s="12" t="str">
        <f t="shared" si="6"/>
        <v/>
      </c>
      <c r="N86" s="12" t="str">
        <f t="shared" si="7"/>
        <v/>
      </c>
      <c r="O86" s="8"/>
      <c r="P86" s="8"/>
      <c r="Q86" s="8"/>
      <c r="R86" s="10"/>
      <c r="S86" s="10"/>
      <c r="T86" s="10"/>
      <c r="U86" s="10"/>
      <c r="V86" s="8"/>
      <c r="W86" s="8"/>
      <c r="X86" s="8"/>
      <c r="Y86" s="8"/>
      <c r="Z86" s="8"/>
      <c r="AA86" s="8"/>
      <c r="AB86" s="10"/>
      <c r="AC86" s="8"/>
    </row>
    <row r="87" spans="1:29">
      <c r="A87" s="8"/>
      <c r="B87" s="8"/>
      <c r="C87" s="8"/>
      <c r="D87" s="8"/>
      <c r="E87" s="8"/>
      <c r="F87" s="8"/>
      <c r="G87" s="11"/>
      <c r="H87" s="11"/>
      <c r="I87" s="11"/>
      <c r="J87" s="11"/>
      <c r="K87" s="12" t="str">
        <f t="shared" si="4"/>
        <v/>
      </c>
      <c r="L87" s="12" t="str">
        <f t="shared" si="5"/>
        <v/>
      </c>
      <c r="M87" s="12" t="str">
        <f t="shared" si="6"/>
        <v/>
      </c>
      <c r="N87" s="12" t="str">
        <f t="shared" si="7"/>
        <v/>
      </c>
      <c r="O87" s="8"/>
      <c r="P87" s="8"/>
      <c r="Q87" s="8"/>
      <c r="R87" s="10"/>
      <c r="S87" s="10"/>
      <c r="T87" s="10"/>
      <c r="U87" s="10"/>
      <c r="V87" s="8"/>
      <c r="W87" s="8"/>
      <c r="X87" s="8"/>
      <c r="Y87" s="8"/>
      <c r="Z87" s="8"/>
      <c r="AA87" s="8"/>
      <c r="AB87" s="10"/>
      <c r="AC87" s="8"/>
    </row>
    <row r="88" spans="1:29">
      <c r="A88" s="8"/>
      <c r="B88" s="8"/>
      <c r="C88" s="8"/>
      <c r="D88" s="8"/>
      <c r="E88" s="8"/>
      <c r="F88" s="8"/>
      <c r="G88" s="11"/>
      <c r="H88" s="11"/>
      <c r="I88" s="11"/>
      <c r="J88" s="11"/>
      <c r="K88" s="12" t="str">
        <f t="shared" si="4"/>
        <v/>
      </c>
      <c r="L88" s="12" t="str">
        <f t="shared" si="5"/>
        <v/>
      </c>
      <c r="M88" s="12" t="str">
        <f t="shared" si="6"/>
        <v/>
      </c>
      <c r="N88" s="12" t="str">
        <f t="shared" si="7"/>
        <v/>
      </c>
      <c r="O88" s="8"/>
      <c r="P88" s="8"/>
      <c r="Q88" s="8"/>
      <c r="R88" s="10"/>
      <c r="S88" s="10"/>
      <c r="T88" s="10"/>
      <c r="U88" s="10"/>
      <c r="V88" s="8"/>
      <c r="W88" s="8"/>
      <c r="X88" s="8"/>
      <c r="Y88" s="8"/>
      <c r="Z88" s="8"/>
      <c r="AA88" s="8"/>
      <c r="AB88" s="10"/>
      <c r="AC88" s="8"/>
    </row>
    <row r="89" spans="1:29">
      <c r="A89" s="8"/>
      <c r="B89" s="8"/>
      <c r="C89" s="8"/>
      <c r="D89" s="8"/>
      <c r="E89" s="8"/>
      <c r="F89" s="8"/>
      <c r="G89" s="11"/>
      <c r="H89" s="11"/>
      <c r="I89" s="11"/>
      <c r="J89" s="11"/>
      <c r="K89" s="12" t="str">
        <f t="shared" si="4"/>
        <v/>
      </c>
      <c r="L89" s="12" t="str">
        <f t="shared" si="5"/>
        <v/>
      </c>
      <c r="M89" s="12" t="str">
        <f t="shared" si="6"/>
        <v/>
      </c>
      <c r="N89" s="12" t="str">
        <f t="shared" si="7"/>
        <v/>
      </c>
      <c r="O89" s="8"/>
      <c r="P89" s="8"/>
      <c r="Q89" s="8"/>
      <c r="R89" s="10"/>
      <c r="S89" s="10"/>
      <c r="T89" s="10"/>
      <c r="U89" s="10"/>
      <c r="V89" s="8"/>
      <c r="W89" s="8"/>
      <c r="X89" s="8"/>
      <c r="Y89" s="8"/>
      <c r="Z89" s="8"/>
      <c r="AA89" s="8"/>
      <c r="AB89" s="10"/>
      <c r="AC89" s="8"/>
    </row>
    <row r="90" spans="1:29">
      <c r="A90" s="8"/>
      <c r="B90" s="8"/>
      <c r="C90" s="8"/>
      <c r="D90" s="8"/>
      <c r="E90" s="8"/>
      <c r="F90" s="8"/>
      <c r="G90" s="11"/>
      <c r="H90" s="11"/>
      <c r="I90" s="11"/>
      <c r="J90" s="11"/>
      <c r="K90" s="12" t="str">
        <f t="shared" si="4"/>
        <v/>
      </c>
      <c r="L90" s="12" t="str">
        <f t="shared" si="5"/>
        <v/>
      </c>
      <c r="M90" s="12" t="str">
        <f t="shared" si="6"/>
        <v/>
      </c>
      <c r="N90" s="12" t="str">
        <f t="shared" si="7"/>
        <v/>
      </c>
      <c r="O90" s="8"/>
      <c r="P90" s="8"/>
      <c r="Q90" s="8"/>
      <c r="R90" s="10"/>
      <c r="S90" s="10"/>
      <c r="T90" s="10"/>
      <c r="U90" s="10"/>
      <c r="V90" s="8"/>
      <c r="W90" s="8"/>
      <c r="X90" s="8"/>
      <c r="Y90" s="8"/>
      <c r="Z90" s="8"/>
      <c r="AA90" s="8"/>
      <c r="AB90" s="10"/>
      <c r="AC90" s="8"/>
    </row>
    <row r="91" spans="1:29">
      <c r="A91" s="8"/>
      <c r="B91" s="8"/>
      <c r="C91" s="8"/>
      <c r="D91" s="8"/>
      <c r="E91" s="8"/>
      <c r="F91" s="8"/>
      <c r="G91" s="11"/>
      <c r="H91" s="11"/>
      <c r="I91" s="11"/>
      <c r="J91" s="11"/>
      <c r="K91" s="12" t="str">
        <f t="shared" si="4"/>
        <v/>
      </c>
      <c r="L91" s="12" t="str">
        <f t="shared" si="5"/>
        <v/>
      </c>
      <c r="M91" s="12" t="str">
        <f t="shared" si="6"/>
        <v/>
      </c>
      <c r="N91" s="12" t="str">
        <f t="shared" si="7"/>
        <v/>
      </c>
      <c r="O91" s="8"/>
      <c r="P91" s="8"/>
      <c r="Q91" s="8"/>
      <c r="R91" s="10"/>
      <c r="S91" s="10"/>
      <c r="T91" s="10"/>
      <c r="U91" s="10"/>
      <c r="V91" s="8"/>
      <c r="W91" s="8"/>
      <c r="X91" s="8"/>
      <c r="Y91" s="8"/>
      <c r="Z91" s="8"/>
      <c r="AA91" s="8"/>
      <c r="AB91" s="10"/>
      <c r="AC91" s="8"/>
    </row>
    <row r="92" spans="1:29">
      <c r="A92" s="8"/>
      <c r="B92" s="8"/>
      <c r="C92" s="8"/>
      <c r="D92" s="8"/>
      <c r="E92" s="8"/>
      <c r="F92" s="8"/>
      <c r="G92" s="11"/>
      <c r="H92" s="11"/>
      <c r="I92" s="11"/>
      <c r="J92" s="11"/>
      <c r="K92" s="12" t="str">
        <f t="shared" si="4"/>
        <v/>
      </c>
      <c r="L92" s="12" t="str">
        <f t="shared" si="5"/>
        <v/>
      </c>
      <c r="M92" s="12" t="str">
        <f t="shared" si="6"/>
        <v/>
      </c>
      <c r="N92" s="12" t="str">
        <f t="shared" si="7"/>
        <v/>
      </c>
      <c r="O92" s="8"/>
      <c r="P92" s="8"/>
      <c r="Q92" s="8"/>
      <c r="R92" s="10"/>
      <c r="S92" s="10"/>
      <c r="T92" s="10"/>
      <c r="U92" s="10"/>
      <c r="V92" s="8"/>
      <c r="W92" s="8"/>
      <c r="X92" s="8"/>
      <c r="Y92" s="8"/>
      <c r="Z92" s="8"/>
      <c r="AA92" s="8"/>
      <c r="AB92" s="10"/>
      <c r="AC92" s="8"/>
    </row>
    <row r="93" spans="1:29">
      <c r="A93" s="8"/>
      <c r="B93" s="8"/>
      <c r="C93" s="8"/>
      <c r="D93" s="8"/>
      <c r="E93" s="8"/>
      <c r="F93" s="8"/>
      <c r="G93" s="11"/>
      <c r="H93" s="11"/>
      <c r="I93" s="11"/>
      <c r="J93" s="11"/>
      <c r="K93" s="12" t="str">
        <f t="shared" si="4"/>
        <v/>
      </c>
      <c r="L93" s="12" t="str">
        <f t="shared" si="5"/>
        <v/>
      </c>
      <c r="M93" s="12" t="str">
        <f t="shared" si="6"/>
        <v/>
      </c>
      <c r="N93" s="12" t="str">
        <f t="shared" si="7"/>
        <v/>
      </c>
      <c r="O93" s="8"/>
      <c r="P93" s="8"/>
      <c r="Q93" s="8"/>
      <c r="R93" s="10"/>
      <c r="S93" s="10"/>
      <c r="T93" s="10"/>
      <c r="U93" s="10"/>
      <c r="V93" s="8"/>
      <c r="W93" s="8"/>
      <c r="X93" s="8"/>
      <c r="Y93" s="8"/>
      <c r="Z93" s="8"/>
      <c r="AA93" s="8"/>
      <c r="AB93" s="10"/>
      <c r="AC93" s="8"/>
    </row>
    <row r="94" spans="1:29">
      <c r="A94" s="8"/>
      <c r="B94" s="8"/>
      <c r="C94" s="8"/>
      <c r="D94" s="8"/>
      <c r="E94" s="8"/>
      <c r="F94" s="8"/>
      <c r="G94" s="11"/>
      <c r="H94" s="11"/>
      <c r="I94" s="11"/>
      <c r="J94" s="11"/>
      <c r="K94" s="12" t="str">
        <f t="shared" si="4"/>
        <v/>
      </c>
      <c r="L94" s="12" t="str">
        <f t="shared" si="5"/>
        <v/>
      </c>
      <c r="M94" s="12" t="str">
        <f t="shared" si="6"/>
        <v/>
      </c>
      <c r="N94" s="12" t="str">
        <f t="shared" si="7"/>
        <v/>
      </c>
      <c r="O94" s="8"/>
      <c r="P94" s="8"/>
      <c r="Q94" s="8"/>
      <c r="R94" s="10"/>
      <c r="S94" s="10"/>
      <c r="T94" s="10"/>
      <c r="U94" s="10"/>
      <c r="V94" s="8"/>
      <c r="W94" s="8"/>
      <c r="X94" s="8"/>
      <c r="Y94" s="8"/>
      <c r="Z94" s="8"/>
      <c r="AA94" s="8"/>
      <c r="AB94" s="10"/>
      <c r="AC94" s="8"/>
    </row>
    <row r="95" spans="1:29">
      <c r="A95" s="8"/>
      <c r="B95" s="8"/>
      <c r="C95" s="8"/>
      <c r="D95" s="8"/>
      <c r="E95" s="8"/>
      <c r="F95" s="8"/>
      <c r="G95" s="11"/>
      <c r="H95" s="11"/>
      <c r="I95" s="11"/>
      <c r="J95" s="11"/>
      <c r="K95" s="12" t="str">
        <f t="shared" si="4"/>
        <v/>
      </c>
      <c r="L95" s="12" t="str">
        <f t="shared" si="5"/>
        <v/>
      </c>
      <c r="M95" s="12" t="str">
        <f t="shared" si="6"/>
        <v/>
      </c>
      <c r="N95" s="12" t="str">
        <f t="shared" si="7"/>
        <v/>
      </c>
      <c r="O95" s="8"/>
      <c r="P95" s="8"/>
      <c r="Q95" s="8"/>
      <c r="R95" s="10"/>
      <c r="S95" s="10"/>
      <c r="T95" s="10"/>
      <c r="U95" s="10"/>
      <c r="V95" s="8"/>
      <c r="W95" s="8"/>
      <c r="X95" s="8"/>
      <c r="Y95" s="8"/>
      <c r="Z95" s="8"/>
      <c r="AA95" s="8"/>
      <c r="AB95" s="10"/>
      <c r="AC95" s="8"/>
    </row>
    <row r="96" spans="1:29">
      <c r="A96" s="8"/>
      <c r="B96" s="8"/>
      <c r="C96" s="8"/>
      <c r="D96" s="8"/>
      <c r="E96" s="8"/>
      <c r="F96" s="8"/>
      <c r="G96" s="11"/>
      <c r="H96" s="11"/>
      <c r="I96" s="11"/>
      <c r="J96" s="11"/>
      <c r="K96" s="12" t="str">
        <f t="shared" si="4"/>
        <v/>
      </c>
      <c r="L96" s="12" t="str">
        <f t="shared" si="5"/>
        <v/>
      </c>
      <c r="M96" s="12" t="str">
        <f t="shared" si="6"/>
        <v/>
      </c>
      <c r="N96" s="12" t="str">
        <f t="shared" si="7"/>
        <v/>
      </c>
      <c r="O96" s="8"/>
      <c r="P96" s="8"/>
      <c r="Q96" s="8"/>
      <c r="R96" s="10"/>
      <c r="S96" s="10"/>
      <c r="T96" s="10"/>
      <c r="U96" s="10"/>
      <c r="V96" s="8"/>
      <c r="W96" s="8"/>
      <c r="X96" s="8"/>
      <c r="Y96" s="8"/>
      <c r="Z96" s="8"/>
      <c r="AA96" s="8"/>
      <c r="AB96" s="10"/>
      <c r="AC96" s="8"/>
    </row>
    <row r="97" spans="1:29">
      <c r="A97" s="8"/>
      <c r="B97" s="8"/>
      <c r="C97" s="8"/>
      <c r="D97" s="8"/>
      <c r="E97" s="8"/>
      <c r="F97" s="8"/>
      <c r="G97" s="11"/>
      <c r="H97" s="11"/>
      <c r="I97" s="11"/>
      <c r="J97" s="11"/>
      <c r="K97" s="12" t="str">
        <f t="shared" si="4"/>
        <v/>
      </c>
      <c r="L97" s="12" t="str">
        <f t="shared" si="5"/>
        <v/>
      </c>
      <c r="M97" s="12" t="str">
        <f t="shared" si="6"/>
        <v/>
      </c>
      <c r="N97" s="12" t="str">
        <f t="shared" si="7"/>
        <v/>
      </c>
      <c r="O97" s="8"/>
      <c r="P97" s="8"/>
      <c r="Q97" s="8"/>
      <c r="R97" s="10"/>
      <c r="S97" s="10"/>
      <c r="T97" s="10"/>
      <c r="U97" s="10"/>
      <c r="V97" s="8"/>
      <c r="W97" s="8"/>
      <c r="X97" s="8"/>
      <c r="Y97" s="8"/>
      <c r="Z97" s="8"/>
      <c r="AA97" s="8"/>
      <c r="AB97" s="10"/>
      <c r="AC97" s="8"/>
    </row>
    <row r="98" spans="1:29">
      <c r="A98" s="8"/>
      <c r="B98" s="8"/>
      <c r="C98" s="8"/>
      <c r="D98" s="8"/>
      <c r="E98" s="8"/>
      <c r="F98" s="8"/>
      <c r="G98" s="11"/>
      <c r="H98" s="11"/>
      <c r="I98" s="11"/>
      <c r="J98" s="11"/>
      <c r="K98" s="12" t="str">
        <f t="shared" si="4"/>
        <v/>
      </c>
      <c r="L98" s="12" t="str">
        <f t="shared" si="5"/>
        <v/>
      </c>
      <c r="M98" s="12" t="str">
        <f t="shared" si="6"/>
        <v/>
      </c>
      <c r="N98" s="12" t="str">
        <f t="shared" si="7"/>
        <v/>
      </c>
      <c r="O98" s="8"/>
      <c r="P98" s="8"/>
      <c r="Q98" s="8"/>
      <c r="R98" s="10"/>
      <c r="S98" s="10"/>
      <c r="T98" s="10"/>
      <c r="U98" s="10"/>
      <c r="V98" s="8"/>
      <c r="W98" s="8"/>
      <c r="X98" s="8"/>
      <c r="Y98" s="8"/>
      <c r="Z98" s="8"/>
      <c r="AA98" s="8"/>
      <c r="AB98" s="10"/>
      <c r="AC98" s="8"/>
    </row>
    <row r="99" spans="1:29">
      <c r="A99" s="8"/>
      <c r="B99" s="8"/>
      <c r="C99" s="8"/>
      <c r="D99" s="8"/>
      <c r="E99" s="8"/>
      <c r="F99" s="8"/>
      <c r="G99" s="11"/>
      <c r="H99" s="11"/>
      <c r="I99" s="11"/>
      <c r="J99" s="11"/>
      <c r="K99" s="12" t="str">
        <f t="shared" si="4"/>
        <v/>
      </c>
      <c r="L99" s="12" t="str">
        <f t="shared" si="5"/>
        <v/>
      </c>
      <c r="M99" s="12" t="str">
        <f t="shared" si="6"/>
        <v/>
      </c>
      <c r="N99" s="12" t="str">
        <f t="shared" si="7"/>
        <v/>
      </c>
      <c r="O99" s="8"/>
      <c r="P99" s="8"/>
      <c r="Q99" s="8"/>
      <c r="R99" s="10"/>
      <c r="S99" s="10"/>
      <c r="T99" s="10"/>
      <c r="U99" s="10"/>
      <c r="V99" s="8"/>
      <c r="W99" s="8"/>
      <c r="X99" s="8"/>
      <c r="Y99" s="8"/>
      <c r="Z99" s="8"/>
      <c r="AA99" s="8"/>
      <c r="AB99" s="10"/>
      <c r="AC99" s="8"/>
    </row>
    <row r="100" spans="1:29">
      <c r="A100" s="8"/>
      <c r="B100" s="8"/>
      <c r="C100" s="8"/>
      <c r="D100" s="8"/>
      <c r="E100" s="8"/>
      <c r="F100" s="8"/>
      <c r="G100" s="11"/>
      <c r="H100" s="11"/>
      <c r="I100" s="11"/>
      <c r="J100" s="11"/>
      <c r="K100" s="12" t="str">
        <f t="shared" si="4"/>
        <v/>
      </c>
      <c r="L100" s="12" t="str">
        <f t="shared" si="5"/>
        <v/>
      </c>
      <c r="M100" s="12" t="str">
        <f t="shared" si="6"/>
        <v/>
      </c>
      <c r="N100" s="12" t="str">
        <f t="shared" si="7"/>
        <v/>
      </c>
      <c r="O100" s="8"/>
      <c r="P100" s="8"/>
      <c r="Q100" s="8"/>
      <c r="R100" s="10"/>
      <c r="S100" s="10"/>
      <c r="T100" s="10"/>
      <c r="U100" s="10"/>
      <c r="V100" s="8"/>
      <c r="W100" s="8"/>
      <c r="X100" s="8"/>
      <c r="Y100" s="8"/>
      <c r="Z100" s="8"/>
      <c r="AA100" s="8"/>
      <c r="AB100" s="10"/>
      <c r="AC100" s="8"/>
    </row>
    <row r="101" spans="1:29">
      <c r="A101" s="8"/>
      <c r="B101" s="8"/>
      <c r="C101" s="8"/>
      <c r="D101" s="8"/>
      <c r="E101" s="8"/>
      <c r="F101" s="8"/>
      <c r="G101" s="11"/>
      <c r="H101" s="11"/>
      <c r="I101" s="11"/>
      <c r="J101" s="11"/>
      <c r="K101" s="12" t="str">
        <f t="shared" si="4"/>
        <v/>
      </c>
      <c r="L101" s="12" t="str">
        <f t="shared" si="5"/>
        <v/>
      </c>
      <c r="M101" s="12" t="str">
        <f t="shared" si="6"/>
        <v/>
      </c>
      <c r="N101" s="12" t="str">
        <f t="shared" si="7"/>
        <v/>
      </c>
      <c r="O101" s="8"/>
      <c r="P101" s="8"/>
      <c r="Q101" s="8"/>
      <c r="R101" s="10"/>
      <c r="S101" s="10"/>
      <c r="T101" s="10"/>
      <c r="U101" s="10"/>
      <c r="V101" s="8"/>
      <c r="W101" s="8"/>
      <c r="X101" s="8"/>
      <c r="Y101" s="8"/>
      <c r="Z101" s="8"/>
      <c r="AA101" s="8"/>
      <c r="AB101" s="10"/>
      <c r="AC101" s="8"/>
    </row>
    <row r="102" spans="1:29">
      <c r="A102" s="8"/>
      <c r="B102" s="8"/>
      <c r="C102" s="8"/>
      <c r="D102" s="8"/>
      <c r="E102" s="8"/>
      <c r="F102" s="8"/>
      <c r="G102" s="11"/>
      <c r="H102" s="11"/>
      <c r="I102" s="11"/>
      <c r="J102" s="11"/>
      <c r="K102" s="12" t="str">
        <f t="shared" si="4"/>
        <v/>
      </c>
      <c r="L102" s="12" t="str">
        <f t="shared" si="5"/>
        <v/>
      </c>
      <c r="M102" s="12" t="str">
        <f t="shared" si="6"/>
        <v/>
      </c>
      <c r="N102" s="12" t="str">
        <f t="shared" si="7"/>
        <v/>
      </c>
      <c r="O102" s="8"/>
      <c r="P102" s="8"/>
      <c r="Q102" s="8"/>
      <c r="R102" s="10"/>
      <c r="S102" s="10"/>
      <c r="T102" s="10"/>
      <c r="U102" s="10"/>
      <c r="V102" s="8"/>
      <c r="W102" s="8"/>
      <c r="X102" s="8"/>
      <c r="Y102" s="8"/>
      <c r="Z102" s="8"/>
      <c r="AA102" s="8"/>
      <c r="AB102" s="10"/>
      <c r="AC102" s="8"/>
    </row>
    <row r="103" spans="1:29">
      <c r="A103" s="8"/>
      <c r="B103" s="8"/>
      <c r="C103" s="8"/>
      <c r="D103" s="8"/>
      <c r="E103" s="8"/>
      <c r="F103" s="8"/>
      <c r="G103" s="11"/>
      <c r="H103" s="11"/>
      <c r="I103" s="11"/>
      <c r="J103" s="11"/>
      <c r="K103" s="12" t="str">
        <f t="shared" si="4"/>
        <v/>
      </c>
      <c r="L103" s="12" t="str">
        <f t="shared" si="5"/>
        <v/>
      </c>
      <c r="M103" s="12" t="str">
        <f t="shared" si="6"/>
        <v/>
      </c>
      <c r="N103" s="12" t="str">
        <f t="shared" si="7"/>
        <v/>
      </c>
      <c r="O103" s="8"/>
      <c r="P103" s="8"/>
      <c r="Q103" s="8"/>
      <c r="R103" s="10"/>
      <c r="S103" s="10"/>
      <c r="T103" s="10"/>
      <c r="U103" s="10"/>
      <c r="V103" s="8"/>
      <c r="W103" s="8"/>
      <c r="X103" s="8"/>
      <c r="Y103" s="8"/>
      <c r="Z103" s="8"/>
      <c r="AA103" s="8"/>
      <c r="AB103" s="10"/>
      <c r="AC103" s="8"/>
    </row>
    <row r="104" spans="1:29">
      <c r="A104" s="8"/>
      <c r="B104" s="8"/>
      <c r="C104" s="8"/>
      <c r="D104" s="8"/>
      <c r="E104" s="8"/>
      <c r="F104" s="8"/>
      <c r="G104" s="11"/>
      <c r="H104" s="11"/>
      <c r="I104" s="11"/>
      <c r="J104" s="11"/>
      <c r="K104" s="12" t="str">
        <f t="shared" si="4"/>
        <v/>
      </c>
      <c r="L104" s="12" t="str">
        <f t="shared" si="5"/>
        <v/>
      </c>
      <c r="M104" s="12" t="str">
        <f t="shared" si="6"/>
        <v/>
      </c>
      <c r="N104" s="12" t="str">
        <f t="shared" si="7"/>
        <v/>
      </c>
      <c r="O104" s="8"/>
      <c r="P104" s="8"/>
      <c r="Q104" s="8"/>
      <c r="R104" s="10"/>
      <c r="S104" s="10"/>
      <c r="T104" s="10"/>
      <c r="U104" s="10"/>
      <c r="V104" s="8"/>
      <c r="W104" s="8"/>
      <c r="X104" s="8"/>
      <c r="Y104" s="8"/>
      <c r="Z104" s="8"/>
      <c r="AA104" s="8"/>
      <c r="AB104" s="10"/>
      <c r="AC104" s="8"/>
    </row>
    <row r="105" spans="1:29">
      <c r="A105" s="8"/>
      <c r="B105" s="8"/>
      <c r="C105" s="8"/>
      <c r="D105" s="8"/>
      <c r="E105" s="8"/>
      <c r="F105" s="8"/>
      <c r="G105" s="11"/>
      <c r="H105" s="11"/>
      <c r="I105" s="11"/>
      <c r="J105" s="11"/>
      <c r="K105" s="12" t="str">
        <f t="shared" si="4"/>
        <v/>
      </c>
      <c r="L105" s="12" t="str">
        <f t="shared" si="5"/>
        <v/>
      </c>
      <c r="M105" s="12" t="str">
        <f t="shared" si="6"/>
        <v/>
      </c>
      <c r="N105" s="12" t="str">
        <f t="shared" si="7"/>
        <v/>
      </c>
      <c r="O105" s="8"/>
      <c r="P105" s="8"/>
      <c r="Q105" s="8"/>
      <c r="R105" s="10"/>
      <c r="S105" s="10"/>
      <c r="T105" s="10"/>
      <c r="U105" s="10"/>
      <c r="V105" s="8"/>
      <c r="W105" s="8"/>
      <c r="X105" s="8"/>
      <c r="Y105" s="8"/>
      <c r="Z105" s="8"/>
      <c r="AA105" s="8"/>
      <c r="AB105" s="10"/>
      <c r="AC105" s="8"/>
    </row>
    <row r="106" spans="1:29">
      <c r="A106" s="8"/>
      <c r="B106" s="8"/>
      <c r="C106" s="8"/>
      <c r="D106" s="8"/>
      <c r="E106" s="8"/>
      <c r="F106" s="8"/>
      <c r="G106" s="11"/>
      <c r="H106" s="11"/>
      <c r="I106" s="11"/>
      <c r="J106" s="11"/>
      <c r="K106" s="12" t="str">
        <f t="shared" si="4"/>
        <v/>
      </c>
      <c r="L106" s="12" t="str">
        <f t="shared" si="5"/>
        <v/>
      </c>
      <c r="M106" s="12" t="str">
        <f t="shared" si="6"/>
        <v/>
      </c>
      <c r="N106" s="12" t="str">
        <f t="shared" si="7"/>
        <v/>
      </c>
      <c r="O106" s="8"/>
      <c r="P106" s="8"/>
      <c r="Q106" s="8"/>
      <c r="R106" s="10"/>
      <c r="S106" s="10"/>
      <c r="T106" s="10"/>
      <c r="U106" s="10"/>
      <c r="V106" s="8"/>
      <c r="W106" s="8"/>
      <c r="X106" s="8"/>
      <c r="Y106" s="8"/>
      <c r="Z106" s="8"/>
      <c r="AA106" s="8"/>
      <c r="AB106" s="10"/>
      <c r="AC106" s="8"/>
    </row>
    <row r="107" spans="1:29">
      <c r="A107" s="8"/>
      <c r="B107" s="8"/>
      <c r="C107" s="8"/>
      <c r="D107" s="8"/>
      <c r="E107" s="8"/>
      <c r="F107" s="8"/>
      <c r="G107" s="11"/>
      <c r="H107" s="11"/>
      <c r="I107" s="11"/>
      <c r="J107" s="11"/>
      <c r="K107" s="12" t="str">
        <f t="shared" si="4"/>
        <v/>
      </c>
      <c r="L107" s="12" t="str">
        <f t="shared" si="5"/>
        <v/>
      </c>
      <c r="M107" s="12" t="str">
        <f t="shared" si="6"/>
        <v/>
      </c>
      <c r="N107" s="12" t="str">
        <f t="shared" si="7"/>
        <v/>
      </c>
      <c r="O107" s="8"/>
      <c r="P107" s="8"/>
      <c r="Q107" s="8"/>
      <c r="R107" s="10"/>
      <c r="S107" s="10"/>
      <c r="T107" s="10"/>
      <c r="U107" s="10"/>
      <c r="V107" s="8"/>
      <c r="W107" s="8"/>
      <c r="X107" s="8"/>
      <c r="Y107" s="8"/>
      <c r="Z107" s="8"/>
      <c r="AA107" s="8"/>
      <c r="AB107" s="10"/>
      <c r="AC107" s="8"/>
    </row>
    <row r="108" spans="1:29">
      <c r="A108" s="8"/>
      <c r="B108" s="8"/>
      <c r="C108" s="8"/>
      <c r="D108" s="8"/>
      <c r="E108" s="8"/>
      <c r="F108" s="8"/>
      <c r="G108" s="11"/>
      <c r="H108" s="11"/>
      <c r="I108" s="11"/>
      <c r="J108" s="11"/>
      <c r="K108" s="12" t="str">
        <f t="shared" si="4"/>
        <v/>
      </c>
      <c r="L108" s="12" t="str">
        <f t="shared" si="5"/>
        <v/>
      </c>
      <c r="M108" s="12" t="str">
        <f t="shared" si="6"/>
        <v/>
      </c>
      <c r="N108" s="12" t="str">
        <f t="shared" si="7"/>
        <v/>
      </c>
      <c r="O108" s="8"/>
      <c r="P108" s="8"/>
      <c r="Q108" s="8"/>
      <c r="R108" s="10"/>
      <c r="S108" s="10"/>
      <c r="T108" s="10"/>
      <c r="U108" s="10"/>
      <c r="V108" s="8"/>
      <c r="W108" s="8"/>
      <c r="X108" s="8"/>
      <c r="Y108" s="8"/>
      <c r="Z108" s="8"/>
      <c r="AA108" s="8"/>
      <c r="AB108" s="10"/>
      <c r="AC108" s="8"/>
    </row>
    <row r="109" spans="1:29">
      <c r="A109" s="8"/>
      <c r="B109" s="8"/>
      <c r="C109" s="8"/>
      <c r="D109" s="8"/>
      <c r="E109" s="8"/>
      <c r="F109" s="8"/>
      <c r="G109" s="11"/>
      <c r="H109" s="11"/>
      <c r="I109" s="11"/>
      <c r="J109" s="11"/>
      <c r="K109" s="12" t="str">
        <f t="shared" si="4"/>
        <v/>
      </c>
      <c r="L109" s="12" t="str">
        <f t="shared" si="5"/>
        <v/>
      </c>
      <c r="M109" s="12" t="str">
        <f t="shared" si="6"/>
        <v/>
      </c>
      <c r="N109" s="12" t="str">
        <f t="shared" si="7"/>
        <v/>
      </c>
      <c r="O109" s="8"/>
      <c r="P109" s="8"/>
      <c r="Q109" s="8"/>
      <c r="R109" s="10"/>
      <c r="S109" s="10"/>
      <c r="T109" s="10"/>
      <c r="U109" s="10"/>
      <c r="V109" s="8"/>
      <c r="W109" s="8"/>
      <c r="X109" s="8"/>
      <c r="Y109" s="8"/>
      <c r="Z109" s="8"/>
      <c r="AA109" s="8"/>
      <c r="AB109" s="10"/>
      <c r="AC109" s="8"/>
    </row>
    <row r="110" spans="1:29">
      <c r="A110" s="8"/>
      <c r="B110" s="8"/>
      <c r="C110" s="8"/>
      <c r="D110" s="8"/>
      <c r="E110" s="8"/>
      <c r="F110" s="8"/>
      <c r="G110" s="11"/>
      <c r="H110" s="11"/>
      <c r="I110" s="11"/>
      <c r="J110" s="11"/>
      <c r="K110" s="12" t="str">
        <f t="shared" si="4"/>
        <v/>
      </c>
      <c r="L110" s="12" t="str">
        <f t="shared" si="5"/>
        <v/>
      </c>
      <c r="M110" s="12" t="str">
        <f t="shared" si="6"/>
        <v/>
      </c>
      <c r="N110" s="12" t="str">
        <f t="shared" si="7"/>
        <v/>
      </c>
      <c r="O110" s="8"/>
      <c r="P110" s="8"/>
      <c r="Q110" s="8"/>
      <c r="R110" s="10"/>
      <c r="S110" s="10"/>
      <c r="T110" s="10"/>
      <c r="U110" s="10"/>
      <c r="V110" s="8"/>
      <c r="W110" s="8"/>
      <c r="X110" s="8"/>
      <c r="Y110" s="8"/>
      <c r="Z110" s="8"/>
      <c r="AA110" s="8"/>
      <c r="AB110" s="10"/>
      <c r="AC110" s="8"/>
    </row>
    <row r="111" spans="1:29">
      <c r="A111" s="8"/>
      <c r="B111" s="8"/>
      <c r="C111" s="8"/>
      <c r="D111" s="8"/>
      <c r="E111" s="8"/>
      <c r="F111" s="8"/>
      <c r="G111" s="11"/>
      <c r="H111" s="11"/>
      <c r="I111" s="11"/>
      <c r="J111" s="11"/>
      <c r="K111" s="12" t="str">
        <f t="shared" si="4"/>
        <v/>
      </c>
      <c r="L111" s="12" t="str">
        <f t="shared" si="5"/>
        <v/>
      </c>
      <c r="M111" s="12" t="str">
        <f t="shared" si="6"/>
        <v/>
      </c>
      <c r="N111" s="12" t="str">
        <f t="shared" si="7"/>
        <v/>
      </c>
      <c r="O111" s="8"/>
      <c r="P111" s="8"/>
      <c r="Q111" s="8"/>
      <c r="R111" s="10"/>
      <c r="S111" s="10"/>
      <c r="T111" s="10"/>
      <c r="U111" s="10"/>
      <c r="V111" s="8"/>
      <c r="W111" s="8"/>
      <c r="X111" s="8"/>
      <c r="Y111" s="8"/>
      <c r="Z111" s="8"/>
      <c r="AA111" s="8"/>
      <c r="AB111" s="10"/>
      <c r="AC111" s="8"/>
    </row>
    <row r="112" spans="1:29">
      <c r="A112" s="8"/>
      <c r="B112" s="8"/>
      <c r="C112" s="8"/>
      <c r="D112" s="8"/>
      <c r="E112" s="8"/>
      <c r="F112" s="8"/>
      <c r="G112" s="11"/>
      <c r="H112" s="11"/>
      <c r="I112" s="11"/>
      <c r="J112" s="11"/>
      <c r="K112" s="12" t="str">
        <f t="shared" si="4"/>
        <v/>
      </c>
      <c r="L112" s="12" t="str">
        <f t="shared" si="5"/>
        <v/>
      </c>
      <c r="M112" s="12" t="str">
        <f t="shared" si="6"/>
        <v/>
      </c>
      <c r="N112" s="12" t="str">
        <f t="shared" si="7"/>
        <v/>
      </c>
      <c r="O112" s="8"/>
      <c r="P112" s="8"/>
      <c r="Q112" s="8"/>
      <c r="R112" s="10"/>
      <c r="S112" s="10"/>
      <c r="T112" s="10"/>
      <c r="U112" s="10"/>
      <c r="V112" s="8"/>
      <c r="W112" s="8"/>
      <c r="X112" s="8"/>
      <c r="Y112" s="8"/>
      <c r="Z112" s="8"/>
      <c r="AA112" s="8"/>
      <c r="AB112" s="10"/>
      <c r="AC112" s="8"/>
    </row>
    <row r="113" spans="1:29">
      <c r="A113" s="8"/>
      <c r="B113" s="8"/>
      <c r="C113" s="8"/>
      <c r="D113" s="8"/>
      <c r="E113" s="8"/>
      <c r="F113" s="8"/>
      <c r="G113" s="11"/>
      <c r="H113" s="11"/>
      <c r="I113" s="11"/>
      <c r="J113" s="11"/>
      <c r="K113" s="12" t="str">
        <f t="shared" si="4"/>
        <v/>
      </c>
      <c r="L113" s="12" t="str">
        <f t="shared" si="5"/>
        <v/>
      </c>
      <c r="M113" s="12" t="str">
        <f t="shared" si="6"/>
        <v/>
      </c>
      <c r="N113" s="12" t="str">
        <f t="shared" si="7"/>
        <v/>
      </c>
      <c r="O113" s="8"/>
      <c r="P113" s="8"/>
      <c r="Q113" s="8"/>
      <c r="R113" s="10"/>
      <c r="S113" s="10"/>
      <c r="T113" s="10"/>
      <c r="U113" s="10"/>
      <c r="V113" s="8"/>
      <c r="W113" s="8"/>
      <c r="X113" s="8"/>
      <c r="Y113" s="8"/>
      <c r="Z113" s="8"/>
      <c r="AA113" s="8"/>
      <c r="AB113" s="10"/>
      <c r="AC113" s="8"/>
    </row>
    <row r="114" spans="1:29">
      <c r="A114" s="8"/>
      <c r="B114" s="8"/>
      <c r="C114" s="8"/>
      <c r="D114" s="8"/>
      <c r="E114" s="8"/>
      <c r="F114" s="8"/>
      <c r="G114" s="11"/>
      <c r="H114" s="11"/>
      <c r="I114" s="11"/>
      <c r="J114" s="11"/>
      <c r="K114" s="12" t="str">
        <f t="shared" si="4"/>
        <v/>
      </c>
      <c r="L114" s="12" t="str">
        <f t="shared" si="5"/>
        <v/>
      </c>
      <c r="M114" s="12" t="str">
        <f t="shared" si="6"/>
        <v/>
      </c>
      <c r="N114" s="12" t="str">
        <f t="shared" si="7"/>
        <v/>
      </c>
      <c r="O114" s="8"/>
      <c r="P114" s="8"/>
      <c r="Q114" s="8"/>
      <c r="R114" s="10"/>
      <c r="S114" s="10"/>
      <c r="T114" s="10"/>
      <c r="U114" s="10"/>
      <c r="V114" s="8"/>
      <c r="W114" s="8"/>
      <c r="X114" s="8"/>
      <c r="Y114" s="8"/>
      <c r="Z114" s="8"/>
      <c r="AA114" s="8"/>
      <c r="AB114" s="10"/>
      <c r="AC114" s="8"/>
    </row>
    <row r="115" spans="1:29">
      <c r="A115" s="8"/>
      <c r="B115" s="8"/>
      <c r="C115" s="8"/>
      <c r="D115" s="8"/>
      <c r="E115" s="8"/>
      <c r="F115" s="8"/>
      <c r="G115" s="11"/>
      <c r="H115" s="11"/>
      <c r="I115" s="11"/>
      <c r="J115" s="11"/>
      <c r="K115" s="12" t="str">
        <f t="shared" si="4"/>
        <v/>
      </c>
      <c r="L115" s="12" t="str">
        <f t="shared" si="5"/>
        <v/>
      </c>
      <c r="M115" s="12" t="str">
        <f t="shared" si="6"/>
        <v/>
      </c>
      <c r="N115" s="12" t="str">
        <f t="shared" si="7"/>
        <v/>
      </c>
      <c r="O115" s="8"/>
      <c r="P115" s="8"/>
      <c r="Q115" s="8"/>
      <c r="R115" s="10"/>
      <c r="S115" s="10"/>
      <c r="T115" s="10"/>
      <c r="U115" s="10"/>
      <c r="V115" s="8"/>
      <c r="W115" s="8"/>
      <c r="X115" s="8"/>
      <c r="Y115" s="8"/>
      <c r="Z115" s="8"/>
      <c r="AA115" s="8"/>
      <c r="AB115" s="10"/>
      <c r="AC115" s="8"/>
    </row>
    <row r="116" spans="1:29">
      <c r="A116" s="8"/>
      <c r="B116" s="8"/>
      <c r="C116" s="8"/>
      <c r="D116" s="8"/>
      <c r="E116" s="8"/>
      <c r="F116" s="8"/>
      <c r="G116" s="11"/>
      <c r="H116" s="11"/>
      <c r="I116" s="11"/>
      <c r="J116" s="11"/>
      <c r="K116" s="12" t="str">
        <f t="shared" si="4"/>
        <v/>
      </c>
      <c r="L116" s="12" t="str">
        <f t="shared" si="5"/>
        <v/>
      </c>
      <c r="M116" s="12" t="str">
        <f t="shared" si="6"/>
        <v/>
      </c>
      <c r="N116" s="12" t="str">
        <f t="shared" si="7"/>
        <v/>
      </c>
      <c r="O116" s="8"/>
      <c r="P116" s="8"/>
      <c r="Q116" s="8"/>
      <c r="R116" s="10"/>
      <c r="S116" s="10"/>
      <c r="T116" s="10"/>
      <c r="U116" s="10"/>
      <c r="V116" s="8"/>
      <c r="W116" s="8"/>
      <c r="X116" s="8"/>
      <c r="Y116" s="8"/>
      <c r="Z116" s="8"/>
      <c r="AA116" s="8"/>
      <c r="AB116" s="10"/>
      <c r="AC116" s="8"/>
    </row>
    <row r="117" spans="1:29">
      <c r="A117" s="8"/>
      <c r="B117" s="8"/>
      <c r="C117" s="8"/>
      <c r="D117" s="8"/>
      <c r="E117" s="8"/>
      <c r="F117" s="8"/>
      <c r="G117" s="11"/>
      <c r="H117" s="11"/>
      <c r="I117" s="11"/>
      <c r="J117" s="11"/>
      <c r="K117" s="12" t="str">
        <f t="shared" si="4"/>
        <v/>
      </c>
      <c r="L117" s="12" t="str">
        <f t="shared" si="5"/>
        <v/>
      </c>
      <c r="M117" s="12" t="str">
        <f t="shared" si="6"/>
        <v/>
      </c>
      <c r="N117" s="12" t="str">
        <f t="shared" si="7"/>
        <v/>
      </c>
      <c r="O117" s="8"/>
      <c r="P117" s="8"/>
      <c r="Q117" s="8"/>
      <c r="R117" s="10"/>
      <c r="S117" s="10"/>
      <c r="T117" s="10"/>
      <c r="U117" s="10"/>
      <c r="V117" s="8"/>
      <c r="W117" s="8"/>
      <c r="X117" s="8"/>
      <c r="Y117" s="8"/>
      <c r="Z117" s="8"/>
      <c r="AA117" s="8"/>
      <c r="AB117" s="10"/>
      <c r="AC117" s="8"/>
    </row>
    <row r="118" spans="1:29">
      <c r="A118" s="8"/>
      <c r="B118" s="8"/>
      <c r="C118" s="8"/>
      <c r="D118" s="8"/>
      <c r="E118" s="8"/>
      <c r="F118" s="8"/>
      <c r="G118" s="11"/>
      <c r="H118" s="11"/>
      <c r="I118" s="11"/>
      <c r="J118" s="11"/>
      <c r="K118" s="12" t="str">
        <f t="shared" si="4"/>
        <v/>
      </c>
      <c r="L118" s="12" t="str">
        <f t="shared" si="5"/>
        <v/>
      </c>
      <c r="M118" s="12" t="str">
        <f t="shared" si="6"/>
        <v/>
      </c>
      <c r="N118" s="12" t="str">
        <f t="shared" si="7"/>
        <v/>
      </c>
      <c r="O118" s="8"/>
      <c r="P118" s="8"/>
      <c r="Q118" s="8"/>
      <c r="R118" s="10"/>
      <c r="S118" s="10"/>
      <c r="T118" s="10"/>
      <c r="U118" s="10"/>
      <c r="V118" s="8"/>
      <c r="W118" s="8"/>
      <c r="X118" s="8"/>
      <c r="Y118" s="8"/>
      <c r="Z118" s="8"/>
      <c r="AA118" s="8"/>
      <c r="AB118" s="10"/>
      <c r="AC118" s="8"/>
    </row>
    <row r="119" spans="1:29">
      <c r="A119" s="8"/>
      <c r="B119" s="8"/>
      <c r="C119" s="8"/>
      <c r="D119" s="8"/>
      <c r="E119" s="8"/>
      <c r="F119" s="8"/>
      <c r="G119" s="11"/>
      <c r="H119" s="11"/>
      <c r="I119" s="11"/>
      <c r="J119" s="11"/>
      <c r="K119" s="12" t="str">
        <f t="shared" si="4"/>
        <v/>
      </c>
      <c r="L119" s="12" t="str">
        <f t="shared" si="5"/>
        <v/>
      </c>
      <c r="M119" s="12" t="str">
        <f t="shared" si="6"/>
        <v/>
      </c>
      <c r="N119" s="12" t="str">
        <f t="shared" si="7"/>
        <v/>
      </c>
      <c r="O119" s="8"/>
      <c r="P119" s="8"/>
      <c r="Q119" s="8"/>
      <c r="R119" s="10"/>
      <c r="S119" s="10"/>
      <c r="T119" s="10"/>
      <c r="U119" s="10"/>
      <c r="V119" s="8"/>
      <c r="W119" s="8"/>
      <c r="X119" s="8"/>
      <c r="Y119" s="8"/>
      <c r="Z119" s="8"/>
      <c r="AA119" s="8"/>
      <c r="AB119" s="10"/>
      <c r="AC119" s="8"/>
    </row>
    <row r="120" spans="1:29">
      <c r="A120" s="8"/>
      <c r="B120" s="8"/>
      <c r="C120" s="8"/>
      <c r="D120" s="8"/>
      <c r="E120" s="8"/>
      <c r="F120" s="8"/>
      <c r="G120" s="11"/>
      <c r="H120" s="11"/>
      <c r="I120" s="11"/>
      <c r="J120" s="11"/>
      <c r="K120" s="12" t="str">
        <f t="shared" si="4"/>
        <v/>
      </c>
      <c r="L120" s="12" t="str">
        <f t="shared" si="5"/>
        <v/>
      </c>
      <c r="M120" s="12" t="str">
        <f t="shared" si="6"/>
        <v/>
      </c>
      <c r="N120" s="12" t="str">
        <f t="shared" si="7"/>
        <v/>
      </c>
      <c r="O120" s="8"/>
      <c r="P120" s="8"/>
      <c r="Q120" s="8"/>
      <c r="R120" s="10"/>
      <c r="S120" s="10"/>
      <c r="T120" s="10"/>
      <c r="U120" s="10"/>
      <c r="V120" s="8"/>
      <c r="W120" s="8"/>
      <c r="X120" s="8"/>
      <c r="Y120" s="8"/>
      <c r="Z120" s="8"/>
      <c r="AA120" s="8"/>
      <c r="AB120" s="10"/>
      <c r="AC120" s="8"/>
    </row>
    <row r="121" spans="1:29">
      <c r="A121" s="8"/>
      <c r="B121" s="8"/>
      <c r="C121" s="8"/>
      <c r="D121" s="8"/>
      <c r="E121" s="8"/>
      <c r="F121" s="8"/>
      <c r="G121" s="11"/>
      <c r="H121" s="11"/>
      <c r="I121" s="11"/>
      <c r="J121" s="11"/>
      <c r="K121" s="12" t="str">
        <f t="shared" si="4"/>
        <v/>
      </c>
      <c r="L121" s="12" t="str">
        <f t="shared" si="5"/>
        <v/>
      </c>
      <c r="M121" s="12" t="str">
        <f t="shared" si="6"/>
        <v/>
      </c>
      <c r="N121" s="12" t="str">
        <f t="shared" si="7"/>
        <v/>
      </c>
      <c r="O121" s="8"/>
      <c r="P121" s="8"/>
      <c r="Q121" s="8"/>
      <c r="R121" s="10"/>
      <c r="S121" s="10"/>
      <c r="T121" s="10"/>
      <c r="U121" s="10"/>
      <c r="V121" s="8"/>
      <c r="W121" s="8"/>
      <c r="X121" s="8"/>
      <c r="Y121" s="8"/>
      <c r="Z121" s="8"/>
      <c r="AA121" s="8"/>
      <c r="AB121" s="10"/>
      <c r="AC121" s="8"/>
    </row>
    <row r="122" spans="1:29">
      <c r="A122" s="8"/>
      <c r="B122" s="8"/>
      <c r="C122" s="8"/>
      <c r="D122" s="8"/>
      <c r="E122" s="8"/>
      <c r="F122" s="8"/>
      <c r="G122" s="11"/>
      <c r="H122" s="11"/>
      <c r="I122" s="11"/>
      <c r="J122" s="11"/>
      <c r="K122" s="12" t="str">
        <f t="shared" si="4"/>
        <v/>
      </c>
      <c r="L122" s="12" t="str">
        <f t="shared" si="5"/>
        <v/>
      </c>
      <c r="M122" s="12" t="str">
        <f t="shared" si="6"/>
        <v/>
      </c>
      <c r="N122" s="12" t="str">
        <f t="shared" si="7"/>
        <v/>
      </c>
      <c r="O122" s="8"/>
      <c r="P122" s="8"/>
      <c r="Q122" s="8"/>
      <c r="R122" s="10"/>
      <c r="S122" s="10"/>
      <c r="T122" s="10"/>
      <c r="U122" s="10"/>
      <c r="V122" s="8"/>
      <c r="W122" s="8"/>
      <c r="X122" s="8"/>
      <c r="Y122" s="8"/>
      <c r="Z122" s="8"/>
      <c r="AA122" s="8"/>
      <c r="AB122" s="10"/>
      <c r="AC122" s="8"/>
    </row>
    <row r="123" spans="1:29">
      <c r="A123" s="8"/>
      <c r="B123" s="8"/>
      <c r="C123" s="8"/>
      <c r="D123" s="8"/>
      <c r="E123" s="8"/>
      <c r="F123" s="8"/>
      <c r="G123" s="11"/>
      <c r="H123" s="11"/>
      <c r="I123" s="11"/>
      <c r="J123" s="11"/>
      <c r="K123" s="12" t="str">
        <f t="shared" si="4"/>
        <v/>
      </c>
      <c r="L123" s="12" t="str">
        <f t="shared" si="5"/>
        <v/>
      </c>
      <c r="M123" s="12" t="str">
        <f t="shared" si="6"/>
        <v/>
      </c>
      <c r="N123" s="12" t="str">
        <f t="shared" si="7"/>
        <v/>
      </c>
      <c r="O123" s="8"/>
      <c r="P123" s="8"/>
      <c r="Q123" s="8"/>
      <c r="R123" s="10"/>
      <c r="S123" s="10"/>
      <c r="T123" s="10"/>
      <c r="U123" s="10"/>
      <c r="V123" s="8"/>
      <c r="W123" s="8"/>
      <c r="X123" s="8"/>
      <c r="Y123" s="8"/>
      <c r="Z123" s="8"/>
      <c r="AA123" s="8"/>
      <c r="AB123" s="10"/>
      <c r="AC123" s="8"/>
    </row>
    <row r="124" spans="1:29">
      <c r="A124" s="8"/>
      <c r="B124" s="8"/>
      <c r="C124" s="8"/>
      <c r="D124" s="8"/>
      <c r="E124" s="8"/>
      <c r="F124" s="8"/>
      <c r="G124" s="11"/>
      <c r="H124" s="11"/>
      <c r="I124" s="11"/>
      <c r="J124" s="11"/>
      <c r="K124" s="12" t="str">
        <f t="shared" si="4"/>
        <v/>
      </c>
      <c r="L124" s="12" t="str">
        <f t="shared" si="5"/>
        <v/>
      </c>
      <c r="M124" s="12" t="str">
        <f t="shared" si="6"/>
        <v/>
      </c>
      <c r="N124" s="12" t="str">
        <f t="shared" si="7"/>
        <v/>
      </c>
      <c r="O124" s="8"/>
      <c r="P124" s="8"/>
      <c r="Q124" s="8"/>
      <c r="R124" s="10"/>
      <c r="S124" s="10"/>
      <c r="T124" s="10"/>
      <c r="U124" s="10"/>
      <c r="V124" s="8"/>
      <c r="W124" s="8"/>
      <c r="X124" s="8"/>
      <c r="Y124" s="8"/>
      <c r="Z124" s="8"/>
      <c r="AA124" s="8"/>
      <c r="AB124" s="10"/>
      <c r="AC124" s="8"/>
    </row>
    <row r="125" spans="1:29">
      <c r="A125" s="8"/>
      <c r="B125" s="8"/>
      <c r="C125" s="8"/>
      <c r="D125" s="8"/>
      <c r="E125" s="8"/>
      <c r="F125" s="8"/>
      <c r="G125" s="11"/>
      <c r="H125" s="11"/>
      <c r="I125" s="11"/>
      <c r="J125" s="11"/>
      <c r="K125" s="12" t="str">
        <f t="shared" si="4"/>
        <v/>
      </c>
      <c r="L125" s="12" t="str">
        <f t="shared" si="5"/>
        <v/>
      </c>
      <c r="M125" s="12" t="str">
        <f t="shared" si="6"/>
        <v/>
      </c>
      <c r="N125" s="12" t="str">
        <f t="shared" si="7"/>
        <v/>
      </c>
      <c r="O125" s="8"/>
      <c r="P125" s="8"/>
      <c r="Q125" s="8"/>
      <c r="R125" s="10"/>
      <c r="S125" s="10"/>
      <c r="T125" s="10"/>
      <c r="U125" s="10"/>
      <c r="V125" s="8"/>
      <c r="W125" s="8"/>
      <c r="X125" s="8"/>
      <c r="Y125" s="8"/>
      <c r="Z125" s="8"/>
      <c r="AA125" s="8"/>
      <c r="AB125" s="10"/>
      <c r="AC125" s="8"/>
    </row>
    <row r="126" spans="1:29">
      <c r="A126" s="8"/>
      <c r="B126" s="8"/>
      <c r="C126" s="8"/>
      <c r="D126" s="8"/>
      <c r="E126" s="8"/>
      <c r="F126" s="8"/>
      <c r="G126" s="11"/>
      <c r="H126" s="11"/>
      <c r="I126" s="11"/>
      <c r="J126" s="11"/>
      <c r="K126" s="12" t="str">
        <f t="shared" si="4"/>
        <v/>
      </c>
      <c r="L126" s="12" t="str">
        <f t="shared" si="5"/>
        <v/>
      </c>
      <c r="M126" s="12" t="str">
        <f t="shared" si="6"/>
        <v/>
      </c>
      <c r="N126" s="12" t="str">
        <f t="shared" si="7"/>
        <v/>
      </c>
      <c r="O126" s="8"/>
      <c r="P126" s="8"/>
      <c r="Q126" s="8"/>
      <c r="R126" s="10"/>
      <c r="S126" s="10"/>
      <c r="T126" s="10"/>
      <c r="U126" s="10"/>
      <c r="V126" s="8"/>
      <c r="W126" s="8"/>
      <c r="X126" s="8"/>
      <c r="Y126" s="8"/>
      <c r="Z126" s="8"/>
      <c r="AA126" s="8"/>
      <c r="AB126" s="10"/>
      <c r="AC126" s="8"/>
    </row>
    <row r="127" spans="1:29">
      <c r="A127" s="8"/>
      <c r="B127" s="8"/>
      <c r="C127" s="8"/>
      <c r="D127" s="8"/>
      <c r="E127" s="8"/>
      <c r="F127" s="8"/>
      <c r="G127" s="11"/>
      <c r="H127" s="11"/>
      <c r="I127" s="11"/>
      <c r="J127" s="11"/>
      <c r="K127" s="12" t="str">
        <f t="shared" si="4"/>
        <v/>
      </c>
      <c r="L127" s="12" t="str">
        <f t="shared" si="5"/>
        <v/>
      </c>
      <c r="M127" s="12" t="str">
        <f t="shared" si="6"/>
        <v/>
      </c>
      <c r="N127" s="12" t="str">
        <f t="shared" si="7"/>
        <v/>
      </c>
      <c r="O127" s="8"/>
      <c r="P127" s="8"/>
      <c r="Q127" s="8"/>
      <c r="R127" s="10"/>
      <c r="S127" s="10"/>
      <c r="T127" s="10"/>
      <c r="U127" s="10"/>
      <c r="V127" s="8"/>
      <c r="W127" s="8"/>
      <c r="X127" s="8"/>
      <c r="Y127" s="8"/>
      <c r="Z127" s="8"/>
      <c r="AA127" s="8"/>
      <c r="AB127" s="10"/>
      <c r="AC127" s="8"/>
    </row>
    <row r="128" spans="1:29">
      <c r="A128" s="8"/>
      <c r="B128" s="8"/>
      <c r="C128" s="8"/>
      <c r="D128" s="8"/>
      <c r="E128" s="8"/>
      <c r="F128" s="8"/>
      <c r="G128" s="11"/>
      <c r="H128" s="11"/>
      <c r="I128" s="11"/>
      <c r="J128" s="11"/>
      <c r="K128" s="12" t="str">
        <f t="shared" si="4"/>
        <v/>
      </c>
      <c r="L128" s="12" t="str">
        <f t="shared" si="5"/>
        <v/>
      </c>
      <c r="M128" s="12" t="str">
        <f t="shared" si="6"/>
        <v/>
      </c>
      <c r="N128" s="12" t="str">
        <f t="shared" si="7"/>
        <v/>
      </c>
      <c r="O128" s="8"/>
      <c r="P128" s="8"/>
      <c r="Q128" s="8"/>
      <c r="R128" s="10"/>
      <c r="S128" s="10"/>
      <c r="T128" s="10"/>
      <c r="U128" s="10"/>
      <c r="V128" s="8"/>
      <c r="W128" s="8"/>
      <c r="X128" s="8"/>
      <c r="Y128" s="8"/>
      <c r="Z128" s="8"/>
      <c r="AA128" s="8"/>
      <c r="AB128" s="10"/>
      <c r="AC128" s="8"/>
    </row>
    <row r="129" spans="1:29">
      <c r="A129" s="8"/>
      <c r="B129" s="8"/>
      <c r="C129" s="8"/>
      <c r="D129" s="8"/>
      <c r="E129" s="8"/>
      <c r="F129" s="8"/>
      <c r="G129" s="11"/>
      <c r="H129" s="11"/>
      <c r="I129" s="11"/>
      <c r="J129" s="11"/>
      <c r="K129" s="12" t="str">
        <f t="shared" si="4"/>
        <v/>
      </c>
      <c r="L129" s="12" t="str">
        <f t="shared" si="5"/>
        <v/>
      </c>
      <c r="M129" s="12" t="str">
        <f t="shared" si="6"/>
        <v/>
      </c>
      <c r="N129" s="12" t="str">
        <f t="shared" si="7"/>
        <v/>
      </c>
      <c r="O129" s="8"/>
      <c r="P129" s="8"/>
      <c r="Q129" s="8"/>
      <c r="R129" s="10"/>
      <c r="S129" s="10"/>
      <c r="T129" s="10"/>
      <c r="U129" s="10"/>
      <c r="V129" s="8"/>
      <c r="W129" s="8"/>
      <c r="X129" s="8"/>
      <c r="Y129" s="8"/>
      <c r="Z129" s="8"/>
      <c r="AA129" s="8"/>
      <c r="AB129" s="10"/>
      <c r="AC129" s="8"/>
    </row>
    <row r="130" spans="1:29">
      <c r="A130" s="8"/>
      <c r="B130" s="8"/>
      <c r="C130" s="8"/>
      <c r="D130" s="8"/>
      <c r="E130" s="8"/>
      <c r="F130" s="8"/>
      <c r="G130" s="11"/>
      <c r="H130" s="11"/>
      <c r="I130" s="11"/>
      <c r="J130" s="11"/>
      <c r="K130" s="12" t="str">
        <f t="shared" si="4"/>
        <v/>
      </c>
      <c r="L130" s="12" t="str">
        <f t="shared" si="5"/>
        <v/>
      </c>
      <c r="M130" s="12" t="str">
        <f t="shared" si="6"/>
        <v/>
      </c>
      <c r="N130" s="12" t="str">
        <f t="shared" si="7"/>
        <v/>
      </c>
      <c r="O130" s="8"/>
      <c r="P130" s="8"/>
      <c r="Q130" s="8"/>
      <c r="R130" s="10"/>
      <c r="S130" s="10"/>
      <c r="T130" s="10"/>
      <c r="U130" s="10"/>
      <c r="V130" s="8"/>
      <c r="W130" s="8"/>
      <c r="X130" s="8"/>
      <c r="Y130" s="8"/>
      <c r="Z130" s="8"/>
      <c r="AA130" s="8"/>
      <c r="AB130" s="10"/>
      <c r="AC130" s="8"/>
    </row>
    <row r="131" spans="1:29">
      <c r="A131" s="8"/>
      <c r="B131" s="8"/>
      <c r="C131" s="8"/>
      <c r="D131" s="8"/>
      <c r="E131" s="8"/>
      <c r="F131" s="8"/>
      <c r="G131" s="11"/>
      <c r="H131" s="11"/>
      <c r="I131" s="11"/>
      <c r="J131" s="11"/>
      <c r="K131" s="12" t="str">
        <f t="shared" si="4"/>
        <v/>
      </c>
      <c r="L131" s="12" t="str">
        <f t="shared" si="5"/>
        <v/>
      </c>
      <c r="M131" s="12" t="str">
        <f t="shared" si="6"/>
        <v/>
      </c>
      <c r="N131" s="12" t="str">
        <f t="shared" si="7"/>
        <v/>
      </c>
      <c r="O131" s="8"/>
      <c r="P131" s="8"/>
      <c r="Q131" s="8"/>
      <c r="R131" s="10"/>
      <c r="S131" s="10"/>
      <c r="T131" s="10"/>
      <c r="U131" s="10"/>
      <c r="V131" s="8"/>
      <c r="W131" s="8"/>
      <c r="X131" s="8"/>
      <c r="Y131" s="8"/>
      <c r="Z131" s="8"/>
      <c r="AA131" s="8"/>
      <c r="AB131" s="10"/>
      <c r="AC131" s="8"/>
    </row>
    <row r="132" spans="1:29">
      <c r="A132" s="8"/>
      <c r="B132" s="8"/>
      <c r="C132" s="8"/>
      <c r="D132" s="8"/>
      <c r="E132" s="8"/>
      <c r="F132" s="8"/>
      <c r="G132" s="11"/>
      <c r="H132" s="11"/>
      <c r="I132" s="11"/>
      <c r="J132" s="11"/>
      <c r="K132" s="12" t="str">
        <f t="shared" si="4"/>
        <v/>
      </c>
      <c r="L132" s="12" t="str">
        <f t="shared" si="5"/>
        <v/>
      </c>
      <c r="M132" s="12" t="str">
        <f t="shared" si="6"/>
        <v/>
      </c>
      <c r="N132" s="12" t="str">
        <f t="shared" si="7"/>
        <v/>
      </c>
      <c r="O132" s="8"/>
      <c r="P132" s="8"/>
      <c r="Q132" s="8"/>
      <c r="R132" s="10"/>
      <c r="S132" s="10"/>
      <c r="T132" s="10"/>
      <c r="U132" s="10"/>
      <c r="V132" s="8"/>
      <c r="W132" s="8"/>
      <c r="X132" s="8"/>
      <c r="Y132" s="8"/>
      <c r="Z132" s="8"/>
      <c r="AA132" s="8"/>
      <c r="AB132" s="10"/>
      <c r="AC132" s="8"/>
    </row>
    <row r="133" spans="1:29">
      <c r="A133" s="8"/>
      <c r="B133" s="8"/>
      <c r="C133" s="8"/>
      <c r="D133" s="8"/>
      <c r="E133" s="8"/>
      <c r="F133" s="8"/>
      <c r="G133" s="11"/>
      <c r="H133" s="11"/>
      <c r="I133" s="11"/>
      <c r="J133" s="11"/>
      <c r="K133" s="12" t="str">
        <f t="shared" ref="K133:K196" si="8">IF(A133="","",I133+J133)</f>
        <v/>
      </c>
      <c r="L133" s="12" t="str">
        <f t="shared" ref="L133:L196" si="9">IF(A133="","",K133-G133)</f>
        <v/>
      </c>
      <c r="M133" s="12" t="str">
        <f t="shared" ref="M133:M196" si="10">IF(A133="","",MAX(0,G133-K133))</f>
        <v/>
      </c>
      <c r="N133" s="12" t="str">
        <f t="shared" ref="N133:N196" si="11">IF(A133="","",MAX(0,K133-G133))</f>
        <v/>
      </c>
      <c r="O133" s="8"/>
      <c r="P133" s="8"/>
      <c r="Q133" s="8"/>
      <c r="R133" s="10"/>
      <c r="S133" s="10"/>
      <c r="T133" s="10"/>
      <c r="U133" s="10"/>
      <c r="V133" s="8"/>
      <c r="W133" s="8"/>
      <c r="X133" s="8"/>
      <c r="Y133" s="8"/>
      <c r="Z133" s="8"/>
      <c r="AA133" s="8"/>
      <c r="AB133" s="10"/>
      <c r="AC133" s="8"/>
    </row>
    <row r="134" spans="1:29">
      <c r="A134" s="8"/>
      <c r="B134" s="8"/>
      <c r="C134" s="8"/>
      <c r="D134" s="8"/>
      <c r="E134" s="8"/>
      <c r="F134" s="8"/>
      <c r="G134" s="11"/>
      <c r="H134" s="11"/>
      <c r="I134" s="11"/>
      <c r="J134" s="11"/>
      <c r="K134" s="12" t="str">
        <f t="shared" si="8"/>
        <v/>
      </c>
      <c r="L134" s="12" t="str">
        <f t="shared" si="9"/>
        <v/>
      </c>
      <c r="M134" s="12" t="str">
        <f t="shared" si="10"/>
        <v/>
      </c>
      <c r="N134" s="12" t="str">
        <f t="shared" si="11"/>
        <v/>
      </c>
      <c r="O134" s="8"/>
      <c r="P134" s="8"/>
      <c r="Q134" s="8"/>
      <c r="R134" s="10"/>
      <c r="S134" s="10"/>
      <c r="T134" s="10"/>
      <c r="U134" s="10"/>
      <c r="V134" s="8"/>
      <c r="W134" s="8"/>
      <c r="X134" s="8"/>
      <c r="Y134" s="8"/>
      <c r="Z134" s="8"/>
      <c r="AA134" s="8"/>
      <c r="AB134" s="10"/>
      <c r="AC134" s="8"/>
    </row>
    <row r="135" spans="1:29">
      <c r="A135" s="8"/>
      <c r="B135" s="8"/>
      <c r="C135" s="8"/>
      <c r="D135" s="8"/>
      <c r="E135" s="8"/>
      <c r="F135" s="8"/>
      <c r="G135" s="11"/>
      <c r="H135" s="11"/>
      <c r="I135" s="11"/>
      <c r="J135" s="11"/>
      <c r="K135" s="12" t="str">
        <f t="shared" si="8"/>
        <v/>
      </c>
      <c r="L135" s="12" t="str">
        <f t="shared" si="9"/>
        <v/>
      </c>
      <c r="M135" s="12" t="str">
        <f t="shared" si="10"/>
        <v/>
      </c>
      <c r="N135" s="12" t="str">
        <f t="shared" si="11"/>
        <v/>
      </c>
      <c r="O135" s="8"/>
      <c r="P135" s="8"/>
      <c r="Q135" s="8"/>
      <c r="R135" s="10"/>
      <c r="S135" s="10"/>
      <c r="T135" s="10"/>
      <c r="U135" s="10"/>
      <c r="V135" s="8"/>
      <c r="W135" s="8"/>
      <c r="X135" s="8"/>
      <c r="Y135" s="8"/>
      <c r="Z135" s="8"/>
      <c r="AA135" s="8"/>
      <c r="AB135" s="10"/>
      <c r="AC135" s="8"/>
    </row>
    <row r="136" spans="1:29">
      <c r="A136" s="8"/>
      <c r="B136" s="8"/>
      <c r="C136" s="8"/>
      <c r="D136" s="8"/>
      <c r="E136" s="8"/>
      <c r="F136" s="8"/>
      <c r="G136" s="11"/>
      <c r="H136" s="11"/>
      <c r="I136" s="11"/>
      <c r="J136" s="11"/>
      <c r="K136" s="12" t="str">
        <f t="shared" si="8"/>
        <v/>
      </c>
      <c r="L136" s="12" t="str">
        <f t="shared" si="9"/>
        <v/>
      </c>
      <c r="M136" s="12" t="str">
        <f t="shared" si="10"/>
        <v/>
      </c>
      <c r="N136" s="12" t="str">
        <f t="shared" si="11"/>
        <v/>
      </c>
      <c r="O136" s="8"/>
      <c r="P136" s="8"/>
      <c r="Q136" s="8"/>
      <c r="R136" s="10"/>
      <c r="S136" s="10"/>
      <c r="T136" s="10"/>
      <c r="U136" s="10"/>
      <c r="V136" s="8"/>
      <c r="W136" s="8"/>
      <c r="X136" s="8"/>
      <c r="Y136" s="8"/>
      <c r="Z136" s="8"/>
      <c r="AA136" s="8"/>
      <c r="AB136" s="10"/>
      <c r="AC136" s="8"/>
    </row>
    <row r="137" spans="1:29">
      <c r="A137" s="8"/>
      <c r="B137" s="8"/>
      <c r="C137" s="8"/>
      <c r="D137" s="8"/>
      <c r="E137" s="8"/>
      <c r="F137" s="8"/>
      <c r="G137" s="11"/>
      <c r="H137" s="11"/>
      <c r="I137" s="11"/>
      <c r="J137" s="11"/>
      <c r="K137" s="12" t="str">
        <f t="shared" si="8"/>
        <v/>
      </c>
      <c r="L137" s="12" t="str">
        <f t="shared" si="9"/>
        <v/>
      </c>
      <c r="M137" s="12" t="str">
        <f t="shared" si="10"/>
        <v/>
      </c>
      <c r="N137" s="12" t="str">
        <f t="shared" si="11"/>
        <v/>
      </c>
      <c r="O137" s="8"/>
      <c r="P137" s="8"/>
      <c r="Q137" s="8"/>
      <c r="R137" s="10"/>
      <c r="S137" s="10"/>
      <c r="T137" s="10"/>
      <c r="U137" s="10"/>
      <c r="V137" s="8"/>
      <c r="W137" s="8"/>
      <c r="X137" s="8"/>
      <c r="Y137" s="8"/>
      <c r="Z137" s="8"/>
      <c r="AA137" s="8"/>
      <c r="AB137" s="10"/>
      <c r="AC137" s="8"/>
    </row>
    <row r="138" spans="1:29">
      <c r="A138" s="8"/>
      <c r="B138" s="8"/>
      <c r="C138" s="8"/>
      <c r="D138" s="8"/>
      <c r="E138" s="8"/>
      <c r="F138" s="8"/>
      <c r="G138" s="11"/>
      <c r="H138" s="11"/>
      <c r="I138" s="11"/>
      <c r="J138" s="11"/>
      <c r="K138" s="12" t="str">
        <f t="shared" si="8"/>
        <v/>
      </c>
      <c r="L138" s="12" t="str">
        <f t="shared" si="9"/>
        <v/>
      </c>
      <c r="M138" s="12" t="str">
        <f t="shared" si="10"/>
        <v/>
      </c>
      <c r="N138" s="12" t="str">
        <f t="shared" si="11"/>
        <v/>
      </c>
      <c r="O138" s="8"/>
      <c r="P138" s="8"/>
      <c r="Q138" s="8"/>
      <c r="R138" s="10"/>
      <c r="S138" s="10"/>
      <c r="T138" s="10"/>
      <c r="U138" s="10"/>
      <c r="V138" s="8"/>
      <c r="W138" s="8"/>
      <c r="X138" s="8"/>
      <c r="Y138" s="8"/>
      <c r="Z138" s="8"/>
      <c r="AA138" s="8"/>
      <c r="AB138" s="10"/>
      <c r="AC138" s="8"/>
    </row>
    <row r="139" spans="1:29">
      <c r="A139" s="8"/>
      <c r="B139" s="8"/>
      <c r="C139" s="8"/>
      <c r="D139" s="8"/>
      <c r="E139" s="8"/>
      <c r="F139" s="8"/>
      <c r="G139" s="11"/>
      <c r="H139" s="11"/>
      <c r="I139" s="11"/>
      <c r="J139" s="11"/>
      <c r="K139" s="12" t="str">
        <f t="shared" si="8"/>
        <v/>
      </c>
      <c r="L139" s="12" t="str">
        <f t="shared" si="9"/>
        <v/>
      </c>
      <c r="M139" s="12" t="str">
        <f t="shared" si="10"/>
        <v/>
      </c>
      <c r="N139" s="12" t="str">
        <f t="shared" si="11"/>
        <v/>
      </c>
      <c r="O139" s="8"/>
      <c r="P139" s="8"/>
      <c r="Q139" s="8"/>
      <c r="R139" s="10"/>
      <c r="S139" s="10"/>
      <c r="T139" s="10"/>
      <c r="U139" s="10"/>
      <c r="V139" s="8"/>
      <c r="W139" s="8"/>
      <c r="X139" s="8"/>
      <c r="Y139" s="8"/>
      <c r="Z139" s="8"/>
      <c r="AA139" s="8"/>
      <c r="AB139" s="10"/>
      <c r="AC139" s="8"/>
    </row>
    <row r="140" spans="1:29">
      <c r="A140" s="8"/>
      <c r="B140" s="8"/>
      <c r="C140" s="8"/>
      <c r="D140" s="8"/>
      <c r="E140" s="8"/>
      <c r="F140" s="8"/>
      <c r="G140" s="11"/>
      <c r="H140" s="11"/>
      <c r="I140" s="11"/>
      <c r="J140" s="11"/>
      <c r="K140" s="12" t="str">
        <f t="shared" si="8"/>
        <v/>
      </c>
      <c r="L140" s="12" t="str">
        <f t="shared" si="9"/>
        <v/>
      </c>
      <c r="M140" s="12" t="str">
        <f t="shared" si="10"/>
        <v/>
      </c>
      <c r="N140" s="12" t="str">
        <f t="shared" si="11"/>
        <v/>
      </c>
      <c r="O140" s="8"/>
      <c r="P140" s="8"/>
      <c r="Q140" s="8"/>
      <c r="R140" s="10"/>
      <c r="S140" s="10"/>
      <c r="T140" s="10"/>
      <c r="U140" s="10"/>
      <c r="V140" s="8"/>
      <c r="W140" s="8"/>
      <c r="X140" s="8"/>
      <c r="Y140" s="8"/>
      <c r="Z140" s="8"/>
      <c r="AA140" s="8"/>
      <c r="AB140" s="10"/>
      <c r="AC140" s="8"/>
    </row>
    <row r="141" spans="1:29">
      <c r="A141" s="8"/>
      <c r="B141" s="8"/>
      <c r="C141" s="8"/>
      <c r="D141" s="8"/>
      <c r="E141" s="8"/>
      <c r="F141" s="8"/>
      <c r="G141" s="11"/>
      <c r="H141" s="11"/>
      <c r="I141" s="11"/>
      <c r="J141" s="11"/>
      <c r="K141" s="12" t="str">
        <f t="shared" si="8"/>
        <v/>
      </c>
      <c r="L141" s="12" t="str">
        <f t="shared" si="9"/>
        <v/>
      </c>
      <c r="M141" s="12" t="str">
        <f t="shared" si="10"/>
        <v/>
      </c>
      <c r="N141" s="12" t="str">
        <f t="shared" si="11"/>
        <v/>
      </c>
      <c r="O141" s="8"/>
      <c r="P141" s="8"/>
      <c r="Q141" s="8"/>
      <c r="R141" s="10"/>
      <c r="S141" s="10"/>
      <c r="T141" s="10"/>
      <c r="U141" s="10"/>
      <c r="V141" s="8"/>
      <c r="W141" s="8"/>
      <c r="X141" s="8"/>
      <c r="Y141" s="8"/>
      <c r="Z141" s="8"/>
      <c r="AA141" s="8"/>
      <c r="AB141" s="10"/>
      <c r="AC141" s="8"/>
    </row>
    <row r="142" spans="1:29">
      <c r="A142" s="8"/>
      <c r="B142" s="8"/>
      <c r="C142" s="8"/>
      <c r="D142" s="8"/>
      <c r="E142" s="8"/>
      <c r="F142" s="8"/>
      <c r="G142" s="11"/>
      <c r="H142" s="11"/>
      <c r="I142" s="11"/>
      <c r="J142" s="11"/>
      <c r="K142" s="12" t="str">
        <f t="shared" si="8"/>
        <v/>
      </c>
      <c r="L142" s="12" t="str">
        <f t="shared" si="9"/>
        <v/>
      </c>
      <c r="M142" s="12" t="str">
        <f t="shared" si="10"/>
        <v/>
      </c>
      <c r="N142" s="12" t="str">
        <f t="shared" si="11"/>
        <v/>
      </c>
      <c r="O142" s="8"/>
      <c r="P142" s="8"/>
      <c r="Q142" s="8"/>
      <c r="R142" s="10"/>
      <c r="S142" s="10"/>
      <c r="T142" s="10"/>
      <c r="U142" s="10"/>
      <c r="V142" s="8"/>
      <c r="W142" s="8"/>
      <c r="X142" s="8"/>
      <c r="Y142" s="8"/>
      <c r="Z142" s="8"/>
      <c r="AA142" s="8"/>
      <c r="AB142" s="10"/>
      <c r="AC142" s="8"/>
    </row>
    <row r="143" spans="1:29">
      <c r="A143" s="8"/>
      <c r="B143" s="8"/>
      <c r="C143" s="8"/>
      <c r="D143" s="8"/>
      <c r="E143" s="8"/>
      <c r="F143" s="8"/>
      <c r="G143" s="11"/>
      <c r="H143" s="11"/>
      <c r="I143" s="11"/>
      <c r="J143" s="11"/>
      <c r="K143" s="12" t="str">
        <f t="shared" si="8"/>
        <v/>
      </c>
      <c r="L143" s="12" t="str">
        <f t="shared" si="9"/>
        <v/>
      </c>
      <c r="M143" s="12" t="str">
        <f t="shared" si="10"/>
        <v/>
      </c>
      <c r="N143" s="12" t="str">
        <f t="shared" si="11"/>
        <v/>
      </c>
      <c r="O143" s="8"/>
      <c r="P143" s="8"/>
      <c r="Q143" s="8"/>
      <c r="R143" s="10"/>
      <c r="S143" s="10"/>
      <c r="T143" s="10"/>
      <c r="U143" s="10"/>
      <c r="V143" s="8"/>
      <c r="W143" s="8"/>
      <c r="X143" s="8"/>
      <c r="Y143" s="8"/>
      <c r="Z143" s="8"/>
      <c r="AA143" s="8"/>
      <c r="AB143" s="10"/>
      <c r="AC143" s="8"/>
    </row>
    <row r="144" spans="1:29">
      <c r="A144" s="8"/>
      <c r="B144" s="8"/>
      <c r="C144" s="8"/>
      <c r="D144" s="8"/>
      <c r="E144" s="8"/>
      <c r="F144" s="8"/>
      <c r="G144" s="11"/>
      <c r="H144" s="11"/>
      <c r="I144" s="11"/>
      <c r="J144" s="11"/>
      <c r="K144" s="12" t="str">
        <f t="shared" si="8"/>
        <v/>
      </c>
      <c r="L144" s="12" t="str">
        <f t="shared" si="9"/>
        <v/>
      </c>
      <c r="M144" s="12" t="str">
        <f t="shared" si="10"/>
        <v/>
      </c>
      <c r="N144" s="12" t="str">
        <f t="shared" si="11"/>
        <v/>
      </c>
      <c r="O144" s="8"/>
      <c r="P144" s="8"/>
      <c r="Q144" s="8"/>
      <c r="R144" s="10"/>
      <c r="S144" s="10"/>
      <c r="T144" s="10"/>
      <c r="U144" s="10"/>
      <c r="V144" s="8"/>
      <c r="W144" s="8"/>
      <c r="X144" s="8"/>
      <c r="Y144" s="8"/>
      <c r="Z144" s="8"/>
      <c r="AA144" s="8"/>
      <c r="AB144" s="10"/>
      <c r="AC144" s="8"/>
    </row>
    <row r="145" spans="1:29">
      <c r="A145" s="8"/>
      <c r="B145" s="8"/>
      <c r="C145" s="8"/>
      <c r="D145" s="8"/>
      <c r="E145" s="8"/>
      <c r="F145" s="8"/>
      <c r="G145" s="11"/>
      <c r="H145" s="11"/>
      <c r="I145" s="11"/>
      <c r="J145" s="11"/>
      <c r="K145" s="12" t="str">
        <f t="shared" si="8"/>
        <v/>
      </c>
      <c r="L145" s="12" t="str">
        <f t="shared" si="9"/>
        <v/>
      </c>
      <c r="M145" s="12" t="str">
        <f t="shared" si="10"/>
        <v/>
      </c>
      <c r="N145" s="12" t="str">
        <f t="shared" si="11"/>
        <v/>
      </c>
      <c r="O145" s="8"/>
      <c r="P145" s="8"/>
      <c r="Q145" s="8"/>
      <c r="R145" s="10"/>
      <c r="S145" s="10"/>
      <c r="T145" s="10"/>
      <c r="U145" s="10"/>
      <c r="V145" s="8"/>
      <c r="W145" s="8"/>
      <c r="X145" s="8"/>
      <c r="Y145" s="8"/>
      <c r="Z145" s="8"/>
      <c r="AA145" s="8"/>
      <c r="AB145" s="10"/>
      <c r="AC145" s="8"/>
    </row>
    <row r="146" spans="1:29">
      <c r="A146" s="8"/>
      <c r="B146" s="8"/>
      <c r="C146" s="8"/>
      <c r="D146" s="8"/>
      <c r="E146" s="8"/>
      <c r="F146" s="8"/>
      <c r="G146" s="11"/>
      <c r="H146" s="11"/>
      <c r="I146" s="11"/>
      <c r="J146" s="11"/>
      <c r="K146" s="12" t="str">
        <f t="shared" si="8"/>
        <v/>
      </c>
      <c r="L146" s="12" t="str">
        <f t="shared" si="9"/>
        <v/>
      </c>
      <c r="M146" s="12" t="str">
        <f t="shared" si="10"/>
        <v/>
      </c>
      <c r="N146" s="12" t="str">
        <f t="shared" si="11"/>
        <v/>
      </c>
      <c r="O146" s="8"/>
      <c r="P146" s="8"/>
      <c r="Q146" s="8"/>
      <c r="R146" s="10"/>
      <c r="S146" s="10"/>
      <c r="T146" s="10"/>
      <c r="U146" s="10"/>
      <c r="V146" s="8"/>
      <c r="W146" s="8"/>
      <c r="X146" s="8"/>
      <c r="Y146" s="8"/>
      <c r="Z146" s="8"/>
      <c r="AA146" s="8"/>
      <c r="AB146" s="10"/>
      <c r="AC146" s="8"/>
    </row>
    <row r="147" spans="1:29">
      <c r="A147" s="8"/>
      <c r="B147" s="8"/>
      <c r="C147" s="8"/>
      <c r="D147" s="8"/>
      <c r="E147" s="8"/>
      <c r="F147" s="8"/>
      <c r="G147" s="11"/>
      <c r="H147" s="11"/>
      <c r="I147" s="11"/>
      <c r="J147" s="11"/>
      <c r="K147" s="12" t="str">
        <f t="shared" si="8"/>
        <v/>
      </c>
      <c r="L147" s="12" t="str">
        <f t="shared" si="9"/>
        <v/>
      </c>
      <c r="M147" s="12" t="str">
        <f t="shared" si="10"/>
        <v/>
      </c>
      <c r="N147" s="12" t="str">
        <f t="shared" si="11"/>
        <v/>
      </c>
      <c r="O147" s="8"/>
      <c r="P147" s="8"/>
      <c r="Q147" s="8"/>
      <c r="R147" s="10"/>
      <c r="S147" s="10"/>
      <c r="T147" s="10"/>
      <c r="U147" s="10"/>
      <c r="V147" s="8"/>
      <c r="W147" s="8"/>
      <c r="X147" s="8"/>
      <c r="Y147" s="8"/>
      <c r="Z147" s="8"/>
      <c r="AA147" s="8"/>
      <c r="AB147" s="10"/>
      <c r="AC147" s="8"/>
    </row>
    <row r="148" spans="1:29">
      <c r="A148" s="8"/>
      <c r="B148" s="8"/>
      <c r="C148" s="8"/>
      <c r="D148" s="8"/>
      <c r="E148" s="8"/>
      <c r="F148" s="8"/>
      <c r="G148" s="11"/>
      <c r="H148" s="11"/>
      <c r="I148" s="11"/>
      <c r="J148" s="11"/>
      <c r="K148" s="12" t="str">
        <f t="shared" si="8"/>
        <v/>
      </c>
      <c r="L148" s="12" t="str">
        <f t="shared" si="9"/>
        <v/>
      </c>
      <c r="M148" s="12" t="str">
        <f t="shared" si="10"/>
        <v/>
      </c>
      <c r="N148" s="12" t="str">
        <f t="shared" si="11"/>
        <v/>
      </c>
      <c r="O148" s="8"/>
      <c r="P148" s="8"/>
      <c r="Q148" s="8"/>
      <c r="R148" s="10"/>
      <c r="S148" s="10"/>
      <c r="T148" s="10"/>
      <c r="U148" s="10"/>
      <c r="V148" s="8"/>
      <c r="W148" s="8"/>
      <c r="X148" s="8"/>
      <c r="Y148" s="8"/>
      <c r="Z148" s="8"/>
      <c r="AA148" s="8"/>
      <c r="AB148" s="10"/>
      <c r="AC148" s="8"/>
    </row>
    <row r="149" spans="1:29">
      <c r="A149" s="8"/>
      <c r="B149" s="8"/>
      <c r="C149" s="8"/>
      <c r="D149" s="8"/>
      <c r="E149" s="8"/>
      <c r="F149" s="8"/>
      <c r="G149" s="11"/>
      <c r="H149" s="11"/>
      <c r="I149" s="11"/>
      <c r="J149" s="11"/>
      <c r="K149" s="12" t="str">
        <f t="shared" si="8"/>
        <v/>
      </c>
      <c r="L149" s="12" t="str">
        <f t="shared" si="9"/>
        <v/>
      </c>
      <c r="M149" s="12" t="str">
        <f t="shared" si="10"/>
        <v/>
      </c>
      <c r="N149" s="12" t="str">
        <f t="shared" si="11"/>
        <v/>
      </c>
      <c r="O149" s="8"/>
      <c r="P149" s="8"/>
      <c r="Q149" s="8"/>
      <c r="R149" s="10"/>
      <c r="S149" s="10"/>
      <c r="T149" s="10"/>
      <c r="U149" s="10"/>
      <c r="V149" s="8"/>
      <c r="W149" s="8"/>
      <c r="X149" s="8"/>
      <c r="Y149" s="8"/>
      <c r="Z149" s="8"/>
      <c r="AA149" s="8"/>
      <c r="AB149" s="10"/>
      <c r="AC149" s="8"/>
    </row>
    <row r="150" spans="1:29">
      <c r="A150" s="8"/>
      <c r="B150" s="8"/>
      <c r="C150" s="8"/>
      <c r="D150" s="8"/>
      <c r="E150" s="8"/>
      <c r="F150" s="8"/>
      <c r="G150" s="11"/>
      <c r="H150" s="11"/>
      <c r="I150" s="11"/>
      <c r="J150" s="11"/>
      <c r="K150" s="12" t="str">
        <f t="shared" si="8"/>
        <v/>
      </c>
      <c r="L150" s="12" t="str">
        <f t="shared" si="9"/>
        <v/>
      </c>
      <c r="M150" s="12" t="str">
        <f t="shared" si="10"/>
        <v/>
      </c>
      <c r="N150" s="12" t="str">
        <f t="shared" si="11"/>
        <v/>
      </c>
      <c r="O150" s="8"/>
      <c r="P150" s="8"/>
      <c r="Q150" s="8"/>
      <c r="R150" s="10"/>
      <c r="S150" s="10"/>
      <c r="T150" s="10"/>
      <c r="U150" s="10"/>
      <c r="V150" s="8"/>
      <c r="W150" s="8"/>
      <c r="X150" s="8"/>
      <c r="Y150" s="8"/>
      <c r="Z150" s="8"/>
      <c r="AA150" s="8"/>
      <c r="AB150" s="10"/>
      <c r="AC150" s="8"/>
    </row>
    <row r="151" spans="1:29">
      <c r="A151" s="8"/>
      <c r="B151" s="8"/>
      <c r="C151" s="8"/>
      <c r="D151" s="8"/>
      <c r="E151" s="8"/>
      <c r="F151" s="8"/>
      <c r="G151" s="11"/>
      <c r="H151" s="11"/>
      <c r="I151" s="11"/>
      <c r="J151" s="11"/>
      <c r="K151" s="12" t="str">
        <f t="shared" si="8"/>
        <v/>
      </c>
      <c r="L151" s="12" t="str">
        <f t="shared" si="9"/>
        <v/>
      </c>
      <c r="M151" s="12" t="str">
        <f t="shared" si="10"/>
        <v/>
      </c>
      <c r="N151" s="12" t="str">
        <f t="shared" si="11"/>
        <v/>
      </c>
      <c r="O151" s="8"/>
      <c r="P151" s="8"/>
      <c r="Q151" s="8"/>
      <c r="R151" s="10"/>
      <c r="S151" s="10"/>
      <c r="T151" s="10"/>
      <c r="U151" s="10"/>
      <c r="V151" s="8"/>
      <c r="W151" s="8"/>
      <c r="X151" s="8"/>
      <c r="Y151" s="8"/>
      <c r="Z151" s="8"/>
      <c r="AA151" s="8"/>
      <c r="AB151" s="10"/>
      <c r="AC151" s="8"/>
    </row>
    <row r="152" spans="1:29">
      <c r="A152" s="8"/>
      <c r="B152" s="8"/>
      <c r="C152" s="8"/>
      <c r="D152" s="8"/>
      <c r="E152" s="8"/>
      <c r="F152" s="8"/>
      <c r="G152" s="11"/>
      <c r="H152" s="11"/>
      <c r="I152" s="11"/>
      <c r="J152" s="11"/>
      <c r="K152" s="12" t="str">
        <f t="shared" si="8"/>
        <v/>
      </c>
      <c r="L152" s="12" t="str">
        <f t="shared" si="9"/>
        <v/>
      </c>
      <c r="M152" s="12" t="str">
        <f t="shared" si="10"/>
        <v/>
      </c>
      <c r="N152" s="12" t="str">
        <f t="shared" si="11"/>
        <v/>
      </c>
      <c r="O152" s="8"/>
      <c r="P152" s="8"/>
      <c r="Q152" s="8"/>
      <c r="R152" s="10"/>
      <c r="S152" s="10"/>
      <c r="T152" s="10"/>
      <c r="U152" s="10"/>
      <c r="V152" s="8"/>
      <c r="W152" s="8"/>
      <c r="X152" s="8"/>
      <c r="Y152" s="8"/>
      <c r="Z152" s="8"/>
      <c r="AA152" s="8"/>
      <c r="AB152" s="10"/>
      <c r="AC152" s="8"/>
    </row>
    <row r="153" spans="1:29">
      <c r="A153" s="8"/>
      <c r="B153" s="8"/>
      <c r="C153" s="8"/>
      <c r="D153" s="8"/>
      <c r="E153" s="8"/>
      <c r="F153" s="8"/>
      <c r="G153" s="11"/>
      <c r="H153" s="11"/>
      <c r="I153" s="11"/>
      <c r="J153" s="11"/>
      <c r="K153" s="12" t="str">
        <f t="shared" si="8"/>
        <v/>
      </c>
      <c r="L153" s="12" t="str">
        <f t="shared" si="9"/>
        <v/>
      </c>
      <c r="M153" s="12" t="str">
        <f t="shared" si="10"/>
        <v/>
      </c>
      <c r="N153" s="12" t="str">
        <f t="shared" si="11"/>
        <v/>
      </c>
      <c r="O153" s="8"/>
      <c r="P153" s="8"/>
      <c r="Q153" s="8"/>
      <c r="R153" s="10"/>
      <c r="S153" s="10"/>
      <c r="T153" s="10"/>
      <c r="U153" s="10"/>
      <c r="V153" s="8"/>
      <c r="W153" s="8"/>
      <c r="X153" s="8"/>
      <c r="Y153" s="8"/>
      <c r="Z153" s="8"/>
      <c r="AA153" s="8"/>
      <c r="AB153" s="10"/>
      <c r="AC153" s="8"/>
    </row>
    <row r="154" spans="1:29">
      <c r="A154" s="8"/>
      <c r="B154" s="8"/>
      <c r="C154" s="8"/>
      <c r="D154" s="8"/>
      <c r="E154" s="8"/>
      <c r="F154" s="8"/>
      <c r="G154" s="11"/>
      <c r="H154" s="11"/>
      <c r="I154" s="11"/>
      <c r="J154" s="11"/>
      <c r="K154" s="12" t="str">
        <f t="shared" si="8"/>
        <v/>
      </c>
      <c r="L154" s="12" t="str">
        <f t="shared" si="9"/>
        <v/>
      </c>
      <c r="M154" s="12" t="str">
        <f t="shared" si="10"/>
        <v/>
      </c>
      <c r="N154" s="12" t="str">
        <f t="shared" si="11"/>
        <v/>
      </c>
      <c r="O154" s="8"/>
      <c r="P154" s="8"/>
      <c r="Q154" s="8"/>
      <c r="R154" s="10"/>
      <c r="S154" s="10"/>
      <c r="T154" s="10"/>
      <c r="U154" s="10"/>
      <c r="V154" s="8"/>
      <c r="W154" s="8"/>
      <c r="X154" s="8"/>
      <c r="Y154" s="8"/>
      <c r="Z154" s="8"/>
      <c r="AA154" s="8"/>
      <c r="AB154" s="10"/>
      <c r="AC154" s="8"/>
    </row>
    <row r="155" spans="1:29">
      <c r="A155" s="8"/>
      <c r="B155" s="8"/>
      <c r="C155" s="8"/>
      <c r="D155" s="8"/>
      <c r="E155" s="8"/>
      <c r="F155" s="8"/>
      <c r="G155" s="11"/>
      <c r="H155" s="11"/>
      <c r="I155" s="11"/>
      <c r="J155" s="11"/>
      <c r="K155" s="12" t="str">
        <f t="shared" si="8"/>
        <v/>
      </c>
      <c r="L155" s="12" t="str">
        <f t="shared" si="9"/>
        <v/>
      </c>
      <c r="M155" s="12" t="str">
        <f t="shared" si="10"/>
        <v/>
      </c>
      <c r="N155" s="12" t="str">
        <f t="shared" si="11"/>
        <v/>
      </c>
      <c r="O155" s="8"/>
      <c r="P155" s="8"/>
      <c r="Q155" s="8"/>
      <c r="R155" s="10"/>
      <c r="S155" s="10"/>
      <c r="T155" s="10"/>
      <c r="U155" s="10"/>
      <c r="V155" s="8"/>
      <c r="W155" s="8"/>
      <c r="X155" s="8"/>
      <c r="Y155" s="8"/>
      <c r="Z155" s="8"/>
      <c r="AA155" s="8"/>
      <c r="AB155" s="10"/>
      <c r="AC155" s="8"/>
    </row>
    <row r="156" spans="1:29">
      <c r="A156" s="8"/>
      <c r="B156" s="8"/>
      <c r="C156" s="8"/>
      <c r="D156" s="8"/>
      <c r="E156" s="8"/>
      <c r="F156" s="8"/>
      <c r="G156" s="11"/>
      <c r="H156" s="11"/>
      <c r="I156" s="11"/>
      <c r="J156" s="11"/>
      <c r="K156" s="12" t="str">
        <f t="shared" si="8"/>
        <v/>
      </c>
      <c r="L156" s="12" t="str">
        <f t="shared" si="9"/>
        <v/>
      </c>
      <c r="M156" s="12" t="str">
        <f t="shared" si="10"/>
        <v/>
      </c>
      <c r="N156" s="12" t="str">
        <f t="shared" si="11"/>
        <v/>
      </c>
      <c r="O156" s="8"/>
      <c r="P156" s="8"/>
      <c r="Q156" s="8"/>
      <c r="R156" s="10"/>
      <c r="S156" s="10"/>
      <c r="T156" s="10"/>
      <c r="U156" s="10"/>
      <c r="V156" s="8"/>
      <c r="W156" s="8"/>
      <c r="X156" s="8"/>
      <c r="Y156" s="8"/>
      <c r="Z156" s="8"/>
      <c r="AA156" s="8"/>
      <c r="AB156" s="10"/>
      <c r="AC156" s="8"/>
    </row>
    <row r="157" spans="1:29">
      <c r="A157" s="8"/>
      <c r="B157" s="8"/>
      <c r="C157" s="8"/>
      <c r="D157" s="8"/>
      <c r="E157" s="8"/>
      <c r="F157" s="8"/>
      <c r="G157" s="11"/>
      <c r="H157" s="11"/>
      <c r="I157" s="11"/>
      <c r="J157" s="11"/>
      <c r="K157" s="12" t="str">
        <f t="shared" si="8"/>
        <v/>
      </c>
      <c r="L157" s="12" t="str">
        <f t="shared" si="9"/>
        <v/>
      </c>
      <c r="M157" s="12" t="str">
        <f t="shared" si="10"/>
        <v/>
      </c>
      <c r="N157" s="12" t="str">
        <f t="shared" si="11"/>
        <v/>
      </c>
      <c r="O157" s="8"/>
      <c r="P157" s="8"/>
      <c r="Q157" s="8"/>
      <c r="R157" s="10"/>
      <c r="S157" s="10"/>
      <c r="T157" s="10"/>
      <c r="U157" s="10"/>
      <c r="V157" s="8"/>
      <c r="W157" s="8"/>
      <c r="X157" s="8"/>
      <c r="Y157" s="8"/>
      <c r="Z157" s="8"/>
      <c r="AA157" s="8"/>
      <c r="AB157" s="10"/>
      <c r="AC157" s="8"/>
    </row>
    <row r="158" spans="1:29">
      <c r="A158" s="8"/>
      <c r="B158" s="8"/>
      <c r="C158" s="8"/>
      <c r="D158" s="8"/>
      <c r="E158" s="8"/>
      <c r="F158" s="8"/>
      <c r="G158" s="11"/>
      <c r="H158" s="11"/>
      <c r="I158" s="11"/>
      <c r="J158" s="11"/>
      <c r="K158" s="12" t="str">
        <f t="shared" si="8"/>
        <v/>
      </c>
      <c r="L158" s="12" t="str">
        <f t="shared" si="9"/>
        <v/>
      </c>
      <c r="M158" s="12" t="str">
        <f t="shared" si="10"/>
        <v/>
      </c>
      <c r="N158" s="12" t="str">
        <f t="shared" si="11"/>
        <v/>
      </c>
      <c r="O158" s="8"/>
      <c r="P158" s="8"/>
      <c r="Q158" s="8"/>
      <c r="R158" s="10"/>
      <c r="S158" s="10"/>
      <c r="T158" s="10"/>
      <c r="U158" s="10"/>
      <c r="V158" s="8"/>
      <c r="W158" s="8"/>
      <c r="X158" s="8"/>
      <c r="Y158" s="8"/>
      <c r="Z158" s="8"/>
      <c r="AA158" s="8"/>
      <c r="AB158" s="10"/>
      <c r="AC158" s="8"/>
    </row>
    <row r="159" spans="1:29">
      <c r="A159" s="8"/>
      <c r="B159" s="8"/>
      <c r="C159" s="8"/>
      <c r="D159" s="8"/>
      <c r="E159" s="8"/>
      <c r="F159" s="8"/>
      <c r="G159" s="11"/>
      <c r="H159" s="11"/>
      <c r="I159" s="11"/>
      <c r="J159" s="11"/>
      <c r="K159" s="12" t="str">
        <f t="shared" si="8"/>
        <v/>
      </c>
      <c r="L159" s="12" t="str">
        <f t="shared" si="9"/>
        <v/>
      </c>
      <c r="M159" s="12" t="str">
        <f t="shared" si="10"/>
        <v/>
      </c>
      <c r="N159" s="12" t="str">
        <f t="shared" si="11"/>
        <v/>
      </c>
      <c r="O159" s="8"/>
      <c r="P159" s="8"/>
      <c r="Q159" s="8"/>
      <c r="R159" s="10"/>
      <c r="S159" s="10"/>
      <c r="T159" s="10"/>
      <c r="U159" s="10"/>
      <c r="V159" s="8"/>
      <c r="W159" s="8"/>
      <c r="X159" s="8"/>
      <c r="Y159" s="8"/>
      <c r="Z159" s="8"/>
      <c r="AA159" s="8"/>
      <c r="AB159" s="10"/>
      <c r="AC159" s="8"/>
    </row>
    <row r="160" spans="1:29">
      <c r="A160" s="8"/>
      <c r="B160" s="8"/>
      <c r="C160" s="8"/>
      <c r="D160" s="8"/>
      <c r="E160" s="8"/>
      <c r="F160" s="8"/>
      <c r="G160" s="11"/>
      <c r="H160" s="11"/>
      <c r="I160" s="11"/>
      <c r="J160" s="11"/>
      <c r="K160" s="12" t="str">
        <f t="shared" si="8"/>
        <v/>
      </c>
      <c r="L160" s="12" t="str">
        <f t="shared" si="9"/>
        <v/>
      </c>
      <c r="M160" s="12" t="str">
        <f t="shared" si="10"/>
        <v/>
      </c>
      <c r="N160" s="12" t="str">
        <f t="shared" si="11"/>
        <v/>
      </c>
      <c r="O160" s="8"/>
      <c r="P160" s="8"/>
      <c r="Q160" s="8"/>
      <c r="R160" s="10"/>
      <c r="S160" s="10"/>
      <c r="T160" s="10"/>
      <c r="U160" s="10"/>
      <c r="V160" s="8"/>
      <c r="W160" s="8"/>
      <c r="X160" s="8"/>
      <c r="Y160" s="8"/>
      <c r="Z160" s="8"/>
      <c r="AA160" s="8"/>
      <c r="AB160" s="10"/>
      <c r="AC160" s="8"/>
    </row>
    <row r="161" spans="1:29">
      <c r="A161" s="8"/>
      <c r="B161" s="8"/>
      <c r="C161" s="8"/>
      <c r="D161" s="8"/>
      <c r="E161" s="8"/>
      <c r="F161" s="8"/>
      <c r="G161" s="11"/>
      <c r="H161" s="11"/>
      <c r="I161" s="11"/>
      <c r="J161" s="11"/>
      <c r="K161" s="12" t="str">
        <f t="shared" si="8"/>
        <v/>
      </c>
      <c r="L161" s="12" t="str">
        <f t="shared" si="9"/>
        <v/>
      </c>
      <c r="M161" s="12" t="str">
        <f t="shared" si="10"/>
        <v/>
      </c>
      <c r="N161" s="12" t="str">
        <f t="shared" si="11"/>
        <v/>
      </c>
      <c r="O161" s="8"/>
      <c r="P161" s="8"/>
      <c r="Q161" s="8"/>
      <c r="R161" s="10"/>
      <c r="S161" s="10"/>
      <c r="T161" s="10"/>
      <c r="U161" s="10"/>
      <c r="V161" s="8"/>
      <c r="W161" s="8"/>
      <c r="X161" s="8"/>
      <c r="Y161" s="8"/>
      <c r="Z161" s="8"/>
      <c r="AA161" s="8"/>
      <c r="AB161" s="10"/>
      <c r="AC161" s="8"/>
    </row>
    <row r="162" spans="1:29">
      <c r="A162" s="8"/>
      <c r="B162" s="8"/>
      <c r="C162" s="8"/>
      <c r="D162" s="8"/>
      <c r="E162" s="8"/>
      <c r="F162" s="8"/>
      <c r="G162" s="11"/>
      <c r="H162" s="11"/>
      <c r="I162" s="11"/>
      <c r="J162" s="11"/>
      <c r="K162" s="12" t="str">
        <f t="shared" si="8"/>
        <v/>
      </c>
      <c r="L162" s="12" t="str">
        <f t="shared" si="9"/>
        <v/>
      </c>
      <c r="M162" s="12" t="str">
        <f t="shared" si="10"/>
        <v/>
      </c>
      <c r="N162" s="12" t="str">
        <f t="shared" si="11"/>
        <v/>
      </c>
      <c r="O162" s="8"/>
      <c r="P162" s="8"/>
      <c r="Q162" s="8"/>
      <c r="R162" s="10"/>
      <c r="S162" s="10"/>
      <c r="T162" s="10"/>
      <c r="U162" s="10"/>
      <c r="V162" s="8"/>
      <c r="W162" s="8"/>
      <c r="X162" s="8"/>
      <c r="Y162" s="8"/>
      <c r="Z162" s="8"/>
      <c r="AA162" s="8"/>
      <c r="AB162" s="10"/>
      <c r="AC162" s="8"/>
    </row>
    <row r="163" spans="1:29">
      <c r="A163" s="8"/>
      <c r="B163" s="8"/>
      <c r="C163" s="8"/>
      <c r="D163" s="8"/>
      <c r="E163" s="8"/>
      <c r="F163" s="8"/>
      <c r="G163" s="11"/>
      <c r="H163" s="11"/>
      <c r="I163" s="11"/>
      <c r="J163" s="11"/>
      <c r="K163" s="12" t="str">
        <f t="shared" si="8"/>
        <v/>
      </c>
      <c r="L163" s="12" t="str">
        <f t="shared" si="9"/>
        <v/>
      </c>
      <c r="M163" s="12" t="str">
        <f t="shared" si="10"/>
        <v/>
      </c>
      <c r="N163" s="12" t="str">
        <f t="shared" si="11"/>
        <v/>
      </c>
      <c r="O163" s="8"/>
      <c r="P163" s="8"/>
      <c r="Q163" s="8"/>
      <c r="R163" s="10"/>
      <c r="S163" s="10"/>
      <c r="T163" s="10"/>
      <c r="U163" s="10"/>
      <c r="V163" s="8"/>
      <c r="W163" s="8"/>
      <c r="X163" s="8"/>
      <c r="Y163" s="8"/>
      <c r="Z163" s="8"/>
      <c r="AA163" s="8"/>
      <c r="AB163" s="10"/>
      <c r="AC163" s="8"/>
    </row>
    <row r="164" spans="1:29">
      <c r="A164" s="8"/>
      <c r="B164" s="8"/>
      <c r="C164" s="8"/>
      <c r="D164" s="8"/>
      <c r="E164" s="8"/>
      <c r="F164" s="8"/>
      <c r="G164" s="11"/>
      <c r="H164" s="11"/>
      <c r="I164" s="11"/>
      <c r="J164" s="11"/>
      <c r="K164" s="12" t="str">
        <f t="shared" si="8"/>
        <v/>
      </c>
      <c r="L164" s="12" t="str">
        <f t="shared" si="9"/>
        <v/>
      </c>
      <c r="M164" s="12" t="str">
        <f t="shared" si="10"/>
        <v/>
      </c>
      <c r="N164" s="12" t="str">
        <f t="shared" si="11"/>
        <v/>
      </c>
      <c r="O164" s="8"/>
      <c r="P164" s="8"/>
      <c r="Q164" s="8"/>
      <c r="R164" s="10"/>
      <c r="S164" s="10"/>
      <c r="T164" s="10"/>
      <c r="U164" s="10"/>
      <c r="V164" s="8"/>
      <c r="W164" s="8"/>
      <c r="X164" s="8"/>
      <c r="Y164" s="8"/>
      <c r="Z164" s="8"/>
      <c r="AA164" s="8"/>
      <c r="AB164" s="10"/>
      <c r="AC164" s="8"/>
    </row>
    <row r="165" spans="1:29">
      <c r="A165" s="8"/>
      <c r="B165" s="8"/>
      <c r="C165" s="8"/>
      <c r="D165" s="8"/>
      <c r="E165" s="8"/>
      <c r="F165" s="8"/>
      <c r="G165" s="11"/>
      <c r="H165" s="11"/>
      <c r="I165" s="11"/>
      <c r="J165" s="11"/>
      <c r="K165" s="12" t="str">
        <f t="shared" si="8"/>
        <v/>
      </c>
      <c r="L165" s="12" t="str">
        <f t="shared" si="9"/>
        <v/>
      </c>
      <c r="M165" s="12" t="str">
        <f t="shared" si="10"/>
        <v/>
      </c>
      <c r="N165" s="12" t="str">
        <f t="shared" si="11"/>
        <v/>
      </c>
      <c r="O165" s="8"/>
      <c r="P165" s="8"/>
      <c r="Q165" s="8"/>
      <c r="R165" s="10"/>
      <c r="S165" s="10"/>
      <c r="T165" s="10"/>
      <c r="U165" s="10"/>
      <c r="V165" s="8"/>
      <c r="W165" s="8"/>
      <c r="X165" s="8"/>
      <c r="Y165" s="8"/>
      <c r="Z165" s="8"/>
      <c r="AA165" s="8"/>
      <c r="AB165" s="10"/>
      <c r="AC165" s="8"/>
    </row>
    <row r="166" spans="1:29">
      <c r="A166" s="8"/>
      <c r="B166" s="8"/>
      <c r="C166" s="8"/>
      <c r="D166" s="8"/>
      <c r="E166" s="8"/>
      <c r="F166" s="8"/>
      <c r="G166" s="11"/>
      <c r="H166" s="11"/>
      <c r="I166" s="11"/>
      <c r="J166" s="11"/>
      <c r="K166" s="12" t="str">
        <f t="shared" si="8"/>
        <v/>
      </c>
      <c r="L166" s="12" t="str">
        <f t="shared" si="9"/>
        <v/>
      </c>
      <c r="M166" s="12" t="str">
        <f t="shared" si="10"/>
        <v/>
      </c>
      <c r="N166" s="12" t="str">
        <f t="shared" si="11"/>
        <v/>
      </c>
      <c r="O166" s="8"/>
      <c r="P166" s="8"/>
      <c r="Q166" s="8"/>
      <c r="R166" s="10"/>
      <c r="S166" s="10"/>
      <c r="T166" s="10"/>
      <c r="U166" s="10"/>
      <c r="V166" s="8"/>
      <c r="W166" s="8"/>
      <c r="X166" s="8"/>
      <c r="Y166" s="8"/>
      <c r="Z166" s="8"/>
      <c r="AA166" s="8"/>
      <c r="AB166" s="10"/>
      <c r="AC166" s="8"/>
    </row>
    <row r="167" spans="1:29">
      <c r="A167" s="8"/>
      <c r="B167" s="8"/>
      <c r="C167" s="8"/>
      <c r="D167" s="8"/>
      <c r="E167" s="8"/>
      <c r="F167" s="8"/>
      <c r="G167" s="11"/>
      <c r="H167" s="11"/>
      <c r="I167" s="11"/>
      <c r="J167" s="11"/>
      <c r="K167" s="12" t="str">
        <f t="shared" si="8"/>
        <v/>
      </c>
      <c r="L167" s="12" t="str">
        <f t="shared" si="9"/>
        <v/>
      </c>
      <c r="M167" s="12" t="str">
        <f t="shared" si="10"/>
        <v/>
      </c>
      <c r="N167" s="12" t="str">
        <f t="shared" si="11"/>
        <v/>
      </c>
      <c r="O167" s="8"/>
      <c r="P167" s="8"/>
      <c r="Q167" s="8"/>
      <c r="R167" s="10"/>
      <c r="S167" s="10"/>
      <c r="T167" s="10"/>
      <c r="U167" s="10"/>
      <c r="V167" s="8"/>
      <c r="W167" s="8"/>
      <c r="X167" s="8"/>
      <c r="Y167" s="8"/>
      <c r="Z167" s="8"/>
      <c r="AA167" s="8"/>
      <c r="AB167" s="10"/>
      <c r="AC167" s="8"/>
    </row>
    <row r="168" spans="1:29">
      <c r="A168" s="8"/>
      <c r="B168" s="8"/>
      <c r="C168" s="8"/>
      <c r="D168" s="8"/>
      <c r="E168" s="8"/>
      <c r="F168" s="8"/>
      <c r="G168" s="11"/>
      <c r="H168" s="11"/>
      <c r="I168" s="11"/>
      <c r="J168" s="11"/>
      <c r="K168" s="12" t="str">
        <f t="shared" si="8"/>
        <v/>
      </c>
      <c r="L168" s="12" t="str">
        <f t="shared" si="9"/>
        <v/>
      </c>
      <c r="M168" s="12" t="str">
        <f t="shared" si="10"/>
        <v/>
      </c>
      <c r="N168" s="12" t="str">
        <f t="shared" si="11"/>
        <v/>
      </c>
      <c r="O168" s="8"/>
      <c r="P168" s="8"/>
      <c r="Q168" s="8"/>
      <c r="R168" s="10"/>
      <c r="S168" s="10"/>
      <c r="T168" s="10"/>
      <c r="U168" s="10"/>
      <c r="V168" s="8"/>
      <c r="W168" s="8"/>
      <c r="X168" s="8"/>
      <c r="Y168" s="8"/>
      <c r="Z168" s="8"/>
      <c r="AA168" s="8"/>
      <c r="AB168" s="10"/>
      <c r="AC168" s="8"/>
    </row>
    <row r="169" spans="1:29">
      <c r="A169" s="8"/>
      <c r="B169" s="8"/>
      <c r="C169" s="8"/>
      <c r="D169" s="8"/>
      <c r="E169" s="8"/>
      <c r="F169" s="8"/>
      <c r="G169" s="11"/>
      <c r="H169" s="11"/>
      <c r="I169" s="11"/>
      <c r="J169" s="11"/>
      <c r="K169" s="12" t="str">
        <f t="shared" si="8"/>
        <v/>
      </c>
      <c r="L169" s="12" t="str">
        <f t="shared" si="9"/>
        <v/>
      </c>
      <c r="M169" s="12" t="str">
        <f t="shared" si="10"/>
        <v/>
      </c>
      <c r="N169" s="12" t="str">
        <f t="shared" si="11"/>
        <v/>
      </c>
      <c r="O169" s="8"/>
      <c r="P169" s="8"/>
      <c r="Q169" s="8"/>
      <c r="R169" s="10"/>
      <c r="S169" s="10"/>
      <c r="T169" s="10"/>
      <c r="U169" s="10"/>
      <c r="V169" s="8"/>
      <c r="W169" s="8"/>
      <c r="X169" s="8"/>
      <c r="Y169" s="8"/>
      <c r="Z169" s="8"/>
      <c r="AA169" s="8"/>
      <c r="AB169" s="10"/>
      <c r="AC169" s="8"/>
    </row>
    <row r="170" spans="1:29">
      <c r="A170" s="8"/>
      <c r="B170" s="8"/>
      <c r="C170" s="8"/>
      <c r="D170" s="8"/>
      <c r="E170" s="8"/>
      <c r="F170" s="8"/>
      <c r="G170" s="11"/>
      <c r="H170" s="11"/>
      <c r="I170" s="11"/>
      <c r="J170" s="11"/>
      <c r="K170" s="12" t="str">
        <f t="shared" si="8"/>
        <v/>
      </c>
      <c r="L170" s="12" t="str">
        <f t="shared" si="9"/>
        <v/>
      </c>
      <c r="M170" s="12" t="str">
        <f t="shared" si="10"/>
        <v/>
      </c>
      <c r="N170" s="12" t="str">
        <f t="shared" si="11"/>
        <v/>
      </c>
      <c r="O170" s="8"/>
      <c r="P170" s="8"/>
      <c r="Q170" s="8"/>
      <c r="R170" s="10"/>
      <c r="S170" s="10"/>
      <c r="T170" s="10"/>
      <c r="U170" s="10"/>
      <c r="V170" s="8"/>
      <c r="W170" s="8"/>
      <c r="X170" s="8"/>
      <c r="Y170" s="8"/>
      <c r="Z170" s="8"/>
      <c r="AA170" s="8"/>
      <c r="AB170" s="10"/>
      <c r="AC170" s="8"/>
    </row>
    <row r="171" spans="1:29">
      <c r="A171" s="8"/>
      <c r="B171" s="8"/>
      <c r="C171" s="8"/>
      <c r="D171" s="8"/>
      <c r="E171" s="8"/>
      <c r="F171" s="8"/>
      <c r="G171" s="11"/>
      <c r="H171" s="11"/>
      <c r="I171" s="11"/>
      <c r="J171" s="11"/>
      <c r="K171" s="12" t="str">
        <f t="shared" si="8"/>
        <v/>
      </c>
      <c r="L171" s="12" t="str">
        <f t="shared" si="9"/>
        <v/>
      </c>
      <c r="M171" s="12" t="str">
        <f t="shared" si="10"/>
        <v/>
      </c>
      <c r="N171" s="12" t="str">
        <f t="shared" si="11"/>
        <v/>
      </c>
      <c r="O171" s="8"/>
      <c r="P171" s="8"/>
      <c r="Q171" s="8"/>
      <c r="R171" s="10"/>
      <c r="S171" s="10"/>
      <c r="T171" s="10"/>
      <c r="U171" s="10"/>
      <c r="V171" s="8"/>
      <c r="W171" s="8"/>
      <c r="X171" s="8"/>
      <c r="Y171" s="8"/>
      <c r="Z171" s="8"/>
      <c r="AA171" s="8"/>
      <c r="AB171" s="10"/>
      <c r="AC171" s="8"/>
    </row>
    <row r="172" spans="1:29">
      <c r="A172" s="8"/>
      <c r="B172" s="8"/>
      <c r="C172" s="8"/>
      <c r="D172" s="8"/>
      <c r="E172" s="8"/>
      <c r="F172" s="8"/>
      <c r="G172" s="11"/>
      <c r="H172" s="11"/>
      <c r="I172" s="11"/>
      <c r="J172" s="11"/>
      <c r="K172" s="12" t="str">
        <f t="shared" si="8"/>
        <v/>
      </c>
      <c r="L172" s="12" t="str">
        <f t="shared" si="9"/>
        <v/>
      </c>
      <c r="M172" s="12" t="str">
        <f t="shared" si="10"/>
        <v/>
      </c>
      <c r="N172" s="12" t="str">
        <f t="shared" si="11"/>
        <v/>
      </c>
      <c r="O172" s="8"/>
      <c r="P172" s="8"/>
      <c r="Q172" s="8"/>
      <c r="R172" s="10"/>
      <c r="S172" s="10"/>
      <c r="T172" s="10"/>
      <c r="U172" s="10"/>
      <c r="V172" s="8"/>
      <c r="W172" s="8"/>
      <c r="X172" s="8"/>
      <c r="Y172" s="8"/>
      <c r="Z172" s="8"/>
      <c r="AA172" s="8"/>
      <c r="AB172" s="10"/>
      <c r="AC172" s="8"/>
    </row>
    <row r="173" spans="1:29">
      <c r="A173" s="8"/>
      <c r="B173" s="8"/>
      <c r="C173" s="8"/>
      <c r="D173" s="8"/>
      <c r="E173" s="8"/>
      <c r="F173" s="8"/>
      <c r="G173" s="11"/>
      <c r="H173" s="11"/>
      <c r="I173" s="11"/>
      <c r="J173" s="11"/>
      <c r="K173" s="12" t="str">
        <f t="shared" si="8"/>
        <v/>
      </c>
      <c r="L173" s="12" t="str">
        <f t="shared" si="9"/>
        <v/>
      </c>
      <c r="M173" s="12" t="str">
        <f t="shared" si="10"/>
        <v/>
      </c>
      <c r="N173" s="12" t="str">
        <f t="shared" si="11"/>
        <v/>
      </c>
      <c r="O173" s="8"/>
      <c r="P173" s="8"/>
      <c r="Q173" s="8"/>
      <c r="R173" s="10"/>
      <c r="S173" s="10"/>
      <c r="T173" s="10"/>
      <c r="U173" s="10"/>
      <c r="V173" s="8"/>
      <c r="W173" s="8"/>
      <c r="X173" s="8"/>
      <c r="Y173" s="8"/>
      <c r="Z173" s="8"/>
      <c r="AA173" s="8"/>
      <c r="AB173" s="10"/>
      <c r="AC173" s="8"/>
    </row>
    <row r="174" spans="1:29">
      <c r="A174" s="8"/>
      <c r="B174" s="8"/>
      <c r="C174" s="8"/>
      <c r="D174" s="8"/>
      <c r="E174" s="8"/>
      <c r="F174" s="8"/>
      <c r="G174" s="11"/>
      <c r="H174" s="11"/>
      <c r="I174" s="11"/>
      <c r="J174" s="11"/>
      <c r="K174" s="12" t="str">
        <f t="shared" si="8"/>
        <v/>
      </c>
      <c r="L174" s="12" t="str">
        <f t="shared" si="9"/>
        <v/>
      </c>
      <c r="M174" s="12" t="str">
        <f t="shared" si="10"/>
        <v/>
      </c>
      <c r="N174" s="12" t="str">
        <f t="shared" si="11"/>
        <v/>
      </c>
      <c r="O174" s="8"/>
      <c r="P174" s="8"/>
      <c r="Q174" s="8"/>
      <c r="R174" s="10"/>
      <c r="S174" s="10"/>
      <c r="T174" s="10"/>
      <c r="U174" s="10"/>
      <c r="V174" s="8"/>
      <c r="W174" s="8"/>
      <c r="X174" s="8"/>
      <c r="Y174" s="8"/>
      <c r="Z174" s="8"/>
      <c r="AA174" s="8"/>
      <c r="AB174" s="10"/>
      <c r="AC174" s="8"/>
    </row>
    <row r="175" spans="1:29">
      <c r="A175" s="8"/>
      <c r="B175" s="8"/>
      <c r="C175" s="8"/>
      <c r="D175" s="8"/>
      <c r="E175" s="8"/>
      <c r="F175" s="8"/>
      <c r="G175" s="11"/>
      <c r="H175" s="11"/>
      <c r="I175" s="11"/>
      <c r="J175" s="11"/>
      <c r="K175" s="12" t="str">
        <f t="shared" si="8"/>
        <v/>
      </c>
      <c r="L175" s="12" t="str">
        <f t="shared" si="9"/>
        <v/>
      </c>
      <c r="M175" s="12" t="str">
        <f t="shared" si="10"/>
        <v/>
      </c>
      <c r="N175" s="12" t="str">
        <f t="shared" si="11"/>
        <v/>
      </c>
      <c r="O175" s="8"/>
      <c r="P175" s="8"/>
      <c r="Q175" s="8"/>
      <c r="R175" s="10"/>
      <c r="S175" s="10"/>
      <c r="T175" s="10"/>
      <c r="U175" s="10"/>
      <c r="V175" s="8"/>
      <c r="W175" s="8"/>
      <c r="X175" s="8"/>
      <c r="Y175" s="8"/>
      <c r="Z175" s="8"/>
      <c r="AA175" s="8"/>
      <c r="AB175" s="10"/>
      <c r="AC175" s="8"/>
    </row>
    <row r="176" spans="1:29">
      <c r="A176" s="8"/>
      <c r="B176" s="8"/>
      <c r="C176" s="8"/>
      <c r="D176" s="8"/>
      <c r="E176" s="8"/>
      <c r="F176" s="8"/>
      <c r="G176" s="11"/>
      <c r="H176" s="11"/>
      <c r="I176" s="11"/>
      <c r="J176" s="11"/>
      <c r="K176" s="12" t="str">
        <f t="shared" si="8"/>
        <v/>
      </c>
      <c r="L176" s="12" t="str">
        <f t="shared" si="9"/>
        <v/>
      </c>
      <c r="M176" s="12" t="str">
        <f t="shared" si="10"/>
        <v/>
      </c>
      <c r="N176" s="12" t="str">
        <f t="shared" si="11"/>
        <v/>
      </c>
      <c r="O176" s="8"/>
      <c r="P176" s="8"/>
      <c r="Q176" s="8"/>
      <c r="R176" s="10"/>
      <c r="S176" s="10"/>
      <c r="T176" s="10"/>
      <c r="U176" s="10"/>
      <c r="V176" s="8"/>
      <c r="W176" s="8"/>
      <c r="X176" s="8"/>
      <c r="Y176" s="8"/>
      <c r="Z176" s="8"/>
      <c r="AA176" s="8"/>
      <c r="AB176" s="10"/>
      <c r="AC176" s="8"/>
    </row>
    <row r="177" spans="1:29">
      <c r="A177" s="8"/>
      <c r="B177" s="8"/>
      <c r="C177" s="8"/>
      <c r="D177" s="8"/>
      <c r="E177" s="8"/>
      <c r="F177" s="8"/>
      <c r="G177" s="11"/>
      <c r="H177" s="11"/>
      <c r="I177" s="11"/>
      <c r="J177" s="11"/>
      <c r="K177" s="12" t="str">
        <f t="shared" si="8"/>
        <v/>
      </c>
      <c r="L177" s="12" t="str">
        <f t="shared" si="9"/>
        <v/>
      </c>
      <c r="M177" s="12" t="str">
        <f t="shared" si="10"/>
        <v/>
      </c>
      <c r="N177" s="12" t="str">
        <f t="shared" si="11"/>
        <v/>
      </c>
      <c r="O177" s="8"/>
      <c r="P177" s="8"/>
      <c r="Q177" s="8"/>
      <c r="R177" s="10"/>
      <c r="S177" s="10"/>
      <c r="T177" s="10"/>
      <c r="U177" s="10"/>
      <c r="V177" s="8"/>
      <c r="W177" s="8"/>
      <c r="X177" s="8"/>
      <c r="Y177" s="8"/>
      <c r="Z177" s="8"/>
      <c r="AA177" s="8"/>
      <c r="AB177" s="10"/>
      <c r="AC177" s="8"/>
    </row>
    <row r="178" spans="1:29">
      <c r="A178" s="8"/>
      <c r="B178" s="8"/>
      <c r="C178" s="8"/>
      <c r="D178" s="8"/>
      <c r="E178" s="8"/>
      <c r="F178" s="8"/>
      <c r="G178" s="11"/>
      <c r="H178" s="11"/>
      <c r="I178" s="11"/>
      <c r="J178" s="11"/>
      <c r="K178" s="12" t="str">
        <f t="shared" si="8"/>
        <v/>
      </c>
      <c r="L178" s="12" t="str">
        <f t="shared" si="9"/>
        <v/>
      </c>
      <c r="M178" s="12" t="str">
        <f t="shared" si="10"/>
        <v/>
      </c>
      <c r="N178" s="12" t="str">
        <f t="shared" si="11"/>
        <v/>
      </c>
      <c r="O178" s="8"/>
      <c r="P178" s="8"/>
      <c r="Q178" s="8"/>
      <c r="R178" s="10"/>
      <c r="S178" s="10"/>
      <c r="T178" s="10"/>
      <c r="U178" s="10"/>
      <c r="V178" s="8"/>
      <c r="W178" s="8"/>
      <c r="X178" s="8"/>
      <c r="Y178" s="8"/>
      <c r="Z178" s="8"/>
      <c r="AA178" s="8"/>
      <c r="AB178" s="10"/>
      <c r="AC178" s="8"/>
    </row>
    <row r="179" spans="1:29">
      <c r="A179" s="8"/>
      <c r="B179" s="8"/>
      <c r="C179" s="8"/>
      <c r="D179" s="8"/>
      <c r="E179" s="8"/>
      <c r="F179" s="8"/>
      <c r="G179" s="11"/>
      <c r="H179" s="11"/>
      <c r="I179" s="11"/>
      <c r="J179" s="11"/>
      <c r="K179" s="12" t="str">
        <f t="shared" si="8"/>
        <v/>
      </c>
      <c r="L179" s="12" t="str">
        <f t="shared" si="9"/>
        <v/>
      </c>
      <c r="M179" s="12" t="str">
        <f t="shared" si="10"/>
        <v/>
      </c>
      <c r="N179" s="12" t="str">
        <f t="shared" si="11"/>
        <v/>
      </c>
      <c r="O179" s="8"/>
      <c r="P179" s="8"/>
      <c r="Q179" s="8"/>
      <c r="R179" s="10"/>
      <c r="S179" s="10"/>
      <c r="T179" s="10"/>
      <c r="U179" s="10"/>
      <c r="V179" s="8"/>
      <c r="W179" s="8"/>
      <c r="X179" s="8"/>
      <c r="Y179" s="8"/>
      <c r="Z179" s="8"/>
      <c r="AA179" s="8"/>
      <c r="AB179" s="10"/>
      <c r="AC179" s="8"/>
    </row>
    <row r="180" spans="1:29">
      <c r="A180" s="8"/>
      <c r="B180" s="8"/>
      <c r="C180" s="8"/>
      <c r="D180" s="8"/>
      <c r="E180" s="8"/>
      <c r="F180" s="8"/>
      <c r="G180" s="11"/>
      <c r="H180" s="11"/>
      <c r="I180" s="11"/>
      <c r="J180" s="11"/>
      <c r="K180" s="12" t="str">
        <f t="shared" si="8"/>
        <v/>
      </c>
      <c r="L180" s="12" t="str">
        <f t="shared" si="9"/>
        <v/>
      </c>
      <c r="M180" s="12" t="str">
        <f t="shared" si="10"/>
        <v/>
      </c>
      <c r="N180" s="12" t="str">
        <f t="shared" si="11"/>
        <v/>
      </c>
      <c r="O180" s="8"/>
      <c r="P180" s="8"/>
      <c r="Q180" s="8"/>
      <c r="R180" s="10"/>
      <c r="S180" s="10"/>
      <c r="T180" s="10"/>
      <c r="U180" s="10"/>
      <c r="V180" s="8"/>
      <c r="W180" s="8"/>
      <c r="X180" s="8"/>
      <c r="Y180" s="8"/>
      <c r="Z180" s="8"/>
      <c r="AA180" s="8"/>
      <c r="AB180" s="10"/>
      <c r="AC180" s="8"/>
    </row>
    <row r="181" spans="1:29">
      <c r="A181" s="8"/>
      <c r="B181" s="8"/>
      <c r="C181" s="8"/>
      <c r="D181" s="8"/>
      <c r="E181" s="8"/>
      <c r="F181" s="8"/>
      <c r="G181" s="11"/>
      <c r="H181" s="11"/>
      <c r="I181" s="11"/>
      <c r="J181" s="11"/>
      <c r="K181" s="12" t="str">
        <f t="shared" si="8"/>
        <v/>
      </c>
      <c r="L181" s="12" t="str">
        <f t="shared" si="9"/>
        <v/>
      </c>
      <c r="M181" s="12" t="str">
        <f t="shared" si="10"/>
        <v/>
      </c>
      <c r="N181" s="12" t="str">
        <f t="shared" si="11"/>
        <v/>
      </c>
      <c r="O181" s="8"/>
      <c r="P181" s="8"/>
      <c r="Q181" s="8"/>
      <c r="R181" s="10"/>
      <c r="S181" s="10"/>
      <c r="T181" s="10"/>
      <c r="U181" s="10"/>
      <c r="V181" s="8"/>
      <c r="W181" s="8"/>
      <c r="X181" s="8"/>
      <c r="Y181" s="8"/>
      <c r="Z181" s="8"/>
      <c r="AA181" s="8"/>
      <c r="AB181" s="10"/>
      <c r="AC181" s="8"/>
    </row>
    <row r="182" spans="1:29">
      <c r="A182" s="8"/>
      <c r="B182" s="8"/>
      <c r="C182" s="8"/>
      <c r="D182" s="8"/>
      <c r="E182" s="8"/>
      <c r="F182" s="8"/>
      <c r="G182" s="11"/>
      <c r="H182" s="11"/>
      <c r="I182" s="11"/>
      <c r="J182" s="11"/>
      <c r="K182" s="12" t="str">
        <f t="shared" si="8"/>
        <v/>
      </c>
      <c r="L182" s="12" t="str">
        <f t="shared" si="9"/>
        <v/>
      </c>
      <c r="M182" s="12" t="str">
        <f t="shared" si="10"/>
        <v/>
      </c>
      <c r="N182" s="12" t="str">
        <f t="shared" si="11"/>
        <v/>
      </c>
      <c r="O182" s="8"/>
      <c r="P182" s="8"/>
      <c r="Q182" s="8"/>
      <c r="R182" s="10"/>
      <c r="S182" s="10"/>
      <c r="T182" s="10"/>
      <c r="U182" s="10"/>
      <c r="V182" s="8"/>
      <c r="W182" s="8"/>
      <c r="X182" s="8"/>
      <c r="Y182" s="8"/>
      <c r="Z182" s="8"/>
      <c r="AA182" s="8"/>
      <c r="AB182" s="10"/>
      <c r="AC182" s="8"/>
    </row>
    <row r="183" spans="1:29">
      <c r="A183" s="8"/>
      <c r="B183" s="8"/>
      <c r="C183" s="8"/>
      <c r="D183" s="8"/>
      <c r="E183" s="8"/>
      <c r="F183" s="8"/>
      <c r="G183" s="11"/>
      <c r="H183" s="11"/>
      <c r="I183" s="11"/>
      <c r="J183" s="11"/>
      <c r="K183" s="12" t="str">
        <f t="shared" si="8"/>
        <v/>
      </c>
      <c r="L183" s="12" t="str">
        <f t="shared" si="9"/>
        <v/>
      </c>
      <c r="M183" s="12" t="str">
        <f t="shared" si="10"/>
        <v/>
      </c>
      <c r="N183" s="12" t="str">
        <f t="shared" si="11"/>
        <v/>
      </c>
      <c r="O183" s="8"/>
      <c r="P183" s="8"/>
      <c r="Q183" s="8"/>
      <c r="R183" s="10"/>
      <c r="S183" s="10"/>
      <c r="T183" s="10"/>
      <c r="U183" s="10"/>
      <c r="V183" s="8"/>
      <c r="W183" s="8"/>
      <c r="X183" s="8"/>
      <c r="Y183" s="8"/>
      <c r="Z183" s="8"/>
      <c r="AA183" s="8"/>
      <c r="AB183" s="10"/>
      <c r="AC183" s="8"/>
    </row>
    <row r="184" spans="1:29">
      <c r="A184" s="8"/>
      <c r="B184" s="8"/>
      <c r="C184" s="8"/>
      <c r="D184" s="8"/>
      <c r="E184" s="8"/>
      <c r="F184" s="8"/>
      <c r="G184" s="11"/>
      <c r="H184" s="11"/>
      <c r="I184" s="11"/>
      <c r="J184" s="11"/>
      <c r="K184" s="12" t="str">
        <f t="shared" si="8"/>
        <v/>
      </c>
      <c r="L184" s="12" t="str">
        <f t="shared" si="9"/>
        <v/>
      </c>
      <c r="M184" s="12" t="str">
        <f t="shared" si="10"/>
        <v/>
      </c>
      <c r="N184" s="12" t="str">
        <f t="shared" si="11"/>
        <v/>
      </c>
      <c r="O184" s="8"/>
      <c r="P184" s="8"/>
      <c r="Q184" s="8"/>
      <c r="R184" s="10"/>
      <c r="S184" s="10"/>
      <c r="T184" s="10"/>
      <c r="U184" s="10"/>
      <c r="V184" s="8"/>
      <c r="W184" s="8"/>
      <c r="X184" s="8"/>
      <c r="Y184" s="8"/>
      <c r="Z184" s="8"/>
      <c r="AA184" s="8"/>
      <c r="AB184" s="10"/>
      <c r="AC184" s="8"/>
    </row>
    <row r="185" spans="1:29">
      <c r="A185" s="8"/>
      <c r="B185" s="8"/>
      <c r="C185" s="8"/>
      <c r="D185" s="8"/>
      <c r="E185" s="8"/>
      <c r="F185" s="8"/>
      <c r="G185" s="11"/>
      <c r="H185" s="11"/>
      <c r="I185" s="11"/>
      <c r="J185" s="11"/>
      <c r="K185" s="12" t="str">
        <f t="shared" si="8"/>
        <v/>
      </c>
      <c r="L185" s="12" t="str">
        <f t="shared" si="9"/>
        <v/>
      </c>
      <c r="M185" s="12" t="str">
        <f t="shared" si="10"/>
        <v/>
      </c>
      <c r="N185" s="12" t="str">
        <f t="shared" si="11"/>
        <v/>
      </c>
      <c r="O185" s="8"/>
      <c r="P185" s="8"/>
      <c r="Q185" s="8"/>
      <c r="R185" s="10"/>
      <c r="S185" s="10"/>
      <c r="T185" s="10"/>
      <c r="U185" s="10"/>
      <c r="V185" s="8"/>
      <c r="W185" s="8"/>
      <c r="X185" s="8"/>
      <c r="Y185" s="8"/>
      <c r="Z185" s="8"/>
      <c r="AA185" s="8"/>
      <c r="AB185" s="10"/>
      <c r="AC185" s="8"/>
    </row>
    <row r="186" spans="1:29">
      <c r="A186" s="8"/>
      <c r="B186" s="8"/>
      <c r="C186" s="8"/>
      <c r="D186" s="8"/>
      <c r="E186" s="8"/>
      <c r="F186" s="8"/>
      <c r="G186" s="11"/>
      <c r="H186" s="11"/>
      <c r="I186" s="11"/>
      <c r="J186" s="11"/>
      <c r="K186" s="12" t="str">
        <f t="shared" si="8"/>
        <v/>
      </c>
      <c r="L186" s="12" t="str">
        <f t="shared" si="9"/>
        <v/>
      </c>
      <c r="M186" s="12" t="str">
        <f t="shared" si="10"/>
        <v/>
      </c>
      <c r="N186" s="12" t="str">
        <f t="shared" si="11"/>
        <v/>
      </c>
      <c r="O186" s="8"/>
      <c r="P186" s="8"/>
      <c r="Q186" s="8"/>
      <c r="R186" s="10"/>
      <c r="S186" s="10"/>
      <c r="T186" s="10"/>
      <c r="U186" s="10"/>
      <c r="V186" s="8"/>
      <c r="W186" s="8"/>
      <c r="X186" s="8"/>
      <c r="Y186" s="8"/>
      <c r="Z186" s="8"/>
      <c r="AA186" s="8"/>
      <c r="AB186" s="10"/>
      <c r="AC186" s="8"/>
    </row>
    <row r="187" spans="1:29">
      <c r="A187" s="8"/>
      <c r="B187" s="8"/>
      <c r="C187" s="8"/>
      <c r="D187" s="8"/>
      <c r="E187" s="8"/>
      <c r="F187" s="8"/>
      <c r="G187" s="11"/>
      <c r="H187" s="11"/>
      <c r="I187" s="11"/>
      <c r="J187" s="11"/>
      <c r="K187" s="12" t="str">
        <f t="shared" si="8"/>
        <v/>
      </c>
      <c r="L187" s="12" t="str">
        <f t="shared" si="9"/>
        <v/>
      </c>
      <c r="M187" s="12" t="str">
        <f t="shared" si="10"/>
        <v/>
      </c>
      <c r="N187" s="12" t="str">
        <f t="shared" si="11"/>
        <v/>
      </c>
      <c r="O187" s="8"/>
      <c r="P187" s="8"/>
      <c r="Q187" s="8"/>
      <c r="R187" s="10"/>
      <c r="S187" s="10"/>
      <c r="T187" s="10"/>
      <c r="U187" s="10"/>
      <c r="V187" s="8"/>
      <c r="W187" s="8"/>
      <c r="X187" s="8"/>
      <c r="Y187" s="8"/>
      <c r="Z187" s="8"/>
      <c r="AA187" s="8"/>
      <c r="AB187" s="10"/>
      <c r="AC187" s="8"/>
    </row>
    <row r="188" spans="1:29">
      <c r="A188" s="8"/>
      <c r="B188" s="8"/>
      <c r="C188" s="8"/>
      <c r="D188" s="8"/>
      <c r="E188" s="8"/>
      <c r="F188" s="8"/>
      <c r="G188" s="11"/>
      <c r="H188" s="11"/>
      <c r="I188" s="11"/>
      <c r="J188" s="11"/>
      <c r="K188" s="12" t="str">
        <f t="shared" si="8"/>
        <v/>
      </c>
      <c r="L188" s="12" t="str">
        <f t="shared" si="9"/>
        <v/>
      </c>
      <c r="M188" s="12" t="str">
        <f t="shared" si="10"/>
        <v/>
      </c>
      <c r="N188" s="12" t="str">
        <f t="shared" si="11"/>
        <v/>
      </c>
      <c r="O188" s="8"/>
      <c r="P188" s="8"/>
      <c r="Q188" s="8"/>
      <c r="R188" s="10"/>
      <c r="S188" s="10"/>
      <c r="T188" s="10"/>
      <c r="U188" s="10"/>
      <c r="V188" s="8"/>
      <c r="W188" s="8"/>
      <c r="X188" s="8"/>
      <c r="Y188" s="8"/>
      <c r="Z188" s="8"/>
      <c r="AA188" s="8"/>
      <c r="AB188" s="10"/>
      <c r="AC188" s="8"/>
    </row>
    <row r="189" spans="1:29">
      <c r="A189" s="8"/>
      <c r="B189" s="8"/>
      <c r="C189" s="8"/>
      <c r="D189" s="8"/>
      <c r="E189" s="8"/>
      <c r="F189" s="8"/>
      <c r="G189" s="11"/>
      <c r="H189" s="11"/>
      <c r="I189" s="11"/>
      <c r="J189" s="11"/>
      <c r="K189" s="12" t="str">
        <f t="shared" si="8"/>
        <v/>
      </c>
      <c r="L189" s="12" t="str">
        <f t="shared" si="9"/>
        <v/>
      </c>
      <c r="M189" s="12" t="str">
        <f t="shared" si="10"/>
        <v/>
      </c>
      <c r="N189" s="12" t="str">
        <f t="shared" si="11"/>
        <v/>
      </c>
      <c r="O189" s="8"/>
      <c r="P189" s="8"/>
      <c r="Q189" s="8"/>
      <c r="R189" s="10"/>
      <c r="S189" s="10"/>
      <c r="T189" s="10"/>
      <c r="U189" s="10"/>
      <c r="V189" s="8"/>
      <c r="W189" s="8"/>
      <c r="X189" s="8"/>
      <c r="Y189" s="8"/>
      <c r="Z189" s="8"/>
      <c r="AA189" s="8"/>
      <c r="AB189" s="10"/>
      <c r="AC189" s="8"/>
    </row>
    <row r="190" spans="1:29">
      <c r="A190" s="8"/>
      <c r="B190" s="8"/>
      <c r="C190" s="8"/>
      <c r="D190" s="8"/>
      <c r="E190" s="8"/>
      <c r="F190" s="8"/>
      <c r="G190" s="11"/>
      <c r="H190" s="11"/>
      <c r="I190" s="11"/>
      <c r="J190" s="11"/>
      <c r="K190" s="12" t="str">
        <f t="shared" si="8"/>
        <v/>
      </c>
      <c r="L190" s="12" t="str">
        <f t="shared" si="9"/>
        <v/>
      </c>
      <c r="M190" s="12" t="str">
        <f t="shared" si="10"/>
        <v/>
      </c>
      <c r="N190" s="12" t="str">
        <f t="shared" si="11"/>
        <v/>
      </c>
      <c r="O190" s="8"/>
      <c r="P190" s="8"/>
      <c r="Q190" s="8"/>
      <c r="R190" s="10"/>
      <c r="S190" s="10"/>
      <c r="T190" s="10"/>
      <c r="U190" s="10"/>
      <c r="V190" s="8"/>
      <c r="W190" s="8"/>
      <c r="X190" s="8"/>
      <c r="Y190" s="8"/>
      <c r="Z190" s="8"/>
      <c r="AA190" s="8"/>
      <c r="AB190" s="10"/>
      <c r="AC190" s="8"/>
    </row>
    <row r="191" spans="1:29">
      <c r="A191" s="8"/>
      <c r="B191" s="8"/>
      <c r="C191" s="8"/>
      <c r="D191" s="8"/>
      <c r="E191" s="8"/>
      <c r="F191" s="8"/>
      <c r="G191" s="11"/>
      <c r="H191" s="11"/>
      <c r="I191" s="11"/>
      <c r="J191" s="11"/>
      <c r="K191" s="12" t="str">
        <f t="shared" si="8"/>
        <v/>
      </c>
      <c r="L191" s="12" t="str">
        <f t="shared" si="9"/>
        <v/>
      </c>
      <c r="M191" s="12" t="str">
        <f t="shared" si="10"/>
        <v/>
      </c>
      <c r="N191" s="12" t="str">
        <f t="shared" si="11"/>
        <v/>
      </c>
      <c r="O191" s="8"/>
      <c r="P191" s="8"/>
      <c r="Q191" s="8"/>
      <c r="R191" s="10"/>
      <c r="S191" s="10"/>
      <c r="T191" s="10"/>
      <c r="U191" s="10"/>
      <c r="V191" s="8"/>
      <c r="W191" s="8"/>
      <c r="X191" s="8"/>
      <c r="Y191" s="8"/>
      <c r="Z191" s="8"/>
      <c r="AA191" s="8"/>
      <c r="AB191" s="10"/>
      <c r="AC191" s="8"/>
    </row>
    <row r="192" spans="1:29">
      <c r="A192" s="8"/>
      <c r="B192" s="8"/>
      <c r="C192" s="8"/>
      <c r="D192" s="8"/>
      <c r="E192" s="8"/>
      <c r="F192" s="8"/>
      <c r="G192" s="11"/>
      <c r="H192" s="11"/>
      <c r="I192" s="11"/>
      <c r="J192" s="11"/>
      <c r="K192" s="12" t="str">
        <f t="shared" si="8"/>
        <v/>
      </c>
      <c r="L192" s="12" t="str">
        <f t="shared" si="9"/>
        <v/>
      </c>
      <c r="M192" s="12" t="str">
        <f t="shared" si="10"/>
        <v/>
      </c>
      <c r="N192" s="12" t="str">
        <f t="shared" si="11"/>
        <v/>
      </c>
      <c r="O192" s="8"/>
      <c r="P192" s="8"/>
      <c r="Q192" s="8"/>
      <c r="R192" s="10"/>
      <c r="S192" s="10"/>
      <c r="T192" s="10"/>
      <c r="U192" s="10"/>
      <c r="V192" s="8"/>
      <c r="W192" s="8"/>
      <c r="X192" s="8"/>
      <c r="Y192" s="8"/>
      <c r="Z192" s="8"/>
      <c r="AA192" s="8"/>
      <c r="AB192" s="10"/>
      <c r="AC192" s="8"/>
    </row>
    <row r="193" spans="1:29">
      <c r="A193" s="8"/>
      <c r="B193" s="8"/>
      <c r="C193" s="8"/>
      <c r="D193" s="8"/>
      <c r="E193" s="8"/>
      <c r="F193" s="8"/>
      <c r="G193" s="11"/>
      <c r="H193" s="11"/>
      <c r="I193" s="11"/>
      <c r="J193" s="11"/>
      <c r="K193" s="12" t="str">
        <f t="shared" si="8"/>
        <v/>
      </c>
      <c r="L193" s="12" t="str">
        <f t="shared" si="9"/>
        <v/>
      </c>
      <c r="M193" s="12" t="str">
        <f t="shared" si="10"/>
        <v/>
      </c>
      <c r="N193" s="12" t="str">
        <f t="shared" si="11"/>
        <v/>
      </c>
      <c r="O193" s="8"/>
      <c r="P193" s="8"/>
      <c r="Q193" s="8"/>
      <c r="R193" s="10"/>
      <c r="S193" s="10"/>
      <c r="T193" s="10"/>
      <c r="U193" s="10"/>
      <c r="V193" s="8"/>
      <c r="W193" s="8"/>
      <c r="X193" s="8"/>
      <c r="Y193" s="8"/>
      <c r="Z193" s="8"/>
      <c r="AA193" s="8"/>
      <c r="AB193" s="10"/>
      <c r="AC193" s="8"/>
    </row>
    <row r="194" spans="1:29">
      <c r="A194" s="8"/>
      <c r="B194" s="8"/>
      <c r="C194" s="8"/>
      <c r="D194" s="8"/>
      <c r="E194" s="8"/>
      <c r="F194" s="8"/>
      <c r="G194" s="11"/>
      <c r="H194" s="11"/>
      <c r="I194" s="11"/>
      <c r="J194" s="11"/>
      <c r="K194" s="12" t="str">
        <f t="shared" si="8"/>
        <v/>
      </c>
      <c r="L194" s="12" t="str">
        <f t="shared" si="9"/>
        <v/>
      </c>
      <c r="M194" s="12" t="str">
        <f t="shared" si="10"/>
        <v/>
      </c>
      <c r="N194" s="12" t="str">
        <f t="shared" si="11"/>
        <v/>
      </c>
      <c r="O194" s="8"/>
      <c r="P194" s="8"/>
      <c r="Q194" s="8"/>
      <c r="R194" s="10"/>
      <c r="S194" s="10"/>
      <c r="T194" s="10"/>
      <c r="U194" s="10"/>
      <c r="V194" s="8"/>
      <c r="W194" s="8"/>
      <c r="X194" s="8"/>
      <c r="Y194" s="8"/>
      <c r="Z194" s="8"/>
      <c r="AA194" s="8"/>
      <c r="AB194" s="10"/>
      <c r="AC194" s="8"/>
    </row>
    <row r="195" spans="1:29">
      <c r="A195" s="8"/>
      <c r="B195" s="8"/>
      <c r="C195" s="8"/>
      <c r="D195" s="8"/>
      <c r="E195" s="8"/>
      <c r="F195" s="8"/>
      <c r="G195" s="11"/>
      <c r="H195" s="11"/>
      <c r="I195" s="11"/>
      <c r="J195" s="11"/>
      <c r="K195" s="12" t="str">
        <f t="shared" si="8"/>
        <v/>
      </c>
      <c r="L195" s="12" t="str">
        <f t="shared" si="9"/>
        <v/>
      </c>
      <c r="M195" s="12" t="str">
        <f t="shared" si="10"/>
        <v/>
      </c>
      <c r="N195" s="12" t="str">
        <f t="shared" si="11"/>
        <v/>
      </c>
      <c r="O195" s="8"/>
      <c r="P195" s="8"/>
      <c r="Q195" s="8"/>
      <c r="R195" s="10"/>
      <c r="S195" s="10"/>
      <c r="T195" s="10"/>
      <c r="U195" s="10"/>
      <c r="V195" s="8"/>
      <c r="W195" s="8"/>
      <c r="X195" s="8"/>
      <c r="Y195" s="8"/>
      <c r="Z195" s="8"/>
      <c r="AA195" s="8"/>
      <c r="AB195" s="10"/>
      <c r="AC195" s="8"/>
    </row>
    <row r="196" spans="1:29">
      <c r="A196" s="8"/>
      <c r="B196" s="8"/>
      <c r="C196" s="8"/>
      <c r="D196" s="8"/>
      <c r="E196" s="8"/>
      <c r="F196" s="8"/>
      <c r="G196" s="11"/>
      <c r="H196" s="11"/>
      <c r="I196" s="11"/>
      <c r="J196" s="11"/>
      <c r="K196" s="12" t="str">
        <f t="shared" si="8"/>
        <v/>
      </c>
      <c r="L196" s="12" t="str">
        <f t="shared" si="9"/>
        <v/>
      </c>
      <c r="M196" s="12" t="str">
        <f t="shared" si="10"/>
        <v/>
      </c>
      <c r="N196" s="12" t="str">
        <f t="shared" si="11"/>
        <v/>
      </c>
      <c r="O196" s="8"/>
      <c r="P196" s="8"/>
      <c r="Q196" s="8"/>
      <c r="R196" s="10"/>
      <c r="S196" s="10"/>
      <c r="T196" s="10"/>
      <c r="U196" s="10"/>
      <c r="V196" s="8"/>
      <c r="W196" s="8"/>
      <c r="X196" s="8"/>
      <c r="Y196" s="8"/>
      <c r="Z196" s="8"/>
      <c r="AA196" s="8"/>
      <c r="AB196" s="10"/>
      <c r="AC196" s="8"/>
    </row>
    <row r="197" spans="1:29">
      <c r="A197" s="8"/>
      <c r="B197" s="8"/>
      <c r="C197" s="8"/>
      <c r="D197" s="8"/>
      <c r="E197" s="8"/>
      <c r="F197" s="8"/>
      <c r="G197" s="11"/>
      <c r="H197" s="11"/>
      <c r="I197" s="11"/>
      <c r="J197" s="11"/>
      <c r="K197" s="12" t="str">
        <f t="shared" ref="K197:K260" si="12">IF(A197="","",I197+J197)</f>
        <v/>
      </c>
      <c r="L197" s="12" t="str">
        <f t="shared" ref="L197:L260" si="13">IF(A197="","",K197-G197)</f>
        <v/>
      </c>
      <c r="M197" s="12" t="str">
        <f t="shared" ref="M197:M260" si="14">IF(A197="","",MAX(0,G197-K197))</f>
        <v/>
      </c>
      <c r="N197" s="12" t="str">
        <f t="shared" ref="N197:N260" si="15">IF(A197="","",MAX(0,K197-G197))</f>
        <v/>
      </c>
      <c r="O197" s="8"/>
      <c r="P197" s="8"/>
      <c r="Q197" s="8"/>
      <c r="R197" s="10"/>
      <c r="S197" s="10"/>
      <c r="T197" s="10"/>
      <c r="U197" s="10"/>
      <c r="V197" s="8"/>
      <c r="W197" s="8"/>
      <c r="X197" s="8"/>
      <c r="Y197" s="8"/>
      <c r="Z197" s="8"/>
      <c r="AA197" s="8"/>
      <c r="AB197" s="10"/>
      <c r="AC197" s="8"/>
    </row>
    <row r="198" spans="1:29">
      <c r="A198" s="8"/>
      <c r="B198" s="8"/>
      <c r="C198" s="8"/>
      <c r="D198" s="8"/>
      <c r="E198" s="8"/>
      <c r="F198" s="8"/>
      <c r="G198" s="11"/>
      <c r="H198" s="11"/>
      <c r="I198" s="11"/>
      <c r="J198" s="11"/>
      <c r="K198" s="12" t="str">
        <f t="shared" si="12"/>
        <v/>
      </c>
      <c r="L198" s="12" t="str">
        <f t="shared" si="13"/>
        <v/>
      </c>
      <c r="M198" s="12" t="str">
        <f t="shared" si="14"/>
        <v/>
      </c>
      <c r="N198" s="12" t="str">
        <f t="shared" si="15"/>
        <v/>
      </c>
      <c r="O198" s="8"/>
      <c r="P198" s="8"/>
      <c r="Q198" s="8"/>
      <c r="R198" s="10"/>
      <c r="S198" s="10"/>
      <c r="T198" s="10"/>
      <c r="U198" s="10"/>
      <c r="V198" s="8"/>
      <c r="W198" s="8"/>
      <c r="X198" s="8"/>
      <c r="Y198" s="8"/>
      <c r="Z198" s="8"/>
      <c r="AA198" s="8"/>
      <c r="AB198" s="10"/>
      <c r="AC198" s="8"/>
    </row>
    <row r="199" spans="1:29">
      <c r="A199" s="8"/>
      <c r="B199" s="8"/>
      <c r="C199" s="8"/>
      <c r="D199" s="8"/>
      <c r="E199" s="8"/>
      <c r="F199" s="8"/>
      <c r="G199" s="11"/>
      <c r="H199" s="11"/>
      <c r="I199" s="11"/>
      <c r="J199" s="11"/>
      <c r="K199" s="12" t="str">
        <f t="shared" si="12"/>
        <v/>
      </c>
      <c r="L199" s="12" t="str">
        <f t="shared" si="13"/>
        <v/>
      </c>
      <c r="M199" s="12" t="str">
        <f t="shared" si="14"/>
        <v/>
      </c>
      <c r="N199" s="12" t="str">
        <f t="shared" si="15"/>
        <v/>
      </c>
      <c r="O199" s="8"/>
      <c r="P199" s="8"/>
      <c r="Q199" s="8"/>
      <c r="R199" s="10"/>
      <c r="S199" s="10"/>
      <c r="T199" s="10"/>
      <c r="U199" s="10"/>
      <c r="V199" s="8"/>
      <c r="W199" s="8"/>
      <c r="X199" s="8"/>
      <c r="Y199" s="8"/>
      <c r="Z199" s="8"/>
      <c r="AA199" s="8"/>
      <c r="AB199" s="10"/>
      <c r="AC199" s="8"/>
    </row>
    <row r="200" spans="1:29">
      <c r="A200" s="8"/>
      <c r="B200" s="8"/>
      <c r="C200" s="8"/>
      <c r="D200" s="8"/>
      <c r="E200" s="8"/>
      <c r="F200" s="8"/>
      <c r="G200" s="11"/>
      <c r="H200" s="11"/>
      <c r="I200" s="11"/>
      <c r="J200" s="11"/>
      <c r="K200" s="12" t="str">
        <f t="shared" si="12"/>
        <v/>
      </c>
      <c r="L200" s="12" t="str">
        <f t="shared" si="13"/>
        <v/>
      </c>
      <c r="M200" s="12" t="str">
        <f t="shared" si="14"/>
        <v/>
      </c>
      <c r="N200" s="12" t="str">
        <f t="shared" si="15"/>
        <v/>
      </c>
      <c r="O200" s="8"/>
      <c r="P200" s="8"/>
      <c r="Q200" s="8"/>
      <c r="R200" s="10"/>
      <c r="S200" s="10"/>
      <c r="T200" s="10"/>
      <c r="U200" s="10"/>
      <c r="V200" s="8"/>
      <c r="W200" s="8"/>
      <c r="X200" s="8"/>
      <c r="Y200" s="8"/>
      <c r="Z200" s="8"/>
      <c r="AA200" s="8"/>
      <c r="AB200" s="10"/>
      <c r="AC200" s="8"/>
    </row>
    <row r="201" spans="1:29">
      <c r="A201" s="8"/>
      <c r="B201" s="8"/>
      <c r="C201" s="8"/>
      <c r="D201" s="8"/>
      <c r="E201" s="8"/>
      <c r="F201" s="8"/>
      <c r="G201" s="11"/>
      <c r="H201" s="11"/>
      <c r="I201" s="11"/>
      <c r="J201" s="11"/>
      <c r="K201" s="12" t="str">
        <f t="shared" si="12"/>
        <v/>
      </c>
      <c r="L201" s="12" t="str">
        <f t="shared" si="13"/>
        <v/>
      </c>
      <c r="M201" s="12" t="str">
        <f t="shared" si="14"/>
        <v/>
      </c>
      <c r="N201" s="12" t="str">
        <f t="shared" si="15"/>
        <v/>
      </c>
      <c r="O201" s="8"/>
      <c r="P201" s="8"/>
      <c r="Q201" s="8"/>
      <c r="R201" s="10"/>
      <c r="S201" s="10"/>
      <c r="T201" s="10"/>
      <c r="U201" s="10"/>
      <c r="V201" s="8"/>
      <c r="W201" s="8"/>
      <c r="X201" s="8"/>
      <c r="Y201" s="8"/>
      <c r="Z201" s="8"/>
      <c r="AA201" s="8"/>
      <c r="AB201" s="10"/>
      <c r="AC201" s="8"/>
    </row>
    <row r="202" spans="1:29">
      <c r="A202" s="8"/>
      <c r="B202" s="8"/>
      <c r="C202" s="8"/>
      <c r="D202" s="8"/>
      <c r="E202" s="8"/>
      <c r="F202" s="8"/>
      <c r="G202" s="11"/>
      <c r="H202" s="11"/>
      <c r="I202" s="11"/>
      <c r="J202" s="11"/>
      <c r="K202" s="12" t="str">
        <f t="shared" si="12"/>
        <v/>
      </c>
      <c r="L202" s="12" t="str">
        <f t="shared" si="13"/>
        <v/>
      </c>
      <c r="M202" s="12" t="str">
        <f t="shared" si="14"/>
        <v/>
      </c>
      <c r="N202" s="12" t="str">
        <f t="shared" si="15"/>
        <v/>
      </c>
      <c r="O202" s="8"/>
      <c r="P202" s="8"/>
      <c r="Q202" s="8"/>
      <c r="R202" s="10"/>
      <c r="S202" s="10"/>
      <c r="T202" s="10"/>
      <c r="U202" s="10"/>
      <c r="V202" s="8"/>
      <c r="W202" s="8"/>
      <c r="X202" s="8"/>
      <c r="Y202" s="8"/>
      <c r="Z202" s="8"/>
      <c r="AA202" s="8"/>
      <c r="AB202" s="10"/>
      <c r="AC202" s="8"/>
    </row>
    <row r="203" spans="1:29">
      <c r="A203" s="8"/>
      <c r="B203" s="8"/>
      <c r="C203" s="8"/>
      <c r="D203" s="8"/>
      <c r="E203" s="8"/>
      <c r="F203" s="8"/>
      <c r="G203" s="11"/>
      <c r="H203" s="11"/>
      <c r="I203" s="11"/>
      <c r="J203" s="11"/>
      <c r="K203" s="12" t="str">
        <f t="shared" si="12"/>
        <v/>
      </c>
      <c r="L203" s="12" t="str">
        <f t="shared" si="13"/>
        <v/>
      </c>
      <c r="M203" s="12" t="str">
        <f t="shared" si="14"/>
        <v/>
      </c>
      <c r="N203" s="12" t="str">
        <f t="shared" si="15"/>
        <v/>
      </c>
      <c r="O203" s="8"/>
      <c r="P203" s="8"/>
      <c r="Q203" s="8"/>
      <c r="R203" s="10"/>
      <c r="S203" s="10"/>
      <c r="T203" s="10"/>
      <c r="U203" s="10"/>
      <c r="V203" s="8"/>
      <c r="W203" s="8"/>
      <c r="X203" s="8"/>
      <c r="Y203" s="8"/>
      <c r="Z203" s="8"/>
      <c r="AA203" s="8"/>
      <c r="AB203" s="10"/>
      <c r="AC203" s="8"/>
    </row>
    <row r="204" spans="1:29">
      <c r="A204" s="8"/>
      <c r="B204" s="8"/>
      <c r="C204" s="8"/>
      <c r="D204" s="8"/>
      <c r="E204" s="8"/>
      <c r="F204" s="8"/>
      <c r="G204" s="11"/>
      <c r="H204" s="11"/>
      <c r="I204" s="11"/>
      <c r="J204" s="11"/>
      <c r="K204" s="12" t="str">
        <f t="shared" si="12"/>
        <v/>
      </c>
      <c r="L204" s="12" t="str">
        <f t="shared" si="13"/>
        <v/>
      </c>
      <c r="M204" s="12" t="str">
        <f t="shared" si="14"/>
        <v/>
      </c>
      <c r="N204" s="12" t="str">
        <f t="shared" si="15"/>
        <v/>
      </c>
      <c r="O204" s="8"/>
      <c r="P204" s="8"/>
      <c r="Q204" s="8"/>
      <c r="R204" s="10"/>
      <c r="S204" s="10"/>
      <c r="T204" s="10"/>
      <c r="U204" s="10"/>
      <c r="V204" s="8"/>
      <c r="W204" s="8"/>
      <c r="X204" s="8"/>
      <c r="Y204" s="8"/>
      <c r="Z204" s="8"/>
      <c r="AA204" s="8"/>
      <c r="AB204" s="10"/>
      <c r="AC204" s="8"/>
    </row>
    <row r="205" spans="1:29">
      <c r="A205" s="8"/>
      <c r="B205" s="8"/>
      <c r="C205" s="8"/>
      <c r="D205" s="8"/>
      <c r="E205" s="8"/>
      <c r="F205" s="8"/>
      <c r="G205" s="11"/>
      <c r="H205" s="11"/>
      <c r="I205" s="11"/>
      <c r="J205" s="11"/>
      <c r="K205" s="12" t="str">
        <f t="shared" si="12"/>
        <v/>
      </c>
      <c r="L205" s="12" t="str">
        <f t="shared" si="13"/>
        <v/>
      </c>
      <c r="M205" s="12" t="str">
        <f t="shared" si="14"/>
        <v/>
      </c>
      <c r="N205" s="12" t="str">
        <f t="shared" si="15"/>
        <v/>
      </c>
      <c r="O205" s="8"/>
      <c r="P205" s="8"/>
      <c r="Q205" s="8"/>
      <c r="R205" s="10"/>
      <c r="S205" s="10"/>
      <c r="T205" s="10"/>
      <c r="U205" s="10"/>
      <c r="V205" s="8"/>
      <c r="W205" s="8"/>
      <c r="X205" s="8"/>
      <c r="Y205" s="8"/>
      <c r="Z205" s="8"/>
      <c r="AA205" s="8"/>
      <c r="AB205" s="10"/>
      <c r="AC205" s="8"/>
    </row>
    <row r="206" spans="1:29">
      <c r="A206" s="8"/>
      <c r="B206" s="8"/>
      <c r="C206" s="8"/>
      <c r="D206" s="8"/>
      <c r="E206" s="8"/>
      <c r="F206" s="8"/>
      <c r="G206" s="11"/>
      <c r="H206" s="11"/>
      <c r="I206" s="11"/>
      <c r="J206" s="11"/>
      <c r="K206" s="12" t="str">
        <f t="shared" si="12"/>
        <v/>
      </c>
      <c r="L206" s="12" t="str">
        <f t="shared" si="13"/>
        <v/>
      </c>
      <c r="M206" s="12" t="str">
        <f t="shared" si="14"/>
        <v/>
      </c>
      <c r="N206" s="12" t="str">
        <f t="shared" si="15"/>
        <v/>
      </c>
      <c r="O206" s="8"/>
      <c r="P206" s="8"/>
      <c r="Q206" s="8"/>
      <c r="R206" s="10"/>
      <c r="S206" s="10"/>
      <c r="T206" s="10"/>
      <c r="U206" s="10"/>
      <c r="V206" s="8"/>
      <c r="W206" s="8"/>
      <c r="X206" s="8"/>
      <c r="Y206" s="8"/>
      <c r="Z206" s="8"/>
      <c r="AA206" s="8"/>
      <c r="AB206" s="10"/>
      <c r="AC206" s="8"/>
    </row>
    <row r="207" spans="1:29">
      <c r="A207" s="8"/>
      <c r="B207" s="8"/>
      <c r="C207" s="8"/>
      <c r="D207" s="8"/>
      <c r="E207" s="8"/>
      <c r="F207" s="8"/>
      <c r="G207" s="11"/>
      <c r="H207" s="11"/>
      <c r="I207" s="11"/>
      <c r="J207" s="11"/>
      <c r="K207" s="12" t="str">
        <f t="shared" si="12"/>
        <v/>
      </c>
      <c r="L207" s="12" t="str">
        <f t="shared" si="13"/>
        <v/>
      </c>
      <c r="M207" s="12" t="str">
        <f t="shared" si="14"/>
        <v/>
      </c>
      <c r="N207" s="12" t="str">
        <f t="shared" si="15"/>
        <v/>
      </c>
      <c r="O207" s="8"/>
      <c r="P207" s="8"/>
      <c r="Q207" s="8"/>
      <c r="R207" s="10"/>
      <c r="S207" s="10"/>
      <c r="T207" s="10"/>
      <c r="U207" s="10"/>
      <c r="V207" s="8"/>
      <c r="W207" s="8"/>
      <c r="X207" s="8"/>
      <c r="Y207" s="8"/>
      <c r="Z207" s="8"/>
      <c r="AA207" s="8"/>
      <c r="AB207" s="10"/>
      <c r="AC207" s="8"/>
    </row>
    <row r="208" spans="1:29">
      <c r="A208" s="8"/>
      <c r="B208" s="8"/>
      <c r="C208" s="8"/>
      <c r="D208" s="8"/>
      <c r="E208" s="8"/>
      <c r="F208" s="8"/>
      <c r="G208" s="11"/>
      <c r="H208" s="11"/>
      <c r="I208" s="11"/>
      <c r="J208" s="11"/>
      <c r="K208" s="12" t="str">
        <f t="shared" si="12"/>
        <v/>
      </c>
      <c r="L208" s="12" t="str">
        <f t="shared" si="13"/>
        <v/>
      </c>
      <c r="M208" s="12" t="str">
        <f t="shared" si="14"/>
        <v/>
      </c>
      <c r="N208" s="12" t="str">
        <f t="shared" si="15"/>
        <v/>
      </c>
      <c r="O208" s="8"/>
      <c r="P208" s="8"/>
      <c r="Q208" s="8"/>
      <c r="R208" s="10"/>
      <c r="S208" s="10"/>
      <c r="T208" s="10"/>
      <c r="U208" s="10"/>
      <c r="V208" s="8"/>
      <c r="W208" s="8"/>
      <c r="X208" s="8"/>
      <c r="Y208" s="8"/>
      <c r="Z208" s="8"/>
      <c r="AA208" s="8"/>
      <c r="AB208" s="10"/>
      <c r="AC208" s="8"/>
    </row>
    <row r="209" spans="1:29">
      <c r="A209" s="8"/>
      <c r="B209" s="8"/>
      <c r="C209" s="8"/>
      <c r="D209" s="8"/>
      <c r="E209" s="8"/>
      <c r="F209" s="8"/>
      <c r="G209" s="11"/>
      <c r="H209" s="11"/>
      <c r="I209" s="11"/>
      <c r="J209" s="11"/>
      <c r="K209" s="12" t="str">
        <f t="shared" si="12"/>
        <v/>
      </c>
      <c r="L209" s="12" t="str">
        <f t="shared" si="13"/>
        <v/>
      </c>
      <c r="M209" s="12" t="str">
        <f t="shared" si="14"/>
        <v/>
      </c>
      <c r="N209" s="12" t="str">
        <f t="shared" si="15"/>
        <v/>
      </c>
      <c r="O209" s="8"/>
      <c r="P209" s="8"/>
      <c r="Q209" s="8"/>
      <c r="R209" s="10"/>
      <c r="S209" s="10"/>
      <c r="T209" s="10"/>
      <c r="U209" s="10"/>
      <c r="V209" s="8"/>
      <c r="W209" s="8"/>
      <c r="X209" s="8"/>
      <c r="Y209" s="8"/>
      <c r="Z209" s="8"/>
      <c r="AA209" s="8"/>
      <c r="AB209" s="10"/>
      <c r="AC209" s="8"/>
    </row>
    <row r="210" spans="1:29">
      <c r="A210" s="8"/>
      <c r="B210" s="8"/>
      <c r="C210" s="8"/>
      <c r="D210" s="8"/>
      <c r="E210" s="8"/>
      <c r="F210" s="8"/>
      <c r="G210" s="11"/>
      <c r="H210" s="11"/>
      <c r="I210" s="11"/>
      <c r="J210" s="11"/>
      <c r="K210" s="12" t="str">
        <f t="shared" si="12"/>
        <v/>
      </c>
      <c r="L210" s="12" t="str">
        <f t="shared" si="13"/>
        <v/>
      </c>
      <c r="M210" s="12" t="str">
        <f t="shared" si="14"/>
        <v/>
      </c>
      <c r="N210" s="12" t="str">
        <f t="shared" si="15"/>
        <v/>
      </c>
      <c r="O210" s="8"/>
      <c r="P210" s="8"/>
      <c r="Q210" s="8"/>
      <c r="R210" s="10"/>
      <c r="S210" s="10"/>
      <c r="T210" s="10"/>
      <c r="U210" s="10"/>
      <c r="V210" s="8"/>
      <c r="W210" s="8"/>
      <c r="X210" s="8"/>
      <c r="Y210" s="8"/>
      <c r="Z210" s="8"/>
      <c r="AA210" s="8"/>
      <c r="AB210" s="10"/>
      <c r="AC210" s="8"/>
    </row>
    <row r="211" spans="1:29">
      <c r="A211" s="8"/>
      <c r="B211" s="8"/>
      <c r="C211" s="8"/>
      <c r="D211" s="8"/>
      <c r="E211" s="8"/>
      <c r="F211" s="8"/>
      <c r="G211" s="11"/>
      <c r="H211" s="11"/>
      <c r="I211" s="11"/>
      <c r="J211" s="11"/>
      <c r="K211" s="12" t="str">
        <f t="shared" si="12"/>
        <v/>
      </c>
      <c r="L211" s="12" t="str">
        <f t="shared" si="13"/>
        <v/>
      </c>
      <c r="M211" s="12" t="str">
        <f t="shared" si="14"/>
        <v/>
      </c>
      <c r="N211" s="12" t="str">
        <f t="shared" si="15"/>
        <v/>
      </c>
      <c r="O211" s="8"/>
      <c r="P211" s="8"/>
      <c r="Q211" s="8"/>
      <c r="R211" s="10"/>
      <c r="S211" s="10"/>
      <c r="T211" s="10"/>
      <c r="U211" s="10"/>
      <c r="V211" s="8"/>
      <c r="W211" s="8"/>
      <c r="X211" s="8"/>
      <c r="Y211" s="8"/>
      <c r="Z211" s="8"/>
      <c r="AA211" s="8"/>
      <c r="AB211" s="10"/>
      <c r="AC211" s="8"/>
    </row>
    <row r="212" spans="1:29">
      <c r="A212" s="8"/>
      <c r="B212" s="8"/>
      <c r="C212" s="8"/>
      <c r="D212" s="8"/>
      <c r="E212" s="8"/>
      <c r="F212" s="8"/>
      <c r="G212" s="11"/>
      <c r="H212" s="11"/>
      <c r="I212" s="11"/>
      <c r="J212" s="11"/>
      <c r="K212" s="12" t="str">
        <f t="shared" si="12"/>
        <v/>
      </c>
      <c r="L212" s="12" t="str">
        <f t="shared" si="13"/>
        <v/>
      </c>
      <c r="M212" s="12" t="str">
        <f t="shared" si="14"/>
        <v/>
      </c>
      <c r="N212" s="12" t="str">
        <f t="shared" si="15"/>
        <v/>
      </c>
      <c r="O212" s="8"/>
      <c r="P212" s="8"/>
      <c r="Q212" s="8"/>
      <c r="R212" s="10"/>
      <c r="S212" s="10"/>
      <c r="T212" s="10"/>
      <c r="U212" s="10"/>
      <c r="V212" s="8"/>
      <c r="W212" s="8"/>
      <c r="X212" s="8"/>
      <c r="Y212" s="8"/>
      <c r="Z212" s="8"/>
      <c r="AA212" s="8"/>
      <c r="AB212" s="10"/>
      <c r="AC212" s="8"/>
    </row>
    <row r="213" spans="1:29">
      <c r="A213" s="8"/>
      <c r="B213" s="8"/>
      <c r="C213" s="8"/>
      <c r="D213" s="8"/>
      <c r="E213" s="8"/>
      <c r="F213" s="8"/>
      <c r="G213" s="11"/>
      <c r="H213" s="11"/>
      <c r="I213" s="11"/>
      <c r="J213" s="11"/>
      <c r="K213" s="12" t="str">
        <f t="shared" si="12"/>
        <v/>
      </c>
      <c r="L213" s="12" t="str">
        <f t="shared" si="13"/>
        <v/>
      </c>
      <c r="M213" s="12" t="str">
        <f t="shared" si="14"/>
        <v/>
      </c>
      <c r="N213" s="12" t="str">
        <f t="shared" si="15"/>
        <v/>
      </c>
      <c r="O213" s="8"/>
      <c r="P213" s="8"/>
      <c r="Q213" s="8"/>
      <c r="R213" s="10"/>
      <c r="S213" s="10"/>
      <c r="T213" s="10"/>
      <c r="U213" s="10"/>
      <c r="V213" s="8"/>
      <c r="W213" s="8"/>
      <c r="X213" s="8"/>
      <c r="Y213" s="8"/>
      <c r="Z213" s="8"/>
      <c r="AA213" s="8"/>
      <c r="AB213" s="10"/>
      <c r="AC213" s="8"/>
    </row>
    <row r="214" spans="1:29">
      <c r="A214" s="8"/>
      <c r="B214" s="8"/>
      <c r="C214" s="8"/>
      <c r="D214" s="8"/>
      <c r="E214" s="8"/>
      <c r="F214" s="8"/>
      <c r="G214" s="11"/>
      <c r="H214" s="11"/>
      <c r="I214" s="11"/>
      <c r="J214" s="11"/>
      <c r="K214" s="12" t="str">
        <f t="shared" si="12"/>
        <v/>
      </c>
      <c r="L214" s="12" t="str">
        <f t="shared" si="13"/>
        <v/>
      </c>
      <c r="M214" s="12" t="str">
        <f t="shared" si="14"/>
        <v/>
      </c>
      <c r="N214" s="12" t="str">
        <f t="shared" si="15"/>
        <v/>
      </c>
      <c r="O214" s="8"/>
      <c r="P214" s="8"/>
      <c r="Q214" s="8"/>
      <c r="R214" s="10"/>
      <c r="S214" s="10"/>
      <c r="T214" s="10"/>
      <c r="U214" s="10"/>
      <c r="V214" s="8"/>
      <c r="W214" s="8"/>
      <c r="X214" s="8"/>
      <c r="Y214" s="8"/>
      <c r="Z214" s="8"/>
      <c r="AA214" s="8"/>
      <c r="AB214" s="10"/>
      <c r="AC214" s="8"/>
    </row>
    <row r="215" spans="1:29">
      <c r="A215" s="8"/>
      <c r="B215" s="8"/>
      <c r="C215" s="8"/>
      <c r="D215" s="8"/>
      <c r="E215" s="8"/>
      <c r="F215" s="8"/>
      <c r="G215" s="11"/>
      <c r="H215" s="11"/>
      <c r="I215" s="11"/>
      <c r="J215" s="11"/>
      <c r="K215" s="12" t="str">
        <f t="shared" si="12"/>
        <v/>
      </c>
      <c r="L215" s="12" t="str">
        <f t="shared" si="13"/>
        <v/>
      </c>
      <c r="M215" s="12" t="str">
        <f t="shared" si="14"/>
        <v/>
      </c>
      <c r="N215" s="12" t="str">
        <f t="shared" si="15"/>
        <v/>
      </c>
      <c r="O215" s="8"/>
      <c r="P215" s="8"/>
      <c r="Q215" s="8"/>
      <c r="R215" s="10"/>
      <c r="S215" s="10"/>
      <c r="T215" s="10"/>
      <c r="U215" s="10"/>
      <c r="V215" s="8"/>
      <c r="W215" s="8"/>
      <c r="X215" s="8"/>
      <c r="Y215" s="8"/>
      <c r="Z215" s="8"/>
      <c r="AA215" s="8"/>
      <c r="AB215" s="10"/>
      <c r="AC215" s="8"/>
    </row>
    <row r="216" spans="1:29">
      <c r="A216" s="8"/>
      <c r="B216" s="8"/>
      <c r="C216" s="8"/>
      <c r="D216" s="8"/>
      <c r="E216" s="8"/>
      <c r="F216" s="8"/>
      <c r="G216" s="11"/>
      <c r="H216" s="11"/>
      <c r="I216" s="11"/>
      <c r="J216" s="11"/>
      <c r="K216" s="12" t="str">
        <f t="shared" si="12"/>
        <v/>
      </c>
      <c r="L216" s="12" t="str">
        <f t="shared" si="13"/>
        <v/>
      </c>
      <c r="M216" s="12" t="str">
        <f t="shared" si="14"/>
        <v/>
      </c>
      <c r="N216" s="12" t="str">
        <f t="shared" si="15"/>
        <v/>
      </c>
      <c r="O216" s="8"/>
      <c r="P216" s="8"/>
      <c r="Q216" s="8"/>
      <c r="R216" s="10"/>
      <c r="S216" s="10"/>
      <c r="T216" s="10"/>
      <c r="U216" s="10"/>
      <c r="V216" s="8"/>
      <c r="W216" s="8"/>
      <c r="X216" s="8"/>
      <c r="Y216" s="8"/>
      <c r="Z216" s="8"/>
      <c r="AA216" s="8"/>
      <c r="AB216" s="10"/>
      <c r="AC216" s="8"/>
    </row>
    <row r="217" spans="1:29">
      <c r="A217" s="8"/>
      <c r="B217" s="8"/>
      <c r="C217" s="8"/>
      <c r="D217" s="8"/>
      <c r="E217" s="8"/>
      <c r="F217" s="8"/>
      <c r="G217" s="11"/>
      <c r="H217" s="11"/>
      <c r="I217" s="11"/>
      <c r="J217" s="11"/>
      <c r="K217" s="12" t="str">
        <f t="shared" si="12"/>
        <v/>
      </c>
      <c r="L217" s="12" t="str">
        <f t="shared" si="13"/>
        <v/>
      </c>
      <c r="M217" s="12" t="str">
        <f t="shared" si="14"/>
        <v/>
      </c>
      <c r="N217" s="12" t="str">
        <f t="shared" si="15"/>
        <v/>
      </c>
      <c r="O217" s="8"/>
      <c r="P217" s="8"/>
      <c r="Q217" s="8"/>
      <c r="R217" s="10"/>
      <c r="S217" s="10"/>
      <c r="T217" s="10"/>
      <c r="U217" s="10"/>
      <c r="V217" s="8"/>
      <c r="W217" s="8"/>
      <c r="X217" s="8"/>
      <c r="Y217" s="8"/>
      <c r="Z217" s="8"/>
      <c r="AA217" s="8"/>
      <c r="AB217" s="10"/>
      <c r="AC217" s="8"/>
    </row>
    <row r="218" spans="1:29">
      <c r="A218" s="8"/>
      <c r="B218" s="8"/>
      <c r="C218" s="8"/>
      <c r="D218" s="8"/>
      <c r="E218" s="8"/>
      <c r="F218" s="8"/>
      <c r="G218" s="11"/>
      <c r="H218" s="11"/>
      <c r="I218" s="11"/>
      <c r="J218" s="11"/>
      <c r="K218" s="12" t="str">
        <f t="shared" si="12"/>
        <v/>
      </c>
      <c r="L218" s="12" t="str">
        <f t="shared" si="13"/>
        <v/>
      </c>
      <c r="M218" s="12" t="str">
        <f t="shared" si="14"/>
        <v/>
      </c>
      <c r="N218" s="12" t="str">
        <f t="shared" si="15"/>
        <v/>
      </c>
      <c r="O218" s="8"/>
      <c r="P218" s="8"/>
      <c r="Q218" s="8"/>
      <c r="R218" s="10"/>
      <c r="S218" s="10"/>
      <c r="T218" s="10"/>
      <c r="U218" s="10"/>
      <c r="V218" s="8"/>
      <c r="W218" s="8"/>
      <c r="X218" s="8"/>
      <c r="Y218" s="8"/>
      <c r="Z218" s="8"/>
      <c r="AA218" s="8"/>
      <c r="AB218" s="10"/>
      <c r="AC218" s="8"/>
    </row>
    <row r="219" spans="1:29">
      <c r="A219" s="8"/>
      <c r="B219" s="8"/>
      <c r="C219" s="8"/>
      <c r="D219" s="8"/>
      <c r="E219" s="8"/>
      <c r="F219" s="8"/>
      <c r="G219" s="11"/>
      <c r="H219" s="11"/>
      <c r="I219" s="11"/>
      <c r="J219" s="11"/>
      <c r="K219" s="12" t="str">
        <f t="shared" si="12"/>
        <v/>
      </c>
      <c r="L219" s="12" t="str">
        <f t="shared" si="13"/>
        <v/>
      </c>
      <c r="M219" s="12" t="str">
        <f t="shared" si="14"/>
        <v/>
      </c>
      <c r="N219" s="12" t="str">
        <f t="shared" si="15"/>
        <v/>
      </c>
      <c r="O219" s="8"/>
      <c r="P219" s="8"/>
      <c r="Q219" s="8"/>
      <c r="R219" s="10"/>
      <c r="S219" s="10"/>
      <c r="T219" s="10"/>
      <c r="U219" s="10"/>
      <c r="V219" s="8"/>
      <c r="W219" s="8"/>
      <c r="X219" s="8"/>
      <c r="Y219" s="8"/>
      <c r="Z219" s="8"/>
      <c r="AA219" s="8"/>
      <c r="AB219" s="10"/>
      <c r="AC219" s="8"/>
    </row>
    <row r="220" spans="1:29">
      <c r="A220" s="8"/>
      <c r="B220" s="8"/>
      <c r="C220" s="8"/>
      <c r="D220" s="8"/>
      <c r="E220" s="8"/>
      <c r="F220" s="8"/>
      <c r="G220" s="11"/>
      <c r="H220" s="11"/>
      <c r="I220" s="11"/>
      <c r="J220" s="11"/>
      <c r="K220" s="12" t="str">
        <f t="shared" si="12"/>
        <v/>
      </c>
      <c r="L220" s="12" t="str">
        <f t="shared" si="13"/>
        <v/>
      </c>
      <c r="M220" s="12" t="str">
        <f t="shared" si="14"/>
        <v/>
      </c>
      <c r="N220" s="12" t="str">
        <f t="shared" si="15"/>
        <v/>
      </c>
      <c r="O220" s="8"/>
      <c r="P220" s="8"/>
      <c r="Q220" s="8"/>
      <c r="R220" s="10"/>
      <c r="S220" s="10"/>
      <c r="T220" s="10"/>
      <c r="U220" s="10"/>
      <c r="V220" s="8"/>
      <c r="W220" s="8"/>
      <c r="X220" s="8"/>
      <c r="Y220" s="8"/>
      <c r="Z220" s="8"/>
      <c r="AA220" s="8"/>
      <c r="AB220" s="10"/>
      <c r="AC220" s="8"/>
    </row>
    <row r="221" spans="1:29">
      <c r="A221" s="8"/>
      <c r="B221" s="8"/>
      <c r="C221" s="8"/>
      <c r="D221" s="8"/>
      <c r="E221" s="8"/>
      <c r="F221" s="8"/>
      <c r="G221" s="11"/>
      <c r="H221" s="11"/>
      <c r="I221" s="11"/>
      <c r="J221" s="11"/>
      <c r="K221" s="12" t="str">
        <f t="shared" si="12"/>
        <v/>
      </c>
      <c r="L221" s="12" t="str">
        <f t="shared" si="13"/>
        <v/>
      </c>
      <c r="M221" s="12" t="str">
        <f t="shared" si="14"/>
        <v/>
      </c>
      <c r="N221" s="12" t="str">
        <f t="shared" si="15"/>
        <v/>
      </c>
      <c r="O221" s="8"/>
      <c r="P221" s="8"/>
      <c r="Q221" s="8"/>
      <c r="R221" s="10"/>
      <c r="S221" s="10"/>
      <c r="T221" s="10"/>
      <c r="U221" s="10"/>
      <c r="V221" s="8"/>
      <c r="W221" s="8"/>
      <c r="X221" s="8"/>
      <c r="Y221" s="8"/>
      <c r="Z221" s="8"/>
      <c r="AA221" s="8"/>
      <c r="AB221" s="10"/>
      <c r="AC221" s="8"/>
    </row>
    <row r="222" spans="1:29">
      <c r="A222" s="8"/>
      <c r="B222" s="8"/>
      <c r="C222" s="8"/>
      <c r="D222" s="8"/>
      <c r="E222" s="8"/>
      <c r="F222" s="8"/>
      <c r="G222" s="11"/>
      <c r="H222" s="11"/>
      <c r="I222" s="11"/>
      <c r="J222" s="11"/>
      <c r="K222" s="12" t="str">
        <f t="shared" si="12"/>
        <v/>
      </c>
      <c r="L222" s="12" t="str">
        <f t="shared" si="13"/>
        <v/>
      </c>
      <c r="M222" s="12" t="str">
        <f t="shared" si="14"/>
        <v/>
      </c>
      <c r="N222" s="12" t="str">
        <f t="shared" si="15"/>
        <v/>
      </c>
      <c r="O222" s="8"/>
      <c r="P222" s="8"/>
      <c r="Q222" s="8"/>
      <c r="R222" s="10"/>
      <c r="S222" s="10"/>
      <c r="T222" s="10"/>
      <c r="U222" s="10"/>
      <c r="V222" s="8"/>
      <c r="W222" s="8"/>
      <c r="X222" s="8"/>
      <c r="Y222" s="8"/>
      <c r="Z222" s="8"/>
      <c r="AA222" s="8"/>
      <c r="AB222" s="10"/>
      <c r="AC222" s="8"/>
    </row>
    <row r="223" spans="1:29">
      <c r="A223" s="8"/>
      <c r="B223" s="8"/>
      <c r="C223" s="8"/>
      <c r="D223" s="8"/>
      <c r="E223" s="8"/>
      <c r="F223" s="8"/>
      <c r="G223" s="11"/>
      <c r="H223" s="11"/>
      <c r="I223" s="11"/>
      <c r="J223" s="11"/>
      <c r="K223" s="12" t="str">
        <f t="shared" si="12"/>
        <v/>
      </c>
      <c r="L223" s="12" t="str">
        <f t="shared" si="13"/>
        <v/>
      </c>
      <c r="M223" s="12" t="str">
        <f t="shared" si="14"/>
        <v/>
      </c>
      <c r="N223" s="12" t="str">
        <f t="shared" si="15"/>
        <v/>
      </c>
      <c r="O223" s="8"/>
      <c r="P223" s="8"/>
      <c r="Q223" s="8"/>
      <c r="R223" s="10"/>
      <c r="S223" s="10"/>
      <c r="T223" s="10"/>
      <c r="U223" s="10"/>
      <c r="V223" s="8"/>
      <c r="W223" s="8"/>
      <c r="X223" s="8"/>
      <c r="Y223" s="8"/>
      <c r="Z223" s="8"/>
      <c r="AA223" s="8"/>
      <c r="AB223" s="10"/>
      <c r="AC223" s="8"/>
    </row>
    <row r="224" spans="1:29">
      <c r="A224" s="8"/>
      <c r="B224" s="8"/>
      <c r="C224" s="8"/>
      <c r="D224" s="8"/>
      <c r="E224" s="8"/>
      <c r="F224" s="8"/>
      <c r="G224" s="11"/>
      <c r="H224" s="11"/>
      <c r="I224" s="11"/>
      <c r="J224" s="11"/>
      <c r="K224" s="12" t="str">
        <f t="shared" si="12"/>
        <v/>
      </c>
      <c r="L224" s="12" t="str">
        <f t="shared" si="13"/>
        <v/>
      </c>
      <c r="M224" s="12" t="str">
        <f t="shared" si="14"/>
        <v/>
      </c>
      <c r="N224" s="12" t="str">
        <f t="shared" si="15"/>
        <v/>
      </c>
      <c r="O224" s="8"/>
      <c r="P224" s="8"/>
      <c r="Q224" s="8"/>
      <c r="R224" s="10"/>
      <c r="S224" s="10"/>
      <c r="T224" s="10"/>
      <c r="U224" s="10"/>
      <c r="V224" s="8"/>
      <c r="W224" s="8"/>
      <c r="X224" s="8"/>
      <c r="Y224" s="8"/>
      <c r="Z224" s="8"/>
      <c r="AA224" s="8"/>
      <c r="AB224" s="10"/>
      <c r="AC224" s="8"/>
    </row>
    <row r="225" spans="1:29">
      <c r="A225" s="8"/>
      <c r="B225" s="8"/>
      <c r="C225" s="8"/>
      <c r="D225" s="8"/>
      <c r="E225" s="8"/>
      <c r="F225" s="8"/>
      <c r="G225" s="11"/>
      <c r="H225" s="11"/>
      <c r="I225" s="11"/>
      <c r="J225" s="11"/>
      <c r="K225" s="12" t="str">
        <f t="shared" si="12"/>
        <v/>
      </c>
      <c r="L225" s="12" t="str">
        <f t="shared" si="13"/>
        <v/>
      </c>
      <c r="M225" s="12" t="str">
        <f t="shared" si="14"/>
        <v/>
      </c>
      <c r="N225" s="12" t="str">
        <f t="shared" si="15"/>
        <v/>
      </c>
      <c r="O225" s="8"/>
      <c r="P225" s="8"/>
      <c r="Q225" s="8"/>
      <c r="R225" s="10"/>
      <c r="S225" s="10"/>
      <c r="T225" s="10"/>
      <c r="U225" s="10"/>
      <c r="V225" s="8"/>
      <c r="W225" s="8"/>
      <c r="X225" s="8"/>
      <c r="Y225" s="8"/>
      <c r="Z225" s="8"/>
      <c r="AA225" s="8"/>
      <c r="AB225" s="10"/>
      <c r="AC225" s="8"/>
    </row>
    <row r="226" spans="1:29">
      <c r="A226" s="8"/>
      <c r="B226" s="8"/>
      <c r="C226" s="8"/>
      <c r="D226" s="8"/>
      <c r="E226" s="8"/>
      <c r="F226" s="8"/>
      <c r="G226" s="11"/>
      <c r="H226" s="11"/>
      <c r="I226" s="11"/>
      <c r="J226" s="11"/>
      <c r="K226" s="12" t="str">
        <f t="shared" si="12"/>
        <v/>
      </c>
      <c r="L226" s="12" t="str">
        <f t="shared" si="13"/>
        <v/>
      </c>
      <c r="M226" s="12" t="str">
        <f t="shared" si="14"/>
        <v/>
      </c>
      <c r="N226" s="12" t="str">
        <f t="shared" si="15"/>
        <v/>
      </c>
      <c r="O226" s="8"/>
      <c r="P226" s="8"/>
      <c r="Q226" s="8"/>
      <c r="R226" s="10"/>
      <c r="S226" s="10"/>
      <c r="T226" s="10"/>
      <c r="U226" s="10"/>
      <c r="V226" s="8"/>
      <c r="W226" s="8"/>
      <c r="X226" s="8"/>
      <c r="Y226" s="8"/>
      <c r="Z226" s="8"/>
      <c r="AA226" s="8"/>
      <c r="AB226" s="10"/>
      <c r="AC226" s="8"/>
    </row>
    <row r="227" spans="1:29">
      <c r="A227" s="8"/>
      <c r="B227" s="8"/>
      <c r="C227" s="8"/>
      <c r="D227" s="8"/>
      <c r="E227" s="8"/>
      <c r="F227" s="8"/>
      <c r="G227" s="11"/>
      <c r="H227" s="11"/>
      <c r="I227" s="11"/>
      <c r="J227" s="11"/>
      <c r="K227" s="12" t="str">
        <f t="shared" si="12"/>
        <v/>
      </c>
      <c r="L227" s="12" t="str">
        <f t="shared" si="13"/>
        <v/>
      </c>
      <c r="M227" s="12" t="str">
        <f t="shared" si="14"/>
        <v/>
      </c>
      <c r="N227" s="12" t="str">
        <f t="shared" si="15"/>
        <v/>
      </c>
      <c r="O227" s="8"/>
      <c r="P227" s="8"/>
      <c r="Q227" s="8"/>
      <c r="R227" s="10"/>
      <c r="S227" s="10"/>
      <c r="T227" s="10"/>
      <c r="U227" s="10"/>
      <c r="V227" s="8"/>
      <c r="W227" s="8"/>
      <c r="X227" s="8"/>
      <c r="Y227" s="8"/>
      <c r="Z227" s="8"/>
      <c r="AA227" s="8"/>
      <c r="AB227" s="10"/>
      <c r="AC227" s="8"/>
    </row>
    <row r="228" spans="1:29">
      <c r="A228" s="8"/>
      <c r="B228" s="8"/>
      <c r="C228" s="8"/>
      <c r="D228" s="8"/>
      <c r="E228" s="8"/>
      <c r="F228" s="8"/>
      <c r="G228" s="11"/>
      <c r="H228" s="11"/>
      <c r="I228" s="11"/>
      <c r="J228" s="11"/>
      <c r="K228" s="12" t="str">
        <f t="shared" si="12"/>
        <v/>
      </c>
      <c r="L228" s="12" t="str">
        <f t="shared" si="13"/>
        <v/>
      </c>
      <c r="M228" s="12" t="str">
        <f t="shared" si="14"/>
        <v/>
      </c>
      <c r="N228" s="12" t="str">
        <f t="shared" si="15"/>
        <v/>
      </c>
      <c r="O228" s="8"/>
      <c r="P228" s="8"/>
      <c r="Q228" s="8"/>
      <c r="R228" s="10"/>
      <c r="S228" s="10"/>
      <c r="T228" s="10"/>
      <c r="U228" s="10"/>
      <c r="V228" s="8"/>
      <c r="W228" s="8"/>
      <c r="X228" s="8"/>
      <c r="Y228" s="8"/>
      <c r="Z228" s="8"/>
      <c r="AA228" s="8"/>
      <c r="AB228" s="10"/>
      <c r="AC228" s="8"/>
    </row>
    <row r="229" spans="1:29">
      <c r="A229" s="8"/>
      <c r="B229" s="8"/>
      <c r="C229" s="8"/>
      <c r="D229" s="8"/>
      <c r="E229" s="8"/>
      <c r="F229" s="8"/>
      <c r="G229" s="11"/>
      <c r="H229" s="11"/>
      <c r="I229" s="11"/>
      <c r="J229" s="11"/>
      <c r="K229" s="12" t="str">
        <f t="shared" si="12"/>
        <v/>
      </c>
      <c r="L229" s="12" t="str">
        <f t="shared" si="13"/>
        <v/>
      </c>
      <c r="M229" s="12" t="str">
        <f t="shared" si="14"/>
        <v/>
      </c>
      <c r="N229" s="12" t="str">
        <f t="shared" si="15"/>
        <v/>
      </c>
      <c r="O229" s="8"/>
      <c r="P229" s="8"/>
      <c r="Q229" s="8"/>
      <c r="R229" s="10"/>
      <c r="S229" s="10"/>
      <c r="T229" s="10"/>
      <c r="U229" s="10"/>
      <c r="V229" s="8"/>
      <c r="W229" s="8"/>
      <c r="X229" s="8"/>
      <c r="Y229" s="8"/>
      <c r="Z229" s="8"/>
      <c r="AA229" s="8"/>
      <c r="AB229" s="10"/>
      <c r="AC229" s="8"/>
    </row>
    <row r="230" spans="1:29">
      <c r="A230" s="8"/>
      <c r="B230" s="8"/>
      <c r="C230" s="8"/>
      <c r="D230" s="8"/>
      <c r="E230" s="8"/>
      <c r="F230" s="8"/>
      <c r="G230" s="11"/>
      <c r="H230" s="11"/>
      <c r="I230" s="11"/>
      <c r="J230" s="11"/>
      <c r="K230" s="12" t="str">
        <f t="shared" si="12"/>
        <v/>
      </c>
      <c r="L230" s="12" t="str">
        <f t="shared" si="13"/>
        <v/>
      </c>
      <c r="M230" s="12" t="str">
        <f t="shared" si="14"/>
        <v/>
      </c>
      <c r="N230" s="12" t="str">
        <f t="shared" si="15"/>
        <v/>
      </c>
      <c r="O230" s="8"/>
      <c r="P230" s="8"/>
      <c r="Q230" s="8"/>
      <c r="R230" s="10"/>
      <c r="S230" s="10"/>
      <c r="T230" s="10"/>
      <c r="U230" s="10"/>
      <c r="V230" s="8"/>
      <c r="W230" s="8"/>
      <c r="X230" s="8"/>
      <c r="Y230" s="8"/>
      <c r="Z230" s="8"/>
      <c r="AA230" s="8"/>
      <c r="AB230" s="10"/>
      <c r="AC230" s="8"/>
    </row>
    <row r="231" spans="1:29">
      <c r="A231" s="8"/>
      <c r="B231" s="8"/>
      <c r="C231" s="8"/>
      <c r="D231" s="8"/>
      <c r="E231" s="8"/>
      <c r="F231" s="8"/>
      <c r="G231" s="11"/>
      <c r="H231" s="11"/>
      <c r="I231" s="11"/>
      <c r="J231" s="11"/>
      <c r="K231" s="12" t="str">
        <f t="shared" si="12"/>
        <v/>
      </c>
      <c r="L231" s="12" t="str">
        <f t="shared" si="13"/>
        <v/>
      </c>
      <c r="M231" s="12" t="str">
        <f t="shared" si="14"/>
        <v/>
      </c>
      <c r="N231" s="12" t="str">
        <f t="shared" si="15"/>
        <v/>
      </c>
      <c r="O231" s="8"/>
      <c r="P231" s="8"/>
      <c r="Q231" s="8"/>
      <c r="R231" s="10"/>
      <c r="S231" s="10"/>
      <c r="T231" s="10"/>
      <c r="U231" s="10"/>
      <c r="V231" s="8"/>
      <c r="W231" s="8"/>
      <c r="X231" s="8"/>
      <c r="Y231" s="8"/>
      <c r="Z231" s="8"/>
      <c r="AA231" s="8"/>
      <c r="AB231" s="10"/>
      <c r="AC231" s="8"/>
    </row>
    <row r="232" spans="1:29">
      <c r="A232" s="8"/>
      <c r="B232" s="8"/>
      <c r="C232" s="8"/>
      <c r="D232" s="8"/>
      <c r="E232" s="8"/>
      <c r="F232" s="8"/>
      <c r="G232" s="11"/>
      <c r="H232" s="11"/>
      <c r="I232" s="11"/>
      <c r="J232" s="11"/>
      <c r="K232" s="12" t="str">
        <f t="shared" si="12"/>
        <v/>
      </c>
      <c r="L232" s="12" t="str">
        <f t="shared" si="13"/>
        <v/>
      </c>
      <c r="M232" s="12" t="str">
        <f t="shared" si="14"/>
        <v/>
      </c>
      <c r="N232" s="12" t="str">
        <f t="shared" si="15"/>
        <v/>
      </c>
      <c r="O232" s="8"/>
      <c r="P232" s="8"/>
      <c r="Q232" s="8"/>
      <c r="R232" s="10"/>
      <c r="S232" s="10"/>
      <c r="T232" s="10"/>
      <c r="U232" s="10"/>
      <c r="V232" s="8"/>
      <c r="W232" s="8"/>
      <c r="X232" s="8"/>
      <c r="Y232" s="8"/>
      <c r="Z232" s="8"/>
      <c r="AA232" s="8"/>
      <c r="AB232" s="10"/>
      <c r="AC232" s="8"/>
    </row>
    <row r="233" spans="1:29">
      <c r="A233" s="8"/>
      <c r="B233" s="8"/>
      <c r="C233" s="8"/>
      <c r="D233" s="8"/>
      <c r="E233" s="8"/>
      <c r="F233" s="8"/>
      <c r="G233" s="11"/>
      <c r="H233" s="11"/>
      <c r="I233" s="11"/>
      <c r="J233" s="11"/>
      <c r="K233" s="12" t="str">
        <f t="shared" si="12"/>
        <v/>
      </c>
      <c r="L233" s="12" t="str">
        <f t="shared" si="13"/>
        <v/>
      </c>
      <c r="M233" s="12" t="str">
        <f t="shared" si="14"/>
        <v/>
      </c>
      <c r="N233" s="12" t="str">
        <f t="shared" si="15"/>
        <v/>
      </c>
      <c r="O233" s="8"/>
      <c r="P233" s="8"/>
      <c r="Q233" s="8"/>
      <c r="R233" s="10"/>
      <c r="S233" s="10"/>
      <c r="T233" s="10"/>
      <c r="U233" s="10"/>
      <c r="V233" s="8"/>
      <c r="W233" s="8"/>
      <c r="X233" s="8"/>
      <c r="Y233" s="8"/>
      <c r="Z233" s="8"/>
      <c r="AA233" s="8"/>
      <c r="AB233" s="10"/>
      <c r="AC233" s="8"/>
    </row>
    <row r="234" spans="1:29">
      <c r="A234" s="8"/>
      <c r="B234" s="8"/>
      <c r="C234" s="8"/>
      <c r="D234" s="8"/>
      <c r="E234" s="8"/>
      <c r="F234" s="8"/>
      <c r="G234" s="11"/>
      <c r="H234" s="11"/>
      <c r="I234" s="11"/>
      <c r="J234" s="11"/>
      <c r="K234" s="12" t="str">
        <f t="shared" si="12"/>
        <v/>
      </c>
      <c r="L234" s="12" t="str">
        <f t="shared" si="13"/>
        <v/>
      </c>
      <c r="M234" s="12" t="str">
        <f t="shared" si="14"/>
        <v/>
      </c>
      <c r="N234" s="12" t="str">
        <f t="shared" si="15"/>
        <v/>
      </c>
      <c r="O234" s="8"/>
      <c r="P234" s="8"/>
      <c r="Q234" s="8"/>
      <c r="R234" s="10"/>
      <c r="S234" s="10"/>
      <c r="T234" s="10"/>
      <c r="U234" s="10"/>
      <c r="V234" s="8"/>
      <c r="W234" s="8"/>
      <c r="X234" s="8"/>
      <c r="Y234" s="8"/>
      <c r="Z234" s="8"/>
      <c r="AA234" s="8"/>
      <c r="AB234" s="10"/>
      <c r="AC234" s="8"/>
    </row>
    <row r="235" spans="1:29">
      <c r="A235" s="8"/>
      <c r="B235" s="8"/>
      <c r="C235" s="8"/>
      <c r="D235" s="8"/>
      <c r="E235" s="8"/>
      <c r="F235" s="8"/>
      <c r="G235" s="11"/>
      <c r="H235" s="11"/>
      <c r="I235" s="11"/>
      <c r="J235" s="11"/>
      <c r="K235" s="12" t="str">
        <f t="shared" si="12"/>
        <v/>
      </c>
      <c r="L235" s="12" t="str">
        <f t="shared" si="13"/>
        <v/>
      </c>
      <c r="M235" s="12" t="str">
        <f t="shared" si="14"/>
        <v/>
      </c>
      <c r="N235" s="12" t="str">
        <f t="shared" si="15"/>
        <v/>
      </c>
      <c r="O235" s="8"/>
      <c r="P235" s="8"/>
      <c r="Q235" s="8"/>
      <c r="R235" s="10"/>
      <c r="S235" s="10"/>
      <c r="T235" s="10"/>
      <c r="U235" s="10"/>
      <c r="V235" s="8"/>
      <c r="W235" s="8"/>
      <c r="X235" s="8"/>
      <c r="Y235" s="8"/>
      <c r="Z235" s="8"/>
      <c r="AA235" s="8"/>
      <c r="AB235" s="10"/>
      <c r="AC235" s="8"/>
    </row>
    <row r="236" spans="1:29">
      <c r="A236" s="8"/>
      <c r="B236" s="8"/>
      <c r="C236" s="8"/>
      <c r="D236" s="8"/>
      <c r="E236" s="8"/>
      <c r="F236" s="8"/>
      <c r="G236" s="11"/>
      <c r="H236" s="11"/>
      <c r="I236" s="11"/>
      <c r="J236" s="11"/>
      <c r="K236" s="12" t="str">
        <f t="shared" si="12"/>
        <v/>
      </c>
      <c r="L236" s="12" t="str">
        <f t="shared" si="13"/>
        <v/>
      </c>
      <c r="M236" s="12" t="str">
        <f t="shared" si="14"/>
        <v/>
      </c>
      <c r="N236" s="12" t="str">
        <f t="shared" si="15"/>
        <v/>
      </c>
      <c r="O236" s="8"/>
      <c r="P236" s="8"/>
      <c r="Q236" s="8"/>
      <c r="R236" s="10"/>
      <c r="S236" s="10"/>
      <c r="T236" s="10"/>
      <c r="U236" s="10"/>
      <c r="V236" s="8"/>
      <c r="W236" s="8"/>
      <c r="X236" s="8"/>
      <c r="Y236" s="8"/>
      <c r="Z236" s="8"/>
      <c r="AA236" s="8"/>
      <c r="AB236" s="10"/>
      <c r="AC236" s="8"/>
    </row>
    <row r="237" spans="1:29">
      <c r="A237" s="8"/>
      <c r="B237" s="8"/>
      <c r="C237" s="8"/>
      <c r="D237" s="8"/>
      <c r="E237" s="8"/>
      <c r="F237" s="8"/>
      <c r="G237" s="11"/>
      <c r="H237" s="11"/>
      <c r="I237" s="11"/>
      <c r="J237" s="11"/>
      <c r="K237" s="12" t="str">
        <f t="shared" si="12"/>
        <v/>
      </c>
      <c r="L237" s="12" t="str">
        <f t="shared" si="13"/>
        <v/>
      </c>
      <c r="M237" s="12" t="str">
        <f t="shared" si="14"/>
        <v/>
      </c>
      <c r="N237" s="12" t="str">
        <f t="shared" si="15"/>
        <v/>
      </c>
      <c r="O237" s="8"/>
      <c r="P237" s="8"/>
      <c r="Q237" s="8"/>
      <c r="R237" s="10"/>
      <c r="S237" s="10"/>
      <c r="T237" s="10"/>
      <c r="U237" s="10"/>
      <c r="V237" s="8"/>
      <c r="W237" s="8"/>
      <c r="X237" s="8"/>
      <c r="Y237" s="8"/>
      <c r="Z237" s="8"/>
      <c r="AA237" s="8"/>
      <c r="AB237" s="10"/>
      <c r="AC237" s="8"/>
    </row>
    <row r="238" spans="1:29">
      <c r="A238" s="8"/>
      <c r="B238" s="8"/>
      <c r="C238" s="8"/>
      <c r="D238" s="8"/>
      <c r="E238" s="8"/>
      <c r="F238" s="8"/>
      <c r="G238" s="11"/>
      <c r="H238" s="11"/>
      <c r="I238" s="11"/>
      <c r="J238" s="11"/>
      <c r="K238" s="12" t="str">
        <f t="shared" si="12"/>
        <v/>
      </c>
      <c r="L238" s="12" t="str">
        <f t="shared" si="13"/>
        <v/>
      </c>
      <c r="M238" s="12" t="str">
        <f t="shared" si="14"/>
        <v/>
      </c>
      <c r="N238" s="12" t="str">
        <f t="shared" si="15"/>
        <v/>
      </c>
      <c r="O238" s="8"/>
      <c r="P238" s="8"/>
      <c r="Q238" s="8"/>
      <c r="R238" s="10"/>
      <c r="S238" s="10"/>
      <c r="T238" s="10"/>
      <c r="U238" s="10"/>
      <c r="V238" s="8"/>
      <c r="W238" s="8"/>
      <c r="X238" s="8"/>
      <c r="Y238" s="8"/>
      <c r="Z238" s="8"/>
      <c r="AA238" s="8"/>
      <c r="AB238" s="10"/>
      <c r="AC238" s="8"/>
    </row>
    <row r="239" spans="1:29">
      <c r="A239" s="8"/>
      <c r="B239" s="8"/>
      <c r="C239" s="8"/>
      <c r="D239" s="8"/>
      <c r="E239" s="8"/>
      <c r="F239" s="8"/>
      <c r="G239" s="11"/>
      <c r="H239" s="11"/>
      <c r="I239" s="11"/>
      <c r="J239" s="11"/>
      <c r="K239" s="12" t="str">
        <f t="shared" si="12"/>
        <v/>
      </c>
      <c r="L239" s="12" t="str">
        <f t="shared" si="13"/>
        <v/>
      </c>
      <c r="M239" s="12" t="str">
        <f t="shared" si="14"/>
        <v/>
      </c>
      <c r="N239" s="12" t="str">
        <f t="shared" si="15"/>
        <v/>
      </c>
      <c r="O239" s="8"/>
      <c r="P239" s="8"/>
      <c r="Q239" s="8"/>
      <c r="R239" s="10"/>
      <c r="S239" s="10"/>
      <c r="T239" s="10"/>
      <c r="U239" s="10"/>
      <c r="V239" s="8"/>
      <c r="W239" s="8"/>
      <c r="X239" s="8"/>
      <c r="Y239" s="8"/>
      <c r="Z239" s="8"/>
      <c r="AA239" s="8"/>
      <c r="AB239" s="10"/>
      <c r="AC239" s="8"/>
    </row>
    <row r="240" spans="1:29">
      <c r="A240" s="8"/>
      <c r="B240" s="8"/>
      <c r="C240" s="8"/>
      <c r="D240" s="8"/>
      <c r="E240" s="8"/>
      <c r="F240" s="8"/>
      <c r="G240" s="11"/>
      <c r="H240" s="11"/>
      <c r="I240" s="11"/>
      <c r="J240" s="11"/>
      <c r="K240" s="12" t="str">
        <f t="shared" si="12"/>
        <v/>
      </c>
      <c r="L240" s="12" t="str">
        <f t="shared" si="13"/>
        <v/>
      </c>
      <c r="M240" s="12" t="str">
        <f t="shared" si="14"/>
        <v/>
      </c>
      <c r="N240" s="12" t="str">
        <f t="shared" si="15"/>
        <v/>
      </c>
      <c r="O240" s="8"/>
      <c r="P240" s="8"/>
      <c r="Q240" s="8"/>
      <c r="R240" s="10"/>
      <c r="S240" s="10"/>
      <c r="T240" s="10"/>
      <c r="U240" s="10"/>
      <c r="V240" s="8"/>
      <c r="W240" s="8"/>
      <c r="X240" s="8"/>
      <c r="Y240" s="8"/>
      <c r="Z240" s="8"/>
      <c r="AA240" s="8"/>
      <c r="AB240" s="10"/>
      <c r="AC240" s="8"/>
    </row>
    <row r="241" spans="1:29">
      <c r="A241" s="8"/>
      <c r="B241" s="8"/>
      <c r="C241" s="8"/>
      <c r="D241" s="8"/>
      <c r="E241" s="8"/>
      <c r="F241" s="8"/>
      <c r="G241" s="11"/>
      <c r="H241" s="11"/>
      <c r="I241" s="11"/>
      <c r="J241" s="11"/>
      <c r="K241" s="12" t="str">
        <f t="shared" si="12"/>
        <v/>
      </c>
      <c r="L241" s="12" t="str">
        <f t="shared" si="13"/>
        <v/>
      </c>
      <c r="M241" s="12" t="str">
        <f t="shared" si="14"/>
        <v/>
      </c>
      <c r="N241" s="12" t="str">
        <f t="shared" si="15"/>
        <v/>
      </c>
      <c r="O241" s="8"/>
      <c r="P241" s="8"/>
      <c r="Q241" s="8"/>
      <c r="R241" s="10"/>
      <c r="S241" s="10"/>
      <c r="T241" s="10"/>
      <c r="U241" s="10"/>
      <c r="V241" s="8"/>
      <c r="W241" s="8"/>
      <c r="X241" s="8"/>
      <c r="Y241" s="8"/>
      <c r="Z241" s="8"/>
      <c r="AA241" s="8"/>
      <c r="AB241" s="10"/>
      <c r="AC241" s="8"/>
    </row>
    <row r="242" spans="1:29">
      <c r="A242" s="8"/>
      <c r="B242" s="8"/>
      <c r="C242" s="8"/>
      <c r="D242" s="8"/>
      <c r="E242" s="8"/>
      <c r="F242" s="8"/>
      <c r="G242" s="11"/>
      <c r="H242" s="11"/>
      <c r="I242" s="11"/>
      <c r="J242" s="11"/>
      <c r="K242" s="12" t="str">
        <f t="shared" si="12"/>
        <v/>
      </c>
      <c r="L242" s="12" t="str">
        <f t="shared" si="13"/>
        <v/>
      </c>
      <c r="M242" s="12" t="str">
        <f t="shared" si="14"/>
        <v/>
      </c>
      <c r="N242" s="12" t="str">
        <f t="shared" si="15"/>
        <v/>
      </c>
      <c r="O242" s="8"/>
      <c r="P242" s="8"/>
      <c r="Q242" s="8"/>
      <c r="R242" s="10"/>
      <c r="S242" s="10"/>
      <c r="T242" s="10"/>
      <c r="U242" s="10"/>
      <c r="V242" s="8"/>
      <c r="W242" s="8"/>
      <c r="X242" s="8"/>
      <c r="Y242" s="8"/>
      <c r="Z242" s="8"/>
      <c r="AA242" s="8"/>
      <c r="AB242" s="10"/>
      <c r="AC242" s="8"/>
    </row>
    <row r="243" spans="1:29">
      <c r="A243" s="8"/>
      <c r="B243" s="8"/>
      <c r="C243" s="8"/>
      <c r="D243" s="8"/>
      <c r="E243" s="8"/>
      <c r="F243" s="8"/>
      <c r="G243" s="11"/>
      <c r="H243" s="11"/>
      <c r="I243" s="11"/>
      <c r="J243" s="11"/>
      <c r="K243" s="12" t="str">
        <f t="shared" si="12"/>
        <v/>
      </c>
      <c r="L243" s="12" t="str">
        <f t="shared" si="13"/>
        <v/>
      </c>
      <c r="M243" s="12" t="str">
        <f t="shared" si="14"/>
        <v/>
      </c>
      <c r="N243" s="12" t="str">
        <f t="shared" si="15"/>
        <v/>
      </c>
      <c r="O243" s="8"/>
      <c r="P243" s="8"/>
      <c r="Q243" s="8"/>
      <c r="R243" s="10"/>
      <c r="S243" s="10"/>
      <c r="T243" s="10"/>
      <c r="U243" s="10"/>
      <c r="V243" s="8"/>
      <c r="W243" s="8"/>
      <c r="X243" s="8"/>
      <c r="Y243" s="8"/>
      <c r="Z243" s="8"/>
      <c r="AA243" s="8"/>
      <c r="AB243" s="10"/>
      <c r="AC243" s="8"/>
    </row>
    <row r="244" spans="1:29">
      <c r="A244" s="8"/>
      <c r="B244" s="8"/>
      <c r="C244" s="8"/>
      <c r="D244" s="8"/>
      <c r="E244" s="8"/>
      <c r="F244" s="8"/>
      <c r="G244" s="11"/>
      <c r="H244" s="11"/>
      <c r="I244" s="11"/>
      <c r="J244" s="11"/>
      <c r="K244" s="12" t="str">
        <f t="shared" si="12"/>
        <v/>
      </c>
      <c r="L244" s="12" t="str">
        <f t="shared" si="13"/>
        <v/>
      </c>
      <c r="M244" s="12" t="str">
        <f t="shared" si="14"/>
        <v/>
      </c>
      <c r="N244" s="12" t="str">
        <f t="shared" si="15"/>
        <v/>
      </c>
      <c r="O244" s="8"/>
      <c r="P244" s="8"/>
      <c r="Q244" s="8"/>
      <c r="R244" s="10"/>
      <c r="S244" s="10"/>
      <c r="T244" s="10"/>
      <c r="U244" s="10"/>
      <c r="V244" s="8"/>
      <c r="W244" s="8"/>
      <c r="X244" s="8"/>
      <c r="Y244" s="8"/>
      <c r="Z244" s="8"/>
      <c r="AA244" s="8"/>
      <c r="AB244" s="10"/>
      <c r="AC244" s="8"/>
    </row>
    <row r="245" spans="1:29">
      <c r="A245" s="8"/>
      <c r="B245" s="8"/>
      <c r="C245" s="8"/>
      <c r="D245" s="8"/>
      <c r="E245" s="8"/>
      <c r="F245" s="8"/>
      <c r="G245" s="11"/>
      <c r="H245" s="11"/>
      <c r="I245" s="11"/>
      <c r="J245" s="11"/>
      <c r="K245" s="12" t="str">
        <f t="shared" si="12"/>
        <v/>
      </c>
      <c r="L245" s="12" t="str">
        <f t="shared" si="13"/>
        <v/>
      </c>
      <c r="M245" s="12" t="str">
        <f t="shared" si="14"/>
        <v/>
      </c>
      <c r="N245" s="12" t="str">
        <f t="shared" si="15"/>
        <v/>
      </c>
      <c r="O245" s="8"/>
      <c r="P245" s="8"/>
      <c r="Q245" s="8"/>
      <c r="R245" s="10"/>
      <c r="S245" s="10"/>
      <c r="T245" s="10"/>
      <c r="U245" s="10"/>
      <c r="V245" s="8"/>
      <c r="W245" s="8"/>
      <c r="X245" s="8"/>
      <c r="Y245" s="8"/>
      <c r="Z245" s="8"/>
      <c r="AA245" s="8"/>
      <c r="AB245" s="10"/>
      <c r="AC245" s="8"/>
    </row>
    <row r="246" spans="1:29">
      <c r="A246" s="8"/>
      <c r="B246" s="8"/>
      <c r="C246" s="8"/>
      <c r="D246" s="8"/>
      <c r="E246" s="8"/>
      <c r="F246" s="8"/>
      <c r="G246" s="11"/>
      <c r="H246" s="11"/>
      <c r="I246" s="11"/>
      <c r="J246" s="11"/>
      <c r="K246" s="12" t="str">
        <f t="shared" si="12"/>
        <v/>
      </c>
      <c r="L246" s="12" t="str">
        <f t="shared" si="13"/>
        <v/>
      </c>
      <c r="M246" s="12" t="str">
        <f t="shared" si="14"/>
        <v/>
      </c>
      <c r="N246" s="12" t="str">
        <f t="shared" si="15"/>
        <v/>
      </c>
      <c r="O246" s="8"/>
      <c r="P246" s="8"/>
      <c r="Q246" s="8"/>
      <c r="R246" s="10"/>
      <c r="S246" s="10"/>
      <c r="T246" s="10"/>
      <c r="U246" s="10"/>
      <c r="V246" s="8"/>
      <c r="W246" s="8"/>
      <c r="X246" s="8"/>
      <c r="Y246" s="8"/>
      <c r="Z246" s="8"/>
      <c r="AA246" s="8"/>
      <c r="AB246" s="10"/>
      <c r="AC246" s="8"/>
    </row>
    <row r="247" spans="1:29">
      <c r="A247" s="8"/>
      <c r="B247" s="8"/>
      <c r="C247" s="8"/>
      <c r="D247" s="8"/>
      <c r="E247" s="8"/>
      <c r="F247" s="8"/>
      <c r="G247" s="11"/>
      <c r="H247" s="11"/>
      <c r="I247" s="11"/>
      <c r="J247" s="11"/>
      <c r="K247" s="12" t="str">
        <f t="shared" si="12"/>
        <v/>
      </c>
      <c r="L247" s="12" t="str">
        <f t="shared" si="13"/>
        <v/>
      </c>
      <c r="M247" s="12" t="str">
        <f t="shared" si="14"/>
        <v/>
      </c>
      <c r="N247" s="12" t="str">
        <f t="shared" si="15"/>
        <v/>
      </c>
      <c r="O247" s="8"/>
      <c r="P247" s="8"/>
      <c r="Q247" s="8"/>
      <c r="R247" s="10"/>
      <c r="S247" s="10"/>
      <c r="T247" s="10"/>
      <c r="U247" s="10"/>
      <c r="V247" s="8"/>
      <c r="W247" s="8"/>
      <c r="X247" s="8"/>
      <c r="Y247" s="8"/>
      <c r="Z247" s="8"/>
      <c r="AA247" s="8"/>
      <c r="AB247" s="10"/>
      <c r="AC247" s="8"/>
    </row>
    <row r="248" spans="1:29">
      <c r="A248" s="8"/>
      <c r="B248" s="8"/>
      <c r="C248" s="8"/>
      <c r="D248" s="8"/>
      <c r="E248" s="8"/>
      <c r="F248" s="8"/>
      <c r="G248" s="11"/>
      <c r="H248" s="11"/>
      <c r="I248" s="11"/>
      <c r="J248" s="11"/>
      <c r="K248" s="12" t="str">
        <f t="shared" si="12"/>
        <v/>
      </c>
      <c r="L248" s="12" t="str">
        <f t="shared" si="13"/>
        <v/>
      </c>
      <c r="M248" s="12" t="str">
        <f t="shared" si="14"/>
        <v/>
      </c>
      <c r="N248" s="12" t="str">
        <f t="shared" si="15"/>
        <v/>
      </c>
      <c r="O248" s="8"/>
      <c r="P248" s="8"/>
      <c r="Q248" s="8"/>
      <c r="R248" s="10"/>
      <c r="S248" s="10"/>
      <c r="T248" s="10"/>
      <c r="U248" s="10"/>
      <c r="V248" s="8"/>
      <c r="W248" s="8"/>
      <c r="X248" s="8"/>
      <c r="Y248" s="8"/>
      <c r="Z248" s="8"/>
      <c r="AA248" s="8"/>
      <c r="AB248" s="10"/>
      <c r="AC248" s="8"/>
    </row>
    <row r="249" spans="1:29">
      <c r="A249" s="8"/>
      <c r="B249" s="8"/>
      <c r="C249" s="8"/>
      <c r="D249" s="8"/>
      <c r="E249" s="8"/>
      <c r="F249" s="8"/>
      <c r="G249" s="11"/>
      <c r="H249" s="11"/>
      <c r="I249" s="11"/>
      <c r="J249" s="11"/>
      <c r="K249" s="12" t="str">
        <f t="shared" si="12"/>
        <v/>
      </c>
      <c r="L249" s="12" t="str">
        <f t="shared" si="13"/>
        <v/>
      </c>
      <c r="M249" s="12" t="str">
        <f t="shared" si="14"/>
        <v/>
      </c>
      <c r="N249" s="12" t="str">
        <f t="shared" si="15"/>
        <v/>
      </c>
      <c r="O249" s="8"/>
      <c r="P249" s="8"/>
      <c r="Q249" s="8"/>
      <c r="R249" s="10"/>
      <c r="S249" s="10"/>
      <c r="T249" s="10"/>
      <c r="U249" s="10"/>
      <c r="V249" s="8"/>
      <c r="W249" s="8"/>
      <c r="X249" s="8"/>
      <c r="Y249" s="8"/>
      <c r="Z249" s="8"/>
      <c r="AA249" s="8"/>
      <c r="AB249" s="10"/>
      <c r="AC249" s="8"/>
    </row>
    <row r="250" spans="1:29">
      <c r="A250" s="8"/>
      <c r="B250" s="8"/>
      <c r="C250" s="8"/>
      <c r="D250" s="8"/>
      <c r="E250" s="8"/>
      <c r="F250" s="8"/>
      <c r="G250" s="11"/>
      <c r="H250" s="11"/>
      <c r="I250" s="11"/>
      <c r="J250" s="11"/>
      <c r="K250" s="12" t="str">
        <f t="shared" si="12"/>
        <v/>
      </c>
      <c r="L250" s="12" t="str">
        <f t="shared" si="13"/>
        <v/>
      </c>
      <c r="M250" s="12" t="str">
        <f t="shared" si="14"/>
        <v/>
      </c>
      <c r="N250" s="12" t="str">
        <f t="shared" si="15"/>
        <v/>
      </c>
      <c r="O250" s="8"/>
      <c r="P250" s="8"/>
      <c r="Q250" s="8"/>
      <c r="R250" s="10"/>
      <c r="S250" s="10"/>
      <c r="T250" s="10"/>
      <c r="U250" s="10"/>
      <c r="V250" s="8"/>
      <c r="W250" s="8"/>
      <c r="X250" s="8"/>
      <c r="Y250" s="8"/>
      <c r="Z250" s="8"/>
      <c r="AA250" s="8"/>
      <c r="AB250" s="10"/>
      <c r="AC250" s="8"/>
    </row>
    <row r="251" spans="1:29">
      <c r="A251" s="8"/>
      <c r="B251" s="8"/>
      <c r="C251" s="8"/>
      <c r="D251" s="8"/>
      <c r="E251" s="8"/>
      <c r="F251" s="8"/>
      <c r="G251" s="11"/>
      <c r="H251" s="11"/>
      <c r="I251" s="11"/>
      <c r="J251" s="11"/>
      <c r="K251" s="12" t="str">
        <f t="shared" si="12"/>
        <v/>
      </c>
      <c r="L251" s="12" t="str">
        <f t="shared" si="13"/>
        <v/>
      </c>
      <c r="M251" s="12" t="str">
        <f t="shared" si="14"/>
        <v/>
      </c>
      <c r="N251" s="12" t="str">
        <f t="shared" si="15"/>
        <v/>
      </c>
      <c r="O251" s="8"/>
      <c r="P251" s="8"/>
      <c r="Q251" s="8"/>
      <c r="R251" s="10"/>
      <c r="S251" s="10"/>
      <c r="T251" s="10"/>
      <c r="U251" s="10"/>
      <c r="V251" s="8"/>
      <c r="W251" s="8"/>
      <c r="X251" s="8"/>
      <c r="Y251" s="8"/>
      <c r="Z251" s="8"/>
      <c r="AA251" s="8"/>
      <c r="AB251" s="10"/>
      <c r="AC251" s="8"/>
    </row>
    <row r="252" spans="1:29">
      <c r="A252" s="8"/>
      <c r="B252" s="8"/>
      <c r="C252" s="8"/>
      <c r="D252" s="8"/>
      <c r="E252" s="8"/>
      <c r="F252" s="8"/>
      <c r="G252" s="11"/>
      <c r="H252" s="11"/>
      <c r="I252" s="11"/>
      <c r="J252" s="11"/>
      <c r="K252" s="12" t="str">
        <f t="shared" si="12"/>
        <v/>
      </c>
      <c r="L252" s="12" t="str">
        <f t="shared" si="13"/>
        <v/>
      </c>
      <c r="M252" s="12" t="str">
        <f t="shared" si="14"/>
        <v/>
      </c>
      <c r="N252" s="12" t="str">
        <f t="shared" si="15"/>
        <v/>
      </c>
      <c r="O252" s="8"/>
      <c r="P252" s="8"/>
      <c r="Q252" s="8"/>
      <c r="R252" s="10"/>
      <c r="S252" s="10"/>
      <c r="T252" s="10"/>
      <c r="U252" s="10"/>
      <c r="V252" s="8"/>
      <c r="W252" s="8"/>
      <c r="X252" s="8"/>
      <c r="Y252" s="8"/>
      <c r="Z252" s="8"/>
      <c r="AA252" s="8"/>
      <c r="AB252" s="10"/>
      <c r="AC252" s="8"/>
    </row>
    <row r="253" spans="1:29">
      <c r="A253" s="8"/>
      <c r="B253" s="8"/>
      <c r="C253" s="8"/>
      <c r="D253" s="8"/>
      <c r="E253" s="8"/>
      <c r="F253" s="8"/>
      <c r="G253" s="11"/>
      <c r="H253" s="11"/>
      <c r="I253" s="11"/>
      <c r="J253" s="11"/>
      <c r="K253" s="12" t="str">
        <f t="shared" si="12"/>
        <v/>
      </c>
      <c r="L253" s="12" t="str">
        <f t="shared" si="13"/>
        <v/>
      </c>
      <c r="M253" s="12" t="str">
        <f t="shared" si="14"/>
        <v/>
      </c>
      <c r="N253" s="12" t="str">
        <f t="shared" si="15"/>
        <v/>
      </c>
      <c r="O253" s="8"/>
      <c r="P253" s="8"/>
      <c r="Q253" s="8"/>
      <c r="R253" s="10"/>
      <c r="S253" s="10"/>
      <c r="T253" s="10"/>
      <c r="U253" s="10"/>
      <c r="V253" s="8"/>
      <c r="W253" s="8"/>
      <c r="X253" s="8"/>
      <c r="Y253" s="8"/>
      <c r="Z253" s="8"/>
      <c r="AA253" s="8"/>
      <c r="AB253" s="10"/>
      <c r="AC253" s="8"/>
    </row>
    <row r="254" spans="1:29">
      <c r="A254" s="8"/>
      <c r="B254" s="8"/>
      <c r="C254" s="8"/>
      <c r="D254" s="8"/>
      <c r="E254" s="8"/>
      <c r="F254" s="8"/>
      <c r="G254" s="11"/>
      <c r="H254" s="11"/>
      <c r="I254" s="11"/>
      <c r="J254" s="11"/>
      <c r="K254" s="12" t="str">
        <f t="shared" si="12"/>
        <v/>
      </c>
      <c r="L254" s="12" t="str">
        <f t="shared" si="13"/>
        <v/>
      </c>
      <c r="M254" s="12" t="str">
        <f t="shared" si="14"/>
        <v/>
      </c>
      <c r="N254" s="12" t="str">
        <f t="shared" si="15"/>
        <v/>
      </c>
      <c r="O254" s="8"/>
      <c r="P254" s="8"/>
      <c r="Q254" s="8"/>
      <c r="R254" s="10"/>
      <c r="S254" s="10"/>
      <c r="T254" s="10"/>
      <c r="U254" s="10"/>
      <c r="V254" s="8"/>
      <c r="W254" s="8"/>
      <c r="X254" s="8"/>
      <c r="Y254" s="8"/>
      <c r="Z254" s="8"/>
      <c r="AA254" s="8"/>
      <c r="AB254" s="10"/>
      <c r="AC254" s="8"/>
    </row>
    <row r="255" spans="1:29">
      <c r="A255" s="8"/>
      <c r="B255" s="8"/>
      <c r="C255" s="8"/>
      <c r="D255" s="8"/>
      <c r="E255" s="8"/>
      <c r="F255" s="8"/>
      <c r="G255" s="11"/>
      <c r="H255" s="11"/>
      <c r="I255" s="11"/>
      <c r="J255" s="11"/>
      <c r="K255" s="12" t="str">
        <f t="shared" si="12"/>
        <v/>
      </c>
      <c r="L255" s="12" t="str">
        <f t="shared" si="13"/>
        <v/>
      </c>
      <c r="M255" s="12" t="str">
        <f t="shared" si="14"/>
        <v/>
      </c>
      <c r="N255" s="12" t="str">
        <f t="shared" si="15"/>
        <v/>
      </c>
      <c r="O255" s="8"/>
      <c r="P255" s="8"/>
      <c r="Q255" s="8"/>
      <c r="R255" s="10"/>
      <c r="S255" s="10"/>
      <c r="T255" s="10"/>
      <c r="U255" s="10"/>
      <c r="V255" s="8"/>
      <c r="W255" s="8"/>
      <c r="X255" s="8"/>
      <c r="Y255" s="8"/>
      <c r="Z255" s="8"/>
      <c r="AA255" s="8"/>
      <c r="AB255" s="10"/>
      <c r="AC255" s="8"/>
    </row>
    <row r="256" spans="1:29">
      <c r="A256" s="8"/>
      <c r="B256" s="8"/>
      <c r="C256" s="8"/>
      <c r="D256" s="8"/>
      <c r="E256" s="8"/>
      <c r="F256" s="8"/>
      <c r="G256" s="11"/>
      <c r="H256" s="11"/>
      <c r="I256" s="11"/>
      <c r="J256" s="11"/>
      <c r="K256" s="12" t="str">
        <f t="shared" si="12"/>
        <v/>
      </c>
      <c r="L256" s="12" t="str">
        <f t="shared" si="13"/>
        <v/>
      </c>
      <c r="M256" s="12" t="str">
        <f t="shared" si="14"/>
        <v/>
      </c>
      <c r="N256" s="12" t="str">
        <f t="shared" si="15"/>
        <v/>
      </c>
      <c r="O256" s="8"/>
      <c r="P256" s="8"/>
      <c r="Q256" s="8"/>
      <c r="R256" s="10"/>
      <c r="S256" s="10"/>
      <c r="T256" s="10"/>
      <c r="U256" s="10"/>
      <c r="V256" s="8"/>
      <c r="W256" s="8"/>
      <c r="X256" s="8"/>
      <c r="Y256" s="8"/>
      <c r="Z256" s="8"/>
      <c r="AA256" s="8"/>
      <c r="AB256" s="10"/>
      <c r="AC256" s="8"/>
    </row>
    <row r="257" spans="1:29">
      <c r="A257" s="8"/>
      <c r="B257" s="8"/>
      <c r="C257" s="8"/>
      <c r="D257" s="8"/>
      <c r="E257" s="8"/>
      <c r="F257" s="8"/>
      <c r="G257" s="11"/>
      <c r="H257" s="11"/>
      <c r="I257" s="11"/>
      <c r="J257" s="11"/>
      <c r="K257" s="12" t="str">
        <f t="shared" si="12"/>
        <v/>
      </c>
      <c r="L257" s="12" t="str">
        <f t="shared" si="13"/>
        <v/>
      </c>
      <c r="M257" s="12" t="str">
        <f t="shared" si="14"/>
        <v/>
      </c>
      <c r="N257" s="12" t="str">
        <f t="shared" si="15"/>
        <v/>
      </c>
      <c r="O257" s="8"/>
      <c r="P257" s="8"/>
      <c r="Q257" s="8"/>
      <c r="R257" s="10"/>
      <c r="S257" s="10"/>
      <c r="T257" s="10"/>
      <c r="U257" s="10"/>
      <c r="V257" s="8"/>
      <c r="W257" s="8"/>
      <c r="X257" s="8"/>
      <c r="Y257" s="8"/>
      <c r="Z257" s="8"/>
      <c r="AA257" s="8"/>
      <c r="AB257" s="10"/>
      <c r="AC257" s="8"/>
    </row>
    <row r="258" spans="1:29">
      <c r="A258" s="8"/>
      <c r="B258" s="8"/>
      <c r="C258" s="8"/>
      <c r="D258" s="8"/>
      <c r="E258" s="8"/>
      <c r="F258" s="8"/>
      <c r="G258" s="11"/>
      <c r="H258" s="11"/>
      <c r="I258" s="11"/>
      <c r="J258" s="11"/>
      <c r="K258" s="12" t="str">
        <f t="shared" si="12"/>
        <v/>
      </c>
      <c r="L258" s="12" t="str">
        <f t="shared" si="13"/>
        <v/>
      </c>
      <c r="M258" s="12" t="str">
        <f t="shared" si="14"/>
        <v/>
      </c>
      <c r="N258" s="12" t="str">
        <f t="shared" si="15"/>
        <v/>
      </c>
      <c r="O258" s="8"/>
      <c r="P258" s="8"/>
      <c r="Q258" s="8"/>
      <c r="R258" s="10"/>
      <c r="S258" s="10"/>
      <c r="T258" s="10"/>
      <c r="U258" s="10"/>
      <c r="V258" s="8"/>
      <c r="W258" s="8"/>
      <c r="X258" s="8"/>
      <c r="Y258" s="8"/>
      <c r="Z258" s="8"/>
      <c r="AA258" s="8"/>
      <c r="AB258" s="10"/>
      <c r="AC258" s="8"/>
    </row>
    <row r="259" spans="1:29">
      <c r="A259" s="8"/>
      <c r="B259" s="8"/>
      <c r="C259" s="8"/>
      <c r="D259" s="8"/>
      <c r="E259" s="8"/>
      <c r="F259" s="8"/>
      <c r="G259" s="11"/>
      <c r="H259" s="11"/>
      <c r="I259" s="11"/>
      <c r="J259" s="11"/>
      <c r="K259" s="12" t="str">
        <f t="shared" si="12"/>
        <v/>
      </c>
      <c r="L259" s="12" t="str">
        <f t="shared" si="13"/>
        <v/>
      </c>
      <c r="M259" s="12" t="str">
        <f t="shared" si="14"/>
        <v/>
      </c>
      <c r="N259" s="12" t="str">
        <f t="shared" si="15"/>
        <v/>
      </c>
      <c r="O259" s="8"/>
      <c r="P259" s="8"/>
      <c r="Q259" s="8"/>
      <c r="R259" s="10"/>
      <c r="S259" s="10"/>
      <c r="T259" s="10"/>
      <c r="U259" s="10"/>
      <c r="V259" s="8"/>
      <c r="W259" s="8"/>
      <c r="X259" s="8"/>
      <c r="Y259" s="8"/>
      <c r="Z259" s="8"/>
      <c r="AA259" s="8"/>
      <c r="AB259" s="10"/>
      <c r="AC259" s="8"/>
    </row>
    <row r="260" spans="1:29">
      <c r="A260" s="8"/>
      <c r="B260" s="8"/>
      <c r="C260" s="8"/>
      <c r="D260" s="8"/>
      <c r="E260" s="8"/>
      <c r="F260" s="8"/>
      <c r="G260" s="11"/>
      <c r="H260" s="11"/>
      <c r="I260" s="11"/>
      <c r="J260" s="11"/>
      <c r="K260" s="12" t="str">
        <f t="shared" si="12"/>
        <v/>
      </c>
      <c r="L260" s="12" t="str">
        <f t="shared" si="13"/>
        <v/>
      </c>
      <c r="M260" s="12" t="str">
        <f t="shared" si="14"/>
        <v/>
      </c>
      <c r="N260" s="12" t="str">
        <f t="shared" si="15"/>
        <v/>
      </c>
      <c r="O260" s="8"/>
      <c r="P260" s="8"/>
      <c r="Q260" s="8"/>
      <c r="R260" s="10"/>
      <c r="S260" s="10"/>
      <c r="T260" s="10"/>
      <c r="U260" s="10"/>
      <c r="V260" s="8"/>
      <c r="W260" s="8"/>
      <c r="X260" s="8"/>
      <c r="Y260" s="8"/>
      <c r="Z260" s="8"/>
      <c r="AA260" s="8"/>
      <c r="AB260" s="10"/>
      <c r="AC260" s="8"/>
    </row>
    <row r="261" spans="1:29">
      <c r="A261" s="8"/>
      <c r="B261" s="8"/>
      <c r="C261" s="8"/>
      <c r="D261" s="8"/>
      <c r="E261" s="8"/>
      <c r="F261" s="8"/>
      <c r="G261" s="11"/>
      <c r="H261" s="11"/>
      <c r="I261" s="11"/>
      <c r="J261" s="11"/>
      <c r="K261" s="12" t="str">
        <f t="shared" ref="K261:K324" si="16">IF(A261="","",I261+J261)</f>
        <v/>
      </c>
      <c r="L261" s="12" t="str">
        <f t="shared" ref="L261:L324" si="17">IF(A261="","",K261-G261)</f>
        <v/>
      </c>
      <c r="M261" s="12" t="str">
        <f t="shared" ref="M261:M304" si="18">IF(A261="","",MAX(0,G261-K261))</f>
        <v/>
      </c>
      <c r="N261" s="12" t="str">
        <f t="shared" ref="N261:N304" si="19">IF(A261="","",MAX(0,K261-G261))</f>
        <v/>
      </c>
      <c r="O261" s="8"/>
      <c r="P261" s="8"/>
      <c r="Q261" s="8"/>
      <c r="R261" s="10"/>
      <c r="S261" s="10"/>
      <c r="T261" s="10"/>
      <c r="U261" s="10"/>
      <c r="V261" s="8"/>
      <c r="W261" s="8"/>
      <c r="X261" s="8"/>
      <c r="Y261" s="8"/>
      <c r="Z261" s="8"/>
      <c r="AA261" s="8"/>
      <c r="AB261" s="10"/>
      <c r="AC261" s="8"/>
    </row>
    <row r="262" spans="1:29">
      <c r="A262" s="8"/>
      <c r="B262" s="8"/>
      <c r="C262" s="8"/>
      <c r="D262" s="8"/>
      <c r="E262" s="8"/>
      <c r="F262" s="8"/>
      <c r="G262" s="11"/>
      <c r="H262" s="11"/>
      <c r="I262" s="11"/>
      <c r="J262" s="11"/>
      <c r="K262" s="12" t="str">
        <f t="shared" si="16"/>
        <v/>
      </c>
      <c r="L262" s="12" t="str">
        <f t="shared" si="17"/>
        <v/>
      </c>
      <c r="M262" s="12" t="str">
        <f t="shared" si="18"/>
        <v/>
      </c>
      <c r="N262" s="12" t="str">
        <f t="shared" si="19"/>
        <v/>
      </c>
      <c r="O262" s="8"/>
      <c r="P262" s="8"/>
      <c r="Q262" s="8"/>
      <c r="R262" s="10"/>
      <c r="S262" s="10"/>
      <c r="T262" s="10"/>
      <c r="U262" s="10"/>
      <c r="V262" s="8"/>
      <c r="W262" s="8"/>
      <c r="X262" s="8"/>
      <c r="Y262" s="8"/>
      <c r="Z262" s="8"/>
      <c r="AA262" s="8"/>
      <c r="AB262" s="10"/>
      <c r="AC262" s="8"/>
    </row>
    <row r="263" spans="1:29">
      <c r="A263" s="8"/>
      <c r="B263" s="8"/>
      <c r="C263" s="8"/>
      <c r="D263" s="8"/>
      <c r="E263" s="8"/>
      <c r="F263" s="8"/>
      <c r="G263" s="11"/>
      <c r="H263" s="11"/>
      <c r="I263" s="11"/>
      <c r="J263" s="11"/>
      <c r="K263" s="12" t="str">
        <f t="shared" si="16"/>
        <v/>
      </c>
      <c r="L263" s="12" t="str">
        <f t="shared" si="17"/>
        <v/>
      </c>
      <c r="M263" s="12" t="str">
        <f t="shared" si="18"/>
        <v/>
      </c>
      <c r="N263" s="12" t="str">
        <f t="shared" si="19"/>
        <v/>
      </c>
      <c r="O263" s="8"/>
      <c r="P263" s="8"/>
      <c r="Q263" s="8"/>
      <c r="R263" s="10"/>
      <c r="S263" s="10"/>
      <c r="T263" s="10"/>
      <c r="U263" s="10"/>
      <c r="V263" s="8"/>
      <c r="W263" s="8"/>
      <c r="X263" s="8"/>
      <c r="Y263" s="8"/>
      <c r="Z263" s="8"/>
      <c r="AA263" s="8"/>
      <c r="AB263" s="10"/>
      <c r="AC263" s="8"/>
    </row>
    <row r="264" spans="1:29">
      <c r="A264" s="8"/>
      <c r="B264" s="8"/>
      <c r="C264" s="8"/>
      <c r="D264" s="8"/>
      <c r="E264" s="8"/>
      <c r="F264" s="8"/>
      <c r="G264" s="11"/>
      <c r="H264" s="11"/>
      <c r="I264" s="11"/>
      <c r="J264" s="11"/>
      <c r="K264" s="12" t="str">
        <f t="shared" si="16"/>
        <v/>
      </c>
      <c r="L264" s="12" t="str">
        <f t="shared" si="17"/>
        <v/>
      </c>
      <c r="M264" s="12" t="str">
        <f t="shared" si="18"/>
        <v/>
      </c>
      <c r="N264" s="12" t="str">
        <f t="shared" si="19"/>
        <v/>
      </c>
      <c r="O264" s="8"/>
      <c r="P264" s="8"/>
      <c r="Q264" s="8"/>
      <c r="R264" s="10"/>
      <c r="S264" s="10"/>
      <c r="T264" s="10"/>
      <c r="U264" s="10"/>
      <c r="V264" s="8"/>
      <c r="W264" s="8"/>
      <c r="X264" s="8"/>
      <c r="Y264" s="8"/>
      <c r="Z264" s="8"/>
      <c r="AA264" s="8"/>
      <c r="AB264" s="10"/>
      <c r="AC264" s="8"/>
    </row>
    <row r="265" spans="1:29">
      <c r="A265" s="8"/>
      <c r="B265" s="8"/>
      <c r="C265" s="8"/>
      <c r="D265" s="8"/>
      <c r="E265" s="8"/>
      <c r="F265" s="8"/>
      <c r="G265" s="11"/>
      <c r="H265" s="11"/>
      <c r="I265" s="11"/>
      <c r="J265" s="11"/>
      <c r="K265" s="12" t="str">
        <f t="shared" si="16"/>
        <v/>
      </c>
      <c r="L265" s="12" t="str">
        <f t="shared" si="17"/>
        <v/>
      </c>
      <c r="M265" s="12" t="str">
        <f t="shared" si="18"/>
        <v/>
      </c>
      <c r="N265" s="12" t="str">
        <f t="shared" si="19"/>
        <v/>
      </c>
      <c r="O265" s="8"/>
      <c r="P265" s="8"/>
      <c r="Q265" s="8"/>
      <c r="R265" s="10"/>
      <c r="S265" s="10"/>
      <c r="T265" s="10"/>
      <c r="U265" s="10"/>
      <c r="V265" s="8"/>
      <c r="W265" s="8"/>
      <c r="X265" s="8"/>
      <c r="Y265" s="8"/>
      <c r="Z265" s="8"/>
      <c r="AA265" s="8"/>
      <c r="AB265" s="10"/>
      <c r="AC265" s="8"/>
    </row>
    <row r="266" spans="1:29">
      <c r="A266" s="8"/>
      <c r="B266" s="8"/>
      <c r="C266" s="8"/>
      <c r="D266" s="8"/>
      <c r="E266" s="8"/>
      <c r="F266" s="8"/>
      <c r="G266" s="11"/>
      <c r="H266" s="11"/>
      <c r="I266" s="11"/>
      <c r="J266" s="11"/>
      <c r="K266" s="12" t="str">
        <f t="shared" si="16"/>
        <v/>
      </c>
      <c r="L266" s="12" t="str">
        <f t="shared" si="17"/>
        <v/>
      </c>
      <c r="M266" s="12" t="str">
        <f t="shared" si="18"/>
        <v/>
      </c>
      <c r="N266" s="12" t="str">
        <f t="shared" si="19"/>
        <v/>
      </c>
      <c r="O266" s="8"/>
      <c r="P266" s="8"/>
      <c r="Q266" s="8"/>
      <c r="R266" s="10"/>
      <c r="S266" s="10"/>
      <c r="T266" s="10"/>
      <c r="U266" s="10"/>
      <c r="V266" s="8"/>
      <c r="W266" s="8"/>
      <c r="X266" s="8"/>
      <c r="Y266" s="8"/>
      <c r="Z266" s="8"/>
      <c r="AA266" s="8"/>
      <c r="AB266" s="10"/>
      <c r="AC266" s="8"/>
    </row>
    <row r="267" spans="1:29">
      <c r="A267" s="8"/>
      <c r="B267" s="8"/>
      <c r="C267" s="8"/>
      <c r="D267" s="8"/>
      <c r="E267" s="8"/>
      <c r="F267" s="8"/>
      <c r="G267" s="11"/>
      <c r="H267" s="11"/>
      <c r="I267" s="11"/>
      <c r="J267" s="11"/>
      <c r="K267" s="12" t="str">
        <f t="shared" si="16"/>
        <v/>
      </c>
      <c r="L267" s="12" t="str">
        <f t="shared" si="17"/>
        <v/>
      </c>
      <c r="M267" s="12" t="str">
        <f t="shared" si="18"/>
        <v/>
      </c>
      <c r="N267" s="12" t="str">
        <f t="shared" si="19"/>
        <v/>
      </c>
      <c r="O267" s="8"/>
      <c r="P267" s="8"/>
      <c r="Q267" s="8"/>
      <c r="R267" s="10"/>
      <c r="S267" s="10"/>
      <c r="T267" s="10"/>
      <c r="U267" s="10"/>
      <c r="V267" s="8"/>
      <c r="W267" s="8"/>
      <c r="X267" s="8"/>
      <c r="Y267" s="8"/>
      <c r="Z267" s="8"/>
      <c r="AA267" s="8"/>
      <c r="AB267" s="10"/>
      <c r="AC267" s="8"/>
    </row>
    <row r="268" spans="1:29">
      <c r="A268" s="8"/>
      <c r="B268" s="8"/>
      <c r="C268" s="8"/>
      <c r="D268" s="8"/>
      <c r="E268" s="8"/>
      <c r="F268" s="8"/>
      <c r="G268" s="11"/>
      <c r="H268" s="11"/>
      <c r="I268" s="11"/>
      <c r="J268" s="11"/>
      <c r="K268" s="12" t="str">
        <f t="shared" si="16"/>
        <v/>
      </c>
      <c r="L268" s="12" t="str">
        <f t="shared" si="17"/>
        <v/>
      </c>
      <c r="M268" s="12" t="str">
        <f t="shared" si="18"/>
        <v/>
      </c>
      <c r="N268" s="12" t="str">
        <f t="shared" si="19"/>
        <v/>
      </c>
      <c r="O268" s="8"/>
      <c r="P268" s="8"/>
      <c r="Q268" s="8"/>
      <c r="R268" s="10"/>
      <c r="S268" s="10"/>
      <c r="T268" s="10"/>
      <c r="U268" s="10"/>
      <c r="V268" s="8"/>
      <c r="W268" s="8"/>
      <c r="X268" s="8"/>
      <c r="Y268" s="8"/>
      <c r="Z268" s="8"/>
      <c r="AA268" s="8"/>
      <c r="AB268" s="10"/>
      <c r="AC268" s="8"/>
    </row>
    <row r="269" spans="1:29">
      <c r="A269" s="8"/>
      <c r="B269" s="8"/>
      <c r="C269" s="8"/>
      <c r="D269" s="8"/>
      <c r="E269" s="8"/>
      <c r="F269" s="8"/>
      <c r="G269" s="11"/>
      <c r="H269" s="11"/>
      <c r="I269" s="11"/>
      <c r="J269" s="11"/>
      <c r="K269" s="12" t="str">
        <f t="shared" si="16"/>
        <v/>
      </c>
      <c r="L269" s="12" t="str">
        <f t="shared" si="17"/>
        <v/>
      </c>
      <c r="M269" s="12" t="str">
        <f t="shared" si="18"/>
        <v/>
      </c>
      <c r="N269" s="12" t="str">
        <f t="shared" si="19"/>
        <v/>
      </c>
      <c r="O269" s="8"/>
      <c r="P269" s="8"/>
      <c r="Q269" s="8"/>
      <c r="R269" s="10"/>
      <c r="S269" s="10"/>
      <c r="T269" s="10"/>
      <c r="U269" s="10"/>
      <c r="V269" s="8"/>
      <c r="W269" s="8"/>
      <c r="X269" s="8"/>
      <c r="Y269" s="8"/>
      <c r="Z269" s="8"/>
      <c r="AA269" s="8"/>
      <c r="AB269" s="10"/>
      <c r="AC269" s="8"/>
    </row>
    <row r="270" spans="1:29">
      <c r="A270" s="8"/>
      <c r="B270" s="8"/>
      <c r="C270" s="8"/>
      <c r="D270" s="8"/>
      <c r="E270" s="8"/>
      <c r="F270" s="8"/>
      <c r="G270" s="11"/>
      <c r="H270" s="11"/>
      <c r="I270" s="11"/>
      <c r="J270" s="11"/>
      <c r="K270" s="12" t="str">
        <f t="shared" si="16"/>
        <v/>
      </c>
      <c r="L270" s="12" t="str">
        <f t="shared" si="17"/>
        <v/>
      </c>
      <c r="M270" s="12" t="str">
        <f t="shared" si="18"/>
        <v/>
      </c>
      <c r="N270" s="12" t="str">
        <f t="shared" si="19"/>
        <v/>
      </c>
      <c r="O270" s="8"/>
      <c r="P270" s="8"/>
      <c r="Q270" s="8"/>
      <c r="R270" s="10"/>
      <c r="S270" s="10"/>
      <c r="T270" s="10"/>
      <c r="U270" s="10"/>
      <c r="V270" s="8"/>
      <c r="W270" s="8"/>
      <c r="X270" s="8"/>
      <c r="Y270" s="8"/>
      <c r="Z270" s="8"/>
      <c r="AA270" s="8"/>
      <c r="AB270" s="10"/>
      <c r="AC270" s="8"/>
    </row>
    <row r="271" spans="1:29">
      <c r="A271" s="8"/>
      <c r="B271" s="8"/>
      <c r="C271" s="8"/>
      <c r="D271" s="8"/>
      <c r="E271" s="8"/>
      <c r="F271" s="8"/>
      <c r="G271" s="11"/>
      <c r="H271" s="11"/>
      <c r="I271" s="11"/>
      <c r="J271" s="11"/>
      <c r="K271" s="12" t="str">
        <f t="shared" si="16"/>
        <v/>
      </c>
      <c r="L271" s="12" t="str">
        <f t="shared" si="17"/>
        <v/>
      </c>
      <c r="M271" s="12" t="str">
        <f t="shared" si="18"/>
        <v/>
      </c>
      <c r="N271" s="12" t="str">
        <f t="shared" si="19"/>
        <v/>
      </c>
      <c r="O271" s="8"/>
      <c r="P271" s="8"/>
      <c r="Q271" s="8"/>
      <c r="R271" s="10"/>
      <c r="S271" s="10"/>
      <c r="T271" s="10"/>
      <c r="U271" s="10"/>
      <c r="V271" s="8"/>
      <c r="W271" s="8"/>
      <c r="X271" s="8"/>
      <c r="Y271" s="8"/>
      <c r="Z271" s="8"/>
      <c r="AA271" s="8"/>
      <c r="AB271" s="10"/>
      <c r="AC271" s="8"/>
    </row>
    <row r="272" spans="1:29">
      <c r="A272" s="8"/>
      <c r="B272" s="8"/>
      <c r="C272" s="8"/>
      <c r="D272" s="8"/>
      <c r="E272" s="8"/>
      <c r="F272" s="8"/>
      <c r="G272" s="11"/>
      <c r="H272" s="11"/>
      <c r="I272" s="11"/>
      <c r="J272" s="11"/>
      <c r="K272" s="12" t="str">
        <f t="shared" si="16"/>
        <v/>
      </c>
      <c r="L272" s="12" t="str">
        <f t="shared" si="17"/>
        <v/>
      </c>
      <c r="M272" s="12" t="str">
        <f t="shared" si="18"/>
        <v/>
      </c>
      <c r="N272" s="12" t="str">
        <f t="shared" si="19"/>
        <v/>
      </c>
      <c r="O272" s="8"/>
      <c r="P272" s="8"/>
      <c r="Q272" s="8"/>
      <c r="R272" s="10"/>
      <c r="S272" s="10"/>
      <c r="T272" s="10"/>
      <c r="U272" s="10"/>
      <c r="V272" s="8"/>
      <c r="W272" s="8"/>
      <c r="X272" s="8"/>
      <c r="Y272" s="8"/>
      <c r="Z272" s="8"/>
      <c r="AA272" s="8"/>
      <c r="AB272" s="10"/>
      <c r="AC272" s="8"/>
    </row>
    <row r="273" spans="1:29">
      <c r="A273" s="8"/>
      <c r="B273" s="8"/>
      <c r="C273" s="8"/>
      <c r="D273" s="8"/>
      <c r="E273" s="8"/>
      <c r="F273" s="8"/>
      <c r="G273" s="11"/>
      <c r="H273" s="11"/>
      <c r="I273" s="11"/>
      <c r="J273" s="11"/>
      <c r="K273" s="12" t="str">
        <f t="shared" si="16"/>
        <v/>
      </c>
      <c r="L273" s="12" t="str">
        <f t="shared" si="17"/>
        <v/>
      </c>
      <c r="M273" s="12" t="str">
        <f t="shared" si="18"/>
        <v/>
      </c>
      <c r="N273" s="12" t="str">
        <f t="shared" si="19"/>
        <v/>
      </c>
      <c r="O273" s="8"/>
      <c r="P273" s="8"/>
      <c r="Q273" s="8"/>
      <c r="R273" s="10"/>
      <c r="S273" s="10"/>
      <c r="T273" s="10"/>
      <c r="U273" s="10"/>
      <c r="V273" s="8"/>
      <c r="W273" s="8"/>
      <c r="X273" s="8"/>
      <c r="Y273" s="8"/>
      <c r="Z273" s="8"/>
      <c r="AA273" s="8"/>
      <c r="AB273" s="10"/>
      <c r="AC273" s="8"/>
    </row>
    <row r="274" spans="1:29">
      <c r="A274" s="8"/>
      <c r="B274" s="8"/>
      <c r="C274" s="8"/>
      <c r="D274" s="8"/>
      <c r="E274" s="8"/>
      <c r="F274" s="8"/>
      <c r="G274" s="11"/>
      <c r="H274" s="11"/>
      <c r="I274" s="11"/>
      <c r="J274" s="11"/>
      <c r="K274" s="12" t="str">
        <f t="shared" si="16"/>
        <v/>
      </c>
      <c r="L274" s="12" t="str">
        <f t="shared" si="17"/>
        <v/>
      </c>
      <c r="M274" s="12" t="str">
        <f t="shared" si="18"/>
        <v/>
      </c>
      <c r="N274" s="12" t="str">
        <f t="shared" si="19"/>
        <v/>
      </c>
      <c r="O274" s="8"/>
      <c r="P274" s="8"/>
      <c r="Q274" s="8"/>
      <c r="R274" s="10"/>
      <c r="S274" s="10"/>
      <c r="T274" s="10"/>
      <c r="U274" s="10"/>
      <c r="V274" s="8"/>
      <c r="W274" s="8"/>
      <c r="X274" s="8"/>
      <c r="Y274" s="8"/>
      <c r="Z274" s="8"/>
      <c r="AA274" s="8"/>
      <c r="AB274" s="10"/>
      <c r="AC274" s="8"/>
    </row>
    <row r="275" spans="1:29">
      <c r="A275" s="8"/>
      <c r="B275" s="8"/>
      <c r="C275" s="8"/>
      <c r="D275" s="8"/>
      <c r="E275" s="8"/>
      <c r="F275" s="8"/>
      <c r="G275" s="11"/>
      <c r="H275" s="11"/>
      <c r="I275" s="11"/>
      <c r="J275" s="11"/>
      <c r="K275" s="12" t="str">
        <f t="shared" si="16"/>
        <v/>
      </c>
      <c r="L275" s="12" t="str">
        <f t="shared" si="17"/>
        <v/>
      </c>
      <c r="M275" s="12" t="str">
        <f t="shared" si="18"/>
        <v/>
      </c>
      <c r="N275" s="12" t="str">
        <f t="shared" si="19"/>
        <v/>
      </c>
      <c r="O275" s="8"/>
      <c r="P275" s="8"/>
      <c r="Q275" s="8"/>
      <c r="R275" s="10"/>
      <c r="S275" s="10"/>
      <c r="T275" s="10"/>
      <c r="U275" s="10"/>
      <c r="V275" s="8"/>
      <c r="W275" s="8"/>
      <c r="X275" s="8"/>
      <c r="Y275" s="8"/>
      <c r="Z275" s="8"/>
      <c r="AA275" s="8"/>
      <c r="AB275" s="10"/>
      <c r="AC275" s="8"/>
    </row>
    <row r="276" spans="1:29">
      <c r="A276" s="8"/>
      <c r="B276" s="8"/>
      <c r="C276" s="8"/>
      <c r="D276" s="8"/>
      <c r="E276" s="8"/>
      <c r="F276" s="8"/>
      <c r="G276" s="11"/>
      <c r="H276" s="11"/>
      <c r="I276" s="11"/>
      <c r="J276" s="11"/>
      <c r="K276" s="12" t="str">
        <f t="shared" si="16"/>
        <v/>
      </c>
      <c r="L276" s="12" t="str">
        <f t="shared" si="17"/>
        <v/>
      </c>
      <c r="M276" s="12" t="str">
        <f t="shared" si="18"/>
        <v/>
      </c>
      <c r="N276" s="12" t="str">
        <f t="shared" si="19"/>
        <v/>
      </c>
      <c r="O276" s="8"/>
      <c r="P276" s="8"/>
      <c r="Q276" s="8"/>
      <c r="R276" s="10"/>
      <c r="S276" s="10"/>
      <c r="T276" s="10"/>
      <c r="U276" s="10"/>
      <c r="V276" s="8"/>
      <c r="W276" s="8"/>
      <c r="X276" s="8"/>
      <c r="Y276" s="8"/>
      <c r="Z276" s="8"/>
      <c r="AA276" s="8"/>
      <c r="AB276" s="10"/>
      <c r="AC276" s="8"/>
    </row>
    <row r="277" spans="1:29">
      <c r="A277" s="8"/>
      <c r="B277" s="8"/>
      <c r="C277" s="8"/>
      <c r="D277" s="8"/>
      <c r="E277" s="8"/>
      <c r="F277" s="8"/>
      <c r="G277" s="11"/>
      <c r="H277" s="11"/>
      <c r="I277" s="11"/>
      <c r="J277" s="11"/>
      <c r="K277" s="12" t="str">
        <f t="shared" si="16"/>
        <v/>
      </c>
      <c r="L277" s="12" t="str">
        <f t="shared" si="17"/>
        <v/>
      </c>
      <c r="M277" s="12" t="str">
        <f t="shared" si="18"/>
        <v/>
      </c>
      <c r="N277" s="12" t="str">
        <f t="shared" si="19"/>
        <v/>
      </c>
      <c r="O277" s="8"/>
      <c r="P277" s="8"/>
      <c r="Q277" s="8"/>
      <c r="R277" s="10"/>
      <c r="S277" s="10"/>
      <c r="T277" s="10"/>
      <c r="U277" s="10"/>
      <c r="V277" s="8"/>
      <c r="W277" s="8"/>
      <c r="X277" s="8"/>
      <c r="Y277" s="8"/>
      <c r="Z277" s="8"/>
      <c r="AA277" s="8"/>
      <c r="AB277" s="10"/>
      <c r="AC277" s="8"/>
    </row>
    <row r="278" spans="1:29">
      <c r="A278" s="8"/>
      <c r="B278" s="8"/>
      <c r="C278" s="8"/>
      <c r="D278" s="8"/>
      <c r="E278" s="8"/>
      <c r="F278" s="8"/>
      <c r="G278" s="11"/>
      <c r="H278" s="11"/>
      <c r="I278" s="11"/>
      <c r="J278" s="11"/>
      <c r="K278" s="12" t="str">
        <f t="shared" si="16"/>
        <v/>
      </c>
      <c r="L278" s="12" t="str">
        <f t="shared" si="17"/>
        <v/>
      </c>
      <c r="M278" s="12" t="str">
        <f t="shared" si="18"/>
        <v/>
      </c>
      <c r="N278" s="12" t="str">
        <f t="shared" si="19"/>
        <v/>
      </c>
      <c r="O278" s="8"/>
      <c r="P278" s="8"/>
      <c r="Q278" s="8"/>
      <c r="R278" s="10"/>
      <c r="S278" s="10"/>
      <c r="T278" s="10"/>
      <c r="U278" s="10"/>
      <c r="V278" s="8"/>
      <c r="W278" s="8"/>
      <c r="X278" s="8"/>
      <c r="Y278" s="8"/>
      <c r="Z278" s="8"/>
      <c r="AA278" s="8"/>
      <c r="AB278" s="10"/>
      <c r="AC278" s="8"/>
    </row>
    <row r="279" spans="1:29">
      <c r="A279" s="8"/>
      <c r="B279" s="8"/>
      <c r="C279" s="8"/>
      <c r="D279" s="8"/>
      <c r="E279" s="8"/>
      <c r="F279" s="8"/>
      <c r="G279" s="11"/>
      <c r="H279" s="11"/>
      <c r="I279" s="11"/>
      <c r="J279" s="11"/>
      <c r="K279" s="12" t="str">
        <f t="shared" si="16"/>
        <v/>
      </c>
      <c r="L279" s="12" t="str">
        <f t="shared" si="17"/>
        <v/>
      </c>
      <c r="M279" s="12" t="str">
        <f t="shared" si="18"/>
        <v/>
      </c>
      <c r="N279" s="12" t="str">
        <f t="shared" si="19"/>
        <v/>
      </c>
      <c r="O279" s="8"/>
      <c r="P279" s="8"/>
      <c r="Q279" s="8"/>
      <c r="R279" s="10"/>
      <c r="S279" s="10"/>
      <c r="T279" s="10"/>
      <c r="U279" s="10"/>
      <c r="V279" s="8"/>
      <c r="W279" s="8"/>
      <c r="X279" s="8"/>
      <c r="Y279" s="8"/>
      <c r="Z279" s="8"/>
      <c r="AA279" s="8"/>
      <c r="AB279" s="10"/>
      <c r="AC279" s="8"/>
    </row>
    <row r="280" spans="1:29">
      <c r="A280" s="8"/>
      <c r="B280" s="8"/>
      <c r="C280" s="8"/>
      <c r="D280" s="8"/>
      <c r="E280" s="8"/>
      <c r="F280" s="8"/>
      <c r="G280" s="11"/>
      <c r="H280" s="11"/>
      <c r="I280" s="11"/>
      <c r="J280" s="11"/>
      <c r="K280" s="12" t="str">
        <f t="shared" si="16"/>
        <v/>
      </c>
      <c r="L280" s="12" t="str">
        <f t="shared" si="17"/>
        <v/>
      </c>
      <c r="M280" s="12" t="str">
        <f t="shared" si="18"/>
        <v/>
      </c>
      <c r="N280" s="12" t="str">
        <f t="shared" si="19"/>
        <v/>
      </c>
      <c r="O280" s="8"/>
      <c r="P280" s="8"/>
      <c r="Q280" s="8"/>
      <c r="R280" s="10"/>
      <c r="S280" s="10"/>
      <c r="T280" s="10"/>
      <c r="U280" s="10"/>
      <c r="V280" s="8"/>
      <c r="W280" s="8"/>
      <c r="X280" s="8"/>
      <c r="Y280" s="8"/>
      <c r="Z280" s="8"/>
      <c r="AA280" s="8"/>
      <c r="AB280" s="10"/>
      <c r="AC280" s="8"/>
    </row>
    <row r="281" spans="1:29">
      <c r="A281" s="8"/>
      <c r="B281" s="8"/>
      <c r="C281" s="8"/>
      <c r="D281" s="8"/>
      <c r="E281" s="8"/>
      <c r="F281" s="8"/>
      <c r="G281" s="11"/>
      <c r="H281" s="11"/>
      <c r="I281" s="11"/>
      <c r="J281" s="11"/>
      <c r="K281" s="12" t="str">
        <f t="shared" si="16"/>
        <v/>
      </c>
      <c r="L281" s="12" t="str">
        <f t="shared" si="17"/>
        <v/>
      </c>
      <c r="M281" s="12" t="str">
        <f t="shared" si="18"/>
        <v/>
      </c>
      <c r="N281" s="12" t="str">
        <f t="shared" si="19"/>
        <v/>
      </c>
      <c r="O281" s="8"/>
      <c r="P281" s="8"/>
      <c r="Q281" s="8"/>
      <c r="R281" s="10"/>
      <c r="S281" s="10"/>
      <c r="T281" s="10"/>
      <c r="U281" s="10"/>
      <c r="V281" s="8"/>
      <c r="W281" s="8"/>
      <c r="X281" s="8"/>
      <c r="Y281" s="8"/>
      <c r="Z281" s="8"/>
      <c r="AA281" s="8"/>
      <c r="AB281" s="10"/>
      <c r="AC281" s="8"/>
    </row>
    <row r="282" spans="1:29">
      <c r="A282" s="8"/>
      <c r="B282" s="8"/>
      <c r="C282" s="8"/>
      <c r="D282" s="8"/>
      <c r="E282" s="8"/>
      <c r="F282" s="8"/>
      <c r="G282" s="11"/>
      <c r="H282" s="11"/>
      <c r="I282" s="11"/>
      <c r="J282" s="11"/>
      <c r="K282" s="12" t="str">
        <f t="shared" si="16"/>
        <v/>
      </c>
      <c r="L282" s="12" t="str">
        <f t="shared" si="17"/>
        <v/>
      </c>
      <c r="M282" s="12" t="str">
        <f t="shared" si="18"/>
        <v/>
      </c>
      <c r="N282" s="12" t="str">
        <f t="shared" si="19"/>
        <v/>
      </c>
      <c r="O282" s="8"/>
      <c r="P282" s="8"/>
      <c r="Q282" s="8"/>
      <c r="R282" s="10"/>
      <c r="S282" s="10"/>
      <c r="T282" s="10"/>
      <c r="U282" s="10"/>
      <c r="V282" s="8"/>
      <c r="W282" s="8"/>
      <c r="X282" s="8"/>
      <c r="Y282" s="8"/>
      <c r="Z282" s="8"/>
      <c r="AA282" s="8"/>
      <c r="AB282" s="10"/>
      <c r="AC282" s="8"/>
    </row>
    <row r="283" spans="1:29">
      <c r="A283" s="8"/>
      <c r="B283" s="8"/>
      <c r="C283" s="8"/>
      <c r="D283" s="8"/>
      <c r="E283" s="8"/>
      <c r="F283" s="8"/>
      <c r="G283" s="11"/>
      <c r="H283" s="11"/>
      <c r="I283" s="11"/>
      <c r="J283" s="11"/>
      <c r="K283" s="12" t="str">
        <f t="shared" si="16"/>
        <v/>
      </c>
      <c r="L283" s="12" t="str">
        <f t="shared" si="17"/>
        <v/>
      </c>
      <c r="M283" s="12" t="str">
        <f t="shared" si="18"/>
        <v/>
      </c>
      <c r="N283" s="12" t="str">
        <f t="shared" si="19"/>
        <v/>
      </c>
      <c r="O283" s="8"/>
      <c r="P283" s="8"/>
      <c r="Q283" s="8"/>
      <c r="R283" s="10"/>
      <c r="S283" s="10"/>
      <c r="T283" s="10"/>
      <c r="U283" s="10"/>
      <c r="V283" s="8"/>
      <c r="W283" s="8"/>
      <c r="X283" s="8"/>
      <c r="Y283" s="8"/>
      <c r="Z283" s="8"/>
      <c r="AA283" s="8"/>
      <c r="AB283" s="10"/>
      <c r="AC283" s="8"/>
    </row>
    <row r="284" spans="1:29">
      <c r="A284" s="8"/>
      <c r="B284" s="8"/>
      <c r="C284" s="8"/>
      <c r="D284" s="8"/>
      <c r="E284" s="8"/>
      <c r="F284" s="8"/>
      <c r="G284" s="11"/>
      <c r="H284" s="11"/>
      <c r="I284" s="11"/>
      <c r="J284" s="11"/>
      <c r="K284" s="12" t="str">
        <f t="shared" si="16"/>
        <v/>
      </c>
      <c r="L284" s="12" t="str">
        <f t="shared" si="17"/>
        <v/>
      </c>
      <c r="M284" s="12" t="str">
        <f t="shared" si="18"/>
        <v/>
      </c>
      <c r="N284" s="12" t="str">
        <f t="shared" si="19"/>
        <v/>
      </c>
      <c r="O284" s="8"/>
      <c r="P284" s="8"/>
      <c r="Q284" s="8"/>
      <c r="R284" s="10"/>
      <c r="S284" s="10"/>
      <c r="T284" s="10"/>
      <c r="U284" s="10"/>
      <c r="V284" s="8"/>
      <c r="W284" s="8"/>
      <c r="X284" s="8"/>
      <c r="Y284" s="8"/>
      <c r="Z284" s="8"/>
      <c r="AA284" s="8"/>
      <c r="AB284" s="10"/>
      <c r="AC284" s="8"/>
    </row>
    <row r="285" spans="1:29">
      <c r="A285" s="8"/>
      <c r="B285" s="8"/>
      <c r="C285" s="8"/>
      <c r="D285" s="8"/>
      <c r="E285" s="8"/>
      <c r="F285" s="8"/>
      <c r="G285" s="11"/>
      <c r="H285" s="11"/>
      <c r="I285" s="11"/>
      <c r="J285" s="11"/>
      <c r="K285" s="12" t="str">
        <f t="shared" si="16"/>
        <v/>
      </c>
      <c r="L285" s="12" t="str">
        <f t="shared" si="17"/>
        <v/>
      </c>
      <c r="M285" s="12" t="str">
        <f t="shared" si="18"/>
        <v/>
      </c>
      <c r="N285" s="12" t="str">
        <f t="shared" si="19"/>
        <v/>
      </c>
      <c r="O285" s="8"/>
      <c r="P285" s="8"/>
      <c r="Q285" s="8"/>
      <c r="R285" s="10"/>
      <c r="S285" s="10"/>
      <c r="T285" s="10"/>
      <c r="U285" s="10"/>
      <c r="V285" s="8"/>
      <c r="W285" s="8"/>
      <c r="X285" s="8"/>
      <c r="Y285" s="8"/>
      <c r="Z285" s="8"/>
      <c r="AA285" s="8"/>
      <c r="AB285" s="10"/>
      <c r="AC285" s="8"/>
    </row>
    <row r="286" spans="1:29">
      <c r="A286" s="8"/>
      <c r="B286" s="8"/>
      <c r="C286" s="8"/>
      <c r="D286" s="8"/>
      <c r="E286" s="8"/>
      <c r="F286" s="8"/>
      <c r="G286" s="11"/>
      <c r="H286" s="11"/>
      <c r="I286" s="11"/>
      <c r="J286" s="11"/>
      <c r="K286" s="12" t="str">
        <f t="shared" si="16"/>
        <v/>
      </c>
      <c r="L286" s="12" t="str">
        <f t="shared" si="17"/>
        <v/>
      </c>
      <c r="M286" s="12" t="str">
        <f t="shared" si="18"/>
        <v/>
      </c>
      <c r="N286" s="12" t="str">
        <f t="shared" si="19"/>
        <v/>
      </c>
      <c r="O286" s="8"/>
      <c r="P286" s="8"/>
      <c r="Q286" s="8"/>
      <c r="R286" s="10"/>
      <c r="S286" s="10"/>
      <c r="T286" s="10"/>
      <c r="U286" s="10"/>
      <c r="V286" s="8"/>
      <c r="W286" s="8"/>
      <c r="X286" s="8"/>
      <c r="Y286" s="8"/>
      <c r="Z286" s="8"/>
      <c r="AA286" s="8"/>
      <c r="AB286" s="10"/>
      <c r="AC286" s="8"/>
    </row>
    <row r="287" spans="1:29">
      <c r="A287" s="8"/>
      <c r="B287" s="8"/>
      <c r="C287" s="8"/>
      <c r="D287" s="8"/>
      <c r="E287" s="8"/>
      <c r="F287" s="8"/>
      <c r="G287" s="11"/>
      <c r="H287" s="11"/>
      <c r="I287" s="11"/>
      <c r="J287" s="11"/>
      <c r="K287" s="12" t="str">
        <f t="shared" si="16"/>
        <v/>
      </c>
      <c r="L287" s="12" t="str">
        <f t="shared" si="17"/>
        <v/>
      </c>
      <c r="M287" s="12" t="str">
        <f t="shared" si="18"/>
        <v/>
      </c>
      <c r="N287" s="12" t="str">
        <f t="shared" si="19"/>
        <v/>
      </c>
      <c r="O287" s="8"/>
      <c r="P287" s="8"/>
      <c r="Q287" s="8"/>
      <c r="R287" s="10"/>
      <c r="S287" s="10"/>
      <c r="T287" s="10"/>
      <c r="U287" s="10"/>
      <c r="V287" s="8"/>
      <c r="W287" s="8"/>
      <c r="X287" s="8"/>
      <c r="Y287" s="8"/>
      <c r="Z287" s="8"/>
      <c r="AA287" s="8"/>
      <c r="AB287" s="10"/>
      <c r="AC287" s="8"/>
    </row>
    <row r="288" spans="1:29">
      <c r="A288" s="8"/>
      <c r="B288" s="8"/>
      <c r="C288" s="8"/>
      <c r="D288" s="8"/>
      <c r="E288" s="8"/>
      <c r="F288" s="8"/>
      <c r="G288" s="11"/>
      <c r="H288" s="11"/>
      <c r="I288" s="11"/>
      <c r="J288" s="11"/>
      <c r="K288" s="12" t="str">
        <f t="shared" si="16"/>
        <v/>
      </c>
      <c r="L288" s="12" t="str">
        <f t="shared" si="17"/>
        <v/>
      </c>
      <c r="M288" s="12" t="str">
        <f t="shared" si="18"/>
        <v/>
      </c>
      <c r="N288" s="12" t="str">
        <f t="shared" si="19"/>
        <v/>
      </c>
      <c r="O288" s="8"/>
      <c r="P288" s="8"/>
      <c r="Q288" s="8"/>
      <c r="R288" s="10"/>
      <c r="S288" s="10"/>
      <c r="T288" s="10"/>
      <c r="U288" s="10"/>
      <c r="V288" s="8"/>
      <c r="W288" s="8"/>
      <c r="X288" s="8"/>
      <c r="Y288" s="8"/>
      <c r="Z288" s="8"/>
      <c r="AA288" s="8"/>
      <c r="AB288" s="10"/>
      <c r="AC288" s="8"/>
    </row>
    <row r="289" spans="1:29">
      <c r="A289" s="8"/>
      <c r="B289" s="8"/>
      <c r="C289" s="8"/>
      <c r="D289" s="8"/>
      <c r="E289" s="8"/>
      <c r="F289" s="8"/>
      <c r="G289" s="11"/>
      <c r="H289" s="11"/>
      <c r="I289" s="11"/>
      <c r="J289" s="11"/>
      <c r="K289" s="12" t="str">
        <f t="shared" si="16"/>
        <v/>
      </c>
      <c r="L289" s="12" t="str">
        <f t="shared" si="17"/>
        <v/>
      </c>
      <c r="M289" s="12" t="str">
        <f t="shared" si="18"/>
        <v/>
      </c>
      <c r="N289" s="12" t="str">
        <f t="shared" si="19"/>
        <v/>
      </c>
      <c r="O289" s="8"/>
      <c r="P289" s="8"/>
      <c r="Q289" s="8"/>
      <c r="R289" s="10"/>
      <c r="S289" s="10"/>
      <c r="T289" s="10"/>
      <c r="U289" s="10"/>
      <c r="V289" s="8"/>
      <c r="W289" s="8"/>
      <c r="X289" s="8"/>
      <c r="Y289" s="8"/>
      <c r="Z289" s="8"/>
      <c r="AA289" s="8"/>
      <c r="AB289" s="10"/>
      <c r="AC289" s="8"/>
    </row>
    <row r="290" spans="1:29">
      <c r="A290" s="8"/>
      <c r="B290" s="8"/>
      <c r="C290" s="8"/>
      <c r="D290" s="8"/>
      <c r="E290" s="8"/>
      <c r="F290" s="8"/>
      <c r="G290" s="11"/>
      <c r="H290" s="11"/>
      <c r="I290" s="11"/>
      <c r="J290" s="11"/>
      <c r="K290" s="12" t="str">
        <f t="shared" si="16"/>
        <v/>
      </c>
      <c r="L290" s="12" t="str">
        <f t="shared" si="17"/>
        <v/>
      </c>
      <c r="M290" s="12" t="str">
        <f t="shared" si="18"/>
        <v/>
      </c>
      <c r="N290" s="12" t="str">
        <f t="shared" si="19"/>
        <v/>
      </c>
      <c r="O290" s="8"/>
      <c r="P290" s="8"/>
      <c r="Q290" s="8"/>
      <c r="R290" s="10"/>
      <c r="S290" s="10"/>
      <c r="T290" s="10"/>
      <c r="U290" s="10"/>
      <c r="V290" s="8"/>
      <c r="W290" s="8"/>
      <c r="X290" s="8"/>
      <c r="Y290" s="8"/>
      <c r="Z290" s="8"/>
      <c r="AA290" s="8"/>
      <c r="AB290" s="10"/>
      <c r="AC290" s="8"/>
    </row>
    <row r="291" spans="1:29">
      <c r="A291" s="8"/>
      <c r="B291" s="8"/>
      <c r="C291" s="8"/>
      <c r="D291" s="8"/>
      <c r="E291" s="8"/>
      <c r="F291" s="8"/>
      <c r="G291" s="11"/>
      <c r="H291" s="11"/>
      <c r="I291" s="11"/>
      <c r="J291" s="11"/>
      <c r="K291" s="12" t="str">
        <f t="shared" si="16"/>
        <v/>
      </c>
      <c r="L291" s="12" t="str">
        <f t="shared" si="17"/>
        <v/>
      </c>
      <c r="M291" s="12" t="str">
        <f t="shared" si="18"/>
        <v/>
      </c>
      <c r="N291" s="12" t="str">
        <f t="shared" si="19"/>
        <v/>
      </c>
      <c r="O291" s="8"/>
      <c r="P291" s="8"/>
      <c r="Q291" s="8"/>
      <c r="R291" s="10"/>
      <c r="S291" s="10"/>
      <c r="T291" s="10"/>
      <c r="U291" s="10"/>
      <c r="V291" s="8"/>
      <c r="W291" s="8"/>
      <c r="X291" s="8"/>
      <c r="Y291" s="8"/>
      <c r="Z291" s="8"/>
      <c r="AA291" s="8"/>
      <c r="AB291" s="10"/>
      <c r="AC291" s="8"/>
    </row>
    <row r="292" spans="1:29">
      <c r="A292" s="8"/>
      <c r="B292" s="8"/>
      <c r="C292" s="8"/>
      <c r="D292" s="8"/>
      <c r="E292" s="8"/>
      <c r="F292" s="8"/>
      <c r="G292" s="11"/>
      <c r="H292" s="11"/>
      <c r="I292" s="11"/>
      <c r="J292" s="11"/>
      <c r="K292" s="12" t="str">
        <f t="shared" si="16"/>
        <v/>
      </c>
      <c r="L292" s="12" t="str">
        <f t="shared" si="17"/>
        <v/>
      </c>
      <c r="M292" s="12" t="str">
        <f t="shared" si="18"/>
        <v/>
      </c>
      <c r="N292" s="12" t="str">
        <f t="shared" si="19"/>
        <v/>
      </c>
      <c r="O292" s="8"/>
      <c r="P292" s="8"/>
      <c r="Q292" s="8"/>
      <c r="R292" s="10"/>
      <c r="S292" s="10"/>
      <c r="T292" s="10"/>
      <c r="U292" s="10"/>
      <c r="V292" s="8"/>
      <c r="W292" s="8"/>
      <c r="X292" s="8"/>
      <c r="Y292" s="8"/>
      <c r="Z292" s="8"/>
      <c r="AA292" s="8"/>
      <c r="AB292" s="10"/>
      <c r="AC292" s="8"/>
    </row>
    <row r="293" spans="1:29">
      <c r="A293" s="8"/>
      <c r="B293" s="8"/>
      <c r="C293" s="8"/>
      <c r="D293" s="8"/>
      <c r="E293" s="8"/>
      <c r="F293" s="8"/>
      <c r="G293" s="11"/>
      <c r="H293" s="11"/>
      <c r="I293" s="11"/>
      <c r="J293" s="11"/>
      <c r="K293" s="12" t="str">
        <f t="shared" si="16"/>
        <v/>
      </c>
      <c r="L293" s="12" t="str">
        <f t="shared" si="17"/>
        <v/>
      </c>
      <c r="M293" s="12" t="str">
        <f t="shared" si="18"/>
        <v/>
      </c>
      <c r="N293" s="12" t="str">
        <f t="shared" si="19"/>
        <v/>
      </c>
      <c r="O293" s="8"/>
      <c r="P293" s="8"/>
      <c r="Q293" s="8"/>
      <c r="R293" s="10"/>
      <c r="S293" s="10"/>
      <c r="T293" s="10"/>
      <c r="U293" s="10"/>
      <c r="V293" s="8"/>
      <c r="W293" s="8"/>
      <c r="X293" s="8"/>
      <c r="Y293" s="8"/>
      <c r="Z293" s="8"/>
      <c r="AA293" s="8"/>
      <c r="AB293" s="10"/>
      <c r="AC293" s="8"/>
    </row>
    <row r="294" spans="1:29">
      <c r="A294" s="8"/>
      <c r="B294" s="8"/>
      <c r="C294" s="8"/>
      <c r="D294" s="8"/>
      <c r="E294" s="8"/>
      <c r="F294" s="8"/>
      <c r="G294" s="11"/>
      <c r="H294" s="11"/>
      <c r="I294" s="11"/>
      <c r="J294" s="11"/>
      <c r="K294" s="12" t="str">
        <f t="shared" si="16"/>
        <v/>
      </c>
      <c r="L294" s="12" t="str">
        <f t="shared" si="17"/>
        <v/>
      </c>
      <c r="M294" s="12" t="str">
        <f t="shared" si="18"/>
        <v/>
      </c>
      <c r="N294" s="12" t="str">
        <f t="shared" si="19"/>
        <v/>
      </c>
      <c r="O294" s="8"/>
      <c r="P294" s="8"/>
      <c r="Q294" s="8"/>
      <c r="R294" s="10"/>
      <c r="S294" s="10"/>
      <c r="T294" s="10"/>
      <c r="U294" s="10"/>
      <c r="V294" s="8"/>
      <c r="W294" s="8"/>
      <c r="X294" s="8"/>
      <c r="Y294" s="8"/>
      <c r="Z294" s="8"/>
      <c r="AA294" s="8"/>
      <c r="AB294" s="10"/>
      <c r="AC294" s="8"/>
    </row>
    <row r="295" spans="1:29">
      <c r="A295" s="8"/>
      <c r="B295" s="8"/>
      <c r="C295" s="8"/>
      <c r="D295" s="8"/>
      <c r="E295" s="8"/>
      <c r="F295" s="8"/>
      <c r="G295" s="11"/>
      <c r="H295" s="11"/>
      <c r="I295" s="11"/>
      <c r="J295" s="11"/>
      <c r="K295" s="12" t="str">
        <f t="shared" si="16"/>
        <v/>
      </c>
      <c r="L295" s="12" t="str">
        <f t="shared" si="17"/>
        <v/>
      </c>
      <c r="M295" s="12" t="str">
        <f t="shared" si="18"/>
        <v/>
      </c>
      <c r="N295" s="12" t="str">
        <f t="shared" si="19"/>
        <v/>
      </c>
      <c r="O295" s="8"/>
      <c r="P295" s="8"/>
      <c r="Q295" s="8"/>
      <c r="R295" s="10"/>
      <c r="S295" s="10"/>
      <c r="T295" s="10"/>
      <c r="U295" s="10"/>
      <c r="V295" s="8"/>
      <c r="W295" s="8"/>
      <c r="X295" s="8"/>
      <c r="Y295" s="8"/>
      <c r="Z295" s="8"/>
      <c r="AA295" s="8"/>
      <c r="AB295" s="10"/>
      <c r="AC295" s="8"/>
    </row>
    <row r="296" spans="1:29">
      <c r="A296" s="8"/>
      <c r="B296" s="8"/>
      <c r="C296" s="8"/>
      <c r="D296" s="8"/>
      <c r="E296" s="8"/>
      <c r="F296" s="8"/>
      <c r="G296" s="11"/>
      <c r="H296" s="11"/>
      <c r="I296" s="11"/>
      <c r="J296" s="11"/>
      <c r="K296" s="12" t="str">
        <f t="shared" si="16"/>
        <v/>
      </c>
      <c r="L296" s="12" t="str">
        <f t="shared" si="17"/>
        <v/>
      </c>
      <c r="M296" s="12" t="str">
        <f t="shared" si="18"/>
        <v/>
      </c>
      <c r="N296" s="12" t="str">
        <f t="shared" si="19"/>
        <v/>
      </c>
      <c r="O296" s="8"/>
      <c r="P296" s="8"/>
      <c r="Q296" s="8"/>
      <c r="R296" s="10"/>
      <c r="S296" s="10"/>
      <c r="T296" s="10"/>
      <c r="U296" s="10"/>
      <c r="V296" s="8"/>
      <c r="W296" s="8"/>
      <c r="X296" s="8"/>
      <c r="Y296" s="8"/>
      <c r="Z296" s="8"/>
      <c r="AA296" s="8"/>
      <c r="AB296" s="10"/>
      <c r="AC296" s="8"/>
    </row>
    <row r="297" spans="1:29">
      <c r="A297" s="8"/>
      <c r="B297" s="8"/>
      <c r="C297" s="8"/>
      <c r="D297" s="8"/>
      <c r="E297" s="8"/>
      <c r="F297" s="8"/>
      <c r="G297" s="11"/>
      <c r="H297" s="11"/>
      <c r="I297" s="11"/>
      <c r="J297" s="11"/>
      <c r="K297" s="12" t="str">
        <f t="shared" si="16"/>
        <v/>
      </c>
      <c r="L297" s="12" t="str">
        <f t="shared" si="17"/>
        <v/>
      </c>
      <c r="M297" s="12" t="str">
        <f t="shared" si="18"/>
        <v/>
      </c>
      <c r="N297" s="12" t="str">
        <f t="shared" si="19"/>
        <v/>
      </c>
      <c r="O297" s="8"/>
      <c r="P297" s="8"/>
      <c r="Q297" s="8"/>
      <c r="R297" s="10"/>
      <c r="S297" s="10"/>
      <c r="T297" s="10"/>
      <c r="U297" s="10"/>
      <c r="V297" s="8"/>
      <c r="W297" s="8"/>
      <c r="X297" s="8"/>
      <c r="Y297" s="8"/>
      <c r="Z297" s="8"/>
      <c r="AA297" s="8"/>
      <c r="AB297" s="10"/>
      <c r="AC297" s="8"/>
    </row>
    <row r="298" spans="1:29">
      <c r="A298" s="8"/>
      <c r="B298" s="8"/>
      <c r="C298" s="8"/>
      <c r="D298" s="8"/>
      <c r="E298" s="8"/>
      <c r="F298" s="8"/>
      <c r="G298" s="11"/>
      <c r="H298" s="11"/>
      <c r="I298" s="11"/>
      <c r="J298" s="11"/>
      <c r="K298" s="12" t="str">
        <f t="shared" si="16"/>
        <v/>
      </c>
      <c r="L298" s="12" t="str">
        <f t="shared" si="17"/>
        <v/>
      </c>
      <c r="M298" s="12" t="str">
        <f t="shared" si="18"/>
        <v/>
      </c>
      <c r="N298" s="12" t="str">
        <f t="shared" si="19"/>
        <v/>
      </c>
      <c r="O298" s="8"/>
      <c r="P298" s="8"/>
      <c r="Q298" s="8"/>
      <c r="R298" s="10"/>
      <c r="S298" s="10"/>
      <c r="T298" s="10"/>
      <c r="U298" s="10"/>
      <c r="V298" s="8"/>
      <c r="W298" s="8"/>
      <c r="X298" s="8"/>
      <c r="Y298" s="8"/>
      <c r="Z298" s="8"/>
      <c r="AA298" s="8"/>
      <c r="AB298" s="10"/>
      <c r="AC298" s="8"/>
    </row>
    <row r="299" spans="1:29">
      <c r="A299" s="8"/>
      <c r="B299" s="8"/>
      <c r="C299" s="8"/>
      <c r="D299" s="8"/>
      <c r="E299" s="8"/>
      <c r="F299" s="8"/>
      <c r="G299" s="11"/>
      <c r="H299" s="11"/>
      <c r="I299" s="11"/>
      <c r="J299" s="11"/>
      <c r="K299" s="12" t="str">
        <f t="shared" si="16"/>
        <v/>
      </c>
      <c r="L299" s="12" t="str">
        <f t="shared" si="17"/>
        <v/>
      </c>
      <c r="M299" s="12" t="str">
        <f t="shared" si="18"/>
        <v/>
      </c>
      <c r="N299" s="12" t="str">
        <f t="shared" si="19"/>
        <v/>
      </c>
      <c r="O299" s="8"/>
      <c r="P299" s="8"/>
      <c r="Q299" s="8"/>
      <c r="R299" s="10"/>
      <c r="S299" s="10"/>
      <c r="T299" s="10"/>
      <c r="U299" s="10"/>
      <c r="V299" s="8"/>
      <c r="W299" s="8"/>
      <c r="X299" s="8"/>
      <c r="Y299" s="8"/>
      <c r="Z299" s="8"/>
      <c r="AA299" s="8"/>
      <c r="AB299" s="10"/>
      <c r="AC299" s="8"/>
    </row>
    <row r="300" spans="1:29">
      <c r="A300" s="8"/>
      <c r="B300" s="8"/>
      <c r="C300" s="8"/>
      <c r="D300" s="8"/>
      <c r="E300" s="8"/>
      <c r="F300" s="8"/>
      <c r="G300" s="11"/>
      <c r="H300" s="11"/>
      <c r="I300" s="11"/>
      <c r="J300" s="11"/>
      <c r="K300" s="12" t="str">
        <f t="shared" si="16"/>
        <v/>
      </c>
      <c r="L300" s="12" t="str">
        <f t="shared" si="17"/>
        <v/>
      </c>
      <c r="M300" s="12" t="str">
        <f t="shared" si="18"/>
        <v/>
      </c>
      <c r="N300" s="12" t="str">
        <f t="shared" si="19"/>
        <v/>
      </c>
      <c r="O300" s="8"/>
      <c r="P300" s="8"/>
      <c r="Q300" s="8"/>
      <c r="R300" s="10"/>
      <c r="S300" s="10"/>
      <c r="T300" s="10"/>
      <c r="U300" s="10"/>
      <c r="V300" s="8"/>
      <c r="W300" s="8"/>
      <c r="X300" s="8"/>
      <c r="Y300" s="8"/>
      <c r="Z300" s="8"/>
      <c r="AA300" s="8"/>
      <c r="AB300" s="10"/>
      <c r="AC300" s="8"/>
    </row>
    <row r="301" spans="1:29">
      <c r="A301" s="8"/>
      <c r="B301" s="8"/>
      <c r="C301" s="8"/>
      <c r="D301" s="8"/>
      <c r="E301" s="8"/>
      <c r="F301" s="8"/>
      <c r="G301" s="11"/>
      <c r="H301" s="11"/>
      <c r="I301" s="11"/>
      <c r="J301" s="11"/>
      <c r="K301" s="12" t="str">
        <f t="shared" si="16"/>
        <v/>
      </c>
      <c r="L301" s="12" t="str">
        <f t="shared" si="17"/>
        <v/>
      </c>
      <c r="M301" s="12" t="str">
        <f t="shared" si="18"/>
        <v/>
      </c>
      <c r="N301" s="12" t="str">
        <f t="shared" si="19"/>
        <v/>
      </c>
      <c r="O301" s="8"/>
      <c r="P301" s="8"/>
      <c r="Q301" s="8"/>
      <c r="R301" s="10"/>
      <c r="S301" s="10"/>
      <c r="T301" s="10"/>
      <c r="U301" s="10"/>
      <c r="V301" s="8"/>
      <c r="W301" s="8"/>
      <c r="X301" s="8"/>
      <c r="Y301" s="8"/>
      <c r="Z301" s="8"/>
      <c r="AA301" s="8"/>
      <c r="AB301" s="10"/>
      <c r="AC301" s="8"/>
    </row>
    <row r="302" spans="1:29">
      <c r="A302" s="8"/>
      <c r="B302" s="8"/>
      <c r="C302" s="8"/>
      <c r="D302" s="8"/>
      <c r="E302" s="8"/>
      <c r="F302" s="8"/>
      <c r="G302" s="11"/>
      <c r="H302" s="11"/>
      <c r="I302" s="11"/>
      <c r="J302" s="11"/>
      <c r="K302" s="12" t="str">
        <f t="shared" si="16"/>
        <v/>
      </c>
      <c r="L302" s="12" t="str">
        <f t="shared" si="17"/>
        <v/>
      </c>
      <c r="M302" s="12" t="str">
        <f t="shared" si="18"/>
        <v/>
      </c>
      <c r="N302" s="12" t="str">
        <f t="shared" si="19"/>
        <v/>
      </c>
      <c r="O302" s="8"/>
      <c r="P302" s="8"/>
      <c r="Q302" s="8"/>
      <c r="R302" s="10"/>
      <c r="S302" s="10"/>
      <c r="T302" s="10"/>
      <c r="U302" s="10"/>
      <c r="V302" s="8"/>
      <c r="W302" s="8"/>
      <c r="X302" s="8"/>
      <c r="Y302" s="8"/>
      <c r="Z302" s="8"/>
      <c r="AA302" s="8"/>
      <c r="AB302" s="10"/>
      <c r="AC302" s="8"/>
    </row>
    <row r="303" spans="1:29">
      <c r="A303" s="8"/>
      <c r="B303" s="8"/>
      <c r="C303" s="8"/>
      <c r="D303" s="8"/>
      <c r="E303" s="8"/>
      <c r="F303" s="8"/>
      <c r="G303" s="11"/>
      <c r="H303" s="11"/>
      <c r="I303" s="11"/>
      <c r="J303" s="11"/>
      <c r="K303" s="12" t="str">
        <f t="shared" si="16"/>
        <v/>
      </c>
      <c r="L303" s="12" t="str">
        <f t="shared" si="17"/>
        <v/>
      </c>
      <c r="M303" s="12" t="str">
        <f t="shared" si="18"/>
        <v/>
      </c>
      <c r="N303" s="12" t="str">
        <f t="shared" si="19"/>
        <v/>
      </c>
      <c r="O303" s="8"/>
      <c r="P303" s="8"/>
      <c r="Q303" s="8"/>
      <c r="R303" s="10"/>
      <c r="S303" s="10"/>
      <c r="T303" s="10"/>
      <c r="U303" s="10"/>
      <c r="V303" s="8"/>
      <c r="W303" s="8"/>
      <c r="X303" s="8"/>
      <c r="Y303" s="8"/>
      <c r="Z303" s="8"/>
      <c r="AA303" s="8"/>
      <c r="AB303" s="10"/>
      <c r="AC303" s="8"/>
    </row>
    <row r="304" spans="1:29">
      <c r="A304" s="8"/>
      <c r="B304" s="8"/>
      <c r="C304" s="8"/>
      <c r="D304" s="8"/>
      <c r="E304" s="8"/>
      <c r="F304" s="8"/>
      <c r="G304" s="11"/>
      <c r="H304" s="11"/>
      <c r="I304" s="11"/>
      <c r="J304" s="11"/>
      <c r="K304" s="12" t="str">
        <f t="shared" si="16"/>
        <v/>
      </c>
      <c r="L304" s="12" t="str">
        <f t="shared" si="17"/>
        <v/>
      </c>
      <c r="M304" s="12" t="str">
        <f t="shared" si="18"/>
        <v/>
      </c>
      <c r="N304" s="12" t="str">
        <f t="shared" si="19"/>
        <v/>
      </c>
      <c r="O304" s="8"/>
      <c r="P304" s="8"/>
      <c r="Q304" s="8"/>
      <c r="R304" s="10"/>
      <c r="S304" s="10"/>
      <c r="T304" s="10"/>
      <c r="U304" s="10"/>
      <c r="V304" s="8"/>
      <c r="W304" s="8"/>
      <c r="X304" s="8"/>
      <c r="Y304" s="8"/>
      <c r="Z304" s="8"/>
      <c r="AA304" s="8"/>
      <c r="AB304" s="10"/>
      <c r="AC304" s="8"/>
    </row>
  </sheetData>
  <mergeCells count="2">
    <mergeCell ref="A1:AC1"/>
    <mergeCell ref="A2:AC2"/>
  </mergeCells>
  <conditionalFormatting sqref="A5:A304">
    <cfRule type="duplicateValues" dxfId="7" priority="9"/>
  </conditionalFormatting>
  <conditionalFormatting sqref="W5:W304">
    <cfRule type="containsText" dxfId="6" priority="1" operator="containsText" text="Approved"/>
    <cfRule type="containsText" dxfId="5" priority="4" operator="containsText" text="Failed"/>
    <cfRule type="containsText" dxfId="4" priority="7" operator="containsText" text="On Hold"/>
  </conditionalFormatting>
  <dataValidations count="1">
    <dataValidation type="list" sqref="W5:W304" xr:uid="{00000000-0002-0000-2000-000000000000}">
      <formula1>"Planned,Booking Requested,Booking Confirmed,Waiting for Loading,Loaded,In Transit,Arrived,Delivered,Closed,On Hold"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304"/>
  <sheetViews>
    <sheetView showGridLines="0" workbookViewId="0">
      <selection sqref="A1:T1"/>
    </sheetView>
  </sheetViews>
  <sheetFormatPr baseColWidth="10" defaultColWidth="8.83203125" defaultRowHeight="14"/>
  <cols>
    <col min="1" max="1" width="14" customWidth="1"/>
    <col min="2" max="2" width="13" customWidth="1"/>
    <col min="3" max="3" width="12" customWidth="1"/>
    <col min="4" max="4" width="14" customWidth="1"/>
    <col min="5" max="6" width="13" customWidth="1"/>
    <col min="7" max="7" width="16" customWidth="1"/>
    <col min="8" max="8" width="18" customWidth="1"/>
    <col min="9" max="9" width="27" customWidth="1"/>
    <col min="10" max="11" width="17" customWidth="1"/>
    <col min="12" max="13" width="24" customWidth="1"/>
    <col min="14" max="14" width="15" customWidth="1"/>
    <col min="15" max="15" width="13" customWidth="1"/>
    <col min="16" max="16" width="16" customWidth="1"/>
    <col min="17" max="17" width="20" customWidth="1"/>
    <col min="18" max="19" width="14" customWidth="1"/>
    <col min="20" max="20" width="15" customWidth="1"/>
  </cols>
  <sheetData>
    <row r="1" spans="1:20" ht="30" customHeight="1">
      <c r="A1" s="52" t="s">
        <v>464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22" customHeight="1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4" spans="1:20" ht="44" customHeight="1">
      <c r="A4" s="6" t="s">
        <v>465</v>
      </c>
      <c r="B4" s="6" t="s">
        <v>466</v>
      </c>
      <c r="C4" s="6" t="s">
        <v>467</v>
      </c>
      <c r="D4" s="6" t="s">
        <v>44</v>
      </c>
      <c r="E4" s="6" t="s">
        <v>45</v>
      </c>
      <c r="F4" s="6" t="s">
        <v>46</v>
      </c>
      <c r="G4" s="6" t="s">
        <v>468</v>
      </c>
      <c r="H4" s="6" t="s">
        <v>469</v>
      </c>
      <c r="I4" s="6" t="s">
        <v>293</v>
      </c>
      <c r="J4" s="6" t="s">
        <v>470</v>
      </c>
      <c r="K4" s="6" t="s">
        <v>471</v>
      </c>
      <c r="L4" s="6" t="s">
        <v>472</v>
      </c>
      <c r="M4" s="6" t="s">
        <v>375</v>
      </c>
      <c r="N4" s="6" t="s">
        <v>473</v>
      </c>
      <c r="O4" s="6" t="s">
        <v>339</v>
      </c>
      <c r="P4" s="6" t="s">
        <v>73</v>
      </c>
      <c r="Q4" s="6" t="s">
        <v>474</v>
      </c>
      <c r="R4" s="6" t="s">
        <v>475</v>
      </c>
      <c r="S4" s="6" t="s">
        <v>476</v>
      </c>
      <c r="T4" s="6" t="s">
        <v>63</v>
      </c>
    </row>
    <row r="5" spans="1:20">
      <c r="A5" s="8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0"/>
      <c r="P5" s="8"/>
      <c r="Q5" s="8"/>
      <c r="R5" s="10"/>
      <c r="S5" s="8"/>
      <c r="T5" s="10"/>
    </row>
    <row r="6" spans="1:20">
      <c r="A6" s="8"/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0"/>
      <c r="P6" s="8"/>
      <c r="Q6" s="8"/>
      <c r="R6" s="10"/>
      <c r="S6" s="8"/>
      <c r="T6" s="10"/>
    </row>
    <row r="7" spans="1:20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0"/>
      <c r="P7" s="8"/>
      <c r="Q7" s="8"/>
      <c r="R7" s="10"/>
      <c r="S7" s="8"/>
      <c r="T7" s="10"/>
    </row>
    <row r="8" spans="1:20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0"/>
      <c r="P8" s="8"/>
      <c r="Q8" s="8"/>
      <c r="R8" s="10"/>
      <c r="S8" s="8"/>
      <c r="T8" s="10"/>
    </row>
    <row r="9" spans="1:20">
      <c r="A9" s="8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"/>
      <c r="P9" s="8"/>
      <c r="Q9" s="8"/>
      <c r="R9" s="10"/>
      <c r="S9" s="8"/>
      <c r="T9" s="10"/>
    </row>
    <row r="10" spans="1:20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0"/>
      <c r="P10" s="8"/>
      <c r="Q10" s="8"/>
      <c r="R10" s="10"/>
      <c r="S10" s="8"/>
      <c r="T10" s="10"/>
    </row>
    <row r="11" spans="1:20">
      <c r="A11" s="8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0"/>
      <c r="P11" s="8"/>
      <c r="Q11" s="8"/>
      <c r="R11" s="10"/>
      <c r="S11" s="8"/>
      <c r="T11" s="10"/>
    </row>
    <row r="12" spans="1:20">
      <c r="A12" s="8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0"/>
      <c r="P12" s="8"/>
      <c r="Q12" s="8"/>
      <c r="R12" s="10"/>
      <c r="S12" s="8"/>
      <c r="T12" s="10"/>
    </row>
    <row r="13" spans="1:20">
      <c r="A13" s="8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0"/>
      <c r="P13" s="8"/>
      <c r="Q13" s="8"/>
      <c r="R13" s="10"/>
      <c r="S13" s="8"/>
      <c r="T13" s="10"/>
    </row>
    <row r="14" spans="1:20">
      <c r="A14" s="8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0"/>
      <c r="P14" s="8"/>
      <c r="Q14" s="8"/>
      <c r="R14" s="10"/>
      <c r="S14" s="8"/>
      <c r="T14" s="10"/>
    </row>
    <row r="15" spans="1:20">
      <c r="A15" s="8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0"/>
      <c r="P15" s="8"/>
      <c r="Q15" s="8"/>
      <c r="R15" s="10"/>
      <c r="S15" s="8"/>
      <c r="T15" s="10"/>
    </row>
    <row r="16" spans="1:20">
      <c r="A16" s="8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0"/>
      <c r="P16" s="8"/>
      <c r="Q16" s="8"/>
      <c r="R16" s="10"/>
      <c r="S16" s="8"/>
      <c r="T16" s="10"/>
    </row>
    <row r="17" spans="1:20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0"/>
      <c r="P17" s="8"/>
      <c r="Q17" s="8"/>
      <c r="R17" s="10"/>
      <c r="S17" s="8"/>
      <c r="T17" s="10"/>
    </row>
    <row r="18" spans="1:20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  <c r="P18" s="8"/>
      <c r="Q18" s="8"/>
      <c r="R18" s="10"/>
      <c r="S18" s="8"/>
      <c r="T18" s="10"/>
    </row>
    <row r="19" spans="1:20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0"/>
      <c r="P19" s="8"/>
      <c r="Q19" s="8"/>
      <c r="R19" s="10"/>
      <c r="S19" s="8"/>
      <c r="T19" s="10"/>
    </row>
    <row r="20" spans="1:20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0"/>
      <c r="P20" s="8"/>
      <c r="Q20" s="8"/>
      <c r="R20" s="10"/>
      <c r="S20" s="8"/>
      <c r="T20" s="10"/>
    </row>
    <row r="21" spans="1:20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0"/>
      <c r="P21" s="8"/>
      <c r="Q21" s="8"/>
      <c r="R21" s="10"/>
      <c r="S21" s="8"/>
      <c r="T21" s="10"/>
    </row>
    <row r="22" spans="1:20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0"/>
      <c r="P22" s="8"/>
      <c r="Q22" s="8"/>
      <c r="R22" s="10"/>
      <c r="S22" s="8"/>
      <c r="T22" s="10"/>
    </row>
    <row r="23" spans="1:20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0"/>
      <c r="P23" s="8"/>
      <c r="Q23" s="8"/>
      <c r="R23" s="10"/>
      <c r="S23" s="8"/>
      <c r="T23" s="10"/>
    </row>
    <row r="24" spans="1:20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0"/>
      <c r="P24" s="8"/>
      <c r="Q24" s="8"/>
      <c r="R24" s="10"/>
      <c r="S24" s="8"/>
      <c r="T24" s="10"/>
    </row>
    <row r="25" spans="1:20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0"/>
      <c r="P25" s="8"/>
      <c r="Q25" s="8"/>
      <c r="R25" s="10"/>
      <c r="S25" s="8"/>
      <c r="T25" s="10"/>
    </row>
    <row r="26" spans="1:20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0"/>
      <c r="P26" s="8"/>
      <c r="Q26" s="8"/>
      <c r="R26" s="10"/>
      <c r="S26" s="8"/>
      <c r="T26" s="10"/>
    </row>
    <row r="27" spans="1:20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0"/>
      <c r="P27" s="8"/>
      <c r="Q27" s="8"/>
      <c r="R27" s="10"/>
      <c r="S27" s="8"/>
      <c r="T27" s="10"/>
    </row>
    <row r="28" spans="1:20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0"/>
      <c r="P28" s="8"/>
      <c r="Q28" s="8"/>
      <c r="R28" s="10"/>
      <c r="S28" s="8"/>
      <c r="T28" s="10"/>
    </row>
    <row r="29" spans="1:20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0"/>
      <c r="P29" s="8"/>
      <c r="Q29" s="8"/>
      <c r="R29" s="10"/>
      <c r="S29" s="8"/>
      <c r="T29" s="10"/>
    </row>
    <row r="30" spans="1:20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0"/>
      <c r="P30" s="8"/>
      <c r="Q30" s="8"/>
      <c r="R30" s="10"/>
      <c r="S30" s="8"/>
      <c r="T30" s="10"/>
    </row>
    <row r="31" spans="1:20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0"/>
      <c r="P31" s="8"/>
      <c r="Q31" s="8"/>
      <c r="R31" s="10"/>
      <c r="S31" s="8"/>
      <c r="T31" s="10"/>
    </row>
    <row r="32" spans="1:20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0"/>
      <c r="P32" s="8"/>
      <c r="Q32" s="8"/>
      <c r="R32" s="10"/>
      <c r="S32" s="8"/>
      <c r="T32" s="10"/>
    </row>
    <row r="33" spans="1:20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0"/>
      <c r="P33" s="8"/>
      <c r="Q33" s="8"/>
      <c r="R33" s="10"/>
      <c r="S33" s="8"/>
      <c r="T33" s="10"/>
    </row>
    <row r="34" spans="1:20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0"/>
      <c r="P34" s="8"/>
      <c r="Q34" s="8"/>
      <c r="R34" s="10"/>
      <c r="S34" s="8"/>
      <c r="T34" s="10"/>
    </row>
    <row r="35" spans="1:20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0"/>
      <c r="P35" s="8"/>
      <c r="Q35" s="8"/>
      <c r="R35" s="10"/>
      <c r="S35" s="8"/>
      <c r="T35" s="10"/>
    </row>
    <row r="36" spans="1:20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0"/>
      <c r="P36" s="8"/>
      <c r="Q36" s="8"/>
      <c r="R36" s="10"/>
      <c r="S36" s="8"/>
      <c r="T36" s="10"/>
    </row>
    <row r="37" spans="1:20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0"/>
      <c r="P37" s="8"/>
      <c r="Q37" s="8"/>
      <c r="R37" s="10"/>
      <c r="S37" s="8"/>
      <c r="T37" s="10"/>
    </row>
    <row r="38" spans="1:20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0"/>
      <c r="P38" s="8"/>
      <c r="Q38" s="8"/>
      <c r="R38" s="10"/>
      <c r="S38" s="8"/>
      <c r="T38" s="10"/>
    </row>
    <row r="39" spans="1:20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0"/>
      <c r="P39" s="8"/>
      <c r="Q39" s="8"/>
      <c r="R39" s="10"/>
      <c r="S39" s="8"/>
      <c r="T39" s="10"/>
    </row>
    <row r="40" spans="1:20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0"/>
      <c r="P40" s="8"/>
      <c r="Q40" s="8"/>
      <c r="R40" s="10"/>
      <c r="S40" s="8"/>
      <c r="T40" s="10"/>
    </row>
    <row r="41" spans="1:20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0"/>
      <c r="P41" s="8"/>
      <c r="Q41" s="8"/>
      <c r="R41" s="10"/>
      <c r="S41" s="8"/>
      <c r="T41" s="10"/>
    </row>
    <row r="42" spans="1:20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0"/>
      <c r="P42" s="8"/>
      <c r="Q42" s="8"/>
      <c r="R42" s="10"/>
      <c r="S42" s="8"/>
      <c r="T42" s="10"/>
    </row>
    <row r="43" spans="1:20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0"/>
      <c r="P43" s="8"/>
      <c r="Q43" s="8"/>
      <c r="R43" s="10"/>
      <c r="S43" s="8"/>
      <c r="T43" s="10"/>
    </row>
    <row r="44" spans="1:20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0"/>
      <c r="P44" s="8"/>
      <c r="Q44" s="8"/>
      <c r="R44" s="10"/>
      <c r="S44" s="8"/>
      <c r="T44" s="10"/>
    </row>
    <row r="45" spans="1:20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0"/>
      <c r="P45" s="8"/>
      <c r="Q45" s="8"/>
      <c r="R45" s="10"/>
      <c r="S45" s="8"/>
      <c r="T45" s="10"/>
    </row>
    <row r="46" spans="1:20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0"/>
      <c r="P46" s="8"/>
      <c r="Q46" s="8"/>
      <c r="R46" s="10"/>
      <c r="S46" s="8"/>
      <c r="T46" s="10"/>
    </row>
    <row r="47" spans="1:20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0"/>
      <c r="P47" s="8"/>
      <c r="Q47" s="8"/>
      <c r="R47" s="10"/>
      <c r="S47" s="8"/>
      <c r="T47" s="10"/>
    </row>
    <row r="48" spans="1:20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0"/>
      <c r="P48" s="8"/>
      <c r="Q48" s="8"/>
      <c r="R48" s="10"/>
      <c r="S48" s="8"/>
      <c r="T48" s="10"/>
    </row>
    <row r="49" spans="1:20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0"/>
      <c r="P49" s="8"/>
      <c r="Q49" s="8"/>
      <c r="R49" s="10"/>
      <c r="S49" s="8"/>
      <c r="T49" s="10"/>
    </row>
    <row r="50" spans="1:20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0"/>
      <c r="P50" s="8"/>
      <c r="Q50" s="8"/>
      <c r="R50" s="10"/>
      <c r="S50" s="8"/>
      <c r="T50" s="10"/>
    </row>
    <row r="51" spans="1:20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0"/>
      <c r="P51" s="8"/>
      <c r="Q51" s="8"/>
      <c r="R51" s="10"/>
      <c r="S51" s="8"/>
      <c r="T51" s="10"/>
    </row>
    <row r="52" spans="1:20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0"/>
      <c r="P52" s="8"/>
      <c r="Q52" s="8"/>
      <c r="R52" s="10"/>
      <c r="S52" s="8"/>
      <c r="T52" s="10"/>
    </row>
    <row r="53" spans="1:20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0"/>
      <c r="P53" s="8"/>
      <c r="Q53" s="8"/>
      <c r="R53" s="10"/>
      <c r="S53" s="8"/>
      <c r="T53" s="10"/>
    </row>
    <row r="54" spans="1:20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0"/>
      <c r="P54" s="8"/>
      <c r="Q54" s="8"/>
      <c r="R54" s="10"/>
      <c r="S54" s="8"/>
      <c r="T54" s="10"/>
    </row>
    <row r="55" spans="1:20">
      <c r="A55" s="8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0"/>
      <c r="P55" s="8"/>
      <c r="Q55" s="8"/>
      <c r="R55" s="10"/>
      <c r="S55" s="8"/>
      <c r="T55" s="10"/>
    </row>
    <row r="56" spans="1:20">
      <c r="A56" s="8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0"/>
      <c r="P56" s="8"/>
      <c r="Q56" s="8"/>
      <c r="R56" s="10"/>
      <c r="S56" s="8"/>
      <c r="T56" s="10"/>
    </row>
    <row r="57" spans="1:20">
      <c r="A57" s="8"/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0"/>
      <c r="P57" s="8"/>
      <c r="Q57" s="8"/>
      <c r="R57" s="10"/>
      <c r="S57" s="8"/>
      <c r="T57" s="10"/>
    </row>
    <row r="58" spans="1:20">
      <c r="A58" s="8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0"/>
      <c r="P58" s="8"/>
      <c r="Q58" s="8"/>
      <c r="R58" s="10"/>
      <c r="S58" s="8"/>
      <c r="T58" s="10"/>
    </row>
    <row r="59" spans="1:20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0"/>
      <c r="P59" s="8"/>
      <c r="Q59" s="8"/>
      <c r="R59" s="10"/>
      <c r="S59" s="8"/>
      <c r="T59" s="10"/>
    </row>
    <row r="60" spans="1:20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0"/>
      <c r="P60" s="8"/>
      <c r="Q60" s="8"/>
      <c r="R60" s="10"/>
      <c r="S60" s="8"/>
      <c r="T60" s="10"/>
    </row>
    <row r="61" spans="1:20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0"/>
      <c r="P61" s="8"/>
      <c r="Q61" s="8"/>
      <c r="R61" s="10"/>
      <c r="S61" s="8"/>
      <c r="T61" s="10"/>
    </row>
    <row r="62" spans="1:20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0"/>
      <c r="P62" s="8"/>
      <c r="Q62" s="8"/>
      <c r="R62" s="10"/>
      <c r="S62" s="8"/>
      <c r="T62" s="10"/>
    </row>
    <row r="63" spans="1:20">
      <c r="A63" s="8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0"/>
      <c r="P63" s="8"/>
      <c r="Q63" s="8"/>
      <c r="R63" s="10"/>
      <c r="S63" s="8"/>
      <c r="T63" s="10"/>
    </row>
    <row r="64" spans="1:20">
      <c r="A64" s="8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0"/>
      <c r="P64" s="8"/>
      <c r="Q64" s="8"/>
      <c r="R64" s="10"/>
      <c r="S64" s="8"/>
      <c r="T64" s="10"/>
    </row>
    <row r="65" spans="1:20">
      <c r="A65" s="8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0"/>
      <c r="P65" s="8"/>
      <c r="Q65" s="8"/>
      <c r="R65" s="10"/>
      <c r="S65" s="8"/>
      <c r="T65" s="10"/>
    </row>
    <row r="66" spans="1:20">
      <c r="A66" s="8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0"/>
      <c r="P66" s="8"/>
      <c r="Q66" s="8"/>
      <c r="R66" s="10"/>
      <c r="S66" s="8"/>
      <c r="T66" s="10"/>
    </row>
    <row r="67" spans="1:20">
      <c r="A67" s="8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0"/>
      <c r="P67" s="8"/>
      <c r="Q67" s="8"/>
      <c r="R67" s="10"/>
      <c r="S67" s="8"/>
      <c r="T67" s="10"/>
    </row>
    <row r="68" spans="1:20">
      <c r="A68" s="8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0"/>
      <c r="P68" s="8"/>
      <c r="Q68" s="8"/>
      <c r="R68" s="10"/>
      <c r="S68" s="8"/>
      <c r="T68" s="10"/>
    </row>
    <row r="69" spans="1:20">
      <c r="A69" s="8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0"/>
      <c r="P69" s="8"/>
      <c r="Q69" s="8"/>
      <c r="R69" s="10"/>
      <c r="S69" s="8"/>
      <c r="T69" s="10"/>
    </row>
    <row r="70" spans="1:20">
      <c r="A70" s="8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0"/>
      <c r="P70" s="8"/>
      <c r="Q70" s="8"/>
      <c r="R70" s="10"/>
      <c r="S70" s="8"/>
      <c r="T70" s="10"/>
    </row>
    <row r="71" spans="1:20">
      <c r="A71" s="8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0"/>
      <c r="P71" s="8"/>
      <c r="Q71" s="8"/>
      <c r="R71" s="10"/>
      <c r="S71" s="8"/>
      <c r="T71" s="10"/>
    </row>
    <row r="72" spans="1:20">
      <c r="A72" s="8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0"/>
      <c r="P72" s="8"/>
      <c r="Q72" s="8"/>
      <c r="R72" s="10"/>
      <c r="S72" s="8"/>
      <c r="T72" s="10"/>
    </row>
    <row r="73" spans="1:20">
      <c r="A73" s="8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0"/>
      <c r="P73" s="8"/>
      <c r="Q73" s="8"/>
      <c r="R73" s="10"/>
      <c r="S73" s="8"/>
      <c r="T73" s="10"/>
    </row>
    <row r="74" spans="1:20">
      <c r="A74" s="8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0"/>
      <c r="P74" s="8"/>
      <c r="Q74" s="8"/>
      <c r="R74" s="10"/>
      <c r="S74" s="8"/>
      <c r="T74" s="10"/>
    </row>
    <row r="75" spans="1:20">
      <c r="A75" s="8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0"/>
      <c r="P75" s="8"/>
      <c r="Q75" s="8"/>
      <c r="R75" s="10"/>
      <c r="S75" s="8"/>
      <c r="T75" s="10"/>
    </row>
    <row r="76" spans="1:20">
      <c r="A76" s="8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0"/>
      <c r="P76" s="8"/>
      <c r="Q76" s="8"/>
      <c r="R76" s="10"/>
      <c r="S76" s="8"/>
      <c r="T76" s="10"/>
    </row>
    <row r="77" spans="1:20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0"/>
      <c r="P77" s="8"/>
      <c r="Q77" s="8"/>
      <c r="R77" s="10"/>
      <c r="S77" s="8"/>
      <c r="T77" s="10"/>
    </row>
    <row r="78" spans="1:20">
      <c r="A78" s="8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0"/>
      <c r="P78" s="8"/>
      <c r="Q78" s="8"/>
      <c r="R78" s="10"/>
      <c r="S78" s="8"/>
      <c r="T78" s="10"/>
    </row>
    <row r="79" spans="1:20">
      <c r="A79" s="8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0"/>
      <c r="P79" s="8"/>
      <c r="Q79" s="8"/>
      <c r="R79" s="10"/>
      <c r="S79" s="8"/>
      <c r="T79" s="10"/>
    </row>
    <row r="80" spans="1:20">
      <c r="A80" s="8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0"/>
      <c r="P80" s="8"/>
      <c r="Q80" s="8"/>
      <c r="R80" s="10"/>
      <c r="S80" s="8"/>
      <c r="T80" s="10"/>
    </row>
    <row r="81" spans="1:20">
      <c r="A81" s="8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0"/>
      <c r="P81" s="8"/>
      <c r="Q81" s="8"/>
      <c r="R81" s="10"/>
      <c r="S81" s="8"/>
      <c r="T81" s="10"/>
    </row>
    <row r="82" spans="1:20">
      <c r="A82" s="8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0"/>
      <c r="P82" s="8"/>
      <c r="Q82" s="8"/>
      <c r="R82" s="10"/>
      <c r="S82" s="8"/>
      <c r="T82" s="10"/>
    </row>
    <row r="83" spans="1:20">
      <c r="A83" s="8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0"/>
      <c r="P83" s="8"/>
      <c r="Q83" s="8"/>
      <c r="R83" s="10"/>
      <c r="S83" s="8"/>
      <c r="T83" s="10"/>
    </row>
    <row r="84" spans="1:20">
      <c r="A84" s="8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0"/>
      <c r="P84" s="8"/>
      <c r="Q84" s="8"/>
      <c r="R84" s="10"/>
      <c r="S84" s="8"/>
      <c r="T84" s="10"/>
    </row>
    <row r="85" spans="1:20">
      <c r="A85" s="8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0"/>
      <c r="P85" s="8"/>
      <c r="Q85" s="8"/>
      <c r="R85" s="10"/>
      <c r="S85" s="8"/>
      <c r="T85" s="10"/>
    </row>
    <row r="86" spans="1:20">
      <c r="A86" s="8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0"/>
      <c r="P86" s="8"/>
      <c r="Q86" s="8"/>
      <c r="R86" s="10"/>
      <c r="S86" s="8"/>
      <c r="T86" s="10"/>
    </row>
    <row r="87" spans="1:20">
      <c r="A87" s="8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0"/>
      <c r="P87" s="8"/>
      <c r="Q87" s="8"/>
      <c r="R87" s="10"/>
      <c r="S87" s="8"/>
      <c r="T87" s="10"/>
    </row>
    <row r="88" spans="1:20">
      <c r="A88" s="8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0"/>
      <c r="P88" s="8"/>
      <c r="Q88" s="8"/>
      <c r="R88" s="10"/>
      <c r="S88" s="8"/>
      <c r="T88" s="10"/>
    </row>
    <row r="89" spans="1:20">
      <c r="A89" s="8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0"/>
      <c r="P89" s="8"/>
      <c r="Q89" s="8"/>
      <c r="R89" s="10"/>
      <c r="S89" s="8"/>
      <c r="T89" s="10"/>
    </row>
    <row r="90" spans="1:20">
      <c r="A90" s="8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0"/>
      <c r="P90" s="8"/>
      <c r="Q90" s="8"/>
      <c r="R90" s="10"/>
      <c r="S90" s="8"/>
      <c r="T90" s="10"/>
    </row>
    <row r="91" spans="1:20">
      <c r="A91" s="8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0"/>
      <c r="P91" s="8"/>
      <c r="Q91" s="8"/>
      <c r="R91" s="10"/>
      <c r="S91" s="8"/>
      <c r="T91" s="10"/>
    </row>
    <row r="92" spans="1:20">
      <c r="A92" s="8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0"/>
      <c r="P92" s="8"/>
      <c r="Q92" s="8"/>
      <c r="R92" s="10"/>
      <c r="S92" s="8"/>
      <c r="T92" s="10"/>
    </row>
    <row r="93" spans="1:20">
      <c r="A93" s="8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0"/>
      <c r="P93" s="8"/>
      <c r="Q93" s="8"/>
      <c r="R93" s="10"/>
      <c r="S93" s="8"/>
      <c r="T93" s="10"/>
    </row>
    <row r="94" spans="1:20">
      <c r="A94" s="8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0"/>
      <c r="P94" s="8"/>
      <c r="Q94" s="8"/>
      <c r="R94" s="10"/>
      <c r="S94" s="8"/>
      <c r="T94" s="10"/>
    </row>
    <row r="95" spans="1:20">
      <c r="A95" s="8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0"/>
      <c r="P95" s="8"/>
      <c r="Q95" s="8"/>
      <c r="R95" s="10"/>
      <c r="S95" s="8"/>
      <c r="T95" s="10"/>
    </row>
    <row r="96" spans="1:20">
      <c r="A96" s="8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0"/>
      <c r="P96" s="8"/>
      <c r="Q96" s="8"/>
      <c r="R96" s="10"/>
      <c r="S96" s="8"/>
      <c r="T96" s="10"/>
    </row>
    <row r="97" spans="1:20">
      <c r="A97" s="8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0"/>
      <c r="P97" s="8"/>
      <c r="Q97" s="8"/>
      <c r="R97" s="10"/>
      <c r="S97" s="8"/>
      <c r="T97" s="10"/>
    </row>
    <row r="98" spans="1:20">
      <c r="A98" s="8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0"/>
      <c r="P98" s="8"/>
      <c r="Q98" s="8"/>
      <c r="R98" s="10"/>
      <c r="S98" s="8"/>
      <c r="T98" s="10"/>
    </row>
    <row r="99" spans="1:20">
      <c r="A99" s="8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0"/>
      <c r="P99" s="8"/>
      <c r="Q99" s="8"/>
      <c r="R99" s="10"/>
      <c r="S99" s="8"/>
      <c r="T99" s="10"/>
    </row>
    <row r="100" spans="1:20">
      <c r="A100" s="8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0"/>
      <c r="P100" s="8"/>
      <c r="Q100" s="8"/>
      <c r="R100" s="10"/>
      <c r="S100" s="8"/>
      <c r="T100" s="10"/>
    </row>
    <row r="101" spans="1:20">
      <c r="A101" s="8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0"/>
      <c r="P101" s="8"/>
      <c r="Q101" s="8"/>
      <c r="R101" s="10"/>
      <c r="S101" s="8"/>
      <c r="T101" s="10"/>
    </row>
    <row r="102" spans="1:20">
      <c r="A102" s="8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0"/>
      <c r="P102" s="8"/>
      <c r="Q102" s="8"/>
      <c r="R102" s="10"/>
      <c r="S102" s="8"/>
      <c r="T102" s="10"/>
    </row>
    <row r="103" spans="1:20">
      <c r="A103" s="8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0"/>
      <c r="P103" s="8"/>
      <c r="Q103" s="8"/>
      <c r="R103" s="10"/>
      <c r="S103" s="8"/>
      <c r="T103" s="10"/>
    </row>
    <row r="104" spans="1:20">
      <c r="A104" s="8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0"/>
      <c r="P104" s="8"/>
      <c r="Q104" s="8"/>
      <c r="R104" s="10"/>
      <c r="S104" s="8"/>
      <c r="T104" s="10"/>
    </row>
    <row r="105" spans="1:20">
      <c r="A105" s="8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0"/>
      <c r="P105" s="8"/>
      <c r="Q105" s="8"/>
      <c r="R105" s="10"/>
      <c r="S105" s="8"/>
      <c r="T105" s="10"/>
    </row>
    <row r="106" spans="1:20">
      <c r="A106" s="8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0"/>
      <c r="P106" s="8"/>
      <c r="Q106" s="8"/>
      <c r="R106" s="10"/>
      <c r="S106" s="8"/>
      <c r="T106" s="10"/>
    </row>
    <row r="107" spans="1:20">
      <c r="A107" s="8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0"/>
      <c r="P107" s="8"/>
      <c r="Q107" s="8"/>
      <c r="R107" s="10"/>
      <c r="S107" s="8"/>
      <c r="T107" s="10"/>
    </row>
    <row r="108" spans="1:20">
      <c r="A108" s="8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0"/>
      <c r="P108" s="8"/>
      <c r="Q108" s="8"/>
      <c r="R108" s="10"/>
      <c r="S108" s="8"/>
      <c r="T108" s="10"/>
    </row>
    <row r="109" spans="1:20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0"/>
      <c r="P109" s="8"/>
      <c r="Q109" s="8"/>
      <c r="R109" s="10"/>
      <c r="S109" s="8"/>
      <c r="T109" s="10"/>
    </row>
    <row r="110" spans="1:20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0"/>
      <c r="P110" s="8"/>
      <c r="Q110" s="8"/>
      <c r="R110" s="10"/>
      <c r="S110" s="8"/>
      <c r="T110" s="10"/>
    </row>
    <row r="111" spans="1:20">
      <c r="A111" s="8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0"/>
      <c r="P111" s="8"/>
      <c r="Q111" s="8"/>
      <c r="R111" s="10"/>
      <c r="S111" s="8"/>
      <c r="T111" s="10"/>
    </row>
    <row r="112" spans="1:20">
      <c r="A112" s="8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0"/>
      <c r="P112" s="8"/>
      <c r="Q112" s="8"/>
      <c r="R112" s="10"/>
      <c r="S112" s="8"/>
      <c r="T112" s="10"/>
    </row>
    <row r="113" spans="1:20">
      <c r="A113" s="8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0"/>
      <c r="P113" s="8"/>
      <c r="Q113" s="8"/>
      <c r="R113" s="10"/>
      <c r="S113" s="8"/>
      <c r="T113" s="10"/>
    </row>
    <row r="114" spans="1:20">
      <c r="A114" s="8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0"/>
      <c r="P114" s="8"/>
      <c r="Q114" s="8"/>
      <c r="R114" s="10"/>
      <c r="S114" s="8"/>
      <c r="T114" s="10"/>
    </row>
    <row r="115" spans="1:20">
      <c r="A115" s="8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0"/>
      <c r="P115" s="8"/>
      <c r="Q115" s="8"/>
      <c r="R115" s="10"/>
      <c r="S115" s="8"/>
      <c r="T115" s="10"/>
    </row>
    <row r="116" spans="1:20">
      <c r="A116" s="8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0"/>
      <c r="P116" s="8"/>
      <c r="Q116" s="8"/>
      <c r="R116" s="10"/>
      <c r="S116" s="8"/>
      <c r="T116" s="10"/>
    </row>
    <row r="117" spans="1:20">
      <c r="A117" s="8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0"/>
      <c r="P117" s="8"/>
      <c r="Q117" s="8"/>
      <c r="R117" s="10"/>
      <c r="S117" s="8"/>
      <c r="T117" s="10"/>
    </row>
    <row r="118" spans="1:20">
      <c r="A118" s="8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0"/>
      <c r="P118" s="8"/>
      <c r="Q118" s="8"/>
      <c r="R118" s="10"/>
      <c r="S118" s="8"/>
      <c r="T118" s="10"/>
    </row>
    <row r="119" spans="1:20">
      <c r="A119" s="8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0"/>
      <c r="P119" s="8"/>
      <c r="Q119" s="8"/>
      <c r="R119" s="10"/>
      <c r="S119" s="8"/>
      <c r="T119" s="10"/>
    </row>
    <row r="120" spans="1:20">
      <c r="A120" s="8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0"/>
      <c r="P120" s="8"/>
      <c r="Q120" s="8"/>
      <c r="R120" s="10"/>
      <c r="S120" s="8"/>
      <c r="T120" s="10"/>
    </row>
    <row r="121" spans="1:20">
      <c r="A121" s="8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0"/>
      <c r="P121" s="8"/>
      <c r="Q121" s="8"/>
      <c r="R121" s="10"/>
      <c r="S121" s="8"/>
      <c r="T121" s="10"/>
    </row>
    <row r="122" spans="1:20">
      <c r="A122" s="8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0"/>
      <c r="P122" s="8"/>
      <c r="Q122" s="8"/>
      <c r="R122" s="10"/>
      <c r="S122" s="8"/>
      <c r="T122" s="10"/>
    </row>
    <row r="123" spans="1:20">
      <c r="A123" s="8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0"/>
      <c r="P123" s="8"/>
      <c r="Q123" s="8"/>
      <c r="R123" s="10"/>
      <c r="S123" s="8"/>
      <c r="T123" s="10"/>
    </row>
    <row r="124" spans="1:20">
      <c r="A124" s="8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0"/>
      <c r="P124" s="8"/>
      <c r="Q124" s="8"/>
      <c r="R124" s="10"/>
      <c r="S124" s="8"/>
      <c r="T124" s="10"/>
    </row>
    <row r="125" spans="1:20">
      <c r="A125" s="8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0"/>
      <c r="P125" s="8"/>
      <c r="Q125" s="8"/>
      <c r="R125" s="10"/>
      <c r="S125" s="8"/>
      <c r="T125" s="10"/>
    </row>
    <row r="126" spans="1:20">
      <c r="A126" s="8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0"/>
      <c r="P126" s="8"/>
      <c r="Q126" s="8"/>
      <c r="R126" s="10"/>
      <c r="S126" s="8"/>
      <c r="T126" s="10"/>
    </row>
    <row r="127" spans="1:20">
      <c r="A127" s="8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0"/>
      <c r="P127" s="8"/>
      <c r="Q127" s="8"/>
      <c r="R127" s="10"/>
      <c r="S127" s="8"/>
      <c r="T127" s="10"/>
    </row>
    <row r="128" spans="1:20">
      <c r="A128" s="8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0"/>
      <c r="P128" s="8"/>
      <c r="Q128" s="8"/>
      <c r="R128" s="10"/>
      <c r="S128" s="8"/>
      <c r="T128" s="10"/>
    </row>
    <row r="129" spans="1:20">
      <c r="A129" s="8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0"/>
      <c r="P129" s="8"/>
      <c r="Q129" s="8"/>
      <c r="R129" s="10"/>
      <c r="S129" s="8"/>
      <c r="T129" s="10"/>
    </row>
    <row r="130" spans="1:20">
      <c r="A130" s="8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0"/>
      <c r="P130" s="8"/>
      <c r="Q130" s="8"/>
      <c r="R130" s="10"/>
      <c r="S130" s="8"/>
      <c r="T130" s="10"/>
    </row>
    <row r="131" spans="1:20">
      <c r="A131" s="8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0"/>
      <c r="P131" s="8"/>
      <c r="Q131" s="8"/>
      <c r="R131" s="10"/>
      <c r="S131" s="8"/>
      <c r="T131" s="10"/>
    </row>
    <row r="132" spans="1:20">
      <c r="A132" s="8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0"/>
      <c r="P132" s="8"/>
      <c r="Q132" s="8"/>
      <c r="R132" s="10"/>
      <c r="S132" s="8"/>
      <c r="T132" s="10"/>
    </row>
    <row r="133" spans="1:20">
      <c r="A133" s="8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0"/>
      <c r="P133" s="8"/>
      <c r="Q133" s="8"/>
      <c r="R133" s="10"/>
      <c r="S133" s="8"/>
      <c r="T133" s="10"/>
    </row>
    <row r="134" spans="1:20">
      <c r="A134" s="8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0"/>
      <c r="P134" s="8"/>
      <c r="Q134" s="8"/>
      <c r="R134" s="10"/>
      <c r="S134" s="8"/>
      <c r="T134" s="10"/>
    </row>
    <row r="135" spans="1:20">
      <c r="A135" s="8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0"/>
      <c r="P135" s="8"/>
      <c r="Q135" s="8"/>
      <c r="R135" s="10"/>
      <c r="S135" s="8"/>
      <c r="T135" s="10"/>
    </row>
    <row r="136" spans="1:20">
      <c r="A136" s="8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0"/>
      <c r="P136" s="8"/>
      <c r="Q136" s="8"/>
      <c r="R136" s="10"/>
      <c r="S136" s="8"/>
      <c r="T136" s="10"/>
    </row>
    <row r="137" spans="1:20">
      <c r="A137" s="8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0"/>
      <c r="P137" s="8"/>
      <c r="Q137" s="8"/>
      <c r="R137" s="10"/>
      <c r="S137" s="8"/>
      <c r="T137" s="10"/>
    </row>
    <row r="138" spans="1:20">
      <c r="A138" s="8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0"/>
      <c r="P138" s="8"/>
      <c r="Q138" s="8"/>
      <c r="R138" s="10"/>
      <c r="S138" s="8"/>
      <c r="T138" s="10"/>
    </row>
    <row r="139" spans="1:20">
      <c r="A139" s="8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0"/>
      <c r="P139" s="8"/>
      <c r="Q139" s="8"/>
      <c r="R139" s="10"/>
      <c r="S139" s="8"/>
      <c r="T139" s="10"/>
    </row>
    <row r="140" spans="1:20">
      <c r="A140" s="8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0"/>
      <c r="P140" s="8"/>
      <c r="Q140" s="8"/>
      <c r="R140" s="10"/>
      <c r="S140" s="8"/>
      <c r="T140" s="10"/>
    </row>
    <row r="141" spans="1:20">
      <c r="A141" s="8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0"/>
      <c r="P141" s="8"/>
      <c r="Q141" s="8"/>
      <c r="R141" s="10"/>
      <c r="S141" s="8"/>
      <c r="T141" s="10"/>
    </row>
    <row r="142" spans="1:20">
      <c r="A142" s="8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0"/>
      <c r="P142" s="8"/>
      <c r="Q142" s="8"/>
      <c r="R142" s="10"/>
      <c r="S142" s="8"/>
      <c r="T142" s="10"/>
    </row>
    <row r="143" spans="1:20">
      <c r="A143" s="8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0"/>
      <c r="P143" s="8"/>
      <c r="Q143" s="8"/>
      <c r="R143" s="10"/>
      <c r="S143" s="8"/>
      <c r="T143" s="10"/>
    </row>
    <row r="144" spans="1:20">
      <c r="A144" s="8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0"/>
      <c r="P144" s="8"/>
      <c r="Q144" s="8"/>
      <c r="R144" s="10"/>
      <c r="S144" s="8"/>
      <c r="T144" s="10"/>
    </row>
    <row r="145" spans="1:20">
      <c r="A145" s="8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0"/>
      <c r="P145" s="8"/>
      <c r="Q145" s="8"/>
      <c r="R145" s="10"/>
      <c r="S145" s="8"/>
      <c r="T145" s="10"/>
    </row>
    <row r="146" spans="1:20">
      <c r="A146" s="8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0"/>
      <c r="P146" s="8"/>
      <c r="Q146" s="8"/>
      <c r="R146" s="10"/>
      <c r="S146" s="8"/>
      <c r="T146" s="10"/>
    </row>
    <row r="147" spans="1:20">
      <c r="A147" s="8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0"/>
      <c r="P147" s="8"/>
      <c r="Q147" s="8"/>
      <c r="R147" s="10"/>
      <c r="S147" s="8"/>
      <c r="T147" s="10"/>
    </row>
    <row r="148" spans="1:20">
      <c r="A148" s="8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0"/>
      <c r="P148" s="8"/>
      <c r="Q148" s="8"/>
      <c r="R148" s="10"/>
      <c r="S148" s="8"/>
      <c r="T148" s="10"/>
    </row>
    <row r="149" spans="1:20">
      <c r="A149" s="8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0"/>
      <c r="P149" s="8"/>
      <c r="Q149" s="8"/>
      <c r="R149" s="10"/>
      <c r="S149" s="8"/>
      <c r="T149" s="10"/>
    </row>
    <row r="150" spans="1:20">
      <c r="A150" s="8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0"/>
      <c r="P150" s="8"/>
      <c r="Q150" s="8"/>
      <c r="R150" s="10"/>
      <c r="S150" s="8"/>
      <c r="T150" s="10"/>
    </row>
    <row r="151" spans="1:20">
      <c r="A151" s="8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0"/>
      <c r="P151" s="8"/>
      <c r="Q151" s="8"/>
      <c r="R151" s="10"/>
      <c r="S151" s="8"/>
      <c r="T151" s="10"/>
    </row>
    <row r="152" spans="1:20">
      <c r="A152" s="8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0"/>
      <c r="P152" s="8"/>
      <c r="Q152" s="8"/>
      <c r="R152" s="10"/>
      <c r="S152" s="8"/>
      <c r="T152" s="10"/>
    </row>
    <row r="153" spans="1:20">
      <c r="A153" s="8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0"/>
      <c r="P153" s="8"/>
      <c r="Q153" s="8"/>
      <c r="R153" s="10"/>
      <c r="S153" s="8"/>
      <c r="T153" s="10"/>
    </row>
    <row r="154" spans="1:20">
      <c r="A154" s="8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0"/>
      <c r="P154" s="8"/>
      <c r="Q154" s="8"/>
      <c r="R154" s="10"/>
      <c r="S154" s="8"/>
      <c r="T154" s="10"/>
    </row>
    <row r="155" spans="1:20">
      <c r="A155" s="8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0"/>
      <c r="P155" s="8"/>
      <c r="Q155" s="8"/>
      <c r="R155" s="10"/>
      <c r="S155" s="8"/>
      <c r="T155" s="10"/>
    </row>
    <row r="156" spans="1:20">
      <c r="A156" s="8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0"/>
      <c r="P156" s="8"/>
      <c r="Q156" s="8"/>
      <c r="R156" s="10"/>
      <c r="S156" s="8"/>
      <c r="T156" s="10"/>
    </row>
    <row r="157" spans="1:20">
      <c r="A157" s="8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0"/>
      <c r="P157" s="8"/>
      <c r="Q157" s="8"/>
      <c r="R157" s="10"/>
      <c r="S157" s="8"/>
      <c r="T157" s="10"/>
    </row>
    <row r="158" spans="1:20">
      <c r="A158" s="8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0"/>
      <c r="P158" s="8"/>
      <c r="Q158" s="8"/>
      <c r="R158" s="10"/>
      <c r="S158" s="8"/>
      <c r="T158" s="10"/>
    </row>
    <row r="159" spans="1:20">
      <c r="A159" s="8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0"/>
      <c r="P159" s="8"/>
      <c r="Q159" s="8"/>
      <c r="R159" s="10"/>
      <c r="S159" s="8"/>
      <c r="T159" s="10"/>
    </row>
    <row r="160" spans="1:20">
      <c r="A160" s="8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0"/>
      <c r="P160" s="8"/>
      <c r="Q160" s="8"/>
      <c r="R160" s="10"/>
      <c r="S160" s="8"/>
      <c r="T160" s="10"/>
    </row>
    <row r="161" spans="1:20">
      <c r="A161" s="8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0"/>
      <c r="P161" s="8"/>
      <c r="Q161" s="8"/>
      <c r="R161" s="10"/>
      <c r="S161" s="8"/>
      <c r="T161" s="10"/>
    </row>
    <row r="162" spans="1:20">
      <c r="A162" s="8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0"/>
      <c r="P162" s="8"/>
      <c r="Q162" s="8"/>
      <c r="R162" s="10"/>
      <c r="S162" s="8"/>
      <c r="T162" s="10"/>
    </row>
    <row r="163" spans="1:20">
      <c r="A163" s="8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0"/>
      <c r="P163" s="8"/>
      <c r="Q163" s="8"/>
      <c r="R163" s="10"/>
      <c r="S163" s="8"/>
      <c r="T163" s="10"/>
    </row>
    <row r="164" spans="1:20">
      <c r="A164" s="8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0"/>
      <c r="P164" s="8"/>
      <c r="Q164" s="8"/>
      <c r="R164" s="10"/>
      <c r="S164" s="8"/>
      <c r="T164" s="10"/>
    </row>
    <row r="165" spans="1:20">
      <c r="A165" s="8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0"/>
      <c r="P165" s="8"/>
      <c r="Q165" s="8"/>
      <c r="R165" s="10"/>
      <c r="S165" s="8"/>
      <c r="T165" s="10"/>
    </row>
    <row r="166" spans="1:20">
      <c r="A166" s="8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0"/>
      <c r="P166" s="8"/>
      <c r="Q166" s="8"/>
      <c r="R166" s="10"/>
      <c r="S166" s="8"/>
      <c r="T166" s="10"/>
    </row>
    <row r="167" spans="1:20">
      <c r="A167" s="8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0"/>
      <c r="P167" s="8"/>
      <c r="Q167" s="8"/>
      <c r="R167" s="10"/>
      <c r="S167" s="8"/>
      <c r="T167" s="10"/>
    </row>
    <row r="168" spans="1:20">
      <c r="A168" s="8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0"/>
      <c r="P168" s="8"/>
      <c r="Q168" s="8"/>
      <c r="R168" s="10"/>
      <c r="S168" s="8"/>
      <c r="T168" s="10"/>
    </row>
    <row r="169" spans="1:20">
      <c r="A169" s="8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0"/>
      <c r="P169" s="8"/>
      <c r="Q169" s="8"/>
      <c r="R169" s="10"/>
      <c r="S169" s="8"/>
      <c r="T169" s="10"/>
    </row>
    <row r="170" spans="1:20">
      <c r="A170" s="8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0"/>
      <c r="P170" s="8"/>
      <c r="Q170" s="8"/>
      <c r="R170" s="10"/>
      <c r="S170" s="8"/>
      <c r="T170" s="10"/>
    </row>
    <row r="171" spans="1:20">
      <c r="A171" s="8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0"/>
      <c r="P171" s="8"/>
      <c r="Q171" s="8"/>
      <c r="R171" s="10"/>
      <c r="S171" s="8"/>
      <c r="T171" s="10"/>
    </row>
    <row r="172" spans="1:20">
      <c r="A172" s="8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0"/>
      <c r="P172" s="8"/>
      <c r="Q172" s="8"/>
      <c r="R172" s="10"/>
      <c r="S172" s="8"/>
      <c r="T172" s="10"/>
    </row>
    <row r="173" spans="1:20">
      <c r="A173" s="8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0"/>
      <c r="P173" s="8"/>
      <c r="Q173" s="8"/>
      <c r="R173" s="10"/>
      <c r="S173" s="8"/>
      <c r="T173" s="10"/>
    </row>
    <row r="174" spans="1:20">
      <c r="A174" s="8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0"/>
      <c r="P174" s="8"/>
      <c r="Q174" s="8"/>
      <c r="R174" s="10"/>
      <c r="S174" s="8"/>
      <c r="T174" s="10"/>
    </row>
    <row r="175" spans="1:20">
      <c r="A175" s="8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0"/>
      <c r="P175" s="8"/>
      <c r="Q175" s="8"/>
      <c r="R175" s="10"/>
      <c r="S175" s="8"/>
      <c r="T175" s="10"/>
    </row>
    <row r="176" spans="1:20">
      <c r="A176" s="8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0"/>
      <c r="P176" s="8"/>
      <c r="Q176" s="8"/>
      <c r="R176" s="10"/>
      <c r="S176" s="8"/>
      <c r="T176" s="10"/>
    </row>
    <row r="177" spans="1:20">
      <c r="A177" s="8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0"/>
      <c r="P177" s="8"/>
      <c r="Q177" s="8"/>
      <c r="R177" s="10"/>
      <c r="S177" s="8"/>
      <c r="T177" s="10"/>
    </row>
    <row r="178" spans="1:20">
      <c r="A178" s="8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0"/>
      <c r="P178" s="8"/>
      <c r="Q178" s="8"/>
      <c r="R178" s="10"/>
      <c r="S178" s="8"/>
      <c r="T178" s="10"/>
    </row>
    <row r="179" spans="1:20">
      <c r="A179" s="8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0"/>
      <c r="P179" s="8"/>
      <c r="Q179" s="8"/>
      <c r="R179" s="10"/>
      <c r="S179" s="8"/>
      <c r="T179" s="10"/>
    </row>
    <row r="180" spans="1:20">
      <c r="A180" s="8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0"/>
      <c r="P180" s="8"/>
      <c r="Q180" s="8"/>
      <c r="R180" s="10"/>
      <c r="S180" s="8"/>
      <c r="T180" s="10"/>
    </row>
    <row r="181" spans="1:20">
      <c r="A181" s="8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0"/>
      <c r="P181" s="8"/>
      <c r="Q181" s="8"/>
      <c r="R181" s="10"/>
      <c r="S181" s="8"/>
      <c r="T181" s="10"/>
    </row>
    <row r="182" spans="1:20">
      <c r="A182" s="8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0"/>
      <c r="P182" s="8"/>
      <c r="Q182" s="8"/>
      <c r="R182" s="10"/>
      <c r="S182" s="8"/>
      <c r="T182" s="10"/>
    </row>
    <row r="183" spans="1:20">
      <c r="A183" s="8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0"/>
      <c r="P183" s="8"/>
      <c r="Q183" s="8"/>
      <c r="R183" s="10"/>
      <c r="S183" s="8"/>
      <c r="T183" s="10"/>
    </row>
    <row r="184" spans="1:20">
      <c r="A184" s="8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0"/>
      <c r="P184" s="8"/>
      <c r="Q184" s="8"/>
      <c r="R184" s="10"/>
      <c r="S184" s="8"/>
      <c r="T184" s="10"/>
    </row>
    <row r="185" spans="1:20">
      <c r="A185" s="8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0"/>
      <c r="P185" s="8"/>
      <c r="Q185" s="8"/>
      <c r="R185" s="10"/>
      <c r="S185" s="8"/>
      <c r="T185" s="10"/>
    </row>
    <row r="186" spans="1:20">
      <c r="A186" s="8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0"/>
      <c r="P186" s="8"/>
      <c r="Q186" s="8"/>
      <c r="R186" s="10"/>
      <c r="S186" s="8"/>
      <c r="T186" s="10"/>
    </row>
    <row r="187" spans="1:20">
      <c r="A187" s="8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0"/>
      <c r="P187" s="8"/>
      <c r="Q187" s="8"/>
      <c r="R187" s="10"/>
      <c r="S187" s="8"/>
      <c r="T187" s="10"/>
    </row>
    <row r="188" spans="1:20">
      <c r="A188" s="8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0"/>
      <c r="P188" s="8"/>
      <c r="Q188" s="8"/>
      <c r="R188" s="10"/>
      <c r="S188" s="8"/>
      <c r="T188" s="10"/>
    </row>
    <row r="189" spans="1:20">
      <c r="A189" s="8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0"/>
      <c r="P189" s="8"/>
      <c r="Q189" s="8"/>
      <c r="R189" s="10"/>
      <c r="S189" s="8"/>
      <c r="T189" s="10"/>
    </row>
    <row r="190" spans="1:20">
      <c r="A190" s="8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0"/>
      <c r="P190" s="8"/>
      <c r="Q190" s="8"/>
      <c r="R190" s="10"/>
      <c r="S190" s="8"/>
      <c r="T190" s="10"/>
    </row>
    <row r="191" spans="1:20">
      <c r="A191" s="8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0"/>
      <c r="P191" s="8"/>
      <c r="Q191" s="8"/>
      <c r="R191" s="10"/>
      <c r="S191" s="8"/>
      <c r="T191" s="10"/>
    </row>
    <row r="192" spans="1:20">
      <c r="A192" s="8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0"/>
      <c r="P192" s="8"/>
      <c r="Q192" s="8"/>
      <c r="R192" s="10"/>
      <c r="S192" s="8"/>
      <c r="T192" s="10"/>
    </row>
    <row r="193" spans="1:20">
      <c r="A193" s="8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0"/>
      <c r="P193" s="8"/>
      <c r="Q193" s="8"/>
      <c r="R193" s="10"/>
      <c r="S193" s="8"/>
      <c r="T193" s="10"/>
    </row>
    <row r="194" spans="1:20">
      <c r="A194" s="8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0"/>
      <c r="P194" s="8"/>
      <c r="Q194" s="8"/>
      <c r="R194" s="10"/>
      <c r="S194" s="8"/>
      <c r="T194" s="10"/>
    </row>
    <row r="195" spans="1:20">
      <c r="A195" s="8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0"/>
      <c r="P195" s="8"/>
      <c r="Q195" s="8"/>
      <c r="R195" s="10"/>
      <c r="S195" s="8"/>
      <c r="T195" s="10"/>
    </row>
    <row r="196" spans="1:20">
      <c r="A196" s="8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0"/>
      <c r="P196" s="8"/>
      <c r="Q196" s="8"/>
      <c r="R196" s="10"/>
      <c r="S196" s="8"/>
      <c r="T196" s="10"/>
    </row>
    <row r="197" spans="1:20">
      <c r="A197" s="8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0"/>
      <c r="P197" s="8"/>
      <c r="Q197" s="8"/>
      <c r="R197" s="10"/>
      <c r="S197" s="8"/>
      <c r="T197" s="10"/>
    </row>
    <row r="198" spans="1:20">
      <c r="A198" s="8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0"/>
      <c r="P198" s="8"/>
      <c r="Q198" s="8"/>
      <c r="R198" s="10"/>
      <c r="S198" s="8"/>
      <c r="T198" s="10"/>
    </row>
    <row r="199" spans="1:20">
      <c r="A199" s="8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0"/>
      <c r="P199" s="8"/>
      <c r="Q199" s="8"/>
      <c r="R199" s="10"/>
      <c r="S199" s="8"/>
      <c r="T199" s="10"/>
    </row>
    <row r="200" spans="1:20">
      <c r="A200" s="8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0"/>
      <c r="P200" s="8"/>
      <c r="Q200" s="8"/>
      <c r="R200" s="10"/>
      <c r="S200" s="8"/>
      <c r="T200" s="10"/>
    </row>
    <row r="201" spans="1:20">
      <c r="A201" s="8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0"/>
      <c r="P201" s="8"/>
      <c r="Q201" s="8"/>
      <c r="R201" s="10"/>
      <c r="S201" s="8"/>
      <c r="T201" s="10"/>
    </row>
    <row r="202" spans="1:20">
      <c r="A202" s="8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0"/>
      <c r="P202" s="8"/>
      <c r="Q202" s="8"/>
      <c r="R202" s="10"/>
      <c r="S202" s="8"/>
      <c r="T202" s="10"/>
    </row>
    <row r="203" spans="1:20">
      <c r="A203" s="8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0"/>
      <c r="P203" s="8"/>
      <c r="Q203" s="8"/>
      <c r="R203" s="10"/>
      <c r="S203" s="8"/>
      <c r="T203" s="10"/>
    </row>
    <row r="204" spans="1:20">
      <c r="A204" s="8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0"/>
      <c r="P204" s="8"/>
      <c r="Q204" s="8"/>
      <c r="R204" s="10"/>
      <c r="S204" s="8"/>
      <c r="T204" s="10"/>
    </row>
    <row r="205" spans="1:20">
      <c r="A205" s="8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0"/>
      <c r="P205" s="8"/>
      <c r="Q205" s="8"/>
      <c r="R205" s="10"/>
      <c r="S205" s="8"/>
      <c r="T205" s="10"/>
    </row>
    <row r="206" spans="1:20">
      <c r="A206" s="8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0"/>
      <c r="P206" s="8"/>
      <c r="Q206" s="8"/>
      <c r="R206" s="10"/>
      <c r="S206" s="8"/>
      <c r="T206" s="10"/>
    </row>
    <row r="207" spans="1:20">
      <c r="A207" s="8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0"/>
      <c r="P207" s="8"/>
      <c r="Q207" s="8"/>
      <c r="R207" s="10"/>
      <c r="S207" s="8"/>
      <c r="T207" s="10"/>
    </row>
    <row r="208" spans="1:20">
      <c r="A208" s="8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0"/>
      <c r="P208" s="8"/>
      <c r="Q208" s="8"/>
      <c r="R208" s="10"/>
      <c r="S208" s="8"/>
      <c r="T208" s="10"/>
    </row>
    <row r="209" spans="1:20">
      <c r="A209" s="8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0"/>
      <c r="P209" s="8"/>
      <c r="Q209" s="8"/>
      <c r="R209" s="10"/>
      <c r="S209" s="8"/>
      <c r="T209" s="10"/>
    </row>
    <row r="210" spans="1:20">
      <c r="A210" s="8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0"/>
      <c r="P210" s="8"/>
      <c r="Q210" s="8"/>
      <c r="R210" s="10"/>
      <c r="S210" s="8"/>
      <c r="T210" s="10"/>
    </row>
    <row r="211" spans="1:20">
      <c r="A211" s="8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0"/>
      <c r="P211" s="8"/>
      <c r="Q211" s="8"/>
      <c r="R211" s="10"/>
      <c r="S211" s="8"/>
      <c r="T211" s="10"/>
    </row>
    <row r="212" spans="1:20">
      <c r="A212" s="8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0"/>
      <c r="P212" s="8"/>
      <c r="Q212" s="8"/>
      <c r="R212" s="10"/>
      <c r="S212" s="8"/>
      <c r="T212" s="10"/>
    </row>
    <row r="213" spans="1:20">
      <c r="A213" s="8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0"/>
      <c r="P213" s="8"/>
      <c r="Q213" s="8"/>
      <c r="R213" s="10"/>
      <c r="S213" s="8"/>
      <c r="T213" s="10"/>
    </row>
    <row r="214" spans="1:20">
      <c r="A214" s="8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0"/>
      <c r="P214" s="8"/>
      <c r="Q214" s="8"/>
      <c r="R214" s="10"/>
      <c r="S214" s="8"/>
      <c r="T214" s="10"/>
    </row>
    <row r="215" spans="1:20">
      <c r="A215" s="8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0"/>
      <c r="P215" s="8"/>
      <c r="Q215" s="8"/>
      <c r="R215" s="10"/>
      <c r="S215" s="8"/>
      <c r="T215" s="10"/>
    </row>
    <row r="216" spans="1:20">
      <c r="A216" s="8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0"/>
      <c r="P216" s="8"/>
      <c r="Q216" s="8"/>
      <c r="R216" s="10"/>
      <c r="S216" s="8"/>
      <c r="T216" s="10"/>
    </row>
    <row r="217" spans="1:20">
      <c r="A217" s="8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0"/>
      <c r="P217" s="8"/>
      <c r="Q217" s="8"/>
      <c r="R217" s="10"/>
      <c r="S217" s="8"/>
      <c r="T217" s="10"/>
    </row>
    <row r="218" spans="1:20">
      <c r="A218" s="8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0"/>
      <c r="P218" s="8"/>
      <c r="Q218" s="8"/>
      <c r="R218" s="10"/>
      <c r="S218" s="8"/>
      <c r="T218" s="10"/>
    </row>
    <row r="219" spans="1:20">
      <c r="A219" s="8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0"/>
      <c r="P219" s="8"/>
      <c r="Q219" s="8"/>
      <c r="R219" s="10"/>
      <c r="S219" s="8"/>
      <c r="T219" s="10"/>
    </row>
    <row r="220" spans="1:20">
      <c r="A220" s="8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0"/>
      <c r="P220" s="8"/>
      <c r="Q220" s="8"/>
      <c r="R220" s="10"/>
      <c r="S220" s="8"/>
      <c r="T220" s="10"/>
    </row>
    <row r="221" spans="1:20">
      <c r="A221" s="8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0"/>
      <c r="P221" s="8"/>
      <c r="Q221" s="8"/>
      <c r="R221" s="10"/>
      <c r="S221" s="8"/>
      <c r="T221" s="10"/>
    </row>
    <row r="222" spans="1:20">
      <c r="A222" s="8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0"/>
      <c r="P222" s="8"/>
      <c r="Q222" s="8"/>
      <c r="R222" s="10"/>
      <c r="S222" s="8"/>
      <c r="T222" s="10"/>
    </row>
    <row r="223" spans="1:20">
      <c r="A223" s="8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0"/>
      <c r="P223" s="8"/>
      <c r="Q223" s="8"/>
      <c r="R223" s="10"/>
      <c r="S223" s="8"/>
      <c r="T223" s="10"/>
    </row>
    <row r="224" spans="1:20">
      <c r="A224" s="8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0"/>
      <c r="P224" s="8"/>
      <c r="Q224" s="8"/>
      <c r="R224" s="10"/>
      <c r="S224" s="8"/>
      <c r="T224" s="10"/>
    </row>
    <row r="225" spans="1:20">
      <c r="A225" s="8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0"/>
      <c r="P225" s="8"/>
      <c r="Q225" s="8"/>
      <c r="R225" s="10"/>
      <c r="S225" s="8"/>
      <c r="T225" s="10"/>
    </row>
    <row r="226" spans="1:20">
      <c r="A226" s="8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0"/>
      <c r="P226" s="8"/>
      <c r="Q226" s="8"/>
      <c r="R226" s="10"/>
      <c r="S226" s="8"/>
      <c r="T226" s="10"/>
    </row>
    <row r="227" spans="1:20">
      <c r="A227" s="8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0"/>
      <c r="P227" s="8"/>
      <c r="Q227" s="8"/>
      <c r="R227" s="10"/>
      <c r="S227" s="8"/>
      <c r="T227" s="10"/>
    </row>
    <row r="228" spans="1:20">
      <c r="A228" s="8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0"/>
      <c r="P228" s="8"/>
      <c r="Q228" s="8"/>
      <c r="R228" s="10"/>
      <c r="S228" s="8"/>
      <c r="T228" s="10"/>
    </row>
    <row r="229" spans="1:20">
      <c r="A229" s="8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0"/>
      <c r="P229" s="8"/>
      <c r="Q229" s="8"/>
      <c r="R229" s="10"/>
      <c r="S229" s="8"/>
      <c r="T229" s="10"/>
    </row>
    <row r="230" spans="1:20">
      <c r="A230" s="8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0"/>
      <c r="P230" s="8"/>
      <c r="Q230" s="8"/>
      <c r="R230" s="10"/>
      <c r="S230" s="8"/>
      <c r="T230" s="10"/>
    </row>
    <row r="231" spans="1:20">
      <c r="A231" s="8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0"/>
      <c r="P231" s="8"/>
      <c r="Q231" s="8"/>
      <c r="R231" s="10"/>
      <c r="S231" s="8"/>
      <c r="T231" s="10"/>
    </row>
    <row r="232" spans="1:20">
      <c r="A232" s="8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0"/>
      <c r="P232" s="8"/>
      <c r="Q232" s="8"/>
      <c r="R232" s="10"/>
      <c r="S232" s="8"/>
      <c r="T232" s="10"/>
    </row>
    <row r="233" spans="1:20">
      <c r="A233" s="8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0"/>
      <c r="P233" s="8"/>
      <c r="Q233" s="8"/>
      <c r="R233" s="10"/>
      <c r="S233" s="8"/>
      <c r="T233" s="10"/>
    </row>
    <row r="234" spans="1:20">
      <c r="A234" s="8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0"/>
      <c r="P234" s="8"/>
      <c r="Q234" s="8"/>
      <c r="R234" s="10"/>
      <c r="S234" s="8"/>
      <c r="T234" s="10"/>
    </row>
    <row r="235" spans="1:20">
      <c r="A235" s="8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0"/>
      <c r="P235" s="8"/>
      <c r="Q235" s="8"/>
      <c r="R235" s="10"/>
      <c r="S235" s="8"/>
      <c r="T235" s="10"/>
    </row>
    <row r="236" spans="1:20">
      <c r="A236" s="8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0"/>
      <c r="P236" s="8"/>
      <c r="Q236" s="8"/>
      <c r="R236" s="10"/>
      <c r="S236" s="8"/>
      <c r="T236" s="10"/>
    </row>
    <row r="237" spans="1:20">
      <c r="A237" s="8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0"/>
      <c r="P237" s="8"/>
      <c r="Q237" s="8"/>
      <c r="R237" s="10"/>
      <c r="S237" s="8"/>
      <c r="T237" s="10"/>
    </row>
    <row r="238" spans="1:20">
      <c r="A238" s="8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0"/>
      <c r="P238" s="8"/>
      <c r="Q238" s="8"/>
      <c r="R238" s="10"/>
      <c r="S238" s="8"/>
      <c r="T238" s="10"/>
    </row>
    <row r="239" spans="1:20">
      <c r="A239" s="8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0"/>
      <c r="P239" s="8"/>
      <c r="Q239" s="8"/>
      <c r="R239" s="10"/>
      <c r="S239" s="8"/>
      <c r="T239" s="10"/>
    </row>
    <row r="240" spans="1:20">
      <c r="A240" s="8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0"/>
      <c r="P240" s="8"/>
      <c r="Q240" s="8"/>
      <c r="R240" s="10"/>
      <c r="S240" s="8"/>
      <c r="T240" s="10"/>
    </row>
    <row r="241" spans="1:20">
      <c r="A241" s="8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0"/>
      <c r="P241" s="8"/>
      <c r="Q241" s="8"/>
      <c r="R241" s="10"/>
      <c r="S241" s="8"/>
      <c r="T241" s="10"/>
    </row>
    <row r="242" spans="1:20">
      <c r="A242" s="8"/>
      <c r="B242" s="1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0"/>
      <c r="P242" s="8"/>
      <c r="Q242" s="8"/>
      <c r="R242" s="10"/>
      <c r="S242" s="8"/>
      <c r="T242" s="10"/>
    </row>
    <row r="243" spans="1:20">
      <c r="A243" s="8"/>
      <c r="B243" s="1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0"/>
      <c r="P243" s="8"/>
      <c r="Q243" s="8"/>
      <c r="R243" s="10"/>
      <c r="S243" s="8"/>
      <c r="T243" s="10"/>
    </row>
    <row r="244" spans="1:20">
      <c r="A244" s="8"/>
      <c r="B244" s="1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0"/>
      <c r="P244" s="8"/>
      <c r="Q244" s="8"/>
      <c r="R244" s="10"/>
      <c r="S244" s="8"/>
      <c r="T244" s="10"/>
    </row>
    <row r="245" spans="1:20">
      <c r="A245" s="8"/>
      <c r="B245" s="1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0"/>
      <c r="P245" s="8"/>
      <c r="Q245" s="8"/>
      <c r="R245" s="10"/>
      <c r="S245" s="8"/>
      <c r="T245" s="10"/>
    </row>
    <row r="246" spans="1:20">
      <c r="A246" s="8"/>
      <c r="B246" s="1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0"/>
      <c r="P246" s="8"/>
      <c r="Q246" s="8"/>
      <c r="R246" s="10"/>
      <c r="S246" s="8"/>
      <c r="T246" s="10"/>
    </row>
    <row r="247" spans="1:20">
      <c r="A247" s="8"/>
      <c r="B247" s="1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0"/>
      <c r="P247" s="8"/>
      <c r="Q247" s="8"/>
      <c r="R247" s="10"/>
      <c r="S247" s="8"/>
      <c r="T247" s="10"/>
    </row>
    <row r="248" spans="1:20">
      <c r="A248" s="8"/>
      <c r="B248" s="1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0"/>
      <c r="P248" s="8"/>
      <c r="Q248" s="8"/>
      <c r="R248" s="10"/>
      <c r="S248" s="8"/>
      <c r="T248" s="10"/>
    </row>
    <row r="249" spans="1:20">
      <c r="A249" s="8"/>
      <c r="B249" s="1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0"/>
      <c r="P249" s="8"/>
      <c r="Q249" s="8"/>
      <c r="R249" s="10"/>
      <c r="S249" s="8"/>
      <c r="T249" s="10"/>
    </row>
    <row r="250" spans="1:20">
      <c r="A250" s="8"/>
      <c r="B250" s="1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0"/>
      <c r="P250" s="8"/>
      <c r="Q250" s="8"/>
      <c r="R250" s="10"/>
      <c r="S250" s="8"/>
      <c r="T250" s="10"/>
    </row>
    <row r="251" spans="1:20">
      <c r="A251" s="8"/>
      <c r="B251" s="1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0"/>
      <c r="P251" s="8"/>
      <c r="Q251" s="8"/>
      <c r="R251" s="10"/>
      <c r="S251" s="8"/>
      <c r="T251" s="10"/>
    </row>
    <row r="252" spans="1:20">
      <c r="A252" s="8"/>
      <c r="B252" s="1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0"/>
      <c r="P252" s="8"/>
      <c r="Q252" s="8"/>
      <c r="R252" s="10"/>
      <c r="S252" s="8"/>
      <c r="T252" s="10"/>
    </row>
    <row r="253" spans="1:20">
      <c r="A253" s="8"/>
      <c r="B253" s="1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0"/>
      <c r="P253" s="8"/>
      <c r="Q253" s="8"/>
      <c r="R253" s="10"/>
      <c r="S253" s="8"/>
      <c r="T253" s="10"/>
    </row>
    <row r="254" spans="1:20">
      <c r="A254" s="8"/>
      <c r="B254" s="1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0"/>
      <c r="P254" s="8"/>
      <c r="Q254" s="8"/>
      <c r="R254" s="10"/>
      <c r="S254" s="8"/>
      <c r="T254" s="10"/>
    </row>
    <row r="255" spans="1:20">
      <c r="A255" s="8"/>
      <c r="B255" s="1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0"/>
      <c r="P255" s="8"/>
      <c r="Q255" s="8"/>
      <c r="R255" s="10"/>
      <c r="S255" s="8"/>
      <c r="T255" s="10"/>
    </row>
    <row r="256" spans="1:20">
      <c r="A256" s="8"/>
      <c r="B256" s="1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0"/>
      <c r="P256" s="8"/>
      <c r="Q256" s="8"/>
      <c r="R256" s="10"/>
      <c r="S256" s="8"/>
      <c r="T256" s="10"/>
    </row>
    <row r="257" spans="1:20">
      <c r="A257" s="8"/>
      <c r="B257" s="1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0"/>
      <c r="P257" s="8"/>
      <c r="Q257" s="8"/>
      <c r="R257" s="10"/>
      <c r="S257" s="8"/>
      <c r="T257" s="10"/>
    </row>
    <row r="258" spans="1:20">
      <c r="A258" s="8"/>
      <c r="B258" s="1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0"/>
      <c r="P258" s="8"/>
      <c r="Q258" s="8"/>
      <c r="R258" s="10"/>
      <c r="S258" s="8"/>
      <c r="T258" s="10"/>
    </row>
    <row r="259" spans="1:20">
      <c r="A259" s="8"/>
      <c r="B259" s="1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0"/>
      <c r="P259" s="8"/>
      <c r="Q259" s="8"/>
      <c r="R259" s="10"/>
      <c r="S259" s="8"/>
      <c r="T259" s="10"/>
    </row>
    <row r="260" spans="1:20">
      <c r="A260" s="8"/>
      <c r="B260" s="1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0"/>
      <c r="P260" s="8"/>
      <c r="Q260" s="8"/>
      <c r="R260" s="10"/>
      <c r="S260" s="8"/>
      <c r="T260" s="10"/>
    </row>
    <row r="261" spans="1:20">
      <c r="A261" s="8"/>
      <c r="B261" s="1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0"/>
      <c r="P261" s="8"/>
      <c r="Q261" s="8"/>
      <c r="R261" s="10"/>
      <c r="S261" s="8"/>
      <c r="T261" s="10"/>
    </row>
    <row r="262" spans="1:20">
      <c r="A262" s="8"/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0"/>
      <c r="P262" s="8"/>
      <c r="Q262" s="8"/>
      <c r="R262" s="10"/>
      <c r="S262" s="8"/>
      <c r="T262" s="10"/>
    </row>
    <row r="263" spans="1:20">
      <c r="A263" s="8"/>
      <c r="B263" s="1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0"/>
      <c r="P263" s="8"/>
      <c r="Q263" s="8"/>
      <c r="R263" s="10"/>
      <c r="S263" s="8"/>
      <c r="T263" s="10"/>
    </row>
    <row r="264" spans="1:20">
      <c r="A264" s="8"/>
      <c r="B264" s="1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0"/>
      <c r="P264" s="8"/>
      <c r="Q264" s="8"/>
      <c r="R264" s="10"/>
      <c r="S264" s="8"/>
      <c r="T264" s="10"/>
    </row>
    <row r="265" spans="1:20">
      <c r="A265" s="8"/>
      <c r="B265" s="1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0"/>
      <c r="P265" s="8"/>
      <c r="Q265" s="8"/>
      <c r="R265" s="10"/>
      <c r="S265" s="8"/>
      <c r="T265" s="10"/>
    </row>
    <row r="266" spans="1:20">
      <c r="A266" s="8"/>
      <c r="B266" s="1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0"/>
      <c r="P266" s="8"/>
      <c r="Q266" s="8"/>
      <c r="R266" s="10"/>
      <c r="S266" s="8"/>
      <c r="T266" s="10"/>
    </row>
    <row r="267" spans="1:20">
      <c r="A267" s="8"/>
      <c r="B267" s="1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0"/>
      <c r="P267" s="8"/>
      <c r="Q267" s="8"/>
      <c r="R267" s="10"/>
      <c r="S267" s="8"/>
      <c r="T267" s="10"/>
    </row>
    <row r="268" spans="1:20">
      <c r="A268" s="8"/>
      <c r="B268" s="1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0"/>
      <c r="P268" s="8"/>
      <c r="Q268" s="8"/>
      <c r="R268" s="10"/>
      <c r="S268" s="8"/>
      <c r="T268" s="10"/>
    </row>
    <row r="269" spans="1:20">
      <c r="A269" s="8"/>
      <c r="B269" s="1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0"/>
      <c r="P269" s="8"/>
      <c r="Q269" s="8"/>
      <c r="R269" s="10"/>
      <c r="S269" s="8"/>
      <c r="T269" s="10"/>
    </row>
    <row r="270" spans="1:20">
      <c r="A270" s="8"/>
      <c r="B270" s="1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0"/>
      <c r="P270" s="8"/>
      <c r="Q270" s="8"/>
      <c r="R270" s="10"/>
      <c r="S270" s="8"/>
      <c r="T270" s="10"/>
    </row>
    <row r="271" spans="1:20">
      <c r="A271" s="8"/>
      <c r="B271" s="1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0"/>
      <c r="P271" s="8"/>
      <c r="Q271" s="8"/>
      <c r="R271" s="10"/>
      <c r="S271" s="8"/>
      <c r="T271" s="10"/>
    </row>
    <row r="272" spans="1:20">
      <c r="A272" s="8"/>
      <c r="B272" s="1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0"/>
      <c r="P272" s="8"/>
      <c r="Q272" s="8"/>
      <c r="R272" s="10"/>
      <c r="S272" s="8"/>
      <c r="T272" s="10"/>
    </row>
    <row r="273" spans="1:20">
      <c r="A273" s="8"/>
      <c r="B273" s="1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0"/>
      <c r="P273" s="8"/>
      <c r="Q273" s="8"/>
      <c r="R273" s="10"/>
      <c r="S273" s="8"/>
      <c r="T273" s="10"/>
    </row>
    <row r="274" spans="1:20">
      <c r="A274" s="8"/>
      <c r="B274" s="1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0"/>
      <c r="P274" s="8"/>
      <c r="Q274" s="8"/>
      <c r="R274" s="10"/>
      <c r="S274" s="8"/>
      <c r="T274" s="10"/>
    </row>
    <row r="275" spans="1:20">
      <c r="A275" s="8"/>
      <c r="B275" s="1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0"/>
      <c r="P275" s="8"/>
      <c r="Q275" s="8"/>
      <c r="R275" s="10"/>
      <c r="S275" s="8"/>
      <c r="T275" s="10"/>
    </row>
    <row r="276" spans="1:20">
      <c r="A276" s="8"/>
      <c r="B276" s="1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0"/>
      <c r="P276" s="8"/>
      <c r="Q276" s="8"/>
      <c r="R276" s="10"/>
      <c r="S276" s="8"/>
      <c r="T276" s="10"/>
    </row>
    <row r="277" spans="1:20">
      <c r="A277" s="8"/>
      <c r="B277" s="1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0"/>
      <c r="P277" s="8"/>
      <c r="Q277" s="8"/>
      <c r="R277" s="10"/>
      <c r="S277" s="8"/>
      <c r="T277" s="10"/>
    </row>
    <row r="278" spans="1:20">
      <c r="A278" s="8"/>
      <c r="B278" s="1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0"/>
      <c r="P278" s="8"/>
      <c r="Q278" s="8"/>
      <c r="R278" s="10"/>
      <c r="S278" s="8"/>
      <c r="T278" s="10"/>
    </row>
    <row r="279" spans="1:20">
      <c r="A279" s="8"/>
      <c r="B279" s="1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0"/>
      <c r="P279" s="8"/>
      <c r="Q279" s="8"/>
      <c r="R279" s="10"/>
      <c r="S279" s="8"/>
      <c r="T279" s="10"/>
    </row>
    <row r="280" spans="1:20">
      <c r="A280" s="8"/>
      <c r="B280" s="1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0"/>
      <c r="P280" s="8"/>
      <c r="Q280" s="8"/>
      <c r="R280" s="10"/>
      <c r="S280" s="8"/>
      <c r="T280" s="10"/>
    </row>
    <row r="281" spans="1:20">
      <c r="A281" s="8"/>
      <c r="B281" s="1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0"/>
      <c r="P281" s="8"/>
      <c r="Q281" s="8"/>
      <c r="R281" s="10"/>
      <c r="S281" s="8"/>
      <c r="T281" s="10"/>
    </row>
    <row r="282" spans="1:20">
      <c r="A282" s="8"/>
      <c r="B282" s="1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0"/>
      <c r="P282" s="8"/>
      <c r="Q282" s="8"/>
      <c r="R282" s="10"/>
      <c r="S282" s="8"/>
      <c r="T282" s="10"/>
    </row>
    <row r="283" spans="1:20">
      <c r="A283" s="8"/>
      <c r="B283" s="1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0"/>
      <c r="P283" s="8"/>
      <c r="Q283" s="8"/>
      <c r="R283" s="10"/>
      <c r="S283" s="8"/>
      <c r="T283" s="10"/>
    </row>
    <row r="284" spans="1:20">
      <c r="A284" s="8"/>
      <c r="B284" s="1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0"/>
      <c r="P284" s="8"/>
      <c r="Q284" s="8"/>
      <c r="R284" s="10"/>
      <c r="S284" s="8"/>
      <c r="T284" s="10"/>
    </row>
    <row r="285" spans="1:20">
      <c r="A285" s="8"/>
      <c r="B285" s="1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0"/>
      <c r="P285" s="8"/>
      <c r="Q285" s="8"/>
      <c r="R285" s="10"/>
      <c r="S285" s="8"/>
      <c r="T285" s="10"/>
    </row>
    <row r="286" spans="1:20">
      <c r="A286" s="8"/>
      <c r="B286" s="1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0"/>
      <c r="P286" s="8"/>
      <c r="Q286" s="8"/>
      <c r="R286" s="10"/>
      <c r="S286" s="8"/>
      <c r="T286" s="10"/>
    </row>
    <row r="287" spans="1:20">
      <c r="A287" s="8"/>
      <c r="B287" s="1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0"/>
      <c r="P287" s="8"/>
      <c r="Q287" s="8"/>
      <c r="R287" s="10"/>
      <c r="S287" s="8"/>
      <c r="T287" s="10"/>
    </row>
    <row r="288" spans="1:20">
      <c r="A288" s="8"/>
      <c r="B288" s="1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0"/>
      <c r="P288" s="8"/>
      <c r="Q288" s="8"/>
      <c r="R288" s="10"/>
      <c r="S288" s="8"/>
      <c r="T288" s="10"/>
    </row>
    <row r="289" spans="1:20">
      <c r="A289" s="8"/>
      <c r="B289" s="1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0"/>
      <c r="P289" s="8"/>
      <c r="Q289" s="8"/>
      <c r="R289" s="10"/>
      <c r="S289" s="8"/>
      <c r="T289" s="10"/>
    </row>
    <row r="290" spans="1:20">
      <c r="A290" s="8"/>
      <c r="B290" s="1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0"/>
      <c r="P290" s="8"/>
      <c r="Q290" s="8"/>
      <c r="R290" s="10"/>
      <c r="S290" s="8"/>
      <c r="T290" s="10"/>
    </row>
    <row r="291" spans="1:20">
      <c r="A291" s="8"/>
      <c r="B291" s="1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0"/>
      <c r="P291" s="8"/>
      <c r="Q291" s="8"/>
      <c r="R291" s="10"/>
      <c r="S291" s="8"/>
      <c r="T291" s="10"/>
    </row>
    <row r="292" spans="1:20">
      <c r="A292" s="8"/>
      <c r="B292" s="1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0"/>
      <c r="P292" s="8"/>
      <c r="Q292" s="8"/>
      <c r="R292" s="10"/>
      <c r="S292" s="8"/>
      <c r="T292" s="10"/>
    </row>
    <row r="293" spans="1:20">
      <c r="A293" s="8"/>
      <c r="B293" s="1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0"/>
      <c r="P293" s="8"/>
      <c r="Q293" s="8"/>
      <c r="R293" s="10"/>
      <c r="S293" s="8"/>
      <c r="T293" s="10"/>
    </row>
    <row r="294" spans="1:20">
      <c r="A294" s="8"/>
      <c r="B294" s="1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0"/>
      <c r="P294" s="8"/>
      <c r="Q294" s="8"/>
      <c r="R294" s="10"/>
      <c r="S294" s="8"/>
      <c r="T294" s="10"/>
    </row>
    <row r="295" spans="1:20">
      <c r="A295" s="8"/>
      <c r="B295" s="1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0"/>
      <c r="P295" s="8"/>
      <c r="Q295" s="8"/>
      <c r="R295" s="10"/>
      <c r="S295" s="8"/>
      <c r="T295" s="10"/>
    </row>
    <row r="296" spans="1:20">
      <c r="A296" s="8"/>
      <c r="B296" s="1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0"/>
      <c r="P296" s="8"/>
      <c r="Q296" s="8"/>
      <c r="R296" s="10"/>
      <c r="S296" s="8"/>
      <c r="T296" s="10"/>
    </row>
    <row r="297" spans="1:20">
      <c r="A297" s="8"/>
      <c r="B297" s="1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0"/>
      <c r="P297" s="8"/>
      <c r="Q297" s="8"/>
      <c r="R297" s="10"/>
      <c r="S297" s="8"/>
      <c r="T297" s="10"/>
    </row>
    <row r="298" spans="1:20">
      <c r="A298" s="8"/>
      <c r="B298" s="1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0"/>
      <c r="P298" s="8"/>
      <c r="Q298" s="8"/>
      <c r="R298" s="10"/>
      <c r="S298" s="8"/>
      <c r="T298" s="10"/>
    </row>
    <row r="299" spans="1:20">
      <c r="A299" s="8"/>
      <c r="B299" s="1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0"/>
      <c r="P299" s="8"/>
      <c r="Q299" s="8"/>
      <c r="R299" s="10"/>
      <c r="S299" s="8"/>
      <c r="T299" s="10"/>
    </row>
    <row r="300" spans="1:20">
      <c r="A300" s="8"/>
      <c r="B300" s="1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0"/>
      <c r="P300" s="8"/>
      <c r="Q300" s="8"/>
      <c r="R300" s="10"/>
      <c r="S300" s="8"/>
      <c r="T300" s="10"/>
    </row>
    <row r="301" spans="1:20">
      <c r="A301" s="8"/>
      <c r="B301" s="1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0"/>
      <c r="P301" s="8"/>
      <c r="Q301" s="8"/>
      <c r="R301" s="10"/>
      <c r="S301" s="8"/>
      <c r="T301" s="10"/>
    </row>
    <row r="302" spans="1:20">
      <c r="A302" s="8"/>
      <c r="B302" s="1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0"/>
      <c r="P302" s="8"/>
      <c r="Q302" s="8"/>
      <c r="R302" s="10"/>
      <c r="S302" s="8"/>
      <c r="T302" s="10"/>
    </row>
    <row r="303" spans="1:20">
      <c r="A303" s="8"/>
      <c r="B303" s="1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0"/>
      <c r="P303" s="8"/>
      <c r="Q303" s="8"/>
      <c r="R303" s="10"/>
      <c r="S303" s="8"/>
      <c r="T303" s="10"/>
    </row>
    <row r="304" spans="1:20">
      <c r="A304" s="8"/>
      <c r="B304" s="1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0"/>
      <c r="P304" s="8"/>
      <c r="Q304" s="8"/>
      <c r="R304" s="10"/>
      <c r="S304" s="8"/>
      <c r="T304" s="10"/>
    </row>
  </sheetData>
  <mergeCells count="2">
    <mergeCell ref="A1:T1"/>
    <mergeCell ref="A2:T2"/>
  </mergeCells>
  <conditionalFormatting sqref="A5:A304">
    <cfRule type="duplicateValues" dxfId="3" priority="9"/>
  </conditionalFormatting>
  <conditionalFormatting sqref="P5:P304">
    <cfRule type="containsText" dxfId="2" priority="1" operator="containsText" text="Approved"/>
    <cfRule type="containsText" dxfId="1" priority="4" operator="containsText" text="Failed"/>
    <cfRule type="containsText" dxfId="0" priority="7" operator="containsText" text="On Hold"/>
  </conditionalFormatting>
  <dataValidations count="3">
    <dataValidation type="list" sqref="C5:C304" xr:uid="{00000000-0002-0000-2100-000000000000}">
      <formula1>"Critical,High,Medium,Low"</formula1>
    </dataValidation>
    <dataValidation type="list" sqref="H5:H304" xr:uid="{00000000-0002-0000-2100-000001000000}">
      <formula1>"Fabric Delay,Fabric Shortage,Fabric Test Failure,Trim Shortage,PP Sample Pending,Cutting Delay,TOP Rejected,Sewing Delay,Quality Issue,Packing Delay,Shipment Delay,Data Difference,Customer Change,Other"</formula1>
    </dataValidation>
    <dataValidation type="list" sqref="P5:P304" xr:uid="{00000000-0002-0000-2100-000002000000}">
      <formula1>"Open,Assigned,In Progress,Pending Approval,Resolved,Closed,Reopened"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3"/>
  <sheetViews>
    <sheetView showGridLines="0" workbookViewId="0"/>
  </sheetViews>
  <sheetFormatPr baseColWidth="10" defaultColWidth="8.83203125" defaultRowHeight="14"/>
  <cols>
    <col min="1" max="11" width="22" customWidth="1"/>
  </cols>
  <sheetData>
    <row r="1" spans="1:11" ht="15">
      <c r="A1" s="1" t="s">
        <v>477</v>
      </c>
      <c r="B1" s="1" t="s">
        <v>158</v>
      </c>
      <c r="C1" s="1" t="s">
        <v>478</v>
      </c>
      <c r="D1" s="1" t="s">
        <v>109</v>
      </c>
      <c r="E1" s="1" t="s">
        <v>104</v>
      </c>
      <c r="F1" s="1" t="s">
        <v>172</v>
      </c>
      <c r="G1" s="1" t="s">
        <v>186</v>
      </c>
      <c r="H1" s="1" t="s">
        <v>62</v>
      </c>
      <c r="I1" s="1"/>
      <c r="J1" s="1" t="s">
        <v>479</v>
      </c>
      <c r="K1" s="1" t="s">
        <v>480</v>
      </c>
    </row>
    <row r="2" spans="1:11">
      <c r="A2" t="s">
        <v>481</v>
      </c>
      <c r="B2" t="s">
        <v>482</v>
      </c>
      <c r="C2" t="s">
        <v>482</v>
      </c>
      <c r="D2" t="s">
        <v>483</v>
      </c>
      <c r="E2" t="s">
        <v>484</v>
      </c>
      <c r="F2" t="s">
        <v>485</v>
      </c>
      <c r="G2" t="s">
        <v>482</v>
      </c>
      <c r="H2" t="s">
        <v>486</v>
      </c>
      <c r="J2" t="s">
        <v>487</v>
      </c>
      <c r="K2">
        <v>40</v>
      </c>
    </row>
    <row r="3" spans="1:11">
      <c r="A3" t="s">
        <v>482</v>
      </c>
      <c r="B3" t="s">
        <v>488</v>
      </c>
      <c r="C3" t="s">
        <v>489</v>
      </c>
      <c r="D3" t="s">
        <v>490</v>
      </c>
      <c r="E3" t="s">
        <v>491</v>
      </c>
      <c r="F3" t="s">
        <v>492</v>
      </c>
      <c r="G3" t="s">
        <v>493</v>
      </c>
      <c r="H3" t="s">
        <v>494</v>
      </c>
      <c r="J3" t="s">
        <v>495</v>
      </c>
      <c r="K3" s="2">
        <v>0.05</v>
      </c>
    </row>
    <row r="4" spans="1:11">
      <c r="A4" t="s">
        <v>496</v>
      </c>
      <c r="B4" t="s">
        <v>497</v>
      </c>
      <c r="C4" t="s">
        <v>498</v>
      </c>
      <c r="D4" t="s">
        <v>499</v>
      </c>
      <c r="E4" t="s">
        <v>500</v>
      </c>
      <c r="F4" t="s">
        <v>501</v>
      </c>
      <c r="G4" t="s">
        <v>502</v>
      </c>
      <c r="H4" t="s">
        <v>503</v>
      </c>
      <c r="J4" t="s">
        <v>504</v>
      </c>
      <c r="K4" s="2">
        <v>0.05</v>
      </c>
    </row>
    <row r="5" spans="1:11">
      <c r="A5" t="s">
        <v>505</v>
      </c>
      <c r="B5" t="s">
        <v>506</v>
      </c>
      <c r="C5" t="s">
        <v>507</v>
      </c>
      <c r="D5" t="s">
        <v>508</v>
      </c>
      <c r="E5" t="s">
        <v>509</v>
      </c>
      <c r="F5" t="s">
        <v>42</v>
      </c>
      <c r="G5" t="s">
        <v>510</v>
      </c>
      <c r="H5" t="s">
        <v>511</v>
      </c>
      <c r="J5" t="s">
        <v>512</v>
      </c>
      <c r="K5" s="2">
        <v>0.05</v>
      </c>
    </row>
    <row r="6" spans="1:11">
      <c r="A6" t="s">
        <v>513</v>
      </c>
      <c r="B6" t="s">
        <v>514</v>
      </c>
      <c r="C6" t="s">
        <v>515</v>
      </c>
      <c r="D6" t="s">
        <v>516</v>
      </c>
      <c r="E6" t="s">
        <v>517</v>
      </c>
      <c r="F6" t="s">
        <v>518</v>
      </c>
      <c r="G6" t="s">
        <v>515</v>
      </c>
      <c r="J6" t="s">
        <v>519</v>
      </c>
      <c r="K6" s="2">
        <v>0.05</v>
      </c>
    </row>
    <row r="7" spans="1:11">
      <c r="A7" t="s">
        <v>489</v>
      </c>
      <c r="B7" t="s">
        <v>520</v>
      </c>
      <c r="C7" t="s">
        <v>521</v>
      </c>
      <c r="D7" t="s">
        <v>522</v>
      </c>
      <c r="E7" t="s">
        <v>523</v>
      </c>
      <c r="F7" t="s">
        <v>524</v>
      </c>
      <c r="G7" t="s">
        <v>525</v>
      </c>
      <c r="J7" t="s">
        <v>526</v>
      </c>
      <c r="K7" s="2">
        <v>0</v>
      </c>
    </row>
    <row r="8" spans="1:11">
      <c r="A8" t="s">
        <v>498</v>
      </c>
      <c r="B8" t="s">
        <v>515</v>
      </c>
      <c r="F8" t="s">
        <v>527</v>
      </c>
    </row>
    <row r="9" spans="1:11">
      <c r="A9" t="s">
        <v>507</v>
      </c>
      <c r="F9" t="s">
        <v>525</v>
      </c>
    </row>
    <row r="10" spans="1:11">
      <c r="A10" t="s">
        <v>515</v>
      </c>
    </row>
    <row r="11" spans="1:11">
      <c r="A11" t="s">
        <v>525</v>
      </c>
    </row>
    <row r="12" spans="1:11">
      <c r="A12" t="s">
        <v>528</v>
      </c>
    </row>
    <row r="13" spans="1:11">
      <c r="A13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Instructions</vt:lpstr>
      <vt:lpstr>Dashboard</vt:lpstr>
      <vt:lpstr>Fabric Dashboard</vt:lpstr>
      <vt:lpstr>FGPO Master</vt:lpstr>
      <vt:lpstr>Fabric Requirement</vt:lpstr>
      <vt:lpstr>Fabric PO</vt:lpstr>
      <vt:lpstr>Mill Production</vt:lpstr>
      <vt:lpstr>Mill Test</vt:lpstr>
      <vt:lpstr>Fabric Shipment</vt:lpstr>
      <vt:lpstr>Fabric Receiving</vt:lpstr>
      <vt:lpstr>Roll Receiving</vt:lpstr>
      <vt:lpstr>Four-Point</vt:lpstr>
      <vt:lpstr>Internal Test</vt:lpstr>
      <vt:lpstr>Shade Match</vt:lpstr>
      <vt:lpstr>Fabric Approval</vt:lpstr>
      <vt:lpstr>Fabric Inventory</vt:lpstr>
      <vt:lpstr>Fabric Reservation</vt:lpstr>
      <vt:lpstr>Issue to Cutting</vt:lpstr>
      <vt:lpstr>Trims Control</vt:lpstr>
      <vt:lpstr>PP Sample</vt:lpstr>
      <vt:lpstr>Production Readiness</vt:lpstr>
      <vt:lpstr>Cutting Release</vt:lpstr>
      <vt:lpstr>Cutting Control</vt:lpstr>
      <vt:lpstr>Cutting Panel QC</vt:lpstr>
      <vt:lpstr>TOP Sample</vt:lpstr>
      <vt:lpstr>Sewing Production</vt:lpstr>
      <vt:lpstr>Inline Quality</vt:lpstr>
      <vt:lpstr>Endline Inspection</vt:lpstr>
      <vt:lpstr>Pre-Final Inspection</vt:lpstr>
      <vt:lpstr>Final Inspection</vt:lpstr>
      <vt:lpstr>Packing Control</vt:lpstr>
      <vt:lpstr>Finished Goods</vt:lpstr>
      <vt:lpstr>Shipment Control</vt:lpstr>
      <vt:lpstr>Open Issues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Chen</cp:lastModifiedBy>
  <dcterms:created xsi:type="dcterms:W3CDTF">2026-07-29T22:48:22Z</dcterms:created>
  <dcterms:modified xsi:type="dcterms:W3CDTF">2026-07-29T22:48:23Z</dcterms:modified>
</cp:coreProperties>
</file>